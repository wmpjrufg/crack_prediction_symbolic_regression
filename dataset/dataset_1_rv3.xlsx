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torm\Documents\github\2025-2_andre_rimes\dataset\"/>
    </mc:Choice>
  </mc:AlternateContent>
  <xr:revisionPtr revIDLastSave="0" documentId="13_ncr:1_{DAC258ED-8BCF-409E-A123-62ADCC2AAC45}" xr6:coauthVersionLast="47" xr6:coauthVersionMax="47" xr10:uidLastSave="{00000000-0000-0000-0000-000000000000}"/>
  <bookViews>
    <workbookView xWindow="38280" yWindow="-120" windowWidth="38640" windowHeight="15720" xr2:uid="{4C502DA0-334F-4A82-9493-48D9C775E6F0}"/>
  </bookViews>
  <sheets>
    <sheet name="Dataset_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342" i="1" l="1"/>
  <c r="AB342" i="1"/>
  <c r="AD341" i="1"/>
  <c r="AB341" i="1"/>
  <c r="AD340" i="1"/>
  <c r="AB340" i="1"/>
  <c r="AD339" i="1"/>
  <c r="AB339" i="1"/>
  <c r="AD338" i="1"/>
  <c r="AB338" i="1"/>
  <c r="AD337" i="1"/>
  <c r="AB337" i="1"/>
  <c r="AD336" i="1"/>
  <c r="AB336" i="1"/>
  <c r="AD335" i="1"/>
  <c r="AB335" i="1"/>
  <c r="AD334" i="1"/>
  <c r="AB334" i="1"/>
  <c r="AD333" i="1"/>
  <c r="AB333" i="1"/>
  <c r="AD332" i="1"/>
  <c r="AB332" i="1"/>
  <c r="AD331" i="1"/>
  <c r="AB331" i="1"/>
  <c r="AD330" i="1"/>
  <c r="AB330" i="1"/>
  <c r="AD329" i="1"/>
  <c r="AB329" i="1"/>
  <c r="AD328" i="1"/>
  <c r="AB328" i="1"/>
  <c r="AD327" i="1"/>
  <c r="AB327" i="1"/>
  <c r="AD326" i="1"/>
  <c r="AB326" i="1"/>
  <c r="AD325" i="1"/>
  <c r="AB325" i="1"/>
  <c r="AD324" i="1"/>
  <c r="AB324" i="1"/>
  <c r="AD323" i="1"/>
  <c r="AB323" i="1"/>
  <c r="AD322" i="1"/>
  <c r="AB322" i="1"/>
  <c r="AD321" i="1"/>
  <c r="AB321" i="1"/>
  <c r="AD320" i="1"/>
  <c r="AB320" i="1"/>
  <c r="AD319" i="1"/>
  <c r="AB319" i="1"/>
  <c r="AD318" i="1"/>
  <c r="AB318" i="1"/>
  <c r="AD317" i="1"/>
  <c r="AB317" i="1"/>
  <c r="AD316" i="1"/>
  <c r="AB316" i="1"/>
  <c r="AD315" i="1"/>
  <c r="AB315" i="1"/>
  <c r="AD314" i="1"/>
  <c r="AB314" i="1"/>
  <c r="AD313" i="1"/>
  <c r="AB313" i="1"/>
  <c r="AD312" i="1"/>
  <c r="AB312" i="1"/>
  <c r="AD311" i="1"/>
  <c r="AB311" i="1"/>
  <c r="AD310" i="1"/>
  <c r="AB310" i="1"/>
  <c r="AD309" i="1"/>
  <c r="AB309" i="1"/>
  <c r="AD308" i="1"/>
  <c r="AB308" i="1"/>
  <c r="AD307" i="1"/>
  <c r="AB307" i="1"/>
  <c r="AD306" i="1"/>
  <c r="AB306" i="1"/>
  <c r="AD305" i="1"/>
  <c r="AB305" i="1"/>
  <c r="AD304" i="1"/>
  <c r="AB304" i="1"/>
  <c r="AD303" i="1"/>
  <c r="AB303" i="1"/>
  <c r="AD302" i="1"/>
  <c r="AB302" i="1"/>
  <c r="AD301" i="1"/>
  <c r="AB301" i="1"/>
  <c r="AD300" i="1"/>
  <c r="AB300" i="1"/>
  <c r="AD299" i="1"/>
  <c r="AB299" i="1"/>
  <c r="AD298" i="1"/>
  <c r="AB298" i="1"/>
  <c r="AD297" i="1"/>
  <c r="AB297" i="1"/>
  <c r="AD296" i="1"/>
  <c r="AB296" i="1"/>
  <c r="AD295" i="1"/>
  <c r="AB295" i="1"/>
  <c r="AD294" i="1"/>
  <c r="AB294" i="1"/>
  <c r="AD293" i="1"/>
  <c r="AB293" i="1"/>
  <c r="AD292" i="1"/>
  <c r="AB292" i="1"/>
  <c r="AD291" i="1"/>
  <c r="AB291" i="1"/>
  <c r="AD290" i="1"/>
  <c r="AB290" i="1"/>
  <c r="AD289" i="1"/>
  <c r="AB289" i="1"/>
  <c r="AD288" i="1"/>
  <c r="AB288" i="1"/>
  <c r="AD287" i="1"/>
  <c r="AB287" i="1"/>
  <c r="AD286" i="1"/>
  <c r="AB286" i="1"/>
  <c r="AD285" i="1"/>
  <c r="AB285" i="1"/>
  <c r="AD284" i="1"/>
  <c r="AB284" i="1"/>
  <c r="AD283" i="1"/>
  <c r="AB283" i="1"/>
  <c r="AD282" i="1"/>
  <c r="AB282" i="1"/>
  <c r="AD281" i="1"/>
  <c r="AB281" i="1"/>
  <c r="AD280" i="1"/>
  <c r="AB280" i="1"/>
  <c r="AD279" i="1"/>
  <c r="AB279" i="1"/>
  <c r="AD278" i="1"/>
  <c r="AB278" i="1"/>
  <c r="AD277" i="1"/>
  <c r="AB277" i="1"/>
  <c r="AD276" i="1"/>
  <c r="AB276" i="1"/>
  <c r="AD275" i="1"/>
  <c r="AB275" i="1"/>
  <c r="AD274" i="1"/>
  <c r="AB274" i="1"/>
  <c r="AD273" i="1"/>
  <c r="AB273" i="1"/>
  <c r="AD272" i="1"/>
  <c r="AB272" i="1"/>
  <c r="AD271" i="1"/>
  <c r="AB271" i="1"/>
  <c r="AD270" i="1"/>
  <c r="AB270" i="1"/>
  <c r="AD269" i="1"/>
  <c r="AB269" i="1"/>
  <c r="AD268" i="1"/>
  <c r="AB268" i="1"/>
  <c r="AD267" i="1"/>
  <c r="AB267" i="1"/>
  <c r="AD266" i="1"/>
  <c r="AB266" i="1"/>
  <c r="AD265" i="1"/>
  <c r="AB265" i="1"/>
  <c r="AD264" i="1"/>
  <c r="AB264" i="1"/>
  <c r="AD263" i="1"/>
  <c r="AB263" i="1"/>
  <c r="AD262" i="1"/>
  <c r="AB262" i="1"/>
  <c r="AD261" i="1"/>
  <c r="AB261" i="1"/>
  <c r="AD260" i="1"/>
  <c r="AB260" i="1"/>
  <c r="AD259" i="1"/>
  <c r="AB259" i="1"/>
  <c r="AD258" i="1"/>
  <c r="AB258" i="1"/>
  <c r="AD257" i="1"/>
  <c r="AB257" i="1"/>
  <c r="AD256" i="1"/>
  <c r="AB256" i="1"/>
  <c r="AD255" i="1"/>
  <c r="AB255" i="1"/>
  <c r="AD254" i="1"/>
  <c r="AB254" i="1"/>
  <c r="AD253" i="1"/>
  <c r="AB253" i="1"/>
  <c r="AD252" i="1"/>
  <c r="AB252" i="1"/>
  <c r="AD251" i="1"/>
  <c r="AB251" i="1"/>
  <c r="AD250" i="1"/>
  <c r="AB250" i="1"/>
  <c r="AD249" i="1"/>
  <c r="AB249" i="1"/>
  <c r="AD248" i="1"/>
  <c r="AB248" i="1"/>
  <c r="AD247" i="1"/>
  <c r="AB247" i="1"/>
  <c r="AD246" i="1"/>
  <c r="AB246" i="1"/>
  <c r="AD245" i="1"/>
  <c r="AB245" i="1"/>
  <c r="AD244" i="1"/>
  <c r="AB244" i="1"/>
  <c r="AD243" i="1"/>
  <c r="AB243" i="1"/>
  <c r="AD242" i="1"/>
  <c r="AB242" i="1"/>
  <c r="AD241" i="1"/>
  <c r="AB241" i="1"/>
  <c r="AD240" i="1"/>
  <c r="AB240" i="1"/>
  <c r="AD239" i="1"/>
  <c r="AB239" i="1"/>
  <c r="AD238" i="1"/>
  <c r="AB238" i="1"/>
  <c r="AD237" i="1"/>
  <c r="AB237" i="1"/>
  <c r="AD236" i="1"/>
  <c r="AB236" i="1"/>
  <c r="AD235" i="1"/>
  <c r="AB235" i="1"/>
  <c r="AD234" i="1"/>
  <c r="AB234" i="1"/>
  <c r="AD233" i="1"/>
  <c r="AB233" i="1"/>
  <c r="AD232" i="1"/>
  <c r="AB232" i="1"/>
  <c r="AD231" i="1"/>
  <c r="AB231" i="1"/>
  <c r="AD230" i="1"/>
  <c r="AB230" i="1"/>
  <c r="AD229" i="1"/>
  <c r="AB229" i="1"/>
  <c r="AD228" i="1"/>
  <c r="AB228" i="1"/>
  <c r="AD227" i="1"/>
  <c r="AB227" i="1"/>
  <c r="AD226" i="1"/>
  <c r="AB226" i="1"/>
  <c r="AD225" i="1"/>
  <c r="AB225" i="1"/>
  <c r="AD224" i="1"/>
  <c r="AB224" i="1"/>
  <c r="AD223" i="1"/>
  <c r="AB223" i="1"/>
  <c r="AD222" i="1"/>
  <c r="AB222" i="1"/>
  <c r="AD221" i="1"/>
  <c r="AB221" i="1"/>
  <c r="AD220" i="1"/>
  <c r="AB220" i="1"/>
  <c r="AD219" i="1"/>
  <c r="AB219" i="1"/>
  <c r="AD218" i="1"/>
  <c r="AB218" i="1"/>
  <c r="AD217" i="1"/>
  <c r="AB217" i="1"/>
  <c r="AD216" i="1"/>
  <c r="AB216" i="1"/>
  <c r="AD215" i="1"/>
  <c r="AB215" i="1"/>
  <c r="AD214" i="1"/>
  <c r="AB214" i="1"/>
  <c r="AD213" i="1"/>
  <c r="AB213" i="1"/>
  <c r="AD212" i="1"/>
  <c r="AB212" i="1"/>
  <c r="AD211" i="1"/>
  <c r="AB211" i="1"/>
  <c r="AD210" i="1"/>
  <c r="AB210" i="1"/>
  <c r="AD209" i="1"/>
  <c r="AB209" i="1"/>
  <c r="AD208" i="1"/>
  <c r="AB208" i="1"/>
  <c r="AD207" i="1"/>
  <c r="AB207" i="1"/>
  <c r="AD206" i="1"/>
  <c r="AB206" i="1"/>
  <c r="AD205" i="1"/>
  <c r="AB205" i="1"/>
  <c r="AD204" i="1"/>
  <c r="AB204" i="1"/>
  <c r="AD203" i="1"/>
  <c r="AB203" i="1"/>
  <c r="AD202" i="1"/>
  <c r="AB202" i="1"/>
  <c r="AD201" i="1"/>
  <c r="AB201" i="1"/>
  <c r="AD200" i="1"/>
  <c r="AB200" i="1"/>
  <c r="AD199" i="1"/>
  <c r="AB199" i="1"/>
  <c r="AD198" i="1"/>
  <c r="AB198" i="1"/>
  <c r="AD197" i="1"/>
  <c r="AB197" i="1"/>
  <c r="AD196" i="1"/>
  <c r="AB196" i="1"/>
  <c r="AD195" i="1"/>
  <c r="AB195" i="1"/>
  <c r="AD194" i="1"/>
  <c r="AB194" i="1"/>
  <c r="AD193" i="1"/>
  <c r="AB193" i="1"/>
  <c r="AD192" i="1"/>
  <c r="AB192" i="1"/>
  <c r="AD191" i="1"/>
  <c r="AB191" i="1"/>
  <c r="AD190" i="1"/>
  <c r="AB190" i="1"/>
  <c r="AD189" i="1"/>
  <c r="AB189" i="1"/>
  <c r="AD188" i="1"/>
  <c r="AB188" i="1"/>
  <c r="AD187" i="1"/>
  <c r="AB187" i="1"/>
  <c r="AD186" i="1"/>
  <c r="AB186" i="1"/>
  <c r="AD185" i="1"/>
  <c r="AB185" i="1"/>
  <c r="AD184" i="1"/>
  <c r="AB184" i="1"/>
  <c r="AD183" i="1"/>
  <c r="AB183" i="1"/>
  <c r="AD182" i="1"/>
  <c r="AB182" i="1"/>
  <c r="AD181" i="1"/>
  <c r="AB181" i="1"/>
  <c r="AD180" i="1"/>
  <c r="AB180" i="1"/>
  <c r="AD179" i="1"/>
  <c r="AB179" i="1"/>
  <c r="AD178" i="1"/>
  <c r="AB178" i="1"/>
  <c r="AD177" i="1"/>
  <c r="AB177" i="1"/>
  <c r="AD176" i="1"/>
  <c r="AB176" i="1"/>
  <c r="AD175" i="1"/>
  <c r="AB175" i="1"/>
  <c r="AD174" i="1"/>
  <c r="AB174" i="1"/>
  <c r="AD173" i="1"/>
  <c r="AB173" i="1"/>
  <c r="AD172" i="1"/>
  <c r="AB172" i="1"/>
  <c r="AD171" i="1"/>
  <c r="AB171" i="1"/>
  <c r="AD170" i="1"/>
  <c r="AB170" i="1"/>
  <c r="AD169" i="1"/>
  <c r="AB169" i="1"/>
  <c r="AD168" i="1"/>
  <c r="AB168" i="1"/>
  <c r="AD167" i="1"/>
  <c r="AB167" i="1"/>
  <c r="AD166" i="1"/>
  <c r="AB166" i="1"/>
  <c r="AD165" i="1"/>
  <c r="AB165" i="1"/>
  <c r="AD164" i="1"/>
  <c r="AB164" i="1"/>
  <c r="AD163" i="1"/>
  <c r="AB163" i="1"/>
  <c r="AD162" i="1"/>
  <c r="AB162" i="1"/>
  <c r="AD161" i="1"/>
  <c r="AB161" i="1"/>
  <c r="AD160" i="1"/>
  <c r="AB160" i="1"/>
  <c r="AD159" i="1"/>
  <c r="AB159" i="1"/>
  <c r="AD158" i="1"/>
  <c r="AB158" i="1"/>
  <c r="AD157" i="1"/>
  <c r="AB157" i="1"/>
  <c r="AD156" i="1"/>
  <c r="AB156" i="1"/>
  <c r="AD155" i="1"/>
  <c r="AB155" i="1"/>
  <c r="AD154" i="1"/>
  <c r="AB154" i="1"/>
  <c r="AD153" i="1"/>
  <c r="AB153" i="1"/>
  <c r="AD152" i="1"/>
  <c r="AB152" i="1"/>
  <c r="AD151" i="1"/>
  <c r="AB151" i="1"/>
  <c r="AD150" i="1"/>
  <c r="AB150" i="1"/>
  <c r="AD149" i="1"/>
  <c r="AB149" i="1"/>
  <c r="AD148" i="1"/>
  <c r="AB148" i="1"/>
  <c r="AD147" i="1"/>
  <c r="AB147" i="1"/>
  <c r="AD146" i="1"/>
  <c r="AB146" i="1"/>
  <c r="AD145" i="1"/>
  <c r="AB145" i="1"/>
  <c r="AD144" i="1"/>
  <c r="AB144" i="1"/>
  <c r="AD143" i="1"/>
  <c r="AB143" i="1"/>
  <c r="AD142" i="1"/>
  <c r="AB142" i="1"/>
  <c r="AD141" i="1"/>
  <c r="AB141" i="1"/>
  <c r="AD140" i="1"/>
  <c r="AB140" i="1"/>
  <c r="AD139" i="1"/>
  <c r="AB139" i="1"/>
  <c r="AD138" i="1"/>
  <c r="AB138" i="1"/>
  <c r="AD137" i="1"/>
  <c r="AB137" i="1"/>
  <c r="AD136" i="1"/>
  <c r="AB136" i="1"/>
  <c r="AD135" i="1"/>
  <c r="AB135" i="1"/>
  <c r="AD134" i="1"/>
  <c r="AB134" i="1"/>
  <c r="AD133" i="1"/>
  <c r="AB133" i="1"/>
  <c r="AD132" i="1"/>
  <c r="AB132" i="1"/>
  <c r="AD131" i="1"/>
  <c r="AB131" i="1"/>
  <c r="AD130" i="1"/>
  <c r="AB130" i="1"/>
  <c r="AD129" i="1"/>
  <c r="AB129" i="1"/>
  <c r="AD128" i="1"/>
  <c r="AB128" i="1"/>
  <c r="AD127" i="1"/>
  <c r="AB127" i="1"/>
  <c r="AD126" i="1"/>
  <c r="AB126" i="1"/>
  <c r="AD125" i="1"/>
  <c r="AB125" i="1"/>
  <c r="AD124" i="1"/>
  <c r="AB124" i="1"/>
  <c r="AD123" i="1"/>
  <c r="AB123" i="1"/>
  <c r="AD122" i="1"/>
  <c r="AB122" i="1"/>
  <c r="AD121" i="1"/>
  <c r="AB121" i="1"/>
  <c r="AD120" i="1"/>
  <c r="AB120" i="1"/>
  <c r="AD119" i="1"/>
  <c r="AB119" i="1"/>
  <c r="AD118" i="1"/>
  <c r="AB118" i="1"/>
  <c r="AD117" i="1"/>
  <c r="AB117" i="1"/>
  <c r="AD116" i="1"/>
  <c r="AB116" i="1"/>
  <c r="AD115" i="1"/>
  <c r="AB115" i="1"/>
  <c r="AD114" i="1"/>
  <c r="AB114" i="1"/>
  <c r="AD113" i="1"/>
  <c r="AB113" i="1"/>
  <c r="AD112" i="1"/>
  <c r="AB112" i="1"/>
  <c r="AD111" i="1"/>
  <c r="AB111" i="1"/>
  <c r="AD110" i="1"/>
  <c r="AB110" i="1"/>
  <c r="AD109" i="1"/>
  <c r="AB109" i="1"/>
  <c r="AD108" i="1"/>
  <c r="AB108" i="1"/>
  <c r="AD107" i="1"/>
  <c r="AB107" i="1"/>
  <c r="AD106" i="1"/>
  <c r="AB106" i="1"/>
  <c r="AD105" i="1"/>
  <c r="AB105" i="1"/>
  <c r="AD104" i="1"/>
  <c r="AB104" i="1"/>
  <c r="AD103" i="1"/>
  <c r="AB103" i="1"/>
  <c r="AD102" i="1"/>
  <c r="AB102" i="1"/>
  <c r="AD101" i="1"/>
  <c r="AB101" i="1"/>
  <c r="AD100" i="1"/>
  <c r="AB100" i="1"/>
  <c r="AD99" i="1"/>
  <c r="AB99" i="1"/>
  <c r="AD98" i="1"/>
  <c r="AB98" i="1"/>
  <c r="AD97" i="1"/>
  <c r="AB97" i="1"/>
  <c r="AD96" i="1"/>
  <c r="AB96" i="1"/>
  <c r="AD95" i="1"/>
  <c r="AB95" i="1"/>
  <c r="AD94" i="1"/>
  <c r="AB94" i="1"/>
  <c r="AD93" i="1"/>
  <c r="AB93" i="1"/>
  <c r="AD92" i="1"/>
  <c r="AB92" i="1"/>
  <c r="AD91" i="1"/>
  <c r="AB91" i="1"/>
  <c r="AD90" i="1"/>
  <c r="AB90" i="1"/>
  <c r="AD89" i="1"/>
  <c r="AB89" i="1"/>
  <c r="AD88" i="1"/>
  <c r="AB88" i="1"/>
  <c r="AD87" i="1"/>
  <c r="AB87" i="1"/>
  <c r="AD86" i="1"/>
  <c r="AB86" i="1"/>
  <c r="AD85" i="1"/>
  <c r="AB85" i="1"/>
  <c r="AD84" i="1"/>
  <c r="AB84" i="1"/>
  <c r="AD83" i="1"/>
  <c r="AB83" i="1"/>
  <c r="AD82" i="1"/>
  <c r="AB82" i="1"/>
  <c r="AD81" i="1"/>
  <c r="AB81" i="1"/>
  <c r="AD80" i="1"/>
  <c r="AB80" i="1"/>
  <c r="AD79" i="1"/>
  <c r="AB79" i="1"/>
  <c r="AD78" i="1"/>
  <c r="AB78" i="1"/>
  <c r="AD77" i="1"/>
  <c r="AB77" i="1"/>
  <c r="AD76" i="1"/>
  <c r="AB76" i="1"/>
  <c r="AD75" i="1"/>
  <c r="AB75" i="1"/>
  <c r="AD74" i="1"/>
  <c r="AB74" i="1"/>
  <c r="AD73" i="1"/>
  <c r="AB73" i="1"/>
  <c r="AD72" i="1"/>
  <c r="AB72" i="1"/>
  <c r="AD71" i="1"/>
  <c r="AB71" i="1"/>
  <c r="AD70" i="1"/>
  <c r="AB70" i="1"/>
  <c r="AD69" i="1"/>
  <c r="AB69" i="1"/>
  <c r="AD68" i="1"/>
  <c r="AB68" i="1"/>
  <c r="AD67" i="1"/>
  <c r="AB67" i="1"/>
  <c r="AD66" i="1"/>
  <c r="AB66" i="1"/>
  <c r="AD65" i="1"/>
  <c r="AB65" i="1"/>
  <c r="AD64" i="1"/>
  <c r="AB64" i="1"/>
  <c r="AD63" i="1"/>
  <c r="AB63" i="1"/>
  <c r="AD62" i="1"/>
  <c r="AB62" i="1"/>
  <c r="AD61" i="1"/>
  <c r="AB61" i="1"/>
  <c r="AD60" i="1"/>
  <c r="AB60" i="1"/>
  <c r="AD59" i="1"/>
  <c r="AB59" i="1"/>
  <c r="AD58" i="1"/>
  <c r="AB58" i="1"/>
  <c r="AD57" i="1"/>
  <c r="AB57" i="1"/>
  <c r="AD56" i="1"/>
  <c r="AB56" i="1"/>
  <c r="AD55" i="1"/>
  <c r="AB55" i="1"/>
  <c r="AD54" i="1"/>
  <c r="AB54" i="1"/>
  <c r="AD53" i="1"/>
  <c r="AB53" i="1"/>
  <c r="AD52" i="1"/>
  <c r="AB52" i="1"/>
  <c r="AD51" i="1"/>
  <c r="AB51" i="1"/>
  <c r="AD50" i="1"/>
  <c r="AB50" i="1"/>
  <c r="AD49" i="1"/>
  <c r="AB49" i="1"/>
  <c r="AD48" i="1"/>
  <c r="AB48" i="1"/>
  <c r="AD47" i="1"/>
  <c r="AB47" i="1"/>
  <c r="AD46" i="1"/>
  <c r="AB46" i="1"/>
  <c r="AD45" i="1"/>
  <c r="AB45" i="1"/>
  <c r="AD44" i="1"/>
  <c r="AB44" i="1"/>
  <c r="AD43" i="1"/>
  <c r="AB43" i="1"/>
  <c r="AD42" i="1"/>
  <c r="AB42" i="1"/>
  <c r="AD41" i="1"/>
  <c r="AB41" i="1"/>
  <c r="AD40" i="1"/>
  <c r="AB40" i="1"/>
  <c r="AD39" i="1"/>
  <c r="AB39" i="1"/>
  <c r="AD38" i="1"/>
  <c r="AB38" i="1"/>
  <c r="AD37" i="1"/>
  <c r="AB37" i="1"/>
  <c r="AD36" i="1"/>
  <c r="AB36" i="1"/>
  <c r="AD35" i="1"/>
  <c r="AB35" i="1"/>
  <c r="AD34" i="1"/>
  <c r="AB34" i="1"/>
  <c r="AD33" i="1"/>
  <c r="AB33" i="1"/>
  <c r="AD32" i="1"/>
  <c r="AB32" i="1"/>
  <c r="AD31" i="1"/>
  <c r="AB31" i="1"/>
  <c r="AD30" i="1"/>
  <c r="AB30" i="1"/>
  <c r="AD29" i="1"/>
  <c r="AB29" i="1"/>
  <c r="AD28" i="1"/>
  <c r="AB28" i="1"/>
  <c r="AD27" i="1"/>
  <c r="AB27" i="1"/>
  <c r="AD26" i="1"/>
  <c r="AB26" i="1"/>
  <c r="AD25" i="1"/>
  <c r="AB25" i="1"/>
  <c r="AD24" i="1"/>
  <c r="AB24" i="1"/>
  <c r="AD23" i="1"/>
  <c r="AB23" i="1"/>
  <c r="AD22" i="1"/>
  <c r="AB22" i="1"/>
  <c r="AD21" i="1"/>
  <c r="AB21" i="1"/>
  <c r="AD20" i="1"/>
  <c r="AB20" i="1"/>
  <c r="AD19" i="1"/>
  <c r="AB19" i="1"/>
  <c r="AD18" i="1"/>
  <c r="AB18" i="1"/>
  <c r="AD17" i="1"/>
  <c r="AB17" i="1"/>
  <c r="AD16" i="1"/>
  <c r="AB16" i="1"/>
  <c r="AD15" i="1"/>
  <c r="AB15" i="1"/>
  <c r="AD14" i="1"/>
  <c r="AB14" i="1"/>
  <c r="AD13" i="1"/>
  <c r="AB13" i="1"/>
  <c r="AD12" i="1"/>
  <c r="AB12" i="1"/>
  <c r="AD11" i="1"/>
  <c r="AB11" i="1"/>
  <c r="AD10" i="1"/>
  <c r="AB10" i="1"/>
  <c r="AD9" i="1"/>
  <c r="AB9" i="1"/>
  <c r="AD8" i="1"/>
  <c r="AB8" i="1"/>
  <c r="AD7" i="1"/>
  <c r="AB7" i="1"/>
  <c r="AD6" i="1"/>
  <c r="AB6" i="1"/>
  <c r="AD5" i="1"/>
  <c r="AB5" i="1"/>
  <c r="AD4" i="1"/>
  <c r="AB4" i="1"/>
  <c r="AD3" i="1"/>
  <c r="AB3" i="1"/>
  <c r="AD2" i="1"/>
  <c r="AB2" i="1"/>
</calcChain>
</file>

<file path=xl/sharedStrings.xml><?xml version="1.0" encoding="utf-8"?>
<sst xmlns="http://schemas.openxmlformats.org/spreadsheetml/2006/main" count="114" uniqueCount="114">
  <si>
    <t>Autor</t>
  </si>
  <si>
    <t>Diâmetro da armadura (mm)</t>
  </si>
  <si>
    <r>
      <t>Resistência do aço - f</t>
    </r>
    <r>
      <rPr>
        <b/>
        <vertAlign val="subscript"/>
        <sz val="10"/>
        <color theme="1"/>
        <rFont val="Times New Roman"/>
        <family val="1"/>
      </rPr>
      <t>y</t>
    </r>
    <r>
      <rPr>
        <b/>
        <sz val="10"/>
        <color theme="1"/>
        <rFont val="Times New Roman"/>
        <family val="1"/>
      </rPr>
      <t xml:space="preserve"> (MPa)</t>
    </r>
  </si>
  <si>
    <t>Número de barras em uma camada</t>
  </si>
  <si>
    <t>Espaçamento entre as barras (mm)</t>
  </si>
  <si>
    <t>Resistência à tração do concreto (MPa)</t>
  </si>
  <si>
    <t>Cobrimento (mm)</t>
  </si>
  <si>
    <t>Distância ao centro de gravidade da armadura  (mm)</t>
  </si>
  <si>
    <t>Largura da viga - b (mm)</t>
  </si>
  <si>
    <t>Altura da viga - h (mm)</t>
  </si>
  <si>
    <r>
      <t>Área de aço tracionada - A</t>
    </r>
    <r>
      <rPr>
        <b/>
        <vertAlign val="subscript"/>
        <sz val="10"/>
        <rFont val="Times New Roman"/>
        <family val="1"/>
      </rPr>
      <t>s</t>
    </r>
    <r>
      <rPr>
        <b/>
        <sz val="10"/>
        <rFont val="Times New Roman"/>
        <family val="1"/>
      </rPr>
      <t xml:space="preserve"> (mm</t>
    </r>
    <r>
      <rPr>
        <b/>
        <vertAlign val="superscript"/>
        <sz val="10"/>
        <rFont val="Times New Roman"/>
        <family val="1"/>
      </rPr>
      <t>2</t>
    </r>
    <r>
      <rPr>
        <b/>
        <sz val="10"/>
        <rFont val="Times New Roman"/>
        <family val="1"/>
      </rPr>
      <t>)</t>
    </r>
  </si>
  <si>
    <r>
      <t>Momento fletor - M</t>
    </r>
    <r>
      <rPr>
        <b/>
        <vertAlign val="subscript"/>
        <sz val="10"/>
        <color theme="1"/>
        <rFont val="Times New Roman"/>
        <family val="1"/>
      </rPr>
      <t>s</t>
    </r>
    <r>
      <rPr>
        <b/>
        <sz val="10"/>
        <color theme="1"/>
        <rFont val="Times New Roman"/>
        <family val="1"/>
      </rPr>
      <t xml:space="preserve"> (kNm)</t>
    </r>
  </si>
  <si>
    <t>fib Model Code 2010</t>
  </si>
  <si>
    <t>Eurocode 2</t>
  </si>
  <si>
    <t>NBR 6118 - wk1 - fissuração estabilizada</t>
  </si>
  <si>
    <t>NBR 6118 - wk2 - fissuração não estabilizada</t>
  </si>
  <si>
    <t>Clark (1956)</t>
  </si>
  <si>
    <t>Desayi;Ganesan (1985)</t>
  </si>
  <si>
    <t>Oh; Kang (1987)</t>
  </si>
  <si>
    <t>Caldas (1997)</t>
  </si>
  <si>
    <t>Gergely e Lutz (1968)</t>
  </si>
  <si>
    <t>Equação_15_do artigo de Belarbi e Hsu (1994)</t>
  </si>
  <si>
    <t>Beta conforme Fields e Bischoff (2004)</t>
  </si>
  <si>
    <t>slip de Yuan et al. (2025)</t>
  </si>
  <si>
    <t>slip de Biscaia e Soares (2020)</t>
  </si>
  <si>
    <t>Output: w_exp (mm)</t>
  </si>
  <si>
    <t>fib Model Code 2020 (mm)</t>
  </si>
  <si>
    <t>wexp_menos_wfib2020</t>
  </si>
  <si>
    <t>fib Model Code 2020  com TS variável (mm)</t>
  </si>
  <si>
    <t>wexp_menos_wfib2020TS</t>
  </si>
  <si>
    <t>Viga S200-1.76-20 - Sokolov et al  (2021)</t>
  </si>
  <si>
    <t>Viga S600-0.37-10 - Sokolov et al  (2021)</t>
  </si>
  <si>
    <t>Viga V1 - Oliveira (2007)</t>
  </si>
  <si>
    <t>Viga V2 - Oliveira (2007)</t>
  </si>
  <si>
    <t>Viga T1F000 - Silva Neto (2017)</t>
  </si>
  <si>
    <t>Viga 12-20-00 - Caldentey et al (2013)</t>
  </si>
  <si>
    <t>Viga 25-20-00 - Caldentey et al (2013)</t>
  </si>
  <si>
    <t>Viga 12-20-10 - Caldentey et al (2013)</t>
  </si>
  <si>
    <t>Viga 12-20-30 - Caldentey et al (2013)</t>
  </si>
  <si>
    <t>Viga 12-70-00 - Caldentey et al (2013)</t>
  </si>
  <si>
    <t>Viga 12-70-10 - Caldentey et al (2013)</t>
  </si>
  <si>
    <t>Viga 12-70-30 - Caldentey et al (2013)</t>
  </si>
  <si>
    <t>Viga 25-20-10 - Caldentey et al (2013)</t>
  </si>
  <si>
    <t>Viga 25-20-30 - Caldentey et al (2013)</t>
  </si>
  <si>
    <t>Viga 25-70-00 - Caldentey et al (2013)</t>
  </si>
  <si>
    <t>Viga 25-70-10 - Caldentey et al (2013)</t>
  </si>
  <si>
    <t>Viga 25-70-30 - Caldentey et al (2013)</t>
  </si>
  <si>
    <t>Viga RS1 - Harajlí e Naamam (1985)</t>
  </si>
  <si>
    <t>Viga RS2 - Harajlí e Naamam (1985)</t>
  </si>
  <si>
    <t>Viga RS3 - Harajlí e Naamam (1985)</t>
  </si>
  <si>
    <t>Viga B1-a - Gilbert e Nejadi (2004)</t>
  </si>
  <si>
    <t>Viga B1-b - Gilbert e Nejadi (2004)</t>
  </si>
  <si>
    <t>Viga B2-a - Gilbert e Nejadi (2004)</t>
  </si>
  <si>
    <t>Viga B2-b - Gilbert e Nejadi (2004)</t>
  </si>
  <si>
    <t>Viga B3-a - Gilbert e Nejadi (2004)</t>
  </si>
  <si>
    <t>Viga B3-b - Gilbert e Nejadi (2004)</t>
  </si>
  <si>
    <t>Laje S1-a - Gilbert e Nejadi (2004)</t>
  </si>
  <si>
    <t>Laje S1-b - Gilbert e Nejadi (2004)</t>
  </si>
  <si>
    <t>Laje S2-a - Gilbert e Nejadi (2004)</t>
  </si>
  <si>
    <t>Laje S2-b - Gilbert e Nejadi (2004)</t>
  </si>
  <si>
    <t>Laje S3-a - Gilbert e Nejadi (2004)</t>
  </si>
  <si>
    <t>Laje S3-b - Gilbert e Nejadi (2004)</t>
  </si>
  <si>
    <t>Viga 250-10-1 - Cornelissen (2022)</t>
  </si>
  <si>
    <t>Viga 250-10-2 - Cornelissen (2022)</t>
  </si>
  <si>
    <t>Viga 250-20-2 - Cornelissen (2022)</t>
  </si>
  <si>
    <t>Viga 250-20-3 - Cornelissen (2022)</t>
  </si>
  <si>
    <t>Viga 350-10-1 - Cornelissen (2022)</t>
  </si>
  <si>
    <t>Viga 350-10-2 - Cornelissen (2022)</t>
  </si>
  <si>
    <t>Viga 350-10-3 - Cornelissen (2022)</t>
  </si>
  <si>
    <t>Viga 350-20-1 - Cornelissen (2022)</t>
  </si>
  <si>
    <t>Viga 350-20-2 - Cornelissen (2022)</t>
  </si>
  <si>
    <t>Viga 350-20-3 - Cornelissen (2022)</t>
  </si>
  <si>
    <t>Viga G2 - Makhlouf e Malhas (1996)</t>
  </si>
  <si>
    <t>Viga G3 - Makhlouf e Malhas (1996)</t>
  </si>
  <si>
    <t>Viga C1 - Kumar et al. (2007)</t>
  </si>
  <si>
    <t>Viga C2 - Kumar et al. (2007)</t>
  </si>
  <si>
    <t>Viga C3 - Kumar et al. (2007)</t>
  </si>
  <si>
    <t>Viga CS1 - Kumar et al. (2007)</t>
  </si>
  <si>
    <t>Viga CS2 - Kumar et al. (2007)</t>
  </si>
  <si>
    <t>Viga CS3 - Kumar et al. (2007)</t>
  </si>
  <si>
    <t>Viga B6 - Maghsoudi e Sharifi (2008)</t>
  </si>
  <si>
    <t>Viga F29-2D16-10A - Hong et al (2013)</t>
  </si>
  <si>
    <t>Viga F29-2D16-10B - Hong et al (2013)</t>
  </si>
  <si>
    <t>Viga F29-2D16-10C - Hong et al (2013)</t>
  </si>
  <si>
    <t>Viga F29-2D16-10D - Hong et al (2013)</t>
  </si>
  <si>
    <t>Viga F30-2D13-10 - Hong et al (2013)</t>
  </si>
  <si>
    <t>Viga F30-2D13-20 - Hong et al (2013)</t>
  </si>
  <si>
    <t>Viga F30-2D16-10 - Hong et al (2013)</t>
  </si>
  <si>
    <t>Viga F30-2D16-20 - Hong et al (2013)</t>
  </si>
  <si>
    <t>Viga F30-2D19-10 - Hong et al (2013)</t>
  </si>
  <si>
    <t>Viga F30-2D19-20 - Hong et al (2013)</t>
  </si>
  <si>
    <t>Viga F37-2D16-10 - Hong et al (2013)</t>
  </si>
  <si>
    <t>Viga F37-2D16-20 - Hong et al (2013)</t>
  </si>
  <si>
    <t>Viga F37-2D19-10 - Hong et al (2013)</t>
  </si>
  <si>
    <t>Viga F37-2D19-20 - Hong et al (2013)</t>
  </si>
  <si>
    <t>Viga 15-6-6-1 - Clark (1956)</t>
  </si>
  <si>
    <t>Viga 15-6-6-2 - Clark (1956)</t>
  </si>
  <si>
    <t>Viga 15-6-6-3 - Clark (1956)</t>
  </si>
  <si>
    <t>Viga 15-6-7-1 - Clark (1956)</t>
  </si>
  <si>
    <t>Viga 15-6-7-2 - Clark (1956)</t>
  </si>
  <si>
    <t>Viga 15-6-7-3 - Clark (1956)</t>
  </si>
  <si>
    <t>Viga 15-6-7-4 - Clark (1956)</t>
  </si>
  <si>
    <t>Viga 15-6-7-5 - Clark (1956)</t>
  </si>
  <si>
    <t>Viga 15-6-9-1 - Clark (1956)</t>
  </si>
  <si>
    <t>Viga 15-6-9-2 - Clark (1956)</t>
  </si>
  <si>
    <t>Viga 15-6-9-3 - Clark (1956)</t>
  </si>
  <si>
    <t>Viga 15-6-9-4 - Clark (1956)</t>
  </si>
  <si>
    <t>Viga 15-6-9-5 - Clark (1956)</t>
  </si>
  <si>
    <t>Viga 15-6-10-1 - Clark (1956)</t>
  </si>
  <si>
    <t>Viga 15-6-10-2 - Clark (1956)</t>
  </si>
  <si>
    <t>Viga 23-6-9-1 - Clark (1956)</t>
  </si>
  <si>
    <t>Viga 23-6-9-2 - Clark (1956)</t>
  </si>
  <si>
    <t>Viga 23-6-11-2 - Clark (1956)</t>
  </si>
  <si>
    <t>Viga 23-6-11-3 - Clark (1956)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</si>
</sst>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8" x14ac:knownFonts="1">
    <font>
      <sz val="11"/>
      <color theme="1"/>
      <name val="Aptos Narrow"/>
      <family val="2"/>
      <charset val="1"/>
    </font>
    <font>
      <b/>
      <sz val="10"/>
      <color theme="1"/>
      <name val="Times New Roman"/>
      <family val="1"/>
    </font>
    <font>
      <b/>
      <vertAlign val="subscript"/>
      <sz val="10"/>
      <color theme="1"/>
      <name val="Times New Roman"/>
      <family val="1"/>
    </font>
    <font>
      <b/>
      <sz val="10"/>
      <name val="Times New Roman"/>
      <family val="1"/>
    </font>
    <font>
      <b/>
      <vertAlign val="subscript"/>
      <sz val="10"/>
      <name val="Times New Roman"/>
      <family val="1"/>
    </font>
    <font>
      <b/>
      <vertAlign val="superscript"/>
      <sz val="10"/>
      <name val="Times New Roman"/>
      <family val="1"/>
    </font>
    <font>
      <sz val="10"/>
      <color theme="1"/>
      <name val="Times New Roman"/>
      <family val="1"/>
    </font>
    <font>
      <sz val="11"/>
      <color theme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EC305-A047-4FB1-BAB4-1DED9F1D20DE}">
  <dimension ref="A1:AD345"/>
  <sheetViews>
    <sheetView tabSelected="1" topLeftCell="J1" zoomScale="60" zoomScaleNormal="60" workbookViewId="0">
      <selection activeCell="Q23" sqref="Q23"/>
    </sheetView>
  </sheetViews>
  <sheetFormatPr defaultColWidth="8.5703125" defaultRowHeight="12.75" x14ac:dyDescent="0.2"/>
  <cols>
    <col min="1" max="1" width="32.85546875" style="9" customWidth="1"/>
    <col min="2" max="2" width="30.42578125" style="10" customWidth="1"/>
    <col min="3" max="4" width="30.42578125" style="11" customWidth="1"/>
    <col min="5" max="5" width="30.42578125" style="10" customWidth="1"/>
    <col min="6" max="6" width="30.42578125" style="12" customWidth="1"/>
    <col min="7" max="10" width="30.42578125" style="10" customWidth="1"/>
    <col min="11" max="11" width="41.85546875" style="11" customWidth="1"/>
    <col min="12" max="12" width="30.42578125" style="15" customWidth="1"/>
    <col min="13" max="13" width="30.42578125" style="9" customWidth="1"/>
    <col min="14" max="14" width="31.42578125" style="9" customWidth="1"/>
    <col min="15" max="25" width="30.42578125" style="9" customWidth="1"/>
    <col min="26" max="28" width="21.85546875" style="12" customWidth="1"/>
    <col min="29" max="30" width="21.85546875" style="14" customWidth="1"/>
    <col min="31" max="16384" width="8.5703125" style="8"/>
  </cols>
  <sheetData>
    <row r="1" spans="1:30" ht="16.5" x14ac:dyDescent="0.2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</row>
    <row r="2" spans="1:30" ht="15" x14ac:dyDescent="0.2">
      <c r="A2" s="9" t="s">
        <v>30</v>
      </c>
      <c r="B2" s="10">
        <v>20</v>
      </c>
      <c r="C2" s="11">
        <v>500</v>
      </c>
      <c r="D2" s="11">
        <v>2</v>
      </c>
      <c r="E2" s="10">
        <v>126</v>
      </c>
      <c r="F2" s="12">
        <v>4.1203405239014401</v>
      </c>
      <c r="G2" s="10">
        <v>25</v>
      </c>
      <c r="H2" s="10">
        <v>39</v>
      </c>
      <c r="I2" s="9">
        <v>216</v>
      </c>
      <c r="J2" s="10">
        <v>201</v>
      </c>
      <c r="K2" s="11">
        <v>628</v>
      </c>
      <c r="L2" s="12">
        <v>20.8</v>
      </c>
      <c r="M2" s="9">
        <v>0.12573406896410499</v>
      </c>
      <c r="N2" s="9">
        <v>0.12529165250414601</v>
      </c>
      <c r="O2" s="9">
        <v>0.26246778690532802</v>
      </c>
      <c r="P2" s="9">
        <v>0.157379678407401</v>
      </c>
      <c r="Q2" s="9">
        <v>0.181006163923848</v>
      </c>
      <c r="R2" s="9">
        <v>0.31268420853835599</v>
      </c>
      <c r="S2" s="13">
        <v>0.24601260205495376</v>
      </c>
      <c r="T2" s="9">
        <v>0.12999764117006199</v>
      </c>
      <c r="U2" s="9">
        <v>0.24152794750458401</v>
      </c>
      <c r="V2" s="9">
        <v>0.149956191699532</v>
      </c>
      <c r="W2" s="9">
        <v>0.116566113972405</v>
      </c>
      <c r="X2" s="9">
        <v>0.109685613842397</v>
      </c>
      <c r="Y2" s="9">
        <v>8.2006564618842898E-2</v>
      </c>
      <c r="Z2" s="12">
        <v>0.16</v>
      </c>
      <c r="AA2" s="12">
        <v>8.6159382513197699E-2</v>
      </c>
      <c r="AB2" s="12">
        <f>Z2-AA2</f>
        <v>7.3840617486802304E-2</v>
      </c>
      <c r="AC2" s="14">
        <v>0.102129723973678</v>
      </c>
      <c r="AD2" s="14">
        <f>Z2-AC2</f>
        <v>5.7870276026321998E-2</v>
      </c>
    </row>
    <row r="3" spans="1:30" ht="15" x14ac:dyDescent="0.2">
      <c r="B3" s="10">
        <v>20</v>
      </c>
      <c r="C3" s="11">
        <v>500</v>
      </c>
      <c r="D3" s="11">
        <v>2</v>
      </c>
      <c r="E3" s="10">
        <v>126</v>
      </c>
      <c r="F3" s="12">
        <v>4.1203405239014401</v>
      </c>
      <c r="G3" s="10">
        <v>25</v>
      </c>
      <c r="H3" s="10">
        <v>39</v>
      </c>
      <c r="I3" s="9">
        <v>216</v>
      </c>
      <c r="J3" s="10">
        <v>201</v>
      </c>
      <c r="K3" s="11">
        <v>628</v>
      </c>
      <c r="L3" s="12">
        <v>27.3</v>
      </c>
      <c r="M3" s="9">
        <v>0.176982162918118</v>
      </c>
      <c r="N3" s="9">
        <v>0.17635942142379499</v>
      </c>
      <c r="O3" s="9">
        <v>0.34448897031324299</v>
      </c>
      <c r="P3" s="9">
        <v>0.27111108663150002</v>
      </c>
      <c r="Q3" s="9">
        <v>0.24436254780391001</v>
      </c>
      <c r="R3" s="9">
        <v>0.41039802370659201</v>
      </c>
      <c r="S3" s="13">
        <v>0.3389237669542367</v>
      </c>
      <c r="T3" s="9">
        <v>0.174745555735067</v>
      </c>
      <c r="U3" s="9">
        <v>0.31700543109976598</v>
      </c>
      <c r="V3" s="9">
        <v>0.20434804118111699</v>
      </c>
      <c r="W3" s="9">
        <v>0.19728794885442699</v>
      </c>
      <c r="X3" s="9">
        <v>0.193326264807891</v>
      </c>
      <c r="Y3" s="9">
        <v>0.15626605743881</v>
      </c>
      <c r="Z3" s="12">
        <v>0.23</v>
      </c>
      <c r="AA3" s="12">
        <v>0.14712654185263499</v>
      </c>
      <c r="AB3" s="12">
        <f t="shared" ref="AB3:AB66" si="0">Z3-AA3</f>
        <v>8.287345814736502E-2</v>
      </c>
      <c r="AC3" s="14">
        <v>0.190782516555556</v>
      </c>
      <c r="AD3" s="14">
        <f t="shared" ref="AD3:AD66" si="1">Z3-AC3</f>
        <v>3.9217483444444007E-2</v>
      </c>
    </row>
    <row r="4" spans="1:30" ht="15" x14ac:dyDescent="0.2">
      <c r="B4" s="10">
        <v>20</v>
      </c>
      <c r="C4" s="11">
        <v>500</v>
      </c>
      <c r="D4" s="11">
        <v>2</v>
      </c>
      <c r="E4" s="10">
        <v>126</v>
      </c>
      <c r="F4" s="12">
        <v>4.1203405239014401</v>
      </c>
      <c r="G4" s="10">
        <v>25</v>
      </c>
      <c r="H4" s="10">
        <v>39</v>
      </c>
      <c r="I4" s="9">
        <v>216</v>
      </c>
      <c r="J4" s="10">
        <v>201</v>
      </c>
      <c r="K4" s="11">
        <v>628</v>
      </c>
      <c r="L4" s="12">
        <v>28.2</v>
      </c>
      <c r="M4" s="9">
        <v>0.184078052850212</v>
      </c>
      <c r="N4" s="9">
        <v>0.18343034327420801</v>
      </c>
      <c r="O4" s="9">
        <v>0.35584574955433901</v>
      </c>
      <c r="P4" s="9">
        <v>0.289281193270853</v>
      </c>
      <c r="Q4" s="9">
        <v>0.25313497018730302</v>
      </c>
      <c r="R4" s="9">
        <v>0.42392762888373298</v>
      </c>
      <c r="S4" s="13">
        <v>0.35178838978644511</v>
      </c>
      <c r="T4" s="9">
        <v>0.180941420828683</v>
      </c>
      <c r="U4" s="9">
        <v>0.32745615959756103</v>
      </c>
      <c r="V4" s="9">
        <v>0.21205204503175601</v>
      </c>
      <c r="W4" s="9">
        <v>0.20804096180697601</v>
      </c>
      <c r="X4" s="9">
        <v>0.20530090968479101</v>
      </c>
      <c r="Y4" s="9">
        <v>0.16709573189251201</v>
      </c>
      <c r="Z4" s="12">
        <v>0.24</v>
      </c>
      <c r="AA4" s="12">
        <v>0.15556814853040299</v>
      </c>
      <c r="AB4" s="12">
        <f t="shared" si="0"/>
        <v>8.4431851469597002E-2</v>
      </c>
      <c r="AC4" s="14">
        <v>0.20305751860535501</v>
      </c>
      <c r="AD4" s="14">
        <f t="shared" si="1"/>
        <v>3.6942481394644983E-2</v>
      </c>
    </row>
    <row r="5" spans="1:30" ht="15" x14ac:dyDescent="0.2">
      <c r="B5" s="10">
        <v>20</v>
      </c>
      <c r="C5" s="11">
        <v>500</v>
      </c>
      <c r="D5" s="11">
        <v>2</v>
      </c>
      <c r="E5" s="10">
        <v>126</v>
      </c>
      <c r="F5" s="12">
        <v>4.1203405239014401</v>
      </c>
      <c r="G5" s="10">
        <v>25</v>
      </c>
      <c r="H5" s="10">
        <v>39</v>
      </c>
      <c r="I5" s="9">
        <v>216</v>
      </c>
      <c r="J5" s="10">
        <v>201</v>
      </c>
      <c r="K5" s="11">
        <v>628</v>
      </c>
      <c r="L5" s="12">
        <v>32.6</v>
      </c>
      <c r="M5" s="9">
        <v>0.21876907029600601</v>
      </c>
      <c r="N5" s="9">
        <v>0.21799929454289299</v>
      </c>
      <c r="O5" s="9">
        <v>0.41136778139969699</v>
      </c>
      <c r="P5" s="9">
        <v>0.38659584648726403</v>
      </c>
      <c r="Q5" s="9">
        <v>0.29602236850611502</v>
      </c>
      <c r="R5" s="9">
        <v>0.49007236530530801</v>
      </c>
      <c r="S5" s="13">
        <v>0.41468210141057527</v>
      </c>
      <c r="T5" s="9">
        <v>0.21123231684191701</v>
      </c>
      <c r="U5" s="9">
        <v>0.37854861003122298</v>
      </c>
      <c r="V5" s="9">
        <v>0.25013945817228</v>
      </c>
      <c r="W5" s="9">
        <v>0.25936756931101901</v>
      </c>
      <c r="X5" s="9">
        <v>0.26522191984242299</v>
      </c>
      <c r="Y5" s="9">
        <v>0.22195819712162901</v>
      </c>
      <c r="Z5" s="12">
        <v>0.27</v>
      </c>
      <c r="AA5" s="12">
        <v>0.19683822562171399</v>
      </c>
      <c r="AB5" s="12">
        <f t="shared" si="0"/>
        <v>7.3161774378286026E-2</v>
      </c>
      <c r="AC5" s="14">
        <v>0.263068639737704</v>
      </c>
      <c r="AD5" s="14">
        <f t="shared" si="1"/>
        <v>6.9313602622960158E-3</v>
      </c>
    </row>
    <row r="6" spans="1:30" ht="15" x14ac:dyDescent="0.2">
      <c r="B6" s="10">
        <v>20</v>
      </c>
      <c r="C6" s="11">
        <v>500</v>
      </c>
      <c r="D6" s="11">
        <v>2</v>
      </c>
      <c r="E6" s="10">
        <v>126</v>
      </c>
      <c r="F6" s="12">
        <v>4.1203405239014401</v>
      </c>
      <c r="G6" s="10">
        <v>25</v>
      </c>
      <c r="H6" s="10">
        <v>39</v>
      </c>
      <c r="I6" s="9">
        <v>216</v>
      </c>
      <c r="J6" s="10">
        <v>201</v>
      </c>
      <c r="K6" s="11">
        <v>628</v>
      </c>
      <c r="L6" s="12">
        <v>41.2</v>
      </c>
      <c r="M6" s="9">
        <v>0.28657424075823801</v>
      </c>
      <c r="N6" s="9">
        <v>0.28556588111350401</v>
      </c>
      <c r="O6" s="9">
        <v>0.51988811637016896</v>
      </c>
      <c r="P6" s="9">
        <v>0.61747078706513403</v>
      </c>
      <c r="Q6" s="9">
        <v>0.37984773794742899</v>
      </c>
      <c r="R6" s="9">
        <v>0.61935525922020496</v>
      </c>
      <c r="S6" s="13">
        <v>0.53761071958501128</v>
      </c>
      <c r="T6" s="9">
        <v>0.270437249958693</v>
      </c>
      <c r="U6" s="9">
        <v>0.47841112678792602</v>
      </c>
      <c r="V6" s="9">
        <v>0.311870443287798</v>
      </c>
      <c r="W6" s="9">
        <v>0.35480967272614</v>
      </c>
      <c r="X6" s="9">
        <v>0.38894806873238702</v>
      </c>
      <c r="Y6" s="9">
        <v>0.33838166971153699</v>
      </c>
      <c r="Z6" s="12">
        <v>0.35</v>
      </c>
      <c r="AA6" s="12">
        <v>0.27750246720927602</v>
      </c>
      <c r="AB6" s="12">
        <f t="shared" si="0"/>
        <v>7.2497532790723962E-2</v>
      </c>
      <c r="AC6" s="14">
        <v>0.38036310376911198</v>
      </c>
      <c r="AD6" s="14">
        <f t="shared" si="1"/>
        <v>-3.0363103769111999E-2</v>
      </c>
    </row>
    <row r="7" spans="1:30" ht="15" x14ac:dyDescent="0.2">
      <c r="B7" s="10">
        <v>20</v>
      </c>
      <c r="C7" s="11">
        <v>500</v>
      </c>
      <c r="D7" s="11">
        <v>2</v>
      </c>
      <c r="E7" s="10">
        <v>126</v>
      </c>
      <c r="F7" s="12">
        <v>4.1203405239014401</v>
      </c>
      <c r="G7" s="10">
        <v>25</v>
      </c>
      <c r="H7" s="10">
        <v>39</v>
      </c>
      <c r="I7" s="9">
        <v>216</v>
      </c>
      <c r="J7" s="10">
        <v>201</v>
      </c>
      <c r="K7" s="11">
        <v>628</v>
      </c>
      <c r="L7" s="12">
        <v>44.9</v>
      </c>
      <c r="M7" s="9">
        <v>0.315463454002951</v>
      </c>
      <c r="N7" s="9">
        <v>0.31435344280458499</v>
      </c>
      <c r="O7" s="9">
        <v>0.53225468628993</v>
      </c>
      <c r="P7" s="9">
        <v>0.64719569928692999</v>
      </c>
      <c r="Q7" s="9">
        <v>0.41556255079427201</v>
      </c>
      <c r="R7" s="9">
        <v>0.67443780035593404</v>
      </c>
      <c r="S7" s="13">
        <v>0.58998594466164789</v>
      </c>
      <c r="T7" s="9">
        <v>0.29566222802879699</v>
      </c>
      <c r="U7" s="9">
        <v>0.52095876028064003</v>
      </c>
      <c r="V7" s="9">
        <v>0.311870443287798</v>
      </c>
      <c r="W7" s="9">
        <v>0.39394405780852898</v>
      </c>
      <c r="X7" s="9">
        <v>0.444319066782003</v>
      </c>
      <c r="Y7" s="9">
        <v>0.39713262699758101</v>
      </c>
      <c r="Z7" s="12">
        <v>0.4</v>
      </c>
      <c r="AA7" s="12">
        <v>0.311870443287798</v>
      </c>
      <c r="AB7" s="12">
        <f t="shared" si="0"/>
        <v>8.8129556712202017E-2</v>
      </c>
      <c r="AC7" s="14">
        <v>0.420805970660799</v>
      </c>
      <c r="AD7" s="14">
        <f t="shared" si="1"/>
        <v>-2.0805970660798978E-2</v>
      </c>
    </row>
    <row r="8" spans="1:30" ht="15" x14ac:dyDescent="0.2">
      <c r="A8" s="9" t="s">
        <v>31</v>
      </c>
      <c r="B8" s="10">
        <v>10</v>
      </c>
      <c r="C8" s="11">
        <v>500</v>
      </c>
      <c r="D8" s="11">
        <v>8</v>
      </c>
      <c r="E8" s="10">
        <v>87.7</v>
      </c>
      <c r="F8" s="12">
        <v>4.1311267633290099</v>
      </c>
      <c r="G8" s="10">
        <v>25</v>
      </c>
      <c r="H8" s="10">
        <v>53</v>
      </c>
      <c r="I8" s="9">
        <v>308</v>
      </c>
      <c r="J8" s="10">
        <v>604</v>
      </c>
      <c r="K8" s="11">
        <v>628</v>
      </c>
      <c r="L8" s="12">
        <v>105</v>
      </c>
      <c r="M8" s="9">
        <v>0.17110696370813</v>
      </c>
      <c r="N8" s="9">
        <v>0.189366188849765</v>
      </c>
      <c r="O8" s="9">
        <v>0.24321379818370001</v>
      </c>
      <c r="P8" s="9">
        <v>0.144849533368963</v>
      </c>
      <c r="Q8" s="9">
        <v>0.181687535010044</v>
      </c>
      <c r="R8" s="9">
        <v>0.26529737942563397</v>
      </c>
      <c r="S8" s="13">
        <v>0.20975786240240399</v>
      </c>
      <c r="T8" s="9">
        <v>0.25496881340038502</v>
      </c>
      <c r="U8" s="9">
        <v>0.18984252639749399</v>
      </c>
      <c r="V8" s="9">
        <v>0.23225536052908399</v>
      </c>
      <c r="W8" s="9">
        <v>0.22651284178026701</v>
      </c>
      <c r="X8" s="9">
        <v>0.148120891103246</v>
      </c>
      <c r="Y8" s="9">
        <v>0.130592528876043</v>
      </c>
      <c r="Z8" s="12">
        <v>0.16</v>
      </c>
      <c r="AA8" s="12">
        <v>0.135806726806593</v>
      </c>
      <c r="AB8" s="12">
        <f t="shared" si="0"/>
        <v>2.4193273193407E-2</v>
      </c>
      <c r="AC8" s="14">
        <v>0.22051936594500701</v>
      </c>
      <c r="AD8" s="14">
        <f t="shared" si="1"/>
        <v>-6.0519365945007009E-2</v>
      </c>
    </row>
    <row r="9" spans="1:30" ht="15" x14ac:dyDescent="0.2">
      <c r="B9" s="10">
        <v>10</v>
      </c>
      <c r="C9" s="11">
        <v>500</v>
      </c>
      <c r="D9" s="11">
        <v>8</v>
      </c>
      <c r="E9" s="10">
        <v>87.7</v>
      </c>
      <c r="F9" s="12">
        <v>4.1311267633290099</v>
      </c>
      <c r="G9" s="10">
        <v>25</v>
      </c>
      <c r="H9" s="10">
        <v>53</v>
      </c>
      <c r="I9" s="9">
        <v>308</v>
      </c>
      <c r="J9" s="10">
        <v>604</v>
      </c>
      <c r="K9" s="11">
        <v>628</v>
      </c>
      <c r="L9" s="12">
        <v>119.6</v>
      </c>
      <c r="M9" s="9">
        <v>0.22285815917348001</v>
      </c>
      <c r="N9" s="9">
        <v>0.215697106537447</v>
      </c>
      <c r="O9" s="9">
        <v>0.277032097740672</v>
      </c>
      <c r="P9" s="9">
        <v>0.187932054533786</v>
      </c>
      <c r="Q9" s="9">
        <v>0.219736483612782</v>
      </c>
      <c r="R9" s="9">
        <v>0.302186348374341</v>
      </c>
      <c r="S9" s="13">
        <v>0.24304781323680189</v>
      </c>
      <c r="T9" s="9">
        <v>0.29679813828389801</v>
      </c>
      <c r="U9" s="9">
        <v>0.21623967768704999</v>
      </c>
      <c r="V9" s="9">
        <v>0.271508577910959</v>
      </c>
      <c r="W9" s="9">
        <v>0.28561830519105902</v>
      </c>
      <c r="X9" s="9">
        <v>0.19719617246717799</v>
      </c>
      <c r="Y9" s="9">
        <v>0.179729227252511</v>
      </c>
      <c r="Z9" s="12">
        <v>0.18</v>
      </c>
      <c r="AA9" s="12">
        <v>0.179954155396124</v>
      </c>
      <c r="AB9" s="12">
        <f t="shared" si="0"/>
        <v>4.5844603875994094E-5</v>
      </c>
      <c r="AC9" s="14">
        <v>0.293288436360923</v>
      </c>
      <c r="AD9" s="14">
        <f t="shared" si="1"/>
        <v>-0.11328843636092301</v>
      </c>
    </row>
    <row r="10" spans="1:30" ht="15" x14ac:dyDescent="0.2">
      <c r="B10" s="10">
        <v>10</v>
      </c>
      <c r="C10" s="11">
        <v>500</v>
      </c>
      <c r="D10" s="11">
        <v>8</v>
      </c>
      <c r="E10" s="10">
        <v>87.7</v>
      </c>
      <c r="F10" s="12">
        <v>4.1311267633290099</v>
      </c>
      <c r="G10" s="10">
        <v>25</v>
      </c>
      <c r="H10" s="10">
        <v>53</v>
      </c>
      <c r="I10" s="9">
        <v>308</v>
      </c>
      <c r="J10" s="10">
        <v>604</v>
      </c>
      <c r="K10" s="11">
        <v>628</v>
      </c>
      <c r="L10" s="12">
        <v>174.3</v>
      </c>
      <c r="M10" s="9">
        <v>0.37520201721244401</v>
      </c>
      <c r="N10" s="9">
        <v>0.318170216250936</v>
      </c>
      <c r="O10" s="9">
        <v>0.363048600827174</v>
      </c>
      <c r="P10" s="9">
        <v>0.32275294604101801</v>
      </c>
      <c r="Q10" s="9">
        <v>0.33174401449868102</v>
      </c>
      <c r="R10" s="9">
        <v>0.41077916054402902</v>
      </c>
      <c r="S10" s="13">
        <v>0.34104592706656295</v>
      </c>
      <c r="T10" s="9">
        <v>0.43772597472228197</v>
      </c>
      <c r="U10" s="9">
        <v>0.30517473532265998</v>
      </c>
      <c r="V10" s="9">
        <v>0.309914237155623</v>
      </c>
      <c r="W10" s="9">
        <v>0.44679834263301199</v>
      </c>
      <c r="X10" s="9">
        <v>0.344296754142696</v>
      </c>
      <c r="Y10" s="9">
        <v>0.332475023090406</v>
      </c>
      <c r="Z10" s="12">
        <v>0.26</v>
      </c>
      <c r="AA10" s="12">
        <v>0.309914237155623</v>
      </c>
      <c r="AB10" s="12">
        <f t="shared" si="0"/>
        <v>-4.9914237155622987E-2</v>
      </c>
      <c r="AC10" s="14">
        <v>0.491606140616201</v>
      </c>
      <c r="AD10" s="14">
        <f t="shared" si="1"/>
        <v>-0.231606140616201</v>
      </c>
    </row>
    <row r="11" spans="1:30" ht="15" x14ac:dyDescent="0.2">
      <c r="A11" s="9" t="s">
        <v>32</v>
      </c>
      <c r="B11" s="10">
        <v>10</v>
      </c>
      <c r="C11" s="11">
        <v>628</v>
      </c>
      <c r="D11" s="11">
        <v>4</v>
      </c>
      <c r="E11" s="10">
        <v>32.466666666666697</v>
      </c>
      <c r="F11" s="12">
        <v>3.262</v>
      </c>
      <c r="G11" s="10">
        <v>25</v>
      </c>
      <c r="H11" s="10">
        <v>36</v>
      </c>
      <c r="I11" s="9">
        <v>200</v>
      </c>
      <c r="J11" s="10">
        <v>600</v>
      </c>
      <c r="K11" s="11">
        <v>314</v>
      </c>
      <c r="L11" s="12">
        <v>47.625</v>
      </c>
      <c r="M11" s="9">
        <v>0.16007091811290799</v>
      </c>
      <c r="N11" s="9">
        <v>0.14859328265570901</v>
      </c>
      <c r="O11" s="9">
        <v>0.18440399789461201</v>
      </c>
      <c r="P11" s="9">
        <v>0.13403771715747001</v>
      </c>
      <c r="Q11" s="9">
        <v>0.106017284091855</v>
      </c>
      <c r="R11" s="9">
        <v>0.16892962653245999</v>
      </c>
      <c r="S11" s="13">
        <v>0.17597596443391947</v>
      </c>
      <c r="T11" s="9">
        <v>0.21176098535956001</v>
      </c>
      <c r="U11" s="9">
        <v>0.17087505273609899</v>
      </c>
      <c r="V11" s="9">
        <v>0.190702496058795</v>
      </c>
      <c r="W11" s="9">
        <v>0.17787186850636399</v>
      </c>
      <c r="X11" s="9">
        <v>0.15522032860195301</v>
      </c>
      <c r="Y11" s="9">
        <v>0.14312778760291101</v>
      </c>
      <c r="Z11" s="12">
        <v>0.16</v>
      </c>
      <c r="AA11" s="12">
        <v>0.13868029025440801</v>
      </c>
      <c r="AB11" s="12">
        <f t="shared" si="0"/>
        <v>2.1319709745591997E-2</v>
      </c>
      <c r="AC11" s="14">
        <v>0.16724728494892799</v>
      </c>
      <c r="AD11" s="14">
        <f t="shared" si="1"/>
        <v>-7.2472849489279845E-3</v>
      </c>
    </row>
    <row r="12" spans="1:30" ht="15" x14ac:dyDescent="0.2">
      <c r="B12" s="10">
        <v>10</v>
      </c>
      <c r="C12" s="11">
        <v>628</v>
      </c>
      <c r="D12" s="11">
        <v>4</v>
      </c>
      <c r="E12" s="10">
        <v>32.466666666666697</v>
      </c>
      <c r="F12" s="12">
        <v>3.262</v>
      </c>
      <c r="G12" s="10">
        <v>25</v>
      </c>
      <c r="H12" s="10">
        <v>36</v>
      </c>
      <c r="I12" s="9">
        <v>200</v>
      </c>
      <c r="J12" s="10">
        <v>600</v>
      </c>
      <c r="K12" s="11">
        <v>314</v>
      </c>
      <c r="L12" s="12">
        <v>54.3</v>
      </c>
      <c r="M12" s="9">
        <v>0.199877121284813</v>
      </c>
      <c r="N12" s="9">
        <v>0.17429163285246499</v>
      </c>
      <c r="O12" s="9">
        <v>0.21024959759952699</v>
      </c>
      <c r="P12" s="9">
        <v>0.174243547470355</v>
      </c>
      <c r="Q12" s="9">
        <v>0.13588175169896299</v>
      </c>
      <c r="R12" s="9">
        <v>0.19260637733779701</v>
      </c>
      <c r="S12" s="13">
        <v>0.20490244342682506</v>
      </c>
      <c r="T12" s="9">
        <v>0.24668620966237301</v>
      </c>
      <c r="U12" s="9">
        <v>0.194824469576277</v>
      </c>
      <c r="V12" s="9">
        <v>0.221492056589981</v>
      </c>
      <c r="W12" s="9">
        <v>0.21990122075795801</v>
      </c>
      <c r="X12" s="9">
        <v>0.19386067036905399</v>
      </c>
      <c r="Y12" s="9">
        <v>0.18158135223222199</v>
      </c>
      <c r="Z12" s="12">
        <v>0.2</v>
      </c>
      <c r="AA12" s="12">
        <v>0.17212891101716901</v>
      </c>
      <c r="AB12" s="12">
        <f t="shared" si="0"/>
        <v>2.7871088982830999E-2</v>
      </c>
      <c r="AC12" s="14">
        <v>0.214040810849146</v>
      </c>
      <c r="AD12" s="14">
        <f t="shared" si="1"/>
        <v>-1.404081084914599E-2</v>
      </c>
    </row>
    <row r="13" spans="1:30" ht="15" x14ac:dyDescent="0.2">
      <c r="B13" s="10">
        <v>10</v>
      </c>
      <c r="C13" s="11">
        <v>628</v>
      </c>
      <c r="D13" s="11">
        <v>4</v>
      </c>
      <c r="E13" s="10">
        <v>32.466666666666697</v>
      </c>
      <c r="F13" s="12">
        <v>3.262</v>
      </c>
      <c r="G13" s="10">
        <v>25</v>
      </c>
      <c r="H13" s="10">
        <v>36</v>
      </c>
      <c r="I13" s="9">
        <v>200</v>
      </c>
      <c r="J13" s="10">
        <v>600</v>
      </c>
      <c r="K13" s="11">
        <v>314</v>
      </c>
      <c r="L13" s="12">
        <v>61.424999999999997</v>
      </c>
      <c r="M13" s="9">
        <v>0.242366888715498</v>
      </c>
      <c r="N13" s="9">
        <v>0.211342451362418</v>
      </c>
      <c r="O13" s="9">
        <v>0.23783759728454701</v>
      </c>
      <c r="P13" s="9">
        <v>0.22297048347265599</v>
      </c>
      <c r="Q13" s="9">
        <v>0.167759554200933</v>
      </c>
      <c r="R13" s="9">
        <v>0.21787931359068499</v>
      </c>
      <c r="S13" s="13">
        <v>0.23577902212711754</v>
      </c>
      <c r="T13" s="9">
        <v>0.28396594346874698</v>
      </c>
      <c r="U13" s="9">
        <v>0.220388453843882</v>
      </c>
      <c r="V13" s="9">
        <v>0.254820249615275</v>
      </c>
      <c r="W13" s="9">
        <v>0.26343171086443701</v>
      </c>
      <c r="X13" s="9">
        <v>0.235621601015159</v>
      </c>
      <c r="Y13" s="9">
        <v>0.22381591731393799</v>
      </c>
      <c r="Z13" s="12">
        <v>0.2</v>
      </c>
      <c r="AA13" s="12">
        <v>0.20783249497741799</v>
      </c>
      <c r="AB13" s="12">
        <f t="shared" si="0"/>
        <v>-7.8324949774179753E-3</v>
      </c>
      <c r="AC13" s="14">
        <v>0.26398895647297399</v>
      </c>
      <c r="AD13" s="14">
        <f t="shared" si="1"/>
        <v>-6.3988956472973979E-2</v>
      </c>
    </row>
    <row r="14" spans="1:30" ht="15" x14ac:dyDescent="0.2">
      <c r="B14" s="10">
        <v>10</v>
      </c>
      <c r="C14" s="11">
        <v>628</v>
      </c>
      <c r="D14" s="11">
        <v>4</v>
      </c>
      <c r="E14" s="10">
        <v>32.466666666666697</v>
      </c>
      <c r="F14" s="12">
        <v>3.262</v>
      </c>
      <c r="G14" s="10">
        <v>25</v>
      </c>
      <c r="H14" s="10">
        <v>36</v>
      </c>
      <c r="I14" s="9">
        <v>200</v>
      </c>
      <c r="J14" s="10">
        <v>600</v>
      </c>
      <c r="K14" s="11">
        <v>314</v>
      </c>
      <c r="L14" s="12">
        <v>68.625</v>
      </c>
      <c r="M14" s="9">
        <v>0.28530391685598</v>
      </c>
      <c r="N14" s="9">
        <v>0.24878327848826601</v>
      </c>
      <c r="O14" s="9">
        <v>0.26571599696625298</v>
      </c>
      <c r="P14" s="9">
        <v>0.27830548142392703</v>
      </c>
      <c r="Q14" s="9">
        <v>0.19997291251871199</v>
      </c>
      <c r="R14" s="9">
        <v>0.24341828075149699</v>
      </c>
      <c r="S14" s="13">
        <v>0.26698061744530777</v>
      </c>
      <c r="T14" s="9">
        <v>0.32163809552571299</v>
      </c>
      <c r="U14" s="9">
        <v>0.24622153268272501</v>
      </c>
      <c r="V14" s="9">
        <v>0.28886191848308501</v>
      </c>
      <c r="W14" s="9">
        <v>0.30622884838300801</v>
      </c>
      <c r="X14" s="9">
        <v>0.27836299256323399</v>
      </c>
      <c r="Y14" s="9">
        <v>0.26774188935436299</v>
      </c>
      <c r="Z14" s="12">
        <v>0.24</v>
      </c>
      <c r="AA14" s="12">
        <v>0.243911906137249</v>
      </c>
      <c r="AB14" s="12">
        <f t="shared" si="0"/>
        <v>-3.9119061372490105E-3</v>
      </c>
      <c r="AC14" s="14">
        <v>0.31446287205073697</v>
      </c>
      <c r="AD14" s="14">
        <f t="shared" si="1"/>
        <v>-7.4462872050736983E-2</v>
      </c>
    </row>
    <row r="15" spans="1:30" ht="15" x14ac:dyDescent="0.2">
      <c r="B15" s="10">
        <v>10</v>
      </c>
      <c r="C15" s="11">
        <v>628</v>
      </c>
      <c r="D15" s="11">
        <v>4</v>
      </c>
      <c r="E15" s="10">
        <v>32.466666666666697</v>
      </c>
      <c r="F15" s="12">
        <v>3.262</v>
      </c>
      <c r="G15" s="10">
        <v>25</v>
      </c>
      <c r="H15" s="10">
        <v>36</v>
      </c>
      <c r="I15" s="9">
        <v>200</v>
      </c>
      <c r="J15" s="10">
        <v>600</v>
      </c>
      <c r="K15" s="11">
        <v>314</v>
      </c>
      <c r="L15" s="12">
        <v>73.275000000000006</v>
      </c>
      <c r="M15" s="9">
        <v>0.31303408086337497</v>
      </c>
      <c r="N15" s="9">
        <v>0.27296381267371</v>
      </c>
      <c r="O15" s="9">
        <v>0.28372079676068701</v>
      </c>
      <c r="P15" s="9">
        <v>0.31729899713708898</v>
      </c>
      <c r="Q15" s="9">
        <v>0.22077737309894499</v>
      </c>
      <c r="R15" s="9">
        <v>0.25991219704285601</v>
      </c>
      <c r="S15" s="13">
        <v>0.28713164775497241</v>
      </c>
      <c r="T15" s="9">
        <v>0.34596802706250501</v>
      </c>
      <c r="U15" s="9">
        <v>0.26290539609947899</v>
      </c>
      <c r="V15" s="9">
        <v>0.31099971222279998</v>
      </c>
      <c r="W15" s="9">
        <v>0.33331793602861398</v>
      </c>
      <c r="X15" s="9">
        <v>0.30625576865263598</v>
      </c>
      <c r="Y15" s="9">
        <v>0.29677686606404502</v>
      </c>
      <c r="Z15" s="12">
        <v>0.3</v>
      </c>
      <c r="AA15" s="12">
        <v>0.26721319251130699</v>
      </c>
      <c r="AB15" s="12">
        <f t="shared" si="0"/>
        <v>3.2786807488693004E-2</v>
      </c>
      <c r="AC15" s="14">
        <v>0.34706060919470899</v>
      </c>
      <c r="AD15" s="14">
        <f t="shared" si="1"/>
        <v>-4.7060609194709002E-2</v>
      </c>
    </row>
    <row r="16" spans="1:30" ht="15" x14ac:dyDescent="0.2">
      <c r="B16" s="10">
        <v>10</v>
      </c>
      <c r="C16" s="11">
        <v>628</v>
      </c>
      <c r="D16" s="11">
        <v>4</v>
      </c>
      <c r="E16" s="10">
        <v>32.466666666666697</v>
      </c>
      <c r="F16" s="12">
        <v>3.262</v>
      </c>
      <c r="G16" s="10">
        <v>25</v>
      </c>
      <c r="H16" s="10">
        <v>36</v>
      </c>
      <c r="I16" s="9">
        <v>200</v>
      </c>
      <c r="J16" s="10">
        <v>600</v>
      </c>
      <c r="K16" s="11">
        <v>314</v>
      </c>
      <c r="L16" s="12">
        <v>83.25</v>
      </c>
      <c r="M16" s="9">
        <v>0.37251975526633402</v>
      </c>
      <c r="N16" s="9">
        <v>0.324834958587645</v>
      </c>
      <c r="O16" s="9">
        <v>0.322343996319716</v>
      </c>
      <c r="P16" s="9">
        <v>0.40956753998318202</v>
      </c>
      <c r="Q16" s="9">
        <v>0.26540629660170201</v>
      </c>
      <c r="R16" s="9">
        <v>0.29529430779689803</v>
      </c>
      <c r="S16" s="13">
        <v>0.33035885793538172</v>
      </c>
      <c r="T16" s="9">
        <v>0.39815965439142798</v>
      </c>
      <c r="U16" s="9">
        <v>0.29869497407412599</v>
      </c>
      <c r="V16" s="9">
        <v>0.35880546475868003</v>
      </c>
      <c r="W16" s="9">
        <v>0.390192148969359</v>
      </c>
      <c r="X16" s="9">
        <v>0.36685529834597502</v>
      </c>
      <c r="Y16" s="9">
        <v>0.360825132369888</v>
      </c>
      <c r="Z16" s="12">
        <v>0.32</v>
      </c>
      <c r="AA16" s="12">
        <v>0.31719821005565602</v>
      </c>
      <c r="AB16" s="12">
        <f t="shared" si="0"/>
        <v>2.8017899443439909E-3</v>
      </c>
      <c r="AC16" s="14">
        <v>0.41698801306806899</v>
      </c>
      <c r="AD16" s="14">
        <f t="shared" si="1"/>
        <v>-9.6988013068068979E-2</v>
      </c>
    </row>
    <row r="17" spans="1:30" ht="15" x14ac:dyDescent="0.2">
      <c r="B17" s="10">
        <v>10</v>
      </c>
      <c r="C17" s="11">
        <v>628</v>
      </c>
      <c r="D17" s="11">
        <v>4</v>
      </c>
      <c r="E17" s="10">
        <v>32.466666666666697</v>
      </c>
      <c r="F17" s="12">
        <v>3.262</v>
      </c>
      <c r="G17" s="10">
        <v>25</v>
      </c>
      <c r="H17" s="10">
        <v>36</v>
      </c>
      <c r="I17" s="9">
        <v>200</v>
      </c>
      <c r="J17" s="10">
        <v>600</v>
      </c>
      <c r="K17" s="11">
        <v>314</v>
      </c>
      <c r="L17" s="12">
        <v>84</v>
      </c>
      <c r="M17" s="9">
        <v>0.376992362364301</v>
      </c>
      <c r="N17" s="9">
        <v>0.32873504474658699</v>
      </c>
      <c r="O17" s="9">
        <v>0.32524799628656098</v>
      </c>
      <c r="P17" s="9">
        <v>0.416980376718533</v>
      </c>
      <c r="Q17" s="9">
        <v>0.26876185475980402</v>
      </c>
      <c r="R17" s="9">
        <v>0.29795461687614999</v>
      </c>
      <c r="S17" s="13">
        <v>0.33360902411436</v>
      </c>
      <c r="T17" s="9">
        <v>0.40208383689736199</v>
      </c>
      <c r="U17" s="9">
        <v>0.30138591978650597</v>
      </c>
      <c r="V17" s="9">
        <v>0.36241473948124098</v>
      </c>
      <c r="W17" s="9">
        <v>0.39440780938480902</v>
      </c>
      <c r="X17" s="9">
        <v>0.371453835854817</v>
      </c>
      <c r="Y17" s="9">
        <v>0.36573803028877799</v>
      </c>
      <c r="Z17" s="12">
        <v>0.38</v>
      </c>
      <c r="AA17" s="12">
        <v>0.32095648205147198</v>
      </c>
      <c r="AB17" s="12">
        <f t="shared" si="0"/>
        <v>5.9043517948528024E-2</v>
      </c>
      <c r="AC17" s="14">
        <v>0.42092646353136298</v>
      </c>
      <c r="AD17" s="14">
        <f t="shared" si="1"/>
        <v>-4.0926463531362978E-2</v>
      </c>
    </row>
    <row r="18" spans="1:30" ht="15" x14ac:dyDescent="0.2">
      <c r="B18" s="10">
        <v>10</v>
      </c>
      <c r="C18" s="11">
        <v>628</v>
      </c>
      <c r="D18" s="11">
        <v>4</v>
      </c>
      <c r="E18" s="10">
        <v>32.466666666666697</v>
      </c>
      <c r="F18" s="12">
        <v>3.262</v>
      </c>
      <c r="G18" s="10">
        <v>25</v>
      </c>
      <c r="H18" s="10">
        <v>36</v>
      </c>
      <c r="I18" s="9">
        <v>200</v>
      </c>
      <c r="J18" s="10">
        <v>600</v>
      </c>
      <c r="K18" s="11">
        <v>314</v>
      </c>
      <c r="L18" s="12">
        <v>90</v>
      </c>
      <c r="M18" s="9">
        <v>0.412773219148035</v>
      </c>
      <c r="N18" s="9">
        <v>0.35993573401812701</v>
      </c>
      <c r="O18" s="9">
        <v>0.34847999602131502</v>
      </c>
      <c r="P18" s="9">
        <v>0.47867645286566302</v>
      </c>
      <c r="Q18" s="9">
        <v>0.29560632002462101</v>
      </c>
      <c r="R18" s="9">
        <v>0.319237089510161</v>
      </c>
      <c r="S18" s="13">
        <v>0.35961035354618515</v>
      </c>
      <c r="T18" s="9">
        <v>0.433477296944834</v>
      </c>
      <c r="U18" s="9">
        <v>0.322913485485542</v>
      </c>
      <c r="V18" s="9">
        <v>0.39135242888331701</v>
      </c>
      <c r="W18" s="9">
        <v>0.42786467520772697</v>
      </c>
      <c r="X18" s="9">
        <v>0.408454520280917</v>
      </c>
      <c r="Y18" s="9">
        <v>0.40553080758862697</v>
      </c>
      <c r="Z18" s="12">
        <v>0.42</v>
      </c>
      <c r="AA18" s="12">
        <v>0.35102265801799798</v>
      </c>
      <c r="AB18" s="12">
        <f t="shared" si="0"/>
        <v>6.8977341982002005E-2</v>
      </c>
      <c r="AC18" s="14">
        <v>0.45099263949788898</v>
      </c>
      <c r="AD18" s="14">
        <f t="shared" si="1"/>
        <v>-3.0992639497888996E-2</v>
      </c>
    </row>
    <row r="19" spans="1:30" ht="15" x14ac:dyDescent="0.2">
      <c r="B19" s="10">
        <v>10</v>
      </c>
      <c r="C19" s="11">
        <v>628</v>
      </c>
      <c r="D19" s="11">
        <v>4</v>
      </c>
      <c r="E19" s="10">
        <v>32.466666666666697</v>
      </c>
      <c r="F19" s="12">
        <v>3.262</v>
      </c>
      <c r="G19" s="10">
        <v>25</v>
      </c>
      <c r="H19" s="10">
        <v>36</v>
      </c>
      <c r="I19" s="9">
        <v>200</v>
      </c>
      <c r="J19" s="10">
        <v>600</v>
      </c>
      <c r="K19" s="11">
        <v>314</v>
      </c>
      <c r="L19" s="12">
        <v>108</v>
      </c>
      <c r="M19" s="9">
        <v>0.50177465310629799</v>
      </c>
      <c r="N19" s="9">
        <v>0.43754444256407599</v>
      </c>
      <c r="O19" s="9">
        <v>0.39471097380685</v>
      </c>
      <c r="P19" s="9">
        <v>0.61410800657888298</v>
      </c>
      <c r="Q19" s="9">
        <v>0.36237934105237501</v>
      </c>
      <c r="R19" s="9">
        <v>0.37217518973657698</v>
      </c>
      <c r="S19" s="13">
        <v>0.42428615542093412</v>
      </c>
      <c r="T19" s="9">
        <v>0.511565504223497</v>
      </c>
      <c r="U19" s="9">
        <v>0.37646123109782298</v>
      </c>
      <c r="V19" s="9">
        <v>0.42580937402192098</v>
      </c>
      <c r="W19" s="9">
        <v>0.50932235697842299</v>
      </c>
      <c r="X19" s="9">
        <v>0.50212779816146702</v>
      </c>
      <c r="Y19" s="9">
        <v>0.50828663812151598</v>
      </c>
      <c r="Z19" s="12">
        <v>0.44</v>
      </c>
      <c r="AA19" s="12">
        <v>0.42580937402192098</v>
      </c>
      <c r="AB19" s="12">
        <f t="shared" si="0"/>
        <v>1.4190625978079019E-2</v>
      </c>
      <c r="AC19" s="14">
        <v>0.52577935550181198</v>
      </c>
      <c r="AD19" s="14">
        <f t="shared" si="1"/>
        <v>-8.5779355501811982E-2</v>
      </c>
    </row>
    <row r="20" spans="1:30" ht="15" x14ac:dyDescent="0.2">
      <c r="B20" s="10">
        <v>10</v>
      </c>
      <c r="C20" s="11">
        <v>628</v>
      </c>
      <c r="D20" s="11">
        <v>4</v>
      </c>
      <c r="E20" s="10">
        <v>32.466666666666697</v>
      </c>
      <c r="F20" s="12">
        <v>3.262</v>
      </c>
      <c r="G20" s="10">
        <v>25</v>
      </c>
      <c r="H20" s="10">
        <v>36</v>
      </c>
      <c r="I20" s="9">
        <v>200</v>
      </c>
      <c r="J20" s="10">
        <v>600</v>
      </c>
      <c r="K20" s="11">
        <v>314</v>
      </c>
      <c r="L20" s="12">
        <v>120</v>
      </c>
      <c r="M20" s="9">
        <v>0.50177465310629799</v>
      </c>
      <c r="N20" s="9">
        <v>0.43754444256407599</v>
      </c>
      <c r="O20" s="9">
        <v>0.39471097380685</v>
      </c>
      <c r="P20" s="9">
        <v>0.61410800657888298</v>
      </c>
      <c r="Q20" s="9">
        <v>0.36237934105237501</v>
      </c>
      <c r="R20" s="9">
        <v>0.37217518973657698</v>
      </c>
      <c r="S20" s="13">
        <v>0.42428615542093412</v>
      </c>
      <c r="T20" s="9">
        <v>0.511565504223497</v>
      </c>
      <c r="U20" s="9">
        <v>0.37646123109782298</v>
      </c>
      <c r="V20" s="9">
        <v>0.42580937402192098</v>
      </c>
      <c r="W20" s="9">
        <v>0.50932235697842299</v>
      </c>
      <c r="X20" s="9">
        <v>0.50212779816146702</v>
      </c>
      <c r="Y20" s="9">
        <v>0.50828663812151598</v>
      </c>
      <c r="Z20" s="12">
        <v>0.5</v>
      </c>
      <c r="AA20" s="12">
        <v>0.42580937402192098</v>
      </c>
      <c r="AB20" s="12">
        <f t="shared" si="0"/>
        <v>7.4190625978079017E-2</v>
      </c>
      <c r="AC20" s="14">
        <v>0.52577935550181198</v>
      </c>
      <c r="AD20" s="14">
        <f t="shared" si="1"/>
        <v>-2.5779355501811985E-2</v>
      </c>
    </row>
    <row r="21" spans="1:30" ht="15" x14ac:dyDescent="0.2">
      <c r="A21" s="9" t="s">
        <v>33</v>
      </c>
      <c r="B21" s="10">
        <v>10</v>
      </c>
      <c r="C21" s="11">
        <v>628</v>
      </c>
      <c r="D21" s="11">
        <v>4</v>
      </c>
      <c r="E21" s="10">
        <v>32.466666666666697</v>
      </c>
      <c r="F21" s="12">
        <v>3.5139999999999998</v>
      </c>
      <c r="G21" s="10">
        <v>25</v>
      </c>
      <c r="H21" s="10">
        <v>36</v>
      </c>
      <c r="I21" s="9">
        <v>200</v>
      </c>
      <c r="J21" s="10">
        <v>600</v>
      </c>
      <c r="K21" s="11">
        <v>314</v>
      </c>
      <c r="L21" s="12">
        <v>54</v>
      </c>
      <c r="M21" s="9">
        <v>0.189229893046237</v>
      </c>
      <c r="N21" s="9">
        <v>0.16758074432571601</v>
      </c>
      <c r="O21" s="9">
        <v>0.20908799761278901</v>
      </c>
      <c r="P21" s="9">
        <v>0.15996566082219801</v>
      </c>
      <c r="Q21" s="9">
        <v>0.13324468767213801</v>
      </c>
      <c r="R21" s="9">
        <v>0.19995733054196599</v>
      </c>
      <c r="S21" s="13">
        <v>0.20305443552249855</v>
      </c>
      <c r="T21" s="9">
        <v>0.24360227547511701</v>
      </c>
      <c r="U21" s="9">
        <v>0.19246157522098101</v>
      </c>
      <c r="V21" s="9">
        <v>0.21394781753831399</v>
      </c>
      <c r="W21" s="9">
        <v>0.21355665077181099</v>
      </c>
      <c r="X21" s="9">
        <v>0.18257373577591601</v>
      </c>
      <c r="Y21" s="9">
        <v>0.17134979849018001</v>
      </c>
      <c r="Z21" s="12">
        <v>0.24</v>
      </c>
      <c r="AA21" s="12">
        <v>0.16333872081928399</v>
      </c>
      <c r="AB21" s="12">
        <f t="shared" si="0"/>
        <v>7.6661279180715997E-2</v>
      </c>
      <c r="AC21" s="14">
        <v>0.206339105936133</v>
      </c>
      <c r="AD21" s="14">
        <f t="shared" si="1"/>
        <v>3.3660894063866992E-2</v>
      </c>
    </row>
    <row r="22" spans="1:30" ht="15" x14ac:dyDescent="0.2">
      <c r="B22" s="10">
        <v>10</v>
      </c>
      <c r="C22" s="11">
        <v>628</v>
      </c>
      <c r="D22" s="11">
        <v>4</v>
      </c>
      <c r="E22" s="10">
        <v>32.466666666666697</v>
      </c>
      <c r="F22" s="12">
        <v>3.5139999999999998</v>
      </c>
      <c r="G22" s="10">
        <v>25</v>
      </c>
      <c r="H22" s="10">
        <v>36</v>
      </c>
      <c r="I22" s="9">
        <v>200</v>
      </c>
      <c r="J22" s="10">
        <v>600</v>
      </c>
      <c r="K22" s="11">
        <v>314</v>
      </c>
      <c r="L22" s="12">
        <v>60</v>
      </c>
      <c r="M22" s="9">
        <v>0.22481898461479799</v>
      </c>
      <c r="N22" s="9">
        <v>0.19604078582316301</v>
      </c>
      <c r="O22" s="9">
        <v>0.23231999734754299</v>
      </c>
      <c r="P22" s="9">
        <v>0.19748847015086199</v>
      </c>
      <c r="Q22" s="9">
        <v>0.15994528174100101</v>
      </c>
      <c r="R22" s="9">
        <v>0.22217481171329601</v>
      </c>
      <c r="S22" s="13">
        <v>0.22900667532816874</v>
      </c>
      <c r="T22" s="9">
        <v>0.27482748427982501</v>
      </c>
      <c r="U22" s="9">
        <v>0.21384619468997901</v>
      </c>
      <c r="V22" s="9">
        <v>0.24173393615327901</v>
      </c>
      <c r="W22" s="9">
        <v>0.250468611260248</v>
      </c>
      <c r="X22" s="9">
        <v>0.21704771317582899</v>
      </c>
      <c r="Y22" s="9">
        <v>0.20671487282845299</v>
      </c>
      <c r="Z22" s="12">
        <v>0.3</v>
      </c>
      <c r="AA22" s="12">
        <v>0.193213400157039</v>
      </c>
      <c r="AB22" s="12">
        <f t="shared" si="0"/>
        <v>0.10678659984296099</v>
      </c>
      <c r="AC22" s="14">
        <v>0.24880889422913299</v>
      </c>
      <c r="AD22" s="14">
        <f t="shared" si="1"/>
        <v>5.1191105770866996E-2</v>
      </c>
    </row>
    <row r="23" spans="1:30" ht="15" x14ac:dyDescent="0.2">
      <c r="B23" s="10">
        <v>10</v>
      </c>
      <c r="C23" s="11">
        <v>628</v>
      </c>
      <c r="D23" s="11">
        <v>4</v>
      </c>
      <c r="E23" s="10">
        <v>32.466666666666697</v>
      </c>
      <c r="F23" s="12">
        <v>3.5139999999999998</v>
      </c>
      <c r="G23" s="10">
        <v>25</v>
      </c>
      <c r="H23" s="10">
        <v>36</v>
      </c>
      <c r="I23" s="9">
        <v>200</v>
      </c>
      <c r="J23" s="10">
        <v>600</v>
      </c>
      <c r="K23" s="11">
        <v>314</v>
      </c>
      <c r="L23" s="12">
        <v>62.25</v>
      </c>
      <c r="M23" s="9">
        <v>0.23816489395300899</v>
      </c>
      <c r="N23" s="9">
        <v>0.20767833751244899</v>
      </c>
      <c r="O23" s="9">
        <v>0.241031997248076</v>
      </c>
      <c r="P23" s="9">
        <v>0.212577823573326</v>
      </c>
      <c r="Q23" s="9">
        <v>0.169958004516824</v>
      </c>
      <c r="R23" s="9">
        <v>0.230506367152544</v>
      </c>
      <c r="S23" s="13">
        <v>0.23873876525529497</v>
      </c>
      <c r="T23" s="9">
        <v>0.28653693758159099</v>
      </c>
      <c r="U23" s="9">
        <v>0.22186542699085299</v>
      </c>
      <c r="V23" s="9">
        <v>0.25222768236312199</v>
      </c>
      <c r="W23" s="9">
        <v>0.26407332302897701</v>
      </c>
      <c r="X23" s="9">
        <v>0.230061655297984</v>
      </c>
      <c r="Y23" s="9">
        <v>0.22021397739836299</v>
      </c>
      <c r="Z23" s="12">
        <v>0.3</v>
      </c>
      <c r="AA23" s="12">
        <v>0.204416404908698</v>
      </c>
      <c r="AB23" s="12">
        <f t="shared" si="0"/>
        <v>9.5583595091301987E-2</v>
      </c>
      <c r="AC23" s="14">
        <v>0.26473506483900699</v>
      </c>
      <c r="AD23" s="14">
        <f t="shared" si="1"/>
        <v>3.5264935160992994E-2</v>
      </c>
    </row>
    <row r="24" spans="1:30" ht="15" x14ac:dyDescent="0.2">
      <c r="B24" s="10">
        <v>10</v>
      </c>
      <c r="C24" s="11">
        <v>628</v>
      </c>
      <c r="D24" s="11">
        <v>4</v>
      </c>
      <c r="E24" s="10">
        <v>32.466666666666697</v>
      </c>
      <c r="F24" s="12">
        <v>3.5139999999999998</v>
      </c>
      <c r="G24" s="10">
        <v>25</v>
      </c>
      <c r="H24" s="10">
        <v>36</v>
      </c>
      <c r="I24" s="9">
        <v>200</v>
      </c>
      <c r="J24" s="10">
        <v>600</v>
      </c>
      <c r="K24" s="11">
        <v>314</v>
      </c>
      <c r="L24" s="12">
        <v>66</v>
      </c>
      <c r="M24" s="9">
        <v>0.26040807618335998</v>
      </c>
      <c r="N24" s="9">
        <v>0.22707425699459199</v>
      </c>
      <c r="O24" s="9">
        <v>0.25555199708229798</v>
      </c>
      <c r="P24" s="9">
        <v>0.23896104888254299</v>
      </c>
      <c r="Q24" s="9">
        <v>0.186645875809863</v>
      </c>
      <c r="R24" s="9">
        <v>0.244392292884625</v>
      </c>
      <c r="S24" s="13">
        <v>0.25495891513383884</v>
      </c>
      <c r="T24" s="9">
        <v>0.30605269308453298</v>
      </c>
      <c r="U24" s="9">
        <v>0.23523081415897601</v>
      </c>
      <c r="V24" s="9">
        <v>0.26979363219017</v>
      </c>
      <c r="W24" s="9">
        <v>0.28648528274506802</v>
      </c>
      <c r="X24" s="9">
        <v>0.25185604440725901</v>
      </c>
      <c r="Y24" s="9">
        <v>0.243000002218587</v>
      </c>
      <c r="Z24" s="12">
        <v>0.3</v>
      </c>
      <c r="AA24" s="12">
        <v>0.22308807949479501</v>
      </c>
      <c r="AB24" s="12">
        <f t="shared" si="0"/>
        <v>7.6911920505204984E-2</v>
      </c>
      <c r="AC24" s="14">
        <v>0.29127868252213202</v>
      </c>
      <c r="AD24" s="14">
        <f t="shared" si="1"/>
        <v>8.7213174778679736E-3</v>
      </c>
    </row>
    <row r="25" spans="1:30" ht="15" x14ac:dyDescent="0.2">
      <c r="B25" s="10">
        <v>10</v>
      </c>
      <c r="C25" s="11">
        <v>628</v>
      </c>
      <c r="D25" s="11">
        <v>4</v>
      </c>
      <c r="E25" s="10">
        <v>32.466666666666697</v>
      </c>
      <c r="F25" s="12">
        <v>3.5139999999999998</v>
      </c>
      <c r="G25" s="10">
        <v>25</v>
      </c>
      <c r="H25" s="10">
        <v>36</v>
      </c>
      <c r="I25" s="9">
        <v>200</v>
      </c>
      <c r="J25" s="10">
        <v>600</v>
      </c>
      <c r="K25" s="11">
        <v>314</v>
      </c>
      <c r="L25" s="12">
        <v>71.25</v>
      </c>
      <c r="M25" s="9">
        <v>0.29154853130585101</v>
      </c>
      <c r="N25" s="9">
        <v>0.25422854426959202</v>
      </c>
      <c r="O25" s="9">
        <v>0.27587999685020798</v>
      </c>
      <c r="P25" s="9">
        <v>0.27848960048617699</v>
      </c>
      <c r="Q25" s="9">
        <v>0.21000889562011801</v>
      </c>
      <c r="R25" s="9">
        <v>0.26383258890953898</v>
      </c>
      <c r="S25" s="13">
        <v>0.27766712496380014</v>
      </c>
      <c r="T25" s="9">
        <v>0.33337475078865197</v>
      </c>
      <c r="U25" s="9">
        <v>0.25394235619435002</v>
      </c>
      <c r="V25" s="9">
        <v>0.29452570580067</v>
      </c>
      <c r="W25" s="9">
        <v>0.317355360279721</v>
      </c>
      <c r="X25" s="9">
        <v>0.28258760886217599</v>
      </c>
      <c r="Y25" s="9">
        <v>0.27550422309468497</v>
      </c>
      <c r="Z25" s="12">
        <v>0.38</v>
      </c>
      <c r="AA25" s="12">
        <v>0.24922842391533101</v>
      </c>
      <c r="AB25" s="12">
        <f t="shared" si="0"/>
        <v>0.13077157608466899</v>
      </c>
      <c r="AC25" s="14">
        <v>0.328439747278506</v>
      </c>
      <c r="AD25" s="14">
        <f t="shared" si="1"/>
        <v>5.1560252721494004E-2</v>
      </c>
    </row>
    <row r="26" spans="1:30" ht="15" x14ac:dyDescent="0.2">
      <c r="B26" s="10">
        <v>10</v>
      </c>
      <c r="C26" s="11">
        <v>628</v>
      </c>
      <c r="D26" s="11">
        <v>4</v>
      </c>
      <c r="E26" s="10">
        <v>32.466666666666697</v>
      </c>
      <c r="F26" s="12">
        <v>3.5139999999999998</v>
      </c>
      <c r="G26" s="10">
        <v>25</v>
      </c>
      <c r="H26" s="10">
        <v>36</v>
      </c>
      <c r="I26" s="9">
        <v>200</v>
      </c>
      <c r="J26" s="10">
        <v>600</v>
      </c>
      <c r="K26" s="11">
        <v>314</v>
      </c>
      <c r="L26" s="12">
        <v>82.5</v>
      </c>
      <c r="M26" s="9">
        <v>0.35827807799690298</v>
      </c>
      <c r="N26" s="9">
        <v>0.312416302716021</v>
      </c>
      <c r="O26" s="9">
        <v>0.31943999635287201</v>
      </c>
      <c r="P26" s="9">
        <v>0.37337663887897399</v>
      </c>
      <c r="Q26" s="9">
        <v>0.26007250949923499</v>
      </c>
      <c r="R26" s="9">
        <v>0.30549036610578201</v>
      </c>
      <c r="S26" s="13">
        <v>0.32632757459943168</v>
      </c>
      <c r="T26" s="9">
        <v>0.39192201729748</v>
      </c>
      <c r="U26" s="9">
        <v>0.29403851769872102</v>
      </c>
      <c r="V26" s="9">
        <v>0.34796081807492901</v>
      </c>
      <c r="W26" s="9">
        <v>0.38179391417313502</v>
      </c>
      <c r="X26" s="9">
        <v>0.34930296723745002</v>
      </c>
      <c r="Y26" s="9">
        <v>0.34752814190261799</v>
      </c>
      <c r="Z26" s="12">
        <v>0.44</v>
      </c>
      <c r="AA26" s="12">
        <v>0.30524344767362299</v>
      </c>
      <c r="AB26" s="12">
        <f t="shared" si="0"/>
        <v>0.13475655232637701</v>
      </c>
      <c r="AC26" s="14">
        <v>0.40807060032788001</v>
      </c>
      <c r="AD26" s="14">
        <f t="shared" si="1"/>
        <v>3.1929399672119996E-2</v>
      </c>
    </row>
    <row r="27" spans="1:30" ht="15" x14ac:dyDescent="0.2">
      <c r="A27" s="9" t="s">
        <v>34</v>
      </c>
      <c r="B27" s="10">
        <v>16</v>
      </c>
      <c r="C27" s="11">
        <v>571</v>
      </c>
      <c r="D27" s="11">
        <v>4</v>
      </c>
      <c r="E27" s="10">
        <v>37</v>
      </c>
      <c r="F27" s="12">
        <v>4.2587999999999999</v>
      </c>
      <c r="G27" s="10">
        <v>33</v>
      </c>
      <c r="H27" s="10">
        <v>59</v>
      </c>
      <c r="I27" s="9">
        <v>125</v>
      </c>
      <c r="J27" s="10">
        <v>250</v>
      </c>
      <c r="K27" s="11">
        <v>800</v>
      </c>
      <c r="L27" s="12">
        <v>18.2</v>
      </c>
      <c r="M27" s="9">
        <v>5.34417672094403E-2</v>
      </c>
      <c r="N27" s="9">
        <v>6.9589927034866203E-2</v>
      </c>
      <c r="O27" s="9">
        <v>4.9777664148208702E-2</v>
      </c>
      <c r="P27" s="9">
        <v>4.4458844902455802E-2</v>
      </c>
      <c r="Q27" s="9">
        <v>6.02422839544767E-2</v>
      </c>
      <c r="R27" s="9">
        <v>0.116644488774822</v>
      </c>
      <c r="S27" s="13">
        <v>0.11455523089128249</v>
      </c>
      <c r="T27" s="9">
        <v>5.86411770784563E-2</v>
      </c>
      <c r="U27" s="9">
        <v>0.113657525273181</v>
      </c>
      <c r="V27" s="9">
        <v>0.101570248247997</v>
      </c>
      <c r="W27" s="9">
        <v>6.1406820589577103E-2</v>
      </c>
      <c r="X27" s="9">
        <v>7.0934735712337799E-2</v>
      </c>
      <c r="Y27" s="9">
        <v>6.1382612698444999E-2</v>
      </c>
      <c r="Z27" s="12">
        <v>0.18</v>
      </c>
      <c r="AA27" s="12">
        <v>5.4713257349968597E-2</v>
      </c>
      <c r="AB27" s="12">
        <f t="shared" si="0"/>
        <v>0.1252867426500314</v>
      </c>
      <c r="AC27" s="14">
        <v>6.1406820589577103E-2</v>
      </c>
      <c r="AD27" s="14">
        <f t="shared" si="1"/>
        <v>0.11859317941042288</v>
      </c>
    </row>
    <row r="28" spans="1:30" ht="15" x14ac:dyDescent="0.2">
      <c r="B28" s="10">
        <v>16</v>
      </c>
      <c r="C28" s="11">
        <v>571</v>
      </c>
      <c r="D28" s="11">
        <v>4</v>
      </c>
      <c r="E28" s="10">
        <v>37</v>
      </c>
      <c r="F28" s="12">
        <v>4.2587999999999999</v>
      </c>
      <c r="G28" s="10">
        <v>33</v>
      </c>
      <c r="H28" s="10">
        <v>59</v>
      </c>
      <c r="I28" s="9">
        <v>125</v>
      </c>
      <c r="J28" s="10">
        <v>250</v>
      </c>
      <c r="K28" s="11">
        <v>800</v>
      </c>
      <c r="L28" s="12">
        <v>26.2</v>
      </c>
      <c r="M28" s="9">
        <v>8.4991922663127106E-2</v>
      </c>
      <c r="N28" s="9">
        <v>0.110673392844599</v>
      </c>
      <c r="O28" s="9">
        <v>7.1657956081487298E-2</v>
      </c>
      <c r="P28" s="9">
        <v>9.2133587413482002E-2</v>
      </c>
      <c r="Q28" s="9">
        <v>8.9841923144631297E-2</v>
      </c>
      <c r="R28" s="9">
        <v>0.167916791532985</v>
      </c>
      <c r="S28" s="13">
        <v>0.18546760436821591</v>
      </c>
      <c r="T28" s="9">
        <v>8.9108063400974394E-2</v>
      </c>
      <c r="U28" s="9">
        <v>0.16361687704161201</v>
      </c>
      <c r="V28" s="9">
        <v>0.150242305935923</v>
      </c>
      <c r="W28" s="9">
        <v>0.12632481134392201</v>
      </c>
      <c r="X28" s="9">
        <v>0.13515912529002899</v>
      </c>
      <c r="Y28" s="9">
        <v>0.121643412474959</v>
      </c>
      <c r="Z28" s="12">
        <v>0.2</v>
      </c>
      <c r="AA28" s="12">
        <v>0.10778702027692399</v>
      </c>
      <c r="AB28" s="12">
        <f t="shared" si="0"/>
        <v>9.2212979723076016E-2</v>
      </c>
      <c r="AC28" s="14">
        <v>0.117386667274441</v>
      </c>
      <c r="AD28" s="14">
        <f t="shared" si="1"/>
        <v>8.2613332725559013E-2</v>
      </c>
    </row>
    <row r="29" spans="1:30" ht="15" x14ac:dyDescent="0.2">
      <c r="B29" s="10">
        <v>16</v>
      </c>
      <c r="C29" s="11">
        <v>571</v>
      </c>
      <c r="D29" s="11">
        <v>4</v>
      </c>
      <c r="E29" s="10">
        <v>37</v>
      </c>
      <c r="F29" s="12">
        <v>4.2587999999999999</v>
      </c>
      <c r="G29" s="10">
        <v>33</v>
      </c>
      <c r="H29" s="10">
        <v>59</v>
      </c>
      <c r="I29" s="9">
        <v>125</v>
      </c>
      <c r="J29" s="10">
        <v>250</v>
      </c>
      <c r="K29" s="11">
        <v>800</v>
      </c>
      <c r="L29" s="12">
        <v>31.7</v>
      </c>
      <c r="M29" s="9">
        <v>0.106682654537537</v>
      </c>
      <c r="N29" s="9">
        <v>0.138918275588791</v>
      </c>
      <c r="O29" s="9">
        <v>8.6700656785616295E-2</v>
      </c>
      <c r="P29" s="9">
        <v>0.134875765771129</v>
      </c>
      <c r="Q29" s="9">
        <v>0.110191675087863</v>
      </c>
      <c r="R29" s="9">
        <v>0.20316649967922301</v>
      </c>
      <c r="S29" s="13">
        <v>0.23421986113360763</v>
      </c>
      <c r="T29" s="9">
        <v>0.110054047747706</v>
      </c>
      <c r="U29" s="9">
        <v>0.197963931382408</v>
      </c>
      <c r="V29" s="9">
        <v>0.18490107695969901</v>
      </c>
      <c r="W29" s="9">
        <v>0.171352578224402</v>
      </c>
      <c r="X29" s="9">
        <v>0.180241955343307</v>
      </c>
      <c r="Y29" s="9">
        <v>0.165252277490784</v>
      </c>
      <c r="Z29" s="12">
        <v>0.26</v>
      </c>
      <c r="AA29" s="12">
        <v>0.144275232289206</v>
      </c>
      <c r="AB29" s="12">
        <f t="shared" si="0"/>
        <v>0.11572476771079401</v>
      </c>
      <c r="AC29" s="14">
        <v>0.16362072698160901</v>
      </c>
      <c r="AD29" s="14">
        <f t="shared" si="1"/>
        <v>9.6379273018390998E-2</v>
      </c>
    </row>
    <row r="30" spans="1:30" ht="15" x14ac:dyDescent="0.2">
      <c r="B30" s="10">
        <v>16</v>
      </c>
      <c r="C30" s="11">
        <v>571</v>
      </c>
      <c r="D30" s="11">
        <v>4</v>
      </c>
      <c r="E30" s="10">
        <v>37</v>
      </c>
      <c r="F30" s="12">
        <v>4.2587999999999999</v>
      </c>
      <c r="G30" s="10">
        <v>33</v>
      </c>
      <c r="H30" s="10">
        <v>59</v>
      </c>
      <c r="I30" s="9">
        <v>125</v>
      </c>
      <c r="J30" s="10">
        <v>250</v>
      </c>
      <c r="K30" s="11">
        <v>800</v>
      </c>
      <c r="L30" s="12">
        <v>40.799999999999997</v>
      </c>
      <c r="M30" s="9">
        <v>0.14257095636610501</v>
      </c>
      <c r="N30" s="9">
        <v>0.18565071794736199</v>
      </c>
      <c r="O30" s="9">
        <v>0.111589488859721</v>
      </c>
      <c r="P30" s="9">
        <v>0.22342703652464699</v>
      </c>
      <c r="Q30" s="9">
        <v>0.14386126466666299</v>
      </c>
      <c r="R30" s="9">
        <v>0.26148874406663403</v>
      </c>
      <c r="S30" s="13">
        <v>0.31488268596361935</v>
      </c>
      <c r="T30" s="9">
        <v>0.14471013093957</v>
      </c>
      <c r="U30" s="9">
        <v>0.25479269401899801</v>
      </c>
      <c r="V30" s="9">
        <v>0.24337236265728401</v>
      </c>
      <c r="W30" s="9">
        <v>0.243304328572096</v>
      </c>
      <c r="X30" s="9">
        <v>0.25649507922762099</v>
      </c>
      <c r="Y30" s="9">
        <v>0.24130515419933601</v>
      </c>
      <c r="Z30" s="12">
        <v>0.44</v>
      </c>
      <c r="AA30" s="12">
        <v>0.20464663761861801</v>
      </c>
      <c r="AB30" s="12">
        <f t="shared" si="0"/>
        <v>0.23535336238138199</v>
      </c>
      <c r="AC30" s="14">
        <v>0.240117080315287</v>
      </c>
      <c r="AD30" s="14">
        <f t="shared" si="1"/>
        <v>0.199882919684713</v>
      </c>
    </row>
    <row r="31" spans="1:30" ht="15" x14ac:dyDescent="0.2">
      <c r="B31" s="10">
        <v>16</v>
      </c>
      <c r="C31" s="11">
        <v>571</v>
      </c>
      <c r="D31" s="11">
        <v>4</v>
      </c>
      <c r="E31" s="10">
        <v>37</v>
      </c>
      <c r="F31" s="12">
        <v>4.2587999999999999</v>
      </c>
      <c r="G31" s="10">
        <v>33</v>
      </c>
      <c r="H31" s="10">
        <v>59</v>
      </c>
      <c r="I31" s="9">
        <v>125</v>
      </c>
      <c r="J31" s="10">
        <v>250</v>
      </c>
      <c r="K31" s="11">
        <v>800</v>
      </c>
      <c r="L31" s="12">
        <v>54.1</v>
      </c>
      <c r="M31" s="9">
        <v>0.19502308980786001</v>
      </c>
      <c r="N31" s="9">
        <v>0.25395197985604301</v>
      </c>
      <c r="O31" s="9">
        <v>0.14796547419879599</v>
      </c>
      <c r="P31" s="9">
        <v>0.39283477795241101</v>
      </c>
      <c r="Q31" s="9">
        <v>0.193070664820295</v>
      </c>
      <c r="R31" s="9">
        <v>0.34672894740208099</v>
      </c>
      <c r="S31" s="13">
        <v>0.43277450686902125</v>
      </c>
      <c r="T31" s="9">
        <v>0.19536132945075599</v>
      </c>
      <c r="U31" s="9">
        <v>0.33785011633401502</v>
      </c>
      <c r="V31" s="9">
        <v>0.33024122354616298</v>
      </c>
      <c r="W31" s="9">
        <v>0.34413003388404101</v>
      </c>
      <c r="X31" s="9">
        <v>0.37166770688885298</v>
      </c>
      <c r="Y31" s="9">
        <v>0.36120462535742598</v>
      </c>
      <c r="Z31" s="12">
        <v>0.6</v>
      </c>
      <c r="AA31" s="12">
        <v>0.292881768484681</v>
      </c>
      <c r="AB31" s="12">
        <f t="shared" si="0"/>
        <v>0.30711823151531897</v>
      </c>
      <c r="AC31" s="14">
        <v>0.35191944287989402</v>
      </c>
      <c r="AD31" s="14">
        <f t="shared" si="1"/>
        <v>0.24808055712010596</v>
      </c>
    </row>
    <row r="32" spans="1:30" ht="15" x14ac:dyDescent="0.2">
      <c r="A32" s="9" t="s">
        <v>35</v>
      </c>
      <c r="B32" s="10">
        <v>12</v>
      </c>
      <c r="C32" s="11">
        <v>500</v>
      </c>
      <c r="D32" s="11">
        <v>4</v>
      </c>
      <c r="E32" s="10">
        <v>79.3</v>
      </c>
      <c r="F32" s="12">
        <v>2.6933292113182898</v>
      </c>
      <c r="G32" s="10">
        <v>20</v>
      </c>
      <c r="H32" s="10">
        <v>38</v>
      </c>
      <c r="I32" s="9">
        <v>350</v>
      </c>
      <c r="J32" s="10">
        <v>450</v>
      </c>
      <c r="K32" s="11">
        <v>452</v>
      </c>
      <c r="L32" s="12">
        <v>52.5</v>
      </c>
      <c r="M32" s="9">
        <v>0.243492377830339</v>
      </c>
      <c r="N32" s="9">
        <v>0.19654297410838101</v>
      </c>
      <c r="O32" s="9">
        <v>0.22346339002485899</v>
      </c>
      <c r="P32" s="9">
        <v>0.22693428965131099</v>
      </c>
      <c r="Q32" s="9">
        <v>0.19901621546256601</v>
      </c>
      <c r="R32" s="9">
        <v>0.240089378798229</v>
      </c>
      <c r="S32" s="13">
        <v>0.2425981916558643</v>
      </c>
      <c r="T32" s="9">
        <v>0.25002482779531099</v>
      </c>
      <c r="U32" s="9">
        <v>0.23257512149335899</v>
      </c>
      <c r="V32" s="9">
        <v>0.327307817172589</v>
      </c>
      <c r="W32" s="9">
        <v>0.32065859512371497</v>
      </c>
      <c r="X32" s="9">
        <v>0.26288151835045498</v>
      </c>
      <c r="Y32" s="9">
        <v>0.23997255102544801</v>
      </c>
      <c r="Z32" s="12">
        <v>0.36</v>
      </c>
      <c r="AA32" s="12">
        <v>0.234277041464278</v>
      </c>
      <c r="AB32" s="12">
        <f t="shared" si="0"/>
        <v>0.12572295853572199</v>
      </c>
      <c r="AC32" s="14">
        <v>0.30679018134795699</v>
      </c>
      <c r="AD32" s="14">
        <f t="shared" si="1"/>
        <v>5.3209818652042995E-2</v>
      </c>
    </row>
    <row r="33" spans="1:30" ht="15" x14ac:dyDescent="0.2">
      <c r="B33" s="10">
        <v>12</v>
      </c>
      <c r="C33" s="11">
        <v>500</v>
      </c>
      <c r="D33" s="11">
        <v>4</v>
      </c>
      <c r="E33" s="10">
        <v>79.3</v>
      </c>
      <c r="F33" s="12">
        <v>2.6933292113182898</v>
      </c>
      <c r="G33" s="10">
        <v>20</v>
      </c>
      <c r="H33" s="10">
        <v>38</v>
      </c>
      <c r="I33" s="9">
        <v>350</v>
      </c>
      <c r="J33" s="10">
        <v>450</v>
      </c>
      <c r="K33" s="11">
        <v>452</v>
      </c>
      <c r="L33" s="12">
        <v>67.5</v>
      </c>
      <c r="M33" s="9">
        <v>0.36590013330846</v>
      </c>
      <c r="N33" s="9">
        <v>0.27976402135554901</v>
      </c>
      <c r="O33" s="9">
        <v>0.28731007288910398</v>
      </c>
      <c r="P33" s="9">
        <v>0.375136274729718</v>
      </c>
      <c r="Q33" s="9">
        <v>0.29782409498510398</v>
      </c>
      <c r="R33" s="9">
        <v>0.30868634416915203</v>
      </c>
      <c r="S33" s="13">
        <v>0.32255788970151728</v>
      </c>
      <c r="T33" s="9">
        <v>0.33594505364732102</v>
      </c>
      <c r="U33" s="9">
        <v>0.29902515620574799</v>
      </c>
      <c r="V33" s="9">
        <v>0.43883311744450598</v>
      </c>
      <c r="W33" s="9">
        <v>0.47038078475339201</v>
      </c>
      <c r="X33" s="9">
        <v>0.40583383496534198</v>
      </c>
      <c r="Y33" s="9">
        <v>0.38075489147888297</v>
      </c>
      <c r="Z33" s="12">
        <v>0.43</v>
      </c>
      <c r="AA33" s="12">
        <v>0.35469963715583802</v>
      </c>
      <c r="AB33" s="12">
        <f t="shared" si="0"/>
        <v>7.5300362844161972E-2</v>
      </c>
      <c r="AC33" s="14">
        <v>0.483588349093174</v>
      </c>
      <c r="AD33" s="14">
        <f t="shared" si="1"/>
        <v>-5.3588349093174004E-2</v>
      </c>
    </row>
    <row r="34" spans="1:30" ht="15" x14ac:dyDescent="0.2">
      <c r="B34" s="10">
        <v>12</v>
      </c>
      <c r="C34" s="11">
        <v>500</v>
      </c>
      <c r="D34" s="11">
        <v>4</v>
      </c>
      <c r="E34" s="10">
        <v>79.3</v>
      </c>
      <c r="F34" s="12">
        <v>2.6933292113182898</v>
      </c>
      <c r="G34" s="10">
        <v>20</v>
      </c>
      <c r="H34" s="10">
        <v>38</v>
      </c>
      <c r="I34" s="9">
        <v>350</v>
      </c>
      <c r="J34" s="10">
        <v>450</v>
      </c>
      <c r="K34" s="11">
        <v>452</v>
      </c>
      <c r="L34" s="12">
        <v>90</v>
      </c>
      <c r="M34" s="9">
        <v>0.52808145784571003</v>
      </c>
      <c r="N34" s="9">
        <v>0.40376643461255801</v>
      </c>
      <c r="O34" s="9">
        <v>0.36155268598849899</v>
      </c>
      <c r="P34" s="9">
        <v>0.59406031512087498</v>
      </c>
      <c r="Q34" s="9">
        <v>0.42873730970005502</v>
      </c>
      <c r="R34" s="9">
        <v>0.399572306906053</v>
      </c>
      <c r="S34" s="13">
        <v>0.42849864229509449</v>
      </c>
      <c r="T34" s="9">
        <v>0.44978306970104498</v>
      </c>
      <c r="U34" s="9">
        <v>0.38706659282148398</v>
      </c>
      <c r="V34" s="9">
        <v>0.51425077014725995</v>
      </c>
      <c r="W34" s="9">
        <v>0.65607272500259295</v>
      </c>
      <c r="X34" s="9">
        <v>0.60342015848059005</v>
      </c>
      <c r="Y34" s="9">
        <v>0.58010401369572495</v>
      </c>
      <c r="Z34" s="12">
        <v>0.56000000000000005</v>
      </c>
      <c r="AA34" s="12">
        <v>0.51425077014725995</v>
      </c>
      <c r="AB34" s="12">
        <f t="shared" si="0"/>
        <v>4.5749229852740103E-2</v>
      </c>
      <c r="AC34" s="14">
        <v>0.70145281360344103</v>
      </c>
      <c r="AD34" s="14">
        <f t="shared" si="1"/>
        <v>-0.14145281360344097</v>
      </c>
    </row>
    <row r="35" spans="1:30" ht="15" x14ac:dyDescent="0.2">
      <c r="B35" s="10">
        <v>12</v>
      </c>
      <c r="C35" s="11">
        <v>500</v>
      </c>
      <c r="D35" s="11">
        <v>4</v>
      </c>
      <c r="E35" s="10">
        <v>79.3</v>
      </c>
      <c r="F35" s="12">
        <v>2.6933292113182898</v>
      </c>
      <c r="G35" s="10">
        <v>20</v>
      </c>
      <c r="H35" s="10">
        <v>38</v>
      </c>
      <c r="I35" s="9">
        <v>350</v>
      </c>
      <c r="J35" s="10">
        <v>450</v>
      </c>
      <c r="K35" s="11">
        <v>452</v>
      </c>
      <c r="L35" s="12">
        <v>112.5</v>
      </c>
      <c r="M35" s="9">
        <v>0.52808145784571003</v>
      </c>
      <c r="N35" s="9">
        <v>0.40376643461255801</v>
      </c>
      <c r="O35" s="9">
        <v>0.36155268598849899</v>
      </c>
      <c r="P35" s="9">
        <v>0.59406031512087498</v>
      </c>
      <c r="Q35" s="9">
        <v>0.42873730970005502</v>
      </c>
      <c r="R35" s="9">
        <v>0.399572306906053</v>
      </c>
      <c r="S35" s="13">
        <v>0.42849864229509449</v>
      </c>
      <c r="T35" s="9">
        <v>0.44978306970104498</v>
      </c>
      <c r="U35" s="9">
        <v>0.38706659282148398</v>
      </c>
      <c r="V35" s="9">
        <v>0.51425077014725995</v>
      </c>
      <c r="W35" s="9">
        <v>0.65607272500259295</v>
      </c>
      <c r="X35" s="9">
        <v>0.60342015848059005</v>
      </c>
      <c r="Y35" s="9">
        <v>0.58010401369572495</v>
      </c>
      <c r="Z35" s="12">
        <v>0.71</v>
      </c>
      <c r="AA35" s="12">
        <v>0.51425077014725995</v>
      </c>
      <c r="AB35" s="12">
        <f t="shared" si="0"/>
        <v>0.19574922985274001</v>
      </c>
      <c r="AC35" s="14">
        <v>0.70145281360344103</v>
      </c>
      <c r="AD35" s="14">
        <f t="shared" si="1"/>
        <v>8.5471863965589367E-3</v>
      </c>
    </row>
    <row r="36" spans="1:30" ht="15" x14ac:dyDescent="0.2">
      <c r="B36" s="10">
        <v>12</v>
      </c>
      <c r="C36" s="11">
        <v>500</v>
      </c>
      <c r="D36" s="11">
        <v>4</v>
      </c>
      <c r="E36" s="10">
        <v>79.3</v>
      </c>
      <c r="F36" s="12">
        <v>2.6933292113182898</v>
      </c>
      <c r="G36" s="10">
        <v>20</v>
      </c>
      <c r="H36" s="10">
        <v>38</v>
      </c>
      <c r="I36" s="9">
        <v>350</v>
      </c>
      <c r="J36" s="10">
        <v>450</v>
      </c>
      <c r="K36" s="11">
        <v>452</v>
      </c>
      <c r="L36" s="12">
        <v>120</v>
      </c>
      <c r="M36" s="9">
        <v>0.52808145784571003</v>
      </c>
      <c r="N36" s="9">
        <v>0.40376643461255801</v>
      </c>
      <c r="O36" s="9">
        <v>0.36155268598849899</v>
      </c>
      <c r="P36" s="9">
        <v>0.59406031512087498</v>
      </c>
      <c r="Q36" s="9">
        <v>0.42873730970005502</v>
      </c>
      <c r="R36" s="9">
        <v>0.399572306906053</v>
      </c>
      <c r="S36" s="13">
        <v>0.42849864229509449</v>
      </c>
      <c r="T36" s="9">
        <v>0.44978306970104498</v>
      </c>
      <c r="U36" s="9">
        <v>0.38706659282148398</v>
      </c>
      <c r="V36" s="9">
        <v>0.51425077014725995</v>
      </c>
      <c r="W36" s="9">
        <v>0.65607272500259295</v>
      </c>
      <c r="X36" s="9">
        <v>0.60342015848059005</v>
      </c>
      <c r="Y36" s="9">
        <v>0.58010401369572495</v>
      </c>
      <c r="Z36" s="12">
        <v>0.79</v>
      </c>
      <c r="AA36" s="12">
        <v>0.51425077014725995</v>
      </c>
      <c r="AB36" s="12">
        <f t="shared" si="0"/>
        <v>0.27574922985274009</v>
      </c>
      <c r="AC36" s="14">
        <v>0.70145281360344103</v>
      </c>
      <c r="AD36" s="14">
        <f t="shared" si="1"/>
        <v>8.8547186396559008E-2</v>
      </c>
    </row>
    <row r="37" spans="1:30" ht="15" x14ac:dyDescent="0.2">
      <c r="A37" s="9" t="s">
        <v>36</v>
      </c>
      <c r="B37" s="10">
        <v>25</v>
      </c>
      <c r="C37" s="11">
        <v>500</v>
      </c>
      <c r="D37" s="11">
        <v>4</v>
      </c>
      <c r="E37" s="10">
        <v>62</v>
      </c>
      <c r="F37" s="12">
        <v>2.6933292113182898</v>
      </c>
      <c r="G37" s="10">
        <v>20</v>
      </c>
      <c r="H37" s="10">
        <v>44.5</v>
      </c>
      <c r="I37" s="9">
        <v>350</v>
      </c>
      <c r="J37" s="10">
        <v>450</v>
      </c>
      <c r="K37" s="11">
        <v>1964</v>
      </c>
      <c r="L37" s="12">
        <v>75</v>
      </c>
      <c r="M37" s="9">
        <v>5.53032499253404E-2</v>
      </c>
      <c r="N37" s="9">
        <v>4.821469359438E-2</v>
      </c>
      <c r="O37" s="9">
        <v>8.9930527918053199E-2</v>
      </c>
      <c r="P37" s="9">
        <v>6.1700380095881399E-2</v>
      </c>
      <c r="Q37" s="9">
        <v>4.8609340041895398E-2</v>
      </c>
      <c r="R37" s="9">
        <v>7.9566101885106197E-2</v>
      </c>
      <c r="S37" s="13">
        <v>8.0681320108798638E-2</v>
      </c>
      <c r="T37" s="9">
        <v>9.0550252029073602E-2</v>
      </c>
      <c r="U37" s="9">
        <v>9.6138093546599704E-2</v>
      </c>
      <c r="V37" s="9">
        <v>8.9892441364921596E-2</v>
      </c>
      <c r="W37" s="9">
        <v>5.2197084757393902E-2</v>
      </c>
      <c r="X37" s="9">
        <v>7.1800422621446494E-2</v>
      </c>
      <c r="Y37" s="9">
        <v>5.1614247318551999E-2</v>
      </c>
      <c r="Z37" s="12">
        <v>0.2</v>
      </c>
      <c r="AA37" s="12">
        <v>5.2197084757393902E-2</v>
      </c>
      <c r="AB37" s="12">
        <f t="shared" si="0"/>
        <v>0.14780291524260611</v>
      </c>
      <c r="AC37" s="14">
        <v>5.2197084757393902E-2</v>
      </c>
      <c r="AD37" s="14">
        <f t="shared" si="1"/>
        <v>0.14780291524260611</v>
      </c>
    </row>
    <row r="38" spans="1:30" ht="15" x14ac:dyDescent="0.2">
      <c r="B38" s="10">
        <v>25</v>
      </c>
      <c r="C38" s="11">
        <v>500</v>
      </c>
      <c r="D38" s="11">
        <v>4</v>
      </c>
      <c r="E38" s="10">
        <v>62</v>
      </c>
      <c r="F38" s="12">
        <v>2.6933292113182898</v>
      </c>
      <c r="G38" s="10">
        <v>20</v>
      </c>
      <c r="H38" s="10">
        <v>44.5</v>
      </c>
      <c r="I38" s="9">
        <v>350</v>
      </c>
      <c r="J38" s="10">
        <v>450</v>
      </c>
      <c r="K38" s="11">
        <v>1964</v>
      </c>
      <c r="L38" s="12">
        <v>135</v>
      </c>
      <c r="M38" s="9">
        <v>0.126665910856779</v>
      </c>
      <c r="N38" s="9">
        <v>0.110430365106161</v>
      </c>
      <c r="O38" s="9">
        <v>0.16187495025249601</v>
      </c>
      <c r="P38" s="9">
        <v>0.19990923151065601</v>
      </c>
      <c r="Q38" s="9">
        <v>0.10368191451004501</v>
      </c>
      <c r="R38" s="9">
        <v>0.143218983393191</v>
      </c>
      <c r="S38" s="13">
        <v>0.18404308310235309</v>
      </c>
      <c r="T38" s="9">
        <v>0.182425740208567</v>
      </c>
      <c r="U38" s="9">
        <v>0.17304856838388</v>
      </c>
      <c r="V38" s="9">
        <v>0.169461349415442</v>
      </c>
      <c r="W38" s="9">
        <v>0.14926680166140999</v>
      </c>
      <c r="X38" s="9">
        <v>0.211083922293619</v>
      </c>
      <c r="Y38" s="9">
        <v>0.15719250234058699</v>
      </c>
      <c r="Z38" s="12">
        <v>0.25</v>
      </c>
      <c r="AA38" s="12">
        <v>0.13966391626237401</v>
      </c>
      <c r="AB38" s="12">
        <f t="shared" si="0"/>
        <v>0.11033608373762599</v>
      </c>
      <c r="AC38" s="14">
        <v>0.14000449244629401</v>
      </c>
      <c r="AD38" s="14">
        <f t="shared" si="1"/>
        <v>0.10999550755370599</v>
      </c>
    </row>
    <row r="39" spans="1:30" ht="15" x14ac:dyDescent="0.2">
      <c r="B39" s="10">
        <v>25</v>
      </c>
      <c r="C39" s="11">
        <v>500</v>
      </c>
      <c r="D39" s="11">
        <v>4</v>
      </c>
      <c r="E39" s="10">
        <v>62</v>
      </c>
      <c r="F39" s="12">
        <v>2.6933292113182898</v>
      </c>
      <c r="G39" s="10">
        <v>20</v>
      </c>
      <c r="H39" s="10">
        <v>44.5</v>
      </c>
      <c r="I39" s="9">
        <v>350</v>
      </c>
      <c r="J39" s="10">
        <v>450</v>
      </c>
      <c r="K39" s="11">
        <v>1964</v>
      </c>
      <c r="L39" s="12">
        <v>195</v>
      </c>
      <c r="M39" s="9">
        <v>0.19802857178821701</v>
      </c>
      <c r="N39" s="9">
        <v>0.17264603661794301</v>
      </c>
      <c r="O39" s="9">
        <v>0.233819372586938</v>
      </c>
      <c r="P39" s="9">
        <v>0.41709456944815898</v>
      </c>
      <c r="Q39" s="9">
        <v>0.158754488978194</v>
      </c>
      <c r="R39" s="9">
        <v>0.20687186490127599</v>
      </c>
      <c r="S39" s="13">
        <v>0.28740484609590755</v>
      </c>
      <c r="T39" s="9">
        <v>0.27430122838805998</v>
      </c>
      <c r="U39" s="9">
        <v>0.249959043221159</v>
      </c>
      <c r="V39" s="9">
        <v>0.25285237956224299</v>
      </c>
      <c r="W39" s="9">
        <v>0.25046264304705401</v>
      </c>
      <c r="X39" s="9">
        <v>0.37412457671013</v>
      </c>
      <c r="Y39" s="9">
        <v>0.27928426266762602</v>
      </c>
      <c r="Z39" s="12">
        <v>0.36</v>
      </c>
      <c r="AA39" s="12">
        <v>0.22713074776735301</v>
      </c>
      <c r="AB39" s="12">
        <f t="shared" si="0"/>
        <v>0.13286925223264698</v>
      </c>
      <c r="AC39" s="14">
        <v>0.24455201103266899</v>
      </c>
      <c r="AD39" s="14">
        <f t="shared" si="1"/>
        <v>0.11544798896733099</v>
      </c>
    </row>
    <row r="40" spans="1:30" ht="15" x14ac:dyDescent="0.2">
      <c r="B40" s="10">
        <v>25</v>
      </c>
      <c r="C40" s="11">
        <v>500</v>
      </c>
      <c r="D40" s="11">
        <v>4</v>
      </c>
      <c r="E40" s="10">
        <v>62</v>
      </c>
      <c r="F40" s="12">
        <v>2.6933292113182898</v>
      </c>
      <c r="G40" s="10">
        <v>20</v>
      </c>
      <c r="H40" s="10">
        <v>44.5</v>
      </c>
      <c r="I40" s="9">
        <v>350</v>
      </c>
      <c r="J40" s="10">
        <v>450</v>
      </c>
      <c r="K40" s="11">
        <v>1964</v>
      </c>
      <c r="L40" s="12">
        <v>255</v>
      </c>
      <c r="M40" s="9">
        <v>0.26939123271965498</v>
      </c>
      <c r="N40" s="9">
        <v>0.23486170812972401</v>
      </c>
      <c r="O40" s="9">
        <v>0.305763794921381</v>
      </c>
      <c r="P40" s="9">
        <v>0.71325639390839002</v>
      </c>
      <c r="Q40" s="9">
        <v>0.213827063446343</v>
      </c>
      <c r="R40" s="9">
        <v>0.27052474640936103</v>
      </c>
      <c r="S40" s="13">
        <v>0.39076660908946209</v>
      </c>
      <c r="T40" s="9">
        <v>0.36617671656755302</v>
      </c>
      <c r="U40" s="9">
        <v>0.326869518058439</v>
      </c>
      <c r="V40" s="9">
        <v>0.33770206410561698</v>
      </c>
      <c r="W40" s="9">
        <v>0.34769316654520699</v>
      </c>
      <c r="X40" s="9">
        <v>0.56092238587097998</v>
      </c>
      <c r="Y40" s="9">
        <v>0.41788952829966902</v>
      </c>
      <c r="Z40" s="12">
        <v>0.47</v>
      </c>
      <c r="AA40" s="12">
        <v>0.31459757927233301</v>
      </c>
      <c r="AB40" s="12">
        <f t="shared" si="0"/>
        <v>0.15540242072766697</v>
      </c>
      <c r="AC40" s="14">
        <v>0.349099529619044</v>
      </c>
      <c r="AD40" s="14">
        <f t="shared" si="1"/>
        <v>0.12090047038095597</v>
      </c>
    </row>
    <row r="41" spans="1:30" ht="15" x14ac:dyDescent="0.2">
      <c r="B41" s="10">
        <v>25</v>
      </c>
      <c r="C41" s="11">
        <v>500</v>
      </c>
      <c r="D41" s="11">
        <v>4</v>
      </c>
      <c r="E41" s="10">
        <v>62</v>
      </c>
      <c r="F41" s="12">
        <v>2.6933292113182898</v>
      </c>
      <c r="G41" s="10">
        <v>20</v>
      </c>
      <c r="H41" s="10">
        <v>44.5</v>
      </c>
      <c r="I41" s="9">
        <v>350</v>
      </c>
      <c r="J41" s="10">
        <v>450</v>
      </c>
      <c r="K41" s="11">
        <v>1964</v>
      </c>
      <c r="L41" s="12">
        <v>300</v>
      </c>
      <c r="M41" s="9">
        <v>0.322913228418233</v>
      </c>
      <c r="N41" s="9">
        <v>0.28152346176356002</v>
      </c>
      <c r="O41" s="9">
        <v>0.35972211167221302</v>
      </c>
      <c r="P41" s="9">
        <v>0.98720608153410305</v>
      </c>
      <c r="Q41" s="9">
        <v>0.25513149429745502</v>
      </c>
      <c r="R41" s="9">
        <v>0.31826440754042501</v>
      </c>
      <c r="S41" s="13">
        <v>0.46828793133462798</v>
      </c>
      <c r="T41" s="9">
        <v>0.43508333270217298</v>
      </c>
      <c r="U41" s="9">
        <v>0.38455237418639898</v>
      </c>
      <c r="V41" s="9">
        <v>0.40184799996411502</v>
      </c>
      <c r="W41" s="9">
        <v>0.41871623271781799</v>
      </c>
      <c r="X41" s="9">
        <v>0.71661137554259002</v>
      </c>
      <c r="Y41" s="9">
        <v>0.53591046017867605</v>
      </c>
      <c r="Z41" s="12">
        <v>0.56999999999999995</v>
      </c>
      <c r="AA41" s="12">
        <v>0.38019770290106802</v>
      </c>
      <c r="AB41" s="12">
        <f t="shared" si="0"/>
        <v>0.18980229709893193</v>
      </c>
      <c r="AC41" s="14">
        <v>0.42751016855882601</v>
      </c>
      <c r="AD41" s="14">
        <f t="shared" si="1"/>
        <v>0.14248983144117394</v>
      </c>
    </row>
    <row r="42" spans="1:30" ht="15" x14ac:dyDescent="0.2">
      <c r="B42" s="10">
        <v>25</v>
      </c>
      <c r="C42" s="11">
        <v>500</v>
      </c>
      <c r="D42" s="11">
        <v>4</v>
      </c>
      <c r="E42" s="10">
        <v>62</v>
      </c>
      <c r="F42" s="12">
        <v>2.6933292113182898</v>
      </c>
      <c r="G42" s="10">
        <v>20</v>
      </c>
      <c r="H42" s="10">
        <v>44.5</v>
      </c>
      <c r="I42" s="9">
        <v>350</v>
      </c>
      <c r="J42" s="10">
        <v>450</v>
      </c>
      <c r="K42" s="11">
        <v>1964</v>
      </c>
      <c r="L42" s="12">
        <v>360</v>
      </c>
      <c r="M42" s="9">
        <v>0.38484512345130201</v>
      </c>
      <c r="N42" s="9">
        <v>0.33551716641509199</v>
      </c>
      <c r="O42" s="9">
        <v>0.40277070489560102</v>
      </c>
      <c r="P42" s="9">
        <v>1.23762565650182</v>
      </c>
      <c r="Q42" s="9">
        <v>0.302926081223511</v>
      </c>
      <c r="R42" s="9">
        <v>0.37350539105557901</v>
      </c>
      <c r="S42" s="13">
        <v>0.55799016178116179</v>
      </c>
      <c r="T42" s="9">
        <v>0.51481723017428405</v>
      </c>
      <c r="U42" s="9">
        <v>0.45129892472691402</v>
      </c>
      <c r="V42" s="9">
        <v>0.45610555943189202</v>
      </c>
      <c r="W42" s="9">
        <v>0.49939143141625197</v>
      </c>
      <c r="X42" s="9">
        <v>0.91344179286607297</v>
      </c>
      <c r="Y42" s="9">
        <v>0.676813733906936</v>
      </c>
      <c r="Z42" s="12">
        <v>0.78</v>
      </c>
      <c r="AA42" s="12">
        <v>0.45610555943189202</v>
      </c>
      <c r="AB42" s="12">
        <f t="shared" si="0"/>
        <v>0.32389444056810801</v>
      </c>
      <c r="AC42" s="14">
        <v>0.51324201405572301</v>
      </c>
      <c r="AD42" s="14">
        <f t="shared" si="1"/>
        <v>0.26675798594427702</v>
      </c>
    </row>
    <row r="43" spans="1:30" ht="15" x14ac:dyDescent="0.2">
      <c r="A43" s="9" t="s">
        <v>37</v>
      </c>
      <c r="B43" s="10">
        <v>12</v>
      </c>
      <c r="C43" s="11">
        <v>500</v>
      </c>
      <c r="D43" s="11">
        <v>4</v>
      </c>
      <c r="E43" s="10">
        <v>79.3</v>
      </c>
      <c r="F43" s="12">
        <v>2.6933292113182898</v>
      </c>
      <c r="G43" s="10">
        <v>20</v>
      </c>
      <c r="H43" s="10">
        <v>34</v>
      </c>
      <c r="I43" s="9">
        <v>350</v>
      </c>
      <c r="J43" s="10">
        <v>450</v>
      </c>
      <c r="K43" s="11">
        <v>452</v>
      </c>
      <c r="L43" s="12">
        <v>37.5</v>
      </c>
      <c r="M43" s="9">
        <v>0.123601278848589</v>
      </c>
      <c r="N43" s="9">
        <v>0.128929548243119</v>
      </c>
      <c r="O43" s="9">
        <v>0.158019738781601</v>
      </c>
      <c r="P43" s="9">
        <v>0.113477572228636</v>
      </c>
      <c r="Q43" s="9">
        <v>8.62285655197986E-2</v>
      </c>
      <c r="R43" s="9">
        <v>0.15243660190670699</v>
      </c>
      <c r="S43" s="13">
        <v>0.15746860483059691</v>
      </c>
      <c r="T43" s="9">
        <v>0.154734444957662</v>
      </c>
      <c r="U43" s="9">
        <v>0.15094459465291199</v>
      </c>
      <c r="V43" s="9">
        <v>0.212644348091411</v>
      </c>
      <c r="W43" s="9">
        <v>0.15547380427579399</v>
      </c>
      <c r="X43" s="9">
        <v>0.12691956329147</v>
      </c>
      <c r="Y43" s="9">
        <v>0.10971446668410501</v>
      </c>
      <c r="Z43" s="12">
        <v>0.21</v>
      </c>
      <c r="AA43" s="12">
        <v>0.115038822092364</v>
      </c>
      <c r="AB43" s="12">
        <f t="shared" si="0"/>
        <v>9.4961177907635988E-2</v>
      </c>
      <c r="AC43" s="14">
        <v>0.12862827836683199</v>
      </c>
      <c r="AD43" s="14">
        <f t="shared" si="1"/>
        <v>8.1371721633167998E-2</v>
      </c>
    </row>
    <row r="44" spans="1:30" ht="15" x14ac:dyDescent="0.2">
      <c r="B44" s="10">
        <v>12</v>
      </c>
      <c r="C44" s="11">
        <v>500</v>
      </c>
      <c r="D44" s="11">
        <v>4</v>
      </c>
      <c r="E44" s="10">
        <v>79.3</v>
      </c>
      <c r="F44" s="12">
        <v>2.6933292113182898</v>
      </c>
      <c r="G44" s="10">
        <v>20</v>
      </c>
      <c r="H44" s="10">
        <v>34</v>
      </c>
      <c r="I44" s="9">
        <v>350</v>
      </c>
      <c r="J44" s="10">
        <v>450</v>
      </c>
      <c r="K44" s="11">
        <v>452</v>
      </c>
      <c r="L44" s="12">
        <v>45</v>
      </c>
      <c r="M44" s="9">
        <v>0.17871528641151799</v>
      </c>
      <c r="N44" s="9">
        <v>0.15471545789174199</v>
      </c>
      <c r="O44" s="9">
        <v>0.189623686537921</v>
      </c>
      <c r="P44" s="9">
        <v>0.16340770400923599</v>
      </c>
      <c r="Q44" s="9">
        <v>0.12999460926703499</v>
      </c>
      <c r="R44" s="9">
        <v>0.18292392228804799</v>
      </c>
      <c r="S44" s="13">
        <v>0.19626644017015454</v>
      </c>
      <c r="T44" s="9">
        <v>0.19536706474090401</v>
      </c>
      <c r="U44" s="9">
        <v>0.181133513583495</v>
      </c>
      <c r="V44" s="9">
        <v>0.26320836832803501</v>
      </c>
      <c r="W44" s="9">
        <v>0.23281475878676799</v>
      </c>
      <c r="X44" s="9">
        <v>0.19109857723155399</v>
      </c>
      <c r="Y44" s="9">
        <v>0.170997543398027</v>
      </c>
      <c r="Z44" s="12">
        <v>0.31</v>
      </c>
      <c r="AA44" s="12">
        <v>0.17127121819076399</v>
      </c>
      <c r="AB44" s="12">
        <f t="shared" si="0"/>
        <v>0.13872878180923601</v>
      </c>
      <c r="AC44" s="14">
        <v>0.21087955947822701</v>
      </c>
      <c r="AD44" s="14">
        <f t="shared" si="1"/>
        <v>9.912044052177299E-2</v>
      </c>
    </row>
    <row r="45" spans="1:30" ht="15" x14ac:dyDescent="0.2">
      <c r="B45" s="10">
        <v>12</v>
      </c>
      <c r="C45" s="11">
        <v>500</v>
      </c>
      <c r="D45" s="11">
        <v>4</v>
      </c>
      <c r="E45" s="10">
        <v>79.3</v>
      </c>
      <c r="F45" s="12">
        <v>2.6933292113182898</v>
      </c>
      <c r="G45" s="10">
        <v>20</v>
      </c>
      <c r="H45" s="10">
        <v>34</v>
      </c>
      <c r="I45" s="9">
        <v>350</v>
      </c>
      <c r="J45" s="10">
        <v>450</v>
      </c>
      <c r="K45" s="11">
        <v>452</v>
      </c>
      <c r="L45" s="12">
        <v>52.5</v>
      </c>
      <c r="M45" s="9">
        <v>0.23382929397444599</v>
      </c>
      <c r="N45" s="9">
        <v>0.182334198819364</v>
      </c>
      <c r="O45" s="9">
        <v>0.221227634294241</v>
      </c>
      <c r="P45" s="9">
        <v>0.222416041568126</v>
      </c>
      <c r="Q45" s="9">
        <v>0.17376065301427099</v>
      </c>
      <c r="R45" s="9">
        <v>0.21341124266938899</v>
      </c>
      <c r="S45" s="13">
        <v>0.23506427550971221</v>
      </c>
      <c r="T45" s="9">
        <v>0.23599968452414599</v>
      </c>
      <c r="U45" s="9">
        <v>0.21132243251407701</v>
      </c>
      <c r="V45" s="9">
        <v>0.31523014425319001</v>
      </c>
      <c r="W45" s="9">
        <v>0.30788868939637598</v>
      </c>
      <c r="X45" s="9">
        <v>0.25786701101210002</v>
      </c>
      <c r="Y45" s="9">
        <v>0.235606152292124</v>
      </c>
      <c r="Z45" s="12">
        <v>0.38</v>
      </c>
      <c r="AA45" s="12">
        <v>0.22879062923694601</v>
      </c>
      <c r="AB45" s="12">
        <f t="shared" si="0"/>
        <v>0.15120937076305399</v>
      </c>
      <c r="AC45" s="14">
        <v>0.29431649941524501</v>
      </c>
      <c r="AD45" s="14">
        <f t="shared" si="1"/>
        <v>8.568350058475499E-2</v>
      </c>
    </row>
    <row r="46" spans="1:30" ht="15" x14ac:dyDescent="0.2">
      <c r="B46" s="10">
        <v>12</v>
      </c>
      <c r="C46" s="11">
        <v>500</v>
      </c>
      <c r="D46" s="11">
        <v>4</v>
      </c>
      <c r="E46" s="10">
        <v>79.3</v>
      </c>
      <c r="F46" s="12">
        <v>2.6933292113182898</v>
      </c>
      <c r="G46" s="10">
        <v>20</v>
      </c>
      <c r="H46" s="10">
        <v>34</v>
      </c>
      <c r="I46" s="9">
        <v>350</v>
      </c>
      <c r="J46" s="10">
        <v>450</v>
      </c>
      <c r="K46" s="11">
        <v>452</v>
      </c>
      <c r="L46" s="12">
        <v>67.5</v>
      </c>
      <c r="M46" s="9">
        <v>0.34405730910030302</v>
      </c>
      <c r="N46" s="9">
        <v>0.26828723098144303</v>
      </c>
      <c r="O46" s="9">
        <v>0.28443552980688103</v>
      </c>
      <c r="P46" s="9">
        <v>0.36766733402078</v>
      </c>
      <c r="Q46" s="9">
        <v>0.26129274050874401</v>
      </c>
      <c r="R46" s="9">
        <v>0.27438588343207199</v>
      </c>
      <c r="S46" s="13">
        <v>0.31265994618882764</v>
      </c>
      <c r="T46" s="9">
        <v>0.31726492409063001</v>
      </c>
      <c r="U46" s="9">
        <v>0.27170027037524203</v>
      </c>
      <c r="V46" s="9">
        <v>0.42200204719783502</v>
      </c>
      <c r="W46" s="9">
        <v>0.450233347394978</v>
      </c>
      <c r="X46" s="9">
        <v>0.39531109325123498</v>
      </c>
      <c r="Y46" s="9">
        <v>0.37093892177749099</v>
      </c>
      <c r="Z46" s="12">
        <v>0.52</v>
      </c>
      <c r="AA46" s="12">
        <v>0.34382945132930998</v>
      </c>
      <c r="AB46" s="12">
        <f t="shared" si="0"/>
        <v>0.17617054867069004</v>
      </c>
      <c r="AC46" s="14">
        <v>0.46119037928928103</v>
      </c>
      <c r="AD46" s="14">
        <f t="shared" si="1"/>
        <v>5.8809620710718991E-2</v>
      </c>
    </row>
    <row r="47" spans="1:30" ht="15" x14ac:dyDescent="0.2">
      <c r="B47" s="10">
        <v>12</v>
      </c>
      <c r="C47" s="11">
        <v>500</v>
      </c>
      <c r="D47" s="11">
        <v>4</v>
      </c>
      <c r="E47" s="10">
        <v>79.3</v>
      </c>
      <c r="F47" s="12">
        <v>2.6933292113182898</v>
      </c>
      <c r="G47" s="10">
        <v>20</v>
      </c>
      <c r="H47" s="10">
        <v>34</v>
      </c>
      <c r="I47" s="9">
        <v>350</v>
      </c>
      <c r="J47" s="10">
        <v>450</v>
      </c>
      <c r="K47" s="11">
        <v>452</v>
      </c>
      <c r="L47" s="12">
        <v>90</v>
      </c>
      <c r="M47" s="9">
        <v>0.49651944162391898</v>
      </c>
      <c r="N47" s="9">
        <v>0.38717336501314897</v>
      </c>
      <c r="O47" s="9">
        <v>0.36155268598849899</v>
      </c>
      <c r="P47" s="9">
        <v>0.59406031512087498</v>
      </c>
      <c r="Q47" s="9">
        <v>0.38236294855352798</v>
      </c>
      <c r="R47" s="9">
        <v>0.35872309797708202</v>
      </c>
      <c r="S47" s="13">
        <v>0.4199865764727021</v>
      </c>
      <c r="T47" s="9">
        <v>0.42966712701700999</v>
      </c>
      <c r="U47" s="9">
        <v>0.35521201561503302</v>
      </c>
      <c r="V47" s="9">
        <v>0.50294566256817597</v>
      </c>
      <c r="W47" s="9">
        <v>0.63464867430204397</v>
      </c>
      <c r="X47" s="9">
        <v>0.59400332859502203</v>
      </c>
      <c r="Y47" s="9">
        <v>0.57156372915356402</v>
      </c>
      <c r="Z47" s="12">
        <v>0.74</v>
      </c>
      <c r="AA47" s="12">
        <v>0.50294566256817597</v>
      </c>
      <c r="AB47" s="12">
        <f t="shared" si="0"/>
        <v>0.23705433743182402</v>
      </c>
      <c r="AC47" s="14">
        <v>0.67679091065450503</v>
      </c>
      <c r="AD47" s="14">
        <f t="shared" si="1"/>
        <v>6.3209089345494962E-2</v>
      </c>
    </row>
    <row r="48" spans="1:30" ht="15" x14ac:dyDescent="0.2">
      <c r="A48" s="9" t="s">
        <v>38</v>
      </c>
      <c r="B48" s="10">
        <v>12</v>
      </c>
      <c r="C48" s="11">
        <v>500</v>
      </c>
      <c r="D48" s="11">
        <v>4</v>
      </c>
      <c r="E48" s="10">
        <v>79.3</v>
      </c>
      <c r="F48" s="12">
        <v>2.6933292113182898</v>
      </c>
      <c r="G48" s="10">
        <v>20</v>
      </c>
      <c r="H48" s="10">
        <v>34</v>
      </c>
      <c r="I48" s="9">
        <v>350</v>
      </c>
      <c r="J48" s="10">
        <v>450</v>
      </c>
      <c r="K48" s="11">
        <v>452</v>
      </c>
      <c r="L48" s="12">
        <v>37.5</v>
      </c>
      <c r="M48" s="9">
        <v>0.123601278848589</v>
      </c>
      <c r="N48" s="9">
        <v>0.128929548243119</v>
      </c>
      <c r="O48" s="9">
        <v>0.158019738781601</v>
      </c>
      <c r="P48" s="9">
        <v>0.113477572228636</v>
      </c>
      <c r="Q48" s="9">
        <v>8.62285655197986E-2</v>
      </c>
      <c r="R48" s="9">
        <v>0.15243660190670699</v>
      </c>
      <c r="S48" s="13">
        <v>0.15746860483059691</v>
      </c>
      <c r="T48" s="9">
        <v>0.154734444957662</v>
      </c>
      <c r="U48" s="9">
        <v>0.15094459465291199</v>
      </c>
      <c r="V48" s="9">
        <v>0.212644348091411</v>
      </c>
      <c r="W48" s="9">
        <v>0.15547380427579399</v>
      </c>
      <c r="X48" s="9">
        <v>0.12691956329147</v>
      </c>
      <c r="Y48" s="9">
        <v>0.10971446668410501</v>
      </c>
      <c r="Z48" s="12">
        <v>0.17</v>
      </c>
      <c r="AA48" s="12">
        <v>0.115038822092364</v>
      </c>
      <c r="AB48" s="12">
        <f t="shared" si="0"/>
        <v>5.4961177907636008E-2</v>
      </c>
      <c r="AC48" s="14">
        <v>0.12862827836683199</v>
      </c>
      <c r="AD48" s="14">
        <f t="shared" si="1"/>
        <v>4.1371721633168018E-2</v>
      </c>
    </row>
    <row r="49" spans="1:30" ht="15" x14ac:dyDescent="0.2">
      <c r="B49" s="10">
        <v>12</v>
      </c>
      <c r="C49" s="11">
        <v>500</v>
      </c>
      <c r="D49" s="11">
        <v>4</v>
      </c>
      <c r="E49" s="10">
        <v>79.3</v>
      </c>
      <c r="F49" s="12">
        <v>2.6933292113182898</v>
      </c>
      <c r="G49" s="10">
        <v>20</v>
      </c>
      <c r="H49" s="10">
        <v>34</v>
      </c>
      <c r="I49" s="9">
        <v>350</v>
      </c>
      <c r="J49" s="10">
        <v>450</v>
      </c>
      <c r="K49" s="11">
        <v>452</v>
      </c>
      <c r="L49" s="12">
        <v>52.5</v>
      </c>
      <c r="M49" s="9">
        <v>0.23382929397444599</v>
      </c>
      <c r="N49" s="9">
        <v>0.182334198819364</v>
      </c>
      <c r="O49" s="9">
        <v>0.221227634294241</v>
      </c>
      <c r="P49" s="9">
        <v>0.222416041568126</v>
      </c>
      <c r="Q49" s="9">
        <v>0.17376065301427099</v>
      </c>
      <c r="R49" s="9">
        <v>0.21341124266938899</v>
      </c>
      <c r="S49" s="13">
        <v>0.23506427550971221</v>
      </c>
      <c r="T49" s="9">
        <v>0.23599968452414599</v>
      </c>
      <c r="U49" s="9">
        <v>0.21132243251407701</v>
      </c>
      <c r="V49" s="9">
        <v>0.31523014425319001</v>
      </c>
      <c r="W49" s="9">
        <v>0.30788868939637598</v>
      </c>
      <c r="X49" s="9">
        <v>0.25786701101210002</v>
      </c>
      <c r="Y49" s="9">
        <v>0.235606152292124</v>
      </c>
      <c r="Z49" s="12">
        <v>0.36</v>
      </c>
      <c r="AA49" s="12">
        <v>0.22879062923694601</v>
      </c>
      <c r="AB49" s="12">
        <f t="shared" si="0"/>
        <v>0.13120937076305397</v>
      </c>
      <c r="AC49" s="14">
        <v>0.29431649941524501</v>
      </c>
      <c r="AD49" s="14">
        <f t="shared" si="1"/>
        <v>6.5683500584754972E-2</v>
      </c>
    </row>
    <row r="50" spans="1:30" ht="15" x14ac:dyDescent="0.2">
      <c r="B50" s="10">
        <v>12</v>
      </c>
      <c r="C50" s="11">
        <v>500</v>
      </c>
      <c r="D50" s="11">
        <v>4</v>
      </c>
      <c r="E50" s="10">
        <v>79.3</v>
      </c>
      <c r="F50" s="12">
        <v>2.6933292113182898</v>
      </c>
      <c r="G50" s="10">
        <v>20</v>
      </c>
      <c r="H50" s="10">
        <v>34</v>
      </c>
      <c r="I50" s="9">
        <v>350</v>
      </c>
      <c r="J50" s="10">
        <v>450</v>
      </c>
      <c r="K50" s="11">
        <v>452</v>
      </c>
      <c r="L50" s="12">
        <v>67.5</v>
      </c>
      <c r="M50" s="9">
        <v>0.34405730910030302</v>
      </c>
      <c r="N50" s="9">
        <v>0.26828723098144303</v>
      </c>
      <c r="O50" s="9">
        <v>0.28443552980688103</v>
      </c>
      <c r="P50" s="9">
        <v>0.36766733402078</v>
      </c>
      <c r="Q50" s="9">
        <v>0.26129274050874401</v>
      </c>
      <c r="R50" s="9">
        <v>0.27438588343207199</v>
      </c>
      <c r="S50" s="13">
        <v>0.31265994618882764</v>
      </c>
      <c r="T50" s="9">
        <v>0.31726492409063001</v>
      </c>
      <c r="U50" s="9">
        <v>0.27170027037524203</v>
      </c>
      <c r="V50" s="9">
        <v>0.42200204719783502</v>
      </c>
      <c r="W50" s="9">
        <v>0.450233347394978</v>
      </c>
      <c r="X50" s="9">
        <v>0.39531109325123498</v>
      </c>
      <c r="Y50" s="9">
        <v>0.37093892177749099</v>
      </c>
      <c r="Z50" s="12">
        <v>0.56000000000000005</v>
      </c>
      <c r="AA50" s="12">
        <v>0.34382945132930998</v>
      </c>
      <c r="AB50" s="12">
        <f t="shared" si="0"/>
        <v>0.21617054867069008</v>
      </c>
      <c r="AC50" s="14">
        <v>0.46119037928928103</v>
      </c>
      <c r="AD50" s="14">
        <f t="shared" si="1"/>
        <v>9.8809620710719026E-2</v>
      </c>
    </row>
    <row r="51" spans="1:30" ht="15" x14ac:dyDescent="0.2">
      <c r="B51" s="10">
        <v>12</v>
      </c>
      <c r="C51" s="11">
        <v>500</v>
      </c>
      <c r="D51" s="11">
        <v>4</v>
      </c>
      <c r="E51" s="10">
        <v>79.3</v>
      </c>
      <c r="F51" s="12">
        <v>2.6933292113182898</v>
      </c>
      <c r="G51" s="10">
        <v>20</v>
      </c>
      <c r="H51" s="10">
        <v>34</v>
      </c>
      <c r="I51" s="9">
        <v>350</v>
      </c>
      <c r="J51" s="10">
        <v>450</v>
      </c>
      <c r="K51" s="11">
        <v>452</v>
      </c>
      <c r="L51" s="12">
        <v>90</v>
      </c>
      <c r="M51" s="9">
        <v>0.49651944162391898</v>
      </c>
      <c r="N51" s="9">
        <v>0.38717336501314897</v>
      </c>
      <c r="O51" s="9">
        <v>0.36155268598849899</v>
      </c>
      <c r="P51" s="9">
        <v>0.59406031512087498</v>
      </c>
      <c r="Q51" s="9">
        <v>0.38236294855352798</v>
      </c>
      <c r="R51" s="9">
        <v>0.35872309797708202</v>
      </c>
      <c r="S51" s="13">
        <v>0.4199865764727021</v>
      </c>
      <c r="T51" s="9">
        <v>0.42966712701700999</v>
      </c>
      <c r="U51" s="9">
        <v>0.35521201561503302</v>
      </c>
      <c r="V51" s="9">
        <v>0.50294566256817597</v>
      </c>
      <c r="W51" s="9">
        <v>0.63464867430204397</v>
      </c>
      <c r="X51" s="9">
        <v>0.59400332859502203</v>
      </c>
      <c r="Y51" s="9">
        <v>0.57156372915356402</v>
      </c>
      <c r="Z51" s="12">
        <v>0.78</v>
      </c>
      <c r="AA51" s="12">
        <v>0.50294566256817597</v>
      </c>
      <c r="AB51" s="12">
        <f t="shared" si="0"/>
        <v>0.27705433743182406</v>
      </c>
      <c r="AC51" s="14">
        <v>0.67679091065450503</v>
      </c>
      <c r="AD51" s="14">
        <f t="shared" si="1"/>
        <v>0.103209089345495</v>
      </c>
    </row>
    <row r="52" spans="1:30" ht="15" x14ac:dyDescent="0.2">
      <c r="A52" s="9" t="s">
        <v>39</v>
      </c>
      <c r="B52" s="10">
        <v>12</v>
      </c>
      <c r="C52" s="11">
        <v>500</v>
      </c>
      <c r="D52" s="11">
        <v>4</v>
      </c>
      <c r="E52" s="10">
        <v>46</v>
      </c>
      <c r="F52" s="12">
        <v>2.6933292113182898</v>
      </c>
      <c r="G52" s="10">
        <v>70</v>
      </c>
      <c r="H52" s="10">
        <v>88</v>
      </c>
      <c r="I52" s="9">
        <v>350</v>
      </c>
      <c r="J52" s="10">
        <v>450</v>
      </c>
      <c r="K52" s="11">
        <v>452</v>
      </c>
      <c r="L52" s="12">
        <v>37.5</v>
      </c>
      <c r="M52" s="9">
        <v>0.17775875829437099</v>
      </c>
      <c r="N52" s="9">
        <v>0.32189705492002602</v>
      </c>
      <c r="O52" s="9">
        <v>0.35643211676504999</v>
      </c>
      <c r="P52" s="9">
        <v>0.1516070469554</v>
      </c>
      <c r="Q52" s="9">
        <v>0.35388215107782101</v>
      </c>
      <c r="R52" s="9">
        <v>0.43368023499729702</v>
      </c>
      <c r="S52" s="13">
        <v>0.25291912491556745</v>
      </c>
      <c r="T52" s="9">
        <v>0.27873857274862501</v>
      </c>
      <c r="U52" s="9">
        <v>0.38870614788651497</v>
      </c>
      <c r="V52" s="9">
        <v>0.45926972621923001</v>
      </c>
      <c r="W52" s="9">
        <v>0.39015477691263201</v>
      </c>
      <c r="X52" s="9">
        <v>0.26856327509053202</v>
      </c>
      <c r="Y52" s="9">
        <v>0.25075475797443098</v>
      </c>
      <c r="Z52" s="12">
        <v>0.31</v>
      </c>
      <c r="AA52" s="12">
        <v>0.26142770114999903</v>
      </c>
      <c r="AB52" s="12">
        <f t="shared" si="0"/>
        <v>4.8572298850000972E-2</v>
      </c>
      <c r="AC52" s="14">
        <v>0.337329961020365</v>
      </c>
      <c r="AD52" s="14">
        <f t="shared" si="1"/>
        <v>-2.7329961020365001E-2</v>
      </c>
    </row>
    <row r="53" spans="1:30" ht="15" x14ac:dyDescent="0.2">
      <c r="B53" s="10">
        <v>12</v>
      </c>
      <c r="C53" s="11">
        <v>500</v>
      </c>
      <c r="D53" s="11">
        <v>4</v>
      </c>
      <c r="E53" s="10">
        <v>46</v>
      </c>
      <c r="F53" s="12">
        <v>2.6933292113182898</v>
      </c>
      <c r="G53" s="10">
        <v>70</v>
      </c>
      <c r="H53" s="10">
        <v>88</v>
      </c>
      <c r="I53" s="9">
        <v>350</v>
      </c>
      <c r="J53" s="10">
        <v>450</v>
      </c>
      <c r="K53" s="11">
        <v>452</v>
      </c>
      <c r="L53" s="12">
        <v>45</v>
      </c>
      <c r="M53" s="9">
        <v>0.29205769761843797</v>
      </c>
      <c r="N53" s="9">
        <v>0.38627646590403097</v>
      </c>
      <c r="O53" s="9">
        <v>0.42771854011805999</v>
      </c>
      <c r="P53" s="9">
        <v>0.218314147615776</v>
      </c>
      <c r="Q53" s="9">
        <v>0.48460524761713802</v>
      </c>
      <c r="R53" s="9">
        <v>0.52041628199675705</v>
      </c>
      <c r="S53" s="13">
        <v>0.31336359593043667</v>
      </c>
      <c r="T53" s="9">
        <v>0.34899935700575702</v>
      </c>
      <c r="U53" s="9">
        <v>0.46644737746381798</v>
      </c>
      <c r="V53" s="9">
        <v>0.57347208499430402</v>
      </c>
      <c r="W53" s="9">
        <v>0.54740373328463199</v>
      </c>
      <c r="X53" s="9">
        <v>0.36707375632649403</v>
      </c>
      <c r="Y53" s="9">
        <v>0.35059800811605601</v>
      </c>
      <c r="Z53" s="12">
        <v>0.44</v>
      </c>
      <c r="AA53" s="12">
        <v>0.35522130050725198</v>
      </c>
      <c r="AB53" s="12">
        <f t="shared" si="0"/>
        <v>8.4778699492748022E-2</v>
      </c>
      <c r="AC53" s="14">
        <v>0.512087718894221</v>
      </c>
      <c r="AD53" s="14">
        <f t="shared" si="1"/>
        <v>-7.2087718894220998E-2</v>
      </c>
    </row>
    <row r="54" spans="1:30" ht="15" x14ac:dyDescent="0.2">
      <c r="A54" s="9" t="s">
        <v>40</v>
      </c>
      <c r="B54" s="10">
        <v>12</v>
      </c>
      <c r="C54" s="11">
        <v>500</v>
      </c>
      <c r="D54" s="11">
        <v>4</v>
      </c>
      <c r="E54" s="10">
        <v>46</v>
      </c>
      <c r="F54" s="12">
        <v>2.6933292113182898</v>
      </c>
      <c r="G54" s="10">
        <v>70</v>
      </c>
      <c r="H54" s="10">
        <v>84</v>
      </c>
      <c r="I54" s="9">
        <v>350</v>
      </c>
      <c r="J54" s="10">
        <v>450</v>
      </c>
      <c r="K54" s="11">
        <v>452</v>
      </c>
      <c r="L54" s="12">
        <v>30</v>
      </c>
      <c r="M54" s="9">
        <v>5.8682947698771998E-2</v>
      </c>
      <c r="N54" s="9">
        <v>0.25448360281216198</v>
      </c>
      <c r="O54" s="9">
        <v>0.28189693997758702</v>
      </c>
      <c r="P54" s="9">
        <v>9.4830153189527797E-2</v>
      </c>
      <c r="Q54" s="9">
        <v>0.204318340594315</v>
      </c>
      <c r="R54" s="9">
        <v>0.32870463872725197</v>
      </c>
      <c r="S54" s="13">
        <v>0.18504978779943596</v>
      </c>
      <c r="T54" s="9">
        <v>0.201162258911391</v>
      </c>
      <c r="U54" s="9">
        <v>0.29412765044564299</v>
      </c>
      <c r="V54" s="9">
        <v>0.34115284171600002</v>
      </c>
      <c r="W54" s="9">
        <v>0.25772959683539298</v>
      </c>
      <c r="X54" s="9">
        <v>0.206685401726936</v>
      </c>
      <c r="Y54" s="9">
        <v>0.189957038952</v>
      </c>
      <c r="Z54" s="12">
        <v>0.14000000000000001</v>
      </c>
      <c r="AA54" s="12">
        <v>0.204037001359618</v>
      </c>
      <c r="AB54" s="12">
        <f t="shared" si="0"/>
        <v>-6.4037001359617984E-2</v>
      </c>
      <c r="AC54" s="14">
        <v>0.208248294659241</v>
      </c>
      <c r="AD54" s="14">
        <f t="shared" si="1"/>
        <v>-6.8248294659240982E-2</v>
      </c>
    </row>
    <row r="55" spans="1:30" ht="15" x14ac:dyDescent="0.2">
      <c r="B55" s="10">
        <v>12</v>
      </c>
      <c r="C55" s="11">
        <v>500</v>
      </c>
      <c r="D55" s="11">
        <v>4</v>
      </c>
      <c r="E55" s="10">
        <v>46</v>
      </c>
      <c r="F55" s="12">
        <v>2.6933292113182898</v>
      </c>
      <c r="G55" s="10">
        <v>70</v>
      </c>
      <c r="H55" s="10">
        <v>84</v>
      </c>
      <c r="I55" s="9">
        <v>350</v>
      </c>
      <c r="J55" s="10">
        <v>450</v>
      </c>
      <c r="K55" s="11">
        <v>452</v>
      </c>
      <c r="L55" s="12">
        <v>37.5</v>
      </c>
      <c r="M55" s="9">
        <v>0.17160378323165601</v>
      </c>
      <c r="N55" s="9">
        <v>0.31810450351520297</v>
      </c>
      <c r="O55" s="9">
        <v>0.352371174971984</v>
      </c>
      <c r="P55" s="9">
        <v>0.148172114358637</v>
      </c>
      <c r="Q55" s="9">
        <v>0.32769362389701601</v>
      </c>
      <c r="R55" s="9">
        <v>0.410880798409065</v>
      </c>
      <c r="S55" s="13">
        <v>0.24333268414618967</v>
      </c>
      <c r="T55" s="9">
        <v>0.26922754232665702</v>
      </c>
      <c r="U55" s="9">
        <v>0.367659563057054</v>
      </c>
      <c r="V55" s="9">
        <v>0.44695119530032301</v>
      </c>
      <c r="W55" s="9">
        <v>0.37777567175969301</v>
      </c>
      <c r="X55" s="9">
        <v>0.26192842472274003</v>
      </c>
      <c r="Y55" s="9">
        <v>0.24411368354271801</v>
      </c>
      <c r="Z55" s="12">
        <v>0.31</v>
      </c>
      <c r="AA55" s="12">
        <v>0.255046251699522</v>
      </c>
      <c r="AB55" s="12">
        <f t="shared" si="0"/>
        <v>5.4953748300478E-2</v>
      </c>
      <c r="AC55" s="14">
        <v>0.32538796040506401</v>
      </c>
      <c r="AD55" s="14">
        <f t="shared" si="1"/>
        <v>-1.5387960405064016E-2</v>
      </c>
    </row>
    <row r="56" spans="1:30" ht="15" x14ac:dyDescent="0.2">
      <c r="B56" s="10">
        <v>12</v>
      </c>
      <c r="C56" s="11">
        <v>500</v>
      </c>
      <c r="D56" s="11">
        <v>4</v>
      </c>
      <c r="E56" s="10">
        <v>46</v>
      </c>
      <c r="F56" s="12">
        <v>2.6933292113182898</v>
      </c>
      <c r="G56" s="10">
        <v>70</v>
      </c>
      <c r="H56" s="10">
        <v>84</v>
      </c>
      <c r="I56" s="9">
        <v>350</v>
      </c>
      <c r="J56" s="10">
        <v>450</v>
      </c>
      <c r="K56" s="11">
        <v>452</v>
      </c>
      <c r="L56" s="12">
        <v>45</v>
      </c>
      <c r="M56" s="9">
        <v>0.28452461876453899</v>
      </c>
      <c r="N56" s="9">
        <v>0.38172540421824303</v>
      </c>
      <c r="O56" s="9">
        <v>0.42284540996638098</v>
      </c>
      <c r="P56" s="9">
        <v>0.21336784467643799</v>
      </c>
      <c r="Q56" s="9">
        <v>0.45106890719971798</v>
      </c>
      <c r="R56" s="9">
        <v>0.49305695809087802</v>
      </c>
      <c r="S56" s="13">
        <v>0.30161558049294335</v>
      </c>
      <c r="T56" s="9">
        <v>0.33729282574192299</v>
      </c>
      <c r="U56" s="9">
        <v>0.44119147566846401</v>
      </c>
      <c r="V56" s="9">
        <v>0.55810831374453196</v>
      </c>
      <c r="W56" s="9">
        <v>0.52828836334725704</v>
      </c>
      <c r="X56" s="9">
        <v>0.35330111276505599</v>
      </c>
      <c r="Y56" s="9">
        <v>0.33666233863404699</v>
      </c>
      <c r="Z56" s="12">
        <v>0.4</v>
      </c>
      <c r="AA56" s="12">
        <v>0.34178055859895101</v>
      </c>
      <c r="AB56" s="12">
        <f t="shared" si="0"/>
        <v>5.821944140104901E-2</v>
      </c>
      <c r="AC56" s="14">
        <v>0.491638007513166</v>
      </c>
      <c r="AD56" s="14">
        <f t="shared" si="1"/>
        <v>-9.1638007513165975E-2</v>
      </c>
    </row>
    <row r="57" spans="1:30" ht="15" x14ac:dyDescent="0.2">
      <c r="A57" s="9" t="s">
        <v>41</v>
      </c>
      <c r="B57" s="10">
        <v>12</v>
      </c>
      <c r="C57" s="11">
        <v>500</v>
      </c>
      <c r="D57" s="11">
        <v>4</v>
      </c>
      <c r="E57" s="10">
        <v>46</v>
      </c>
      <c r="F57" s="12">
        <v>2.6933292113182898</v>
      </c>
      <c r="G57" s="10">
        <v>70</v>
      </c>
      <c r="H57" s="10">
        <v>84</v>
      </c>
      <c r="I57" s="9">
        <v>350</v>
      </c>
      <c r="J57" s="10">
        <v>450</v>
      </c>
      <c r="K57" s="11">
        <v>452</v>
      </c>
      <c r="L57" s="12">
        <v>30</v>
      </c>
      <c r="M57" s="9">
        <v>5.8682947698771998E-2</v>
      </c>
      <c r="N57" s="9">
        <v>0.25448360281216198</v>
      </c>
      <c r="O57" s="9">
        <v>0.28189693997758702</v>
      </c>
      <c r="P57" s="9">
        <v>9.4830153189527797E-2</v>
      </c>
      <c r="Q57" s="9">
        <v>0.204318340594315</v>
      </c>
      <c r="R57" s="9">
        <v>0.32870463872725197</v>
      </c>
      <c r="S57" s="13">
        <v>0.18504978779943596</v>
      </c>
      <c r="T57" s="9">
        <v>0.201162258911391</v>
      </c>
      <c r="U57" s="9">
        <v>0.29412765044564299</v>
      </c>
      <c r="V57" s="9">
        <v>0.34115284171600002</v>
      </c>
      <c r="W57" s="9">
        <v>0.25772959683539298</v>
      </c>
      <c r="X57" s="9">
        <v>0.206685401726936</v>
      </c>
      <c r="Y57" s="9">
        <v>0.189957038952</v>
      </c>
      <c r="Z57" s="12">
        <v>0.25</v>
      </c>
      <c r="AA57" s="12">
        <v>0.204037001359618</v>
      </c>
      <c r="AB57" s="12">
        <f t="shared" si="0"/>
        <v>4.5962998640382002E-2</v>
      </c>
      <c r="AC57" s="14">
        <v>0.208248294659241</v>
      </c>
      <c r="AD57" s="14">
        <f t="shared" si="1"/>
        <v>4.1751705340759004E-2</v>
      </c>
    </row>
    <row r="58" spans="1:30" ht="15" x14ac:dyDescent="0.2">
      <c r="B58" s="10">
        <v>12</v>
      </c>
      <c r="C58" s="11">
        <v>500</v>
      </c>
      <c r="D58" s="11">
        <v>4</v>
      </c>
      <c r="E58" s="10">
        <v>46</v>
      </c>
      <c r="F58" s="12">
        <v>2.6933292113182898</v>
      </c>
      <c r="G58" s="10">
        <v>70</v>
      </c>
      <c r="H58" s="10">
        <v>84</v>
      </c>
      <c r="I58" s="9">
        <v>350</v>
      </c>
      <c r="J58" s="10">
        <v>450</v>
      </c>
      <c r="K58" s="11">
        <v>452</v>
      </c>
      <c r="L58" s="12">
        <v>37.5</v>
      </c>
      <c r="M58" s="9">
        <v>0.17160378323165601</v>
      </c>
      <c r="N58" s="9">
        <v>0.31810450351520297</v>
      </c>
      <c r="O58" s="9">
        <v>0.352371174971984</v>
      </c>
      <c r="P58" s="9">
        <v>0.148172114358637</v>
      </c>
      <c r="Q58" s="9">
        <v>0.32769362389701601</v>
      </c>
      <c r="R58" s="9">
        <v>0.410880798409065</v>
      </c>
      <c r="S58" s="13">
        <v>0.24333268414618967</v>
      </c>
      <c r="T58" s="9">
        <v>0.26922754232665702</v>
      </c>
      <c r="U58" s="9">
        <v>0.367659563057054</v>
      </c>
      <c r="V58" s="9">
        <v>0.44695119530032301</v>
      </c>
      <c r="W58" s="9">
        <v>0.37777567175969301</v>
      </c>
      <c r="X58" s="9">
        <v>0.26192842472274003</v>
      </c>
      <c r="Y58" s="9">
        <v>0.24411368354271801</v>
      </c>
      <c r="Z58" s="12">
        <v>0.44</v>
      </c>
      <c r="AA58" s="12">
        <v>0.255046251699522</v>
      </c>
      <c r="AB58" s="12">
        <f t="shared" si="0"/>
        <v>0.184953748300478</v>
      </c>
      <c r="AC58" s="14">
        <v>0.32538796040506401</v>
      </c>
      <c r="AD58" s="14">
        <f t="shared" si="1"/>
        <v>0.11461203959493599</v>
      </c>
    </row>
    <row r="59" spans="1:30" ht="15" x14ac:dyDescent="0.2">
      <c r="B59" s="10">
        <v>12</v>
      </c>
      <c r="C59" s="11">
        <v>500</v>
      </c>
      <c r="D59" s="11">
        <v>4</v>
      </c>
      <c r="E59" s="10">
        <v>46</v>
      </c>
      <c r="F59" s="12">
        <v>2.6933292113182898</v>
      </c>
      <c r="G59" s="10">
        <v>70</v>
      </c>
      <c r="H59" s="10">
        <v>84</v>
      </c>
      <c r="I59" s="9">
        <v>350</v>
      </c>
      <c r="J59" s="10">
        <v>450</v>
      </c>
      <c r="K59" s="11">
        <v>452</v>
      </c>
      <c r="L59" s="12">
        <v>45</v>
      </c>
      <c r="M59" s="9">
        <v>0.28452461876453899</v>
      </c>
      <c r="N59" s="9">
        <v>0.38172540421824303</v>
      </c>
      <c r="O59" s="9">
        <v>0.42284540996638098</v>
      </c>
      <c r="P59" s="9">
        <v>0.21336784467643799</v>
      </c>
      <c r="Q59" s="9">
        <v>0.45106890719971798</v>
      </c>
      <c r="R59" s="9">
        <v>0.49305695809087802</v>
      </c>
      <c r="S59" s="13">
        <v>0.30161558049294335</v>
      </c>
      <c r="T59" s="9">
        <v>0.33729282574192299</v>
      </c>
      <c r="U59" s="9">
        <v>0.44119147566846401</v>
      </c>
      <c r="V59" s="9">
        <v>0.55810831374453196</v>
      </c>
      <c r="W59" s="9">
        <v>0.52828836334725704</v>
      </c>
      <c r="X59" s="9">
        <v>0.35330111276505599</v>
      </c>
      <c r="Y59" s="9">
        <v>0.33666233863404699</v>
      </c>
      <c r="Z59" s="12">
        <v>0.56000000000000005</v>
      </c>
      <c r="AA59" s="12">
        <v>0.34178055859895101</v>
      </c>
      <c r="AB59" s="12">
        <f t="shared" si="0"/>
        <v>0.21821944140104904</v>
      </c>
      <c r="AC59" s="14">
        <v>0.491638007513166</v>
      </c>
      <c r="AD59" s="14">
        <f t="shared" si="1"/>
        <v>6.8361992486834056E-2</v>
      </c>
    </row>
    <row r="60" spans="1:30" ht="15" x14ac:dyDescent="0.2">
      <c r="A60" s="9" t="s">
        <v>42</v>
      </c>
      <c r="B60" s="10">
        <v>25</v>
      </c>
      <c r="C60" s="11">
        <v>500</v>
      </c>
      <c r="D60" s="11">
        <v>4</v>
      </c>
      <c r="E60" s="10">
        <v>62</v>
      </c>
      <c r="F60" s="12">
        <v>2.6933292113182898</v>
      </c>
      <c r="G60" s="10">
        <v>20</v>
      </c>
      <c r="H60" s="10">
        <v>40.5</v>
      </c>
      <c r="I60" s="9">
        <v>350</v>
      </c>
      <c r="J60" s="10">
        <v>450</v>
      </c>
      <c r="K60" s="11">
        <v>1964</v>
      </c>
      <c r="L60" s="12">
        <v>150</v>
      </c>
      <c r="M60" s="9">
        <v>0.14122631889913001</v>
      </c>
      <c r="N60" s="9">
        <v>0.123611894101224</v>
      </c>
      <c r="O60" s="9">
        <v>0.17799191159417399</v>
      </c>
      <c r="P60" s="9">
        <v>0.24169857413436399</v>
      </c>
      <c r="Q60" s="9">
        <v>0.10544233907574201</v>
      </c>
      <c r="R60" s="9">
        <v>0.14383411603156701</v>
      </c>
      <c r="S60" s="13">
        <v>0.20185815523052475</v>
      </c>
      <c r="T60" s="9">
        <v>0.19519775377137499</v>
      </c>
      <c r="U60" s="9">
        <v>0.176130184527126</v>
      </c>
      <c r="V60" s="9">
        <v>0.18103752318944699</v>
      </c>
      <c r="W60" s="9">
        <v>0.16770822936657301</v>
      </c>
      <c r="X60" s="9">
        <v>0.24569876241229999</v>
      </c>
      <c r="Y60" s="9">
        <v>0.18174855379482599</v>
      </c>
      <c r="Z60" s="12">
        <v>0.23</v>
      </c>
      <c r="AA60" s="12">
        <v>0.15610003267778999</v>
      </c>
      <c r="AB60" s="12">
        <f t="shared" si="0"/>
        <v>7.389996732221002E-2</v>
      </c>
      <c r="AC60" s="14">
        <v>0.15979660735343701</v>
      </c>
      <c r="AD60" s="14">
        <f t="shared" si="1"/>
        <v>7.0203392646563001E-2</v>
      </c>
    </row>
    <row r="61" spans="1:30" ht="15" x14ac:dyDescent="0.2">
      <c r="B61" s="10">
        <v>25</v>
      </c>
      <c r="C61" s="11">
        <v>500</v>
      </c>
      <c r="D61" s="11">
        <v>4</v>
      </c>
      <c r="E61" s="10">
        <v>62</v>
      </c>
      <c r="F61" s="12">
        <v>2.6933292113182898</v>
      </c>
      <c r="G61" s="10">
        <v>20</v>
      </c>
      <c r="H61" s="10">
        <v>40.5</v>
      </c>
      <c r="I61" s="9">
        <v>350</v>
      </c>
      <c r="J61" s="10">
        <v>450</v>
      </c>
      <c r="K61" s="11">
        <v>1964</v>
      </c>
      <c r="L61" s="12">
        <v>225</v>
      </c>
      <c r="M61" s="9">
        <v>0.22835615725307201</v>
      </c>
      <c r="N61" s="9">
        <v>0.19987448053425899</v>
      </c>
      <c r="O61" s="9">
        <v>0.26698786739126101</v>
      </c>
      <c r="P61" s="9">
        <v>0.54382179180231804</v>
      </c>
      <c r="Q61" s="9">
        <v>0.167451685883762</v>
      </c>
      <c r="R61" s="9">
        <v>0.21575117404735</v>
      </c>
      <c r="S61" s="13">
        <v>0.32641882392102139</v>
      </c>
      <c r="T61" s="9">
        <v>0.30447476144073798</v>
      </c>
      <c r="U61" s="9">
        <v>0.26419527679068899</v>
      </c>
      <c r="V61" s="9">
        <v>0.28066544154832701</v>
      </c>
      <c r="W61" s="9">
        <v>0.28449284747940901</v>
      </c>
      <c r="X61" s="9">
        <v>0.45402654428008299</v>
      </c>
      <c r="Y61" s="9">
        <v>0.33563541112836798</v>
      </c>
      <c r="Z61" s="12">
        <v>0.35</v>
      </c>
      <c r="AA61" s="12">
        <v>0.25946151729319999</v>
      </c>
      <c r="AB61" s="12">
        <f t="shared" si="0"/>
        <v>9.0538482706799983E-2</v>
      </c>
      <c r="AC61" s="14">
        <v>0.28188069149101402</v>
      </c>
      <c r="AD61" s="14">
        <f t="shared" si="1"/>
        <v>6.8119308508985954E-2</v>
      </c>
    </row>
    <row r="62" spans="1:30" ht="15" x14ac:dyDescent="0.2">
      <c r="B62" s="10">
        <v>25</v>
      </c>
      <c r="C62" s="11">
        <v>500</v>
      </c>
      <c r="D62" s="11">
        <v>4</v>
      </c>
      <c r="E62" s="10">
        <v>62</v>
      </c>
      <c r="F62" s="12">
        <v>2.6933292113182898</v>
      </c>
      <c r="G62" s="10">
        <v>20</v>
      </c>
      <c r="H62" s="10">
        <v>40.5</v>
      </c>
      <c r="I62" s="9">
        <v>350</v>
      </c>
      <c r="J62" s="10">
        <v>450</v>
      </c>
      <c r="K62" s="11">
        <v>1964</v>
      </c>
      <c r="L62" s="12">
        <v>300</v>
      </c>
      <c r="M62" s="9">
        <v>0.31548599560701501</v>
      </c>
      <c r="N62" s="9">
        <v>0.27613706696729501</v>
      </c>
      <c r="O62" s="9">
        <v>0.35598382318834798</v>
      </c>
      <c r="P62" s="9">
        <v>0.96679429653745397</v>
      </c>
      <c r="Q62" s="9">
        <v>0.229461032691783</v>
      </c>
      <c r="R62" s="9">
        <v>0.28766823206313302</v>
      </c>
      <c r="S62" s="13">
        <v>0.4509794926115181</v>
      </c>
      <c r="T62" s="9">
        <v>0.41375176911010098</v>
      </c>
      <c r="U62" s="9">
        <v>0.35226036905425201</v>
      </c>
      <c r="V62" s="9">
        <v>0.38172208565646698</v>
      </c>
      <c r="W62" s="9">
        <v>0.39665919789350701</v>
      </c>
      <c r="X62" s="9">
        <v>0.69871634248316605</v>
      </c>
      <c r="Y62" s="9">
        <v>0.51762133359117801</v>
      </c>
      <c r="Z62" s="12">
        <v>0.49</v>
      </c>
      <c r="AA62" s="12">
        <v>0.36282300190861</v>
      </c>
      <c r="AB62" s="12">
        <f t="shared" si="0"/>
        <v>0.12717699809138999</v>
      </c>
      <c r="AC62" s="14">
        <v>0.40396477562859101</v>
      </c>
      <c r="AD62" s="14">
        <f t="shared" si="1"/>
        <v>8.603522437140898E-2</v>
      </c>
    </row>
    <row r="63" spans="1:30" ht="15" x14ac:dyDescent="0.2">
      <c r="B63" s="10">
        <v>25</v>
      </c>
      <c r="C63" s="11">
        <v>500</v>
      </c>
      <c r="D63" s="11">
        <v>4</v>
      </c>
      <c r="E63" s="10">
        <v>62</v>
      </c>
      <c r="F63" s="12">
        <v>2.6933292113182898</v>
      </c>
      <c r="G63" s="10">
        <v>20</v>
      </c>
      <c r="H63" s="10">
        <v>40.5</v>
      </c>
      <c r="I63" s="9">
        <v>350</v>
      </c>
      <c r="J63" s="10">
        <v>450</v>
      </c>
      <c r="K63" s="11">
        <v>1964</v>
      </c>
      <c r="L63" s="12">
        <v>375</v>
      </c>
      <c r="M63" s="9">
        <v>0.380222433942772</v>
      </c>
      <c r="N63" s="9">
        <v>0.33279926578708802</v>
      </c>
      <c r="O63" s="9">
        <v>0.40277070489560102</v>
      </c>
      <c r="P63" s="9">
        <v>1.23762565650182</v>
      </c>
      <c r="Q63" s="9">
        <v>0.275533243219376</v>
      </c>
      <c r="R63" s="9">
        <v>0.34110175471716903</v>
      </c>
      <c r="S63" s="13">
        <v>0.543526594730389</v>
      </c>
      <c r="T63" s="9">
        <v>0.49494329203898202</v>
      </c>
      <c r="U63" s="9">
        <v>0.41769168997205303</v>
      </c>
      <c r="V63" s="9">
        <v>0.43961936124438999</v>
      </c>
      <c r="W63" s="9">
        <v>0.47797067242625102</v>
      </c>
      <c r="X63" s="9">
        <v>0.90406272691227096</v>
      </c>
      <c r="Y63" s="9">
        <v>0.66114062330281198</v>
      </c>
      <c r="Z63" s="12">
        <v>0.67</v>
      </c>
      <c r="AA63" s="12">
        <v>0.43961936124438999</v>
      </c>
      <c r="AB63" s="12">
        <f t="shared" si="0"/>
        <v>0.23038063875561005</v>
      </c>
      <c r="AC63" s="14">
        <v>0.49024229779742001</v>
      </c>
      <c r="AD63" s="14">
        <f t="shared" si="1"/>
        <v>0.17975770220258003</v>
      </c>
    </row>
    <row r="64" spans="1:30" ht="15" x14ac:dyDescent="0.2">
      <c r="A64" s="9" t="s">
        <v>43</v>
      </c>
      <c r="B64" s="10">
        <v>25</v>
      </c>
      <c r="C64" s="11">
        <v>500</v>
      </c>
      <c r="D64" s="11">
        <v>4</v>
      </c>
      <c r="E64" s="10">
        <v>62</v>
      </c>
      <c r="F64" s="12">
        <v>2.6933292113182898</v>
      </c>
      <c r="G64" s="10">
        <v>20</v>
      </c>
      <c r="H64" s="10">
        <v>40.5</v>
      </c>
      <c r="I64" s="9">
        <v>350</v>
      </c>
      <c r="J64" s="10">
        <v>450</v>
      </c>
      <c r="K64" s="11">
        <v>1964</v>
      </c>
      <c r="L64" s="12">
        <v>150</v>
      </c>
      <c r="M64" s="9">
        <v>0.14122631889913001</v>
      </c>
      <c r="N64" s="9">
        <v>0.123611894101224</v>
      </c>
      <c r="O64" s="9">
        <v>0.17799191159417399</v>
      </c>
      <c r="P64" s="9">
        <v>0.24169857413436399</v>
      </c>
      <c r="Q64" s="9">
        <v>0.10544233907574201</v>
      </c>
      <c r="R64" s="9">
        <v>0.14383411603156701</v>
      </c>
      <c r="S64" s="13">
        <v>0.20185815523052475</v>
      </c>
      <c r="T64" s="9">
        <v>0.19519775377137499</v>
      </c>
      <c r="U64" s="9">
        <v>0.176130184527126</v>
      </c>
      <c r="V64" s="9">
        <v>0.18103752318944699</v>
      </c>
      <c r="W64" s="9">
        <v>0.16770822936657301</v>
      </c>
      <c r="X64" s="9">
        <v>0.24569876241229999</v>
      </c>
      <c r="Y64" s="9">
        <v>0.18174855379482599</v>
      </c>
      <c r="Z64" s="12">
        <v>0.27</v>
      </c>
      <c r="AA64" s="12">
        <v>0.15610003267778999</v>
      </c>
      <c r="AB64" s="12">
        <f t="shared" si="0"/>
        <v>0.11389996732221003</v>
      </c>
      <c r="AC64" s="14">
        <v>0.15979660735343701</v>
      </c>
      <c r="AD64" s="14">
        <f t="shared" si="1"/>
        <v>0.11020339264656301</v>
      </c>
    </row>
    <row r="65" spans="1:30" ht="15" x14ac:dyDescent="0.2">
      <c r="B65" s="10">
        <v>25</v>
      </c>
      <c r="C65" s="11">
        <v>500</v>
      </c>
      <c r="D65" s="11">
        <v>4</v>
      </c>
      <c r="E65" s="10">
        <v>62</v>
      </c>
      <c r="F65" s="12">
        <v>2.6933292113182898</v>
      </c>
      <c r="G65" s="10">
        <v>20</v>
      </c>
      <c r="H65" s="10">
        <v>40.5</v>
      </c>
      <c r="I65" s="9">
        <v>350</v>
      </c>
      <c r="J65" s="10">
        <v>450</v>
      </c>
      <c r="K65" s="11">
        <v>1964</v>
      </c>
      <c r="L65" s="12">
        <v>225</v>
      </c>
      <c r="M65" s="9">
        <v>0.22835615725307201</v>
      </c>
      <c r="N65" s="9">
        <v>0.19987448053425899</v>
      </c>
      <c r="O65" s="9">
        <v>0.26698786739126101</v>
      </c>
      <c r="P65" s="9">
        <v>0.54382179180231804</v>
      </c>
      <c r="Q65" s="9">
        <v>0.167451685883762</v>
      </c>
      <c r="R65" s="9">
        <v>0.21575117404735</v>
      </c>
      <c r="S65" s="13">
        <v>0.32641882392102139</v>
      </c>
      <c r="T65" s="9">
        <v>0.30447476144073798</v>
      </c>
      <c r="U65" s="9">
        <v>0.26419527679068899</v>
      </c>
      <c r="V65" s="9">
        <v>0.28066544154832701</v>
      </c>
      <c r="W65" s="9">
        <v>0.28449284747940901</v>
      </c>
      <c r="X65" s="9">
        <v>0.45402654428008299</v>
      </c>
      <c r="Y65" s="9">
        <v>0.33563541112836798</v>
      </c>
      <c r="Z65" s="12">
        <v>0.4</v>
      </c>
      <c r="AA65" s="12">
        <v>0.25946151729319999</v>
      </c>
      <c r="AB65" s="12">
        <f t="shared" si="0"/>
        <v>0.14053848270680003</v>
      </c>
      <c r="AC65" s="14">
        <v>0.28188069149101402</v>
      </c>
      <c r="AD65" s="14">
        <f t="shared" si="1"/>
        <v>0.118119308508986</v>
      </c>
    </row>
    <row r="66" spans="1:30" ht="15" x14ac:dyDescent="0.2">
      <c r="B66" s="10">
        <v>25</v>
      </c>
      <c r="C66" s="11">
        <v>500</v>
      </c>
      <c r="D66" s="11">
        <v>4</v>
      </c>
      <c r="E66" s="10">
        <v>62</v>
      </c>
      <c r="F66" s="12">
        <v>2.6933292113182898</v>
      </c>
      <c r="G66" s="10">
        <v>20</v>
      </c>
      <c r="H66" s="10">
        <v>40.5</v>
      </c>
      <c r="I66" s="9">
        <v>350</v>
      </c>
      <c r="J66" s="10">
        <v>450</v>
      </c>
      <c r="K66" s="11">
        <v>1964</v>
      </c>
      <c r="L66" s="12">
        <v>300</v>
      </c>
      <c r="M66" s="9">
        <v>0.31548599560701501</v>
      </c>
      <c r="N66" s="9">
        <v>0.27613706696729501</v>
      </c>
      <c r="O66" s="9">
        <v>0.35598382318834798</v>
      </c>
      <c r="P66" s="9">
        <v>0.96679429653745397</v>
      </c>
      <c r="Q66" s="9">
        <v>0.229461032691783</v>
      </c>
      <c r="R66" s="9">
        <v>0.28766823206313302</v>
      </c>
      <c r="S66" s="13">
        <v>0.4509794926115181</v>
      </c>
      <c r="T66" s="9">
        <v>0.41375176911010098</v>
      </c>
      <c r="U66" s="9">
        <v>0.35226036905425201</v>
      </c>
      <c r="V66" s="9">
        <v>0.38172208565646698</v>
      </c>
      <c r="W66" s="9">
        <v>0.39665919789350701</v>
      </c>
      <c r="X66" s="9">
        <v>0.69871634248316605</v>
      </c>
      <c r="Y66" s="9">
        <v>0.51762133359117801</v>
      </c>
      <c r="Z66" s="12">
        <v>0.53</v>
      </c>
      <c r="AA66" s="12">
        <v>0.36282300190861</v>
      </c>
      <c r="AB66" s="12">
        <f t="shared" si="0"/>
        <v>0.16717699809139003</v>
      </c>
      <c r="AC66" s="14">
        <v>0.40396477562859101</v>
      </c>
      <c r="AD66" s="14">
        <f t="shared" si="1"/>
        <v>0.12603522437140902</v>
      </c>
    </row>
    <row r="67" spans="1:30" ht="15" x14ac:dyDescent="0.2">
      <c r="B67" s="10">
        <v>25</v>
      </c>
      <c r="C67" s="11">
        <v>500</v>
      </c>
      <c r="D67" s="11">
        <v>4</v>
      </c>
      <c r="E67" s="10">
        <v>62</v>
      </c>
      <c r="F67" s="12">
        <v>2.6933292113182898</v>
      </c>
      <c r="G67" s="10">
        <v>20</v>
      </c>
      <c r="H67" s="10">
        <v>40.5</v>
      </c>
      <c r="I67" s="9">
        <v>350</v>
      </c>
      <c r="J67" s="10">
        <v>450</v>
      </c>
      <c r="K67" s="11">
        <v>1964</v>
      </c>
      <c r="L67" s="12">
        <v>375</v>
      </c>
      <c r="M67" s="9">
        <v>0.380222433942772</v>
      </c>
      <c r="N67" s="9">
        <v>0.33279926578708802</v>
      </c>
      <c r="O67" s="9">
        <v>0.40277070489560102</v>
      </c>
      <c r="P67" s="9">
        <v>1.23762565650182</v>
      </c>
      <c r="Q67" s="9">
        <v>0.275533243219376</v>
      </c>
      <c r="R67" s="9">
        <v>0.34110175471716903</v>
      </c>
      <c r="S67" s="13">
        <v>0.543526594730389</v>
      </c>
      <c r="T67" s="9">
        <v>0.49494329203898202</v>
      </c>
      <c r="U67" s="9">
        <v>0.41769168997205303</v>
      </c>
      <c r="V67" s="9">
        <v>0.43961936124438999</v>
      </c>
      <c r="W67" s="9">
        <v>0.47797067242625102</v>
      </c>
      <c r="X67" s="9">
        <v>0.90406272691227096</v>
      </c>
      <c r="Y67" s="9">
        <v>0.66114062330281198</v>
      </c>
      <c r="Z67" s="12">
        <v>0.72</v>
      </c>
      <c r="AA67" s="12">
        <v>0.43961936124438999</v>
      </c>
      <c r="AB67" s="12">
        <f t="shared" ref="AB67:AB130" si="2">Z67-AA67</f>
        <v>0.28038063875560998</v>
      </c>
      <c r="AC67" s="14">
        <v>0.49024229779742001</v>
      </c>
      <c r="AD67" s="14">
        <f t="shared" ref="AD67:AD130" si="3">Z67-AC67</f>
        <v>0.22975770220257996</v>
      </c>
    </row>
    <row r="68" spans="1:30" ht="15" x14ac:dyDescent="0.2">
      <c r="A68" s="9" t="s">
        <v>44</v>
      </c>
      <c r="B68" s="10">
        <v>25</v>
      </c>
      <c r="C68" s="11">
        <v>500</v>
      </c>
      <c r="D68" s="11">
        <v>4</v>
      </c>
      <c r="E68" s="10">
        <v>28.7</v>
      </c>
      <c r="F68" s="12">
        <v>2.6933292113182898</v>
      </c>
      <c r="G68" s="10">
        <v>70</v>
      </c>
      <c r="H68" s="10">
        <v>94.5</v>
      </c>
      <c r="I68" s="9">
        <v>350</v>
      </c>
      <c r="J68" s="10">
        <v>450</v>
      </c>
      <c r="K68" s="11">
        <v>1964</v>
      </c>
      <c r="L68" s="12">
        <v>75</v>
      </c>
      <c r="M68" s="9">
        <v>0.109905925341171</v>
      </c>
      <c r="N68" s="9">
        <v>0.12881608464782099</v>
      </c>
      <c r="O68" s="9">
        <v>0.16556711308129901</v>
      </c>
      <c r="P68" s="9">
        <v>8.1665558272208894E-2</v>
      </c>
      <c r="Q68" s="9">
        <v>0.12972038637164099</v>
      </c>
      <c r="R68" s="9">
        <v>0.185339046285834</v>
      </c>
      <c r="S68" s="13">
        <v>0.14892905998536843</v>
      </c>
      <c r="T68" s="9">
        <v>0.14891108881475201</v>
      </c>
      <c r="U68" s="9">
        <v>0.221639798156612</v>
      </c>
      <c r="V68" s="9">
        <v>0.21747161875638699</v>
      </c>
      <c r="W68" s="9">
        <v>0.10939457736918699</v>
      </c>
      <c r="X68" s="9">
        <v>0.119779624274062</v>
      </c>
      <c r="Y68" s="9">
        <v>0.105758903426018</v>
      </c>
      <c r="Z68" s="12">
        <v>0.3</v>
      </c>
      <c r="AA68" s="12">
        <v>0.10939457736918699</v>
      </c>
      <c r="AB68" s="12">
        <f t="shared" si="2"/>
        <v>0.19060542263081298</v>
      </c>
      <c r="AC68" s="14">
        <v>0.221639798156612</v>
      </c>
      <c r="AD68" s="14">
        <f t="shared" si="3"/>
        <v>7.8360201843387989E-2</v>
      </c>
    </row>
    <row r="69" spans="1:30" ht="15" x14ac:dyDescent="0.2">
      <c r="B69" s="10">
        <v>25</v>
      </c>
      <c r="C69" s="11">
        <v>500</v>
      </c>
      <c r="D69" s="11">
        <v>4</v>
      </c>
      <c r="E69" s="10">
        <v>28.7</v>
      </c>
      <c r="F69" s="12">
        <v>2.6933292113182898</v>
      </c>
      <c r="G69" s="10">
        <v>70</v>
      </c>
      <c r="H69" s="10">
        <v>94.5</v>
      </c>
      <c r="I69" s="9">
        <v>350</v>
      </c>
      <c r="J69" s="10">
        <v>450</v>
      </c>
      <c r="K69" s="11">
        <v>1964</v>
      </c>
      <c r="L69" s="12">
        <v>150</v>
      </c>
      <c r="M69" s="9">
        <v>0.27627222904761201</v>
      </c>
      <c r="N69" s="9">
        <v>0.32380698977208</v>
      </c>
      <c r="O69" s="9">
        <v>0.33113422616259902</v>
      </c>
      <c r="P69" s="9">
        <v>0.32666223308883502</v>
      </c>
      <c r="Q69" s="9">
        <v>0.297634489034663</v>
      </c>
      <c r="R69" s="9">
        <v>0.37067809257166801</v>
      </c>
      <c r="S69" s="13">
        <v>0.37020578809582916</v>
      </c>
      <c r="T69" s="9">
        <v>0.33143842403959001</v>
      </c>
      <c r="U69" s="9">
        <v>0.443279596313223</v>
      </c>
      <c r="V69" s="9">
        <v>0.46445424899750298</v>
      </c>
      <c r="W69" s="9">
        <v>0.43559236577183102</v>
      </c>
      <c r="X69" s="9">
        <v>0.42685407389062202</v>
      </c>
      <c r="Y69" s="9">
        <v>0.408842748050739</v>
      </c>
      <c r="Z69" s="12">
        <v>0.56999999999999995</v>
      </c>
      <c r="AA69" s="12">
        <v>0.38150227100816497</v>
      </c>
      <c r="AB69" s="12">
        <f t="shared" si="2"/>
        <v>0.18849772899183498</v>
      </c>
      <c r="AC69" s="14">
        <v>0.443279596313223</v>
      </c>
      <c r="AD69" s="14">
        <f t="shared" si="3"/>
        <v>0.12672040368677695</v>
      </c>
    </row>
    <row r="70" spans="1:30" ht="15" x14ac:dyDescent="0.2">
      <c r="A70" s="9" t="s">
        <v>45</v>
      </c>
      <c r="B70" s="10">
        <v>25</v>
      </c>
      <c r="C70" s="11">
        <v>500</v>
      </c>
      <c r="D70" s="11">
        <v>4</v>
      </c>
      <c r="E70" s="10">
        <v>28.7</v>
      </c>
      <c r="F70" s="12">
        <v>2.6933292113182898</v>
      </c>
      <c r="G70" s="10">
        <v>70</v>
      </c>
      <c r="H70" s="10">
        <v>90.5</v>
      </c>
      <c r="I70" s="9">
        <v>350</v>
      </c>
      <c r="J70" s="10">
        <v>450</v>
      </c>
      <c r="K70" s="11">
        <v>1964</v>
      </c>
      <c r="L70" s="12">
        <v>75</v>
      </c>
      <c r="M70" s="9">
        <v>0.107925994945012</v>
      </c>
      <c r="N70" s="9">
        <v>0.12657750301551299</v>
      </c>
      <c r="O70" s="9">
        <v>0.16360417247081699</v>
      </c>
      <c r="P70" s="9">
        <v>7.9740606352613902E-2</v>
      </c>
      <c r="Q70" s="9">
        <v>0.121979222774129</v>
      </c>
      <c r="R70" s="9">
        <v>0.176101748580824</v>
      </c>
      <c r="S70" s="13">
        <v>0.14080120987492947</v>
      </c>
      <c r="T70" s="9">
        <v>0.14399660571473699</v>
      </c>
      <c r="U70" s="9">
        <v>0.20933695758146401</v>
      </c>
      <c r="V70" s="9">
        <v>0.21173980120691199</v>
      </c>
      <c r="W70" s="9">
        <v>0.106297702576725</v>
      </c>
      <c r="X70" s="9">
        <v>0.11661648578447301</v>
      </c>
      <c r="Y70" s="9">
        <v>0.102828882848348</v>
      </c>
      <c r="Z70" s="12">
        <v>0.26</v>
      </c>
      <c r="AA70" s="12">
        <v>0.106297702576725</v>
      </c>
      <c r="AB70" s="12">
        <f t="shared" si="2"/>
        <v>0.15370229742327501</v>
      </c>
      <c r="AC70" s="14">
        <v>0.106297702576725</v>
      </c>
      <c r="AD70" s="14">
        <f t="shared" si="3"/>
        <v>0.15370229742327501</v>
      </c>
    </row>
    <row r="71" spans="1:30" ht="15" x14ac:dyDescent="0.2">
      <c r="B71" s="10">
        <v>25</v>
      </c>
      <c r="C71" s="11">
        <v>500</v>
      </c>
      <c r="D71" s="11">
        <v>4</v>
      </c>
      <c r="E71" s="10">
        <v>28.7</v>
      </c>
      <c r="F71" s="12">
        <v>2.6933292113182898</v>
      </c>
      <c r="G71" s="10">
        <v>70</v>
      </c>
      <c r="H71" s="10">
        <v>90.5</v>
      </c>
      <c r="I71" s="9">
        <v>350</v>
      </c>
      <c r="J71" s="10">
        <v>450</v>
      </c>
      <c r="K71" s="11">
        <v>1964</v>
      </c>
      <c r="L71" s="12">
        <v>150</v>
      </c>
      <c r="M71" s="9">
        <v>0.27211941231575099</v>
      </c>
      <c r="N71" s="9">
        <v>0.31914642761019602</v>
      </c>
      <c r="O71" s="9">
        <v>0.32720834494163298</v>
      </c>
      <c r="P71" s="9">
        <v>0.318962425410456</v>
      </c>
      <c r="Q71" s="9">
        <v>0.28090090952765701</v>
      </c>
      <c r="R71" s="9">
        <v>0.35220349716164701</v>
      </c>
      <c r="S71" s="13">
        <v>0.35121405191895805</v>
      </c>
      <c r="T71" s="9">
        <v>0.32097389209282901</v>
      </c>
      <c r="U71" s="9">
        <v>0.41867391516292801</v>
      </c>
      <c r="V71" s="9">
        <v>0.45177901766307299</v>
      </c>
      <c r="W71" s="9">
        <v>0.42243772809082802</v>
      </c>
      <c r="X71" s="9">
        <v>0.416102356520265</v>
      </c>
      <c r="Y71" s="9">
        <v>0.398168868846905</v>
      </c>
      <c r="Z71" s="12">
        <v>0.6</v>
      </c>
      <c r="AA71" s="12">
        <v>0.37132705037540797</v>
      </c>
      <c r="AB71" s="12">
        <f t="shared" si="2"/>
        <v>0.228672949624592</v>
      </c>
      <c r="AC71" s="14">
        <v>0.40042765797216201</v>
      </c>
      <c r="AD71" s="14">
        <f t="shared" si="3"/>
        <v>0.19957234202783797</v>
      </c>
    </row>
    <row r="72" spans="1:30" ht="15" x14ac:dyDescent="0.2">
      <c r="A72" s="9" t="s">
        <v>46</v>
      </c>
      <c r="B72" s="10">
        <v>25</v>
      </c>
      <c r="C72" s="11">
        <v>500</v>
      </c>
      <c r="D72" s="11">
        <v>4</v>
      </c>
      <c r="E72" s="10">
        <v>28.7</v>
      </c>
      <c r="F72" s="12">
        <v>2.6933292113182898</v>
      </c>
      <c r="G72" s="10">
        <v>70</v>
      </c>
      <c r="H72" s="10">
        <v>90.5</v>
      </c>
      <c r="I72" s="9">
        <v>350</v>
      </c>
      <c r="J72" s="10">
        <v>450</v>
      </c>
      <c r="K72" s="11">
        <v>1964</v>
      </c>
      <c r="L72" s="12">
        <v>75</v>
      </c>
      <c r="M72" s="9">
        <v>0.107925994945012</v>
      </c>
      <c r="N72" s="9">
        <v>0.12657750301551299</v>
      </c>
      <c r="O72" s="9">
        <v>0.16360417247081699</v>
      </c>
      <c r="P72" s="9">
        <v>7.9740606352613902E-2</v>
      </c>
      <c r="Q72" s="9">
        <v>0.121979222774129</v>
      </c>
      <c r="R72" s="9">
        <v>0.176101748580824</v>
      </c>
      <c r="S72" s="13">
        <v>0.14080120987492947</v>
      </c>
      <c r="T72" s="9">
        <v>0.14399660571473699</v>
      </c>
      <c r="U72" s="9">
        <v>0.20933695758146401</v>
      </c>
      <c r="V72" s="9">
        <v>0.21173980120691199</v>
      </c>
      <c r="W72" s="9">
        <v>0.106297702576725</v>
      </c>
      <c r="X72" s="9">
        <v>0.11661648578447301</v>
      </c>
      <c r="Y72" s="9">
        <v>0.102828882848348</v>
      </c>
      <c r="Z72" s="12">
        <v>0.27</v>
      </c>
      <c r="AA72" s="12">
        <v>0.106297702576725</v>
      </c>
      <c r="AB72" s="12">
        <f t="shared" si="2"/>
        <v>0.16370229742327502</v>
      </c>
      <c r="AC72" s="14">
        <v>0.106297702576725</v>
      </c>
      <c r="AD72" s="14">
        <f t="shared" si="3"/>
        <v>0.16370229742327502</v>
      </c>
    </row>
    <row r="73" spans="1:30" ht="15" x14ac:dyDescent="0.2">
      <c r="B73" s="10">
        <v>25</v>
      </c>
      <c r="C73" s="11">
        <v>500</v>
      </c>
      <c r="D73" s="11">
        <v>4</v>
      </c>
      <c r="E73" s="10">
        <v>28.7</v>
      </c>
      <c r="F73" s="12">
        <v>2.6933292113182898</v>
      </c>
      <c r="G73" s="10">
        <v>70</v>
      </c>
      <c r="H73" s="10">
        <v>90.5</v>
      </c>
      <c r="I73" s="9">
        <v>350</v>
      </c>
      <c r="J73" s="10">
        <v>450</v>
      </c>
      <c r="K73" s="11">
        <v>1964</v>
      </c>
      <c r="L73" s="12">
        <v>150</v>
      </c>
      <c r="M73" s="9">
        <v>0.27211941231575099</v>
      </c>
      <c r="N73" s="9">
        <v>0.31914642761019602</v>
      </c>
      <c r="O73" s="9">
        <v>0.32720834494163298</v>
      </c>
      <c r="P73" s="9">
        <v>0.318962425410456</v>
      </c>
      <c r="Q73" s="9">
        <v>0.28090090952765701</v>
      </c>
      <c r="R73" s="9">
        <v>0.35220349716164701</v>
      </c>
      <c r="S73" s="13">
        <v>0.35121405191895805</v>
      </c>
      <c r="T73" s="9">
        <v>0.32097389209282901</v>
      </c>
      <c r="U73" s="9">
        <v>0.41867391516292801</v>
      </c>
      <c r="V73" s="9">
        <v>0.45177901766307299</v>
      </c>
      <c r="W73" s="9">
        <v>0.42243772809082802</v>
      </c>
      <c r="X73" s="9">
        <v>0.416102356520265</v>
      </c>
      <c r="Y73" s="9">
        <v>0.398168868846905</v>
      </c>
      <c r="Z73" s="12">
        <v>0.59</v>
      </c>
      <c r="AA73" s="12">
        <v>0.37132705037540797</v>
      </c>
      <c r="AB73" s="12">
        <f t="shared" si="2"/>
        <v>0.21867294962459199</v>
      </c>
      <c r="AC73" s="14">
        <v>0.40042765797216201</v>
      </c>
      <c r="AD73" s="14">
        <f t="shared" si="3"/>
        <v>0.18957234202783796</v>
      </c>
    </row>
    <row r="74" spans="1:30" ht="15" x14ac:dyDescent="0.2">
      <c r="A74" s="9" t="s">
        <v>47</v>
      </c>
      <c r="B74" s="10">
        <v>9.52</v>
      </c>
      <c r="C74" s="11">
        <v>434</v>
      </c>
      <c r="D74" s="11">
        <v>3</v>
      </c>
      <c r="E74" s="10">
        <v>22.2</v>
      </c>
      <c r="F74" s="12">
        <v>3.5641600019995101</v>
      </c>
      <c r="G74" s="10">
        <v>20.64</v>
      </c>
      <c r="H74" s="10">
        <v>25.4</v>
      </c>
      <c r="I74" s="9">
        <v>114.3</v>
      </c>
      <c r="J74" s="10">
        <v>228.6</v>
      </c>
      <c r="K74" s="11">
        <v>212.9</v>
      </c>
      <c r="L74" s="12">
        <v>11.6</v>
      </c>
      <c r="M74" s="9">
        <v>0.13329381492770401</v>
      </c>
      <c r="N74" s="9">
        <v>0.13033571952634701</v>
      </c>
      <c r="O74" s="9">
        <v>0.14133750002718701</v>
      </c>
      <c r="P74" s="9">
        <v>0.13684830482913199</v>
      </c>
      <c r="Q74" s="9">
        <v>0.10572052130097</v>
      </c>
      <c r="R74" s="9">
        <v>0.141040005310795</v>
      </c>
      <c r="S74" s="13">
        <v>0.14118156513604477</v>
      </c>
      <c r="T74" s="9">
        <v>0.12185310734004801</v>
      </c>
      <c r="U74" s="9">
        <v>0.13966394049571901</v>
      </c>
      <c r="V74" s="9">
        <v>0.153613930137248</v>
      </c>
      <c r="W74" s="9">
        <v>0.150226129345544</v>
      </c>
      <c r="X74" s="9">
        <v>0.14468014850432001</v>
      </c>
      <c r="Y74" s="9">
        <v>0.13437916066971001</v>
      </c>
      <c r="Z74" s="12">
        <v>0.15</v>
      </c>
      <c r="AA74" s="12">
        <v>0.123662143998871</v>
      </c>
      <c r="AB74" s="12">
        <f t="shared" si="2"/>
        <v>2.6337856001128993E-2</v>
      </c>
      <c r="AC74" s="14">
        <v>0.145762856227899</v>
      </c>
      <c r="AD74" s="14">
        <f t="shared" si="3"/>
        <v>4.237143772100993E-3</v>
      </c>
    </row>
    <row r="75" spans="1:30" ht="15" x14ac:dyDescent="0.2">
      <c r="B75" s="10">
        <v>9.52</v>
      </c>
      <c r="C75" s="11">
        <v>434</v>
      </c>
      <c r="D75" s="11">
        <v>3</v>
      </c>
      <c r="E75" s="10">
        <v>22.2</v>
      </c>
      <c r="F75" s="12">
        <v>3.5641600019995101</v>
      </c>
      <c r="G75" s="10">
        <v>20.64</v>
      </c>
      <c r="H75" s="10">
        <v>25.4</v>
      </c>
      <c r="I75" s="9">
        <v>114.3</v>
      </c>
      <c r="J75" s="10">
        <v>228.6</v>
      </c>
      <c r="K75" s="11">
        <v>212.9</v>
      </c>
      <c r="L75" s="12">
        <v>13.5</v>
      </c>
      <c r="M75" s="9">
        <v>0.163003337276488</v>
      </c>
      <c r="N75" s="9">
        <v>0.15938591944907299</v>
      </c>
      <c r="O75" s="9">
        <v>0.16448760779026</v>
      </c>
      <c r="P75" s="9">
        <v>0.185349312983868</v>
      </c>
      <c r="Q75" s="9">
        <v>0.12620235173470401</v>
      </c>
      <c r="R75" s="9">
        <v>0.16414138549101101</v>
      </c>
      <c r="S75" s="13">
        <v>0.16792683243475678</v>
      </c>
      <c r="T75" s="9">
        <v>0.14354614769334401</v>
      </c>
      <c r="U75" s="9">
        <v>0.16253993074932799</v>
      </c>
      <c r="V75" s="9">
        <v>0.18189082526950401</v>
      </c>
      <c r="W75" s="9">
        <v>0.18610540199744199</v>
      </c>
      <c r="X75" s="9">
        <v>0.181629277480543</v>
      </c>
      <c r="Y75" s="9">
        <v>0.172036156056423</v>
      </c>
      <c r="Z75" s="12">
        <v>0.17</v>
      </c>
      <c r="AA75" s="12">
        <v>0.153702296183471</v>
      </c>
      <c r="AB75" s="12">
        <f t="shared" si="2"/>
        <v>1.6297703816529008E-2</v>
      </c>
      <c r="AC75" s="14">
        <v>0.18594638321687901</v>
      </c>
      <c r="AD75" s="14">
        <f t="shared" si="3"/>
        <v>-1.5946383216878995E-2</v>
      </c>
    </row>
    <row r="76" spans="1:30" ht="15" x14ac:dyDescent="0.2">
      <c r="A76" s="9" t="s">
        <v>48</v>
      </c>
      <c r="B76" s="10">
        <v>12.7</v>
      </c>
      <c r="C76" s="11">
        <v>434</v>
      </c>
      <c r="D76" s="11">
        <v>3</v>
      </c>
      <c r="E76" s="10">
        <v>19.05</v>
      </c>
      <c r="F76" s="12">
        <v>3.9766081638229398</v>
      </c>
      <c r="G76" s="10">
        <v>19.05</v>
      </c>
      <c r="H76" s="10">
        <v>25.4</v>
      </c>
      <c r="I76" s="9">
        <v>114.3</v>
      </c>
      <c r="J76" s="10">
        <v>228.6</v>
      </c>
      <c r="K76" s="11">
        <v>387.1</v>
      </c>
      <c r="L76" s="12">
        <v>21.1</v>
      </c>
      <c r="M76" s="9">
        <v>0.117678130194578</v>
      </c>
      <c r="N76" s="9">
        <v>0.124449511945649</v>
      </c>
      <c r="O76" s="9">
        <v>0.146986108925762</v>
      </c>
      <c r="P76" s="9">
        <v>0.17649154312757001</v>
      </c>
      <c r="Q76" s="9">
        <v>8.5929874012790203E-2</v>
      </c>
      <c r="R76" s="9">
        <v>0.143634389988364</v>
      </c>
      <c r="S76" s="13">
        <v>0.15898774895224452</v>
      </c>
      <c r="T76" s="9">
        <v>0.12691535141382199</v>
      </c>
      <c r="U76" s="9">
        <v>0.145569648576095</v>
      </c>
      <c r="V76" s="9">
        <v>0.14222424166995201</v>
      </c>
      <c r="W76" s="9">
        <v>0.14131486041685201</v>
      </c>
      <c r="X76" s="9">
        <v>0.16104591288533501</v>
      </c>
      <c r="Y76" s="9">
        <v>0.14298862215441299</v>
      </c>
      <c r="Z76" s="12">
        <v>0.15</v>
      </c>
      <c r="AA76" s="12">
        <v>0.122571018889015</v>
      </c>
      <c r="AB76" s="12">
        <f t="shared" si="2"/>
        <v>2.742898111098499E-2</v>
      </c>
      <c r="AC76" s="14">
        <v>0.13878769380193201</v>
      </c>
      <c r="AD76" s="14">
        <f t="shared" si="3"/>
        <v>1.1212306198067984E-2</v>
      </c>
    </row>
    <row r="77" spans="1:30" ht="15" x14ac:dyDescent="0.2">
      <c r="B77" s="10">
        <v>12.7</v>
      </c>
      <c r="C77" s="11">
        <v>434</v>
      </c>
      <c r="D77" s="11">
        <v>3</v>
      </c>
      <c r="E77" s="10">
        <v>19.05</v>
      </c>
      <c r="F77" s="12">
        <v>3.9766081638229398</v>
      </c>
      <c r="G77" s="10">
        <v>19.05</v>
      </c>
      <c r="H77" s="10">
        <v>25.4</v>
      </c>
      <c r="I77" s="9">
        <v>114.3</v>
      </c>
      <c r="J77" s="10">
        <v>228.6</v>
      </c>
      <c r="K77" s="11">
        <v>387.1</v>
      </c>
      <c r="L77" s="12">
        <v>24.2</v>
      </c>
      <c r="M77" s="9">
        <v>0.13840455251525</v>
      </c>
      <c r="N77" s="9">
        <v>0.14636856468656201</v>
      </c>
      <c r="O77" s="9">
        <v>0.16858122445513901</v>
      </c>
      <c r="P77" s="9">
        <v>0.23216124372145699</v>
      </c>
      <c r="Q77" s="9">
        <v>9.9764479324658095E-2</v>
      </c>
      <c r="R77" s="9">
        <v>0.16473707287764899</v>
      </c>
      <c r="S77" s="13">
        <v>0.18589529037245558</v>
      </c>
      <c r="T77" s="9">
        <v>0.146943963317993</v>
      </c>
      <c r="U77" s="9">
        <v>0.16695665855646899</v>
      </c>
      <c r="V77" s="9">
        <v>0.16518119122789501</v>
      </c>
      <c r="W77" s="9">
        <v>0.168924383471486</v>
      </c>
      <c r="X77" s="9">
        <v>0.19575398369670499</v>
      </c>
      <c r="Y77" s="9">
        <v>0.176870389845427</v>
      </c>
      <c r="Z77" s="12">
        <v>0.17</v>
      </c>
      <c r="AA77" s="12">
        <v>0.14657657941336699</v>
      </c>
      <c r="AB77" s="12">
        <f t="shared" si="2"/>
        <v>2.342342058663302E-2</v>
      </c>
      <c r="AC77" s="14">
        <v>0.16917412974027901</v>
      </c>
      <c r="AD77" s="14">
        <f t="shared" si="3"/>
        <v>8.2587025972100103E-4</v>
      </c>
    </row>
    <row r="78" spans="1:30" ht="15" x14ac:dyDescent="0.2">
      <c r="B78" s="10">
        <v>12.7</v>
      </c>
      <c r="C78" s="11">
        <v>434</v>
      </c>
      <c r="D78" s="11">
        <v>3</v>
      </c>
      <c r="E78" s="10">
        <v>19.05</v>
      </c>
      <c r="F78" s="12">
        <v>3.9766081638229398</v>
      </c>
      <c r="G78" s="10">
        <v>19.05</v>
      </c>
      <c r="H78" s="10">
        <v>25.4</v>
      </c>
      <c r="I78" s="9">
        <v>114.3</v>
      </c>
      <c r="J78" s="10">
        <v>228.6</v>
      </c>
      <c r="K78" s="11">
        <v>387.1</v>
      </c>
      <c r="L78" s="12">
        <v>28.6</v>
      </c>
      <c r="M78" s="9">
        <v>0.167822700325236</v>
      </c>
      <c r="N78" s="9">
        <v>0.17747947825431001</v>
      </c>
      <c r="O78" s="9">
        <v>0.19817501382220501</v>
      </c>
      <c r="P78" s="9">
        <v>0.32082566870426499</v>
      </c>
      <c r="Q78" s="9">
        <v>0.119400693315697</v>
      </c>
      <c r="R78" s="9">
        <v>0.194689267946313</v>
      </c>
      <c r="S78" s="13">
        <v>0.22408663948501337</v>
      </c>
      <c r="T78" s="9">
        <v>0.17537167053681799</v>
      </c>
      <c r="U78" s="9">
        <v>0.19731241465764501</v>
      </c>
      <c r="V78" s="9">
        <v>0.19301515670637001</v>
      </c>
      <c r="W78" s="9">
        <v>0.207125617995668</v>
      </c>
      <c r="X78" s="9">
        <v>0.24679825111897999</v>
      </c>
      <c r="Y78" s="9">
        <v>0.22798547852130299</v>
      </c>
      <c r="Z78" s="12">
        <v>0.2</v>
      </c>
      <c r="AA78" s="12">
        <v>0.18064898789954401</v>
      </c>
      <c r="AB78" s="12">
        <f t="shared" si="2"/>
        <v>1.9351012100456005E-2</v>
      </c>
      <c r="AC78" s="14">
        <v>0.21230326462051399</v>
      </c>
      <c r="AD78" s="14">
        <f t="shared" si="3"/>
        <v>-1.2303264620513982E-2</v>
      </c>
    </row>
    <row r="79" spans="1:30" ht="15" x14ac:dyDescent="0.2">
      <c r="A79" s="9" t="s">
        <v>49</v>
      </c>
      <c r="B79" s="10">
        <v>15.9</v>
      </c>
      <c r="C79" s="11">
        <v>540</v>
      </c>
      <c r="D79" s="11">
        <v>3</v>
      </c>
      <c r="E79" s="10">
        <v>15.9</v>
      </c>
      <c r="F79" s="12">
        <v>3.9766081638229398</v>
      </c>
      <c r="G79" s="10">
        <v>17.46</v>
      </c>
      <c r="H79" s="10">
        <v>25.4</v>
      </c>
      <c r="I79" s="9">
        <v>114.3</v>
      </c>
      <c r="J79" s="10">
        <v>228.6</v>
      </c>
      <c r="K79" s="11">
        <v>600</v>
      </c>
      <c r="L79" s="12">
        <v>30.5</v>
      </c>
      <c r="M79" s="9">
        <v>9.6336619183132896E-2</v>
      </c>
      <c r="N79" s="9">
        <v>0.10731930169564</v>
      </c>
      <c r="O79" s="9">
        <v>0.14464187891341099</v>
      </c>
      <c r="P79" s="9">
        <v>0.20413587615404699</v>
      </c>
      <c r="Q79" s="9">
        <v>6.80992506685522E-2</v>
      </c>
      <c r="R79" s="9">
        <v>0.13793919159603699</v>
      </c>
      <c r="S79" s="13">
        <v>0.16381732106291136</v>
      </c>
      <c r="T79" s="9">
        <v>0.12149822076563099</v>
      </c>
      <c r="U79" s="9">
        <v>0.141477301049211</v>
      </c>
      <c r="V79" s="9">
        <v>0.122540817776016</v>
      </c>
      <c r="W79" s="9">
        <v>0.122073754892787</v>
      </c>
      <c r="X79" s="9">
        <v>0.12007419362751801</v>
      </c>
      <c r="Y79" s="9">
        <v>0.13899119070157101</v>
      </c>
      <c r="Z79" s="12">
        <v>0.16</v>
      </c>
      <c r="AA79" s="12">
        <v>0.111252068275181</v>
      </c>
      <c r="AB79" s="12">
        <f t="shared" si="2"/>
        <v>4.8747931724819005E-2</v>
      </c>
      <c r="AC79" s="14">
        <v>0.12007419362751801</v>
      </c>
      <c r="AD79" s="14">
        <f t="shared" si="3"/>
        <v>3.9925806372481998E-2</v>
      </c>
    </row>
    <row r="80" spans="1:30" ht="15" x14ac:dyDescent="0.2">
      <c r="B80" s="10">
        <v>15.9</v>
      </c>
      <c r="C80" s="11">
        <v>540</v>
      </c>
      <c r="D80" s="11">
        <v>3</v>
      </c>
      <c r="E80" s="10">
        <v>15.9</v>
      </c>
      <c r="F80" s="12">
        <v>3.9766081638229398</v>
      </c>
      <c r="G80" s="10">
        <v>17.46</v>
      </c>
      <c r="H80" s="10">
        <v>25.4</v>
      </c>
      <c r="I80" s="9">
        <v>114.3</v>
      </c>
      <c r="J80" s="10">
        <v>228.6</v>
      </c>
      <c r="K80" s="11">
        <v>600</v>
      </c>
      <c r="L80" s="12">
        <v>40</v>
      </c>
      <c r="M80" s="9">
        <v>0.130486662894268</v>
      </c>
      <c r="N80" s="9">
        <v>0.14536255954536401</v>
      </c>
      <c r="O80" s="9">
        <v>0.18969426742742501</v>
      </c>
      <c r="P80" s="9">
        <v>0.35110712372639102</v>
      </c>
      <c r="Q80" s="9">
        <v>9.0733600949242002E-2</v>
      </c>
      <c r="R80" s="9">
        <v>0.18090385783086799</v>
      </c>
      <c r="S80" s="13">
        <v>0.22301506459067044</v>
      </c>
      <c r="T80" s="9">
        <v>0.16214997104322201</v>
      </c>
      <c r="U80" s="9">
        <v>0.18554400137601401</v>
      </c>
      <c r="V80" s="9">
        <v>0.16388788457928499</v>
      </c>
      <c r="W80" s="9">
        <v>0.168943661645472</v>
      </c>
      <c r="X80" s="9">
        <v>0.17056620402683201</v>
      </c>
      <c r="Y80" s="9">
        <v>0.20845553183839399</v>
      </c>
      <c r="Z80" s="12">
        <v>0.21</v>
      </c>
      <c r="AA80" s="12">
        <v>0.153759462873372</v>
      </c>
      <c r="AB80" s="12">
        <f t="shared" si="2"/>
        <v>5.6240537126627993E-2</v>
      </c>
      <c r="AC80" s="14">
        <v>0.17056620402683201</v>
      </c>
      <c r="AD80" s="14">
        <f t="shared" si="3"/>
        <v>3.9433795973167984E-2</v>
      </c>
    </row>
    <row r="81" spans="1:30" ht="15" x14ac:dyDescent="0.2">
      <c r="A81" s="9" t="s">
        <v>50</v>
      </c>
      <c r="B81" s="10">
        <v>16</v>
      </c>
      <c r="C81" s="11">
        <v>500</v>
      </c>
      <c r="D81" s="11">
        <v>2</v>
      </c>
      <c r="E81" s="10">
        <v>138</v>
      </c>
      <c r="F81" s="12">
        <v>3.2690000000000001</v>
      </c>
      <c r="G81" s="10">
        <v>40</v>
      </c>
      <c r="H81" s="10">
        <v>48</v>
      </c>
      <c r="I81" s="9">
        <v>250</v>
      </c>
      <c r="J81" s="10">
        <v>348</v>
      </c>
      <c r="K81" s="11">
        <v>400</v>
      </c>
      <c r="L81" s="12">
        <v>20.420000000000002</v>
      </c>
      <c r="M81" s="9">
        <v>9.7763317902372596E-2</v>
      </c>
      <c r="N81" s="9">
        <v>0.16208568924502401</v>
      </c>
      <c r="O81" s="9">
        <v>0.251489698791037</v>
      </c>
      <c r="P81" s="9">
        <v>9.5278931346240298E-2</v>
      </c>
      <c r="Q81" s="9">
        <v>0.17060852360291501</v>
      </c>
      <c r="R81" s="9">
        <v>0.26244074176287702</v>
      </c>
      <c r="S81" s="13">
        <v>0.17543649314795359</v>
      </c>
      <c r="T81" s="9">
        <v>0.135327275261548</v>
      </c>
      <c r="U81" s="9">
        <v>0.205486805457641</v>
      </c>
      <c r="V81" s="9">
        <v>0.21378025833653599</v>
      </c>
      <c r="W81" s="9">
        <v>0.14488845434354999</v>
      </c>
      <c r="X81" s="9">
        <v>0.123820150465785</v>
      </c>
      <c r="Y81" s="9">
        <v>0.103725733401339</v>
      </c>
      <c r="Z81" s="12">
        <v>0.15</v>
      </c>
      <c r="AA81" s="12">
        <v>0.122061551131185</v>
      </c>
      <c r="AB81" s="12">
        <f t="shared" si="2"/>
        <v>2.7938448868814997E-2</v>
      </c>
      <c r="AC81" s="14">
        <v>0.122061551131185</v>
      </c>
      <c r="AD81" s="14">
        <f t="shared" si="3"/>
        <v>2.7938448868814997E-2</v>
      </c>
    </row>
    <row r="82" spans="1:30" ht="15" x14ac:dyDescent="0.2">
      <c r="B82" s="10">
        <v>16</v>
      </c>
      <c r="C82" s="11">
        <v>500</v>
      </c>
      <c r="D82" s="11">
        <v>2</v>
      </c>
      <c r="E82" s="10">
        <v>138</v>
      </c>
      <c r="F82" s="12">
        <v>3.2690000000000001</v>
      </c>
      <c r="G82" s="10">
        <v>40</v>
      </c>
      <c r="H82" s="10">
        <v>48</v>
      </c>
      <c r="I82" s="9">
        <v>250</v>
      </c>
      <c r="J82" s="10">
        <v>348</v>
      </c>
      <c r="K82" s="11">
        <v>400</v>
      </c>
      <c r="L82" s="12">
        <v>23.34</v>
      </c>
      <c r="M82" s="9">
        <v>0.14204371000539801</v>
      </c>
      <c r="N82" s="9">
        <v>0.185263466551364</v>
      </c>
      <c r="O82" s="9">
        <v>0.28745198676703199</v>
      </c>
      <c r="P82" s="9">
        <v>0.12447642459592401</v>
      </c>
      <c r="Q82" s="9">
        <v>0.21206575978511499</v>
      </c>
      <c r="R82" s="9">
        <v>0.299968996706442</v>
      </c>
      <c r="S82" s="13">
        <v>0.20743087010794067</v>
      </c>
      <c r="T82" s="9">
        <v>0.15835952502381501</v>
      </c>
      <c r="U82" s="9">
        <v>0.23487081485706901</v>
      </c>
      <c r="V82" s="9">
        <v>0.24747030525880701</v>
      </c>
      <c r="W82" s="9">
        <v>0.18402656659035699</v>
      </c>
      <c r="X82" s="9">
        <v>0.14490801641031101</v>
      </c>
      <c r="Y82" s="9">
        <v>0.12207949274600501</v>
      </c>
      <c r="Z82" s="12">
        <v>0.2</v>
      </c>
      <c r="AA82" s="12">
        <v>0.139515994290002</v>
      </c>
      <c r="AB82" s="12">
        <f t="shared" si="2"/>
        <v>6.0484005709998012E-2</v>
      </c>
      <c r="AC82" s="14">
        <v>0.15548038806820799</v>
      </c>
      <c r="AD82" s="14">
        <f t="shared" si="3"/>
        <v>4.4519611931792019E-2</v>
      </c>
    </row>
    <row r="83" spans="1:30" ht="15" x14ac:dyDescent="0.2">
      <c r="B83" s="10">
        <v>16</v>
      </c>
      <c r="C83" s="11">
        <v>500</v>
      </c>
      <c r="D83" s="11">
        <v>2</v>
      </c>
      <c r="E83" s="10">
        <v>138</v>
      </c>
      <c r="F83" s="12">
        <v>3.2690000000000001</v>
      </c>
      <c r="G83" s="10">
        <v>40</v>
      </c>
      <c r="H83" s="10">
        <v>48</v>
      </c>
      <c r="I83" s="9">
        <v>250</v>
      </c>
      <c r="J83" s="10">
        <v>348</v>
      </c>
      <c r="K83" s="11">
        <v>400</v>
      </c>
      <c r="L83" s="12">
        <v>26.26</v>
      </c>
      <c r="M83" s="9">
        <v>0.18632410210842401</v>
      </c>
      <c r="N83" s="9">
        <v>0.20844124385770499</v>
      </c>
      <c r="O83" s="9">
        <v>0.32341427474302797</v>
      </c>
      <c r="P83" s="9">
        <v>0.157570475445657</v>
      </c>
      <c r="Q83" s="9">
        <v>0.25352299596731398</v>
      </c>
      <c r="R83" s="9">
        <v>0.33749725165000699</v>
      </c>
      <c r="S83" s="13">
        <v>0.23942524706792792</v>
      </c>
      <c r="T83" s="9">
        <v>0.18139177478608301</v>
      </c>
      <c r="U83" s="9">
        <v>0.26425482425649699</v>
      </c>
      <c r="V83" s="9">
        <v>0.28276491369972701</v>
      </c>
      <c r="W83" s="9">
        <v>0.22568965840486799</v>
      </c>
      <c r="X83" s="9">
        <v>0.16633265556782501</v>
      </c>
      <c r="Y83" s="9">
        <v>0.14131432749734399</v>
      </c>
      <c r="Z83" s="12">
        <v>0.25</v>
      </c>
      <c r="AA83" s="12">
        <v>0.15697043744882</v>
      </c>
      <c r="AB83" s="12">
        <f t="shared" si="2"/>
        <v>9.3029562551180001E-2</v>
      </c>
      <c r="AC83" s="14">
        <v>0.19681733910587501</v>
      </c>
      <c r="AD83" s="14">
        <f t="shared" si="3"/>
        <v>5.3182660894124989E-2</v>
      </c>
    </row>
    <row r="84" spans="1:30" ht="15" x14ac:dyDescent="0.2">
      <c r="B84" s="10">
        <v>16</v>
      </c>
      <c r="C84" s="11">
        <v>500</v>
      </c>
      <c r="D84" s="11">
        <v>2</v>
      </c>
      <c r="E84" s="10">
        <v>138</v>
      </c>
      <c r="F84" s="12">
        <v>3.2690000000000001</v>
      </c>
      <c r="G84" s="10">
        <v>40</v>
      </c>
      <c r="H84" s="10">
        <v>48</v>
      </c>
      <c r="I84" s="9">
        <v>250</v>
      </c>
      <c r="J84" s="10">
        <v>348</v>
      </c>
      <c r="K84" s="11">
        <v>400</v>
      </c>
      <c r="L84" s="12">
        <v>29.175000000000001</v>
      </c>
      <c r="M84" s="9">
        <v>0.23052867162223201</v>
      </c>
      <c r="N84" s="9">
        <v>0.23157933318920601</v>
      </c>
      <c r="O84" s="9">
        <v>0.35931498345878998</v>
      </c>
      <c r="P84" s="9">
        <v>0.194494413431132</v>
      </c>
      <c r="Q84" s="9">
        <v>0.29490924373139399</v>
      </c>
      <c r="R84" s="9">
        <v>0.37496124588305202</v>
      </c>
      <c r="S84" s="13">
        <v>0.27136483913586029</v>
      </c>
      <c r="T84" s="9">
        <v>0.20438458576451099</v>
      </c>
      <c r="U84" s="9">
        <v>0.293588518571336</v>
      </c>
      <c r="V84" s="9">
        <v>0.31920260266931499</v>
      </c>
      <c r="W84" s="9">
        <v>0.26933902014092298</v>
      </c>
      <c r="X84" s="9">
        <v>0.188056517406403</v>
      </c>
      <c r="Y84" s="9">
        <v>0.16139503955001999</v>
      </c>
      <c r="Z84" s="12">
        <v>0.28000000000000003</v>
      </c>
      <c r="AA84" s="12">
        <v>0.17439499286250301</v>
      </c>
      <c r="AB84" s="12">
        <f t="shared" si="2"/>
        <v>0.10560500713749701</v>
      </c>
      <c r="AC84" s="14">
        <v>0.24293810635657501</v>
      </c>
      <c r="AD84" s="14">
        <f t="shared" si="3"/>
        <v>3.706189364342502E-2</v>
      </c>
    </row>
    <row r="85" spans="1:30" ht="15" x14ac:dyDescent="0.2">
      <c r="B85" s="10">
        <v>16</v>
      </c>
      <c r="C85" s="11">
        <v>500</v>
      </c>
      <c r="D85" s="11">
        <v>2</v>
      </c>
      <c r="E85" s="10">
        <v>138</v>
      </c>
      <c r="F85" s="12">
        <v>3.2690000000000001</v>
      </c>
      <c r="G85" s="10">
        <v>40</v>
      </c>
      <c r="H85" s="10">
        <v>48</v>
      </c>
      <c r="I85" s="9">
        <v>250</v>
      </c>
      <c r="J85" s="10">
        <v>348</v>
      </c>
      <c r="K85" s="11">
        <v>400</v>
      </c>
      <c r="L85" s="12">
        <v>32.090000000000003</v>
      </c>
      <c r="M85" s="9">
        <v>0.27473324113603997</v>
      </c>
      <c r="N85" s="9">
        <v>0.254717422520706</v>
      </c>
      <c r="O85" s="9">
        <v>0.39521569217455299</v>
      </c>
      <c r="P85" s="9">
        <v>0.23530157606629101</v>
      </c>
      <c r="Q85" s="9">
        <v>0.336295491495473</v>
      </c>
      <c r="R85" s="9">
        <v>0.41242524011609799</v>
      </c>
      <c r="S85" s="13">
        <v>0.3033044312037928</v>
      </c>
      <c r="T85" s="9">
        <v>0.227377396742939</v>
      </c>
      <c r="U85" s="9">
        <v>0.32292221288617601</v>
      </c>
      <c r="V85" s="9">
        <v>0.356572665241354</v>
      </c>
      <c r="W85" s="9">
        <v>0.31768673757826998</v>
      </c>
      <c r="X85" s="9">
        <v>0.21541289079994999</v>
      </c>
      <c r="Y85" s="9">
        <v>0.187650702898673</v>
      </c>
      <c r="Z85" s="12">
        <v>0.28000000000000003</v>
      </c>
      <c r="AA85" s="12">
        <v>0.197116438963645</v>
      </c>
      <c r="AB85" s="12">
        <f t="shared" si="2"/>
        <v>8.2883561036355025E-2</v>
      </c>
      <c r="AC85" s="14">
        <v>0.29732680364536002</v>
      </c>
      <c r="AD85" s="14">
        <f t="shared" si="3"/>
        <v>-1.7326803645359989E-2</v>
      </c>
    </row>
    <row r="86" spans="1:30" ht="15" x14ac:dyDescent="0.2">
      <c r="B86" s="10">
        <v>16</v>
      </c>
      <c r="C86" s="11">
        <v>500</v>
      </c>
      <c r="D86" s="11">
        <v>2</v>
      </c>
      <c r="E86" s="10">
        <v>138</v>
      </c>
      <c r="F86" s="12">
        <v>3.2690000000000001</v>
      </c>
      <c r="G86" s="10">
        <v>40</v>
      </c>
      <c r="H86" s="10">
        <v>48</v>
      </c>
      <c r="I86" s="9">
        <v>250</v>
      </c>
      <c r="J86" s="10">
        <v>348</v>
      </c>
      <c r="K86" s="11">
        <v>400</v>
      </c>
      <c r="L86" s="12">
        <v>35.01</v>
      </c>
      <c r="M86" s="9">
        <v>0.31901363323906601</v>
      </c>
      <c r="N86" s="9">
        <v>0.278303277430267</v>
      </c>
      <c r="O86" s="9">
        <v>0.43117798015054798</v>
      </c>
      <c r="P86" s="9">
        <v>0.28007195534083001</v>
      </c>
      <c r="Q86" s="9">
        <v>0.37775272767767198</v>
      </c>
      <c r="R86" s="9">
        <v>0.44995349505966298</v>
      </c>
      <c r="S86" s="13">
        <v>0.33529880816377994</v>
      </c>
      <c r="T86" s="9">
        <v>0.25040964650520597</v>
      </c>
      <c r="U86" s="9">
        <v>0.35230622228560399</v>
      </c>
      <c r="V86" s="9">
        <v>0.394749640416382</v>
      </c>
      <c r="W86" s="9">
        <v>0.37759847845251099</v>
      </c>
      <c r="X86" s="9">
        <v>0.26402836100173499</v>
      </c>
      <c r="Y86" s="9">
        <v>0.235707411226726</v>
      </c>
      <c r="Z86" s="12">
        <v>0.3</v>
      </c>
      <c r="AA86" s="12">
        <v>0.240752546860689</v>
      </c>
      <c r="AB86" s="12">
        <f t="shared" si="2"/>
        <v>5.9247453139310985E-2</v>
      </c>
      <c r="AC86" s="14">
        <v>0.36721458076330898</v>
      </c>
      <c r="AD86" s="14">
        <f t="shared" si="3"/>
        <v>-6.7214580763308995E-2</v>
      </c>
    </row>
    <row r="87" spans="1:30" ht="15" x14ac:dyDescent="0.2">
      <c r="B87" s="10">
        <v>16</v>
      </c>
      <c r="C87" s="11">
        <v>500</v>
      </c>
      <c r="D87" s="11">
        <v>2</v>
      </c>
      <c r="E87" s="10">
        <v>138</v>
      </c>
      <c r="F87" s="12">
        <v>3.2690000000000001</v>
      </c>
      <c r="G87" s="10">
        <v>40</v>
      </c>
      <c r="H87" s="10">
        <v>48</v>
      </c>
      <c r="I87" s="9">
        <v>250</v>
      </c>
      <c r="J87" s="10">
        <v>348</v>
      </c>
      <c r="K87" s="11">
        <v>400</v>
      </c>
      <c r="L87" s="12">
        <v>37.93</v>
      </c>
      <c r="M87" s="9">
        <v>0.36329402534209099</v>
      </c>
      <c r="N87" s="9">
        <v>0.31693290627416798</v>
      </c>
      <c r="O87" s="9">
        <v>0.46714026812654302</v>
      </c>
      <c r="P87" s="9">
        <v>0.32873889221541702</v>
      </c>
      <c r="Q87" s="9">
        <v>0.41920996385987203</v>
      </c>
      <c r="R87" s="9">
        <v>0.48748175000322802</v>
      </c>
      <c r="S87" s="13">
        <v>0.36729318512376713</v>
      </c>
      <c r="T87" s="9">
        <v>0.27344189626747301</v>
      </c>
      <c r="U87" s="9">
        <v>0.38169023168503102</v>
      </c>
      <c r="V87" s="9">
        <v>0.43352937343696901</v>
      </c>
      <c r="W87" s="9">
        <v>0.43587366466313199</v>
      </c>
      <c r="X87" s="9">
        <v>0.31298060441650799</v>
      </c>
      <c r="Y87" s="9">
        <v>0.28464519496145302</v>
      </c>
      <c r="Z87" s="12">
        <v>0.33</v>
      </c>
      <c r="AA87" s="12">
        <v>0.28438865475773301</v>
      </c>
      <c r="AB87" s="12">
        <f t="shared" si="2"/>
        <v>4.561134524226701E-2</v>
      </c>
      <c r="AC87" s="14">
        <v>0.43710235788125801</v>
      </c>
      <c r="AD87" s="14">
        <f t="shared" si="3"/>
        <v>-0.10710235788125799</v>
      </c>
    </row>
    <row r="88" spans="1:30" ht="15" x14ac:dyDescent="0.2">
      <c r="B88" s="10">
        <v>16</v>
      </c>
      <c r="C88" s="11">
        <v>500</v>
      </c>
      <c r="D88" s="11">
        <v>2</v>
      </c>
      <c r="E88" s="10">
        <v>138</v>
      </c>
      <c r="F88" s="12">
        <v>3.2690000000000001</v>
      </c>
      <c r="G88" s="10">
        <v>40</v>
      </c>
      <c r="H88" s="10">
        <v>48</v>
      </c>
      <c r="I88" s="9">
        <v>250</v>
      </c>
      <c r="J88" s="10">
        <v>348</v>
      </c>
      <c r="K88" s="11">
        <v>400</v>
      </c>
      <c r="L88" s="12">
        <v>40.840000000000003</v>
      </c>
      <c r="M88" s="9">
        <v>0.407422772266682</v>
      </c>
      <c r="N88" s="9">
        <v>0.355430241868603</v>
      </c>
      <c r="O88" s="9">
        <v>0.502979397582073</v>
      </c>
      <c r="P88" s="9">
        <v>0.38111572538496102</v>
      </c>
      <c r="Q88" s="9">
        <v>0.460525223205831</v>
      </c>
      <c r="R88" s="9">
        <v>0.52488148352575403</v>
      </c>
      <c r="S88" s="13">
        <v>0.3991779922996449</v>
      </c>
      <c r="T88" s="9">
        <v>0.29639526846206199</v>
      </c>
      <c r="U88" s="9">
        <v>0.41097361091528301</v>
      </c>
      <c r="V88" s="9">
        <v>0.47267082737059701</v>
      </c>
      <c r="W88" s="9">
        <v>0.49248466369405702</v>
      </c>
      <c r="X88" s="9">
        <v>0.362100248350545</v>
      </c>
      <c r="Y88" s="9">
        <v>0.33429193804752999</v>
      </c>
      <c r="Z88" s="12">
        <v>0.33</v>
      </c>
      <c r="AA88" s="12">
        <v>0.32787532392910301</v>
      </c>
      <c r="AB88" s="12">
        <f t="shared" si="2"/>
        <v>2.1246760708970025E-3</v>
      </c>
      <c r="AC88" s="14">
        <v>0.50675079329674799</v>
      </c>
      <c r="AD88" s="14">
        <f t="shared" si="3"/>
        <v>-0.17675079329674798</v>
      </c>
    </row>
    <row r="89" spans="1:30" ht="15" x14ac:dyDescent="0.2">
      <c r="A89" s="9" t="s">
        <v>51</v>
      </c>
      <c r="B89" s="10">
        <v>16</v>
      </c>
      <c r="C89" s="11">
        <v>500</v>
      </c>
      <c r="D89" s="11">
        <v>2</v>
      </c>
      <c r="E89" s="10">
        <v>138</v>
      </c>
      <c r="F89" s="12">
        <v>3.2690000000000001</v>
      </c>
      <c r="G89" s="10">
        <v>40</v>
      </c>
      <c r="H89" s="10">
        <v>48</v>
      </c>
      <c r="I89" s="9">
        <v>250</v>
      </c>
      <c r="J89" s="10">
        <v>348</v>
      </c>
      <c r="K89" s="11">
        <v>400</v>
      </c>
      <c r="L89" s="12">
        <v>23.34</v>
      </c>
      <c r="M89" s="9">
        <v>0.14204371000539801</v>
      </c>
      <c r="N89" s="9">
        <v>0.185263466551364</v>
      </c>
      <c r="O89" s="9">
        <v>0.28745198676703199</v>
      </c>
      <c r="P89" s="9">
        <v>0.12447642459592401</v>
      </c>
      <c r="Q89" s="9">
        <v>0.21206575978511499</v>
      </c>
      <c r="R89" s="9">
        <v>0.299968996706442</v>
      </c>
      <c r="S89" s="13">
        <v>0.20743087010794067</v>
      </c>
      <c r="T89" s="9">
        <v>0.15835952502381501</v>
      </c>
      <c r="U89" s="9">
        <v>0.23487081485706901</v>
      </c>
      <c r="V89" s="9">
        <v>0.24747030525880701</v>
      </c>
      <c r="W89" s="9">
        <v>0.18402656659035699</v>
      </c>
      <c r="X89" s="9">
        <v>0.14490801641031101</v>
      </c>
      <c r="Y89" s="9">
        <v>0.12207949274600501</v>
      </c>
      <c r="Z89" s="12">
        <v>0.15</v>
      </c>
      <c r="AA89" s="12">
        <v>0.139515994290002</v>
      </c>
      <c r="AB89" s="12">
        <f t="shared" si="2"/>
        <v>1.0484005709997996E-2</v>
      </c>
      <c r="AC89" s="14">
        <v>0.15548038806820799</v>
      </c>
      <c r="AD89" s="14">
        <f t="shared" si="3"/>
        <v>-5.4803880682079975E-3</v>
      </c>
    </row>
    <row r="90" spans="1:30" ht="15" x14ac:dyDescent="0.2">
      <c r="B90" s="10">
        <v>16</v>
      </c>
      <c r="C90" s="11">
        <v>500</v>
      </c>
      <c r="D90" s="11">
        <v>2</v>
      </c>
      <c r="E90" s="10">
        <v>138</v>
      </c>
      <c r="F90" s="12">
        <v>3.2690000000000001</v>
      </c>
      <c r="G90" s="10">
        <v>40</v>
      </c>
      <c r="H90" s="10">
        <v>48</v>
      </c>
      <c r="I90" s="9">
        <v>250</v>
      </c>
      <c r="J90" s="10">
        <v>348</v>
      </c>
      <c r="K90" s="11">
        <v>400</v>
      </c>
      <c r="L90" s="12">
        <v>26.26</v>
      </c>
      <c r="M90" s="9">
        <v>0.18632410210842401</v>
      </c>
      <c r="N90" s="9">
        <v>0.20844124385770499</v>
      </c>
      <c r="O90" s="9">
        <v>0.32341427474302797</v>
      </c>
      <c r="P90" s="9">
        <v>0.157570475445657</v>
      </c>
      <c r="Q90" s="9">
        <v>0.25352299596731398</v>
      </c>
      <c r="R90" s="9">
        <v>0.33749725165000699</v>
      </c>
      <c r="S90" s="13">
        <v>0.23942524706792792</v>
      </c>
      <c r="T90" s="9">
        <v>0.18139177478608301</v>
      </c>
      <c r="U90" s="9">
        <v>0.26425482425649699</v>
      </c>
      <c r="V90" s="9">
        <v>0.28276491369972701</v>
      </c>
      <c r="W90" s="9">
        <v>0.22568965840486799</v>
      </c>
      <c r="X90" s="9">
        <v>0.16633265556782501</v>
      </c>
      <c r="Y90" s="9">
        <v>0.14131432749734399</v>
      </c>
      <c r="Z90" s="12">
        <v>0.18</v>
      </c>
      <c r="AA90" s="12">
        <v>0.15697043744882</v>
      </c>
      <c r="AB90" s="12">
        <f t="shared" si="2"/>
        <v>2.3029562551179994E-2</v>
      </c>
      <c r="AC90" s="14">
        <v>0.19681733910587501</v>
      </c>
      <c r="AD90" s="14">
        <f t="shared" si="3"/>
        <v>-1.6817339105875018E-2</v>
      </c>
    </row>
    <row r="91" spans="1:30" ht="15" x14ac:dyDescent="0.2">
      <c r="B91" s="10">
        <v>16</v>
      </c>
      <c r="C91" s="11">
        <v>500</v>
      </c>
      <c r="D91" s="11">
        <v>2</v>
      </c>
      <c r="E91" s="10">
        <v>138</v>
      </c>
      <c r="F91" s="12">
        <v>3.2690000000000001</v>
      </c>
      <c r="G91" s="10">
        <v>40</v>
      </c>
      <c r="H91" s="10">
        <v>48</v>
      </c>
      <c r="I91" s="9">
        <v>250</v>
      </c>
      <c r="J91" s="10">
        <v>348</v>
      </c>
      <c r="K91" s="11">
        <v>400</v>
      </c>
      <c r="L91" s="12">
        <v>29.175000000000001</v>
      </c>
      <c r="M91" s="9">
        <v>0.23052867162223201</v>
      </c>
      <c r="N91" s="9">
        <v>0.23157933318920601</v>
      </c>
      <c r="O91" s="9">
        <v>0.35931498345878998</v>
      </c>
      <c r="P91" s="9">
        <v>0.194494413431132</v>
      </c>
      <c r="Q91" s="9">
        <v>0.29490924373139399</v>
      </c>
      <c r="R91" s="9">
        <v>0.37496124588305202</v>
      </c>
      <c r="S91" s="13">
        <v>0.27136483913586029</v>
      </c>
      <c r="T91" s="9">
        <v>0.20438458576451099</v>
      </c>
      <c r="U91" s="9">
        <v>0.293588518571336</v>
      </c>
      <c r="V91" s="9">
        <v>0.31920260266931499</v>
      </c>
      <c r="W91" s="9">
        <v>0.26933902014092298</v>
      </c>
      <c r="X91" s="9">
        <v>0.188056517406403</v>
      </c>
      <c r="Y91" s="9">
        <v>0.16139503955001999</v>
      </c>
      <c r="Z91" s="12">
        <v>0.2</v>
      </c>
      <c r="AA91" s="12">
        <v>0.17439499286250301</v>
      </c>
      <c r="AB91" s="12">
        <f t="shared" si="2"/>
        <v>2.5605007137496999E-2</v>
      </c>
      <c r="AC91" s="14">
        <v>0.24293810635657501</v>
      </c>
      <c r="AD91" s="14">
        <f t="shared" si="3"/>
        <v>-4.2938106356574995E-2</v>
      </c>
    </row>
    <row r="92" spans="1:30" ht="15" x14ac:dyDescent="0.2">
      <c r="B92" s="10">
        <v>16</v>
      </c>
      <c r="C92" s="11">
        <v>500</v>
      </c>
      <c r="D92" s="11">
        <v>2</v>
      </c>
      <c r="E92" s="10">
        <v>138</v>
      </c>
      <c r="F92" s="12">
        <v>3.2690000000000001</v>
      </c>
      <c r="G92" s="10">
        <v>40</v>
      </c>
      <c r="H92" s="10">
        <v>48</v>
      </c>
      <c r="I92" s="9">
        <v>250</v>
      </c>
      <c r="J92" s="10">
        <v>348</v>
      </c>
      <c r="K92" s="11">
        <v>400</v>
      </c>
      <c r="L92" s="12">
        <v>32.090000000000003</v>
      </c>
      <c r="M92" s="9">
        <v>0.27473324113603997</v>
      </c>
      <c r="N92" s="9">
        <v>0.254717422520706</v>
      </c>
      <c r="O92" s="9">
        <v>0.39521569217455299</v>
      </c>
      <c r="P92" s="9">
        <v>0.23530157606629101</v>
      </c>
      <c r="Q92" s="9">
        <v>0.336295491495473</v>
      </c>
      <c r="R92" s="9">
        <v>0.41242524011609799</v>
      </c>
      <c r="S92" s="13">
        <v>0.3033044312037928</v>
      </c>
      <c r="T92" s="9">
        <v>0.227377396742939</v>
      </c>
      <c r="U92" s="9">
        <v>0.32292221288617601</v>
      </c>
      <c r="V92" s="9">
        <v>0.356572665241354</v>
      </c>
      <c r="W92" s="9">
        <v>0.31768673757826998</v>
      </c>
      <c r="X92" s="9">
        <v>0.21541289079994999</v>
      </c>
      <c r="Y92" s="9">
        <v>0.187650702898673</v>
      </c>
      <c r="Z92" s="12">
        <v>0.25</v>
      </c>
      <c r="AA92" s="12">
        <v>0.197116438963645</v>
      </c>
      <c r="AB92" s="12">
        <f t="shared" si="2"/>
        <v>5.2883561036354998E-2</v>
      </c>
      <c r="AC92" s="14">
        <v>0.29732680364536002</v>
      </c>
      <c r="AD92" s="14">
        <f t="shared" si="3"/>
        <v>-4.7326803645360016E-2</v>
      </c>
    </row>
    <row r="93" spans="1:30" ht="15" x14ac:dyDescent="0.2">
      <c r="B93" s="10">
        <v>16</v>
      </c>
      <c r="C93" s="11">
        <v>500</v>
      </c>
      <c r="D93" s="11">
        <v>2</v>
      </c>
      <c r="E93" s="10">
        <v>138</v>
      </c>
      <c r="F93" s="12">
        <v>3.2690000000000001</v>
      </c>
      <c r="G93" s="10">
        <v>40</v>
      </c>
      <c r="H93" s="10">
        <v>48</v>
      </c>
      <c r="I93" s="9">
        <v>250</v>
      </c>
      <c r="J93" s="10">
        <v>348</v>
      </c>
      <c r="K93" s="11">
        <v>400</v>
      </c>
      <c r="L93" s="12">
        <v>35.01</v>
      </c>
      <c r="M93" s="9">
        <v>0.31901363323906601</v>
      </c>
      <c r="N93" s="9">
        <v>0.278303277430267</v>
      </c>
      <c r="O93" s="9">
        <v>0.43117798015054798</v>
      </c>
      <c r="P93" s="9">
        <v>0.28007195534083001</v>
      </c>
      <c r="Q93" s="9">
        <v>0.336295491495473</v>
      </c>
      <c r="R93" s="9">
        <v>0.44995349505966298</v>
      </c>
      <c r="S93" s="13">
        <v>0.33529880816377994</v>
      </c>
      <c r="T93" s="9">
        <v>0.25040964650520597</v>
      </c>
      <c r="U93" s="9">
        <v>0.35230622228560399</v>
      </c>
      <c r="V93" s="9">
        <v>0.394749640416382</v>
      </c>
      <c r="W93" s="9">
        <v>0.37759847845251099</v>
      </c>
      <c r="X93" s="9">
        <v>0.26402836100173499</v>
      </c>
      <c r="Y93" s="9">
        <v>0.235707411226726</v>
      </c>
      <c r="Z93" s="12">
        <v>0.3</v>
      </c>
      <c r="AA93" s="12">
        <v>0.240752546860689</v>
      </c>
      <c r="AB93" s="12">
        <f t="shared" si="2"/>
        <v>5.9247453139310985E-2</v>
      </c>
      <c r="AC93" s="14">
        <v>0.36721458076330898</v>
      </c>
      <c r="AD93" s="14">
        <f t="shared" si="3"/>
        <v>-6.7214580763308995E-2</v>
      </c>
    </row>
    <row r="94" spans="1:30" ht="15" x14ac:dyDescent="0.2">
      <c r="B94" s="10">
        <v>16</v>
      </c>
      <c r="C94" s="11">
        <v>500</v>
      </c>
      <c r="D94" s="11">
        <v>2</v>
      </c>
      <c r="E94" s="10">
        <v>138</v>
      </c>
      <c r="F94" s="12">
        <v>3.2690000000000001</v>
      </c>
      <c r="G94" s="10">
        <v>40</v>
      </c>
      <c r="H94" s="10">
        <v>48</v>
      </c>
      <c r="I94" s="9">
        <v>250</v>
      </c>
      <c r="J94" s="10">
        <v>348</v>
      </c>
      <c r="K94" s="11">
        <v>400</v>
      </c>
      <c r="L94" s="12">
        <v>37.93</v>
      </c>
      <c r="M94" s="9">
        <v>0.36329402534209099</v>
      </c>
      <c r="N94" s="9">
        <v>0.31693290627416798</v>
      </c>
      <c r="O94" s="9">
        <v>0.46714026812654302</v>
      </c>
      <c r="P94" s="9">
        <v>0.32873889221541702</v>
      </c>
      <c r="Q94" s="9">
        <v>0.41920996385987203</v>
      </c>
      <c r="R94" s="9">
        <v>0.48748175000322802</v>
      </c>
      <c r="S94" s="13">
        <v>0.36729318512376713</v>
      </c>
      <c r="T94" s="9">
        <v>0.27344189626747301</v>
      </c>
      <c r="U94" s="9">
        <v>0.38169023168503102</v>
      </c>
      <c r="V94" s="9">
        <v>0.43352937343696901</v>
      </c>
      <c r="W94" s="9">
        <v>0.43587366466313199</v>
      </c>
      <c r="X94" s="9">
        <v>0.31298060441650799</v>
      </c>
      <c r="Y94" s="9">
        <v>0.28464519496145302</v>
      </c>
      <c r="Z94" s="12">
        <v>0.33</v>
      </c>
      <c r="AA94" s="12">
        <v>0.28438865475773301</v>
      </c>
      <c r="AB94" s="12">
        <f t="shared" si="2"/>
        <v>4.561134524226701E-2</v>
      </c>
      <c r="AC94" s="14">
        <v>0.43710235788125801</v>
      </c>
      <c r="AD94" s="14">
        <f t="shared" si="3"/>
        <v>-0.10710235788125799</v>
      </c>
    </row>
    <row r="95" spans="1:30" ht="15" x14ac:dyDescent="0.2">
      <c r="B95" s="10">
        <v>16</v>
      </c>
      <c r="C95" s="11">
        <v>500</v>
      </c>
      <c r="D95" s="11">
        <v>2</v>
      </c>
      <c r="E95" s="10">
        <v>138</v>
      </c>
      <c r="F95" s="12">
        <v>3.2690000000000001</v>
      </c>
      <c r="G95" s="10">
        <v>40</v>
      </c>
      <c r="H95" s="10">
        <v>48</v>
      </c>
      <c r="I95" s="9">
        <v>250</v>
      </c>
      <c r="J95" s="10">
        <v>348</v>
      </c>
      <c r="K95" s="11">
        <v>400</v>
      </c>
      <c r="L95" s="12">
        <v>40.840000000000003</v>
      </c>
      <c r="M95" s="9">
        <v>0.407422772266682</v>
      </c>
      <c r="N95" s="9">
        <v>0.355430241868603</v>
      </c>
      <c r="O95" s="9">
        <v>0.502979397582073</v>
      </c>
      <c r="P95" s="9">
        <v>0.38111572538496102</v>
      </c>
      <c r="Q95" s="9">
        <v>0.460525223205831</v>
      </c>
      <c r="R95" s="9">
        <v>0.52488148352575403</v>
      </c>
      <c r="S95" s="13">
        <v>0.3991779922996449</v>
      </c>
      <c r="T95" s="9">
        <v>0.29639526846206199</v>
      </c>
      <c r="U95" s="9">
        <v>0.41097361091528301</v>
      </c>
      <c r="V95" s="9">
        <v>0.47267082737059701</v>
      </c>
      <c r="W95" s="9">
        <v>0.49248466369405702</v>
      </c>
      <c r="X95" s="9">
        <v>0.362100248350545</v>
      </c>
      <c r="Y95" s="9">
        <v>0.33429193804752999</v>
      </c>
      <c r="Z95" s="12">
        <v>0.38</v>
      </c>
      <c r="AA95" s="12">
        <v>0.32787532392910301</v>
      </c>
      <c r="AB95" s="12">
        <f t="shared" si="2"/>
        <v>5.2124676070896991E-2</v>
      </c>
      <c r="AC95" s="14">
        <v>0.50675079329674799</v>
      </c>
      <c r="AD95" s="14">
        <f t="shared" si="3"/>
        <v>-0.12675079329674799</v>
      </c>
    </row>
    <row r="96" spans="1:30" ht="15" x14ac:dyDescent="0.2">
      <c r="A96" s="9" t="s">
        <v>52</v>
      </c>
      <c r="B96" s="10">
        <v>16</v>
      </c>
      <c r="C96" s="11">
        <v>500</v>
      </c>
      <c r="D96" s="11">
        <v>2</v>
      </c>
      <c r="E96" s="10">
        <v>168</v>
      </c>
      <c r="F96" s="12">
        <v>3.2690000000000001</v>
      </c>
      <c r="G96" s="10">
        <v>25</v>
      </c>
      <c r="H96" s="10">
        <v>33</v>
      </c>
      <c r="I96" s="9">
        <v>250</v>
      </c>
      <c r="J96" s="10">
        <v>333</v>
      </c>
      <c r="K96" s="11">
        <v>400</v>
      </c>
      <c r="L96" s="12">
        <v>23.34</v>
      </c>
      <c r="M96" s="9">
        <v>0.13409248123173201</v>
      </c>
      <c r="N96" s="9">
        <v>0.14310195367254</v>
      </c>
      <c r="O96" s="9">
        <v>0.26428228038373303</v>
      </c>
      <c r="P96" s="9">
        <v>0.12447642459592401</v>
      </c>
      <c r="Q96" s="9">
        <v>0.14579520985226599</v>
      </c>
      <c r="R96" s="9">
        <v>0.21268829038166101</v>
      </c>
      <c r="S96" s="13">
        <v>0.1846986341868315</v>
      </c>
      <c r="T96" s="9">
        <v>0.134746895529849</v>
      </c>
      <c r="U96" s="9">
        <v>0.17296156171576599</v>
      </c>
      <c r="V96" s="9">
        <v>0.187434596405334</v>
      </c>
      <c r="W96" s="9">
        <v>0.13094693451446199</v>
      </c>
      <c r="X96" s="9">
        <v>0.111890980158436</v>
      </c>
      <c r="Y96" s="9">
        <v>9.0993054957387298E-2</v>
      </c>
      <c r="Z96" s="12">
        <v>0.15</v>
      </c>
      <c r="AA96" s="12">
        <v>9.9274752045340003E-2</v>
      </c>
      <c r="AB96" s="12">
        <f t="shared" si="2"/>
        <v>5.0725247954659991E-2</v>
      </c>
      <c r="AC96" s="14">
        <v>0.110634462033796</v>
      </c>
      <c r="AD96" s="14">
        <f t="shared" si="3"/>
        <v>3.9365537966203998E-2</v>
      </c>
    </row>
    <row r="97" spans="1:30" ht="15" x14ac:dyDescent="0.2">
      <c r="B97" s="10">
        <v>16</v>
      </c>
      <c r="C97" s="11">
        <v>500</v>
      </c>
      <c r="D97" s="11">
        <v>2</v>
      </c>
      <c r="E97" s="10">
        <v>168</v>
      </c>
      <c r="F97" s="12">
        <v>3.2690000000000001</v>
      </c>
      <c r="G97" s="10">
        <v>25</v>
      </c>
      <c r="H97" s="10">
        <v>33</v>
      </c>
      <c r="I97" s="9">
        <v>250</v>
      </c>
      <c r="J97" s="10">
        <v>333</v>
      </c>
      <c r="K97" s="11">
        <v>400</v>
      </c>
      <c r="L97" s="12">
        <v>26.26</v>
      </c>
      <c r="M97" s="9">
        <v>0.171073176637526</v>
      </c>
      <c r="N97" s="9">
        <v>0.16100502585436599</v>
      </c>
      <c r="O97" s="9">
        <v>0.29734587330235002</v>
      </c>
      <c r="P97" s="9">
        <v>0.157570475445657</v>
      </c>
      <c r="Q97" s="9">
        <v>0.17429705972752901</v>
      </c>
      <c r="R97" s="9">
        <v>0.23929710820147401</v>
      </c>
      <c r="S97" s="13">
        <v>0.21318676482569551</v>
      </c>
      <c r="T97" s="9">
        <v>0.154295967831621</v>
      </c>
      <c r="U97" s="9">
        <v>0.19460028323290501</v>
      </c>
      <c r="V97" s="9">
        <v>0.21377264107091101</v>
      </c>
      <c r="W97" s="9">
        <v>0.163768165851579</v>
      </c>
      <c r="X97" s="9">
        <v>0.134461087396925</v>
      </c>
      <c r="Y97" s="9">
        <v>0.110573338061573</v>
      </c>
      <c r="Z97" s="12">
        <v>0.18</v>
      </c>
      <c r="AA97" s="12">
        <v>0.116178589995917</v>
      </c>
      <c r="AB97" s="12">
        <f t="shared" si="2"/>
        <v>6.3821410004082993E-2</v>
      </c>
      <c r="AC97" s="14">
        <v>0.14377344806676701</v>
      </c>
      <c r="AD97" s="14">
        <f t="shared" si="3"/>
        <v>3.6226551933232987E-2</v>
      </c>
    </row>
    <row r="98" spans="1:30" ht="15" x14ac:dyDescent="0.2">
      <c r="B98" s="10">
        <v>16</v>
      </c>
      <c r="C98" s="11">
        <v>500</v>
      </c>
      <c r="D98" s="11">
        <v>2</v>
      </c>
      <c r="E98" s="10">
        <v>168</v>
      </c>
      <c r="F98" s="12">
        <v>3.2690000000000001</v>
      </c>
      <c r="G98" s="10">
        <v>25</v>
      </c>
      <c r="H98" s="10">
        <v>33</v>
      </c>
      <c r="I98" s="9">
        <v>250</v>
      </c>
      <c r="J98" s="10">
        <v>333</v>
      </c>
      <c r="K98" s="11">
        <v>400</v>
      </c>
      <c r="L98" s="12">
        <v>29.175000000000001</v>
      </c>
      <c r="M98" s="9">
        <v>0.207990548934748</v>
      </c>
      <c r="N98" s="9">
        <v>0.17887744209067599</v>
      </c>
      <c r="O98" s="9">
        <v>0.330352850479667</v>
      </c>
      <c r="P98" s="9">
        <v>0.194494413431132</v>
      </c>
      <c r="Q98" s="9">
        <v>0.202750105065333</v>
      </c>
      <c r="R98" s="9">
        <v>0.26586036297707599</v>
      </c>
      <c r="S98" s="13">
        <v>0.2416261144189451</v>
      </c>
      <c r="T98" s="9">
        <v>0.17381156569452</v>
      </c>
      <c r="U98" s="9">
        <v>0.216201952144707</v>
      </c>
      <c r="V98" s="9">
        <v>0.24074542196424201</v>
      </c>
      <c r="W98" s="9">
        <v>0.20635674960082601</v>
      </c>
      <c r="X98" s="9">
        <v>0.17168202493194701</v>
      </c>
      <c r="Y98" s="9">
        <v>0.14506549518116399</v>
      </c>
      <c r="Z98" s="12">
        <v>0.2</v>
      </c>
      <c r="AA98" s="12">
        <v>0.14717536615403201</v>
      </c>
      <c r="AB98" s="12">
        <f t="shared" si="2"/>
        <v>5.2824633845968E-2</v>
      </c>
      <c r="AC98" s="14">
        <v>0.18990028944419701</v>
      </c>
      <c r="AD98" s="14">
        <f t="shared" si="3"/>
        <v>1.0099710555802999E-2</v>
      </c>
    </row>
    <row r="99" spans="1:30" ht="15" x14ac:dyDescent="0.2">
      <c r="B99" s="10">
        <v>16</v>
      </c>
      <c r="C99" s="11">
        <v>500</v>
      </c>
      <c r="D99" s="11">
        <v>2</v>
      </c>
      <c r="E99" s="10">
        <v>168</v>
      </c>
      <c r="F99" s="12">
        <v>3.2690000000000001</v>
      </c>
      <c r="G99" s="10">
        <v>25</v>
      </c>
      <c r="H99" s="10">
        <v>33</v>
      </c>
      <c r="I99" s="9">
        <v>250</v>
      </c>
      <c r="J99" s="10">
        <v>333</v>
      </c>
      <c r="K99" s="11">
        <v>400</v>
      </c>
      <c r="L99" s="12">
        <v>32.090000000000003</v>
      </c>
      <c r="M99" s="9">
        <v>0.244907921231971</v>
      </c>
      <c r="N99" s="9">
        <v>0.19760779435522899</v>
      </c>
      <c r="O99" s="9">
        <v>0.36335982765698399</v>
      </c>
      <c r="P99" s="9">
        <v>0.23530157606629101</v>
      </c>
      <c r="Q99" s="9">
        <v>0.23120315040313799</v>
      </c>
      <c r="R99" s="9">
        <v>0.292423617752677</v>
      </c>
      <c r="S99" s="13">
        <v>0.27006546401219472</v>
      </c>
      <c r="T99" s="9">
        <v>0.193327163557419</v>
      </c>
      <c r="U99" s="9">
        <v>0.23780362105650901</v>
      </c>
      <c r="V99" s="9">
        <v>0.26824487680377601</v>
      </c>
      <c r="W99" s="9">
        <v>0.24778164092129101</v>
      </c>
      <c r="X99" s="9">
        <v>0.20947007070116999</v>
      </c>
      <c r="Y99" s="9">
        <v>0.18038046539104599</v>
      </c>
      <c r="Z99" s="12">
        <v>0.23</v>
      </c>
      <c r="AA99" s="12">
        <v>0.17817214231214801</v>
      </c>
      <c r="AB99" s="12">
        <f t="shared" si="2"/>
        <v>5.1827857687852003E-2</v>
      </c>
      <c r="AC99" s="14">
        <v>0.23602713082162699</v>
      </c>
      <c r="AD99" s="14">
        <f t="shared" si="3"/>
        <v>-6.0271308216269803E-3</v>
      </c>
    </row>
    <row r="100" spans="1:30" ht="15" x14ac:dyDescent="0.2">
      <c r="B100" s="10">
        <v>16</v>
      </c>
      <c r="C100" s="11">
        <v>500</v>
      </c>
      <c r="D100" s="11">
        <v>2</v>
      </c>
      <c r="E100" s="10">
        <v>168</v>
      </c>
      <c r="F100" s="12">
        <v>3.2690000000000001</v>
      </c>
      <c r="G100" s="10">
        <v>25</v>
      </c>
      <c r="H100" s="10">
        <v>33</v>
      </c>
      <c r="I100" s="9">
        <v>250</v>
      </c>
      <c r="J100" s="10">
        <v>333</v>
      </c>
      <c r="K100" s="11">
        <v>400</v>
      </c>
      <c r="L100" s="12">
        <v>35.01</v>
      </c>
      <c r="M100" s="9">
        <v>0.28188861663776499</v>
      </c>
      <c r="N100" s="9">
        <v>0.22744624799160601</v>
      </c>
      <c r="O100" s="9">
        <v>0.39642342057559998</v>
      </c>
      <c r="P100" s="9">
        <v>0.28007195534083001</v>
      </c>
      <c r="Q100" s="9">
        <v>0.25970500027839999</v>
      </c>
      <c r="R100" s="9">
        <v>0.319032435572491</v>
      </c>
      <c r="S100" s="13">
        <v>0.2985535946510588</v>
      </c>
      <c r="T100" s="9">
        <v>0.21287623585918999</v>
      </c>
      <c r="U100" s="9">
        <v>0.25944234257364901</v>
      </c>
      <c r="V100" s="9">
        <v>0.29621109654667399</v>
      </c>
      <c r="W100" s="9">
        <v>0.28822808346578699</v>
      </c>
      <c r="X100" s="9">
        <v>0.24789150119600201</v>
      </c>
      <c r="Y100" s="9">
        <v>0.21658094147941401</v>
      </c>
      <c r="Z100" s="12">
        <v>0.25</v>
      </c>
      <c r="AA100" s="12">
        <v>0.20922208618237001</v>
      </c>
      <c r="AB100" s="12">
        <f t="shared" si="2"/>
        <v>4.077791381762999E-2</v>
      </c>
      <c r="AC100" s="14">
        <v>0.28223309199558799</v>
      </c>
      <c r="AD100" s="14">
        <f t="shared" si="3"/>
        <v>-3.2233091995587992E-2</v>
      </c>
    </row>
    <row r="101" spans="1:30" ht="15" x14ac:dyDescent="0.2">
      <c r="B101" s="10">
        <v>16</v>
      </c>
      <c r="C101" s="11">
        <v>500</v>
      </c>
      <c r="D101" s="11">
        <v>2</v>
      </c>
      <c r="E101" s="10">
        <v>168</v>
      </c>
      <c r="F101" s="12">
        <v>3.2690000000000001</v>
      </c>
      <c r="G101" s="10">
        <v>25</v>
      </c>
      <c r="H101" s="10">
        <v>33</v>
      </c>
      <c r="I101" s="9">
        <v>250</v>
      </c>
      <c r="J101" s="10">
        <v>333</v>
      </c>
      <c r="K101" s="11">
        <v>400</v>
      </c>
      <c r="L101" s="12">
        <v>37.93</v>
      </c>
      <c r="M101" s="9">
        <v>0.31886931204355901</v>
      </c>
      <c r="N101" s="9">
        <v>0.257284701627982</v>
      </c>
      <c r="O101" s="9">
        <v>0.42948701349421597</v>
      </c>
      <c r="P101" s="9">
        <v>0.32873889221541702</v>
      </c>
      <c r="Q101" s="9">
        <v>0.28820685015366199</v>
      </c>
      <c r="R101" s="9">
        <v>0.345641253392304</v>
      </c>
      <c r="S101" s="13">
        <v>0.32704172528992292</v>
      </c>
      <c r="T101" s="9">
        <v>0.23242530816096199</v>
      </c>
      <c r="U101" s="9">
        <v>0.28108106409078798</v>
      </c>
      <c r="V101" s="9">
        <v>0.324517798744556</v>
      </c>
      <c r="W101" s="9">
        <v>0.32772968510924699</v>
      </c>
      <c r="X101" s="9">
        <v>0.286881987076337</v>
      </c>
      <c r="Y101" s="9">
        <v>0.253607055765319</v>
      </c>
      <c r="Z101" s="12">
        <v>0.3</v>
      </c>
      <c r="AA101" s="12">
        <v>0.24027203005259201</v>
      </c>
      <c r="AB101" s="12">
        <f t="shared" si="2"/>
        <v>5.9727969947407977E-2</v>
      </c>
      <c r="AC101" s="14">
        <v>0.32843905316954902</v>
      </c>
      <c r="AD101" s="14">
        <f t="shared" si="3"/>
        <v>-2.8439053169549033E-2</v>
      </c>
    </row>
    <row r="102" spans="1:30" ht="15" x14ac:dyDescent="0.2">
      <c r="B102" s="10">
        <v>16</v>
      </c>
      <c r="C102" s="11">
        <v>500</v>
      </c>
      <c r="D102" s="11">
        <v>2</v>
      </c>
      <c r="E102" s="10">
        <v>168</v>
      </c>
      <c r="F102" s="12">
        <v>3.2690000000000001</v>
      </c>
      <c r="G102" s="10">
        <v>25</v>
      </c>
      <c r="H102" s="10">
        <v>33</v>
      </c>
      <c r="I102" s="9">
        <v>250</v>
      </c>
      <c r="J102" s="10">
        <v>333</v>
      </c>
      <c r="K102" s="11">
        <v>400</v>
      </c>
      <c r="L102" s="12">
        <v>40.840000000000003</v>
      </c>
      <c r="M102" s="9">
        <v>0.35572336123220999</v>
      </c>
      <c r="N102" s="9">
        <v>0.287020968779303</v>
      </c>
      <c r="O102" s="9">
        <v>0.46243737493023401</v>
      </c>
      <c r="P102" s="9">
        <v>0.38111572538496102</v>
      </c>
      <c r="Q102" s="9">
        <v>0.31661109095400902</v>
      </c>
      <c r="R102" s="9">
        <v>0.37215894512369402</v>
      </c>
      <c r="S102" s="13">
        <v>0.35543229383755803</v>
      </c>
      <c r="T102" s="9">
        <v>0.25190743158498802</v>
      </c>
      <c r="U102" s="9">
        <v>0.30264568039725298</v>
      </c>
      <c r="V102" s="9">
        <v>0.35300690649432698</v>
      </c>
      <c r="W102" s="9">
        <v>0.36625043346120201</v>
      </c>
      <c r="X102" s="9">
        <v>0.32630507938824299</v>
      </c>
      <c r="Y102" s="9">
        <v>0.29132777003705501</v>
      </c>
      <c r="Z102" s="12">
        <v>0.3</v>
      </c>
      <c r="AA102" s="12">
        <v>0.27121563849860097</v>
      </c>
      <c r="AB102" s="12">
        <f t="shared" si="2"/>
        <v>2.8784361501399014E-2</v>
      </c>
      <c r="AC102" s="14">
        <v>0.374486774750448</v>
      </c>
      <c r="AD102" s="14">
        <f t="shared" si="3"/>
        <v>-7.4486774750448015E-2</v>
      </c>
    </row>
    <row r="103" spans="1:30" ht="15" x14ac:dyDescent="0.2">
      <c r="A103" s="9" t="s">
        <v>53</v>
      </c>
      <c r="B103" s="10">
        <v>16</v>
      </c>
      <c r="C103" s="11">
        <v>500</v>
      </c>
      <c r="D103" s="11">
        <v>2</v>
      </c>
      <c r="E103" s="10">
        <v>168</v>
      </c>
      <c r="F103" s="12">
        <v>3.2690000000000001</v>
      </c>
      <c r="G103" s="10">
        <v>25</v>
      </c>
      <c r="H103" s="10">
        <v>33</v>
      </c>
      <c r="I103" s="9">
        <v>250</v>
      </c>
      <c r="J103" s="10">
        <v>333</v>
      </c>
      <c r="K103" s="11">
        <v>400</v>
      </c>
      <c r="L103" s="12">
        <v>20.420000000000002</v>
      </c>
      <c r="M103" s="9">
        <v>9.7111785825937505E-2</v>
      </c>
      <c r="N103" s="9">
        <v>0.12519888149071501</v>
      </c>
      <c r="O103" s="9">
        <v>0.23121868746511701</v>
      </c>
      <c r="P103" s="9">
        <v>9.5278931346240298E-2</v>
      </c>
      <c r="Q103" s="9">
        <v>0.11729335997700401</v>
      </c>
      <c r="R103" s="9">
        <v>0.18607947256184701</v>
      </c>
      <c r="S103" s="13">
        <v>0.15621050354796739</v>
      </c>
      <c r="T103" s="9">
        <v>0.11519782322807701</v>
      </c>
      <c r="U103" s="9">
        <v>0.15132284019862599</v>
      </c>
      <c r="V103" s="9">
        <v>0.162002927407979</v>
      </c>
      <c r="W103" s="9">
        <v>0.10309760864614501</v>
      </c>
      <c r="X103" s="9">
        <v>9.4373788707939193E-2</v>
      </c>
      <c r="Y103" s="9">
        <v>7.6722270453226202E-2</v>
      </c>
      <c r="Z103" s="12">
        <v>0.15</v>
      </c>
      <c r="AA103" s="12">
        <v>8.6854774497251194E-2</v>
      </c>
      <c r="AB103" s="12">
        <f t="shared" si="2"/>
        <v>6.31452255027488E-2</v>
      </c>
      <c r="AC103" s="14">
        <v>8.6854774497251194E-2</v>
      </c>
      <c r="AD103" s="14">
        <f t="shared" si="3"/>
        <v>6.31452255027488E-2</v>
      </c>
    </row>
    <row r="104" spans="1:30" ht="15" x14ac:dyDescent="0.2">
      <c r="B104" s="10">
        <v>16</v>
      </c>
      <c r="C104" s="11">
        <v>500</v>
      </c>
      <c r="D104" s="11">
        <v>2</v>
      </c>
      <c r="E104" s="10">
        <v>168</v>
      </c>
      <c r="F104" s="12">
        <v>3.2690000000000001</v>
      </c>
      <c r="G104" s="10">
        <v>25</v>
      </c>
      <c r="H104" s="10">
        <v>33</v>
      </c>
      <c r="I104" s="9">
        <v>250</v>
      </c>
      <c r="J104" s="10">
        <v>333</v>
      </c>
      <c r="K104" s="11">
        <v>400</v>
      </c>
      <c r="L104" s="12">
        <v>23.34</v>
      </c>
      <c r="M104" s="9">
        <v>0.13409248123173201</v>
      </c>
      <c r="N104" s="9">
        <v>0.14310195367254</v>
      </c>
      <c r="O104" s="9">
        <v>0.26428228038373303</v>
      </c>
      <c r="P104" s="9">
        <v>0.12447642459592401</v>
      </c>
      <c r="Q104" s="9">
        <v>0.14579520985226599</v>
      </c>
      <c r="R104" s="9">
        <v>0.21268829038166101</v>
      </c>
      <c r="S104" s="13">
        <v>0.1846986341868315</v>
      </c>
      <c r="T104" s="9">
        <v>0.134746895529849</v>
      </c>
      <c r="U104" s="9">
        <v>0.17296156171576599</v>
      </c>
      <c r="V104" s="9">
        <v>0.187434596405334</v>
      </c>
      <c r="W104" s="9">
        <v>0.13094693451446199</v>
      </c>
      <c r="X104" s="9">
        <v>0.111890980158436</v>
      </c>
      <c r="Y104" s="9">
        <v>9.0993054957387298E-2</v>
      </c>
      <c r="Z104" s="12">
        <v>0.18</v>
      </c>
      <c r="AA104" s="12">
        <v>9.9274752045340003E-2</v>
      </c>
      <c r="AB104" s="12">
        <f t="shared" si="2"/>
        <v>8.072524795465999E-2</v>
      </c>
      <c r="AC104" s="14">
        <v>0.110634462033796</v>
      </c>
      <c r="AD104" s="14">
        <f t="shared" si="3"/>
        <v>6.9365537966203997E-2</v>
      </c>
    </row>
    <row r="105" spans="1:30" ht="15" x14ac:dyDescent="0.2">
      <c r="B105" s="10">
        <v>16</v>
      </c>
      <c r="C105" s="11">
        <v>500</v>
      </c>
      <c r="D105" s="11">
        <v>2</v>
      </c>
      <c r="E105" s="10">
        <v>168</v>
      </c>
      <c r="F105" s="12">
        <v>3.2690000000000001</v>
      </c>
      <c r="G105" s="10">
        <v>25</v>
      </c>
      <c r="H105" s="10">
        <v>33</v>
      </c>
      <c r="I105" s="9">
        <v>250</v>
      </c>
      <c r="J105" s="10">
        <v>333</v>
      </c>
      <c r="K105" s="11">
        <v>400</v>
      </c>
      <c r="L105" s="12">
        <v>26.26</v>
      </c>
      <c r="M105" s="9">
        <v>0.171073176637526</v>
      </c>
      <c r="N105" s="9">
        <v>0.16100502585436599</v>
      </c>
      <c r="O105" s="9">
        <v>0.29734587330235002</v>
      </c>
      <c r="P105" s="9">
        <v>0.157570475445657</v>
      </c>
      <c r="Q105" s="9">
        <v>0.17429705972752901</v>
      </c>
      <c r="R105" s="9">
        <v>0.23929710820147401</v>
      </c>
      <c r="S105" s="13">
        <v>0.21318676482569551</v>
      </c>
      <c r="T105" s="9">
        <v>0.154295967831621</v>
      </c>
      <c r="U105" s="9">
        <v>0.19460028323290501</v>
      </c>
      <c r="V105" s="9">
        <v>0.21377264107091101</v>
      </c>
      <c r="W105" s="9">
        <v>0.163768165851579</v>
      </c>
      <c r="X105" s="9">
        <v>0.134461087396925</v>
      </c>
      <c r="Y105" s="9">
        <v>0.110573338061573</v>
      </c>
      <c r="Z105" s="12">
        <v>0.18</v>
      </c>
      <c r="AA105" s="12">
        <v>0.116178589995917</v>
      </c>
      <c r="AB105" s="12">
        <f t="shared" si="2"/>
        <v>6.3821410004082993E-2</v>
      </c>
      <c r="AC105" s="14">
        <v>0.14377344806676701</v>
      </c>
      <c r="AD105" s="14">
        <f t="shared" si="3"/>
        <v>3.6226551933232987E-2</v>
      </c>
    </row>
    <row r="106" spans="1:30" ht="15" x14ac:dyDescent="0.2">
      <c r="B106" s="10">
        <v>16</v>
      </c>
      <c r="C106" s="11">
        <v>500</v>
      </c>
      <c r="D106" s="11">
        <v>2</v>
      </c>
      <c r="E106" s="10">
        <v>168</v>
      </c>
      <c r="F106" s="12">
        <v>3.2690000000000001</v>
      </c>
      <c r="G106" s="10">
        <v>25</v>
      </c>
      <c r="H106" s="10">
        <v>33</v>
      </c>
      <c r="I106" s="9">
        <v>250</v>
      </c>
      <c r="J106" s="10">
        <v>333</v>
      </c>
      <c r="K106" s="11">
        <v>400</v>
      </c>
      <c r="L106" s="12">
        <v>29.175000000000001</v>
      </c>
      <c r="M106" s="9">
        <v>0.207990548934748</v>
      </c>
      <c r="N106" s="9">
        <v>0.17887744209067599</v>
      </c>
      <c r="O106" s="9">
        <v>0.330352850479667</v>
      </c>
      <c r="P106" s="9">
        <v>0.194494413431132</v>
      </c>
      <c r="Q106" s="9">
        <v>0.202750105065333</v>
      </c>
      <c r="R106" s="9">
        <v>0.26586036297707599</v>
      </c>
      <c r="S106" s="13">
        <v>0.2416261144189451</v>
      </c>
      <c r="T106" s="9">
        <v>0.17381156569452</v>
      </c>
      <c r="U106" s="9">
        <v>0.216201952144707</v>
      </c>
      <c r="V106" s="9">
        <v>0.24074542196424201</v>
      </c>
      <c r="W106" s="9">
        <v>0.20635674960082601</v>
      </c>
      <c r="X106" s="9">
        <v>0.17168202493194701</v>
      </c>
      <c r="Y106" s="9">
        <v>0.14506549518116399</v>
      </c>
      <c r="Z106" s="12">
        <v>0.25</v>
      </c>
      <c r="AA106" s="12">
        <v>0.14717536615403201</v>
      </c>
      <c r="AB106" s="12">
        <f t="shared" si="2"/>
        <v>0.10282463384596799</v>
      </c>
      <c r="AC106" s="14">
        <v>0.18990028944419701</v>
      </c>
      <c r="AD106" s="14">
        <f t="shared" si="3"/>
        <v>6.0099710555802988E-2</v>
      </c>
    </row>
    <row r="107" spans="1:30" ht="15" x14ac:dyDescent="0.2">
      <c r="B107" s="10">
        <v>16</v>
      </c>
      <c r="C107" s="11">
        <v>500</v>
      </c>
      <c r="D107" s="11">
        <v>2</v>
      </c>
      <c r="E107" s="10">
        <v>168</v>
      </c>
      <c r="F107" s="12">
        <v>3.2690000000000001</v>
      </c>
      <c r="G107" s="10">
        <v>25</v>
      </c>
      <c r="H107" s="10">
        <v>33</v>
      </c>
      <c r="I107" s="9">
        <v>250</v>
      </c>
      <c r="J107" s="10">
        <v>333</v>
      </c>
      <c r="K107" s="11">
        <v>400</v>
      </c>
      <c r="L107" s="12">
        <v>32.090000000000003</v>
      </c>
      <c r="M107" s="9">
        <v>0.244907921231971</v>
      </c>
      <c r="N107" s="9">
        <v>0.19760779435522899</v>
      </c>
      <c r="O107" s="9">
        <v>0.36335982765698399</v>
      </c>
      <c r="P107" s="9">
        <v>0.23530157606629101</v>
      </c>
      <c r="Q107" s="9">
        <v>0.23120315040313799</v>
      </c>
      <c r="R107" s="9">
        <v>0.292423617752677</v>
      </c>
      <c r="S107" s="13">
        <v>0.27006546401219472</v>
      </c>
      <c r="T107" s="9">
        <v>0.193327163557419</v>
      </c>
      <c r="U107" s="9">
        <v>0.23780362105650901</v>
      </c>
      <c r="V107" s="9">
        <v>0.26824487680377601</v>
      </c>
      <c r="W107" s="9">
        <v>0.24778164092129101</v>
      </c>
      <c r="X107" s="9">
        <v>0.20947007070116999</v>
      </c>
      <c r="Y107" s="9">
        <v>0.18038046539104599</v>
      </c>
      <c r="Z107" s="12">
        <v>0.28000000000000003</v>
      </c>
      <c r="AA107" s="12">
        <v>0.17817214231214801</v>
      </c>
      <c r="AB107" s="12">
        <f t="shared" si="2"/>
        <v>0.10182785768785202</v>
      </c>
      <c r="AC107" s="14">
        <v>0.23602713082162699</v>
      </c>
      <c r="AD107" s="14">
        <f t="shared" si="3"/>
        <v>4.3972869178373036E-2</v>
      </c>
    </row>
    <row r="108" spans="1:30" ht="15" x14ac:dyDescent="0.2">
      <c r="B108" s="10">
        <v>16</v>
      </c>
      <c r="C108" s="11">
        <v>500</v>
      </c>
      <c r="D108" s="11">
        <v>2</v>
      </c>
      <c r="E108" s="10">
        <v>168</v>
      </c>
      <c r="F108" s="12">
        <v>3.2690000000000001</v>
      </c>
      <c r="G108" s="10">
        <v>25</v>
      </c>
      <c r="H108" s="10">
        <v>33</v>
      </c>
      <c r="I108" s="9">
        <v>250</v>
      </c>
      <c r="J108" s="10">
        <v>333</v>
      </c>
      <c r="K108" s="11">
        <v>400</v>
      </c>
      <c r="L108" s="12">
        <v>35.01</v>
      </c>
      <c r="M108" s="9">
        <v>0.28188861663776499</v>
      </c>
      <c r="N108" s="9">
        <v>0.22744624799160601</v>
      </c>
      <c r="O108" s="9">
        <v>0.39642342057559998</v>
      </c>
      <c r="P108" s="9">
        <v>0.28007195534083001</v>
      </c>
      <c r="Q108" s="9">
        <v>0.25970500027839999</v>
      </c>
      <c r="R108" s="9">
        <v>0.319032435572491</v>
      </c>
      <c r="S108" s="13">
        <v>0.2985535946510588</v>
      </c>
      <c r="T108" s="9">
        <v>0.21287623585918999</v>
      </c>
      <c r="U108" s="9">
        <v>0.25944234257364901</v>
      </c>
      <c r="V108" s="9">
        <v>0.29621109654667399</v>
      </c>
      <c r="W108" s="9">
        <v>0.28822808346578699</v>
      </c>
      <c r="X108" s="9">
        <v>0.24789150119600201</v>
      </c>
      <c r="Y108" s="9">
        <v>0.21658094147941401</v>
      </c>
      <c r="Z108" s="12">
        <v>0.33</v>
      </c>
      <c r="AA108" s="12">
        <v>0.20922208618237001</v>
      </c>
      <c r="AB108" s="12">
        <f t="shared" si="2"/>
        <v>0.12077791381763001</v>
      </c>
      <c r="AC108" s="14">
        <v>0.28223309199558799</v>
      </c>
      <c r="AD108" s="14">
        <f t="shared" si="3"/>
        <v>4.7766908004412023E-2</v>
      </c>
    </row>
    <row r="109" spans="1:30" ht="15" x14ac:dyDescent="0.2">
      <c r="B109" s="10">
        <v>16</v>
      </c>
      <c r="C109" s="11">
        <v>500</v>
      </c>
      <c r="D109" s="11">
        <v>2</v>
      </c>
      <c r="E109" s="10">
        <v>168</v>
      </c>
      <c r="F109" s="12">
        <v>3.2690000000000001</v>
      </c>
      <c r="G109" s="10">
        <v>25</v>
      </c>
      <c r="H109" s="10">
        <v>33</v>
      </c>
      <c r="I109" s="9">
        <v>250</v>
      </c>
      <c r="J109" s="10">
        <v>333</v>
      </c>
      <c r="K109" s="11">
        <v>400</v>
      </c>
      <c r="L109" s="12">
        <v>37.93</v>
      </c>
      <c r="M109" s="9">
        <v>0.31886931204355901</v>
      </c>
      <c r="N109" s="9">
        <v>0.257284701627982</v>
      </c>
      <c r="O109" s="9">
        <v>0.42948701349421597</v>
      </c>
      <c r="P109" s="9">
        <v>0.32873889221541702</v>
      </c>
      <c r="Q109" s="9">
        <v>0.28820685015366199</v>
      </c>
      <c r="R109" s="9">
        <v>0.345641253392304</v>
      </c>
      <c r="S109" s="13">
        <v>0.32704172528992292</v>
      </c>
      <c r="T109" s="9">
        <v>0.23242530816096199</v>
      </c>
      <c r="U109" s="9">
        <v>0.28108106409078798</v>
      </c>
      <c r="V109" s="9">
        <v>0.324517798744556</v>
      </c>
      <c r="W109" s="9">
        <v>0.32772968510924699</v>
      </c>
      <c r="X109" s="9">
        <v>0.286881987076337</v>
      </c>
      <c r="Y109" s="9">
        <v>0.253607055765319</v>
      </c>
      <c r="Z109" s="12">
        <v>0.38</v>
      </c>
      <c r="AA109" s="12">
        <v>0.24027203005259201</v>
      </c>
      <c r="AB109" s="12">
        <f t="shared" si="2"/>
        <v>0.13972796994740799</v>
      </c>
      <c r="AC109" s="14">
        <v>0.32843905316954902</v>
      </c>
      <c r="AD109" s="14">
        <f t="shared" si="3"/>
        <v>5.1560946830450982E-2</v>
      </c>
    </row>
    <row r="110" spans="1:30" ht="15" x14ac:dyDescent="0.2">
      <c r="B110" s="10">
        <v>16</v>
      </c>
      <c r="C110" s="11">
        <v>500</v>
      </c>
      <c r="D110" s="11">
        <v>2</v>
      </c>
      <c r="E110" s="10">
        <v>168</v>
      </c>
      <c r="F110" s="12">
        <v>3.2690000000000001</v>
      </c>
      <c r="G110" s="10">
        <v>25</v>
      </c>
      <c r="H110" s="10">
        <v>33</v>
      </c>
      <c r="I110" s="9">
        <v>250</v>
      </c>
      <c r="J110" s="10">
        <v>333</v>
      </c>
      <c r="K110" s="11">
        <v>400</v>
      </c>
      <c r="L110" s="12">
        <v>40.840000000000003</v>
      </c>
      <c r="M110" s="9">
        <v>0.35572336123220999</v>
      </c>
      <c r="N110" s="9">
        <v>0.287020968779303</v>
      </c>
      <c r="O110" s="9">
        <v>0.46243737493023401</v>
      </c>
      <c r="P110" s="9">
        <v>0.38111572538496102</v>
      </c>
      <c r="Q110" s="9">
        <v>0.31661109095400902</v>
      </c>
      <c r="R110" s="9">
        <v>0.37215894512369402</v>
      </c>
      <c r="S110" s="13">
        <v>0.35543229383755803</v>
      </c>
      <c r="T110" s="9">
        <v>0.25190743158498802</v>
      </c>
      <c r="U110" s="9">
        <v>0.30264568039725298</v>
      </c>
      <c r="V110" s="9">
        <v>0.35300690649432698</v>
      </c>
      <c r="W110" s="9">
        <v>0.36625043346120201</v>
      </c>
      <c r="X110" s="9">
        <v>0.32630507938824299</v>
      </c>
      <c r="Y110" s="9">
        <v>0.29132777003705501</v>
      </c>
      <c r="Z110" s="12">
        <v>0.43</v>
      </c>
      <c r="AA110" s="12">
        <v>0.27121563849860097</v>
      </c>
      <c r="AB110" s="12">
        <f t="shared" si="2"/>
        <v>0.15878436150139902</v>
      </c>
      <c r="AC110" s="14">
        <v>0.374486774750448</v>
      </c>
      <c r="AD110" s="14">
        <f t="shared" si="3"/>
        <v>5.551322524955199E-2</v>
      </c>
    </row>
    <row r="111" spans="1:30" ht="15" x14ac:dyDescent="0.2">
      <c r="A111" s="9" t="s">
        <v>54</v>
      </c>
      <c r="B111" s="10">
        <v>16</v>
      </c>
      <c r="C111" s="11">
        <v>500</v>
      </c>
      <c r="D111" s="11">
        <v>3</v>
      </c>
      <c r="E111" s="10">
        <v>76</v>
      </c>
      <c r="F111" s="12">
        <v>3.2690000000000001</v>
      </c>
      <c r="G111" s="10">
        <v>25</v>
      </c>
      <c r="H111" s="10">
        <v>33</v>
      </c>
      <c r="I111" s="9">
        <v>250</v>
      </c>
      <c r="J111" s="10">
        <v>333</v>
      </c>
      <c r="K111" s="11">
        <v>600</v>
      </c>
      <c r="L111" s="12">
        <v>37.93</v>
      </c>
      <c r="M111" s="9">
        <v>0.15310623544979499</v>
      </c>
      <c r="N111" s="9">
        <v>0.13497830291539201</v>
      </c>
      <c r="O111" s="9">
        <v>0.19624775636841499</v>
      </c>
      <c r="P111" s="9">
        <v>0.15248177687827699</v>
      </c>
      <c r="Q111" s="9">
        <v>0.130124961148568</v>
      </c>
      <c r="R111" s="9">
        <v>0.18003138663794299</v>
      </c>
      <c r="S111" s="13">
        <v>0.18087349076612638</v>
      </c>
      <c r="T111" s="9">
        <v>0.15297784176427001</v>
      </c>
      <c r="U111" s="9">
        <v>0.16782701616822199</v>
      </c>
      <c r="V111" s="9">
        <v>0.182495294299266</v>
      </c>
      <c r="W111" s="9">
        <v>0.15098726824286801</v>
      </c>
      <c r="X111" s="9">
        <v>0.146973606180786</v>
      </c>
      <c r="Y111" s="9">
        <v>0.125101939762885</v>
      </c>
      <c r="Z111" s="12">
        <v>0.15</v>
      </c>
      <c r="AA111" s="12">
        <v>0.12226734357024099</v>
      </c>
      <c r="AB111" s="12">
        <f t="shared" si="2"/>
        <v>2.7732656429759001E-2</v>
      </c>
      <c r="AC111" s="14">
        <v>0.137972481933548</v>
      </c>
      <c r="AD111" s="14">
        <f t="shared" si="3"/>
        <v>1.2027518066451998E-2</v>
      </c>
    </row>
    <row r="112" spans="1:30" ht="15" x14ac:dyDescent="0.2">
      <c r="B112" s="10">
        <v>16</v>
      </c>
      <c r="C112" s="11">
        <v>500</v>
      </c>
      <c r="D112" s="11">
        <v>3</v>
      </c>
      <c r="E112" s="10">
        <v>76</v>
      </c>
      <c r="F112" s="12">
        <v>3.2690000000000001</v>
      </c>
      <c r="G112" s="10">
        <v>25</v>
      </c>
      <c r="H112" s="10">
        <v>33</v>
      </c>
      <c r="I112" s="9">
        <v>250</v>
      </c>
      <c r="J112" s="10">
        <v>333</v>
      </c>
      <c r="K112" s="11">
        <v>600</v>
      </c>
      <c r="L112" s="12">
        <v>40.840000000000003</v>
      </c>
      <c r="M112" s="9">
        <v>0.17116484293996001</v>
      </c>
      <c r="N112" s="9">
        <v>0.15089875308436701</v>
      </c>
      <c r="O112" s="9">
        <v>0.21130393804603401</v>
      </c>
      <c r="P112" s="9">
        <v>0.17677617215085001</v>
      </c>
      <c r="Q112" s="9">
        <v>0.142962267348999</v>
      </c>
      <c r="R112" s="9">
        <v>0.19384344398348499</v>
      </c>
      <c r="S112" s="13">
        <v>0.19762161385288404</v>
      </c>
      <c r="T112" s="9">
        <v>0.16617247605076299</v>
      </c>
      <c r="U112" s="9">
        <v>0.180702750865019</v>
      </c>
      <c r="V112" s="9">
        <v>0.198056073163803</v>
      </c>
      <c r="W112" s="9">
        <v>0.17346475690952301</v>
      </c>
      <c r="X112" s="9">
        <v>0.16883493162996199</v>
      </c>
      <c r="Y112" s="9">
        <v>0.145440348258667</v>
      </c>
      <c r="Z112" s="12">
        <v>0.18</v>
      </c>
      <c r="AA112" s="12">
        <v>0.139582863940406</v>
      </c>
      <c r="AB112" s="12">
        <f t="shared" si="2"/>
        <v>4.0417136059593989E-2</v>
      </c>
      <c r="AC112" s="14">
        <v>0.16178299565650001</v>
      </c>
      <c r="AD112" s="14">
        <f t="shared" si="3"/>
        <v>1.8217004343499987E-2</v>
      </c>
    </row>
    <row r="113" spans="1:30" ht="15" x14ac:dyDescent="0.2">
      <c r="B113" s="10">
        <v>16</v>
      </c>
      <c r="C113" s="11">
        <v>500</v>
      </c>
      <c r="D113" s="11">
        <v>3</v>
      </c>
      <c r="E113" s="10">
        <v>76</v>
      </c>
      <c r="F113" s="12">
        <v>3.2690000000000001</v>
      </c>
      <c r="G113" s="10">
        <v>25</v>
      </c>
      <c r="H113" s="10">
        <v>33</v>
      </c>
      <c r="I113" s="9">
        <v>250</v>
      </c>
      <c r="J113" s="10">
        <v>333</v>
      </c>
      <c r="K113" s="11">
        <v>600</v>
      </c>
      <c r="L113" s="12">
        <v>43.76</v>
      </c>
      <c r="M113" s="9">
        <v>0.18928550750053899</v>
      </c>
      <c r="N113" s="9">
        <v>0.16687391270409399</v>
      </c>
      <c r="O113" s="9">
        <v>0.22641185917959</v>
      </c>
      <c r="P113" s="9">
        <v>0.20295833219562001</v>
      </c>
      <c r="Q113" s="9">
        <v>0.155843688003726</v>
      </c>
      <c r="R113" s="9">
        <v>0.20770296544361699</v>
      </c>
      <c r="S113" s="13">
        <v>0.21442729062722496</v>
      </c>
      <c r="T113" s="9">
        <v>0.17941245272312001</v>
      </c>
      <c r="U113" s="9">
        <v>0.19362273207280201</v>
      </c>
      <c r="V113" s="9">
        <v>0.21383798086854899</v>
      </c>
      <c r="W113" s="9">
        <v>0.195661015918076</v>
      </c>
      <c r="X113" s="9">
        <v>0.19103246226269699</v>
      </c>
      <c r="Y113" s="9">
        <v>0.16625050388816601</v>
      </c>
      <c r="Z113" s="12">
        <v>0.18</v>
      </c>
      <c r="AA113" s="12">
        <v>0.15695788781699799</v>
      </c>
      <c r="AB113" s="12">
        <f t="shared" si="2"/>
        <v>2.3042112183002006E-2</v>
      </c>
      <c r="AC113" s="14">
        <v>0.185675332450664</v>
      </c>
      <c r="AD113" s="14">
        <f t="shared" si="3"/>
        <v>-5.6753324506640113E-3</v>
      </c>
    </row>
    <row r="114" spans="1:30" ht="15" x14ac:dyDescent="0.2">
      <c r="B114" s="10">
        <v>16</v>
      </c>
      <c r="C114" s="11">
        <v>500</v>
      </c>
      <c r="D114" s="11">
        <v>3</v>
      </c>
      <c r="E114" s="10">
        <v>76</v>
      </c>
      <c r="F114" s="12">
        <v>3.2690000000000001</v>
      </c>
      <c r="G114" s="10">
        <v>25</v>
      </c>
      <c r="H114" s="10">
        <v>33</v>
      </c>
      <c r="I114" s="9">
        <v>250</v>
      </c>
      <c r="J114" s="10">
        <v>333</v>
      </c>
      <c r="K114" s="11">
        <v>600</v>
      </c>
      <c r="L114" s="12">
        <v>46.68</v>
      </c>
      <c r="M114" s="9">
        <v>0.207406172061117</v>
      </c>
      <c r="N114" s="9">
        <v>0.182849072323821</v>
      </c>
      <c r="O114" s="9">
        <v>0.241519780313146</v>
      </c>
      <c r="P114" s="9">
        <v>0.23094786593615199</v>
      </c>
      <c r="Q114" s="9">
        <v>0.168725108658454</v>
      </c>
      <c r="R114" s="9">
        <v>0.221562486903748</v>
      </c>
      <c r="S114" s="13">
        <v>0.23123296740156588</v>
      </c>
      <c r="T114" s="9">
        <v>0.192652429395477</v>
      </c>
      <c r="U114" s="9">
        <v>0.20654271328058499</v>
      </c>
      <c r="V114" s="9">
        <v>0.22976214666883599</v>
      </c>
      <c r="W114" s="9">
        <v>0.217523053178486</v>
      </c>
      <c r="X114" s="9">
        <v>0.21349152107149</v>
      </c>
      <c r="Y114" s="9">
        <v>0.187463204502612</v>
      </c>
      <c r="Z114" s="12">
        <v>0.2</v>
      </c>
      <c r="AA114" s="12">
        <v>0.17433291169359</v>
      </c>
      <c r="AB114" s="12">
        <f t="shared" si="2"/>
        <v>2.5667088306410013E-2</v>
      </c>
      <c r="AC114" s="14">
        <v>0.209567669244829</v>
      </c>
      <c r="AD114" s="14">
        <f t="shared" si="3"/>
        <v>-9.5676692448289913E-3</v>
      </c>
    </row>
    <row r="115" spans="1:30" ht="15" x14ac:dyDescent="0.2">
      <c r="B115" s="10">
        <v>16</v>
      </c>
      <c r="C115" s="11">
        <v>500</v>
      </c>
      <c r="D115" s="11">
        <v>3</v>
      </c>
      <c r="E115" s="10">
        <v>76</v>
      </c>
      <c r="F115" s="12">
        <v>3.2690000000000001</v>
      </c>
      <c r="G115" s="10">
        <v>25</v>
      </c>
      <c r="H115" s="10">
        <v>33</v>
      </c>
      <c r="I115" s="9">
        <v>250</v>
      </c>
      <c r="J115" s="10">
        <v>333</v>
      </c>
      <c r="K115" s="11">
        <v>600</v>
      </c>
      <c r="L115" s="12">
        <v>49.6</v>
      </c>
      <c r="M115" s="9">
        <v>0.22552683662169501</v>
      </c>
      <c r="N115" s="9">
        <v>0.19882423194354801</v>
      </c>
      <c r="O115" s="9">
        <v>0.25662770144670199</v>
      </c>
      <c r="P115" s="9">
        <v>0.260744773372447</v>
      </c>
      <c r="Q115" s="9">
        <v>0.181606529313181</v>
      </c>
      <c r="R115" s="9">
        <v>0.23542200836388</v>
      </c>
      <c r="S115" s="13">
        <v>0.24803864417590696</v>
      </c>
      <c r="T115" s="9">
        <v>0.20589240606783399</v>
      </c>
      <c r="U115" s="9">
        <v>0.219462694488368</v>
      </c>
      <c r="V115" s="9">
        <v>0.24580809599432701</v>
      </c>
      <c r="W115" s="9">
        <v>0.23907403789405199</v>
      </c>
      <c r="X115" s="9">
        <v>0.23621210805633899</v>
      </c>
      <c r="Y115" s="9">
        <v>0.20907845010200299</v>
      </c>
      <c r="Z115" s="12">
        <v>0.2</v>
      </c>
      <c r="AA115" s="12">
        <v>0.19170793557018101</v>
      </c>
      <c r="AB115" s="12">
        <f t="shared" si="2"/>
        <v>8.2920644298190016E-3</v>
      </c>
      <c r="AC115" s="14">
        <v>0.233460006038994</v>
      </c>
      <c r="AD115" s="14">
        <f t="shared" si="3"/>
        <v>-3.3460006038993989E-2</v>
      </c>
    </row>
    <row r="116" spans="1:30" ht="15" x14ac:dyDescent="0.2">
      <c r="A116" s="9" t="s">
        <v>55</v>
      </c>
      <c r="B116" s="10">
        <v>16</v>
      </c>
      <c r="C116" s="11">
        <v>500</v>
      </c>
      <c r="D116" s="11">
        <v>3</v>
      </c>
      <c r="E116" s="10">
        <v>76</v>
      </c>
      <c r="F116" s="12">
        <v>3.2690000000000001</v>
      </c>
      <c r="G116" s="10">
        <v>25</v>
      </c>
      <c r="H116" s="10">
        <v>33</v>
      </c>
      <c r="I116" s="9">
        <v>250</v>
      </c>
      <c r="J116" s="10">
        <v>333</v>
      </c>
      <c r="K116" s="11">
        <v>600</v>
      </c>
      <c r="L116" s="12">
        <v>40.840000000000003</v>
      </c>
      <c r="M116" s="9">
        <v>0.17116484293996001</v>
      </c>
      <c r="N116" s="9">
        <v>0.15089875308436701</v>
      </c>
      <c r="O116" s="9">
        <v>0.21130393804603401</v>
      </c>
      <c r="P116" s="9">
        <v>0.17677617215085001</v>
      </c>
      <c r="Q116" s="9">
        <v>0.142962267348999</v>
      </c>
      <c r="R116" s="9">
        <v>0.19384344398348499</v>
      </c>
      <c r="S116" s="13">
        <v>0.19762161385288404</v>
      </c>
      <c r="T116" s="9">
        <v>0.16617247605076299</v>
      </c>
      <c r="U116" s="9">
        <v>0.180702750865019</v>
      </c>
      <c r="V116" s="9">
        <v>0.198056073163803</v>
      </c>
      <c r="W116" s="9">
        <v>0.17346475690952301</v>
      </c>
      <c r="X116" s="9">
        <v>0.16883493162996199</v>
      </c>
      <c r="Y116" s="9">
        <v>0.145440348258667</v>
      </c>
      <c r="Z116" s="12">
        <v>0.15</v>
      </c>
      <c r="AA116" s="12">
        <v>0.139582863940406</v>
      </c>
      <c r="AB116" s="12">
        <f t="shared" si="2"/>
        <v>1.041713605959399E-2</v>
      </c>
      <c r="AC116" s="14">
        <v>0.16178299565650001</v>
      </c>
      <c r="AD116" s="14">
        <f t="shared" si="3"/>
        <v>-1.1782995656500012E-2</v>
      </c>
    </row>
    <row r="117" spans="1:30" ht="15" x14ac:dyDescent="0.2">
      <c r="B117" s="10">
        <v>16</v>
      </c>
      <c r="C117" s="11">
        <v>500</v>
      </c>
      <c r="D117" s="11">
        <v>3</v>
      </c>
      <c r="E117" s="10">
        <v>76</v>
      </c>
      <c r="F117" s="12">
        <v>3.2690000000000001</v>
      </c>
      <c r="G117" s="10">
        <v>25</v>
      </c>
      <c r="H117" s="10">
        <v>33</v>
      </c>
      <c r="I117" s="9">
        <v>250</v>
      </c>
      <c r="J117" s="10">
        <v>333</v>
      </c>
      <c r="K117" s="11">
        <v>600</v>
      </c>
      <c r="L117" s="12">
        <v>43.76</v>
      </c>
      <c r="M117" s="9">
        <v>0.18928550750053899</v>
      </c>
      <c r="N117" s="9">
        <v>0.16687391270409399</v>
      </c>
      <c r="O117" s="9">
        <v>0.22641185917959</v>
      </c>
      <c r="P117" s="9">
        <v>0.20295833219562001</v>
      </c>
      <c r="Q117" s="9">
        <v>0.155843688003726</v>
      </c>
      <c r="R117" s="9">
        <v>0.20770296544361699</v>
      </c>
      <c r="S117" s="13">
        <v>0.21442729062722496</v>
      </c>
      <c r="T117" s="9">
        <v>0.17941245272312001</v>
      </c>
      <c r="U117" s="9">
        <v>0.19362273207280201</v>
      </c>
      <c r="V117" s="9">
        <v>0.21383798086854899</v>
      </c>
      <c r="W117" s="9">
        <v>0.195661015918076</v>
      </c>
      <c r="X117" s="9">
        <v>0.19103246226269699</v>
      </c>
      <c r="Y117" s="9">
        <v>0.16625050388816601</v>
      </c>
      <c r="Z117" s="12">
        <v>0.18</v>
      </c>
      <c r="AA117" s="12">
        <v>0.15695788781699799</v>
      </c>
      <c r="AB117" s="12">
        <f t="shared" si="2"/>
        <v>2.3042112183002006E-2</v>
      </c>
      <c r="AC117" s="14">
        <v>0.185675332450664</v>
      </c>
      <c r="AD117" s="14">
        <f t="shared" si="3"/>
        <v>-5.6753324506640113E-3</v>
      </c>
    </row>
    <row r="118" spans="1:30" ht="15" x14ac:dyDescent="0.2">
      <c r="B118" s="10">
        <v>16</v>
      </c>
      <c r="C118" s="11">
        <v>500</v>
      </c>
      <c r="D118" s="11">
        <v>3</v>
      </c>
      <c r="E118" s="10">
        <v>76</v>
      </c>
      <c r="F118" s="12">
        <v>3.2690000000000001</v>
      </c>
      <c r="G118" s="10">
        <v>25</v>
      </c>
      <c r="H118" s="10">
        <v>33</v>
      </c>
      <c r="I118" s="9">
        <v>250</v>
      </c>
      <c r="J118" s="10">
        <v>333</v>
      </c>
      <c r="K118" s="11">
        <v>600</v>
      </c>
      <c r="L118" s="12">
        <v>46.68</v>
      </c>
      <c r="M118" s="9">
        <v>0.207406172061117</v>
      </c>
      <c r="N118" s="9">
        <v>0.182849072323821</v>
      </c>
      <c r="O118" s="9">
        <v>0.241519780313146</v>
      </c>
      <c r="P118" s="9">
        <v>0.23094786593615199</v>
      </c>
      <c r="Q118" s="9">
        <v>0.168725108658454</v>
      </c>
      <c r="R118" s="9">
        <v>0.221562486903748</v>
      </c>
      <c r="S118" s="13">
        <v>0.23123296740156588</v>
      </c>
      <c r="T118" s="9">
        <v>0.192652429395477</v>
      </c>
      <c r="U118" s="9">
        <v>0.20654271328058499</v>
      </c>
      <c r="V118" s="9">
        <v>0.22976214666883599</v>
      </c>
      <c r="W118" s="9">
        <v>0.217523053178486</v>
      </c>
      <c r="X118" s="9">
        <v>0.21349152107149</v>
      </c>
      <c r="Y118" s="9">
        <v>0.187463204502612</v>
      </c>
      <c r="Z118" s="12">
        <v>0.2</v>
      </c>
      <c r="AA118" s="12">
        <v>0.17433291169359</v>
      </c>
      <c r="AB118" s="12">
        <f t="shared" si="2"/>
        <v>2.5667088306410013E-2</v>
      </c>
      <c r="AC118" s="14">
        <v>0.209567669244829</v>
      </c>
      <c r="AD118" s="14">
        <f t="shared" si="3"/>
        <v>-9.5676692448289913E-3</v>
      </c>
    </row>
    <row r="119" spans="1:30" ht="15" x14ac:dyDescent="0.2">
      <c r="B119" s="10">
        <v>16</v>
      </c>
      <c r="C119" s="11">
        <v>500</v>
      </c>
      <c r="D119" s="11">
        <v>3</v>
      </c>
      <c r="E119" s="10">
        <v>76</v>
      </c>
      <c r="F119" s="12">
        <v>3.2690000000000001</v>
      </c>
      <c r="G119" s="10">
        <v>25</v>
      </c>
      <c r="H119" s="10">
        <v>33</v>
      </c>
      <c r="I119" s="9">
        <v>250</v>
      </c>
      <c r="J119" s="10">
        <v>333</v>
      </c>
      <c r="K119" s="11">
        <v>600</v>
      </c>
      <c r="L119" s="12">
        <v>49.6</v>
      </c>
      <c r="M119" s="9">
        <v>0.22552683662169501</v>
      </c>
      <c r="N119" s="9">
        <v>0.19882423194354801</v>
      </c>
      <c r="O119" s="9">
        <v>0.25662770144670199</v>
      </c>
      <c r="P119" s="9">
        <v>0.260744773372447</v>
      </c>
      <c r="Q119" s="9">
        <v>0.181606529313181</v>
      </c>
      <c r="R119" s="9">
        <v>0.23542200836388</v>
      </c>
      <c r="S119" s="13">
        <v>0.24803864417590696</v>
      </c>
      <c r="T119" s="9">
        <v>0.20589240606783399</v>
      </c>
      <c r="U119" s="9">
        <v>0.219462694488368</v>
      </c>
      <c r="V119" s="9">
        <v>0.24580809599432701</v>
      </c>
      <c r="W119" s="9">
        <v>0.23907403789405199</v>
      </c>
      <c r="X119" s="9">
        <v>0.23621210805633899</v>
      </c>
      <c r="Y119" s="9">
        <v>0.20907845010200299</v>
      </c>
      <c r="Z119" s="12">
        <v>0.2</v>
      </c>
      <c r="AA119" s="12">
        <v>0.19170793557018101</v>
      </c>
      <c r="AB119" s="12">
        <f t="shared" si="2"/>
        <v>8.2920644298190016E-3</v>
      </c>
      <c r="AC119" s="14">
        <v>0.233460006038994</v>
      </c>
      <c r="AD119" s="14">
        <f t="shared" si="3"/>
        <v>-3.3460006038993989E-2</v>
      </c>
    </row>
    <row r="120" spans="1:30" ht="15" x14ac:dyDescent="0.2">
      <c r="A120" s="9" t="s">
        <v>56</v>
      </c>
      <c r="B120" s="10">
        <v>12</v>
      </c>
      <c r="C120" s="11">
        <v>500</v>
      </c>
      <c r="D120" s="11">
        <v>2</v>
      </c>
      <c r="E120" s="10">
        <v>296</v>
      </c>
      <c r="F120" s="12">
        <v>3.2690000000000001</v>
      </c>
      <c r="G120" s="10">
        <v>25</v>
      </c>
      <c r="H120" s="10">
        <v>31</v>
      </c>
      <c r="I120" s="9">
        <v>400</v>
      </c>
      <c r="J120" s="10">
        <v>161</v>
      </c>
      <c r="K120" s="11">
        <v>220</v>
      </c>
      <c r="L120" s="12">
        <v>4.67</v>
      </c>
      <c r="M120" s="9">
        <v>7.1690562907372997E-3</v>
      </c>
      <c r="N120" s="9">
        <v>9.0917909338139397E-2</v>
      </c>
      <c r="O120" s="9">
        <v>0.242542063772406</v>
      </c>
      <c r="P120" s="9">
        <v>6.4368016399245206E-2</v>
      </c>
      <c r="Q120" s="9">
        <v>0.178566086192809</v>
      </c>
      <c r="R120" s="9">
        <v>0.30305002755794103</v>
      </c>
      <c r="S120" s="13">
        <v>0.15821091519461075</v>
      </c>
      <c r="T120" s="9">
        <v>8.2839711691510207E-2</v>
      </c>
      <c r="U120" s="9">
        <v>0.18416833175589301</v>
      </c>
      <c r="V120" s="9">
        <v>0.12378021696302</v>
      </c>
      <c r="W120" s="9">
        <v>8.2173599503790898E-2</v>
      </c>
      <c r="X120" s="9">
        <v>7.1607273223569898E-2</v>
      </c>
      <c r="Y120" s="9">
        <v>5.7832552682630198E-2</v>
      </c>
      <c r="Z120" s="12">
        <v>0.2</v>
      </c>
      <c r="AA120" s="12">
        <v>7.2148609668635899E-2</v>
      </c>
      <c r="AB120" s="12">
        <f t="shared" si="2"/>
        <v>0.12785139033136411</v>
      </c>
      <c r="AC120" s="14">
        <v>7.2148609668635899E-2</v>
      </c>
      <c r="AD120" s="14">
        <f t="shared" si="3"/>
        <v>0.12785139033136411</v>
      </c>
    </row>
    <row r="121" spans="1:30" ht="15" x14ac:dyDescent="0.2">
      <c r="B121" s="10">
        <v>12</v>
      </c>
      <c r="C121" s="11">
        <v>500</v>
      </c>
      <c r="D121" s="11">
        <v>2</v>
      </c>
      <c r="E121" s="10">
        <v>296</v>
      </c>
      <c r="F121" s="12">
        <v>3.2690000000000001</v>
      </c>
      <c r="G121" s="10">
        <v>25</v>
      </c>
      <c r="H121" s="10">
        <v>31</v>
      </c>
      <c r="I121" s="9">
        <v>400</v>
      </c>
      <c r="J121" s="10">
        <v>161</v>
      </c>
      <c r="K121" s="11">
        <v>220</v>
      </c>
      <c r="L121" s="12">
        <v>6.42</v>
      </c>
      <c r="M121" s="9">
        <v>0.11192516701366401</v>
      </c>
      <c r="N121" s="9">
        <v>0.124987789711104</v>
      </c>
      <c r="O121" s="9">
        <v>0.33343041743444302</v>
      </c>
      <c r="P121" s="9">
        <v>0.121648405518749</v>
      </c>
      <c r="Q121" s="9">
        <v>0.32422506793901301</v>
      </c>
      <c r="R121" s="9">
        <v>0.416612671717769</v>
      </c>
      <c r="S121" s="13">
        <v>0.23489832403946861</v>
      </c>
      <c r="T121" s="9">
        <v>0.12596340903755299</v>
      </c>
      <c r="U121" s="9">
        <v>0.253182160572342</v>
      </c>
      <c r="V121" s="9">
        <v>0.17554471252304901</v>
      </c>
      <c r="W121" s="9">
        <v>0.14431424849111399</v>
      </c>
      <c r="X121" s="9">
        <v>0.105950221104868</v>
      </c>
      <c r="Y121" s="9">
        <v>8.6441164459186495E-2</v>
      </c>
      <c r="Z121" s="12">
        <v>0.25</v>
      </c>
      <c r="AA121" s="12">
        <v>9.9185026568017601E-2</v>
      </c>
      <c r="AB121" s="12">
        <f t="shared" si="2"/>
        <v>0.15081497343198241</v>
      </c>
      <c r="AC121" s="14">
        <v>0.12649536757740701</v>
      </c>
      <c r="AD121" s="14">
        <f t="shared" si="3"/>
        <v>0.12350463242259299</v>
      </c>
    </row>
    <row r="122" spans="1:30" ht="15" x14ac:dyDescent="0.2">
      <c r="B122" s="10">
        <v>12</v>
      </c>
      <c r="C122" s="11">
        <v>500</v>
      </c>
      <c r="D122" s="11">
        <v>2</v>
      </c>
      <c r="E122" s="10">
        <v>296</v>
      </c>
      <c r="F122" s="12">
        <v>3.2690000000000001</v>
      </c>
      <c r="G122" s="10">
        <v>25</v>
      </c>
      <c r="H122" s="10">
        <v>31</v>
      </c>
      <c r="I122" s="9">
        <v>400</v>
      </c>
      <c r="J122" s="10">
        <v>161</v>
      </c>
      <c r="K122" s="11">
        <v>220</v>
      </c>
      <c r="L122" s="12">
        <v>8.17</v>
      </c>
      <c r="M122" s="9">
        <v>0.21668127773659199</v>
      </c>
      <c r="N122" s="9">
        <v>0.15905767008406799</v>
      </c>
      <c r="O122" s="9">
        <v>0.42431877109647997</v>
      </c>
      <c r="P122" s="9">
        <v>0.197006464784174</v>
      </c>
      <c r="Q122" s="9">
        <v>0.46988404968521702</v>
      </c>
      <c r="R122" s="9">
        <v>0.53017531587759803</v>
      </c>
      <c r="S122" s="13">
        <v>0.31158573288432662</v>
      </c>
      <c r="T122" s="9">
        <v>0.169087106383595</v>
      </c>
      <c r="U122" s="9">
        <v>0.32219598938879002</v>
      </c>
      <c r="V122" s="9">
        <v>0.232689328078165</v>
      </c>
      <c r="W122" s="9">
        <v>0.21602741456763899</v>
      </c>
      <c r="X122" s="9">
        <v>0.145486005898154</v>
      </c>
      <c r="Y122" s="9">
        <v>0.122096151661929</v>
      </c>
      <c r="Z122" s="12">
        <v>0.33</v>
      </c>
      <c r="AA122" s="12">
        <v>0.12948602837324</v>
      </c>
      <c r="AB122" s="12">
        <f t="shared" si="2"/>
        <v>0.20051397162676002</v>
      </c>
      <c r="AC122" s="14">
        <v>0.20676471345255301</v>
      </c>
      <c r="AD122" s="14">
        <f t="shared" si="3"/>
        <v>0.123235286547447</v>
      </c>
    </row>
    <row r="123" spans="1:30" ht="15" x14ac:dyDescent="0.2">
      <c r="A123" s="9" t="s">
        <v>57</v>
      </c>
      <c r="B123" s="10">
        <v>12</v>
      </c>
      <c r="C123" s="11">
        <v>500</v>
      </c>
      <c r="D123" s="11">
        <v>2</v>
      </c>
      <c r="E123" s="10">
        <v>296</v>
      </c>
      <c r="F123" s="12">
        <v>3.2690000000000001</v>
      </c>
      <c r="G123" s="10">
        <v>25</v>
      </c>
      <c r="H123" s="10">
        <v>31</v>
      </c>
      <c r="I123" s="9">
        <v>400</v>
      </c>
      <c r="J123" s="10">
        <v>161</v>
      </c>
      <c r="K123" s="11">
        <v>220</v>
      </c>
      <c r="L123" s="12">
        <v>6.42</v>
      </c>
      <c r="M123" s="9">
        <v>0.11192516701366401</v>
      </c>
      <c r="N123" s="9">
        <v>0.124987789711104</v>
      </c>
      <c r="O123" s="9">
        <v>0.33343041743444302</v>
      </c>
      <c r="P123" s="9">
        <v>0.121648405518749</v>
      </c>
      <c r="Q123" s="9">
        <v>0.32422506793901301</v>
      </c>
      <c r="R123" s="9">
        <v>0.416612671717769</v>
      </c>
      <c r="S123" s="13">
        <v>0.23489832403946861</v>
      </c>
      <c r="T123" s="9">
        <v>0.12596340903755299</v>
      </c>
      <c r="U123" s="9">
        <v>0.253182160572342</v>
      </c>
      <c r="V123" s="9">
        <v>0.17554471252304901</v>
      </c>
      <c r="W123" s="9">
        <v>0.14431424849111399</v>
      </c>
      <c r="X123" s="9">
        <v>0.105950221104868</v>
      </c>
      <c r="Y123" s="9">
        <v>8.6441164459186495E-2</v>
      </c>
      <c r="Z123" s="12">
        <v>0.23</v>
      </c>
      <c r="AA123" s="12">
        <v>9.9185026568017601E-2</v>
      </c>
      <c r="AB123" s="12">
        <f t="shared" si="2"/>
        <v>0.1308149734319824</v>
      </c>
      <c r="AC123" s="14">
        <v>0.12649536757740701</v>
      </c>
      <c r="AD123" s="14">
        <f t="shared" si="3"/>
        <v>0.103504632422593</v>
      </c>
    </row>
    <row r="124" spans="1:30" ht="15" x14ac:dyDescent="0.2">
      <c r="B124" s="10">
        <v>12</v>
      </c>
      <c r="C124" s="11">
        <v>500</v>
      </c>
      <c r="D124" s="11">
        <v>2</v>
      </c>
      <c r="E124" s="10">
        <v>296</v>
      </c>
      <c r="F124" s="12">
        <v>3.2690000000000001</v>
      </c>
      <c r="G124" s="10">
        <v>25</v>
      </c>
      <c r="H124" s="10">
        <v>31</v>
      </c>
      <c r="I124" s="9">
        <v>400</v>
      </c>
      <c r="J124" s="10">
        <v>161</v>
      </c>
      <c r="K124" s="11">
        <v>220</v>
      </c>
      <c r="L124" s="12">
        <v>8.17</v>
      </c>
      <c r="M124" s="9">
        <v>0.21668127773659199</v>
      </c>
      <c r="N124" s="9">
        <v>0.15905767008406799</v>
      </c>
      <c r="O124" s="9">
        <v>0.42431877109647997</v>
      </c>
      <c r="P124" s="9">
        <v>0.197006464784174</v>
      </c>
      <c r="Q124" s="9">
        <v>0.46988404968521702</v>
      </c>
      <c r="R124" s="9">
        <v>0.53017531587759803</v>
      </c>
      <c r="S124" s="13">
        <v>0.31158573288432662</v>
      </c>
      <c r="T124" s="9">
        <v>0.169087106383595</v>
      </c>
      <c r="U124" s="9">
        <v>0.32219598938879002</v>
      </c>
      <c r="V124" s="9">
        <v>0.232689328078165</v>
      </c>
      <c r="W124" s="9">
        <v>0.21602741456763899</v>
      </c>
      <c r="X124" s="9">
        <v>0.145486005898154</v>
      </c>
      <c r="Y124" s="9">
        <v>0.122096151661929</v>
      </c>
      <c r="Z124" s="12">
        <v>0.28000000000000003</v>
      </c>
      <c r="AA124" s="12">
        <v>0.12948602837324</v>
      </c>
      <c r="AB124" s="12">
        <f t="shared" si="2"/>
        <v>0.15051397162676003</v>
      </c>
      <c r="AC124" s="14">
        <v>0.20676471345255301</v>
      </c>
      <c r="AD124" s="14">
        <f t="shared" si="3"/>
        <v>7.3235286547447015E-2</v>
      </c>
    </row>
    <row r="125" spans="1:30" ht="15" x14ac:dyDescent="0.2">
      <c r="A125" s="9" t="s">
        <v>58</v>
      </c>
      <c r="B125" s="10">
        <v>12</v>
      </c>
      <c r="C125" s="11">
        <v>500</v>
      </c>
      <c r="D125" s="11">
        <v>3</v>
      </c>
      <c r="E125" s="10">
        <v>142</v>
      </c>
      <c r="F125" s="12">
        <v>3.2690000000000001</v>
      </c>
      <c r="G125" s="10">
        <v>25</v>
      </c>
      <c r="H125" s="10">
        <v>31</v>
      </c>
      <c r="I125" s="9">
        <v>400</v>
      </c>
      <c r="J125" s="10">
        <v>161</v>
      </c>
      <c r="K125" s="11">
        <v>330</v>
      </c>
      <c r="L125" s="12">
        <v>8.17</v>
      </c>
      <c r="M125" s="9">
        <v>0.103474462444596</v>
      </c>
      <c r="N125" s="9">
        <v>0.118672555494497</v>
      </c>
      <c r="O125" s="9">
        <v>0.262937479003861</v>
      </c>
      <c r="P125" s="9">
        <v>9.1097171658443707E-2</v>
      </c>
      <c r="Q125" s="9">
        <v>0.211976391111864</v>
      </c>
      <c r="R125" s="9">
        <v>0.27575608799549101</v>
      </c>
      <c r="S125" s="13">
        <v>0.17362254187749063</v>
      </c>
      <c r="T125" s="9">
        <v>0.11051741448501699</v>
      </c>
      <c r="U125" s="9">
        <v>0.1931039369558</v>
      </c>
      <c r="V125" s="9">
        <v>0.14939845211862701</v>
      </c>
      <c r="W125" s="9">
        <v>0.112408507985114</v>
      </c>
      <c r="X125" s="9">
        <v>8.8959187799522901E-2</v>
      </c>
      <c r="Y125" s="9">
        <v>7.2132238693379605E-2</v>
      </c>
      <c r="Z125" s="12">
        <v>0.18</v>
      </c>
      <c r="AA125" s="12">
        <v>8.6147565717616198E-2</v>
      </c>
      <c r="AB125" s="12">
        <f t="shared" si="2"/>
        <v>9.3852434282383795E-2</v>
      </c>
      <c r="AC125" s="14">
        <v>9.4650621461280005E-2</v>
      </c>
      <c r="AD125" s="14">
        <f t="shared" si="3"/>
        <v>8.5349378538719989E-2</v>
      </c>
    </row>
    <row r="126" spans="1:30" ht="15" x14ac:dyDescent="0.2">
      <c r="B126" s="10">
        <v>12</v>
      </c>
      <c r="C126" s="11">
        <v>500</v>
      </c>
      <c r="D126" s="11">
        <v>3</v>
      </c>
      <c r="E126" s="10">
        <v>142</v>
      </c>
      <c r="F126" s="12">
        <v>3.2690000000000001</v>
      </c>
      <c r="G126" s="10">
        <v>25</v>
      </c>
      <c r="H126" s="10">
        <v>31</v>
      </c>
      <c r="I126" s="9">
        <v>400</v>
      </c>
      <c r="J126" s="10">
        <v>161</v>
      </c>
      <c r="K126" s="11">
        <v>330</v>
      </c>
      <c r="L126" s="12">
        <v>9.92</v>
      </c>
      <c r="M126" s="9">
        <v>0.152823893840593</v>
      </c>
      <c r="N126" s="9">
        <v>0.14409201352575399</v>
      </c>
      <c r="O126" s="9">
        <v>0.319258236440428</v>
      </c>
      <c r="P126" s="9">
        <v>0.13430250855204301</v>
      </c>
      <c r="Q126" s="9">
        <v>0.277713550639199</v>
      </c>
      <c r="R126" s="9">
        <v>0.33482256951227302</v>
      </c>
      <c r="S126" s="13">
        <v>0.21962596422493444</v>
      </c>
      <c r="T126" s="9">
        <v>0.13967437273173899</v>
      </c>
      <c r="U126" s="9">
        <v>0.234466469351474</v>
      </c>
      <c r="V126" s="9">
        <v>0.18644534481755501</v>
      </c>
      <c r="W126" s="9">
        <v>0.156962897990093</v>
      </c>
      <c r="X126" s="9">
        <v>0.112789337104005</v>
      </c>
      <c r="Y126" s="9">
        <v>9.2494982974628201E-2</v>
      </c>
      <c r="Z126" s="12">
        <v>0.23</v>
      </c>
      <c r="AA126" s="12">
        <v>0.104600226673042</v>
      </c>
      <c r="AB126" s="12">
        <f t="shared" si="2"/>
        <v>0.12539977332695801</v>
      </c>
      <c r="AC126" s="14">
        <v>0.13954127956816201</v>
      </c>
      <c r="AD126" s="14">
        <f t="shared" si="3"/>
        <v>9.0458720431838002E-2</v>
      </c>
    </row>
    <row r="127" spans="1:30" ht="15" x14ac:dyDescent="0.2">
      <c r="B127" s="10">
        <v>12</v>
      </c>
      <c r="C127" s="11">
        <v>500</v>
      </c>
      <c r="D127" s="11">
        <v>3</v>
      </c>
      <c r="E127" s="10">
        <v>142</v>
      </c>
      <c r="F127" s="12">
        <v>3.2690000000000001</v>
      </c>
      <c r="G127" s="10">
        <v>25</v>
      </c>
      <c r="H127" s="10">
        <v>31</v>
      </c>
      <c r="I127" s="9">
        <v>400</v>
      </c>
      <c r="J127" s="10">
        <v>161</v>
      </c>
      <c r="K127" s="11">
        <v>330</v>
      </c>
      <c r="L127" s="12">
        <v>11.67</v>
      </c>
      <c r="M127" s="9">
        <v>0.20217332523659001</v>
      </c>
      <c r="N127" s="9">
        <v>0.17356283583266199</v>
      </c>
      <c r="O127" s="9">
        <v>0.375578993876996</v>
      </c>
      <c r="P127" s="9">
        <v>0.185867086967345</v>
      </c>
      <c r="Q127" s="9">
        <v>0.343450710166534</v>
      </c>
      <c r="R127" s="9">
        <v>0.39388905102905503</v>
      </c>
      <c r="S127" s="13">
        <v>0.26562938657237817</v>
      </c>
      <c r="T127" s="9">
        <v>0.16883133097846201</v>
      </c>
      <c r="U127" s="9">
        <v>0.27582900174714697</v>
      </c>
      <c r="V127" s="9">
        <v>0.22549606355808699</v>
      </c>
      <c r="W127" s="9">
        <v>0.20479627444146201</v>
      </c>
      <c r="X127" s="9">
        <v>0.137503163587996</v>
      </c>
      <c r="Y127" s="9">
        <v>0.11459084199910199</v>
      </c>
      <c r="Z127" s="12">
        <v>0.25</v>
      </c>
      <c r="AA127" s="12">
        <v>0.123052887628468</v>
      </c>
      <c r="AB127" s="12">
        <f t="shared" si="2"/>
        <v>0.126947112371532</v>
      </c>
      <c r="AC127" s="14">
        <v>0.19311725018881401</v>
      </c>
      <c r="AD127" s="14">
        <f t="shared" si="3"/>
        <v>5.688274981118599E-2</v>
      </c>
    </row>
    <row r="128" spans="1:30" ht="15" x14ac:dyDescent="0.2">
      <c r="A128" s="9" t="s">
        <v>59</v>
      </c>
      <c r="B128" s="10">
        <v>12</v>
      </c>
      <c r="C128" s="11">
        <v>500</v>
      </c>
      <c r="D128" s="11">
        <v>3</v>
      </c>
      <c r="E128" s="10">
        <v>142</v>
      </c>
      <c r="F128" s="12">
        <v>3.2690000000000001</v>
      </c>
      <c r="G128" s="10">
        <v>25</v>
      </c>
      <c r="H128" s="10">
        <v>31</v>
      </c>
      <c r="I128" s="9">
        <v>400</v>
      </c>
      <c r="J128" s="10">
        <v>161</v>
      </c>
      <c r="K128" s="11">
        <v>330</v>
      </c>
      <c r="L128" s="12">
        <v>8.17</v>
      </c>
      <c r="M128" s="9">
        <v>0.103474462444596</v>
      </c>
      <c r="N128" s="9">
        <v>0.118672555494497</v>
      </c>
      <c r="O128" s="9">
        <v>0.262937479003861</v>
      </c>
      <c r="P128" s="9">
        <v>9.1097171658443707E-2</v>
      </c>
      <c r="Q128" s="9">
        <v>0.211976391111864</v>
      </c>
      <c r="R128" s="9">
        <v>0.27575608799549101</v>
      </c>
      <c r="S128" s="13">
        <v>0.17362254187749063</v>
      </c>
      <c r="T128" s="9">
        <v>0.11051741448501699</v>
      </c>
      <c r="U128" s="9">
        <v>0.1931039369558</v>
      </c>
      <c r="V128" s="9">
        <v>0.14939845211862701</v>
      </c>
      <c r="W128" s="9">
        <v>0.112408507985114</v>
      </c>
      <c r="X128" s="9">
        <v>8.8959187799522901E-2</v>
      </c>
      <c r="Y128" s="9">
        <v>7.2132238693379605E-2</v>
      </c>
      <c r="Z128" s="12">
        <v>0.18</v>
      </c>
      <c r="AA128" s="12">
        <v>8.6147565717616198E-2</v>
      </c>
      <c r="AB128" s="12">
        <f t="shared" si="2"/>
        <v>9.3852434282383795E-2</v>
      </c>
      <c r="AC128" s="14">
        <v>9.4650621461280005E-2</v>
      </c>
      <c r="AD128" s="14">
        <f t="shared" si="3"/>
        <v>8.5349378538719989E-2</v>
      </c>
    </row>
    <row r="129" spans="1:30" ht="15" x14ac:dyDescent="0.2">
      <c r="B129" s="10">
        <v>12</v>
      </c>
      <c r="C129" s="11">
        <v>500</v>
      </c>
      <c r="D129" s="11">
        <v>3</v>
      </c>
      <c r="E129" s="10">
        <v>142</v>
      </c>
      <c r="F129" s="12">
        <v>3.2690000000000001</v>
      </c>
      <c r="G129" s="10">
        <v>25</v>
      </c>
      <c r="H129" s="10">
        <v>31</v>
      </c>
      <c r="I129" s="9">
        <v>400</v>
      </c>
      <c r="J129" s="10">
        <v>161</v>
      </c>
      <c r="K129" s="11">
        <v>330</v>
      </c>
      <c r="L129" s="12">
        <v>9.92</v>
      </c>
      <c r="M129" s="9">
        <v>0.152823893840593</v>
      </c>
      <c r="N129" s="9">
        <v>0.14409201352575399</v>
      </c>
      <c r="O129" s="9">
        <v>0.319258236440428</v>
      </c>
      <c r="P129" s="9">
        <v>0.13430250855204301</v>
      </c>
      <c r="Q129" s="9">
        <v>0.277713550639199</v>
      </c>
      <c r="R129" s="9">
        <v>0.33482256951227302</v>
      </c>
      <c r="S129" s="13">
        <v>0.21962596422493444</v>
      </c>
      <c r="T129" s="9">
        <v>0.13967437273173899</v>
      </c>
      <c r="U129" s="9">
        <v>0.234466469351474</v>
      </c>
      <c r="V129" s="9">
        <v>0.18644534481755501</v>
      </c>
      <c r="W129" s="9">
        <v>0.156962897990093</v>
      </c>
      <c r="X129" s="9">
        <v>0.112789337104005</v>
      </c>
      <c r="Y129" s="9">
        <v>9.2494982974628201E-2</v>
      </c>
      <c r="Z129" s="12">
        <v>0.23</v>
      </c>
      <c r="AA129" s="12">
        <v>0.104600226673042</v>
      </c>
      <c r="AB129" s="12">
        <f t="shared" si="2"/>
        <v>0.12539977332695801</v>
      </c>
      <c r="AC129" s="14">
        <v>0.13954127956816201</v>
      </c>
      <c r="AD129" s="14">
        <f t="shared" si="3"/>
        <v>9.0458720431838002E-2</v>
      </c>
    </row>
    <row r="130" spans="1:30" ht="15" x14ac:dyDescent="0.2">
      <c r="B130" s="10">
        <v>12</v>
      </c>
      <c r="C130" s="11">
        <v>500</v>
      </c>
      <c r="D130" s="11">
        <v>3</v>
      </c>
      <c r="E130" s="10">
        <v>142</v>
      </c>
      <c r="F130" s="12">
        <v>3.2690000000000001</v>
      </c>
      <c r="G130" s="10">
        <v>25</v>
      </c>
      <c r="H130" s="10">
        <v>31</v>
      </c>
      <c r="I130" s="9">
        <v>400</v>
      </c>
      <c r="J130" s="10">
        <v>161</v>
      </c>
      <c r="K130" s="11">
        <v>330</v>
      </c>
      <c r="L130" s="12">
        <v>11.67</v>
      </c>
      <c r="M130" s="9">
        <v>0.20217332523659001</v>
      </c>
      <c r="N130" s="9">
        <v>0.17356283583266199</v>
      </c>
      <c r="O130" s="9">
        <v>0.375578993876996</v>
      </c>
      <c r="P130" s="9">
        <v>0.185867086967345</v>
      </c>
      <c r="Q130" s="9">
        <v>0.343450710166534</v>
      </c>
      <c r="R130" s="9">
        <v>0.39388905102905503</v>
      </c>
      <c r="S130" s="13">
        <v>0.26562938657237817</v>
      </c>
      <c r="T130" s="9">
        <v>0.16883133097846201</v>
      </c>
      <c r="U130" s="9">
        <v>0.27582900174714697</v>
      </c>
      <c r="V130" s="9">
        <v>0.22549606355808699</v>
      </c>
      <c r="W130" s="9">
        <v>0.20479627444146201</v>
      </c>
      <c r="X130" s="9">
        <v>0.137503163587996</v>
      </c>
      <c r="Y130" s="9">
        <v>0.11459084199910199</v>
      </c>
      <c r="Z130" s="12">
        <v>0.25</v>
      </c>
      <c r="AA130" s="12">
        <v>0.123052887628468</v>
      </c>
      <c r="AB130" s="12">
        <f t="shared" si="2"/>
        <v>0.126947112371532</v>
      </c>
      <c r="AC130" s="14">
        <v>0.19311725018881401</v>
      </c>
      <c r="AD130" s="14">
        <f t="shared" si="3"/>
        <v>5.688274981118599E-2</v>
      </c>
    </row>
    <row r="131" spans="1:30" ht="15" x14ac:dyDescent="0.2">
      <c r="A131" s="9" t="s">
        <v>60</v>
      </c>
      <c r="B131" s="10">
        <v>12</v>
      </c>
      <c r="C131" s="11">
        <v>500</v>
      </c>
      <c r="D131" s="11">
        <v>4</v>
      </c>
      <c r="E131" s="10">
        <v>90.67</v>
      </c>
      <c r="F131" s="12">
        <v>3.2690000000000001</v>
      </c>
      <c r="G131" s="10">
        <v>25</v>
      </c>
      <c r="H131" s="10">
        <v>31</v>
      </c>
      <c r="I131" s="9">
        <v>400</v>
      </c>
      <c r="J131" s="10">
        <v>161</v>
      </c>
      <c r="K131" s="11">
        <v>440</v>
      </c>
      <c r="L131" s="12">
        <v>11.67</v>
      </c>
      <c r="M131" s="9">
        <v>0.120790775953349</v>
      </c>
      <c r="N131" s="9">
        <v>0.11177549980360001</v>
      </c>
      <c r="O131" s="9">
        <v>0.23113702289701099</v>
      </c>
      <c r="P131" s="9">
        <v>0.107884330678079</v>
      </c>
      <c r="Q131" s="9">
        <v>0.19540710997826599</v>
      </c>
      <c r="R131" s="9">
        <v>0.24808989435623699</v>
      </c>
      <c r="S131" s="13">
        <v>0.17673973343237412</v>
      </c>
      <c r="T131" s="9">
        <v>0.12522893792964501</v>
      </c>
      <c r="U131" s="9">
        <v>0.19253300190771699</v>
      </c>
      <c r="V131" s="9">
        <v>0.16352007344361599</v>
      </c>
      <c r="W131" s="9">
        <v>0.12808435147077299</v>
      </c>
      <c r="X131" s="9">
        <v>9.7815896634644697E-2</v>
      </c>
      <c r="Y131" s="9">
        <v>7.9122886955510993E-2</v>
      </c>
      <c r="Z131" s="12">
        <v>0.15</v>
      </c>
      <c r="AA131" s="12">
        <v>9.2384993595776899E-2</v>
      </c>
      <c r="AB131" s="12">
        <f t="shared" ref="AB131:AB194" si="4">Z131-AA131</f>
        <v>5.7615006404223096E-2</v>
      </c>
      <c r="AC131" s="14">
        <v>0.11009713975023699</v>
      </c>
      <c r="AD131" s="14">
        <f t="shared" ref="AD131:AD194" si="5">Z131-AC131</f>
        <v>3.9902860249763E-2</v>
      </c>
    </row>
    <row r="132" spans="1:30" ht="15" x14ac:dyDescent="0.2">
      <c r="B132" s="10">
        <v>12</v>
      </c>
      <c r="C132" s="11">
        <v>500</v>
      </c>
      <c r="D132" s="11">
        <v>4</v>
      </c>
      <c r="E132" s="10">
        <v>90.67</v>
      </c>
      <c r="F132" s="12">
        <v>3.2690000000000001</v>
      </c>
      <c r="G132" s="10">
        <v>25</v>
      </c>
      <c r="H132" s="10">
        <v>31</v>
      </c>
      <c r="I132" s="9">
        <v>400</v>
      </c>
      <c r="J132" s="10">
        <v>161</v>
      </c>
      <c r="K132" s="11">
        <v>440</v>
      </c>
      <c r="L132" s="12">
        <v>13.42</v>
      </c>
      <c r="M132" s="9">
        <v>0.15026678983333899</v>
      </c>
      <c r="N132" s="9">
        <v>0.13905155757912199</v>
      </c>
      <c r="O132" s="9">
        <v>0.26579767328859399</v>
      </c>
      <c r="P132" s="9">
        <v>0.142666396244713</v>
      </c>
      <c r="Q132" s="9">
        <v>0.23284553255639401</v>
      </c>
      <c r="R132" s="9">
        <v>0.285292749122597</v>
      </c>
      <c r="S132" s="13">
        <v>0.20892885639633829</v>
      </c>
      <c r="T132" s="9">
        <v>0.14734997549223899</v>
      </c>
      <c r="U132" s="9">
        <v>0.22140470313638</v>
      </c>
      <c r="V132" s="9">
        <v>0.192017406316629</v>
      </c>
      <c r="W132" s="9">
        <v>0.16231782080294099</v>
      </c>
      <c r="X132" s="9">
        <v>0.11601300074561301</v>
      </c>
      <c r="Y132" s="9">
        <v>9.5059434015686797E-2</v>
      </c>
      <c r="Z132" s="12">
        <v>0.15</v>
      </c>
      <c r="AA132" s="12">
        <v>0.106238784409197</v>
      </c>
      <c r="AB132" s="12">
        <f t="shared" si="4"/>
        <v>4.3761215590802996E-2</v>
      </c>
      <c r="AC132" s="14">
        <v>0.14559261818925501</v>
      </c>
      <c r="AD132" s="14">
        <f t="shared" si="5"/>
        <v>4.4073818107449869E-3</v>
      </c>
    </row>
    <row r="133" spans="1:30" ht="15" x14ac:dyDescent="0.2">
      <c r="B133" s="10">
        <v>12</v>
      </c>
      <c r="C133" s="11">
        <v>500</v>
      </c>
      <c r="D133" s="11">
        <v>4</v>
      </c>
      <c r="E133" s="10">
        <v>90.67</v>
      </c>
      <c r="F133" s="12">
        <v>3.2690000000000001</v>
      </c>
      <c r="G133" s="10">
        <v>25</v>
      </c>
      <c r="H133" s="10">
        <v>31</v>
      </c>
      <c r="I133" s="9">
        <v>400</v>
      </c>
      <c r="J133" s="10">
        <v>161</v>
      </c>
      <c r="K133" s="11">
        <v>440</v>
      </c>
      <c r="L133" s="12">
        <v>15.17</v>
      </c>
      <c r="M133" s="9">
        <v>0.17974280371332799</v>
      </c>
      <c r="N133" s="9">
        <v>0.16632761535464399</v>
      </c>
      <c r="O133" s="9">
        <v>0.300458323680177</v>
      </c>
      <c r="P133" s="9">
        <v>0.18230048371183399</v>
      </c>
      <c r="Q133" s="9">
        <v>0.27028395513452302</v>
      </c>
      <c r="R133" s="9">
        <v>0.32249560388895598</v>
      </c>
      <c r="S133" s="13">
        <v>0.24111797936030255</v>
      </c>
      <c r="T133" s="9">
        <v>0.169471013054834</v>
      </c>
      <c r="U133" s="9">
        <v>0.250276404365044</v>
      </c>
      <c r="V133" s="9">
        <v>0.221543371840981</v>
      </c>
      <c r="W133" s="9">
        <v>0.19831281193193101</v>
      </c>
      <c r="X133" s="9">
        <v>0.13471965194921101</v>
      </c>
      <c r="Y133" s="9">
        <v>0.112057848743672</v>
      </c>
      <c r="Z133" s="12">
        <v>0.18</v>
      </c>
      <c r="AA133" s="12">
        <v>0.120092575222617</v>
      </c>
      <c r="AB133" s="12">
        <f t="shared" si="4"/>
        <v>5.9907424777382992E-2</v>
      </c>
      <c r="AC133" s="14">
        <v>0.18603963806057899</v>
      </c>
      <c r="AD133" s="14">
        <f t="shared" si="5"/>
        <v>-6.0396380605790001E-3</v>
      </c>
    </row>
    <row r="134" spans="1:30" ht="15" x14ac:dyDescent="0.2">
      <c r="A134" s="9" t="s">
        <v>61</v>
      </c>
      <c r="B134" s="10">
        <v>12</v>
      </c>
      <c r="C134" s="11">
        <v>500</v>
      </c>
      <c r="D134" s="11">
        <v>4</v>
      </c>
      <c r="E134" s="10">
        <v>90.67</v>
      </c>
      <c r="F134" s="12">
        <v>3.2690000000000001</v>
      </c>
      <c r="G134" s="10">
        <v>25</v>
      </c>
      <c r="H134" s="10">
        <v>31</v>
      </c>
      <c r="I134" s="9">
        <v>400</v>
      </c>
      <c r="J134" s="10">
        <v>161</v>
      </c>
      <c r="K134" s="11">
        <v>440</v>
      </c>
      <c r="L134" s="12">
        <v>11.67</v>
      </c>
      <c r="M134" s="9">
        <v>0.120790775953349</v>
      </c>
      <c r="N134" s="9">
        <v>0.11177549980360001</v>
      </c>
      <c r="O134" s="9">
        <v>0.23113702289701099</v>
      </c>
      <c r="P134" s="9">
        <v>0.107884330678079</v>
      </c>
      <c r="Q134" s="9">
        <v>0.19540710997826599</v>
      </c>
      <c r="R134" s="9">
        <v>0.24808989435623699</v>
      </c>
      <c r="S134" s="13">
        <v>0.17673973343237412</v>
      </c>
      <c r="T134" s="9">
        <v>0.12522893792964501</v>
      </c>
      <c r="U134" s="9">
        <v>0.19253300190771699</v>
      </c>
      <c r="V134" s="9">
        <v>0.16352007344361599</v>
      </c>
      <c r="W134" s="9">
        <v>0.12808435147077299</v>
      </c>
      <c r="X134" s="9">
        <v>9.7815896634644697E-2</v>
      </c>
      <c r="Y134" s="9">
        <v>7.9122886955510993E-2</v>
      </c>
      <c r="Z134" s="12">
        <v>0.18</v>
      </c>
      <c r="AA134" s="12">
        <v>9.2384993595776899E-2</v>
      </c>
      <c r="AB134" s="12">
        <f t="shared" si="4"/>
        <v>8.7615006404223095E-2</v>
      </c>
      <c r="AC134" s="14">
        <v>0.11009713975023699</v>
      </c>
      <c r="AD134" s="14">
        <f t="shared" si="5"/>
        <v>6.9902860249762999E-2</v>
      </c>
    </row>
    <row r="135" spans="1:30" ht="15" x14ac:dyDescent="0.2">
      <c r="B135" s="10">
        <v>12</v>
      </c>
      <c r="C135" s="11">
        <v>500</v>
      </c>
      <c r="D135" s="11">
        <v>4</v>
      </c>
      <c r="E135" s="10">
        <v>90.67</v>
      </c>
      <c r="F135" s="12">
        <v>3.2690000000000001</v>
      </c>
      <c r="G135" s="10">
        <v>25</v>
      </c>
      <c r="H135" s="10">
        <v>31</v>
      </c>
      <c r="I135" s="9">
        <v>400</v>
      </c>
      <c r="J135" s="10">
        <v>161</v>
      </c>
      <c r="K135" s="11">
        <v>440</v>
      </c>
      <c r="L135" s="12">
        <v>13.42</v>
      </c>
      <c r="M135" s="9">
        <v>0.15026678983333899</v>
      </c>
      <c r="N135" s="9">
        <v>0.13905155757912199</v>
      </c>
      <c r="O135" s="9">
        <v>0.26579767328859399</v>
      </c>
      <c r="P135" s="9">
        <v>0.142666396244713</v>
      </c>
      <c r="Q135" s="9">
        <v>0.23284553255639401</v>
      </c>
      <c r="R135" s="9">
        <v>0.285292749122597</v>
      </c>
      <c r="S135" s="13">
        <v>0.20892885639633829</v>
      </c>
      <c r="T135" s="9">
        <v>0.14734997549223899</v>
      </c>
      <c r="U135" s="9">
        <v>0.22140470313638</v>
      </c>
      <c r="V135" s="9">
        <v>0.192017406316629</v>
      </c>
      <c r="W135" s="9">
        <v>0.16231782080294099</v>
      </c>
      <c r="X135" s="9">
        <v>0.11601300074561301</v>
      </c>
      <c r="Y135" s="9">
        <v>9.5059434015686797E-2</v>
      </c>
      <c r="Z135" s="12">
        <v>0.2</v>
      </c>
      <c r="AA135" s="12">
        <v>0.106238784409197</v>
      </c>
      <c r="AB135" s="12">
        <f t="shared" si="4"/>
        <v>9.3761215590803013E-2</v>
      </c>
      <c r="AC135" s="14">
        <v>0.14559261818925501</v>
      </c>
      <c r="AD135" s="14">
        <f t="shared" si="5"/>
        <v>5.4407381810745004E-2</v>
      </c>
    </row>
    <row r="136" spans="1:30" ht="15" x14ac:dyDescent="0.2">
      <c r="B136" s="10">
        <v>12</v>
      </c>
      <c r="C136" s="11">
        <v>500</v>
      </c>
      <c r="D136" s="11">
        <v>4</v>
      </c>
      <c r="E136" s="10">
        <v>90.67</v>
      </c>
      <c r="F136" s="12">
        <v>3.2690000000000001</v>
      </c>
      <c r="G136" s="10">
        <v>25</v>
      </c>
      <c r="H136" s="10">
        <v>31</v>
      </c>
      <c r="I136" s="9">
        <v>400</v>
      </c>
      <c r="J136" s="10">
        <v>161</v>
      </c>
      <c r="K136" s="11">
        <v>440</v>
      </c>
      <c r="L136" s="12">
        <v>15.17</v>
      </c>
      <c r="M136" s="9">
        <v>0.17974280371332799</v>
      </c>
      <c r="N136" s="9">
        <v>0.16632761535464399</v>
      </c>
      <c r="O136" s="9">
        <v>0.300458323680177</v>
      </c>
      <c r="P136" s="9">
        <v>0.18230048371183399</v>
      </c>
      <c r="Q136" s="9">
        <v>0.27028395513452302</v>
      </c>
      <c r="R136" s="9">
        <v>0.32249560388895598</v>
      </c>
      <c r="S136" s="13">
        <v>0.24111797936030255</v>
      </c>
      <c r="T136" s="9">
        <v>0.169471013054834</v>
      </c>
      <c r="U136" s="9">
        <v>0.250276404365044</v>
      </c>
      <c r="V136" s="9">
        <v>0.221543371840981</v>
      </c>
      <c r="W136" s="9">
        <v>0.19831281193193101</v>
      </c>
      <c r="X136" s="9">
        <v>0.13471965194921101</v>
      </c>
      <c r="Y136" s="9">
        <v>0.112057848743672</v>
      </c>
      <c r="Z136" s="12">
        <v>0.23</v>
      </c>
      <c r="AA136" s="12">
        <v>0.120092575222617</v>
      </c>
      <c r="AB136" s="12">
        <f t="shared" si="4"/>
        <v>0.10990742477738301</v>
      </c>
      <c r="AC136" s="14">
        <v>0.18603963806057899</v>
      </c>
      <c r="AD136" s="14">
        <f t="shared" si="5"/>
        <v>4.3960361939421017E-2</v>
      </c>
    </row>
    <row r="137" spans="1:30" ht="15" x14ac:dyDescent="0.2">
      <c r="A137" s="9" t="s">
        <v>62</v>
      </c>
      <c r="B137" s="10">
        <v>10</v>
      </c>
      <c r="C137" s="11">
        <v>528</v>
      </c>
      <c r="D137" s="11">
        <v>1</v>
      </c>
      <c r="E137" s="10">
        <v>45</v>
      </c>
      <c r="F137" s="12">
        <v>2.8</v>
      </c>
      <c r="G137" s="10">
        <v>40</v>
      </c>
      <c r="H137" s="10">
        <v>45</v>
      </c>
      <c r="I137" s="9">
        <v>100</v>
      </c>
      <c r="J137" s="10">
        <v>250</v>
      </c>
      <c r="K137" s="11">
        <v>78.5</v>
      </c>
      <c r="L137" s="12">
        <v>4.0999999999999996</v>
      </c>
      <c r="M137" s="9">
        <v>0.16512721124267701</v>
      </c>
      <c r="N137" s="9">
        <v>0.209356261929807</v>
      </c>
      <c r="O137" s="9">
        <v>0.231875216932936</v>
      </c>
      <c r="P137" s="9">
        <v>0.134918611549185</v>
      </c>
      <c r="Q137" s="9">
        <v>0.31615531622056903</v>
      </c>
      <c r="R137" s="9">
        <v>0.329727298329208</v>
      </c>
      <c r="S137" s="13">
        <v>0.19608319631557314</v>
      </c>
      <c r="T137" s="9">
        <v>0.13081543976903501</v>
      </c>
      <c r="U137" s="9">
        <v>0.285258371268647</v>
      </c>
      <c r="V137" s="9">
        <v>0.26614281150680602</v>
      </c>
      <c r="W137" s="9">
        <v>0.24237273712832</v>
      </c>
      <c r="X137" s="9">
        <v>0.16689907169898499</v>
      </c>
      <c r="Y137" s="9">
        <v>0.14775687790169201</v>
      </c>
      <c r="Z137" s="12">
        <v>0.16</v>
      </c>
      <c r="AA137" s="12">
        <v>0.16285127956433501</v>
      </c>
      <c r="AB137" s="12">
        <f t="shared" si="4"/>
        <v>-2.8512795643350075E-3</v>
      </c>
      <c r="AC137" s="14">
        <v>0.20977002213391199</v>
      </c>
      <c r="AD137" s="14">
        <f t="shared" si="5"/>
        <v>-4.977002213391199E-2</v>
      </c>
    </row>
    <row r="138" spans="1:30" ht="15" x14ac:dyDescent="0.2">
      <c r="B138" s="10">
        <v>10</v>
      </c>
      <c r="C138" s="11">
        <v>528</v>
      </c>
      <c r="D138" s="11">
        <v>1</v>
      </c>
      <c r="E138" s="10">
        <v>45</v>
      </c>
      <c r="F138" s="12">
        <v>2.8</v>
      </c>
      <c r="G138" s="10">
        <v>40</v>
      </c>
      <c r="H138" s="10">
        <v>45</v>
      </c>
      <c r="I138" s="9">
        <v>100</v>
      </c>
      <c r="J138" s="10">
        <v>250</v>
      </c>
      <c r="K138" s="11">
        <v>78.5</v>
      </c>
      <c r="L138" s="12">
        <v>4.4000000000000004</v>
      </c>
      <c r="M138" s="9">
        <v>0.19410888513240501</v>
      </c>
      <c r="N138" s="9">
        <v>0.22467501280271901</v>
      </c>
      <c r="O138" s="9">
        <v>0.24884169622071201</v>
      </c>
      <c r="P138" s="9">
        <v>0.15538514691208999</v>
      </c>
      <c r="Q138" s="9">
        <v>0.35364191324925498</v>
      </c>
      <c r="R138" s="9">
        <v>0.35385368601183298</v>
      </c>
      <c r="S138" s="13">
        <v>0.21323339879915429</v>
      </c>
      <c r="T138" s="9">
        <v>0.14151720856094599</v>
      </c>
      <c r="U138" s="9">
        <v>0.30613093502001099</v>
      </c>
      <c r="V138" s="9">
        <v>0.29093276064167001</v>
      </c>
      <c r="W138" s="9">
        <v>0.27233102363950401</v>
      </c>
      <c r="X138" s="9">
        <v>0.18035790264186499</v>
      </c>
      <c r="Y138" s="9">
        <v>0.16063164772423399</v>
      </c>
      <c r="Z138" s="12">
        <v>0.18</v>
      </c>
      <c r="AA138" s="12">
        <v>0.17476722684953</v>
      </c>
      <c r="AB138" s="12">
        <f t="shared" si="4"/>
        <v>5.2327731504699937E-3</v>
      </c>
      <c r="AC138" s="14">
        <v>0.24159117361763999</v>
      </c>
      <c r="AD138" s="14">
        <f t="shared" si="5"/>
        <v>-6.1591173617639994E-2</v>
      </c>
    </row>
    <row r="139" spans="1:30" ht="15" x14ac:dyDescent="0.2">
      <c r="B139" s="10">
        <v>10</v>
      </c>
      <c r="C139" s="11">
        <v>528</v>
      </c>
      <c r="D139" s="11">
        <v>1</v>
      </c>
      <c r="E139" s="10">
        <v>45</v>
      </c>
      <c r="F139" s="12">
        <v>2.8</v>
      </c>
      <c r="G139" s="10">
        <v>40</v>
      </c>
      <c r="H139" s="10">
        <v>45</v>
      </c>
      <c r="I139" s="9">
        <v>100</v>
      </c>
      <c r="J139" s="10">
        <v>250</v>
      </c>
      <c r="K139" s="11">
        <v>78.5</v>
      </c>
      <c r="L139" s="12">
        <v>4.74</v>
      </c>
      <c r="M139" s="9">
        <v>0.22695478220743001</v>
      </c>
      <c r="N139" s="9">
        <v>0.24203626379202101</v>
      </c>
      <c r="O139" s="9">
        <v>0.26807037274685802</v>
      </c>
      <c r="P139" s="9">
        <v>0.18032703134101599</v>
      </c>
      <c r="Q139" s="9">
        <v>0.39612672321509801</v>
      </c>
      <c r="R139" s="9">
        <v>0.38119692538547501</v>
      </c>
      <c r="S139" s="13">
        <v>0.23267029494721281</v>
      </c>
      <c r="T139" s="9">
        <v>0.153645879858444</v>
      </c>
      <c r="U139" s="9">
        <v>0.32978650727155701</v>
      </c>
      <c r="V139" s="9">
        <v>0.319575246367168</v>
      </c>
      <c r="W139" s="9">
        <v>0.30720169296391497</v>
      </c>
      <c r="X139" s="9">
        <v>0.195704579187509</v>
      </c>
      <c r="Y139" s="9">
        <v>0.17556318391030201</v>
      </c>
      <c r="Z139" s="12">
        <v>0.2</v>
      </c>
      <c r="AA139" s="12">
        <v>0.18827196710608499</v>
      </c>
      <c r="AB139" s="12">
        <f t="shared" si="4"/>
        <v>1.1728032893915025E-2</v>
      </c>
      <c r="AC139" s="14">
        <v>0.28037055022581098</v>
      </c>
      <c r="AD139" s="14">
        <f t="shared" si="5"/>
        <v>-8.0370550225810966E-2</v>
      </c>
    </row>
    <row r="140" spans="1:30" ht="15" x14ac:dyDescent="0.2">
      <c r="B140" s="10">
        <v>10</v>
      </c>
      <c r="C140" s="11">
        <v>528</v>
      </c>
      <c r="D140" s="11">
        <v>1</v>
      </c>
      <c r="E140" s="10">
        <v>45</v>
      </c>
      <c r="F140" s="12">
        <v>2.8</v>
      </c>
      <c r="G140" s="10">
        <v>40</v>
      </c>
      <c r="H140" s="10">
        <v>45</v>
      </c>
      <c r="I140" s="9">
        <v>100</v>
      </c>
      <c r="J140" s="10">
        <v>250</v>
      </c>
      <c r="K140" s="11">
        <v>78.5</v>
      </c>
      <c r="L140" s="12">
        <v>5.04</v>
      </c>
      <c r="M140" s="9">
        <v>0.25593645609715798</v>
      </c>
      <c r="N140" s="9">
        <v>0.25735501466493299</v>
      </c>
      <c r="O140" s="9">
        <v>0.28503685203463403</v>
      </c>
      <c r="P140" s="9">
        <v>0.20387558614680501</v>
      </c>
      <c r="Q140" s="9">
        <v>0.43361332024378302</v>
      </c>
      <c r="R140" s="9">
        <v>0.40532331306809999</v>
      </c>
      <c r="S140" s="13">
        <v>0.24982049743079385</v>
      </c>
      <c r="T140" s="9">
        <v>0.164347648650355</v>
      </c>
      <c r="U140" s="9">
        <v>0.35065907102292199</v>
      </c>
      <c r="V140" s="9">
        <v>0.34525739406130102</v>
      </c>
      <c r="W140" s="9">
        <v>0.338662113309941</v>
      </c>
      <c r="X140" s="9">
        <v>0.20932811861929301</v>
      </c>
      <c r="Y140" s="9">
        <v>0.18903818382788001</v>
      </c>
      <c r="Z140" s="12">
        <v>0.22</v>
      </c>
      <c r="AA140" s="12">
        <v>0.20018791439128</v>
      </c>
      <c r="AB140" s="12">
        <f t="shared" si="4"/>
        <v>1.9812085608719998E-2</v>
      </c>
      <c r="AC140" s="14">
        <v>0.31698359275650101</v>
      </c>
      <c r="AD140" s="14">
        <f t="shared" si="5"/>
        <v>-9.6983592756501008E-2</v>
      </c>
    </row>
    <row r="141" spans="1:30" ht="15" x14ac:dyDescent="0.2">
      <c r="B141" s="10">
        <v>10</v>
      </c>
      <c r="C141" s="11">
        <v>528</v>
      </c>
      <c r="D141" s="11">
        <v>1</v>
      </c>
      <c r="E141" s="10">
        <v>45</v>
      </c>
      <c r="F141" s="12">
        <v>2.8</v>
      </c>
      <c r="G141" s="10">
        <v>40</v>
      </c>
      <c r="H141" s="10">
        <v>45</v>
      </c>
      <c r="I141" s="9">
        <v>100</v>
      </c>
      <c r="J141" s="10">
        <v>250</v>
      </c>
      <c r="K141" s="11">
        <v>78.5</v>
      </c>
      <c r="L141" s="12">
        <v>5.38</v>
      </c>
      <c r="M141" s="9">
        <v>0.28878235317218298</v>
      </c>
      <c r="N141" s="9">
        <v>0.27471626565423402</v>
      </c>
      <c r="O141" s="9">
        <v>0.30426552856077999</v>
      </c>
      <c r="P141" s="9">
        <v>0.23231042594433299</v>
      </c>
      <c r="Q141" s="9">
        <v>0.47609813020962599</v>
      </c>
      <c r="R141" s="9">
        <v>0.43266655244174101</v>
      </c>
      <c r="S141" s="13">
        <v>0.26925739357885237</v>
      </c>
      <c r="T141" s="9">
        <v>0.17647631994785301</v>
      </c>
      <c r="U141" s="9">
        <v>0.37431464327446801</v>
      </c>
      <c r="V141" s="9">
        <v>0.37475886543331399</v>
      </c>
      <c r="W141" s="9">
        <v>0.37499532955053599</v>
      </c>
      <c r="X141" s="9">
        <v>0.22489641587883999</v>
      </c>
      <c r="Y141" s="9">
        <v>0.204684931881469</v>
      </c>
      <c r="Z141" s="12">
        <v>0.24</v>
      </c>
      <c r="AA141" s="12">
        <v>0.21372760574098101</v>
      </c>
      <c r="AB141" s="12">
        <f t="shared" si="4"/>
        <v>2.6272394259018977E-2</v>
      </c>
      <c r="AC141" s="14">
        <v>0.361212647008122</v>
      </c>
      <c r="AD141" s="14">
        <f t="shared" si="5"/>
        <v>-0.12121264700812201</v>
      </c>
    </row>
    <row r="142" spans="1:30" ht="15" x14ac:dyDescent="0.2">
      <c r="B142" s="10">
        <v>10</v>
      </c>
      <c r="C142" s="11">
        <v>528</v>
      </c>
      <c r="D142" s="11">
        <v>1</v>
      </c>
      <c r="E142" s="10">
        <v>45</v>
      </c>
      <c r="F142" s="12">
        <v>2.8</v>
      </c>
      <c r="G142" s="10">
        <v>40</v>
      </c>
      <c r="H142" s="10">
        <v>45</v>
      </c>
      <c r="I142" s="9">
        <v>100</v>
      </c>
      <c r="J142" s="10">
        <v>250</v>
      </c>
      <c r="K142" s="11">
        <v>78.5</v>
      </c>
      <c r="L142" s="12">
        <v>5.68</v>
      </c>
      <c r="M142" s="9">
        <v>0.31776402706190998</v>
      </c>
      <c r="N142" s="9">
        <v>0.29003501652714703</v>
      </c>
      <c r="O142" s="9">
        <v>0.32123200784855599</v>
      </c>
      <c r="P142" s="9">
        <v>0.25894100019300598</v>
      </c>
      <c r="Q142" s="9">
        <v>0.51358472723831095</v>
      </c>
      <c r="R142" s="9">
        <v>0.456792940124366</v>
      </c>
      <c r="S142" s="13">
        <v>0.28640759606243349</v>
      </c>
      <c r="T142" s="9">
        <v>0.18717808873976299</v>
      </c>
      <c r="U142" s="9">
        <v>0.39518720702583199</v>
      </c>
      <c r="V142" s="9">
        <v>0.40109118608216698</v>
      </c>
      <c r="W142" s="9">
        <v>0.41579389674815698</v>
      </c>
      <c r="X142" s="9">
        <v>0.25655858472732102</v>
      </c>
      <c r="Y142" s="9">
        <v>0.23663408282187601</v>
      </c>
      <c r="Z142" s="12">
        <v>0.26</v>
      </c>
      <c r="AA142" s="12">
        <v>0.243517473953969</v>
      </c>
      <c r="AB142" s="12">
        <f t="shared" si="4"/>
        <v>1.648252604603101E-2</v>
      </c>
      <c r="AC142" s="14">
        <v>0.41114123614227499</v>
      </c>
      <c r="AD142" s="14">
        <f t="shared" si="5"/>
        <v>-0.15114123614227498</v>
      </c>
    </row>
    <row r="143" spans="1:30" ht="15" x14ac:dyDescent="0.2">
      <c r="B143" s="10">
        <v>10</v>
      </c>
      <c r="C143" s="11">
        <v>528</v>
      </c>
      <c r="D143" s="11">
        <v>1</v>
      </c>
      <c r="E143" s="10">
        <v>45</v>
      </c>
      <c r="F143" s="12">
        <v>2.8</v>
      </c>
      <c r="G143" s="10">
        <v>40</v>
      </c>
      <c r="H143" s="10">
        <v>45</v>
      </c>
      <c r="I143" s="9">
        <v>100</v>
      </c>
      <c r="J143" s="10">
        <v>250</v>
      </c>
      <c r="K143" s="11">
        <v>78.5</v>
      </c>
      <c r="L143" s="12">
        <v>6.04</v>
      </c>
      <c r="M143" s="9">
        <v>0.35254203572958398</v>
      </c>
      <c r="N143" s="9">
        <v>0.31057003114677001</v>
      </c>
      <c r="O143" s="9">
        <v>0.34159178299388698</v>
      </c>
      <c r="P143" s="9">
        <v>0.29280468882169902</v>
      </c>
      <c r="Q143" s="9">
        <v>0.55856864367273296</v>
      </c>
      <c r="R143" s="9">
        <v>0.48574460534351699</v>
      </c>
      <c r="S143" s="13">
        <v>0.3069878390427308</v>
      </c>
      <c r="T143" s="9">
        <v>0.20002021129005601</v>
      </c>
      <c r="U143" s="9">
        <v>0.42023428352747</v>
      </c>
      <c r="V143" s="9">
        <v>0.43301290870637399</v>
      </c>
      <c r="W143" s="9">
        <v>0.463752248681288</v>
      </c>
      <c r="X143" s="9">
        <v>0.29465510072300799</v>
      </c>
      <c r="Y143" s="9">
        <v>0.27534445632166898</v>
      </c>
      <c r="Z143" s="12">
        <v>0.28000000000000003</v>
      </c>
      <c r="AA143" s="12">
        <v>0.27926531580955499</v>
      </c>
      <c r="AB143" s="12">
        <f t="shared" si="4"/>
        <v>7.3468419044503408E-4</v>
      </c>
      <c r="AC143" s="14">
        <v>0.47105554310325798</v>
      </c>
      <c r="AD143" s="14">
        <f t="shared" si="5"/>
        <v>-0.19105554310325795</v>
      </c>
    </row>
    <row r="144" spans="1:30" ht="15" x14ac:dyDescent="0.2">
      <c r="A144" s="9" t="s">
        <v>63</v>
      </c>
      <c r="B144" s="10">
        <v>10</v>
      </c>
      <c r="C144" s="11">
        <v>528</v>
      </c>
      <c r="D144" s="11">
        <v>1</v>
      </c>
      <c r="E144" s="10">
        <v>45</v>
      </c>
      <c r="F144" s="12">
        <v>2.8</v>
      </c>
      <c r="G144" s="10">
        <v>40</v>
      </c>
      <c r="H144" s="10">
        <v>45</v>
      </c>
      <c r="I144" s="9">
        <v>100</v>
      </c>
      <c r="J144" s="10">
        <v>250</v>
      </c>
      <c r="K144" s="11">
        <v>78.5</v>
      </c>
      <c r="L144" s="12">
        <v>3.76</v>
      </c>
      <c r="M144" s="9">
        <v>0.13228131416765199</v>
      </c>
      <c r="N144" s="9">
        <v>0.191995010940506</v>
      </c>
      <c r="O144" s="9">
        <v>0.21264654040679001</v>
      </c>
      <c r="P144" s="9">
        <v>0.11346968248886199</v>
      </c>
      <c r="Q144" s="9">
        <v>0.273670506254726</v>
      </c>
      <c r="R144" s="9">
        <v>0.30238405895556703</v>
      </c>
      <c r="S144" s="13">
        <v>0.17664630016751462</v>
      </c>
      <c r="T144" s="9">
        <v>0.118686768471537</v>
      </c>
      <c r="U144" s="9">
        <v>0.26160279901709999</v>
      </c>
      <c r="V144" s="9">
        <v>0.23870606841661501</v>
      </c>
      <c r="W144" s="9">
        <v>0.209494178149251</v>
      </c>
      <c r="X144" s="9">
        <v>0.15173906477409899</v>
      </c>
      <c r="Y144" s="9">
        <v>0.13350560248999799</v>
      </c>
      <c r="Z144" s="12">
        <v>0.15</v>
      </c>
      <c r="AA144" s="12">
        <v>0.14934653930778</v>
      </c>
      <c r="AB144" s="12">
        <f t="shared" si="4"/>
        <v>6.5346069221999814E-4</v>
      </c>
      <c r="AC144" s="14">
        <v>0.176421455378964</v>
      </c>
      <c r="AD144" s="14">
        <f t="shared" si="5"/>
        <v>-2.6421455378964009E-2</v>
      </c>
    </row>
    <row r="145" spans="1:30" ht="15" x14ac:dyDescent="0.2">
      <c r="B145" s="10">
        <v>10</v>
      </c>
      <c r="C145" s="11">
        <v>528</v>
      </c>
      <c r="D145" s="11">
        <v>1</v>
      </c>
      <c r="E145" s="10">
        <v>45</v>
      </c>
      <c r="F145" s="12">
        <v>2.8</v>
      </c>
      <c r="G145" s="10">
        <v>40</v>
      </c>
      <c r="H145" s="10">
        <v>45</v>
      </c>
      <c r="I145" s="9">
        <v>100</v>
      </c>
      <c r="J145" s="10">
        <v>250</v>
      </c>
      <c r="K145" s="11">
        <v>78.5</v>
      </c>
      <c r="L145" s="12">
        <v>4.0999999999999996</v>
      </c>
      <c r="M145" s="9">
        <v>0.16512721124267701</v>
      </c>
      <c r="N145" s="9">
        <v>0.209356261929807</v>
      </c>
      <c r="O145" s="9">
        <v>0.231875216932936</v>
      </c>
      <c r="P145" s="9">
        <v>0.134918611549185</v>
      </c>
      <c r="Q145" s="9">
        <v>0.31615531622056903</v>
      </c>
      <c r="R145" s="9">
        <v>0.329727298329208</v>
      </c>
      <c r="S145" s="13">
        <v>0.19608319631557314</v>
      </c>
      <c r="T145" s="9">
        <v>0.13081543976903501</v>
      </c>
      <c r="U145" s="9">
        <v>0.285258371268647</v>
      </c>
      <c r="V145" s="9">
        <v>0.26614281150680602</v>
      </c>
      <c r="W145" s="9">
        <v>0.24237273712832</v>
      </c>
      <c r="X145" s="9">
        <v>0.16689907169898499</v>
      </c>
      <c r="Y145" s="9">
        <v>0.14775687790169201</v>
      </c>
      <c r="Z145" s="12">
        <v>0.17</v>
      </c>
      <c r="AA145" s="12">
        <v>0.16285127956433501</v>
      </c>
      <c r="AB145" s="12">
        <f t="shared" si="4"/>
        <v>7.1487204356650014E-3</v>
      </c>
      <c r="AC145" s="14">
        <v>0.20977002213391199</v>
      </c>
      <c r="AD145" s="14">
        <f t="shared" si="5"/>
        <v>-3.9770022133911981E-2</v>
      </c>
    </row>
    <row r="146" spans="1:30" ht="15" x14ac:dyDescent="0.2">
      <c r="B146" s="10">
        <v>10</v>
      </c>
      <c r="C146" s="11">
        <v>528</v>
      </c>
      <c r="D146" s="11">
        <v>1</v>
      </c>
      <c r="E146" s="10">
        <v>45</v>
      </c>
      <c r="F146" s="12">
        <v>2.8</v>
      </c>
      <c r="G146" s="10">
        <v>40</v>
      </c>
      <c r="H146" s="10">
        <v>45</v>
      </c>
      <c r="I146" s="9">
        <v>100</v>
      </c>
      <c r="J146" s="10">
        <v>250</v>
      </c>
      <c r="K146" s="11">
        <v>78.5</v>
      </c>
      <c r="L146" s="12">
        <v>4.42</v>
      </c>
      <c r="M146" s="9">
        <v>0.19604099672505401</v>
      </c>
      <c r="N146" s="9">
        <v>0.22569626286091399</v>
      </c>
      <c r="O146" s="9">
        <v>0.24997279483989701</v>
      </c>
      <c r="P146" s="9">
        <v>0.156800949593665</v>
      </c>
      <c r="Q146" s="9">
        <v>0.35614101971783302</v>
      </c>
      <c r="R146" s="9">
        <v>0.355462111857342</v>
      </c>
      <c r="S146" s="13">
        <v>0.21437674563139295</v>
      </c>
      <c r="T146" s="9">
        <v>0.14223065981374</v>
      </c>
      <c r="U146" s="9">
        <v>0.30752243927010198</v>
      </c>
      <c r="V146" s="9">
        <v>0.292602451039504</v>
      </c>
      <c r="W146" s="9">
        <v>0.27435665355217498</v>
      </c>
      <c r="X146" s="9">
        <v>0.18125790317953899</v>
      </c>
      <c r="Y146" s="9">
        <v>0.16149996954731999</v>
      </c>
      <c r="Z146" s="12">
        <v>0.19</v>
      </c>
      <c r="AA146" s="12">
        <v>0.17556162333521</v>
      </c>
      <c r="AB146" s="12">
        <f t="shared" si="4"/>
        <v>1.4438376664790004E-2</v>
      </c>
      <c r="AC146" s="14">
        <v>0.243792448567338</v>
      </c>
      <c r="AD146" s="14">
        <f t="shared" si="5"/>
        <v>-5.3792448567338003E-2</v>
      </c>
    </row>
    <row r="147" spans="1:30" ht="15" x14ac:dyDescent="0.2">
      <c r="B147" s="10">
        <v>10</v>
      </c>
      <c r="C147" s="11">
        <v>528</v>
      </c>
      <c r="D147" s="11">
        <v>1</v>
      </c>
      <c r="E147" s="10">
        <v>45</v>
      </c>
      <c r="F147" s="12">
        <v>2.8</v>
      </c>
      <c r="G147" s="10">
        <v>40</v>
      </c>
      <c r="H147" s="10">
        <v>45</v>
      </c>
      <c r="I147" s="9">
        <v>100</v>
      </c>
      <c r="J147" s="10">
        <v>250</v>
      </c>
      <c r="K147" s="11">
        <v>78.5</v>
      </c>
      <c r="L147" s="12">
        <v>4.71</v>
      </c>
      <c r="M147" s="9">
        <v>0.22405661481845701</v>
      </c>
      <c r="N147" s="9">
        <v>0.24050438870472901</v>
      </c>
      <c r="O147" s="9">
        <v>0.26637372481808003</v>
      </c>
      <c r="P147" s="9">
        <v>0.178051634174199</v>
      </c>
      <c r="Q147" s="9">
        <v>0.39237806351222898</v>
      </c>
      <c r="R147" s="9">
        <v>0.37878428661721197</v>
      </c>
      <c r="S147" s="13">
        <v>0.23095527469885477</v>
      </c>
      <c r="T147" s="9">
        <v>0.15257570297925299</v>
      </c>
      <c r="U147" s="9">
        <v>0.32769925089642099</v>
      </c>
      <c r="V147" s="9">
        <v>0.31702702836497598</v>
      </c>
      <c r="W147" s="9">
        <v>0.30408944906393298</v>
      </c>
      <c r="X147" s="9">
        <v>0.19434647163506</v>
      </c>
      <c r="Y147" s="9">
        <v>0.174231158600682</v>
      </c>
      <c r="Z147" s="12">
        <v>0.2</v>
      </c>
      <c r="AA147" s="12">
        <v>0.187080372377565</v>
      </c>
      <c r="AB147" s="12">
        <f t="shared" si="4"/>
        <v>1.2919627622435009E-2</v>
      </c>
      <c r="AC147" s="14">
        <v>0.27683278691379598</v>
      </c>
      <c r="AD147" s="14">
        <f t="shared" si="5"/>
        <v>-7.683278691379597E-2</v>
      </c>
    </row>
    <row r="148" spans="1:30" ht="15" x14ac:dyDescent="0.2">
      <c r="B148" s="10">
        <v>10</v>
      </c>
      <c r="C148" s="11">
        <v>528</v>
      </c>
      <c r="D148" s="11">
        <v>1</v>
      </c>
      <c r="E148" s="10">
        <v>45</v>
      </c>
      <c r="F148" s="12">
        <v>2.8</v>
      </c>
      <c r="G148" s="10">
        <v>40</v>
      </c>
      <c r="H148" s="10">
        <v>45</v>
      </c>
      <c r="I148" s="9">
        <v>100</v>
      </c>
      <c r="J148" s="10">
        <v>250</v>
      </c>
      <c r="K148" s="11">
        <v>78.5</v>
      </c>
      <c r="L148" s="12">
        <v>5.04</v>
      </c>
      <c r="M148" s="9">
        <v>0.25593645609715798</v>
      </c>
      <c r="N148" s="9">
        <v>0.25735501466493299</v>
      </c>
      <c r="O148" s="9">
        <v>0.28503685203463403</v>
      </c>
      <c r="P148" s="9">
        <v>0.20387558614680501</v>
      </c>
      <c r="Q148" s="9">
        <v>0.43361332024378302</v>
      </c>
      <c r="R148" s="9">
        <v>0.40532331306809999</v>
      </c>
      <c r="S148" s="13">
        <v>0.24982049743079385</v>
      </c>
      <c r="T148" s="9">
        <v>0.164347648650355</v>
      </c>
      <c r="U148" s="9">
        <v>0.35065907102292199</v>
      </c>
      <c r="V148" s="9">
        <v>0.34525739406130102</v>
      </c>
      <c r="W148" s="9">
        <v>0.338662113309941</v>
      </c>
      <c r="X148" s="9">
        <v>0.20932811861929301</v>
      </c>
      <c r="Y148" s="9">
        <v>0.18903818382788001</v>
      </c>
      <c r="Z148" s="12">
        <v>0.22</v>
      </c>
      <c r="AA148" s="12">
        <v>0.20018791439128</v>
      </c>
      <c r="AB148" s="12">
        <f t="shared" si="4"/>
        <v>1.9812085608719998E-2</v>
      </c>
      <c r="AC148" s="14">
        <v>0.31698359275650101</v>
      </c>
      <c r="AD148" s="14">
        <f t="shared" si="5"/>
        <v>-9.6983592756501008E-2</v>
      </c>
    </row>
    <row r="149" spans="1:30" ht="15" x14ac:dyDescent="0.2">
      <c r="B149" s="10">
        <v>10</v>
      </c>
      <c r="C149" s="11">
        <v>528</v>
      </c>
      <c r="D149" s="11">
        <v>1</v>
      </c>
      <c r="E149" s="10">
        <v>45</v>
      </c>
      <c r="F149" s="12">
        <v>2.8</v>
      </c>
      <c r="G149" s="10">
        <v>40</v>
      </c>
      <c r="H149" s="10">
        <v>45</v>
      </c>
      <c r="I149" s="9">
        <v>100</v>
      </c>
      <c r="J149" s="10">
        <v>250</v>
      </c>
      <c r="K149" s="11">
        <v>78.5</v>
      </c>
      <c r="L149" s="12">
        <v>5.37</v>
      </c>
      <c r="M149" s="9">
        <v>0.28781629737585801</v>
      </c>
      <c r="N149" s="9">
        <v>0.27420564062513703</v>
      </c>
      <c r="O149" s="9">
        <v>0.30369997925118702</v>
      </c>
      <c r="P149" s="9">
        <v>0.23144762102217101</v>
      </c>
      <c r="Q149" s="9">
        <v>0.474848576975336</v>
      </c>
      <c r="R149" s="9">
        <v>0.431862339518987</v>
      </c>
      <c r="S149" s="13">
        <v>0.26868572016273307</v>
      </c>
      <c r="T149" s="9">
        <v>0.17611959432145599</v>
      </c>
      <c r="U149" s="9">
        <v>0.37361889114942198</v>
      </c>
      <c r="V149" s="9">
        <v>0.37388575167897697</v>
      </c>
      <c r="W149" s="9">
        <v>0.37390093350476</v>
      </c>
      <c r="X149" s="9">
        <v>0.224403186199577</v>
      </c>
      <c r="Y149" s="9">
        <v>0.20418565206210701</v>
      </c>
      <c r="Z149" s="12">
        <v>0.24</v>
      </c>
      <c r="AA149" s="12">
        <v>0.213295456404995</v>
      </c>
      <c r="AB149" s="12">
        <f t="shared" si="4"/>
        <v>2.6704543595004987E-2</v>
      </c>
      <c r="AC149" s="14">
        <v>0.35985229930240398</v>
      </c>
      <c r="AD149" s="14">
        <f t="shared" si="5"/>
        <v>-0.11985229930240399</v>
      </c>
    </row>
    <row r="150" spans="1:30" ht="15" x14ac:dyDescent="0.2">
      <c r="B150" s="10">
        <v>10</v>
      </c>
      <c r="C150" s="11">
        <v>528</v>
      </c>
      <c r="D150" s="11">
        <v>1</v>
      </c>
      <c r="E150" s="10">
        <v>45</v>
      </c>
      <c r="F150" s="12">
        <v>2.8</v>
      </c>
      <c r="G150" s="10">
        <v>40</v>
      </c>
      <c r="H150" s="10">
        <v>45</v>
      </c>
      <c r="I150" s="9">
        <v>100</v>
      </c>
      <c r="J150" s="10">
        <v>250</v>
      </c>
      <c r="K150" s="11">
        <v>78.5</v>
      </c>
      <c r="L150" s="12">
        <v>5.65</v>
      </c>
      <c r="M150" s="9">
        <v>0.31486585967293801</v>
      </c>
      <c r="N150" s="9">
        <v>0.288503141439856</v>
      </c>
      <c r="O150" s="9">
        <v>0.31953535991977799</v>
      </c>
      <c r="P150" s="9">
        <v>0.25621293142051599</v>
      </c>
      <c r="Q150" s="9">
        <v>0.50983606753544297</v>
      </c>
      <c r="R150" s="9">
        <v>0.45438030135610402</v>
      </c>
      <c r="S150" s="13">
        <v>0.28469257581407542</v>
      </c>
      <c r="T150" s="9">
        <v>0.18610791186057199</v>
      </c>
      <c r="U150" s="9">
        <v>0.39309995065069597</v>
      </c>
      <c r="V150" s="9">
        <v>0.39844633749403102</v>
      </c>
      <c r="W150" s="9">
        <v>0.41174918970052599</v>
      </c>
      <c r="X150" s="9">
        <v>0.25338889352278599</v>
      </c>
      <c r="Y150" s="9">
        <v>0.233426506624268</v>
      </c>
      <c r="Z150" s="12">
        <v>0.26</v>
      </c>
      <c r="AA150" s="12">
        <v>0.24053848713267001</v>
      </c>
      <c r="AB150" s="12">
        <f t="shared" si="4"/>
        <v>1.946151286733E-2</v>
      </c>
      <c r="AC150" s="14">
        <v>0.40614837722885999</v>
      </c>
      <c r="AD150" s="14">
        <f t="shared" si="5"/>
        <v>-0.14614837722885998</v>
      </c>
    </row>
    <row r="151" spans="1:30" ht="15" x14ac:dyDescent="0.2">
      <c r="B151" s="10">
        <v>10</v>
      </c>
      <c r="C151" s="11">
        <v>528</v>
      </c>
      <c r="D151" s="11">
        <v>1</v>
      </c>
      <c r="E151" s="10">
        <v>45</v>
      </c>
      <c r="F151" s="12">
        <v>2.8</v>
      </c>
      <c r="G151" s="10">
        <v>40</v>
      </c>
      <c r="H151" s="10">
        <v>45</v>
      </c>
      <c r="I151" s="9">
        <v>100</v>
      </c>
      <c r="J151" s="10">
        <v>250</v>
      </c>
      <c r="K151" s="11">
        <v>78.5</v>
      </c>
      <c r="L151" s="12">
        <v>5.92</v>
      </c>
      <c r="M151" s="9">
        <v>0.34094936617369298</v>
      </c>
      <c r="N151" s="9">
        <v>0.30229001722547699</v>
      </c>
      <c r="O151" s="9">
        <v>0.334805191278776</v>
      </c>
      <c r="P151" s="9">
        <v>0.28128564115391802</v>
      </c>
      <c r="Q151" s="9">
        <v>0.54357400486125895</v>
      </c>
      <c r="R151" s="9">
        <v>0.47609405027046697</v>
      </c>
      <c r="S151" s="13">
        <v>0.30012775804929837</v>
      </c>
      <c r="T151" s="9">
        <v>0.195739503773292</v>
      </c>
      <c r="U151" s="9">
        <v>0.41188525802692399</v>
      </c>
      <c r="V151" s="9">
        <v>0.42233606372638999</v>
      </c>
      <c r="W151" s="9">
        <v>0.44788219378817901</v>
      </c>
      <c r="X151" s="9">
        <v>0.28194390892111099</v>
      </c>
      <c r="Y151" s="9">
        <v>0.262395981231277</v>
      </c>
      <c r="Z151" s="12">
        <v>0.28999999999999998</v>
      </c>
      <c r="AA151" s="12">
        <v>0.26734936852435898</v>
      </c>
      <c r="AB151" s="12">
        <f t="shared" si="4"/>
        <v>2.2650631475641003E-2</v>
      </c>
      <c r="AC151" s="14">
        <v>0.45108410744959698</v>
      </c>
      <c r="AD151" s="14">
        <f t="shared" si="5"/>
        <v>-0.161084107449597</v>
      </c>
    </row>
    <row r="152" spans="1:30" ht="15" x14ac:dyDescent="0.2">
      <c r="A152" s="9" t="s">
        <v>64</v>
      </c>
      <c r="B152" s="10">
        <v>20</v>
      </c>
      <c r="C152" s="11">
        <v>598</v>
      </c>
      <c r="D152" s="11">
        <v>1</v>
      </c>
      <c r="E152" s="10">
        <v>40</v>
      </c>
      <c r="F152" s="12">
        <v>2.8</v>
      </c>
      <c r="G152" s="10">
        <v>40</v>
      </c>
      <c r="H152" s="10">
        <v>50</v>
      </c>
      <c r="I152" s="9">
        <v>100</v>
      </c>
      <c r="J152" s="10">
        <v>250</v>
      </c>
      <c r="K152" s="11">
        <v>315</v>
      </c>
      <c r="L152" s="12">
        <v>11.09</v>
      </c>
      <c r="M152" s="9">
        <v>0.13248092114240001</v>
      </c>
      <c r="N152" s="9">
        <v>0.144212393826816</v>
      </c>
      <c r="O152" s="9">
        <v>0.17073851136246301</v>
      </c>
      <c r="P152" s="9">
        <v>0.15478528012645701</v>
      </c>
      <c r="Q152" s="9">
        <v>0.17950779201610101</v>
      </c>
      <c r="R152" s="9">
        <v>0.23280084374718699</v>
      </c>
      <c r="S152" s="13">
        <v>0.20157849860937077</v>
      </c>
      <c r="T152" s="9">
        <v>0.10063566624985</v>
      </c>
      <c r="U152" s="9">
        <v>0.24631464196932101</v>
      </c>
      <c r="V152" s="9">
        <v>0.185182642216358</v>
      </c>
      <c r="W152" s="9">
        <v>0.13944355439065201</v>
      </c>
      <c r="X152" s="9">
        <v>0.14747598455261901</v>
      </c>
      <c r="Y152" s="9">
        <v>0.12676079812586599</v>
      </c>
      <c r="Z152" s="12">
        <v>0.17</v>
      </c>
      <c r="AA152" s="12">
        <v>0.124480015931012</v>
      </c>
      <c r="AB152" s="12">
        <f t="shared" si="4"/>
        <v>4.5519984068988009E-2</v>
      </c>
      <c r="AC152" s="14">
        <v>0.124480015931012</v>
      </c>
      <c r="AD152" s="14">
        <f t="shared" si="5"/>
        <v>4.5519984068988009E-2</v>
      </c>
    </row>
    <row r="153" spans="1:30" ht="15" x14ac:dyDescent="0.2">
      <c r="B153" s="10">
        <v>20</v>
      </c>
      <c r="C153" s="11">
        <v>598</v>
      </c>
      <c r="D153" s="11">
        <v>1</v>
      </c>
      <c r="E153" s="10">
        <v>40</v>
      </c>
      <c r="F153" s="12">
        <v>2.8</v>
      </c>
      <c r="G153" s="10">
        <v>40</v>
      </c>
      <c r="H153" s="10">
        <v>50</v>
      </c>
      <c r="I153" s="9">
        <v>100</v>
      </c>
      <c r="J153" s="10">
        <v>250</v>
      </c>
      <c r="K153" s="11">
        <v>315</v>
      </c>
      <c r="L153" s="12">
        <v>12.96</v>
      </c>
      <c r="M153" s="9">
        <v>0.16092397911136799</v>
      </c>
      <c r="N153" s="9">
        <v>0.17517414622172001</v>
      </c>
      <c r="O153" s="9">
        <v>0.19952850381041701</v>
      </c>
      <c r="P153" s="9">
        <v>0.211386169121142</v>
      </c>
      <c r="Q153" s="9">
        <v>0.21464209910472301</v>
      </c>
      <c r="R153" s="9">
        <v>0.272055810186073</v>
      </c>
      <c r="S153" s="13">
        <v>0.2449642232514708</v>
      </c>
      <c r="T153" s="9">
        <v>0.119505028175292</v>
      </c>
      <c r="U153" s="9">
        <v>0.28784831018236201</v>
      </c>
      <c r="V153" s="9">
        <v>0.220226040212679</v>
      </c>
      <c r="W153" s="9">
        <v>0.188712851201184</v>
      </c>
      <c r="X153" s="9">
        <v>0.195477275263339</v>
      </c>
      <c r="Y153" s="9">
        <v>0.17118024534008899</v>
      </c>
      <c r="Z153" s="12">
        <v>0.2</v>
      </c>
      <c r="AA153" s="12">
        <v>0.16319147975293599</v>
      </c>
      <c r="AB153" s="12">
        <f t="shared" si="4"/>
        <v>3.6808520247064019E-2</v>
      </c>
      <c r="AC153" s="14">
        <v>0.17271575064382899</v>
      </c>
      <c r="AD153" s="14">
        <f t="shared" si="5"/>
        <v>2.728424935617102E-2</v>
      </c>
    </row>
    <row r="154" spans="1:30" ht="15" x14ac:dyDescent="0.2">
      <c r="B154" s="10">
        <v>20</v>
      </c>
      <c r="C154" s="11">
        <v>598</v>
      </c>
      <c r="D154" s="11">
        <v>1</v>
      </c>
      <c r="E154" s="10">
        <v>40</v>
      </c>
      <c r="F154" s="12">
        <v>2.8</v>
      </c>
      <c r="G154" s="10">
        <v>40</v>
      </c>
      <c r="H154" s="10">
        <v>50</v>
      </c>
      <c r="I154" s="9">
        <v>100</v>
      </c>
      <c r="J154" s="10">
        <v>250</v>
      </c>
      <c r="K154" s="11">
        <v>315</v>
      </c>
      <c r="L154" s="12">
        <v>14.77</v>
      </c>
      <c r="M154" s="9">
        <v>0.18845442559470099</v>
      </c>
      <c r="N154" s="9">
        <v>0.20514247340609201</v>
      </c>
      <c r="O154" s="9">
        <v>0.22739475318517399</v>
      </c>
      <c r="P154" s="9">
        <v>0.27455386120200997</v>
      </c>
      <c r="Q154" s="9">
        <v>0.24864910222258699</v>
      </c>
      <c r="R154" s="9">
        <v>0.31005125898520802</v>
      </c>
      <c r="S154" s="13">
        <v>0.28695789255746057</v>
      </c>
      <c r="T154" s="9">
        <v>0.137768956028261</v>
      </c>
      <c r="U154" s="9">
        <v>0.328049347329745</v>
      </c>
      <c r="V154" s="9">
        <v>0.25478960248972499</v>
      </c>
      <c r="W154" s="9">
        <v>0.23522198636617001</v>
      </c>
      <c r="X154" s="9">
        <v>0.24290464135782</v>
      </c>
      <c r="Y154" s="9">
        <v>0.21563755156994999</v>
      </c>
      <c r="Z154" s="12">
        <v>0.24</v>
      </c>
      <c r="AA154" s="12">
        <v>0.200660864521749</v>
      </c>
      <c r="AB154" s="12">
        <f t="shared" si="4"/>
        <v>3.9339135478250992E-2</v>
      </c>
      <c r="AC154" s="14">
        <v>0.22130062120069799</v>
      </c>
      <c r="AD154" s="14">
        <f t="shared" si="5"/>
        <v>1.8699378799302002E-2</v>
      </c>
    </row>
    <row r="155" spans="1:30" ht="15" x14ac:dyDescent="0.2">
      <c r="B155" s="10">
        <v>20</v>
      </c>
      <c r="C155" s="11">
        <v>598</v>
      </c>
      <c r="D155" s="11">
        <v>1</v>
      </c>
      <c r="E155" s="10">
        <v>40</v>
      </c>
      <c r="F155" s="12">
        <v>2.8</v>
      </c>
      <c r="G155" s="10">
        <v>40</v>
      </c>
      <c r="H155" s="10">
        <v>50</v>
      </c>
      <c r="I155" s="9">
        <v>100</v>
      </c>
      <c r="J155" s="10">
        <v>250</v>
      </c>
      <c r="K155" s="11">
        <v>315</v>
      </c>
      <c r="L155" s="12">
        <v>16.57</v>
      </c>
      <c r="M155" s="9">
        <v>0.21583277016376101</v>
      </c>
      <c r="N155" s="9">
        <v>0.23494522972204299</v>
      </c>
      <c r="O155" s="9">
        <v>0.25510704538106599</v>
      </c>
      <c r="P155" s="9">
        <v>0.34555054480386899</v>
      </c>
      <c r="Q155" s="9">
        <v>0.28246822134532401</v>
      </c>
      <c r="R155" s="9">
        <v>0.34783678817771801</v>
      </c>
      <c r="S155" s="13">
        <v>0.3287195526407653</v>
      </c>
      <c r="T155" s="9">
        <v>0.155931978202483</v>
      </c>
      <c r="U155" s="9">
        <v>0.36802827929951698</v>
      </c>
      <c r="V155" s="9">
        <v>0.28961854042916901</v>
      </c>
      <c r="W155" s="9">
        <v>0.28045553682490199</v>
      </c>
      <c r="X155" s="9">
        <v>0.29101258558818499</v>
      </c>
      <c r="Y155" s="9">
        <v>0.26127655931506399</v>
      </c>
      <c r="Z155" s="12">
        <v>0.27</v>
      </c>
      <c r="AA155" s="12">
        <v>0.23792323611504501</v>
      </c>
      <c r="AB155" s="12">
        <f t="shared" si="4"/>
        <v>3.2076763884955006E-2</v>
      </c>
      <c r="AC155" s="14">
        <v>0.26961706705835697</v>
      </c>
      <c r="AD155" s="14">
        <f t="shared" si="5"/>
        <v>3.8293294164304381E-4</v>
      </c>
    </row>
    <row r="156" spans="1:30" ht="15" x14ac:dyDescent="0.2">
      <c r="B156" s="10">
        <v>20</v>
      </c>
      <c r="C156" s="11">
        <v>598</v>
      </c>
      <c r="D156" s="11">
        <v>1</v>
      </c>
      <c r="E156" s="10">
        <v>40</v>
      </c>
      <c r="F156" s="12">
        <v>2.8</v>
      </c>
      <c r="G156" s="10">
        <v>40</v>
      </c>
      <c r="H156" s="10">
        <v>50</v>
      </c>
      <c r="I156" s="9">
        <v>100</v>
      </c>
      <c r="J156" s="10">
        <v>250</v>
      </c>
      <c r="K156" s="11">
        <v>315</v>
      </c>
      <c r="L156" s="12">
        <v>18.350000000000001</v>
      </c>
      <c r="M156" s="9">
        <v>0.24290691090427599</v>
      </c>
      <c r="N156" s="9">
        <v>0.26441684430114898</v>
      </c>
      <c r="O156" s="9">
        <v>0.28251142321922501</v>
      </c>
      <c r="P156" s="9">
        <v>0.42377828820333802</v>
      </c>
      <c r="Q156" s="9">
        <v>0.31591157247780899</v>
      </c>
      <c r="R156" s="9">
        <v>0.385202478156978</v>
      </c>
      <c r="S156" s="13">
        <v>0.37001719427870017</v>
      </c>
      <c r="T156" s="9">
        <v>0.17389318901921499</v>
      </c>
      <c r="U156" s="9">
        <v>0.40756300091406999</v>
      </c>
      <c r="V156" s="9">
        <v>0.32439945549780003</v>
      </c>
      <c r="W156" s="9">
        <v>0.32430026204481099</v>
      </c>
      <c r="X156" s="9">
        <v>0.33951038519894</v>
      </c>
      <c r="Y156" s="9">
        <v>0.3078082002243</v>
      </c>
      <c r="Z156" s="12">
        <v>0.32</v>
      </c>
      <c r="AA156" s="12">
        <v>0.27477158135730401</v>
      </c>
      <c r="AB156" s="12">
        <f t="shared" si="4"/>
        <v>4.5228418642696E-2</v>
      </c>
      <c r="AC156" s="14">
        <v>0.31739666351759799</v>
      </c>
      <c r="AD156" s="14">
        <f t="shared" si="5"/>
        <v>2.6033364824020189E-3</v>
      </c>
    </row>
    <row r="157" spans="1:30" ht="15" x14ac:dyDescent="0.2">
      <c r="B157" s="10">
        <v>20</v>
      </c>
      <c r="C157" s="11">
        <v>598</v>
      </c>
      <c r="D157" s="11">
        <v>1</v>
      </c>
      <c r="E157" s="10">
        <v>40</v>
      </c>
      <c r="F157" s="12">
        <v>2.8</v>
      </c>
      <c r="G157" s="10">
        <v>40</v>
      </c>
      <c r="H157" s="10">
        <v>50</v>
      </c>
      <c r="I157" s="9">
        <v>100</v>
      </c>
      <c r="J157" s="10">
        <v>250</v>
      </c>
      <c r="K157" s="11">
        <v>315</v>
      </c>
      <c r="L157" s="12">
        <v>20.18</v>
      </c>
      <c r="M157" s="9">
        <v>0.270741561216154</v>
      </c>
      <c r="N157" s="9">
        <v>0.29471631322236502</v>
      </c>
      <c r="O157" s="9">
        <v>0.310685586951714</v>
      </c>
      <c r="P157" s="9">
        <v>0.51251772415843</v>
      </c>
      <c r="Q157" s="9">
        <v>0.35029434358592598</v>
      </c>
      <c r="R157" s="9">
        <v>0.42361776616936397</v>
      </c>
      <c r="S157" s="13">
        <v>0.41247488203005989</v>
      </c>
      <c r="T157" s="9">
        <v>0.19235892822967501</v>
      </c>
      <c r="U157" s="9">
        <v>0.44820824841667201</v>
      </c>
      <c r="V157" s="9">
        <v>0.360431195859653</v>
      </c>
      <c r="W157" s="9">
        <v>0.36856181324478998</v>
      </c>
      <c r="X157" s="9">
        <v>0.39032880046409801</v>
      </c>
      <c r="Y157" s="9">
        <v>0.357098020389924</v>
      </c>
      <c r="Z157" s="12">
        <v>0.34</v>
      </c>
      <c r="AA157" s="12">
        <v>0.312654992477154</v>
      </c>
      <c r="AB157" s="12">
        <f t="shared" si="4"/>
        <v>2.7345007522846021E-2</v>
      </c>
      <c r="AC157" s="14">
        <v>0.36651838347288501</v>
      </c>
      <c r="AD157" s="14">
        <f t="shared" si="5"/>
        <v>-2.6518383472884988E-2</v>
      </c>
    </row>
    <row r="158" spans="1:30" ht="15" x14ac:dyDescent="0.2">
      <c r="A158" s="9" t="s">
        <v>65</v>
      </c>
      <c r="B158" s="10">
        <v>20</v>
      </c>
      <c r="C158" s="11">
        <v>598</v>
      </c>
      <c r="D158" s="11">
        <v>1</v>
      </c>
      <c r="E158" s="10">
        <v>40</v>
      </c>
      <c r="F158" s="12">
        <v>2.8</v>
      </c>
      <c r="G158" s="10">
        <v>40</v>
      </c>
      <c r="H158" s="10">
        <v>50</v>
      </c>
      <c r="I158" s="9">
        <v>100</v>
      </c>
      <c r="J158" s="10">
        <v>250</v>
      </c>
      <c r="K158" s="11">
        <v>315</v>
      </c>
      <c r="L158" s="12">
        <v>9.35</v>
      </c>
      <c r="M158" s="9">
        <v>0.106015188058975</v>
      </c>
      <c r="N158" s="9">
        <v>0.115403062721397</v>
      </c>
      <c r="O158" s="9">
        <v>0.143949962239768</v>
      </c>
      <c r="P158" s="9">
        <v>0.11002459711025001</v>
      </c>
      <c r="Q158" s="9">
        <v>0.14681597686412201</v>
      </c>
      <c r="R158" s="9">
        <v>0.19627483219442801</v>
      </c>
      <c r="S158" s="13">
        <v>0.16120889386217613</v>
      </c>
      <c r="T158" s="9">
        <v>8.3078078148101003E-2</v>
      </c>
      <c r="U158" s="9">
        <v>0.20766834106520701</v>
      </c>
      <c r="V158" s="9">
        <v>0.153451057980211</v>
      </c>
      <c r="W158" s="9">
        <v>9.2345050099274004E-2</v>
      </c>
      <c r="X158" s="9">
        <v>0.103722869489561</v>
      </c>
      <c r="Y158" s="9">
        <v>8.6809078464998302E-2</v>
      </c>
      <c r="Z158" s="12">
        <v>0.16</v>
      </c>
      <c r="AA158" s="12">
        <v>8.84597233908265E-2</v>
      </c>
      <c r="AB158" s="12">
        <f t="shared" si="4"/>
        <v>7.1540276609173503E-2</v>
      </c>
      <c r="AC158" s="14">
        <v>8.84597233908265E-2</v>
      </c>
      <c r="AD158" s="14">
        <f t="shared" si="5"/>
        <v>7.1540276609173503E-2</v>
      </c>
    </row>
    <row r="159" spans="1:30" ht="15" x14ac:dyDescent="0.2">
      <c r="B159" s="10">
        <v>20</v>
      </c>
      <c r="C159" s="11">
        <v>598</v>
      </c>
      <c r="D159" s="11">
        <v>1</v>
      </c>
      <c r="E159" s="10">
        <v>40</v>
      </c>
      <c r="F159" s="12">
        <v>2.8</v>
      </c>
      <c r="G159" s="10">
        <v>40</v>
      </c>
      <c r="H159" s="10">
        <v>50</v>
      </c>
      <c r="I159" s="9">
        <v>100</v>
      </c>
      <c r="J159" s="10">
        <v>250</v>
      </c>
      <c r="K159" s="11">
        <v>315</v>
      </c>
      <c r="L159" s="12">
        <v>11.12</v>
      </c>
      <c r="M159" s="9">
        <v>0.132937226885218</v>
      </c>
      <c r="N159" s="9">
        <v>0.14470910643208201</v>
      </c>
      <c r="O159" s="9">
        <v>0.171200382899061</v>
      </c>
      <c r="P159" s="9">
        <v>0.155623844444048</v>
      </c>
      <c r="Q159" s="9">
        <v>0.18007144400148001</v>
      </c>
      <c r="R159" s="9">
        <v>0.23343060256706299</v>
      </c>
      <c r="S159" s="13">
        <v>0.20227452627742584</v>
      </c>
      <c r="T159" s="9">
        <v>0.10093838328608699</v>
      </c>
      <c r="U159" s="9">
        <v>0.24698095750214999</v>
      </c>
      <c r="V159" s="9">
        <v>0.185738122217456</v>
      </c>
      <c r="W159" s="9">
        <v>0.14024456075224601</v>
      </c>
      <c r="X159" s="9">
        <v>0.14823805135601001</v>
      </c>
      <c r="Y159" s="9">
        <v>0.127461284590206</v>
      </c>
      <c r="Z159" s="12">
        <v>0.2</v>
      </c>
      <c r="AA159" s="12">
        <v>0.125101055457567</v>
      </c>
      <c r="AB159" s="12">
        <f t="shared" si="4"/>
        <v>7.489894454243301E-2</v>
      </c>
      <c r="AC159" s="14">
        <v>0.125101055457567</v>
      </c>
      <c r="AD159" s="14">
        <f t="shared" si="5"/>
        <v>7.489894454243301E-2</v>
      </c>
    </row>
    <row r="160" spans="1:30" ht="15" x14ac:dyDescent="0.2">
      <c r="B160" s="10">
        <v>20</v>
      </c>
      <c r="C160" s="11">
        <v>598</v>
      </c>
      <c r="D160" s="11">
        <v>1</v>
      </c>
      <c r="E160" s="10">
        <v>40</v>
      </c>
      <c r="F160" s="12">
        <v>2.8</v>
      </c>
      <c r="G160" s="10">
        <v>40</v>
      </c>
      <c r="H160" s="10">
        <v>50</v>
      </c>
      <c r="I160" s="9">
        <v>100</v>
      </c>
      <c r="J160" s="10">
        <v>250</v>
      </c>
      <c r="K160" s="11">
        <v>315</v>
      </c>
      <c r="L160" s="12">
        <v>12.93</v>
      </c>
      <c r="M160" s="9">
        <v>0.16046767336855</v>
      </c>
      <c r="N160" s="9">
        <v>0.17467743361645399</v>
      </c>
      <c r="O160" s="9">
        <v>0.19906663227381899</v>
      </c>
      <c r="P160" s="9">
        <v>0.21040866213409001</v>
      </c>
      <c r="Q160" s="9">
        <v>0.21407844711934401</v>
      </c>
      <c r="R160" s="9">
        <v>0.27142605136619802</v>
      </c>
      <c r="S160" s="13">
        <v>0.24426819558341561</v>
      </c>
      <c r="T160" s="9">
        <v>0.11920231113905499</v>
      </c>
      <c r="U160" s="9">
        <v>0.28718199464953298</v>
      </c>
      <c r="V160" s="9">
        <v>0.21965789619450499</v>
      </c>
      <c r="W160" s="9">
        <v>0.18793260733874201</v>
      </c>
      <c r="X160" s="9">
        <v>0.19469919370168001</v>
      </c>
      <c r="Y160" s="9">
        <v>0.17045550889916</v>
      </c>
      <c r="Z160" s="12">
        <v>0.24</v>
      </c>
      <c r="AA160" s="12">
        <v>0.16257044022638101</v>
      </c>
      <c r="AB160" s="12">
        <f t="shared" si="4"/>
        <v>7.7429559773618983E-2</v>
      </c>
      <c r="AC160" s="14">
        <v>0.17191047654620101</v>
      </c>
      <c r="AD160" s="14">
        <f t="shared" si="5"/>
        <v>6.8089523453798984E-2</v>
      </c>
    </row>
    <row r="161" spans="1:30" ht="15" x14ac:dyDescent="0.2">
      <c r="B161" s="10">
        <v>20</v>
      </c>
      <c r="C161" s="11">
        <v>598</v>
      </c>
      <c r="D161" s="11">
        <v>1</v>
      </c>
      <c r="E161" s="10">
        <v>40</v>
      </c>
      <c r="F161" s="12">
        <v>2.8</v>
      </c>
      <c r="G161" s="10">
        <v>40</v>
      </c>
      <c r="H161" s="10">
        <v>50</v>
      </c>
      <c r="I161" s="9">
        <v>100</v>
      </c>
      <c r="J161" s="10">
        <v>250</v>
      </c>
      <c r="K161" s="11">
        <v>315</v>
      </c>
      <c r="L161" s="12">
        <v>14.72</v>
      </c>
      <c r="M161" s="9">
        <v>0.18769391602333799</v>
      </c>
      <c r="N161" s="9">
        <v>0.20431461906398299</v>
      </c>
      <c r="O161" s="9">
        <v>0.226624967290844</v>
      </c>
      <c r="P161" s="9">
        <v>0.27269814592917901</v>
      </c>
      <c r="Q161" s="9">
        <v>0.247709682246955</v>
      </c>
      <c r="R161" s="9">
        <v>0.30900166095208298</v>
      </c>
      <c r="S161" s="13">
        <v>0.28579784644403539</v>
      </c>
      <c r="T161" s="9">
        <v>0.137264427634532</v>
      </c>
      <c r="U161" s="9">
        <v>0.326938821441695</v>
      </c>
      <c r="V161" s="9">
        <v>0.25382800628511099</v>
      </c>
      <c r="W161" s="9">
        <v>0.23395156543887399</v>
      </c>
      <c r="X161" s="9">
        <v>0.24158172773614101</v>
      </c>
      <c r="Y161" s="9">
        <v>0.214390119496425</v>
      </c>
      <c r="Z161" s="12">
        <v>0.27</v>
      </c>
      <c r="AA161" s="12">
        <v>0.199625798644158</v>
      </c>
      <c r="AB161" s="12">
        <f t="shared" si="4"/>
        <v>7.037420135584202E-2</v>
      </c>
      <c r="AC161" s="14">
        <v>0.21995849770465101</v>
      </c>
      <c r="AD161" s="14">
        <f t="shared" si="5"/>
        <v>5.0041502295349011E-2</v>
      </c>
    </row>
    <row r="162" spans="1:30" ht="15" x14ac:dyDescent="0.2">
      <c r="B162" s="10">
        <v>20</v>
      </c>
      <c r="C162" s="11">
        <v>598</v>
      </c>
      <c r="D162" s="11">
        <v>1</v>
      </c>
      <c r="E162" s="10">
        <v>40</v>
      </c>
      <c r="F162" s="12">
        <v>2.8</v>
      </c>
      <c r="G162" s="10">
        <v>40</v>
      </c>
      <c r="H162" s="10">
        <v>50</v>
      </c>
      <c r="I162" s="9">
        <v>100</v>
      </c>
      <c r="J162" s="10">
        <v>250</v>
      </c>
      <c r="K162" s="11">
        <v>315</v>
      </c>
      <c r="L162" s="12">
        <v>16.579999999999998</v>
      </c>
      <c r="M162" s="9">
        <v>0.21598487207803399</v>
      </c>
      <c r="N162" s="9">
        <v>0.23511080059046499</v>
      </c>
      <c r="O162" s="9">
        <v>0.255261002559932</v>
      </c>
      <c r="P162" s="9">
        <v>0.34596775037385402</v>
      </c>
      <c r="Q162" s="9">
        <v>0.28265610534045099</v>
      </c>
      <c r="R162" s="9">
        <v>0.34804670778434299</v>
      </c>
      <c r="S162" s="13">
        <v>0.32895156186345037</v>
      </c>
      <c r="T162" s="9">
        <v>0.15603288388122899</v>
      </c>
      <c r="U162" s="9">
        <v>0.36825038447712699</v>
      </c>
      <c r="V162" s="9">
        <v>0.28981307962130498</v>
      </c>
      <c r="W162" s="9">
        <v>0.28070421823216002</v>
      </c>
      <c r="X162" s="9">
        <v>0.29128247755303299</v>
      </c>
      <c r="Y162" s="9">
        <v>0.26153408512418203</v>
      </c>
      <c r="Z162" s="12">
        <v>0.28999999999999998</v>
      </c>
      <c r="AA162" s="12">
        <v>0.23813024929056301</v>
      </c>
      <c r="AB162" s="12">
        <f t="shared" si="4"/>
        <v>5.1869750709436974E-2</v>
      </c>
      <c r="AC162" s="14">
        <v>0.26988549175756599</v>
      </c>
      <c r="AD162" s="14">
        <f t="shared" si="5"/>
        <v>2.0114508242433993E-2</v>
      </c>
    </row>
    <row r="163" spans="1:30" ht="15" x14ac:dyDescent="0.2">
      <c r="B163" s="10">
        <v>20</v>
      </c>
      <c r="C163" s="11">
        <v>598</v>
      </c>
      <c r="D163" s="11">
        <v>1</v>
      </c>
      <c r="E163" s="10">
        <v>40</v>
      </c>
      <c r="F163" s="12">
        <v>2.8</v>
      </c>
      <c r="G163" s="10">
        <v>40</v>
      </c>
      <c r="H163" s="10">
        <v>50</v>
      </c>
      <c r="I163" s="9">
        <v>100</v>
      </c>
      <c r="J163" s="10">
        <v>250</v>
      </c>
      <c r="K163" s="11">
        <v>315</v>
      </c>
      <c r="L163" s="12">
        <v>18.350000000000001</v>
      </c>
      <c r="M163" s="9">
        <v>0.24290691090427599</v>
      </c>
      <c r="N163" s="9">
        <v>0.26441684430114898</v>
      </c>
      <c r="O163" s="9">
        <v>0.28251142321922501</v>
      </c>
      <c r="P163" s="9">
        <v>0.42377828820333802</v>
      </c>
      <c r="Q163" s="9">
        <v>0.31591157247780899</v>
      </c>
      <c r="R163" s="9">
        <v>0.385202478156978</v>
      </c>
      <c r="S163" s="13">
        <v>0.37001719427870017</v>
      </c>
      <c r="T163" s="9">
        <v>0.17389318901921499</v>
      </c>
      <c r="U163" s="9">
        <v>0.40756300091406999</v>
      </c>
      <c r="V163" s="9">
        <v>0.32439945549780003</v>
      </c>
      <c r="W163" s="9">
        <v>0.32430026204481099</v>
      </c>
      <c r="X163" s="9">
        <v>0.33951038519894</v>
      </c>
      <c r="Y163" s="9">
        <v>0.3078082002243</v>
      </c>
      <c r="Z163" s="12">
        <v>0.32</v>
      </c>
      <c r="AA163" s="12">
        <v>0.27477158135730401</v>
      </c>
      <c r="AB163" s="12">
        <f t="shared" si="4"/>
        <v>4.5228418642696E-2</v>
      </c>
      <c r="AC163" s="14">
        <v>0.31739666351759799</v>
      </c>
      <c r="AD163" s="14">
        <f t="shared" si="5"/>
        <v>2.6033364824020189E-3</v>
      </c>
    </row>
    <row r="164" spans="1:30" ht="15" x14ac:dyDescent="0.2">
      <c r="B164" s="10">
        <v>20</v>
      </c>
      <c r="C164" s="11">
        <v>598</v>
      </c>
      <c r="D164" s="11">
        <v>1</v>
      </c>
      <c r="E164" s="10">
        <v>40</v>
      </c>
      <c r="F164" s="12">
        <v>2.8</v>
      </c>
      <c r="G164" s="10">
        <v>40</v>
      </c>
      <c r="H164" s="10">
        <v>50</v>
      </c>
      <c r="I164" s="9">
        <v>100</v>
      </c>
      <c r="J164" s="10">
        <v>250</v>
      </c>
      <c r="K164" s="11">
        <v>315</v>
      </c>
      <c r="L164" s="12">
        <v>19.21</v>
      </c>
      <c r="M164" s="9">
        <v>0.25598767553171597</v>
      </c>
      <c r="N164" s="9">
        <v>0.278655938985436</v>
      </c>
      <c r="O164" s="9">
        <v>0.295751740601706</v>
      </c>
      <c r="P164" s="9">
        <v>0.46443110099199603</v>
      </c>
      <c r="Q164" s="9">
        <v>0.33206959605867298</v>
      </c>
      <c r="R164" s="9">
        <v>0.40325556432673298</v>
      </c>
      <c r="S164" s="13">
        <v>0.38996998742961225</v>
      </c>
      <c r="T164" s="9">
        <v>0.18257107739134301</v>
      </c>
      <c r="U164" s="9">
        <v>0.426664046188517</v>
      </c>
      <c r="V164" s="9">
        <v>0.34130165609476498</v>
      </c>
      <c r="W164" s="9">
        <v>0.34519771076126399</v>
      </c>
      <c r="X164" s="9">
        <v>0.363271253344434</v>
      </c>
      <c r="Y164" s="9">
        <v>0.330788485580298</v>
      </c>
      <c r="Z164" s="12">
        <v>0.33</v>
      </c>
      <c r="AA164" s="12">
        <v>0.29257471445187799</v>
      </c>
      <c r="AB164" s="12">
        <f t="shared" si="4"/>
        <v>3.7425285548122023E-2</v>
      </c>
      <c r="AC164" s="14">
        <v>0.34048118764959101</v>
      </c>
      <c r="AD164" s="14">
        <f t="shared" si="5"/>
        <v>-1.0481187649590995E-2</v>
      </c>
    </row>
    <row r="165" spans="1:30" ht="15" x14ac:dyDescent="0.2">
      <c r="A165" s="9" t="s">
        <v>66</v>
      </c>
      <c r="B165" s="10">
        <v>10</v>
      </c>
      <c r="C165" s="11">
        <v>528</v>
      </c>
      <c r="D165" s="11">
        <v>1</v>
      </c>
      <c r="E165" s="10">
        <v>45</v>
      </c>
      <c r="F165" s="12">
        <v>2.8</v>
      </c>
      <c r="G165" s="10">
        <v>40</v>
      </c>
      <c r="H165" s="10">
        <v>45</v>
      </c>
      <c r="I165" s="9">
        <v>100</v>
      </c>
      <c r="J165" s="10">
        <v>350</v>
      </c>
      <c r="K165" s="11">
        <v>78.5</v>
      </c>
      <c r="L165" s="12">
        <v>6.99</v>
      </c>
      <c r="M165" s="9">
        <v>0.16612686256381701</v>
      </c>
      <c r="N165" s="9">
        <v>0.29056052556803103</v>
      </c>
      <c r="O165" s="9">
        <v>0.26142925199470501</v>
      </c>
      <c r="P165" s="9">
        <v>0.171502935220785</v>
      </c>
      <c r="Q165" s="9">
        <v>0.29089804767317201</v>
      </c>
      <c r="R165" s="9">
        <v>0.33890172186871798</v>
      </c>
      <c r="S165" s="13">
        <v>0.22164211078456339</v>
      </c>
      <c r="T165" s="9">
        <v>0.16629907547758799</v>
      </c>
      <c r="U165" s="9">
        <v>0.29784780694114699</v>
      </c>
      <c r="V165" s="9">
        <v>0.31840171066058998</v>
      </c>
      <c r="W165" s="9">
        <v>0.30384449137941399</v>
      </c>
      <c r="X165" s="9">
        <v>0.195503858937085</v>
      </c>
      <c r="Y165" s="9">
        <v>0.17545639935142399</v>
      </c>
      <c r="Z165" s="12">
        <v>0.15</v>
      </c>
      <c r="AA165" s="12">
        <v>0.18861841261242801</v>
      </c>
      <c r="AB165" s="12">
        <f t="shared" si="4"/>
        <v>-3.8618412612428016E-2</v>
      </c>
      <c r="AC165" s="14">
        <v>0.27501332580010401</v>
      </c>
      <c r="AD165" s="14">
        <f t="shared" si="5"/>
        <v>-0.12501332580010402</v>
      </c>
    </row>
    <row r="166" spans="1:30" ht="15" x14ac:dyDescent="0.2">
      <c r="B166" s="10">
        <v>10</v>
      </c>
      <c r="C166" s="11">
        <v>528</v>
      </c>
      <c r="D166" s="11">
        <v>1</v>
      </c>
      <c r="E166" s="10">
        <v>45</v>
      </c>
      <c r="F166" s="12">
        <v>2.8</v>
      </c>
      <c r="G166" s="10">
        <v>40</v>
      </c>
      <c r="H166" s="10">
        <v>45</v>
      </c>
      <c r="I166" s="9">
        <v>100</v>
      </c>
      <c r="J166" s="10">
        <v>350</v>
      </c>
      <c r="K166" s="11">
        <v>78.5</v>
      </c>
      <c r="L166" s="12">
        <v>7.44</v>
      </c>
      <c r="M166" s="9">
        <v>0.20438424701114299</v>
      </c>
      <c r="N166" s="9">
        <v>0.30926613880202503</v>
      </c>
      <c r="O166" s="9">
        <v>0.27825946135058699</v>
      </c>
      <c r="P166" s="9">
        <v>0.19429564972313301</v>
      </c>
      <c r="Q166" s="9">
        <v>0.32823091625474299</v>
      </c>
      <c r="R166" s="9">
        <v>0.36071942928515999</v>
      </c>
      <c r="S166" s="13">
        <v>0.23831851981232305</v>
      </c>
      <c r="T166" s="9">
        <v>0.17827498836625799</v>
      </c>
      <c r="U166" s="9">
        <v>0.317022558460963</v>
      </c>
      <c r="V166" s="9">
        <v>0.344450240033985</v>
      </c>
      <c r="W166" s="9">
        <v>0.33569680133051499</v>
      </c>
      <c r="X166" s="9">
        <v>0.209321704944742</v>
      </c>
      <c r="Y166" s="9">
        <v>0.189058729982165</v>
      </c>
      <c r="Z166" s="12">
        <v>0.19</v>
      </c>
      <c r="AA166" s="12">
        <v>0.20076122887503001</v>
      </c>
      <c r="AB166" s="12">
        <f t="shared" si="4"/>
        <v>-1.0761228875030004E-2</v>
      </c>
      <c r="AC166" s="14">
        <v>0.31156255576653802</v>
      </c>
      <c r="AD166" s="14">
        <f t="shared" si="5"/>
        <v>-0.12156255576653802</v>
      </c>
    </row>
    <row r="167" spans="1:30" ht="15" x14ac:dyDescent="0.2">
      <c r="B167" s="10">
        <v>10</v>
      </c>
      <c r="C167" s="11">
        <v>528</v>
      </c>
      <c r="D167" s="11">
        <v>1</v>
      </c>
      <c r="E167" s="10">
        <v>45</v>
      </c>
      <c r="F167" s="12">
        <v>2.8</v>
      </c>
      <c r="G167" s="10">
        <v>40</v>
      </c>
      <c r="H167" s="10">
        <v>45</v>
      </c>
      <c r="I167" s="9">
        <v>100</v>
      </c>
      <c r="J167" s="10">
        <v>350</v>
      </c>
      <c r="K167" s="11">
        <v>78.5</v>
      </c>
      <c r="L167" s="12">
        <v>7.53</v>
      </c>
      <c r="M167" s="9">
        <v>0.21203572390060799</v>
      </c>
      <c r="N167" s="9">
        <v>0.31300726144882302</v>
      </c>
      <c r="O167" s="9">
        <v>0.281625503221764</v>
      </c>
      <c r="P167" s="9">
        <v>0.19902478258661399</v>
      </c>
      <c r="Q167" s="9">
        <v>0.33569748997105697</v>
      </c>
      <c r="R167" s="9">
        <v>0.36508297076844798</v>
      </c>
      <c r="S167" s="13">
        <v>0.24165380161787503</v>
      </c>
      <c r="T167" s="9">
        <v>0.18067017094399099</v>
      </c>
      <c r="U167" s="9">
        <v>0.32085750876492602</v>
      </c>
      <c r="V167" s="9">
        <v>0.349703575770485</v>
      </c>
      <c r="W167" s="9">
        <v>0.34214094285073698</v>
      </c>
      <c r="X167" s="9">
        <v>0.212094463166285</v>
      </c>
      <c r="Y167" s="9">
        <v>0.19181268270266599</v>
      </c>
      <c r="Z167" s="12">
        <v>0.2</v>
      </c>
      <c r="AA167" s="12">
        <v>0.20318979212755101</v>
      </c>
      <c r="AB167" s="12">
        <f t="shared" si="4"/>
        <v>-3.1897921275509944E-3</v>
      </c>
      <c r="AC167" s="14">
        <v>0.31914595109013499</v>
      </c>
      <c r="AD167" s="14">
        <f t="shared" si="5"/>
        <v>-0.11914595109013498</v>
      </c>
    </row>
    <row r="168" spans="1:30" ht="15" x14ac:dyDescent="0.2">
      <c r="B168" s="10">
        <v>10</v>
      </c>
      <c r="C168" s="11">
        <v>528</v>
      </c>
      <c r="D168" s="11">
        <v>1</v>
      </c>
      <c r="E168" s="10">
        <v>45</v>
      </c>
      <c r="F168" s="12">
        <v>2.8</v>
      </c>
      <c r="G168" s="10">
        <v>40</v>
      </c>
      <c r="H168" s="10">
        <v>45</v>
      </c>
      <c r="I168" s="9">
        <v>100</v>
      </c>
      <c r="J168" s="10">
        <v>350</v>
      </c>
      <c r="K168" s="11">
        <v>78.5</v>
      </c>
      <c r="L168" s="12">
        <v>7.91</v>
      </c>
      <c r="M168" s="9">
        <v>0.24434195965612701</v>
      </c>
      <c r="N168" s="9">
        <v>0.32880311262419598</v>
      </c>
      <c r="O168" s="9">
        <v>0.295837680011176</v>
      </c>
      <c r="P168" s="9">
        <v>0.21961913301830299</v>
      </c>
      <c r="Q168" s="9">
        <v>0.36722302343993801</v>
      </c>
      <c r="R168" s="9">
        <v>0.38350681258677599</v>
      </c>
      <c r="S168" s="13">
        <v>0.25573610257464974</v>
      </c>
      <c r="T168" s="9">
        <v>0.190783164049979</v>
      </c>
      <c r="U168" s="9">
        <v>0.33704952115943798</v>
      </c>
      <c r="V168" s="9">
        <v>0.37202957064007403</v>
      </c>
      <c r="W168" s="9">
        <v>0.36959248283878499</v>
      </c>
      <c r="X168" s="9">
        <v>0.223835433249297</v>
      </c>
      <c r="Y168" s="9">
        <v>0.20356354286723999</v>
      </c>
      <c r="Z168" s="12">
        <v>0.23</v>
      </c>
      <c r="AA168" s="12">
        <v>0.21344372586041499</v>
      </c>
      <c r="AB168" s="12">
        <f t="shared" si="4"/>
        <v>1.655627413958502E-2</v>
      </c>
      <c r="AC168" s="14">
        <v>0.35216999699127699</v>
      </c>
      <c r="AD168" s="14">
        <f t="shared" si="5"/>
        <v>-0.12216999699127698</v>
      </c>
    </row>
    <row r="169" spans="1:30" ht="15" x14ac:dyDescent="0.2">
      <c r="B169" s="10">
        <v>10</v>
      </c>
      <c r="C169" s="11">
        <v>528</v>
      </c>
      <c r="D169" s="11">
        <v>1</v>
      </c>
      <c r="E169" s="10">
        <v>45</v>
      </c>
      <c r="F169" s="12">
        <v>2.8</v>
      </c>
      <c r="G169" s="10">
        <v>40</v>
      </c>
      <c r="H169" s="10">
        <v>45</v>
      </c>
      <c r="I169" s="9">
        <v>100</v>
      </c>
      <c r="J169" s="10">
        <v>350</v>
      </c>
      <c r="K169" s="11">
        <v>78.5</v>
      </c>
      <c r="L169" s="12">
        <v>8.17</v>
      </c>
      <c r="M169" s="9">
        <v>0.26644622622569403</v>
      </c>
      <c r="N169" s="9">
        <v>0.339610800270503</v>
      </c>
      <c r="O169" s="9">
        <v>0.30556180097235203</v>
      </c>
      <c r="P169" s="9">
        <v>0.23429408193512999</v>
      </c>
      <c r="Q169" s="9">
        <v>0.388793125287068</v>
      </c>
      <c r="R169" s="9">
        <v>0.396112599094053</v>
      </c>
      <c r="S169" s="13">
        <v>0.26537136112402199</v>
      </c>
      <c r="T169" s="9">
        <v>0.197702580385655</v>
      </c>
      <c r="U169" s="9">
        <v>0.34812826648199802</v>
      </c>
      <c r="V169" s="9">
        <v>0.38743080156514598</v>
      </c>
      <c r="W169" s="9">
        <v>0.38992850264964901</v>
      </c>
      <c r="X169" s="9">
        <v>0.23463852108924299</v>
      </c>
      <c r="Y169" s="9">
        <v>0.214456589299963</v>
      </c>
      <c r="Z169" s="12">
        <v>0.25</v>
      </c>
      <c r="AA169" s="12">
        <v>0.223197905782135</v>
      </c>
      <c r="AB169" s="12">
        <f t="shared" si="4"/>
        <v>2.6802094217865002E-2</v>
      </c>
      <c r="AC169" s="14">
        <v>0.377154812503042</v>
      </c>
      <c r="AD169" s="14">
        <f t="shared" si="5"/>
        <v>-0.127154812503042</v>
      </c>
    </row>
    <row r="170" spans="1:30" ht="15" x14ac:dyDescent="0.2">
      <c r="B170" s="10">
        <v>10</v>
      </c>
      <c r="C170" s="11">
        <v>528</v>
      </c>
      <c r="D170" s="11">
        <v>1</v>
      </c>
      <c r="E170" s="10">
        <v>45</v>
      </c>
      <c r="F170" s="12">
        <v>2.8</v>
      </c>
      <c r="G170" s="10">
        <v>40</v>
      </c>
      <c r="H170" s="10">
        <v>45</v>
      </c>
      <c r="I170" s="9">
        <v>100</v>
      </c>
      <c r="J170" s="10">
        <v>350</v>
      </c>
      <c r="K170" s="11">
        <v>78.5</v>
      </c>
      <c r="L170" s="12">
        <v>8.4600000000000009</v>
      </c>
      <c r="M170" s="9">
        <v>0.29110098509174798</v>
      </c>
      <c r="N170" s="9">
        <v>0.35166552879907598</v>
      </c>
      <c r="O170" s="9">
        <v>0.31640793589058702</v>
      </c>
      <c r="P170" s="9">
        <v>0.25122215219469302</v>
      </c>
      <c r="Q170" s="9">
        <v>0.412852085039636</v>
      </c>
      <c r="R170" s="9">
        <v>0.41017289942909302</v>
      </c>
      <c r="S170" s="13">
        <v>0.27611838027524493</v>
      </c>
      <c r="T170" s="9">
        <v>0.20542039091390901</v>
      </c>
      <c r="U170" s="9">
        <v>0.360485328572547</v>
      </c>
      <c r="V170" s="9">
        <v>0.404718743820774</v>
      </c>
      <c r="W170" s="9">
        <v>0.41673683085261998</v>
      </c>
      <c r="X170" s="9">
        <v>0.25540204042553599</v>
      </c>
      <c r="Y170" s="9">
        <v>0.23540018910591101</v>
      </c>
      <c r="Z170" s="12">
        <v>0.28000000000000003</v>
      </c>
      <c r="AA170" s="12">
        <v>0.24276133198299499</v>
      </c>
      <c r="AB170" s="12">
        <f t="shared" si="4"/>
        <v>3.7238668017005039E-2</v>
      </c>
      <c r="AC170" s="14">
        <v>0.40994362049156402</v>
      </c>
      <c r="AD170" s="14">
        <f t="shared" si="5"/>
        <v>-0.12994362049156399</v>
      </c>
    </row>
    <row r="171" spans="1:30" ht="15" x14ac:dyDescent="0.2">
      <c r="B171" s="10">
        <v>10</v>
      </c>
      <c r="C171" s="11">
        <v>528</v>
      </c>
      <c r="D171" s="11">
        <v>1</v>
      </c>
      <c r="E171" s="10">
        <v>45</v>
      </c>
      <c r="F171" s="12">
        <v>2.8</v>
      </c>
      <c r="G171" s="10">
        <v>40</v>
      </c>
      <c r="H171" s="10">
        <v>45</v>
      </c>
      <c r="I171" s="9">
        <v>100</v>
      </c>
      <c r="J171" s="10">
        <v>350</v>
      </c>
      <c r="K171" s="11">
        <v>78.5</v>
      </c>
      <c r="L171" s="12">
        <v>8.7200000000000006</v>
      </c>
      <c r="M171" s="9">
        <v>0.31320525166131402</v>
      </c>
      <c r="N171" s="9">
        <v>0.36247321644538399</v>
      </c>
      <c r="O171" s="9">
        <v>0.326132056851764</v>
      </c>
      <c r="P171" s="9">
        <v>0.26690098443294502</v>
      </c>
      <c r="Q171" s="9">
        <v>0.43442218688676498</v>
      </c>
      <c r="R171" s="9">
        <v>0.42277868593637002</v>
      </c>
      <c r="S171" s="13">
        <v>0.28575363882461713</v>
      </c>
      <c r="T171" s="9">
        <v>0.21233980724958501</v>
      </c>
      <c r="U171" s="9">
        <v>0.37156407389510698</v>
      </c>
      <c r="V171" s="9">
        <v>0.420309206858276</v>
      </c>
      <c r="W171" s="9">
        <v>0.44049465646493702</v>
      </c>
      <c r="X171" s="9">
        <v>0.274044647137132</v>
      </c>
      <c r="Y171" s="9">
        <v>0.25427574013583598</v>
      </c>
      <c r="Z171" s="12">
        <v>0.31</v>
      </c>
      <c r="AA171" s="12">
        <v>0.26030095547342103</v>
      </c>
      <c r="AB171" s="12">
        <f t="shared" si="4"/>
        <v>4.9699044526578973E-2</v>
      </c>
      <c r="AC171" s="14">
        <v>0.4393404828261</v>
      </c>
      <c r="AD171" s="14">
        <f t="shared" si="5"/>
        <v>-0.1293404828261</v>
      </c>
    </row>
    <row r="172" spans="1:30" ht="15" x14ac:dyDescent="0.2">
      <c r="B172" s="10">
        <v>10</v>
      </c>
      <c r="C172" s="11">
        <v>528</v>
      </c>
      <c r="D172" s="11">
        <v>1</v>
      </c>
      <c r="E172" s="10">
        <v>45</v>
      </c>
      <c r="F172" s="12">
        <v>2.8</v>
      </c>
      <c r="G172" s="10">
        <v>40</v>
      </c>
      <c r="H172" s="10">
        <v>45</v>
      </c>
      <c r="I172" s="9">
        <v>100</v>
      </c>
      <c r="J172" s="10">
        <v>350</v>
      </c>
      <c r="K172" s="11">
        <v>78.5</v>
      </c>
      <c r="L172" s="12">
        <v>9.0299999999999994</v>
      </c>
      <c r="M172" s="9">
        <v>0.339560338725027</v>
      </c>
      <c r="N172" s="9">
        <v>0.37535930556213498</v>
      </c>
      <c r="O172" s="9">
        <v>0.33772620107470502</v>
      </c>
      <c r="P172" s="9">
        <v>0.28621520812574103</v>
      </c>
      <c r="Q172" s="9">
        <v>0.46014038524295803</v>
      </c>
      <c r="R172" s="9">
        <v>0.43780866215658498</v>
      </c>
      <c r="S172" s="13">
        <v>0.29724183171040697</v>
      </c>
      <c r="T172" s="9">
        <v>0.220589880572891</v>
      </c>
      <c r="U172" s="9">
        <v>0.38477334716431399</v>
      </c>
      <c r="V172" s="9">
        <v>0.43900154772071098</v>
      </c>
      <c r="W172" s="9">
        <v>0.46849395192920501</v>
      </c>
      <c r="X172" s="9">
        <v>0.29630577998567997</v>
      </c>
      <c r="Y172" s="9">
        <v>0.27690295546779398</v>
      </c>
      <c r="Z172" s="12">
        <v>0.36</v>
      </c>
      <c r="AA172" s="12">
        <v>0.28121358348123698</v>
      </c>
      <c r="AB172" s="12">
        <f t="shared" si="4"/>
        <v>7.8786416518763003E-2</v>
      </c>
      <c r="AC172" s="14">
        <v>0.47439058791727901</v>
      </c>
      <c r="AD172" s="14">
        <f t="shared" si="5"/>
        <v>-0.11439058791727902</v>
      </c>
    </row>
    <row r="173" spans="1:30" ht="15" x14ac:dyDescent="0.2">
      <c r="A173" s="9" t="s">
        <v>67</v>
      </c>
      <c r="B173" s="10">
        <v>10</v>
      </c>
      <c r="C173" s="11">
        <v>528</v>
      </c>
      <c r="D173" s="11">
        <v>1</v>
      </c>
      <c r="E173" s="10">
        <v>45</v>
      </c>
      <c r="F173" s="12">
        <v>2.8</v>
      </c>
      <c r="G173" s="10">
        <v>40</v>
      </c>
      <c r="H173" s="10">
        <v>45</v>
      </c>
      <c r="I173" s="9">
        <v>100</v>
      </c>
      <c r="J173" s="10">
        <v>350</v>
      </c>
      <c r="K173" s="11">
        <v>78.5</v>
      </c>
      <c r="L173" s="12">
        <v>6.96</v>
      </c>
      <c r="M173" s="9">
        <v>0.16357637026732899</v>
      </c>
      <c r="N173" s="9">
        <v>0.28931348468576501</v>
      </c>
      <c r="O173" s="9">
        <v>0.26030723803764599</v>
      </c>
      <c r="P173" s="9">
        <v>0.17003396609485399</v>
      </c>
      <c r="Q173" s="9">
        <v>0.288409189767734</v>
      </c>
      <c r="R173" s="9">
        <v>0.33744720804095601</v>
      </c>
      <c r="S173" s="13">
        <v>0.22053035018271278</v>
      </c>
      <c r="T173" s="9">
        <v>0.16550068128501</v>
      </c>
      <c r="U173" s="9">
        <v>0.29656949017315898</v>
      </c>
      <c r="V173" s="9">
        <v>0.316678909995873</v>
      </c>
      <c r="W173" s="9">
        <v>0.30174430777600902</v>
      </c>
      <c r="X173" s="9">
        <v>0.19458539187583701</v>
      </c>
      <c r="Y173" s="9">
        <v>0.17455949926325701</v>
      </c>
      <c r="Z173" s="12">
        <v>0.16</v>
      </c>
      <c r="AA173" s="12">
        <v>0.187808891528254</v>
      </c>
      <c r="AB173" s="12">
        <f t="shared" si="4"/>
        <v>-2.7808891528253998E-2</v>
      </c>
      <c r="AC173" s="14">
        <v>0.27265776212243298</v>
      </c>
      <c r="AD173" s="14">
        <f t="shared" si="5"/>
        <v>-0.11265776212243298</v>
      </c>
    </row>
    <row r="174" spans="1:30" ht="15" x14ac:dyDescent="0.2">
      <c r="B174" s="10">
        <v>10</v>
      </c>
      <c r="C174" s="11">
        <v>528</v>
      </c>
      <c r="D174" s="11">
        <v>1</v>
      </c>
      <c r="E174" s="10">
        <v>45</v>
      </c>
      <c r="F174" s="12">
        <v>2.8</v>
      </c>
      <c r="G174" s="10">
        <v>40</v>
      </c>
      <c r="H174" s="10">
        <v>45</v>
      </c>
      <c r="I174" s="9">
        <v>100</v>
      </c>
      <c r="J174" s="10">
        <v>350</v>
      </c>
      <c r="K174" s="11">
        <v>78.5</v>
      </c>
      <c r="L174" s="12">
        <v>7.26</v>
      </c>
      <c r="M174" s="9">
        <v>0.18908129323221201</v>
      </c>
      <c r="N174" s="9">
        <v>0.30178389350842699</v>
      </c>
      <c r="O174" s="9">
        <v>0.27152737760823398</v>
      </c>
      <c r="P174" s="9">
        <v>0.185007973959182</v>
      </c>
      <c r="Q174" s="9">
        <v>0.31329776882211502</v>
      </c>
      <c r="R174" s="9">
        <v>0.351992346318583</v>
      </c>
      <c r="S174" s="13">
        <v>0.2316479562012192</v>
      </c>
      <c r="T174" s="9">
        <v>0.17348462321079</v>
      </c>
      <c r="U174" s="9">
        <v>0.30935265785303601</v>
      </c>
      <c r="V174" s="9">
        <v>0.33398590180871601</v>
      </c>
      <c r="W174" s="9">
        <v>0.32287988638877002</v>
      </c>
      <c r="X174" s="9">
        <v>0.203785377521669</v>
      </c>
      <c r="Y174" s="9">
        <v>0.18358431113551599</v>
      </c>
      <c r="Z174" s="12">
        <v>0.18</v>
      </c>
      <c r="AA174" s="12">
        <v>0.19590410236998901</v>
      </c>
      <c r="AB174" s="12">
        <f t="shared" si="4"/>
        <v>-1.5904102369989015E-2</v>
      </c>
      <c r="AC174" s="14">
        <v>0.296669314449654</v>
      </c>
      <c r="AD174" s="14">
        <f t="shared" si="5"/>
        <v>-0.116669314449654</v>
      </c>
    </row>
    <row r="175" spans="1:30" ht="15" x14ac:dyDescent="0.2">
      <c r="B175" s="10">
        <v>10</v>
      </c>
      <c r="C175" s="11">
        <v>528</v>
      </c>
      <c r="D175" s="11">
        <v>1</v>
      </c>
      <c r="E175" s="10">
        <v>45</v>
      </c>
      <c r="F175" s="12">
        <v>2.8</v>
      </c>
      <c r="G175" s="10">
        <v>40</v>
      </c>
      <c r="H175" s="10">
        <v>45</v>
      </c>
      <c r="I175" s="9">
        <v>100</v>
      </c>
      <c r="J175" s="10">
        <v>350</v>
      </c>
      <c r="K175" s="11">
        <v>78.5</v>
      </c>
      <c r="L175" s="12">
        <v>7.54</v>
      </c>
      <c r="M175" s="9">
        <v>0.212885887999437</v>
      </c>
      <c r="N175" s="9">
        <v>0.31342294174291202</v>
      </c>
      <c r="O175" s="9">
        <v>0.28199950787411698</v>
      </c>
      <c r="P175" s="9">
        <v>0.19955375187521099</v>
      </c>
      <c r="Q175" s="9">
        <v>0.33652710927287</v>
      </c>
      <c r="R175" s="9">
        <v>0.365567808711035</v>
      </c>
      <c r="S175" s="13">
        <v>0.24202438848515856</v>
      </c>
      <c r="T175" s="9">
        <v>0.180936302341517</v>
      </c>
      <c r="U175" s="9">
        <v>0.32128361435425501</v>
      </c>
      <c r="V175" s="9">
        <v>0.35028812485030603</v>
      </c>
      <c r="W175" s="9">
        <v>0.34285837937506902</v>
      </c>
      <c r="X175" s="9">
        <v>0.21240273648760899</v>
      </c>
      <c r="Y175" s="9">
        <v>0.19211936647396399</v>
      </c>
      <c r="Z175" s="12">
        <v>0.2</v>
      </c>
      <c r="AA175" s="12">
        <v>0.203459632488942</v>
      </c>
      <c r="AB175" s="12">
        <f t="shared" si="4"/>
        <v>-3.4596324889419883E-3</v>
      </c>
      <c r="AC175" s="14">
        <v>0.319994179157578</v>
      </c>
      <c r="AD175" s="14">
        <f t="shared" si="5"/>
        <v>-0.11999417915757798</v>
      </c>
    </row>
    <row r="176" spans="1:30" ht="15" x14ac:dyDescent="0.2">
      <c r="B176" s="10">
        <v>10</v>
      </c>
      <c r="C176" s="11">
        <v>528</v>
      </c>
      <c r="D176" s="11">
        <v>1</v>
      </c>
      <c r="E176" s="10">
        <v>45</v>
      </c>
      <c r="F176" s="12">
        <v>2.8</v>
      </c>
      <c r="G176" s="10">
        <v>40</v>
      </c>
      <c r="H176" s="10">
        <v>45</v>
      </c>
      <c r="I176" s="9">
        <v>100</v>
      </c>
      <c r="J176" s="10">
        <v>350</v>
      </c>
      <c r="K176" s="11">
        <v>78.5</v>
      </c>
      <c r="L176" s="12">
        <v>7.83</v>
      </c>
      <c r="M176" s="9">
        <v>0.23754064686549201</v>
      </c>
      <c r="N176" s="9">
        <v>0.325477670271486</v>
      </c>
      <c r="O176" s="9">
        <v>0.29284564279235198</v>
      </c>
      <c r="P176" s="9">
        <v>0.2151992383388</v>
      </c>
      <c r="Q176" s="9">
        <v>0.36058606902543699</v>
      </c>
      <c r="R176" s="9">
        <v>0.37962810904607502</v>
      </c>
      <c r="S176" s="13">
        <v>0.2527714076363814</v>
      </c>
      <c r="T176" s="9">
        <v>0.18865411286977099</v>
      </c>
      <c r="U176" s="9">
        <v>0.333640676444804</v>
      </c>
      <c r="V176" s="9">
        <v>0.36731062435122003</v>
      </c>
      <c r="W176" s="9">
        <v>0.36378206936139601</v>
      </c>
      <c r="X176" s="9">
        <v>0.22135911228626601</v>
      </c>
      <c r="Y176" s="9">
        <v>0.201073140979631</v>
      </c>
      <c r="Z176" s="12">
        <v>0.23</v>
      </c>
      <c r="AA176" s="12">
        <v>0.21128500296928601</v>
      </c>
      <c r="AB176" s="12">
        <f t="shared" si="4"/>
        <v>1.8714997030713998E-2</v>
      </c>
      <c r="AC176" s="14">
        <v>0.34508248018620502</v>
      </c>
      <c r="AD176" s="14">
        <f t="shared" si="5"/>
        <v>-0.11508248018620501</v>
      </c>
    </row>
    <row r="177" spans="1:30" ht="15" x14ac:dyDescent="0.2">
      <c r="B177" s="10">
        <v>10</v>
      </c>
      <c r="C177" s="11">
        <v>528</v>
      </c>
      <c r="D177" s="11">
        <v>1</v>
      </c>
      <c r="E177" s="10">
        <v>45</v>
      </c>
      <c r="F177" s="12">
        <v>2.8</v>
      </c>
      <c r="G177" s="10">
        <v>40</v>
      </c>
      <c r="H177" s="10">
        <v>45</v>
      </c>
      <c r="I177" s="9">
        <v>100</v>
      </c>
      <c r="J177" s="10">
        <v>350</v>
      </c>
      <c r="K177" s="11">
        <v>78.5</v>
      </c>
      <c r="L177" s="12">
        <v>8.14</v>
      </c>
      <c r="M177" s="9">
        <v>0.26389573392920501</v>
      </c>
      <c r="N177" s="9">
        <v>0.33836375938823698</v>
      </c>
      <c r="O177" s="9">
        <v>0.30443978701529301</v>
      </c>
      <c r="P177" s="9">
        <v>0.23257659903592301</v>
      </c>
      <c r="Q177" s="9">
        <v>0.38630426738162998</v>
      </c>
      <c r="R177" s="9">
        <v>0.39465808526628998</v>
      </c>
      <c r="S177" s="13">
        <v>0.2642596005221714</v>
      </c>
      <c r="T177" s="9">
        <v>0.19690418619307701</v>
      </c>
      <c r="U177" s="9">
        <v>0.34684994971401101</v>
      </c>
      <c r="V177" s="9">
        <v>0.38564884406488897</v>
      </c>
      <c r="W177" s="9">
        <v>0.38713603873811497</v>
      </c>
      <c r="X177" s="9">
        <v>0.23249238592813901</v>
      </c>
      <c r="Y177" s="9">
        <v>0.212296624645614</v>
      </c>
      <c r="Z177" s="12">
        <v>0.24</v>
      </c>
      <c r="AA177" s="12">
        <v>0.22117410307170199</v>
      </c>
      <c r="AB177" s="12">
        <f t="shared" si="4"/>
        <v>1.8825896928298003E-2</v>
      </c>
      <c r="AC177" s="14">
        <v>0.37376286684905702</v>
      </c>
      <c r="AD177" s="14">
        <f t="shared" si="5"/>
        <v>-0.13376286684905703</v>
      </c>
    </row>
    <row r="178" spans="1:30" ht="15" x14ac:dyDescent="0.2">
      <c r="B178" s="10">
        <v>10</v>
      </c>
      <c r="C178" s="11">
        <v>528</v>
      </c>
      <c r="D178" s="11">
        <v>1</v>
      </c>
      <c r="E178" s="10">
        <v>45</v>
      </c>
      <c r="F178" s="12">
        <v>2.8</v>
      </c>
      <c r="G178" s="10">
        <v>40</v>
      </c>
      <c r="H178" s="10">
        <v>45</v>
      </c>
      <c r="I178" s="9">
        <v>100</v>
      </c>
      <c r="J178" s="10">
        <v>350</v>
      </c>
      <c r="K178" s="11">
        <v>78.5</v>
      </c>
      <c r="L178" s="12">
        <v>8.4600000000000009</v>
      </c>
      <c r="M178" s="9">
        <v>0.29110098509174798</v>
      </c>
      <c r="N178" s="9">
        <v>0.35166552879907598</v>
      </c>
      <c r="O178" s="9">
        <v>0.31640793589058702</v>
      </c>
      <c r="P178" s="9">
        <v>0.25122215219469302</v>
      </c>
      <c r="Q178" s="9">
        <v>0.412852085039636</v>
      </c>
      <c r="R178" s="9">
        <v>0.41017289942909302</v>
      </c>
      <c r="S178" s="13">
        <v>0.27611838027524493</v>
      </c>
      <c r="T178" s="9">
        <v>0.20542039091390901</v>
      </c>
      <c r="U178" s="9">
        <v>0.360485328572547</v>
      </c>
      <c r="V178" s="9">
        <v>0.404718743820774</v>
      </c>
      <c r="W178" s="9">
        <v>0.41673683085261998</v>
      </c>
      <c r="X178" s="9">
        <v>0.25540204042553599</v>
      </c>
      <c r="Y178" s="9">
        <v>0.23540018910591101</v>
      </c>
      <c r="Z178" s="12">
        <v>0.25</v>
      </c>
      <c r="AA178" s="12">
        <v>0.24276133198299499</v>
      </c>
      <c r="AB178" s="12">
        <f t="shared" si="4"/>
        <v>7.2386680170050122E-3</v>
      </c>
      <c r="AC178" s="14">
        <v>0.40994362049156402</v>
      </c>
      <c r="AD178" s="14">
        <f t="shared" si="5"/>
        <v>-0.15994362049156402</v>
      </c>
    </row>
    <row r="179" spans="1:30" ht="15" x14ac:dyDescent="0.2">
      <c r="B179" s="10">
        <v>10</v>
      </c>
      <c r="C179" s="11">
        <v>528</v>
      </c>
      <c r="D179" s="11">
        <v>1</v>
      </c>
      <c r="E179" s="10">
        <v>45</v>
      </c>
      <c r="F179" s="12">
        <v>2.8</v>
      </c>
      <c r="G179" s="10">
        <v>40</v>
      </c>
      <c r="H179" s="10">
        <v>45</v>
      </c>
      <c r="I179" s="9">
        <v>100</v>
      </c>
      <c r="J179" s="10">
        <v>350</v>
      </c>
      <c r="K179" s="11">
        <v>78.5</v>
      </c>
      <c r="L179" s="12">
        <v>8.75</v>
      </c>
      <c r="M179" s="9">
        <v>0.31575574395780198</v>
      </c>
      <c r="N179" s="9">
        <v>0.36372025732765001</v>
      </c>
      <c r="O179" s="9">
        <v>0.32725407080882202</v>
      </c>
      <c r="P179" s="9">
        <v>0.268740618169863</v>
      </c>
      <c r="Q179" s="9">
        <v>0.436911044792203</v>
      </c>
      <c r="R179" s="9">
        <v>0.42423319976413298</v>
      </c>
      <c r="S179" s="13">
        <v>0.28686539942646772</v>
      </c>
      <c r="T179" s="9">
        <v>0.213138201442163</v>
      </c>
      <c r="U179" s="9">
        <v>0.37284239066309499</v>
      </c>
      <c r="V179" s="9">
        <v>0.42211334355785002</v>
      </c>
      <c r="W179" s="9">
        <v>0.44321958863481797</v>
      </c>
      <c r="X179" s="9">
        <v>0.27619736209034301</v>
      </c>
      <c r="Y179" s="9">
        <v>0.25645968284540099</v>
      </c>
      <c r="Z179" s="12">
        <v>0.27</v>
      </c>
      <c r="AA179" s="12">
        <v>0.26232475818385498</v>
      </c>
      <c r="AB179" s="12">
        <f t="shared" si="4"/>
        <v>7.6752418161450398E-3</v>
      </c>
      <c r="AC179" s="14">
        <v>0.44273242848008498</v>
      </c>
      <c r="AD179" s="14">
        <f t="shared" si="5"/>
        <v>-0.17273242848008497</v>
      </c>
    </row>
    <row r="180" spans="1:30" ht="15" x14ac:dyDescent="0.2">
      <c r="B180" s="10">
        <v>10</v>
      </c>
      <c r="C180" s="11">
        <v>528</v>
      </c>
      <c r="D180" s="11">
        <v>1</v>
      </c>
      <c r="E180" s="10">
        <v>45</v>
      </c>
      <c r="F180" s="12">
        <v>2.8</v>
      </c>
      <c r="G180" s="10">
        <v>40</v>
      </c>
      <c r="H180" s="10">
        <v>45</v>
      </c>
      <c r="I180" s="9">
        <v>100</v>
      </c>
      <c r="J180" s="10">
        <v>350</v>
      </c>
      <c r="K180" s="11">
        <v>78.5</v>
      </c>
      <c r="L180" s="12">
        <v>9.01</v>
      </c>
      <c r="M180" s="9">
        <v>0.33786001052736803</v>
      </c>
      <c r="N180" s="9">
        <v>0.37452794497395703</v>
      </c>
      <c r="O180" s="9">
        <v>0.33697819176999899</v>
      </c>
      <c r="P180" s="9">
        <v>0.28494877070486602</v>
      </c>
      <c r="Q180" s="9">
        <v>0.45848114663933198</v>
      </c>
      <c r="R180" s="9">
        <v>0.43683898627140999</v>
      </c>
      <c r="S180" s="13">
        <v>0.29650065797583997</v>
      </c>
      <c r="T180" s="9">
        <v>0.220057617777839</v>
      </c>
      <c r="U180" s="9">
        <v>0.38392113598565503</v>
      </c>
      <c r="V180" s="9">
        <v>0.43779235302872099</v>
      </c>
      <c r="W180" s="9">
        <v>0.466697981525936</v>
      </c>
      <c r="X180" s="9">
        <v>0.29486848123440101</v>
      </c>
      <c r="Y180" s="9">
        <v>0.27543913878126097</v>
      </c>
      <c r="Z180" s="12">
        <v>0.28999999999999998</v>
      </c>
      <c r="AA180" s="12">
        <v>0.27986438167428102</v>
      </c>
      <c r="AB180" s="12">
        <f t="shared" si="4"/>
        <v>1.0135618325718965E-2</v>
      </c>
      <c r="AC180" s="14">
        <v>0.47212929081462202</v>
      </c>
      <c r="AD180" s="14">
        <f t="shared" si="5"/>
        <v>-0.18212929081462204</v>
      </c>
    </row>
    <row r="181" spans="1:30" ht="15" x14ac:dyDescent="0.2">
      <c r="A181" s="9" t="s">
        <v>68</v>
      </c>
      <c r="B181" s="10">
        <v>10</v>
      </c>
      <c r="C181" s="11">
        <v>528</v>
      </c>
      <c r="D181" s="11">
        <v>1</v>
      </c>
      <c r="E181" s="10">
        <v>45</v>
      </c>
      <c r="F181" s="12">
        <v>2.8</v>
      </c>
      <c r="G181" s="10">
        <v>40</v>
      </c>
      <c r="H181" s="10">
        <v>45</v>
      </c>
      <c r="I181" s="9">
        <v>100</v>
      </c>
      <c r="J181" s="10">
        <v>350</v>
      </c>
      <c r="K181" s="11">
        <v>78.5</v>
      </c>
      <c r="L181" s="12">
        <v>7.29</v>
      </c>
      <c r="M181" s="9">
        <v>0.191631785528701</v>
      </c>
      <c r="N181" s="9">
        <v>0.30303093439069301</v>
      </c>
      <c r="O181" s="9">
        <v>0.272649391565293</v>
      </c>
      <c r="P181" s="9">
        <v>0.18654012455289501</v>
      </c>
      <c r="Q181" s="9">
        <v>0.31578662672755298</v>
      </c>
      <c r="R181" s="9">
        <v>0.35344686014634602</v>
      </c>
      <c r="S181" s="13">
        <v>0.23275971680306987</v>
      </c>
      <c r="T181" s="9">
        <v>0.17428301740336799</v>
      </c>
      <c r="U181" s="9">
        <v>0.31063097462102401</v>
      </c>
      <c r="V181" s="9">
        <v>0.33572593544947499</v>
      </c>
      <c r="W181" s="9">
        <v>0.325009243972816</v>
      </c>
      <c r="X181" s="9">
        <v>0.20470724792366199</v>
      </c>
      <c r="Y181" s="9">
        <v>0.184493613666036</v>
      </c>
      <c r="Z181" s="12">
        <v>0.15</v>
      </c>
      <c r="AA181" s="12">
        <v>0.19671362345416299</v>
      </c>
      <c r="AB181" s="12">
        <f t="shared" si="4"/>
        <v>-4.6713623454162995E-2</v>
      </c>
      <c r="AC181" s="14">
        <v>0.29912619269410601</v>
      </c>
      <c r="AD181" s="14">
        <f t="shared" si="5"/>
        <v>-0.14912619269410601</v>
      </c>
    </row>
    <row r="182" spans="1:30" ht="15" x14ac:dyDescent="0.2">
      <c r="B182" s="10">
        <v>10</v>
      </c>
      <c r="C182" s="11">
        <v>528</v>
      </c>
      <c r="D182" s="11">
        <v>1</v>
      </c>
      <c r="E182" s="10">
        <v>45</v>
      </c>
      <c r="F182" s="12">
        <v>2.8</v>
      </c>
      <c r="G182" s="10">
        <v>40</v>
      </c>
      <c r="H182" s="10">
        <v>45</v>
      </c>
      <c r="I182" s="9">
        <v>100</v>
      </c>
      <c r="J182" s="10">
        <v>350</v>
      </c>
      <c r="K182" s="11">
        <v>78.5</v>
      </c>
      <c r="L182" s="12">
        <v>7.58</v>
      </c>
      <c r="M182" s="9">
        <v>0.216286544394755</v>
      </c>
      <c r="N182" s="9">
        <v>0.31508566291926698</v>
      </c>
      <c r="O182" s="9">
        <v>0.28349552648352799</v>
      </c>
      <c r="P182" s="9">
        <v>0.20167664919268499</v>
      </c>
      <c r="Q182" s="9">
        <v>0.33984558648011998</v>
      </c>
      <c r="R182" s="9">
        <v>0.36750716048138599</v>
      </c>
      <c r="S182" s="13">
        <v>0.24350673595429273</v>
      </c>
      <c r="T182" s="9">
        <v>0.18200082793162101</v>
      </c>
      <c r="U182" s="9">
        <v>0.322988036711572</v>
      </c>
      <c r="V182" s="9">
        <v>0.35262798637548398</v>
      </c>
      <c r="W182" s="9">
        <v>0.34573092032409197</v>
      </c>
      <c r="X182" s="9">
        <v>0.21363620792187599</v>
      </c>
      <c r="Y182" s="9">
        <v>0.19334747960830401</v>
      </c>
      <c r="Z182" s="12">
        <v>0.16</v>
      </c>
      <c r="AA182" s="12">
        <v>0.204538993934507</v>
      </c>
      <c r="AB182" s="12">
        <f t="shared" si="4"/>
        <v>-4.4538993934506999E-2</v>
      </c>
      <c r="AC182" s="14">
        <v>0.32339834860143701</v>
      </c>
      <c r="AD182" s="14">
        <f t="shared" si="5"/>
        <v>-0.16339834860143701</v>
      </c>
    </row>
    <row r="183" spans="1:30" ht="15" x14ac:dyDescent="0.2">
      <c r="B183" s="10">
        <v>10</v>
      </c>
      <c r="C183" s="11">
        <v>528</v>
      </c>
      <c r="D183" s="11">
        <v>1</v>
      </c>
      <c r="E183" s="10">
        <v>45</v>
      </c>
      <c r="F183" s="12">
        <v>2.8</v>
      </c>
      <c r="G183" s="10">
        <v>40</v>
      </c>
      <c r="H183" s="10">
        <v>45</v>
      </c>
      <c r="I183" s="9">
        <v>100</v>
      </c>
      <c r="J183" s="10">
        <v>350</v>
      </c>
      <c r="K183" s="11">
        <v>78.5</v>
      </c>
      <c r="L183" s="12">
        <v>7.99</v>
      </c>
      <c r="M183" s="9">
        <v>0.25114327244676299</v>
      </c>
      <c r="N183" s="9">
        <v>0.33212855497690502</v>
      </c>
      <c r="O183" s="9">
        <v>0.29882971722999901</v>
      </c>
      <c r="P183" s="9">
        <v>0.22408395674156301</v>
      </c>
      <c r="Q183" s="9">
        <v>0.37385997785443997</v>
      </c>
      <c r="R183" s="9">
        <v>0.38738551612747602</v>
      </c>
      <c r="S183" s="13">
        <v>0.25870079751291819</v>
      </c>
      <c r="T183" s="9">
        <v>0.19291221523018701</v>
      </c>
      <c r="U183" s="9">
        <v>0.34045836587407202</v>
      </c>
      <c r="V183" s="9">
        <v>0.37675804760311299</v>
      </c>
      <c r="W183" s="9">
        <v>0.37541859077877898</v>
      </c>
      <c r="X183" s="9">
        <v>0.226314174365746</v>
      </c>
      <c r="Y183" s="9">
        <v>0.206062764269411</v>
      </c>
      <c r="Z183" s="12">
        <v>0.18</v>
      </c>
      <c r="AA183" s="12">
        <v>0.21560244875154499</v>
      </c>
      <c r="AB183" s="12">
        <f t="shared" si="4"/>
        <v>-3.5602448751545002E-2</v>
      </c>
      <c r="AC183" s="14">
        <v>0.35932955971050401</v>
      </c>
      <c r="AD183" s="14">
        <f t="shared" si="5"/>
        <v>-0.17932955971050402</v>
      </c>
    </row>
    <row r="184" spans="1:30" ht="15" x14ac:dyDescent="0.2">
      <c r="B184" s="10">
        <v>10</v>
      </c>
      <c r="C184" s="11">
        <v>528</v>
      </c>
      <c r="D184" s="11">
        <v>1</v>
      </c>
      <c r="E184" s="10">
        <v>45</v>
      </c>
      <c r="F184" s="12">
        <v>2.8</v>
      </c>
      <c r="G184" s="10">
        <v>40</v>
      </c>
      <c r="H184" s="10">
        <v>45</v>
      </c>
      <c r="I184" s="9">
        <v>100</v>
      </c>
      <c r="J184" s="10">
        <v>350</v>
      </c>
      <c r="K184" s="11">
        <v>78.5</v>
      </c>
      <c r="L184" s="12">
        <v>8.23</v>
      </c>
      <c r="M184" s="9">
        <v>0.27154721081867</v>
      </c>
      <c r="N184" s="9">
        <v>0.34210488203503497</v>
      </c>
      <c r="O184" s="9">
        <v>0.30780582888647001</v>
      </c>
      <c r="P184" s="9">
        <v>0.23774800217387801</v>
      </c>
      <c r="Q184" s="9">
        <v>0.39377084109794402</v>
      </c>
      <c r="R184" s="9">
        <v>0.39902162674957797</v>
      </c>
      <c r="S184" s="13">
        <v>0.26759488232772327</v>
      </c>
      <c r="T184" s="9">
        <v>0.199299368770811</v>
      </c>
      <c r="U184" s="9">
        <v>0.35068490001797398</v>
      </c>
      <c r="V184" s="9">
        <v>0.390998425952224</v>
      </c>
      <c r="W184" s="9">
        <v>0.395502505561457</v>
      </c>
      <c r="X184" s="9">
        <v>0.238931812413675</v>
      </c>
      <c r="Y184" s="9">
        <v>0.21878023934136701</v>
      </c>
      <c r="Z184" s="12">
        <v>0.18</v>
      </c>
      <c r="AA184" s="12">
        <v>0.22724551120300299</v>
      </c>
      <c r="AB184" s="12">
        <f t="shared" si="4"/>
        <v>-4.7245511203002993E-2</v>
      </c>
      <c r="AC184" s="14">
        <v>0.38393870381101203</v>
      </c>
      <c r="AD184" s="14">
        <f t="shared" si="5"/>
        <v>-0.20393870381101203</v>
      </c>
    </row>
    <row r="185" spans="1:30" ht="15" x14ac:dyDescent="0.2">
      <c r="B185" s="10">
        <v>10</v>
      </c>
      <c r="C185" s="11">
        <v>528</v>
      </c>
      <c r="D185" s="11">
        <v>1</v>
      </c>
      <c r="E185" s="10">
        <v>45</v>
      </c>
      <c r="F185" s="12">
        <v>2.8</v>
      </c>
      <c r="G185" s="10">
        <v>40</v>
      </c>
      <c r="H185" s="10">
        <v>45</v>
      </c>
      <c r="I185" s="9">
        <v>100</v>
      </c>
      <c r="J185" s="10">
        <v>350</v>
      </c>
      <c r="K185" s="11">
        <v>78.5</v>
      </c>
      <c r="L185" s="12">
        <v>8.4600000000000009</v>
      </c>
      <c r="M185" s="9">
        <v>0.29110098509174798</v>
      </c>
      <c r="N185" s="9">
        <v>0.35166552879907598</v>
      </c>
      <c r="O185" s="9">
        <v>0.31640793589058702</v>
      </c>
      <c r="P185" s="9">
        <v>0.25122215219469302</v>
      </c>
      <c r="Q185" s="9">
        <v>0.412852085039636</v>
      </c>
      <c r="R185" s="9">
        <v>0.41017289942909302</v>
      </c>
      <c r="S185" s="13">
        <v>0.27611838027524493</v>
      </c>
      <c r="T185" s="9">
        <v>0.20542039091390901</v>
      </c>
      <c r="U185" s="9">
        <v>0.360485328572547</v>
      </c>
      <c r="V185" s="9">
        <v>0.404718743820774</v>
      </c>
      <c r="W185" s="9">
        <v>0.41673683085261998</v>
      </c>
      <c r="X185" s="9">
        <v>0.25540204042553599</v>
      </c>
      <c r="Y185" s="9">
        <v>0.23540018910591101</v>
      </c>
      <c r="Z185" s="12">
        <v>0.19</v>
      </c>
      <c r="AA185" s="12">
        <v>0.24276133198299499</v>
      </c>
      <c r="AB185" s="12">
        <f t="shared" si="4"/>
        <v>-5.2761331982994986E-2</v>
      </c>
      <c r="AC185" s="14">
        <v>0.40994362049156402</v>
      </c>
      <c r="AD185" s="14">
        <f t="shared" si="5"/>
        <v>-0.21994362049156402</v>
      </c>
    </row>
    <row r="186" spans="1:30" ht="15" x14ac:dyDescent="0.2">
      <c r="B186" s="10">
        <v>10</v>
      </c>
      <c r="C186" s="11">
        <v>528</v>
      </c>
      <c r="D186" s="11">
        <v>1</v>
      </c>
      <c r="E186" s="10">
        <v>45</v>
      </c>
      <c r="F186" s="12">
        <v>2.8</v>
      </c>
      <c r="G186" s="10">
        <v>40</v>
      </c>
      <c r="H186" s="10">
        <v>45</v>
      </c>
      <c r="I186" s="9">
        <v>100</v>
      </c>
      <c r="J186" s="10">
        <v>350</v>
      </c>
      <c r="K186" s="11">
        <v>78.5</v>
      </c>
      <c r="L186" s="12">
        <v>8.7100000000000009</v>
      </c>
      <c r="M186" s="9">
        <v>0.31235508756248498</v>
      </c>
      <c r="N186" s="9">
        <v>0.36205753615129499</v>
      </c>
      <c r="O186" s="9">
        <v>0.32575805219941101</v>
      </c>
      <c r="P186" s="9">
        <v>0.26628917721992301</v>
      </c>
      <c r="Q186" s="9">
        <v>0.43359256758495202</v>
      </c>
      <c r="R186" s="9">
        <v>0.422293847993782</v>
      </c>
      <c r="S186" s="13">
        <v>0.28538305195733366</v>
      </c>
      <c r="T186" s="9">
        <v>0.212073675852059</v>
      </c>
      <c r="U186" s="9">
        <v>0.371137968305778</v>
      </c>
      <c r="V186" s="9">
        <v>0.41970806320999698</v>
      </c>
      <c r="W186" s="9">
        <v>0.43958560367808602</v>
      </c>
      <c r="X186" s="9">
        <v>0.27332715111585698</v>
      </c>
      <c r="Y186" s="9">
        <v>0.25354803484247801</v>
      </c>
      <c r="Z186" s="12">
        <v>0.2</v>
      </c>
      <c r="AA186" s="12">
        <v>0.25962635456994299</v>
      </c>
      <c r="AB186" s="12">
        <f t="shared" si="4"/>
        <v>-5.9626354569942974E-2</v>
      </c>
      <c r="AC186" s="14">
        <v>0.438209834274772</v>
      </c>
      <c r="AD186" s="14">
        <f t="shared" si="5"/>
        <v>-0.23820983427477199</v>
      </c>
    </row>
    <row r="187" spans="1:30" ht="15" x14ac:dyDescent="0.2">
      <c r="B187" s="10">
        <v>10</v>
      </c>
      <c r="C187" s="11">
        <v>528</v>
      </c>
      <c r="D187" s="11">
        <v>1</v>
      </c>
      <c r="E187" s="10">
        <v>45</v>
      </c>
      <c r="F187" s="12">
        <v>2.8</v>
      </c>
      <c r="G187" s="10">
        <v>40</v>
      </c>
      <c r="H187" s="10">
        <v>45</v>
      </c>
      <c r="I187" s="9">
        <v>100</v>
      </c>
      <c r="J187" s="10">
        <v>350</v>
      </c>
      <c r="K187" s="11">
        <v>78.5</v>
      </c>
      <c r="L187" s="12">
        <v>9.0399999999999991</v>
      </c>
      <c r="M187" s="9">
        <v>0.34041050282385699</v>
      </c>
      <c r="N187" s="9">
        <v>0.37577498585622399</v>
      </c>
      <c r="O187" s="9">
        <v>0.33810020572705801</v>
      </c>
      <c r="P187" s="9">
        <v>0.28684947986064102</v>
      </c>
      <c r="Q187" s="9">
        <v>0.46097000454477099</v>
      </c>
      <c r="R187" s="9">
        <v>0.43829350009917201</v>
      </c>
      <c r="S187" s="13">
        <v>0.29761241857769066</v>
      </c>
      <c r="T187" s="9">
        <v>0.22085601197041699</v>
      </c>
      <c r="U187" s="9">
        <v>0.38519945275364298</v>
      </c>
      <c r="V187" s="9">
        <v>0.43960630775763299</v>
      </c>
      <c r="W187" s="9">
        <v>0.46939140643553101</v>
      </c>
      <c r="X187" s="9">
        <v>0.297024486083666</v>
      </c>
      <c r="Y187" s="9">
        <v>0.277635070518433</v>
      </c>
      <c r="Z187" s="12">
        <v>0.22</v>
      </c>
      <c r="AA187" s="12">
        <v>0.28188818438471502</v>
      </c>
      <c r="AB187" s="12">
        <f t="shared" si="4"/>
        <v>-6.1888184384715023E-2</v>
      </c>
      <c r="AC187" s="14">
        <v>0.475521236468607</v>
      </c>
      <c r="AD187" s="14">
        <f t="shared" si="5"/>
        <v>-0.25552123646860703</v>
      </c>
    </row>
    <row r="188" spans="1:30" ht="15" x14ac:dyDescent="0.2">
      <c r="A188" s="9" t="s">
        <v>69</v>
      </c>
      <c r="B188" s="10">
        <v>20</v>
      </c>
      <c r="C188" s="11">
        <v>598</v>
      </c>
      <c r="D188" s="11">
        <v>1</v>
      </c>
      <c r="E188" s="10">
        <v>40</v>
      </c>
      <c r="F188" s="12">
        <v>2.8</v>
      </c>
      <c r="G188" s="10">
        <v>40</v>
      </c>
      <c r="H188" s="10">
        <v>50</v>
      </c>
      <c r="I188" s="9">
        <v>100</v>
      </c>
      <c r="J188" s="10">
        <v>350</v>
      </c>
      <c r="K188" s="11">
        <v>315</v>
      </c>
      <c r="L188" s="12">
        <v>18.98</v>
      </c>
      <c r="M188" s="9">
        <v>0.176217506045446</v>
      </c>
      <c r="N188" s="9">
        <v>0.17479495534935299</v>
      </c>
      <c r="O188" s="9">
        <v>0.189875768539394</v>
      </c>
      <c r="P188" s="9">
        <v>0.19142813392713301</v>
      </c>
      <c r="Q188" s="9">
        <v>0.19112255277280901</v>
      </c>
      <c r="R188" s="9">
        <v>0.236849510941297</v>
      </c>
      <c r="S188" s="13">
        <v>0.20546221501774403</v>
      </c>
      <c r="T188" s="9">
        <v>0.127785822655367</v>
      </c>
      <c r="U188" s="9">
        <v>0.24461058238608499</v>
      </c>
      <c r="V188" s="9">
        <v>0.22483633288707</v>
      </c>
      <c r="W188" s="9">
        <v>0.186594506410794</v>
      </c>
      <c r="X188" s="9">
        <v>0.191852759584552</v>
      </c>
      <c r="Y188" s="9">
        <v>0.168591935645754</v>
      </c>
      <c r="Z188" s="12">
        <v>0.16</v>
      </c>
      <c r="AA188" s="12">
        <v>0.16250526374056301</v>
      </c>
      <c r="AB188" s="12">
        <f t="shared" si="4"/>
        <v>-2.5052637405630074E-3</v>
      </c>
      <c r="AC188" s="14">
        <v>0.168972235980417</v>
      </c>
      <c r="AD188" s="14">
        <f t="shared" si="5"/>
        <v>-8.9722359804169927E-3</v>
      </c>
    </row>
    <row r="189" spans="1:30" ht="15" x14ac:dyDescent="0.2">
      <c r="B189" s="10">
        <v>20</v>
      </c>
      <c r="C189" s="11">
        <v>598</v>
      </c>
      <c r="D189" s="11">
        <v>1</v>
      </c>
      <c r="E189" s="10">
        <v>40</v>
      </c>
      <c r="F189" s="12">
        <v>2.8</v>
      </c>
      <c r="G189" s="10">
        <v>40</v>
      </c>
      <c r="H189" s="10">
        <v>50</v>
      </c>
      <c r="I189" s="9">
        <v>100</v>
      </c>
      <c r="J189" s="10">
        <v>350</v>
      </c>
      <c r="K189" s="11">
        <v>315</v>
      </c>
      <c r="L189" s="12">
        <v>21.93</v>
      </c>
      <c r="M189" s="9">
        <v>0.21295822122347299</v>
      </c>
      <c r="N189" s="9">
        <v>0.21123907383205501</v>
      </c>
      <c r="O189" s="9">
        <v>0.21938754499836199</v>
      </c>
      <c r="P189" s="9">
        <v>0.25555866628532897</v>
      </c>
      <c r="Q189" s="9">
        <v>0.22730456924435199</v>
      </c>
      <c r="R189" s="9">
        <v>0.27366226422247902</v>
      </c>
      <c r="S189" s="13">
        <v>0.24507473604570415</v>
      </c>
      <c r="T189" s="9">
        <v>0.14966742924837001</v>
      </c>
      <c r="U189" s="9">
        <v>0.28262961389498698</v>
      </c>
      <c r="V189" s="9">
        <v>0.26412783228245501</v>
      </c>
      <c r="W189" s="9">
        <v>0.24006864749370699</v>
      </c>
      <c r="X189" s="9">
        <v>0.244952983036345</v>
      </c>
      <c r="Y189" s="9">
        <v>0.21838505609595399</v>
      </c>
      <c r="Z189" s="12">
        <v>0.2</v>
      </c>
      <c r="AA189" s="12">
        <v>0.20529664584009599</v>
      </c>
      <c r="AB189" s="12">
        <f t="shared" si="4"/>
        <v>-5.2966458400959815E-3</v>
      </c>
      <c r="AC189" s="14">
        <v>0.224457901760169</v>
      </c>
      <c r="AD189" s="14">
        <f t="shared" si="5"/>
        <v>-2.4457901760168987E-2</v>
      </c>
    </row>
    <row r="190" spans="1:30" ht="15" x14ac:dyDescent="0.2">
      <c r="B190" s="10">
        <v>20</v>
      </c>
      <c r="C190" s="11">
        <v>598</v>
      </c>
      <c r="D190" s="11">
        <v>1</v>
      </c>
      <c r="E190" s="10">
        <v>40</v>
      </c>
      <c r="F190" s="12">
        <v>2.8</v>
      </c>
      <c r="G190" s="10">
        <v>40</v>
      </c>
      <c r="H190" s="10">
        <v>50</v>
      </c>
      <c r="I190" s="9">
        <v>100</v>
      </c>
      <c r="J190" s="10">
        <v>350</v>
      </c>
      <c r="K190" s="11">
        <v>315</v>
      </c>
      <c r="L190" s="12">
        <v>24.87</v>
      </c>
      <c r="M190" s="9">
        <v>0.24957439160428599</v>
      </c>
      <c r="N190" s="9">
        <v>0.24755965293007001</v>
      </c>
      <c r="O190" s="9">
        <v>0.24879928153712999</v>
      </c>
      <c r="P190" s="9">
        <v>0.32867367449457502</v>
      </c>
      <c r="Q190" s="9">
        <v>0.26336393481260301</v>
      </c>
      <c r="R190" s="9">
        <v>0.31035022850948701</v>
      </c>
      <c r="S190" s="13">
        <v>0.28455297734136625</v>
      </c>
      <c r="T190" s="9">
        <v>0.17147486090377101</v>
      </c>
      <c r="U190" s="9">
        <v>0.32051976733097698</v>
      </c>
      <c r="V190" s="9">
        <v>0.303886873241901</v>
      </c>
      <c r="W190" s="9">
        <v>0.29208157766276899</v>
      </c>
      <c r="X190" s="9">
        <v>0.29894367910291297</v>
      </c>
      <c r="Y190" s="9">
        <v>0.26963032580470098</v>
      </c>
      <c r="Z190" s="12">
        <v>0.23</v>
      </c>
      <c r="AA190" s="12">
        <v>0.24794297240708699</v>
      </c>
      <c r="AB190" s="12">
        <f t="shared" si="4"/>
        <v>-1.7942972407086977E-2</v>
      </c>
      <c r="AC190" s="14">
        <v>0.279755480537276</v>
      </c>
      <c r="AD190" s="14">
        <f t="shared" si="5"/>
        <v>-4.9755480537275992E-2</v>
      </c>
    </row>
    <row r="191" spans="1:30" ht="15" x14ac:dyDescent="0.2">
      <c r="A191" s="9" t="s">
        <v>70</v>
      </c>
      <c r="B191" s="10">
        <v>20</v>
      </c>
      <c r="C191" s="11">
        <v>598</v>
      </c>
      <c r="D191" s="11">
        <v>1</v>
      </c>
      <c r="E191" s="10">
        <v>40</v>
      </c>
      <c r="F191" s="12">
        <v>2.8</v>
      </c>
      <c r="G191" s="10">
        <v>40</v>
      </c>
      <c r="H191" s="10">
        <v>50</v>
      </c>
      <c r="I191" s="9">
        <v>100</v>
      </c>
      <c r="J191" s="10">
        <v>350</v>
      </c>
      <c r="K191" s="11">
        <v>315</v>
      </c>
      <c r="L191" s="12">
        <v>18.98</v>
      </c>
      <c r="M191" s="9">
        <v>0.176217506045446</v>
      </c>
      <c r="N191" s="9">
        <v>0.17479495534935299</v>
      </c>
      <c r="O191" s="9">
        <v>0.189875768539394</v>
      </c>
      <c r="P191" s="9">
        <v>0.19142813392713301</v>
      </c>
      <c r="Q191" s="9">
        <v>0.19112255277280901</v>
      </c>
      <c r="R191" s="9">
        <v>0.236849510941297</v>
      </c>
      <c r="S191" s="13">
        <v>0.20546221501774403</v>
      </c>
      <c r="T191" s="9">
        <v>0.127785822655367</v>
      </c>
      <c r="U191" s="9">
        <v>0.24461058238608499</v>
      </c>
      <c r="V191" s="9">
        <v>0.22483633288707</v>
      </c>
      <c r="W191" s="9">
        <v>0.186594506410794</v>
      </c>
      <c r="X191" s="9">
        <v>0.191852759584552</v>
      </c>
      <c r="Y191" s="9">
        <v>0.168591935645754</v>
      </c>
      <c r="Z191" s="12">
        <v>0.14000000000000001</v>
      </c>
      <c r="AA191" s="12">
        <v>0.16250526374056301</v>
      </c>
      <c r="AB191" s="12">
        <f t="shared" si="4"/>
        <v>-2.2505263740562997E-2</v>
      </c>
      <c r="AC191" s="14">
        <v>0.168972235980417</v>
      </c>
      <c r="AD191" s="14">
        <f t="shared" si="5"/>
        <v>-2.8972235980416983E-2</v>
      </c>
    </row>
    <row r="192" spans="1:30" ht="15" x14ac:dyDescent="0.2">
      <c r="B192" s="10">
        <v>20</v>
      </c>
      <c r="C192" s="11">
        <v>598</v>
      </c>
      <c r="D192" s="11">
        <v>1</v>
      </c>
      <c r="E192" s="10">
        <v>40</v>
      </c>
      <c r="F192" s="12">
        <v>2.8</v>
      </c>
      <c r="G192" s="10">
        <v>40</v>
      </c>
      <c r="H192" s="10">
        <v>50</v>
      </c>
      <c r="I192" s="9">
        <v>100</v>
      </c>
      <c r="J192" s="10">
        <v>350</v>
      </c>
      <c r="K192" s="11">
        <v>315</v>
      </c>
      <c r="L192" s="12">
        <v>21.89</v>
      </c>
      <c r="M192" s="9">
        <v>0.21246004203461799</v>
      </c>
      <c r="N192" s="9">
        <v>0.21074491629330599</v>
      </c>
      <c r="O192" s="9">
        <v>0.21898738531756201</v>
      </c>
      <c r="P192" s="9">
        <v>0.25462724595282998</v>
      </c>
      <c r="Q192" s="9">
        <v>0.226813965631179</v>
      </c>
      <c r="R192" s="9">
        <v>0.27316310824578499</v>
      </c>
      <c r="S192" s="13">
        <v>0.24453761711651154</v>
      </c>
      <c r="T192" s="9">
        <v>0.14937072949795699</v>
      </c>
      <c r="U192" s="9">
        <v>0.28211410160334099</v>
      </c>
      <c r="V192" s="9">
        <v>0.26359058792613799</v>
      </c>
      <c r="W192" s="9">
        <v>0.23935254963546901</v>
      </c>
      <c r="X192" s="9">
        <v>0.24422578441956699</v>
      </c>
      <c r="Y192" s="9">
        <v>0.217698999389944</v>
      </c>
      <c r="Z192" s="12">
        <v>0.17</v>
      </c>
      <c r="AA192" s="12">
        <v>0.20471642370993301</v>
      </c>
      <c r="AB192" s="12">
        <f t="shared" si="4"/>
        <v>-3.4716423709932998E-2</v>
      </c>
      <c r="AC192" s="14">
        <v>0.223705553749596</v>
      </c>
      <c r="AD192" s="14">
        <f t="shared" si="5"/>
        <v>-5.3705553749595986E-2</v>
      </c>
    </row>
    <row r="193" spans="1:30" ht="15" x14ac:dyDescent="0.2">
      <c r="B193" s="10">
        <v>20</v>
      </c>
      <c r="C193" s="11">
        <v>598</v>
      </c>
      <c r="D193" s="11">
        <v>1</v>
      </c>
      <c r="E193" s="10">
        <v>40</v>
      </c>
      <c r="F193" s="12">
        <v>2.8</v>
      </c>
      <c r="G193" s="10">
        <v>40</v>
      </c>
      <c r="H193" s="10">
        <v>50</v>
      </c>
      <c r="I193" s="9">
        <v>100</v>
      </c>
      <c r="J193" s="10">
        <v>350</v>
      </c>
      <c r="K193" s="11">
        <v>315</v>
      </c>
      <c r="L193" s="12">
        <v>24.82</v>
      </c>
      <c r="M193" s="9">
        <v>0.24895166761821799</v>
      </c>
      <c r="N193" s="9">
        <v>0.24694195600663399</v>
      </c>
      <c r="O193" s="9">
        <v>0.24829908193613001</v>
      </c>
      <c r="P193" s="9">
        <v>0.32735343612391499</v>
      </c>
      <c r="Q193" s="9">
        <v>0.26275068029613602</v>
      </c>
      <c r="R193" s="9">
        <v>0.30972628353861897</v>
      </c>
      <c r="S193" s="13">
        <v>0.2838815786798754</v>
      </c>
      <c r="T193" s="9">
        <v>0.17110398621575401</v>
      </c>
      <c r="U193" s="9">
        <v>0.31987537696641899</v>
      </c>
      <c r="V193" s="9">
        <v>0.303206648058924</v>
      </c>
      <c r="W193" s="9">
        <v>0.29120680859703202</v>
      </c>
      <c r="X193" s="9">
        <v>0.29801653732023697</v>
      </c>
      <c r="Y193" s="9">
        <v>0.26874528153003902</v>
      </c>
      <c r="Z193" s="12">
        <v>0.21</v>
      </c>
      <c r="AA193" s="12">
        <v>0.24721769474438299</v>
      </c>
      <c r="AB193" s="12">
        <f t="shared" si="4"/>
        <v>-3.7217694744382995E-2</v>
      </c>
      <c r="AC193" s="14">
        <v>0.27881504552406</v>
      </c>
      <c r="AD193" s="14">
        <f t="shared" si="5"/>
        <v>-6.8815045524060009E-2</v>
      </c>
    </row>
    <row r="194" spans="1:30" ht="15" x14ac:dyDescent="0.2">
      <c r="A194" s="9" t="s">
        <v>71</v>
      </c>
      <c r="B194" s="10">
        <v>20</v>
      </c>
      <c r="C194" s="11">
        <v>598</v>
      </c>
      <c r="D194" s="11">
        <v>1</v>
      </c>
      <c r="E194" s="10">
        <v>40</v>
      </c>
      <c r="F194" s="12">
        <v>2.8</v>
      </c>
      <c r="G194" s="10">
        <v>40</v>
      </c>
      <c r="H194" s="10">
        <v>50</v>
      </c>
      <c r="I194" s="9">
        <v>100</v>
      </c>
      <c r="J194" s="10">
        <v>350</v>
      </c>
      <c r="K194" s="11">
        <v>315</v>
      </c>
      <c r="L194" s="12">
        <v>13.02</v>
      </c>
      <c r="M194" s="9">
        <v>0.10198880690610999</v>
      </c>
      <c r="N194" s="9">
        <v>0.101165482075826</v>
      </c>
      <c r="O194" s="9">
        <v>0.13025197610025799</v>
      </c>
      <c r="P194" s="9">
        <v>9.0081439601391797E-2</v>
      </c>
      <c r="Q194" s="9">
        <v>0.11802261440996099</v>
      </c>
      <c r="R194" s="9">
        <v>0.16247527041389301</v>
      </c>
      <c r="S194" s="13">
        <v>0.12543149456803462</v>
      </c>
      <c r="T194" s="9">
        <v>8.3577559843738894E-2</v>
      </c>
      <c r="U194" s="9">
        <v>0.16779925093081299</v>
      </c>
      <c r="V194" s="9">
        <v>0.14852557129246</v>
      </c>
      <c r="W194" s="9">
        <v>7.6052166346253294E-2</v>
      </c>
      <c r="X194" s="9">
        <v>8.7855053581016002E-2</v>
      </c>
      <c r="Y194" s="9">
        <v>7.2963774529797104E-2</v>
      </c>
      <c r="Z194" s="12">
        <v>0.21</v>
      </c>
      <c r="AA194" s="12">
        <v>7.6052166346253294E-2</v>
      </c>
      <c r="AB194" s="12">
        <f t="shared" si="4"/>
        <v>0.13394783365374668</v>
      </c>
      <c r="AC194" s="14">
        <v>7.6052166346253294E-2</v>
      </c>
      <c r="AD194" s="14">
        <f t="shared" si="5"/>
        <v>0.13394783365374668</v>
      </c>
    </row>
    <row r="195" spans="1:30" ht="15" x14ac:dyDescent="0.2">
      <c r="B195" s="10">
        <v>20</v>
      </c>
      <c r="C195" s="11">
        <v>598</v>
      </c>
      <c r="D195" s="11">
        <v>1</v>
      </c>
      <c r="E195" s="10">
        <v>40</v>
      </c>
      <c r="F195" s="12">
        <v>2.8</v>
      </c>
      <c r="G195" s="10">
        <v>40</v>
      </c>
      <c r="H195" s="10">
        <v>50</v>
      </c>
      <c r="I195" s="9">
        <v>100</v>
      </c>
      <c r="J195" s="10">
        <v>350</v>
      </c>
      <c r="K195" s="11">
        <v>315</v>
      </c>
      <c r="L195" s="12">
        <v>16.059999999999999</v>
      </c>
      <c r="M195" s="9">
        <v>0.13985042525906</v>
      </c>
      <c r="N195" s="9">
        <v>0.13872145502071201</v>
      </c>
      <c r="O195" s="9">
        <v>0.160664111841025</v>
      </c>
      <c r="P195" s="9">
        <v>0.137058013048421</v>
      </c>
      <c r="Q195" s="9">
        <v>0.155308489011145</v>
      </c>
      <c r="R195" s="9">
        <v>0.200411124642636</v>
      </c>
      <c r="S195" s="13">
        <v>0.1662525331866784</v>
      </c>
      <c r="T195" s="9">
        <v>0.106126740875173</v>
      </c>
      <c r="U195" s="9">
        <v>0.206978185095918</v>
      </c>
      <c r="V195" s="9">
        <v>0.18678749152515101</v>
      </c>
      <c r="W195" s="9">
        <v>0.132224669266714</v>
      </c>
      <c r="X195" s="9">
        <v>0.140352119488591</v>
      </c>
      <c r="Y195" s="9">
        <v>0.120909632013457</v>
      </c>
      <c r="Z195" s="12">
        <v>0.25</v>
      </c>
      <c r="AA195" s="12">
        <v>0.12014904823865299</v>
      </c>
      <c r="AB195" s="12">
        <f t="shared" ref="AB195:AB258" si="6">Z195-AA195</f>
        <v>0.12985095176134701</v>
      </c>
      <c r="AC195" s="14">
        <v>0.12014904823865299</v>
      </c>
      <c r="AD195" s="14">
        <f t="shared" ref="AD195:AD258" si="7">Z195-AC195</f>
        <v>0.12985095176134701</v>
      </c>
    </row>
    <row r="196" spans="1:30" ht="15" x14ac:dyDescent="0.2">
      <c r="B196" s="10">
        <v>20</v>
      </c>
      <c r="C196" s="11">
        <v>598</v>
      </c>
      <c r="D196" s="11">
        <v>1</v>
      </c>
      <c r="E196" s="10">
        <v>40</v>
      </c>
      <c r="F196" s="12">
        <v>2.8</v>
      </c>
      <c r="G196" s="10">
        <v>40</v>
      </c>
      <c r="H196" s="10">
        <v>50</v>
      </c>
      <c r="I196" s="9">
        <v>100</v>
      </c>
      <c r="J196" s="10">
        <v>350</v>
      </c>
      <c r="K196" s="11">
        <v>315</v>
      </c>
      <c r="L196" s="12">
        <v>18.93</v>
      </c>
      <c r="M196" s="9">
        <v>0.17559478205937801</v>
      </c>
      <c r="N196" s="9">
        <v>0.174177258425917</v>
      </c>
      <c r="O196" s="9">
        <v>0.189375568938394</v>
      </c>
      <c r="P196" s="9">
        <v>0.19042088424647899</v>
      </c>
      <c r="Q196" s="9">
        <v>0.190509298256342</v>
      </c>
      <c r="R196" s="9">
        <v>0.23622556597043001</v>
      </c>
      <c r="S196" s="13">
        <v>0.20479081635625315</v>
      </c>
      <c r="T196" s="9">
        <v>0.12741494796735001</v>
      </c>
      <c r="U196" s="9">
        <v>0.243966192021528</v>
      </c>
      <c r="V196" s="9">
        <v>0.22417685738802101</v>
      </c>
      <c r="W196" s="9">
        <v>0.185676091786764</v>
      </c>
      <c r="X196" s="9">
        <v>0.19096202846079499</v>
      </c>
      <c r="Y196" s="9">
        <v>0.16776202536760201</v>
      </c>
      <c r="Z196" s="12">
        <v>0.28999999999999998</v>
      </c>
      <c r="AA196" s="12">
        <v>0.16177998607785901</v>
      </c>
      <c r="AB196" s="12">
        <f t="shared" si="6"/>
        <v>0.12822001392214097</v>
      </c>
      <c r="AC196" s="14">
        <v>0.16803180096720099</v>
      </c>
      <c r="AD196" s="14">
        <f t="shared" si="7"/>
        <v>0.12196819903279899</v>
      </c>
    </row>
    <row r="197" spans="1:30" ht="15" x14ac:dyDescent="0.2">
      <c r="B197" s="10">
        <v>20</v>
      </c>
      <c r="C197" s="11">
        <v>598</v>
      </c>
      <c r="D197" s="11">
        <v>1</v>
      </c>
      <c r="E197" s="10">
        <v>40</v>
      </c>
      <c r="F197" s="12">
        <v>2.8</v>
      </c>
      <c r="G197" s="10">
        <v>40</v>
      </c>
      <c r="H197" s="10">
        <v>50</v>
      </c>
      <c r="I197" s="9">
        <v>100</v>
      </c>
      <c r="J197" s="10">
        <v>350</v>
      </c>
      <c r="K197" s="11">
        <v>315</v>
      </c>
      <c r="L197" s="12">
        <v>21.81</v>
      </c>
      <c r="M197" s="9">
        <v>0.21146368365690901</v>
      </c>
      <c r="N197" s="9">
        <v>0.209756601215809</v>
      </c>
      <c r="O197" s="9">
        <v>0.21818706595596299</v>
      </c>
      <c r="P197" s="9">
        <v>0.25276950663150599</v>
      </c>
      <c r="Q197" s="9">
        <v>0.225832758404832</v>
      </c>
      <c r="R197" s="9">
        <v>0.27216479629239698</v>
      </c>
      <c r="S197" s="13">
        <v>0.24346337925812608</v>
      </c>
      <c r="T197" s="9">
        <v>0.148777329997129</v>
      </c>
      <c r="U197" s="9">
        <v>0.28108307702004798</v>
      </c>
      <c r="V197" s="9">
        <v>0.26251642996351698</v>
      </c>
      <c r="W197" s="9">
        <v>0.23791964376894101</v>
      </c>
      <c r="X197" s="9">
        <v>0.24277198063647701</v>
      </c>
      <c r="Y197" s="9">
        <v>0.216327784596543</v>
      </c>
      <c r="Z197" s="12">
        <v>0.33</v>
      </c>
      <c r="AA197" s="12">
        <v>0.20355597944960599</v>
      </c>
      <c r="AB197" s="12">
        <f t="shared" si="6"/>
        <v>0.12644402055039403</v>
      </c>
      <c r="AC197" s="14">
        <v>0.22220085772845</v>
      </c>
      <c r="AD197" s="14">
        <f t="shared" si="7"/>
        <v>0.10779914227155002</v>
      </c>
    </row>
    <row r="198" spans="1:30" ht="15" x14ac:dyDescent="0.2">
      <c r="B198" s="10">
        <v>20</v>
      </c>
      <c r="C198" s="11">
        <v>598</v>
      </c>
      <c r="D198" s="11">
        <v>1</v>
      </c>
      <c r="E198" s="10">
        <v>40</v>
      </c>
      <c r="F198" s="12">
        <v>2.8</v>
      </c>
      <c r="G198" s="10">
        <v>40</v>
      </c>
      <c r="H198" s="10">
        <v>50</v>
      </c>
      <c r="I198" s="9">
        <v>100</v>
      </c>
      <c r="J198" s="10">
        <v>350</v>
      </c>
      <c r="K198" s="11">
        <v>315</v>
      </c>
      <c r="L198" s="12">
        <v>25.88</v>
      </c>
      <c r="M198" s="9">
        <v>0.26215341612286402</v>
      </c>
      <c r="N198" s="9">
        <v>0.26003713078346902</v>
      </c>
      <c r="O198" s="9">
        <v>0.25890331347731899</v>
      </c>
      <c r="P198" s="9">
        <v>0.35591139567956698</v>
      </c>
      <c r="Q198" s="9">
        <v>0.27575167604523299</v>
      </c>
      <c r="R198" s="9">
        <v>0.32295391692101</v>
      </c>
      <c r="S198" s="13">
        <v>0.29811523030348142</v>
      </c>
      <c r="T198" s="9">
        <v>0.178966529601714</v>
      </c>
      <c r="U198" s="9">
        <v>0.33353645269504101</v>
      </c>
      <c r="V198" s="9">
        <v>0.31765372618775101</v>
      </c>
      <c r="W198" s="9">
        <v>0.30968334049108698</v>
      </c>
      <c r="X198" s="9">
        <v>0.31773812520370398</v>
      </c>
      <c r="Y198" s="9">
        <v>0.28760843485007198</v>
      </c>
      <c r="Z198" s="12">
        <v>0.37</v>
      </c>
      <c r="AA198" s="12">
        <v>0.26259358119370702</v>
      </c>
      <c r="AB198" s="12">
        <f t="shared" si="6"/>
        <v>0.10740641880629298</v>
      </c>
      <c r="AC198" s="14">
        <v>0.29875226780424202</v>
      </c>
      <c r="AD198" s="14">
        <f t="shared" si="7"/>
        <v>7.1247732195757973E-2</v>
      </c>
    </row>
    <row r="199" spans="1:30" ht="15" x14ac:dyDescent="0.2">
      <c r="A199" s="9" t="s">
        <v>72</v>
      </c>
      <c r="B199" s="10">
        <v>20</v>
      </c>
      <c r="C199" s="11">
        <v>430</v>
      </c>
      <c r="D199" s="11">
        <v>6</v>
      </c>
      <c r="E199" s="10">
        <v>84</v>
      </c>
      <c r="F199" s="12">
        <v>3.50882128585544</v>
      </c>
      <c r="G199" s="10">
        <v>50</v>
      </c>
      <c r="H199" s="10">
        <v>64</v>
      </c>
      <c r="I199" s="9">
        <v>600</v>
      </c>
      <c r="J199" s="10">
        <v>400</v>
      </c>
      <c r="K199" s="11">
        <v>1884</v>
      </c>
      <c r="L199" s="12">
        <v>103</v>
      </c>
      <c r="M199" s="9">
        <v>0.13165888294920999</v>
      </c>
      <c r="N199" s="9">
        <v>0.14372200877992899</v>
      </c>
      <c r="O199" s="9">
        <v>0.18553423573636599</v>
      </c>
      <c r="P199" s="9">
        <v>0.10264414564050101</v>
      </c>
      <c r="Q199" s="9">
        <v>0.179451072883797</v>
      </c>
      <c r="R199" s="9">
        <v>0.24579967428747099</v>
      </c>
      <c r="S199" s="13">
        <v>0.17786549892396145</v>
      </c>
      <c r="T199" s="9">
        <v>0.224629446763633</v>
      </c>
      <c r="U199" s="9">
        <v>0.23457569596147701</v>
      </c>
      <c r="V199" s="9">
        <v>0.20920701261145</v>
      </c>
      <c r="W199" s="9">
        <v>0.125813798183188</v>
      </c>
      <c r="X199" s="9">
        <v>0.120265049160711</v>
      </c>
      <c r="Y199" s="9">
        <v>0.102380106993648</v>
      </c>
      <c r="Z199" s="12">
        <v>0.15</v>
      </c>
      <c r="AA199" s="12">
        <v>0.111129674723574</v>
      </c>
      <c r="AB199" s="12">
        <f t="shared" si="6"/>
        <v>3.887032527642599E-2</v>
      </c>
      <c r="AC199" s="14">
        <v>0.111129674723574</v>
      </c>
      <c r="AD199" s="14">
        <f t="shared" si="7"/>
        <v>3.887032527642599E-2</v>
      </c>
    </row>
    <row r="200" spans="1:30" ht="15" x14ac:dyDescent="0.2">
      <c r="B200" s="10">
        <v>20</v>
      </c>
      <c r="C200" s="11">
        <v>430</v>
      </c>
      <c r="D200" s="11">
        <v>6</v>
      </c>
      <c r="E200" s="10">
        <v>84</v>
      </c>
      <c r="F200" s="12">
        <v>3.50882128585544</v>
      </c>
      <c r="G200" s="10">
        <v>50</v>
      </c>
      <c r="H200" s="10">
        <v>64</v>
      </c>
      <c r="I200" s="9">
        <v>600</v>
      </c>
      <c r="J200" s="10">
        <v>400</v>
      </c>
      <c r="K200" s="11">
        <v>1884</v>
      </c>
      <c r="L200" s="12">
        <v>129</v>
      </c>
      <c r="M200" s="9">
        <v>0.19201766444682</v>
      </c>
      <c r="N200" s="9">
        <v>0.19235738777105399</v>
      </c>
      <c r="O200" s="9">
        <v>0.23236812048535099</v>
      </c>
      <c r="P200" s="9">
        <v>0.16100492295254701</v>
      </c>
      <c r="Q200" s="9">
        <v>0.239795384227068</v>
      </c>
      <c r="R200" s="9">
        <v>0.30784619401052199</v>
      </c>
      <c r="S200" s="13">
        <v>0.2364393163909069</v>
      </c>
      <c r="T200" s="9">
        <v>0.29310374580479798</v>
      </c>
      <c r="U200" s="9">
        <v>0.29378897843718899</v>
      </c>
      <c r="V200" s="9">
        <v>0.268901148196938</v>
      </c>
      <c r="W200" s="9">
        <v>0.202345757337866</v>
      </c>
      <c r="X200" s="9">
        <v>0.17575873483822799</v>
      </c>
      <c r="Y200" s="9">
        <v>0.15471417112529001</v>
      </c>
      <c r="Z200" s="12">
        <v>0.23</v>
      </c>
      <c r="AA200" s="12">
        <v>0.158125712265201</v>
      </c>
      <c r="AB200" s="12">
        <f t="shared" si="6"/>
        <v>7.1874287734799008E-2</v>
      </c>
      <c r="AC200" s="14">
        <v>0.174471933181406</v>
      </c>
      <c r="AD200" s="14">
        <f t="shared" si="7"/>
        <v>5.5528066818594013E-2</v>
      </c>
    </row>
    <row r="201" spans="1:30" ht="15" x14ac:dyDescent="0.2">
      <c r="B201" s="10">
        <v>20</v>
      </c>
      <c r="C201" s="11">
        <v>430</v>
      </c>
      <c r="D201" s="11">
        <v>6</v>
      </c>
      <c r="E201" s="10">
        <v>84</v>
      </c>
      <c r="F201" s="12">
        <v>3.50882128585544</v>
      </c>
      <c r="G201" s="10">
        <v>50</v>
      </c>
      <c r="H201" s="10">
        <v>64</v>
      </c>
      <c r="I201" s="9">
        <v>600</v>
      </c>
      <c r="J201" s="10">
        <v>400</v>
      </c>
      <c r="K201" s="11">
        <v>1884</v>
      </c>
      <c r="L201" s="12">
        <v>155</v>
      </c>
      <c r="M201" s="9">
        <v>0.25237644594443098</v>
      </c>
      <c r="N201" s="9">
        <v>0.25282295780791703</v>
      </c>
      <c r="O201" s="9">
        <v>0.27920200523433703</v>
      </c>
      <c r="P201" s="9">
        <v>0.23244656414487999</v>
      </c>
      <c r="Q201" s="9">
        <v>0.30013969557033898</v>
      </c>
      <c r="R201" s="9">
        <v>0.36989271373357302</v>
      </c>
      <c r="S201" s="13">
        <v>0.29501313385785227</v>
      </c>
      <c r="T201" s="9">
        <v>0.36157804484596401</v>
      </c>
      <c r="U201" s="9">
        <v>0.35300226091290199</v>
      </c>
      <c r="V201" s="9">
        <v>0.33118720341248098</v>
      </c>
      <c r="W201" s="9">
        <v>0.29560609196196502</v>
      </c>
      <c r="X201" s="9">
        <v>0.255466222048711</v>
      </c>
      <c r="Y201" s="9">
        <v>0.233224637584662</v>
      </c>
      <c r="Z201" s="12">
        <v>0.28000000000000003</v>
      </c>
      <c r="AA201" s="12">
        <v>0.22825608951794199</v>
      </c>
      <c r="AB201" s="12">
        <f t="shared" si="6"/>
        <v>5.1743910482058036E-2</v>
      </c>
      <c r="AC201" s="14">
        <v>0.27340361669998903</v>
      </c>
      <c r="AD201" s="14">
        <f t="shared" si="7"/>
        <v>6.5963833000109995E-3</v>
      </c>
    </row>
    <row r="202" spans="1:30" ht="15" x14ac:dyDescent="0.2">
      <c r="A202" s="9" t="s">
        <v>73</v>
      </c>
      <c r="B202" s="10">
        <v>20</v>
      </c>
      <c r="C202" s="11">
        <v>430</v>
      </c>
      <c r="D202" s="11">
        <v>9</v>
      </c>
      <c r="E202" s="10">
        <v>45</v>
      </c>
      <c r="F202" s="12">
        <v>3.50882128585544</v>
      </c>
      <c r="G202" s="10">
        <v>50</v>
      </c>
      <c r="H202" s="10">
        <v>64</v>
      </c>
      <c r="I202" s="9">
        <v>600</v>
      </c>
      <c r="J202" s="10">
        <v>400</v>
      </c>
      <c r="K202" s="11">
        <v>2826</v>
      </c>
      <c r="L202" s="12">
        <v>149</v>
      </c>
      <c r="M202" s="9">
        <v>0.12272095972411499</v>
      </c>
      <c r="N202" s="9">
        <v>0.13790150792584999</v>
      </c>
      <c r="O202" s="9">
        <v>0.15058108016807401</v>
      </c>
      <c r="P202" s="9">
        <v>0.10035281057140499</v>
      </c>
      <c r="Q202" s="9">
        <v>0.12925750125388699</v>
      </c>
      <c r="R202" s="9">
        <v>0.18565179539027399</v>
      </c>
      <c r="S202" s="13">
        <v>0.15413191430588713</v>
      </c>
      <c r="T202" s="9">
        <v>0.225804041833643</v>
      </c>
      <c r="U202" s="9">
        <v>0.204748911485644</v>
      </c>
      <c r="V202" s="9">
        <v>0.186546425242539</v>
      </c>
      <c r="W202" s="9">
        <v>0.12664621369553999</v>
      </c>
      <c r="X202" s="9">
        <v>0.13326835397273501</v>
      </c>
      <c r="Y202" s="9">
        <v>0.118511858986488</v>
      </c>
      <c r="Z202" s="12">
        <v>0.18</v>
      </c>
      <c r="AA202" s="12">
        <v>0.117948216713536</v>
      </c>
      <c r="AB202" s="12">
        <f t="shared" si="6"/>
        <v>6.2051783286463991E-2</v>
      </c>
      <c r="AC202" s="14">
        <v>0.117948216713536</v>
      </c>
      <c r="AD202" s="14">
        <f t="shared" si="7"/>
        <v>6.2051783286463991E-2</v>
      </c>
    </row>
    <row r="203" spans="1:30" ht="15" x14ac:dyDescent="0.2">
      <c r="B203" s="10">
        <v>20</v>
      </c>
      <c r="C203" s="11">
        <v>430</v>
      </c>
      <c r="D203" s="11">
        <v>9</v>
      </c>
      <c r="E203" s="10">
        <v>45</v>
      </c>
      <c r="F203" s="12">
        <v>3.50882128585544</v>
      </c>
      <c r="G203" s="10">
        <v>50</v>
      </c>
      <c r="H203" s="10">
        <v>64</v>
      </c>
      <c r="I203" s="9">
        <v>600</v>
      </c>
      <c r="J203" s="10">
        <v>400</v>
      </c>
      <c r="K203" s="11">
        <v>2826</v>
      </c>
      <c r="L203" s="12">
        <v>186</v>
      </c>
      <c r="M203" s="9">
        <v>0.16718299484634599</v>
      </c>
      <c r="N203" s="9">
        <v>0.18786348428743899</v>
      </c>
      <c r="O203" s="9">
        <v>0.18797369739101799</v>
      </c>
      <c r="P203" s="9">
        <v>0.15638060603253501</v>
      </c>
      <c r="Q203" s="9">
        <v>0.16816215707854101</v>
      </c>
      <c r="R203" s="9">
        <v>0.23175324793685201</v>
      </c>
      <c r="S203" s="13">
        <v>0.20432803056054702</v>
      </c>
      <c r="T203" s="9">
        <v>0.29196389196838601</v>
      </c>
      <c r="U203" s="9">
        <v>0.255592600914965</v>
      </c>
      <c r="V203" s="9">
        <v>0.237903729489362</v>
      </c>
      <c r="W203" s="9">
        <v>0.199790074582708</v>
      </c>
      <c r="X203" s="9">
        <v>0.19942267457808899</v>
      </c>
      <c r="Y203" s="9">
        <v>0.18298393159302101</v>
      </c>
      <c r="Z203" s="12">
        <v>0.26</v>
      </c>
      <c r="AA203" s="12">
        <v>0.17512939694084201</v>
      </c>
      <c r="AB203" s="12">
        <f t="shared" si="6"/>
        <v>8.4870603059158001E-2</v>
      </c>
      <c r="AC203" s="14">
        <v>0.183096151984949</v>
      </c>
      <c r="AD203" s="14">
        <f t="shared" si="7"/>
        <v>7.6903848015051013E-2</v>
      </c>
    </row>
    <row r="204" spans="1:30" ht="15" x14ac:dyDescent="0.2">
      <c r="B204" s="10">
        <v>20</v>
      </c>
      <c r="C204" s="11">
        <v>430</v>
      </c>
      <c r="D204" s="11">
        <v>9</v>
      </c>
      <c r="E204" s="10">
        <v>45</v>
      </c>
      <c r="F204" s="12">
        <v>3.50882128585544</v>
      </c>
      <c r="G204" s="10">
        <v>50</v>
      </c>
      <c r="H204" s="10">
        <v>64</v>
      </c>
      <c r="I204" s="9">
        <v>600</v>
      </c>
      <c r="J204" s="10">
        <v>400</v>
      </c>
      <c r="K204" s="11">
        <v>2826</v>
      </c>
      <c r="L204" s="12">
        <v>223</v>
      </c>
      <c r="M204" s="9">
        <v>0.21164502996857701</v>
      </c>
      <c r="N204" s="9">
        <v>0.23782546064902799</v>
      </c>
      <c r="O204" s="9">
        <v>0.225366314613963</v>
      </c>
      <c r="P204" s="9">
        <v>0.22478469064030299</v>
      </c>
      <c r="Q204" s="9">
        <v>0.20706681290319501</v>
      </c>
      <c r="R204" s="9">
        <v>0.27785470048342997</v>
      </c>
      <c r="S204" s="13">
        <v>0.2545241468152068</v>
      </c>
      <c r="T204" s="9">
        <v>0.35812374210312797</v>
      </c>
      <c r="U204" s="9">
        <v>0.30643629034428599</v>
      </c>
      <c r="V204" s="9">
        <v>0.29069074460348099</v>
      </c>
      <c r="W204" s="9">
        <v>0.27047497509120899</v>
      </c>
      <c r="X204" s="9">
        <v>0.26658652764766999</v>
      </c>
      <c r="Y204" s="9">
        <v>0.25030099686860302</v>
      </c>
      <c r="Z204" s="12">
        <v>0.34</v>
      </c>
      <c r="AA204" s="12">
        <v>0.23231057716814801</v>
      </c>
      <c r="AB204" s="12">
        <f t="shared" si="6"/>
        <v>0.10768942283185201</v>
      </c>
      <c r="AC204" s="14">
        <v>0.256757858163567</v>
      </c>
      <c r="AD204" s="14">
        <f t="shared" si="7"/>
        <v>8.3242141836433026E-2</v>
      </c>
    </row>
    <row r="205" spans="1:30" ht="15" x14ac:dyDescent="0.2">
      <c r="A205" s="9" t="s">
        <v>74</v>
      </c>
      <c r="B205" s="10">
        <v>16</v>
      </c>
      <c r="C205" s="11">
        <v>528</v>
      </c>
      <c r="D205" s="11">
        <v>2</v>
      </c>
      <c r="E205" s="10">
        <v>52</v>
      </c>
      <c r="F205" s="12">
        <v>3.42</v>
      </c>
      <c r="G205" s="10">
        <v>27</v>
      </c>
      <c r="H205" s="10">
        <v>35</v>
      </c>
      <c r="I205" s="9">
        <v>150</v>
      </c>
      <c r="J205" s="10">
        <v>235</v>
      </c>
      <c r="K205" s="11">
        <v>402</v>
      </c>
      <c r="L205" s="12">
        <v>16.675000000000001</v>
      </c>
      <c r="M205" s="9">
        <v>0.12947798925127499</v>
      </c>
      <c r="N205" s="9">
        <v>0.13159532895532</v>
      </c>
      <c r="O205" s="9">
        <v>0.179901478557426</v>
      </c>
      <c r="P205" s="9">
        <v>0.150210926096571</v>
      </c>
      <c r="Q205" s="9">
        <v>0.137940338610545</v>
      </c>
      <c r="R205" s="9">
        <v>0.20888642052178399</v>
      </c>
      <c r="S205" s="13">
        <v>0.18248254585084533</v>
      </c>
      <c r="T205" s="9">
        <v>0.11757562159328901</v>
      </c>
      <c r="U205" s="9">
        <v>0.18625897406775499</v>
      </c>
      <c r="V205" s="9">
        <v>0.169804779513575</v>
      </c>
      <c r="W205" s="9">
        <v>0.143249451345174</v>
      </c>
      <c r="X205" s="9">
        <v>0.14302412460246799</v>
      </c>
      <c r="Y205" s="9">
        <v>0.120902138327171</v>
      </c>
      <c r="Z205" s="12">
        <v>0.15</v>
      </c>
      <c r="AA205" s="12">
        <v>0.11752778194930601</v>
      </c>
      <c r="AB205" s="12">
        <f t="shared" si="6"/>
        <v>3.2472218050693988E-2</v>
      </c>
      <c r="AC205" s="14">
        <v>0.131790213495005</v>
      </c>
      <c r="AD205" s="14">
        <f t="shared" si="7"/>
        <v>1.8209786504994996E-2</v>
      </c>
    </row>
    <row r="206" spans="1:30" ht="15" x14ac:dyDescent="0.2">
      <c r="B206" s="10">
        <v>16</v>
      </c>
      <c r="C206" s="11">
        <v>528</v>
      </c>
      <c r="D206" s="11">
        <v>2</v>
      </c>
      <c r="E206" s="10">
        <v>52</v>
      </c>
      <c r="F206" s="12">
        <v>3.42</v>
      </c>
      <c r="G206" s="10">
        <v>27</v>
      </c>
      <c r="H206" s="10">
        <v>35</v>
      </c>
      <c r="I206" s="9">
        <v>150</v>
      </c>
      <c r="J206" s="10">
        <v>235</v>
      </c>
      <c r="K206" s="11">
        <v>402</v>
      </c>
      <c r="L206" s="12">
        <v>22.425000000000001</v>
      </c>
      <c r="M206" s="9">
        <v>0.188279507963272</v>
      </c>
      <c r="N206" s="9">
        <v>0.191358422611036</v>
      </c>
      <c r="O206" s="9">
        <v>0.241936471163435</v>
      </c>
      <c r="P206" s="9">
        <v>0.27166565825551098</v>
      </c>
      <c r="Q206" s="9">
        <v>0.19307532494670299</v>
      </c>
      <c r="R206" s="9">
        <v>0.28091622070171002</v>
      </c>
      <c r="S206" s="13">
        <v>0.25833366229443655</v>
      </c>
      <c r="T206" s="9">
        <v>0.16222730427256299</v>
      </c>
      <c r="U206" s="9">
        <v>0.25048620650491199</v>
      </c>
      <c r="V206" s="9">
        <v>0.23585124009634201</v>
      </c>
      <c r="W206" s="9">
        <v>0.233178206680414</v>
      </c>
      <c r="X206" s="9">
        <v>0.236817207569647</v>
      </c>
      <c r="Y206" s="9">
        <v>0.20622831537365699</v>
      </c>
      <c r="Z206" s="12">
        <v>0.19</v>
      </c>
      <c r="AA206" s="12">
        <v>0.18941639586178199</v>
      </c>
      <c r="AB206" s="12">
        <f t="shared" si="6"/>
        <v>5.8360413821800794E-4</v>
      </c>
      <c r="AC206" s="14">
        <v>0.22950476895125499</v>
      </c>
      <c r="AD206" s="14">
        <f t="shared" si="7"/>
        <v>-3.9504768951254987E-2</v>
      </c>
    </row>
    <row r="207" spans="1:30" ht="15" x14ac:dyDescent="0.2">
      <c r="B207" s="10">
        <v>16</v>
      </c>
      <c r="C207" s="11">
        <v>528</v>
      </c>
      <c r="D207" s="11">
        <v>2</v>
      </c>
      <c r="E207" s="10">
        <v>52</v>
      </c>
      <c r="F207" s="12">
        <v>3.42</v>
      </c>
      <c r="G207" s="10">
        <v>27</v>
      </c>
      <c r="H207" s="10">
        <v>35</v>
      </c>
      <c r="I207" s="9">
        <v>150</v>
      </c>
      <c r="J207" s="10">
        <v>235</v>
      </c>
      <c r="K207" s="11">
        <v>402</v>
      </c>
      <c r="L207" s="12">
        <v>25.875</v>
      </c>
      <c r="M207" s="9">
        <v>0.22356041919047001</v>
      </c>
      <c r="N207" s="9">
        <v>0.22721627880446599</v>
      </c>
      <c r="O207" s="9">
        <v>0.279157466727041</v>
      </c>
      <c r="P207" s="9">
        <v>0.36168504797331402</v>
      </c>
      <c r="Q207" s="9">
        <v>0.22615631674839801</v>
      </c>
      <c r="R207" s="9">
        <v>0.32413410080966498</v>
      </c>
      <c r="S207" s="13">
        <v>0.3038443321605912</v>
      </c>
      <c r="T207" s="9">
        <v>0.18901831388012699</v>
      </c>
      <c r="U207" s="9">
        <v>0.289022545967207</v>
      </c>
      <c r="V207" s="9">
        <v>0.27640110225150499</v>
      </c>
      <c r="W207" s="9">
        <v>0.28464232881562901</v>
      </c>
      <c r="X207" s="9">
        <v>0.29539172791340601</v>
      </c>
      <c r="Y207" s="9">
        <v>0.26044531193243597</v>
      </c>
      <c r="Z207" s="12">
        <v>0.22</v>
      </c>
      <c r="AA207" s="12">
        <v>0.23254956420926701</v>
      </c>
      <c r="AB207" s="12">
        <f t="shared" si="6"/>
        <v>-1.2549564209267006E-2</v>
      </c>
      <c r="AC207" s="14">
        <v>0.288133502225005</v>
      </c>
      <c r="AD207" s="14">
        <f t="shared" si="7"/>
        <v>-6.8133502225004999E-2</v>
      </c>
    </row>
    <row r="208" spans="1:30" ht="15" x14ac:dyDescent="0.2">
      <c r="B208" s="10">
        <v>16</v>
      </c>
      <c r="C208" s="11">
        <v>528</v>
      </c>
      <c r="D208" s="11">
        <v>2</v>
      </c>
      <c r="E208" s="10">
        <v>52</v>
      </c>
      <c r="F208" s="12">
        <v>3.42</v>
      </c>
      <c r="G208" s="10">
        <v>27</v>
      </c>
      <c r="H208" s="10">
        <v>35</v>
      </c>
      <c r="I208" s="9">
        <v>150</v>
      </c>
      <c r="J208" s="10">
        <v>235</v>
      </c>
      <c r="K208" s="11">
        <v>402</v>
      </c>
      <c r="L208" s="12">
        <v>28.75</v>
      </c>
      <c r="M208" s="9">
        <v>0.25296117854646899</v>
      </c>
      <c r="N208" s="9">
        <v>0.25709782563232397</v>
      </c>
      <c r="O208" s="9">
        <v>0.31017496303004499</v>
      </c>
      <c r="P208" s="9">
        <v>0.44652475058433799</v>
      </c>
      <c r="Q208" s="9">
        <v>0.25372380991647703</v>
      </c>
      <c r="R208" s="9">
        <v>0.36014900089962798</v>
      </c>
      <c r="S208" s="13">
        <v>0.34176989038238681</v>
      </c>
      <c r="T208" s="9">
        <v>0.21134415521976299</v>
      </c>
      <c r="U208" s="9">
        <v>0.321136162185785</v>
      </c>
      <c r="V208" s="9">
        <v>0.310535722690367</v>
      </c>
      <c r="W208" s="9">
        <v>0.32639390825709202</v>
      </c>
      <c r="X208" s="9">
        <v>0.34552077487684901</v>
      </c>
      <c r="Y208" s="9">
        <v>0.30735708998348898</v>
      </c>
      <c r="Z208" s="12">
        <v>0.22</v>
      </c>
      <c r="AA208" s="12">
        <v>0.26849387116550399</v>
      </c>
      <c r="AB208" s="12">
        <f t="shared" si="6"/>
        <v>-4.8493871165503993E-2</v>
      </c>
      <c r="AC208" s="14">
        <v>0.33699077995312998</v>
      </c>
      <c r="AD208" s="14">
        <f t="shared" si="7"/>
        <v>-0.11699077995312998</v>
      </c>
    </row>
    <row r="209" spans="1:30" ht="15" x14ac:dyDescent="0.2">
      <c r="B209" s="10">
        <v>16</v>
      </c>
      <c r="C209" s="11">
        <v>528</v>
      </c>
      <c r="D209" s="11">
        <v>2</v>
      </c>
      <c r="E209" s="10">
        <v>52</v>
      </c>
      <c r="F209" s="12">
        <v>3.42</v>
      </c>
      <c r="G209" s="10">
        <v>27</v>
      </c>
      <c r="H209" s="10">
        <v>35</v>
      </c>
      <c r="I209" s="9">
        <v>150</v>
      </c>
      <c r="J209" s="10">
        <v>235</v>
      </c>
      <c r="K209" s="11">
        <v>402</v>
      </c>
      <c r="L209" s="12">
        <v>33.35</v>
      </c>
      <c r="M209" s="9">
        <v>0.300002393516067</v>
      </c>
      <c r="N209" s="9">
        <v>0.30490830055689599</v>
      </c>
      <c r="O209" s="9">
        <v>0.35980295711485299</v>
      </c>
      <c r="P209" s="9">
        <v>0.60084370438628498</v>
      </c>
      <c r="Q209" s="9">
        <v>0.29783179898540302</v>
      </c>
      <c r="R209" s="9">
        <v>0.41777284104356799</v>
      </c>
      <c r="S209" s="13">
        <v>0.40245078353725966</v>
      </c>
      <c r="T209" s="9">
        <v>0.24706550136318201</v>
      </c>
      <c r="U209" s="9">
        <v>0.37251794813551098</v>
      </c>
      <c r="V209" s="9">
        <v>0.36562331792327701</v>
      </c>
      <c r="W209" s="9">
        <v>0.39144595830437301</v>
      </c>
      <c r="X209" s="9">
        <v>0.42821747646209601</v>
      </c>
      <c r="Y209" s="9">
        <v>0.38568899939030199</v>
      </c>
      <c r="Z209" s="12">
        <v>0.25</v>
      </c>
      <c r="AA209" s="12">
        <v>0.32600476229548497</v>
      </c>
      <c r="AB209" s="12">
        <f t="shared" si="6"/>
        <v>-7.6004762295484973E-2</v>
      </c>
      <c r="AC209" s="14">
        <v>0.41516242431813</v>
      </c>
      <c r="AD209" s="14">
        <f t="shared" si="7"/>
        <v>-0.16516242431813</v>
      </c>
    </row>
    <row r="210" spans="1:30" ht="15" x14ac:dyDescent="0.2">
      <c r="B210" s="10">
        <v>16</v>
      </c>
      <c r="C210" s="11">
        <v>528</v>
      </c>
      <c r="D210" s="11">
        <v>2</v>
      </c>
      <c r="E210" s="10">
        <v>52</v>
      </c>
      <c r="F210" s="12">
        <v>3.42</v>
      </c>
      <c r="G210" s="10">
        <v>27</v>
      </c>
      <c r="H210" s="10">
        <v>35</v>
      </c>
      <c r="I210" s="9">
        <v>150</v>
      </c>
      <c r="J210" s="10">
        <v>235</v>
      </c>
      <c r="K210" s="11">
        <v>402</v>
      </c>
      <c r="L210" s="12">
        <v>37.375</v>
      </c>
      <c r="M210" s="9">
        <v>0.34116345661446501</v>
      </c>
      <c r="N210" s="9">
        <v>0.34674246611589798</v>
      </c>
      <c r="O210" s="9">
        <v>0.38713656797945201</v>
      </c>
      <c r="P210" s="9">
        <v>0.69560140350877198</v>
      </c>
      <c r="Q210" s="9">
        <v>0.33642628942071401</v>
      </c>
      <c r="R210" s="9">
        <v>0.46819370116951597</v>
      </c>
      <c r="S210" s="13">
        <v>0.45554656504777358</v>
      </c>
      <c r="T210" s="9">
        <v>0.27832167923867301</v>
      </c>
      <c r="U210" s="9">
        <v>0.417477010841521</v>
      </c>
      <c r="V210" s="9">
        <v>0.37801273798933399</v>
      </c>
      <c r="W210" s="9">
        <v>0.44694057943080601</v>
      </c>
      <c r="X210" s="9">
        <v>0.503091261277963</v>
      </c>
      <c r="Y210" s="9">
        <v>0.45753395642067202</v>
      </c>
      <c r="Z210" s="12">
        <v>0.28999999999999998</v>
      </c>
      <c r="AA210" s="12">
        <v>0.37632679203421798</v>
      </c>
      <c r="AB210" s="12">
        <f t="shared" si="6"/>
        <v>-8.6326792034218003E-2</v>
      </c>
      <c r="AC210" s="14">
        <v>0.46727599043109003</v>
      </c>
      <c r="AD210" s="14">
        <f t="shared" si="7"/>
        <v>-0.17727599043109005</v>
      </c>
    </row>
    <row r="211" spans="1:30" ht="15" x14ac:dyDescent="0.2">
      <c r="A211" s="9" t="s">
        <v>75</v>
      </c>
      <c r="B211" s="10">
        <v>20</v>
      </c>
      <c r="C211" s="11">
        <v>528</v>
      </c>
      <c r="D211" s="11">
        <v>2</v>
      </c>
      <c r="E211" s="10">
        <v>44</v>
      </c>
      <c r="F211" s="12">
        <v>3.42</v>
      </c>
      <c r="G211" s="10">
        <v>25</v>
      </c>
      <c r="H211" s="10">
        <v>35</v>
      </c>
      <c r="I211" s="9">
        <v>150</v>
      </c>
      <c r="J211" s="10">
        <v>235</v>
      </c>
      <c r="K211" s="11">
        <v>628</v>
      </c>
      <c r="L211" s="12">
        <v>29.324999999999999</v>
      </c>
      <c r="M211" s="9">
        <v>0.13588199007541199</v>
      </c>
      <c r="N211" s="9">
        <v>0.14617173010832901</v>
      </c>
      <c r="O211" s="9">
        <v>0.20519523255216399</v>
      </c>
      <c r="P211" s="9">
        <v>0.25252771133111901</v>
      </c>
      <c r="Q211" s="9">
        <v>0.13578602772186599</v>
      </c>
      <c r="R211" s="9">
        <v>0.22543099969497701</v>
      </c>
      <c r="S211" s="13">
        <v>0.23837845525839133</v>
      </c>
      <c r="T211" s="9">
        <v>0.138455306114665</v>
      </c>
      <c r="U211" s="9">
        <v>0.21999033548888799</v>
      </c>
      <c r="V211" s="9">
        <v>0.180461464919836</v>
      </c>
      <c r="W211" s="9">
        <v>0.17300896102135299</v>
      </c>
      <c r="X211" s="9">
        <v>0.16752621909578599</v>
      </c>
      <c r="Y211" s="9">
        <v>0.170458715681791</v>
      </c>
      <c r="Z211" s="12">
        <v>0.17</v>
      </c>
      <c r="AA211" s="12">
        <v>0.15128120300738601</v>
      </c>
      <c r="AB211" s="12">
        <f t="shared" si="6"/>
        <v>1.8718796992614001E-2</v>
      </c>
      <c r="AC211" s="14">
        <v>0.16752621909578599</v>
      </c>
      <c r="AD211" s="14">
        <f t="shared" si="7"/>
        <v>2.473780904214018E-3</v>
      </c>
    </row>
    <row r="212" spans="1:30" ht="15" x14ac:dyDescent="0.2">
      <c r="B212" s="10">
        <v>20</v>
      </c>
      <c r="C212" s="11">
        <v>528</v>
      </c>
      <c r="D212" s="11">
        <v>2</v>
      </c>
      <c r="E212" s="10">
        <v>44</v>
      </c>
      <c r="F212" s="12">
        <v>3.42</v>
      </c>
      <c r="G212" s="10">
        <v>25</v>
      </c>
      <c r="H212" s="10">
        <v>35</v>
      </c>
      <c r="I212" s="9">
        <v>150</v>
      </c>
      <c r="J212" s="10">
        <v>235</v>
      </c>
      <c r="K212" s="11">
        <v>628</v>
      </c>
      <c r="L212" s="12">
        <v>33.35</v>
      </c>
      <c r="M212" s="9">
        <v>0.15768903676554999</v>
      </c>
      <c r="N212" s="9">
        <v>0.16963012765962701</v>
      </c>
      <c r="O212" s="9">
        <v>0.233359284078932</v>
      </c>
      <c r="P212" s="9">
        <v>0.32660639020295401</v>
      </c>
      <c r="Q212" s="9">
        <v>0.156050543970955</v>
      </c>
      <c r="R212" s="9">
        <v>0.25637250945703299</v>
      </c>
      <c r="S212" s="13">
        <v>0.27676581413108986</v>
      </c>
      <c r="T212" s="9">
        <v>0.15900260071079</v>
      </c>
      <c r="U212" s="9">
        <v>0.25018508741873502</v>
      </c>
      <c r="V212" s="9">
        <v>0.20762343826531099</v>
      </c>
      <c r="W212" s="9">
        <v>0.206546135955055</v>
      </c>
      <c r="X212" s="9">
        <v>0.20362194551252</v>
      </c>
      <c r="Y212" s="9">
        <v>0.20835725213450301</v>
      </c>
      <c r="Z212" s="12">
        <v>0.19</v>
      </c>
      <c r="AA212" s="12">
        <v>0.17990644867800401</v>
      </c>
      <c r="AB212" s="12">
        <f t="shared" si="6"/>
        <v>1.0093551321995992E-2</v>
      </c>
      <c r="AC212" s="14">
        <v>0.20362194551252</v>
      </c>
      <c r="AD212" s="14">
        <f t="shared" si="7"/>
        <v>-1.3621945512519995E-2</v>
      </c>
    </row>
    <row r="213" spans="1:30" ht="15" x14ac:dyDescent="0.2">
      <c r="B213" s="10">
        <v>20</v>
      </c>
      <c r="C213" s="11">
        <v>528</v>
      </c>
      <c r="D213" s="11">
        <v>2</v>
      </c>
      <c r="E213" s="10">
        <v>44</v>
      </c>
      <c r="F213" s="12">
        <v>3.42</v>
      </c>
      <c r="G213" s="10">
        <v>25</v>
      </c>
      <c r="H213" s="10">
        <v>35</v>
      </c>
      <c r="I213" s="9">
        <v>150</v>
      </c>
      <c r="J213" s="10">
        <v>235</v>
      </c>
      <c r="K213" s="11">
        <v>628</v>
      </c>
      <c r="L213" s="12">
        <v>38.524999999999999</v>
      </c>
      <c r="M213" s="9">
        <v>0.18572666822429801</v>
      </c>
      <c r="N213" s="9">
        <v>0.19979092451129599</v>
      </c>
      <c r="O213" s="9">
        <v>0.26957020747049099</v>
      </c>
      <c r="P213" s="9">
        <v>0.43583117884098099</v>
      </c>
      <c r="Q213" s="9">
        <v>0.18210492200549799</v>
      </c>
      <c r="R213" s="9">
        <v>0.29615445057967599</v>
      </c>
      <c r="S213" s="13">
        <v>0.32612098982455973</v>
      </c>
      <c r="T213" s="9">
        <v>0.185420550905807</v>
      </c>
      <c r="U213" s="9">
        <v>0.28900691132853901</v>
      </c>
      <c r="V213" s="9">
        <v>0.242873323547314</v>
      </c>
      <c r="W213" s="9">
        <v>0.24868148247567201</v>
      </c>
      <c r="X213" s="9">
        <v>0.250030736619751</v>
      </c>
      <c r="Y213" s="9">
        <v>0.25943939992606102</v>
      </c>
      <c r="Z213" s="12">
        <v>0.21</v>
      </c>
      <c r="AA213" s="12">
        <v>0.21671033596879799</v>
      </c>
      <c r="AB213" s="12">
        <f t="shared" si="6"/>
        <v>-6.710335968797998E-3</v>
      </c>
      <c r="AC213" s="14">
        <v>0.250030736619751</v>
      </c>
      <c r="AD213" s="14">
        <f t="shared" si="7"/>
        <v>-4.0030736619751012E-2</v>
      </c>
    </row>
    <row r="214" spans="1:30" ht="15" x14ac:dyDescent="0.2">
      <c r="B214" s="10">
        <v>20</v>
      </c>
      <c r="C214" s="11">
        <v>528</v>
      </c>
      <c r="D214" s="11">
        <v>2</v>
      </c>
      <c r="E214" s="10">
        <v>44</v>
      </c>
      <c r="F214" s="12">
        <v>3.42</v>
      </c>
      <c r="G214" s="10">
        <v>25</v>
      </c>
      <c r="H214" s="10">
        <v>35</v>
      </c>
      <c r="I214" s="9">
        <v>150</v>
      </c>
      <c r="J214" s="10">
        <v>235</v>
      </c>
      <c r="K214" s="11">
        <v>628</v>
      </c>
      <c r="L214" s="12">
        <v>40.825000000000003</v>
      </c>
      <c r="M214" s="9">
        <v>0.19818783776151999</v>
      </c>
      <c r="N214" s="9">
        <v>0.21319572311203799</v>
      </c>
      <c r="O214" s="9">
        <v>0.28566395120007199</v>
      </c>
      <c r="P214" s="9">
        <v>0.48942414179937299</v>
      </c>
      <c r="Q214" s="9">
        <v>0.19368464557640599</v>
      </c>
      <c r="R214" s="9">
        <v>0.31383531330085002</v>
      </c>
      <c r="S214" s="13">
        <v>0.34805662346610167</v>
      </c>
      <c r="T214" s="9">
        <v>0.19716186210359299</v>
      </c>
      <c r="U214" s="9">
        <v>0.30626105528845199</v>
      </c>
      <c r="V214" s="9">
        <v>0.25863074261651398</v>
      </c>
      <c r="W214" s="9">
        <v>0.26710015914716501</v>
      </c>
      <c r="X214" s="9">
        <v>0.27065686600074201</v>
      </c>
      <c r="Y214" s="9">
        <v>0.28299315880192999</v>
      </c>
      <c r="Z214" s="12">
        <v>0.23</v>
      </c>
      <c r="AA214" s="12">
        <v>0.23306761920915001</v>
      </c>
      <c r="AB214" s="12">
        <f t="shared" si="6"/>
        <v>-3.0676192091499965E-3</v>
      </c>
      <c r="AC214" s="14">
        <v>0.27065686600074201</v>
      </c>
      <c r="AD214" s="14">
        <f t="shared" si="7"/>
        <v>-4.0656866000742004E-2</v>
      </c>
    </row>
    <row r="215" spans="1:30" ht="15" x14ac:dyDescent="0.2">
      <c r="B215" s="10">
        <v>20</v>
      </c>
      <c r="C215" s="11">
        <v>528</v>
      </c>
      <c r="D215" s="11">
        <v>2</v>
      </c>
      <c r="E215" s="10">
        <v>44</v>
      </c>
      <c r="F215" s="12">
        <v>3.42</v>
      </c>
      <c r="G215" s="10">
        <v>25</v>
      </c>
      <c r="H215" s="10">
        <v>35</v>
      </c>
      <c r="I215" s="9">
        <v>150</v>
      </c>
      <c r="J215" s="10">
        <v>235</v>
      </c>
      <c r="K215" s="11">
        <v>628</v>
      </c>
      <c r="L215" s="12">
        <v>46</v>
      </c>
      <c r="M215" s="9">
        <v>0.22622546922026901</v>
      </c>
      <c r="N215" s="9">
        <v>0.243356519963707</v>
      </c>
      <c r="O215" s="9">
        <v>0.32187487459163</v>
      </c>
      <c r="P215" s="9">
        <v>0.62136768647411</v>
      </c>
      <c r="Q215" s="9">
        <v>0.21973902361094999</v>
      </c>
      <c r="R215" s="9">
        <v>0.35361725442349401</v>
      </c>
      <c r="S215" s="13">
        <v>0.39741179915957148</v>
      </c>
      <c r="T215" s="9">
        <v>0.22357981229860999</v>
      </c>
      <c r="U215" s="9">
        <v>0.34508287919825598</v>
      </c>
      <c r="V215" s="9">
        <v>0.29424295047471699</v>
      </c>
      <c r="W215" s="9">
        <v>0.30794889319403201</v>
      </c>
      <c r="X215" s="9">
        <v>0.31706565710797302</v>
      </c>
      <c r="Y215" s="9">
        <v>0.33790292595178201</v>
      </c>
      <c r="Z215" s="12">
        <v>0.25</v>
      </c>
      <c r="AA215" s="12">
        <v>0.26987150649994401</v>
      </c>
      <c r="AB215" s="12">
        <f t="shared" si="6"/>
        <v>-1.9871506499944014E-2</v>
      </c>
      <c r="AC215" s="14">
        <v>0.31706565710797302</v>
      </c>
      <c r="AD215" s="14">
        <f t="shared" si="7"/>
        <v>-6.706565710797302E-2</v>
      </c>
    </row>
    <row r="216" spans="1:30" ht="15" x14ac:dyDescent="0.2">
      <c r="B216" s="10">
        <v>20</v>
      </c>
      <c r="C216" s="11">
        <v>528</v>
      </c>
      <c r="D216" s="11">
        <v>2</v>
      </c>
      <c r="E216" s="10">
        <v>44</v>
      </c>
      <c r="F216" s="12">
        <v>3.42</v>
      </c>
      <c r="G216" s="10">
        <v>25</v>
      </c>
      <c r="H216" s="10">
        <v>35</v>
      </c>
      <c r="I216" s="9">
        <v>150</v>
      </c>
      <c r="J216" s="10">
        <v>235</v>
      </c>
      <c r="K216" s="11">
        <v>628</v>
      </c>
      <c r="L216" s="12">
        <v>56.924999999999997</v>
      </c>
      <c r="M216" s="9">
        <v>0.28541602452207099</v>
      </c>
      <c r="N216" s="9">
        <v>0.30702931331723099</v>
      </c>
      <c r="O216" s="9">
        <v>0.380757070040603</v>
      </c>
      <c r="P216" s="9">
        <v>0.869501754385965</v>
      </c>
      <c r="Q216" s="9">
        <v>0.274742710572763</v>
      </c>
      <c r="R216" s="9">
        <v>0.43760135234907299</v>
      </c>
      <c r="S216" s="13">
        <v>0.50160605895689636</v>
      </c>
      <c r="T216" s="9">
        <v>0.27935104048809101</v>
      </c>
      <c r="U216" s="9">
        <v>0.42704006300784197</v>
      </c>
      <c r="V216" s="9">
        <v>0.34925730172556502</v>
      </c>
      <c r="W216" s="9">
        <v>0.39202165688995</v>
      </c>
      <c r="X216" s="9">
        <v>0.404842760198733</v>
      </c>
      <c r="Y216" s="9">
        <v>0.46367989947785998</v>
      </c>
      <c r="Z216" s="12">
        <v>0.25</v>
      </c>
      <c r="AA216" s="12">
        <v>0.34756860189161998</v>
      </c>
      <c r="AB216" s="12">
        <f t="shared" si="6"/>
        <v>-9.7568601891619977E-2</v>
      </c>
      <c r="AC216" s="14">
        <v>0.404842760198733</v>
      </c>
      <c r="AD216" s="14">
        <f t="shared" si="7"/>
        <v>-0.154842760198733</v>
      </c>
    </row>
    <row r="217" spans="1:30" ht="15" x14ac:dyDescent="0.2">
      <c r="A217" s="9" t="s">
        <v>76</v>
      </c>
      <c r="B217" s="10">
        <v>20</v>
      </c>
      <c r="C217" s="11">
        <v>528</v>
      </c>
      <c r="D217" s="11">
        <v>3</v>
      </c>
      <c r="E217" s="10">
        <v>12</v>
      </c>
      <c r="F217" s="12">
        <v>3.42</v>
      </c>
      <c r="G217" s="10">
        <v>25</v>
      </c>
      <c r="H217" s="10">
        <v>35</v>
      </c>
      <c r="I217" s="9">
        <v>150</v>
      </c>
      <c r="J217" s="10">
        <v>235</v>
      </c>
      <c r="K217" s="11">
        <v>942</v>
      </c>
      <c r="L217" s="12">
        <v>39.1</v>
      </c>
      <c r="M217" s="9">
        <v>9.9001541127222897E-2</v>
      </c>
      <c r="N217" s="9">
        <v>0.11972263952841</v>
      </c>
      <c r="O217" s="9">
        <v>0.15281153215677201</v>
      </c>
      <c r="P217" s="9">
        <v>0.21127454925494199</v>
      </c>
      <c r="Q217" s="9">
        <v>8.4078447968071304E-2</v>
      </c>
      <c r="R217" s="9">
        <v>0.15788934749629399</v>
      </c>
      <c r="S217" s="13">
        <v>0.19356163888368724</v>
      </c>
      <c r="T217" s="9">
        <v>0.125373813815082</v>
      </c>
      <c r="U217" s="9">
        <v>0.18016328881157201</v>
      </c>
      <c r="V217" s="9">
        <v>0.144337224109127</v>
      </c>
      <c r="W217" s="9">
        <v>0.13840964120514501</v>
      </c>
      <c r="X217" s="9">
        <v>0.189176064075434</v>
      </c>
      <c r="Y217" s="9">
        <v>0.14682269685155799</v>
      </c>
      <c r="Z217" s="12">
        <v>0.18</v>
      </c>
      <c r="AA217" s="12">
        <v>0.127038496444004</v>
      </c>
      <c r="AB217" s="12">
        <f t="shared" si="6"/>
        <v>5.2961503555995992E-2</v>
      </c>
      <c r="AC217" s="14">
        <v>0.13419966539766801</v>
      </c>
      <c r="AD217" s="14">
        <f t="shared" si="7"/>
        <v>4.5800334602331988E-2</v>
      </c>
    </row>
    <row r="218" spans="1:30" ht="15" x14ac:dyDescent="0.2">
      <c r="B218" s="10">
        <v>20</v>
      </c>
      <c r="C218" s="11">
        <v>528</v>
      </c>
      <c r="D218" s="11">
        <v>3</v>
      </c>
      <c r="E218" s="10">
        <v>12</v>
      </c>
      <c r="F218" s="12">
        <v>3.42</v>
      </c>
      <c r="G218" s="10">
        <v>25</v>
      </c>
      <c r="H218" s="10">
        <v>35</v>
      </c>
      <c r="I218" s="9">
        <v>150</v>
      </c>
      <c r="J218" s="10">
        <v>235</v>
      </c>
      <c r="K218" s="11">
        <v>942</v>
      </c>
      <c r="L218" s="12">
        <v>44.85</v>
      </c>
      <c r="M218" s="9">
        <v>0.11553739220709</v>
      </c>
      <c r="N218" s="9">
        <v>0.13971945690710399</v>
      </c>
      <c r="O218" s="9">
        <v>0.175283816297473</v>
      </c>
      <c r="P218" s="9">
        <v>0.27798320883803301</v>
      </c>
      <c r="Q218" s="9">
        <v>9.7273366601955694E-2</v>
      </c>
      <c r="R218" s="9">
        <v>0.18110836918692499</v>
      </c>
      <c r="S218" s="13">
        <v>0.22752913434644803</v>
      </c>
      <c r="T218" s="9">
        <v>0.14542842857482399</v>
      </c>
      <c r="U218" s="9">
        <v>0.206657890107391</v>
      </c>
      <c r="V218" s="9">
        <v>0.16737122413258601</v>
      </c>
      <c r="W218" s="9">
        <v>0.16568007783333599</v>
      </c>
      <c r="X218" s="9">
        <v>0.23012702412719399</v>
      </c>
      <c r="Y218" s="9">
        <v>0.17965377390144299</v>
      </c>
      <c r="Z218" s="12">
        <v>0.19</v>
      </c>
      <c r="AA218" s="12">
        <v>0.150996277788399</v>
      </c>
      <c r="AB218" s="12">
        <f t="shared" si="6"/>
        <v>3.9003722211601005E-2</v>
      </c>
      <c r="AC218" s="14">
        <v>0.16272765949974599</v>
      </c>
      <c r="AD218" s="14">
        <f t="shared" si="7"/>
        <v>2.7272340500254011E-2</v>
      </c>
    </row>
    <row r="219" spans="1:30" ht="15" x14ac:dyDescent="0.2">
      <c r="B219" s="10">
        <v>20</v>
      </c>
      <c r="C219" s="11">
        <v>528</v>
      </c>
      <c r="D219" s="11">
        <v>3</v>
      </c>
      <c r="E219" s="10">
        <v>12</v>
      </c>
      <c r="F219" s="12">
        <v>3.42</v>
      </c>
      <c r="G219" s="10">
        <v>25</v>
      </c>
      <c r="H219" s="10">
        <v>35</v>
      </c>
      <c r="I219" s="9">
        <v>150</v>
      </c>
      <c r="J219" s="10">
        <v>235</v>
      </c>
      <c r="K219" s="11">
        <v>942</v>
      </c>
      <c r="L219" s="12">
        <v>50.024999999999999</v>
      </c>
      <c r="M219" s="9">
        <v>0.130419658178971</v>
      </c>
      <c r="N219" s="9">
        <v>0.15771659254793</v>
      </c>
      <c r="O219" s="9">
        <v>0.195508872024105</v>
      </c>
      <c r="P219" s="9">
        <v>0.34583413998932799</v>
      </c>
      <c r="Q219" s="9">
        <v>0.10914879337245199</v>
      </c>
      <c r="R219" s="9">
        <v>0.202005488708493</v>
      </c>
      <c r="S219" s="13">
        <v>0.25809988026293273</v>
      </c>
      <c r="T219" s="9">
        <v>0.16347758185859201</v>
      </c>
      <c r="U219" s="9">
        <v>0.23050303127362901</v>
      </c>
      <c r="V219" s="9">
        <v>0.18823337036993701</v>
      </c>
      <c r="W219" s="9">
        <v>0.189838769110518</v>
      </c>
      <c r="X219" s="9">
        <v>0.26841404415360798</v>
      </c>
      <c r="Y219" s="9">
        <v>0.21050920364917799</v>
      </c>
      <c r="Z219" s="12">
        <v>0.21</v>
      </c>
      <c r="AA219" s="12">
        <v>0.17255828099835399</v>
      </c>
      <c r="AB219" s="12">
        <f t="shared" si="6"/>
        <v>3.7441719001646001E-2</v>
      </c>
      <c r="AC219" s="14">
        <v>0.18840285419161701</v>
      </c>
      <c r="AD219" s="14">
        <f t="shared" si="7"/>
        <v>2.1597145808382984E-2</v>
      </c>
    </row>
    <row r="220" spans="1:30" ht="15" x14ac:dyDescent="0.2">
      <c r="B220" s="10">
        <v>20</v>
      </c>
      <c r="C220" s="11">
        <v>528</v>
      </c>
      <c r="D220" s="11">
        <v>3</v>
      </c>
      <c r="E220" s="10">
        <v>12</v>
      </c>
      <c r="F220" s="12">
        <v>3.42</v>
      </c>
      <c r="G220" s="10">
        <v>25</v>
      </c>
      <c r="H220" s="10">
        <v>35</v>
      </c>
      <c r="I220" s="9">
        <v>150</v>
      </c>
      <c r="J220" s="10">
        <v>235</v>
      </c>
      <c r="K220" s="11">
        <v>942</v>
      </c>
      <c r="L220" s="12">
        <v>56.35</v>
      </c>
      <c r="M220" s="9">
        <v>0.14860909436682401</v>
      </c>
      <c r="N220" s="9">
        <v>0.17971309166449401</v>
      </c>
      <c r="O220" s="9">
        <v>0.220228384578877</v>
      </c>
      <c r="P220" s="9">
        <v>0.43881504564110302</v>
      </c>
      <c r="Q220" s="9">
        <v>0.123663203869724</v>
      </c>
      <c r="R220" s="9">
        <v>0.227546412568188</v>
      </c>
      <c r="S220" s="13">
        <v>0.29546412527196952</v>
      </c>
      <c r="T220" s="9">
        <v>0.185537658094309</v>
      </c>
      <c r="U220" s="9">
        <v>0.25964709269903002</v>
      </c>
      <c r="V220" s="9">
        <v>0.21385792026698999</v>
      </c>
      <c r="W220" s="9">
        <v>0.21893795930246199</v>
      </c>
      <c r="X220" s="9">
        <v>0.31705054415994199</v>
      </c>
      <c r="Y220" s="9">
        <v>0.249903508362049</v>
      </c>
      <c r="Z220" s="12">
        <v>0.23</v>
      </c>
      <c r="AA220" s="12">
        <v>0.19891184047718799</v>
      </c>
      <c r="AB220" s="12">
        <f t="shared" si="6"/>
        <v>3.108815952281202E-2</v>
      </c>
      <c r="AC220" s="14">
        <v>0.21978364770390299</v>
      </c>
      <c r="AD220" s="14">
        <f t="shared" si="7"/>
        <v>1.021635229609702E-2</v>
      </c>
    </row>
    <row r="221" spans="1:30" ht="15" x14ac:dyDescent="0.2">
      <c r="B221" s="10">
        <v>20</v>
      </c>
      <c r="C221" s="11">
        <v>528</v>
      </c>
      <c r="D221" s="11">
        <v>3</v>
      </c>
      <c r="E221" s="10">
        <v>12</v>
      </c>
      <c r="F221" s="12">
        <v>3.42</v>
      </c>
      <c r="G221" s="10">
        <v>25</v>
      </c>
      <c r="H221" s="10">
        <v>35</v>
      </c>
      <c r="I221" s="9">
        <v>150</v>
      </c>
      <c r="J221" s="10">
        <v>235</v>
      </c>
      <c r="K221" s="11">
        <v>942</v>
      </c>
      <c r="L221" s="12">
        <v>62.674999999999997</v>
      </c>
      <c r="M221" s="9">
        <v>0.166798530554678</v>
      </c>
      <c r="N221" s="9">
        <v>0.20170959078105799</v>
      </c>
      <c r="O221" s="9">
        <v>0.24494789713364901</v>
      </c>
      <c r="P221" s="9">
        <v>0.54285314007308905</v>
      </c>
      <c r="Q221" s="9">
        <v>0.13817761436699699</v>
      </c>
      <c r="R221" s="9">
        <v>0.253087336427883</v>
      </c>
      <c r="S221" s="13">
        <v>0.33282837028100642</v>
      </c>
      <c r="T221" s="9">
        <v>0.20759773433002501</v>
      </c>
      <c r="U221" s="9">
        <v>0.28879115412443102</v>
      </c>
      <c r="V221" s="9">
        <v>0.23958883317333299</v>
      </c>
      <c r="W221" s="9">
        <v>0.24763172210029699</v>
      </c>
      <c r="X221" s="9">
        <v>0.36771242280439698</v>
      </c>
      <c r="Y221" s="9">
        <v>0.29114813715379001</v>
      </c>
      <c r="Z221" s="12">
        <v>0.25</v>
      </c>
      <c r="AA221" s="12">
        <v>0.22526539995602299</v>
      </c>
      <c r="AB221" s="12">
        <f t="shared" si="6"/>
        <v>2.4734600043977012E-2</v>
      </c>
      <c r="AC221" s="14">
        <v>0.25116444121618903</v>
      </c>
      <c r="AD221" s="14">
        <f t="shared" si="7"/>
        <v>-1.1644412161890272E-3</v>
      </c>
    </row>
    <row r="222" spans="1:30" ht="15" x14ac:dyDescent="0.2">
      <c r="B222" s="10">
        <v>20</v>
      </c>
      <c r="C222" s="11">
        <v>528</v>
      </c>
      <c r="D222" s="11">
        <v>3</v>
      </c>
      <c r="E222" s="10">
        <v>12</v>
      </c>
      <c r="F222" s="12">
        <v>3.42</v>
      </c>
      <c r="G222" s="10">
        <v>25</v>
      </c>
      <c r="H222" s="10">
        <v>35</v>
      </c>
      <c r="I222" s="9">
        <v>150</v>
      </c>
      <c r="J222" s="10">
        <v>235</v>
      </c>
      <c r="K222" s="11">
        <v>942</v>
      </c>
      <c r="L222" s="12">
        <v>68.424999999999997</v>
      </c>
      <c r="M222" s="9">
        <v>0.18333438163454599</v>
      </c>
      <c r="N222" s="9">
        <v>0.22170640815975201</v>
      </c>
      <c r="O222" s="9">
        <v>0.26742018127435102</v>
      </c>
      <c r="P222" s="9">
        <v>0.64702830709325798</v>
      </c>
      <c r="Q222" s="9">
        <v>0.15137253300088199</v>
      </c>
      <c r="R222" s="9">
        <v>0.27630635811851401</v>
      </c>
      <c r="S222" s="13">
        <v>0.36679586574376727</v>
      </c>
      <c r="T222" s="9">
        <v>0.227652349089768</v>
      </c>
      <c r="U222" s="9">
        <v>0.315285755420251</v>
      </c>
      <c r="V222" s="9">
        <v>0.26305244131259198</v>
      </c>
      <c r="W222" s="9">
        <v>0.27341569469427401</v>
      </c>
      <c r="X222" s="9">
        <v>0.41552623609276701</v>
      </c>
      <c r="Y222" s="9">
        <v>0.33062716631042099</v>
      </c>
      <c r="Z222" s="12">
        <v>0.28999999999999998</v>
      </c>
      <c r="AA222" s="12">
        <v>0.24922318130041701</v>
      </c>
      <c r="AB222" s="12">
        <f t="shared" si="6"/>
        <v>4.0776818699582967E-2</v>
      </c>
      <c r="AC222" s="14">
        <v>0.27969243531826798</v>
      </c>
      <c r="AD222" s="14">
        <f t="shared" si="7"/>
        <v>1.0307564681731995E-2</v>
      </c>
    </row>
    <row r="223" spans="1:30" ht="15" x14ac:dyDescent="0.2">
      <c r="B223" s="10">
        <v>20</v>
      </c>
      <c r="C223" s="11">
        <v>528</v>
      </c>
      <c r="D223" s="11">
        <v>3</v>
      </c>
      <c r="E223" s="10">
        <v>12</v>
      </c>
      <c r="F223" s="12">
        <v>3.42</v>
      </c>
      <c r="G223" s="10">
        <v>25</v>
      </c>
      <c r="H223" s="10">
        <v>35</v>
      </c>
      <c r="I223" s="9">
        <v>150</v>
      </c>
      <c r="J223" s="10">
        <v>235</v>
      </c>
      <c r="K223" s="11">
        <v>942</v>
      </c>
      <c r="L223" s="12">
        <v>74.174999999999997</v>
      </c>
      <c r="M223" s="9">
        <v>0.19987023271441301</v>
      </c>
      <c r="N223" s="9">
        <v>0.241703225538447</v>
      </c>
      <c r="O223" s="9">
        <v>0.28989246541505198</v>
      </c>
      <c r="P223" s="9">
        <v>0.76034164665905801</v>
      </c>
      <c r="Q223" s="9">
        <v>0.16456745163476599</v>
      </c>
      <c r="R223" s="9">
        <v>0.29952537980914501</v>
      </c>
      <c r="S223" s="13">
        <v>0.40076336120652795</v>
      </c>
      <c r="T223" s="9">
        <v>0.24770696384950999</v>
      </c>
      <c r="U223" s="9">
        <v>0.34178035671606999</v>
      </c>
      <c r="V223" s="9">
        <v>0.28657100166404098</v>
      </c>
      <c r="W223" s="9">
        <v>0.29895278017424598</v>
      </c>
      <c r="X223" s="9">
        <v>0.46501391602421199</v>
      </c>
      <c r="Y223" s="9">
        <v>0.37251401721166499</v>
      </c>
      <c r="Z223" s="12">
        <v>0.31</v>
      </c>
      <c r="AA223" s="12">
        <v>0.27318096264481201</v>
      </c>
      <c r="AB223" s="12">
        <f t="shared" si="6"/>
        <v>3.6819037355187989E-2</v>
      </c>
      <c r="AC223" s="14">
        <v>0.308220429420346</v>
      </c>
      <c r="AD223" s="14">
        <f t="shared" si="7"/>
        <v>1.7795705796539996E-3</v>
      </c>
    </row>
    <row r="224" spans="1:30" ht="15" x14ac:dyDescent="0.2">
      <c r="B224" s="10">
        <v>20</v>
      </c>
      <c r="C224" s="11">
        <v>528</v>
      </c>
      <c r="D224" s="11">
        <v>3</v>
      </c>
      <c r="E224" s="10">
        <v>12</v>
      </c>
      <c r="F224" s="12">
        <v>3.42</v>
      </c>
      <c r="G224" s="10">
        <v>25</v>
      </c>
      <c r="H224" s="10">
        <v>35</v>
      </c>
      <c r="I224" s="9">
        <v>150</v>
      </c>
      <c r="J224" s="10">
        <v>235</v>
      </c>
      <c r="K224" s="11">
        <v>942</v>
      </c>
      <c r="L224" s="12">
        <v>79.349999999999994</v>
      </c>
      <c r="M224" s="9">
        <v>0.21475249868629301</v>
      </c>
      <c r="N224" s="9">
        <v>0.25970036117927198</v>
      </c>
      <c r="O224" s="9">
        <v>0.31000433689657803</v>
      </c>
      <c r="P224" s="9">
        <v>0.869501754385965</v>
      </c>
      <c r="Q224" s="9">
        <v>0.17644287840526199</v>
      </c>
      <c r="R224" s="9">
        <v>0.32042249933071398</v>
      </c>
      <c r="S224" s="13">
        <v>0.43133410712301268</v>
      </c>
      <c r="T224" s="9">
        <v>0.26575611713327801</v>
      </c>
      <c r="U224" s="9">
        <v>0.36562549788230703</v>
      </c>
      <c r="V224" s="9">
        <v>0.30777661698523801</v>
      </c>
      <c r="W224" s="9">
        <v>0.321752751072368</v>
      </c>
      <c r="X224" s="9">
        <v>0.51098398394234201</v>
      </c>
      <c r="Y224" s="9">
        <v>0.410212183022785</v>
      </c>
      <c r="Z224" s="12">
        <v>0.37</v>
      </c>
      <c r="AA224" s="12">
        <v>0.294742965854767</v>
      </c>
      <c r="AB224" s="12">
        <f t="shared" si="6"/>
        <v>7.5257034145232993E-2</v>
      </c>
      <c r="AC224" s="14">
        <v>0.330617382552647</v>
      </c>
      <c r="AD224" s="14">
        <f t="shared" si="7"/>
        <v>3.9382617447352997E-2</v>
      </c>
    </row>
    <row r="225" spans="1:30" ht="15" x14ac:dyDescent="0.2">
      <c r="A225" s="9" t="s">
        <v>77</v>
      </c>
      <c r="B225" s="10">
        <v>16</v>
      </c>
      <c r="C225" s="11">
        <v>528</v>
      </c>
      <c r="D225" s="11">
        <v>2</v>
      </c>
      <c r="E225" s="10">
        <v>52</v>
      </c>
      <c r="F225" s="12">
        <v>2.98</v>
      </c>
      <c r="G225" s="10">
        <v>27</v>
      </c>
      <c r="H225" s="10">
        <v>35</v>
      </c>
      <c r="I225" s="9">
        <v>150</v>
      </c>
      <c r="J225" s="10">
        <v>235</v>
      </c>
      <c r="K225" s="11">
        <v>402</v>
      </c>
      <c r="L225" s="12">
        <v>26.45</v>
      </c>
      <c r="M225" s="9">
        <v>0.23593566188489301</v>
      </c>
      <c r="N225" s="9">
        <v>0.23898546695454101</v>
      </c>
      <c r="O225" s="9">
        <v>0.28536096598764199</v>
      </c>
      <c r="P225" s="9">
        <v>0.43374155611391801</v>
      </c>
      <c r="Q225" s="9">
        <v>0.23059971471306301</v>
      </c>
      <c r="R225" s="9">
        <v>0.30168752538416299</v>
      </c>
      <c r="S225" s="13">
        <v>0.30919106657813</v>
      </c>
      <c r="T225" s="9">
        <v>0.192616849204435</v>
      </c>
      <c r="U225" s="9">
        <v>0.29314095694596398</v>
      </c>
      <c r="V225" s="9">
        <v>0.285256132730769</v>
      </c>
      <c r="W225" s="9">
        <v>0.29685938412391499</v>
      </c>
      <c r="X225" s="9">
        <v>0.33004720078331201</v>
      </c>
      <c r="Y225" s="9">
        <v>0.28447122782612999</v>
      </c>
      <c r="Z225" s="12">
        <v>0.16</v>
      </c>
      <c r="AA225" s="12">
        <v>0.25056522044372098</v>
      </c>
      <c r="AB225" s="12">
        <f t="shared" si="6"/>
        <v>-9.0565220443720978E-2</v>
      </c>
      <c r="AC225" s="14">
        <v>0.30018318832296098</v>
      </c>
      <c r="AD225" s="14">
        <f t="shared" si="7"/>
        <v>-0.14018318832296098</v>
      </c>
    </row>
    <row r="226" spans="1:30" ht="15" x14ac:dyDescent="0.2">
      <c r="B226" s="10">
        <v>16</v>
      </c>
      <c r="C226" s="11">
        <v>528</v>
      </c>
      <c r="D226" s="11">
        <v>2</v>
      </c>
      <c r="E226" s="10">
        <v>52</v>
      </c>
      <c r="F226" s="12">
        <v>2.98</v>
      </c>
      <c r="G226" s="10">
        <v>27</v>
      </c>
      <c r="H226" s="10">
        <v>35</v>
      </c>
      <c r="I226" s="9">
        <v>150</v>
      </c>
      <c r="J226" s="10">
        <v>235</v>
      </c>
      <c r="K226" s="11">
        <v>402</v>
      </c>
      <c r="L226" s="12">
        <v>31.625</v>
      </c>
      <c r="M226" s="9">
        <v>0.28908411538548201</v>
      </c>
      <c r="N226" s="9">
        <v>0.29282094005036702</v>
      </c>
      <c r="O226" s="9">
        <v>0.34119245933304998</v>
      </c>
      <c r="P226" s="9">
        <v>0.62007004123090803</v>
      </c>
      <c r="Q226" s="9">
        <v>0.28001183489341902</v>
      </c>
      <c r="R226" s="9">
        <v>0.36071334556802098</v>
      </c>
      <c r="S226" s="13">
        <v>0.3770009982501118</v>
      </c>
      <c r="T226" s="9">
        <v>0.23263380499637801</v>
      </c>
      <c r="U226" s="9">
        <v>0.35049462243539098</v>
      </c>
      <c r="V226" s="9">
        <v>0.34719787288184401</v>
      </c>
      <c r="W226" s="9">
        <v>0.36924398331434899</v>
      </c>
      <c r="X226" s="9">
        <v>0.42635405479028798</v>
      </c>
      <c r="Y226" s="9">
        <v>0.37057616402825</v>
      </c>
      <c r="Z226" s="12">
        <v>0.2</v>
      </c>
      <c r="AA226" s="12">
        <v>0.31490001064532802</v>
      </c>
      <c r="AB226" s="12">
        <f t="shared" si="6"/>
        <v>-0.11490001064532801</v>
      </c>
      <c r="AC226" s="14">
        <v>0.38443328188181702</v>
      </c>
      <c r="AD226" s="14">
        <f t="shared" si="7"/>
        <v>-0.18443328188181701</v>
      </c>
    </row>
    <row r="227" spans="1:30" ht="15" x14ac:dyDescent="0.2">
      <c r="B227" s="10">
        <v>16</v>
      </c>
      <c r="C227" s="11">
        <v>528</v>
      </c>
      <c r="D227" s="11">
        <v>2</v>
      </c>
      <c r="E227" s="10">
        <v>52</v>
      </c>
      <c r="F227" s="12">
        <v>2.98</v>
      </c>
      <c r="G227" s="10">
        <v>27</v>
      </c>
      <c r="H227" s="10">
        <v>35</v>
      </c>
      <c r="I227" s="9">
        <v>150</v>
      </c>
      <c r="J227" s="10">
        <v>235</v>
      </c>
      <c r="K227" s="11">
        <v>402</v>
      </c>
      <c r="L227" s="12">
        <v>37.375</v>
      </c>
      <c r="M227" s="9">
        <v>0.348137952608359</v>
      </c>
      <c r="N227" s="9">
        <v>0.352638132379062</v>
      </c>
      <c r="O227" s="9">
        <v>0.38713656797945201</v>
      </c>
      <c r="P227" s="9">
        <v>0.79830765100671097</v>
      </c>
      <c r="Q227" s="9">
        <v>0.33491419064937</v>
      </c>
      <c r="R227" s="9">
        <v>0.42629759021675301</v>
      </c>
      <c r="S227" s="13">
        <v>0.45234536677453613</v>
      </c>
      <c r="T227" s="9">
        <v>0.27709708920964699</v>
      </c>
      <c r="U227" s="9">
        <v>0.41422091742364398</v>
      </c>
      <c r="V227" s="9">
        <v>0.39003540899802502</v>
      </c>
      <c r="W227" s="9">
        <v>0.447317133381889</v>
      </c>
      <c r="X227" s="9">
        <v>0.53890363867607105</v>
      </c>
      <c r="Y227" s="9">
        <v>0.47205823207103498</v>
      </c>
      <c r="Z227" s="12">
        <v>0.26</v>
      </c>
      <c r="AA227" s="12">
        <v>0.38638311086933602</v>
      </c>
      <c r="AB227" s="12">
        <f t="shared" si="6"/>
        <v>-0.12638311086933601</v>
      </c>
      <c r="AC227" s="14">
        <v>0.46464015145605198</v>
      </c>
      <c r="AD227" s="14">
        <f t="shared" si="7"/>
        <v>-0.20464015145605197</v>
      </c>
    </row>
    <row r="228" spans="1:30" ht="15" x14ac:dyDescent="0.2">
      <c r="A228" s="9" t="s">
        <v>78</v>
      </c>
      <c r="B228" s="10">
        <v>20</v>
      </c>
      <c r="C228" s="11">
        <v>528</v>
      </c>
      <c r="D228" s="11">
        <v>2</v>
      </c>
      <c r="E228" s="10">
        <v>44</v>
      </c>
      <c r="F228" s="12">
        <v>2.98</v>
      </c>
      <c r="G228" s="10">
        <v>25</v>
      </c>
      <c r="H228" s="10">
        <v>35</v>
      </c>
      <c r="I228" s="9">
        <v>150</v>
      </c>
      <c r="J228" s="10">
        <v>235</v>
      </c>
      <c r="K228" s="11">
        <v>628</v>
      </c>
      <c r="L228" s="12">
        <v>28.75</v>
      </c>
      <c r="M228" s="9">
        <v>0.136624194395983</v>
      </c>
      <c r="N228" s="9">
        <v>0.14637788590728401</v>
      </c>
      <c r="O228" s="9">
        <v>0.201171796619769</v>
      </c>
      <c r="P228" s="9">
        <v>0.27855986364060598</v>
      </c>
      <c r="Q228" s="9">
        <v>0.13219403671847599</v>
      </c>
      <c r="R228" s="9">
        <v>0.20111319768091601</v>
      </c>
      <c r="S228" s="13">
        <v>0.23052175704499706</v>
      </c>
      <c r="T228" s="9">
        <v>0.134813191177103</v>
      </c>
      <c r="U228" s="9">
        <v>0.21360585337041599</v>
      </c>
      <c r="V228" s="9">
        <v>0.17762658125549</v>
      </c>
      <c r="W228" s="9">
        <v>0.172535274252896</v>
      </c>
      <c r="X228" s="9">
        <v>0.22910743561581401</v>
      </c>
      <c r="Y228" s="9">
        <v>0.17471115343122201</v>
      </c>
      <c r="Z228" s="12">
        <v>0.17</v>
      </c>
      <c r="AA228" s="12">
        <v>0.154143497430964</v>
      </c>
      <c r="AB228" s="12">
        <f t="shared" si="6"/>
        <v>1.5856502569036007E-2</v>
      </c>
      <c r="AC228" s="14">
        <v>0.16693000107002401</v>
      </c>
      <c r="AD228" s="14">
        <f t="shared" si="7"/>
        <v>3.0699989299760033E-3</v>
      </c>
    </row>
    <row r="229" spans="1:30" ht="15" x14ac:dyDescent="0.2">
      <c r="B229" s="10">
        <v>20</v>
      </c>
      <c r="C229" s="11">
        <v>528</v>
      </c>
      <c r="D229" s="11">
        <v>2</v>
      </c>
      <c r="E229" s="10">
        <v>44</v>
      </c>
      <c r="F229" s="12">
        <v>2.98</v>
      </c>
      <c r="G229" s="10">
        <v>25</v>
      </c>
      <c r="H229" s="10">
        <v>35</v>
      </c>
      <c r="I229" s="9">
        <v>150</v>
      </c>
      <c r="J229" s="10">
        <v>235</v>
      </c>
      <c r="K229" s="11">
        <v>628</v>
      </c>
      <c r="L229" s="12">
        <v>32.774999999999999</v>
      </c>
      <c r="M229" s="9">
        <v>0.15853100890336799</v>
      </c>
      <c r="N229" s="9">
        <v>0.169848642377109</v>
      </c>
      <c r="O229" s="9">
        <v>0.22933584814653701</v>
      </c>
      <c r="P229" s="9">
        <v>0.36201639878733199</v>
      </c>
      <c r="Q229" s="9">
        <v>0.15236096455207199</v>
      </c>
      <c r="R229" s="9">
        <v>0.22926904535624401</v>
      </c>
      <c r="S229" s="13">
        <v>0.26855064972570136</v>
      </c>
      <c r="T229" s="9">
        <v>0.155261535573891</v>
      </c>
      <c r="U229" s="9">
        <v>0.24351067284227401</v>
      </c>
      <c r="V229" s="9">
        <v>0.204878992415925</v>
      </c>
      <c r="W229" s="9">
        <v>0.205208628495819</v>
      </c>
      <c r="X229" s="9">
        <v>0.27830255353844702</v>
      </c>
      <c r="Y229" s="9">
        <v>0.21239175481543399</v>
      </c>
      <c r="Z229" s="12">
        <v>0.19</v>
      </c>
      <c r="AA229" s="12">
        <v>0.18259499046457001</v>
      </c>
      <c r="AB229" s="12">
        <f t="shared" si="6"/>
        <v>7.4050095354299961E-3</v>
      </c>
      <c r="AC229" s="14">
        <v>0.201752540208612</v>
      </c>
      <c r="AD229" s="14">
        <f t="shared" si="7"/>
        <v>-1.1752540208611995E-2</v>
      </c>
    </row>
    <row r="230" spans="1:30" ht="15" x14ac:dyDescent="0.2">
      <c r="B230" s="10">
        <v>20</v>
      </c>
      <c r="C230" s="11">
        <v>528</v>
      </c>
      <c r="D230" s="11">
        <v>2</v>
      </c>
      <c r="E230" s="10">
        <v>44</v>
      </c>
      <c r="F230" s="12">
        <v>2.98</v>
      </c>
      <c r="G230" s="10">
        <v>25</v>
      </c>
      <c r="H230" s="10">
        <v>35</v>
      </c>
      <c r="I230" s="9">
        <v>150</v>
      </c>
      <c r="J230" s="10">
        <v>235</v>
      </c>
      <c r="K230" s="11">
        <v>628</v>
      </c>
      <c r="L230" s="12">
        <v>37.950000000000003</v>
      </c>
      <c r="M230" s="9">
        <v>0.18669691327000701</v>
      </c>
      <c r="N230" s="9">
        <v>0.20002532926688299</v>
      </c>
      <c r="O230" s="9">
        <v>0.26554677153809497</v>
      </c>
      <c r="P230" s="9">
        <v>0.48536270640739199</v>
      </c>
      <c r="Q230" s="9">
        <v>0.178289871766696</v>
      </c>
      <c r="R230" s="9">
        <v>0.26546942093880899</v>
      </c>
      <c r="S230" s="13">
        <v>0.31744494031517845</v>
      </c>
      <c r="T230" s="9">
        <v>0.18155226408404801</v>
      </c>
      <c r="U230" s="9">
        <v>0.28195972644894901</v>
      </c>
      <c r="V230" s="9">
        <v>0.24019029576945999</v>
      </c>
      <c r="W230" s="9">
        <v>0.24637529735369401</v>
      </c>
      <c r="X230" s="9">
        <v>0.344716191586524</v>
      </c>
      <c r="Y230" s="9">
        <v>0.26312984044857302</v>
      </c>
      <c r="Z230" s="12">
        <v>0.23</v>
      </c>
      <c r="AA230" s="12">
        <v>0.21917548150777699</v>
      </c>
      <c r="AB230" s="12">
        <f t="shared" si="6"/>
        <v>1.0824518492223018E-2</v>
      </c>
      <c r="AC230" s="14">
        <v>0.246524376243939</v>
      </c>
      <c r="AD230" s="14">
        <f t="shared" si="7"/>
        <v>-1.6524376243938987E-2</v>
      </c>
    </row>
    <row r="231" spans="1:30" ht="15" x14ac:dyDescent="0.2">
      <c r="B231" s="10">
        <v>20</v>
      </c>
      <c r="C231" s="11">
        <v>528</v>
      </c>
      <c r="D231" s="11">
        <v>2</v>
      </c>
      <c r="E231" s="10">
        <v>44</v>
      </c>
      <c r="F231" s="12">
        <v>2.98</v>
      </c>
      <c r="G231" s="10">
        <v>25</v>
      </c>
      <c r="H231" s="10">
        <v>35</v>
      </c>
      <c r="I231" s="9">
        <v>150</v>
      </c>
      <c r="J231" s="10">
        <v>235</v>
      </c>
      <c r="K231" s="11">
        <v>628</v>
      </c>
      <c r="L231" s="12">
        <v>40.25</v>
      </c>
      <c r="M231" s="9">
        <v>0.199215092988513</v>
      </c>
      <c r="N231" s="9">
        <v>0.213437190106783</v>
      </c>
      <c r="O231" s="9">
        <v>0.28164051526767703</v>
      </c>
      <c r="P231" s="9">
        <v>0.54597733273558802</v>
      </c>
      <c r="Q231" s="9">
        <v>0.189813830528751</v>
      </c>
      <c r="R231" s="9">
        <v>0.28155847675328199</v>
      </c>
      <c r="S231" s="13">
        <v>0.33917573613272378</v>
      </c>
      <c r="T231" s="9">
        <v>0.19323703231078401</v>
      </c>
      <c r="U231" s="9">
        <v>0.29904819471858202</v>
      </c>
      <c r="V231" s="9">
        <v>0.255959458126156</v>
      </c>
      <c r="W231" s="9">
        <v>0.26440772631062798</v>
      </c>
      <c r="X231" s="9">
        <v>0.37537547621672801</v>
      </c>
      <c r="Y231" s="9">
        <v>0.28650762228021798</v>
      </c>
      <c r="Z231" s="12">
        <v>0.25</v>
      </c>
      <c r="AA231" s="12">
        <v>0.23543347752698099</v>
      </c>
      <c r="AB231" s="12">
        <f t="shared" si="6"/>
        <v>1.4566522473019011E-2</v>
      </c>
      <c r="AC231" s="14">
        <v>0.26642297003741799</v>
      </c>
      <c r="AD231" s="14">
        <f t="shared" si="7"/>
        <v>-1.6422970037417994E-2</v>
      </c>
    </row>
    <row r="232" spans="1:30" ht="15" x14ac:dyDescent="0.2">
      <c r="B232" s="10">
        <v>20</v>
      </c>
      <c r="C232" s="11">
        <v>528</v>
      </c>
      <c r="D232" s="11">
        <v>2</v>
      </c>
      <c r="E232" s="10">
        <v>44</v>
      </c>
      <c r="F232" s="12">
        <v>2.98</v>
      </c>
      <c r="G232" s="10">
        <v>25</v>
      </c>
      <c r="H232" s="10">
        <v>35</v>
      </c>
      <c r="I232" s="9">
        <v>150</v>
      </c>
      <c r="J232" s="10">
        <v>235</v>
      </c>
      <c r="K232" s="11">
        <v>628</v>
      </c>
      <c r="L232" s="12">
        <v>43.7</v>
      </c>
      <c r="M232" s="9">
        <v>0.217992362566271</v>
      </c>
      <c r="N232" s="9">
        <v>0.233554981366633</v>
      </c>
      <c r="O232" s="9">
        <v>0.305781130862049</v>
      </c>
      <c r="P232" s="9">
        <v>0.64358470895525599</v>
      </c>
      <c r="Q232" s="9">
        <v>0.20709976867183399</v>
      </c>
      <c r="R232" s="9">
        <v>0.30569206047499198</v>
      </c>
      <c r="S232" s="13">
        <v>0.37177192985904184</v>
      </c>
      <c r="T232" s="9">
        <v>0.210764184650889</v>
      </c>
      <c r="U232" s="9">
        <v>0.324680897123032</v>
      </c>
      <c r="V232" s="9">
        <v>0.279682229881688</v>
      </c>
      <c r="W232" s="9">
        <v>0.29119025488820299</v>
      </c>
      <c r="X232" s="9">
        <v>0.42268222489017898</v>
      </c>
      <c r="Y232" s="9">
        <v>0.32252912758566499</v>
      </c>
      <c r="Z232" s="12">
        <v>0.3</v>
      </c>
      <c r="AA232" s="12">
        <v>0.25982047155578503</v>
      </c>
      <c r="AB232" s="12">
        <f t="shared" si="6"/>
        <v>4.0179528444214963E-2</v>
      </c>
      <c r="AC232" s="14">
        <v>0.29627086072763698</v>
      </c>
      <c r="AD232" s="14">
        <f t="shared" si="7"/>
        <v>3.7291392723630135E-3</v>
      </c>
    </row>
    <row r="233" spans="1:30" ht="15" x14ac:dyDescent="0.2">
      <c r="B233" s="10">
        <v>20</v>
      </c>
      <c r="C233" s="11">
        <v>528</v>
      </c>
      <c r="D233" s="11">
        <v>2</v>
      </c>
      <c r="E233" s="10">
        <v>44</v>
      </c>
      <c r="F233" s="12">
        <v>2.98</v>
      </c>
      <c r="G233" s="10">
        <v>25</v>
      </c>
      <c r="H233" s="10">
        <v>35</v>
      </c>
      <c r="I233" s="9">
        <v>150</v>
      </c>
      <c r="J233" s="10">
        <v>235</v>
      </c>
      <c r="K233" s="11">
        <v>628</v>
      </c>
      <c r="L233" s="12">
        <v>46</v>
      </c>
      <c r="M233" s="9">
        <v>0.23051054228477699</v>
      </c>
      <c r="N233" s="9">
        <v>0.246966842206533</v>
      </c>
      <c r="O233" s="9">
        <v>0.32187487459163</v>
      </c>
      <c r="P233" s="9">
        <v>0.71311325091995204</v>
      </c>
      <c r="Q233" s="9">
        <v>0.218623727433889</v>
      </c>
      <c r="R233" s="9">
        <v>0.32178111628946598</v>
      </c>
      <c r="S233" s="13">
        <v>0.39350272567658734</v>
      </c>
      <c r="T233" s="9">
        <v>0.22244895287762501</v>
      </c>
      <c r="U233" s="9">
        <v>0.341769365392665</v>
      </c>
      <c r="V233" s="9">
        <v>0.295536867955422</v>
      </c>
      <c r="W233" s="9">
        <v>0.30888453146331302</v>
      </c>
      <c r="X233" s="9">
        <v>0.45509860515790901</v>
      </c>
      <c r="Y233" s="9">
        <v>0.34718001949461702</v>
      </c>
      <c r="Z233" s="12">
        <v>0.32</v>
      </c>
      <c r="AA233" s="12">
        <v>0.27607846757498899</v>
      </c>
      <c r="AB233" s="12">
        <f t="shared" si="6"/>
        <v>4.3921532425011012E-2</v>
      </c>
      <c r="AC233" s="14">
        <v>0.316169454521116</v>
      </c>
      <c r="AD233" s="14">
        <f t="shared" si="7"/>
        <v>3.8305454788840065E-3</v>
      </c>
    </row>
    <row r="234" spans="1:30" ht="15" x14ac:dyDescent="0.2">
      <c r="B234" s="10">
        <v>20</v>
      </c>
      <c r="C234" s="11">
        <v>528</v>
      </c>
      <c r="D234" s="11">
        <v>2</v>
      </c>
      <c r="E234" s="10">
        <v>44</v>
      </c>
      <c r="F234" s="12">
        <v>2.98</v>
      </c>
      <c r="G234" s="10">
        <v>25</v>
      </c>
      <c r="H234" s="10">
        <v>35</v>
      </c>
      <c r="I234" s="9">
        <v>150</v>
      </c>
      <c r="J234" s="10">
        <v>235</v>
      </c>
      <c r="K234" s="11">
        <v>628</v>
      </c>
      <c r="L234" s="12">
        <v>51.634999999999998</v>
      </c>
      <c r="M234" s="9">
        <v>0.26118008259511699</v>
      </c>
      <c r="N234" s="9">
        <v>0.27982590126428702</v>
      </c>
      <c r="O234" s="9">
        <v>0.361304546729105</v>
      </c>
      <c r="P234" s="9">
        <v>0.89852715311695697</v>
      </c>
      <c r="Q234" s="9">
        <v>0.24685742640092401</v>
      </c>
      <c r="R234" s="9">
        <v>0.36119930303492498</v>
      </c>
      <c r="S234" s="13">
        <v>0.44674317542957331</v>
      </c>
      <c r="T234" s="9">
        <v>0.25107663503312899</v>
      </c>
      <c r="U234" s="9">
        <v>0.38363611265326703</v>
      </c>
      <c r="V234" s="9">
        <v>0.33448999677676899</v>
      </c>
      <c r="W234" s="9">
        <v>0.35176238751452299</v>
      </c>
      <c r="X234" s="9">
        <v>0.53748910698908703</v>
      </c>
      <c r="Y234" s="9">
        <v>0.40972689725723699</v>
      </c>
      <c r="Z234" s="12">
        <v>0.36</v>
      </c>
      <c r="AA234" s="12">
        <v>0.31591055782203697</v>
      </c>
      <c r="AB234" s="12">
        <f t="shared" si="6"/>
        <v>4.4089442177963012E-2</v>
      </c>
      <c r="AC234" s="14">
        <v>0.36492100931513899</v>
      </c>
      <c r="AD234" s="14">
        <f t="shared" si="7"/>
        <v>-4.9210093151390022E-3</v>
      </c>
    </row>
    <row r="235" spans="1:30" ht="15" x14ac:dyDescent="0.2">
      <c r="B235" s="10">
        <v>20</v>
      </c>
      <c r="C235" s="11">
        <v>528</v>
      </c>
      <c r="D235" s="11">
        <v>2</v>
      </c>
      <c r="E235" s="10">
        <v>44</v>
      </c>
      <c r="F235" s="12">
        <v>2.98</v>
      </c>
      <c r="G235" s="10">
        <v>25</v>
      </c>
      <c r="H235" s="10">
        <v>35</v>
      </c>
      <c r="I235" s="9">
        <v>150</v>
      </c>
      <c r="J235" s="10">
        <v>235</v>
      </c>
      <c r="K235" s="11">
        <v>628</v>
      </c>
      <c r="L235" s="12">
        <v>57.27</v>
      </c>
      <c r="M235" s="9">
        <v>0.29184962290545602</v>
      </c>
      <c r="N235" s="9">
        <v>0.31268496032204102</v>
      </c>
      <c r="O235" s="9">
        <v>0.380757070040603</v>
      </c>
      <c r="P235" s="9">
        <v>0.99788456375838896</v>
      </c>
      <c r="Q235" s="9">
        <v>0.27509112536795899</v>
      </c>
      <c r="R235" s="9">
        <v>0.40061748978038503</v>
      </c>
      <c r="S235" s="13">
        <v>0.49998362518255957</v>
      </c>
      <c r="T235" s="9">
        <v>0.27970431718863298</v>
      </c>
      <c r="U235" s="9">
        <v>0.42550285991386799</v>
      </c>
      <c r="V235" s="9">
        <v>0.35693767627860101</v>
      </c>
      <c r="W235" s="9">
        <v>0.39407026091407599</v>
      </c>
      <c r="X235" s="9">
        <v>0.62409839544596502</v>
      </c>
      <c r="Y235" s="9">
        <v>0.475643252569382</v>
      </c>
      <c r="Z235" s="12">
        <v>0.47</v>
      </c>
      <c r="AA235" s="12">
        <v>0.35574264806908501</v>
      </c>
      <c r="AB235" s="12">
        <f t="shared" si="6"/>
        <v>0.11425735193091496</v>
      </c>
      <c r="AC235" s="14">
        <v>0.40482410087816201</v>
      </c>
      <c r="AD235" s="14">
        <f t="shared" si="7"/>
        <v>6.5175899121837966E-2</v>
      </c>
    </row>
    <row r="236" spans="1:30" ht="15" x14ac:dyDescent="0.2">
      <c r="A236" s="9" t="s">
        <v>79</v>
      </c>
      <c r="B236" s="10">
        <v>20</v>
      </c>
      <c r="C236" s="11">
        <v>528</v>
      </c>
      <c r="D236" s="11">
        <v>3</v>
      </c>
      <c r="E236" s="10">
        <v>12</v>
      </c>
      <c r="F236" s="12">
        <v>2.98</v>
      </c>
      <c r="G236" s="10">
        <v>25</v>
      </c>
      <c r="H236" s="10">
        <v>35</v>
      </c>
      <c r="I236" s="9">
        <v>150</v>
      </c>
      <c r="J236" s="10">
        <v>235</v>
      </c>
      <c r="K236" s="11">
        <v>942</v>
      </c>
      <c r="L236" s="12">
        <v>48.3</v>
      </c>
      <c r="M236" s="9">
        <v>0.12789012791537699</v>
      </c>
      <c r="N236" s="9">
        <v>0.15399797461207199</v>
      </c>
      <c r="O236" s="9">
        <v>0.188767186781895</v>
      </c>
      <c r="P236" s="9">
        <v>0.36999663347029599</v>
      </c>
      <c r="Q236" s="9">
        <v>0.104602151081381</v>
      </c>
      <c r="R236" s="9">
        <v>0.17739282607220899</v>
      </c>
      <c r="S236" s="13">
        <v>0.24442614664837317</v>
      </c>
      <c r="T236" s="9">
        <v>0.15656725810990199</v>
      </c>
      <c r="U236" s="9">
        <v>0.219974951915309</v>
      </c>
      <c r="V236" s="9">
        <v>0.18188336534192301</v>
      </c>
      <c r="W236" s="9">
        <v>0.183410283609653</v>
      </c>
      <c r="X236" s="9">
        <v>0.276745431930631</v>
      </c>
      <c r="Y236" s="9">
        <v>0.20560198493052301</v>
      </c>
      <c r="Z236" s="12">
        <v>0.16</v>
      </c>
      <c r="AA236" s="12">
        <v>0.16920059472353</v>
      </c>
      <c r="AB236" s="12">
        <f t="shared" si="6"/>
        <v>-9.2005947235299923E-3</v>
      </c>
      <c r="AC236" s="14">
        <v>0.18134808592282201</v>
      </c>
      <c r="AD236" s="14">
        <f t="shared" si="7"/>
        <v>-2.1348085922822002E-2</v>
      </c>
    </row>
    <row r="237" spans="1:30" ht="15" x14ac:dyDescent="0.2">
      <c r="B237" s="10">
        <v>20</v>
      </c>
      <c r="C237" s="11">
        <v>528</v>
      </c>
      <c r="D237" s="11">
        <v>3</v>
      </c>
      <c r="E237" s="10">
        <v>12</v>
      </c>
      <c r="F237" s="12">
        <v>2.98</v>
      </c>
      <c r="G237" s="10">
        <v>25</v>
      </c>
      <c r="H237" s="10">
        <v>35</v>
      </c>
      <c r="I237" s="9">
        <v>150</v>
      </c>
      <c r="J237" s="10">
        <v>235</v>
      </c>
      <c r="K237" s="11">
        <v>942</v>
      </c>
      <c r="L237" s="12">
        <v>50.6</v>
      </c>
      <c r="M237" s="9">
        <v>0.134526678686815</v>
      </c>
      <c r="N237" s="9">
        <v>0.16198932933092799</v>
      </c>
      <c r="O237" s="9">
        <v>0.19775610043817499</v>
      </c>
      <c r="P237" s="9">
        <v>0.40607340272023401</v>
      </c>
      <c r="Q237" s="9">
        <v>0.109852110596796</v>
      </c>
      <c r="R237" s="9">
        <v>0.18584010350421901</v>
      </c>
      <c r="S237" s="13">
        <v>0.25783302330921021</v>
      </c>
      <c r="T237" s="9">
        <v>0.16454653547471401</v>
      </c>
      <c r="U237" s="9">
        <v>0.23044994962556201</v>
      </c>
      <c r="V237" s="9">
        <v>0.19116095244436401</v>
      </c>
      <c r="W237" s="9">
        <v>0.19383862186164499</v>
      </c>
      <c r="X237" s="9">
        <v>0.29538570883430298</v>
      </c>
      <c r="Y237" s="9">
        <v>0.21946262135852901</v>
      </c>
      <c r="Z237" s="12">
        <v>0.18</v>
      </c>
      <c r="AA237" s="12">
        <v>0.17871200070263199</v>
      </c>
      <c r="AB237" s="12">
        <f t="shared" si="6"/>
        <v>1.2879992973680032E-3</v>
      </c>
      <c r="AC237" s="14">
        <v>0.192407433731655</v>
      </c>
      <c r="AD237" s="14">
        <f t="shared" si="7"/>
        <v>-1.240743373165501E-2</v>
      </c>
    </row>
    <row r="238" spans="1:30" ht="15" x14ac:dyDescent="0.2">
      <c r="B238" s="10">
        <v>20</v>
      </c>
      <c r="C238" s="11">
        <v>528</v>
      </c>
      <c r="D238" s="11">
        <v>3</v>
      </c>
      <c r="E238" s="10">
        <v>12</v>
      </c>
      <c r="F238" s="12">
        <v>2.98</v>
      </c>
      <c r="G238" s="10">
        <v>25</v>
      </c>
      <c r="H238" s="10">
        <v>35</v>
      </c>
      <c r="I238" s="9">
        <v>150</v>
      </c>
      <c r="J238" s="10">
        <v>235</v>
      </c>
      <c r="K238" s="11">
        <v>942</v>
      </c>
      <c r="L238" s="12">
        <v>56.35</v>
      </c>
      <c r="M238" s="9">
        <v>0.151118055615412</v>
      </c>
      <c r="N238" s="9">
        <v>0.18196771612807</v>
      </c>
      <c r="O238" s="9">
        <v>0.220228384578877</v>
      </c>
      <c r="P238" s="9">
        <v>0.50360652889012403</v>
      </c>
      <c r="Q238" s="9">
        <v>0.122977009385335</v>
      </c>
      <c r="R238" s="9">
        <v>0.20695829708424399</v>
      </c>
      <c r="S238" s="13">
        <v>0.29135021496130303</v>
      </c>
      <c r="T238" s="9">
        <v>0.18449472888674601</v>
      </c>
      <c r="U238" s="9">
        <v>0.25663744390119397</v>
      </c>
      <c r="V238" s="9">
        <v>0.21441488506666001</v>
      </c>
      <c r="W238" s="9">
        <v>0.21969048608792299</v>
      </c>
      <c r="X238" s="9">
        <v>0.343422302050856</v>
      </c>
      <c r="Y238" s="9">
        <v>0.25515459972437698</v>
      </c>
      <c r="Z238" s="12">
        <v>0.18</v>
      </c>
      <c r="AA238" s="12">
        <v>0.202490515650387</v>
      </c>
      <c r="AB238" s="12">
        <f t="shared" si="6"/>
        <v>-2.2490515650387011E-2</v>
      </c>
      <c r="AC238" s="14">
        <v>0.220055803253739</v>
      </c>
      <c r="AD238" s="14">
        <f t="shared" si="7"/>
        <v>-4.0055803253739003E-2</v>
      </c>
    </row>
    <row r="239" spans="1:30" ht="15" x14ac:dyDescent="0.2">
      <c r="B239" s="10">
        <v>20</v>
      </c>
      <c r="C239" s="11">
        <v>528</v>
      </c>
      <c r="D239" s="11">
        <v>3</v>
      </c>
      <c r="E239" s="10">
        <v>12</v>
      </c>
      <c r="F239" s="12">
        <v>2.98</v>
      </c>
      <c r="G239" s="10">
        <v>25</v>
      </c>
      <c r="H239" s="10">
        <v>35</v>
      </c>
      <c r="I239" s="9">
        <v>150</v>
      </c>
      <c r="J239" s="10">
        <v>235</v>
      </c>
      <c r="K239" s="11">
        <v>942</v>
      </c>
      <c r="L239" s="12">
        <v>62.674999999999997</v>
      </c>
      <c r="M239" s="9">
        <v>0.16936857023686799</v>
      </c>
      <c r="N239" s="9">
        <v>0.20394394160492499</v>
      </c>
      <c r="O239" s="9">
        <v>0.24494789713364901</v>
      </c>
      <c r="P239" s="9">
        <v>0.62300595270132997</v>
      </c>
      <c r="Q239" s="9">
        <v>0.13741439805272701</v>
      </c>
      <c r="R239" s="9">
        <v>0.230188310022272</v>
      </c>
      <c r="S239" s="13">
        <v>0.32821912577860507</v>
      </c>
      <c r="T239" s="9">
        <v>0.20643774163998099</v>
      </c>
      <c r="U239" s="9">
        <v>0.28544368760438898</v>
      </c>
      <c r="V239" s="9">
        <v>0.240074487953088</v>
      </c>
      <c r="W239" s="9">
        <v>0.24780687665029499</v>
      </c>
      <c r="X239" s="9">
        <v>0.39863179116872999</v>
      </c>
      <c r="Y239" s="9">
        <v>0.29613241496493498</v>
      </c>
      <c r="Z239" s="12">
        <v>0.2</v>
      </c>
      <c r="AA239" s="12">
        <v>0.228646882092917</v>
      </c>
      <c r="AB239" s="12">
        <f t="shared" si="6"/>
        <v>-2.8646882092916992E-2</v>
      </c>
      <c r="AC239" s="14">
        <v>0.25046900972803199</v>
      </c>
      <c r="AD239" s="14">
        <f t="shared" si="7"/>
        <v>-5.0469009728031977E-2</v>
      </c>
    </row>
    <row r="240" spans="1:30" ht="15" x14ac:dyDescent="0.2">
      <c r="B240" s="10">
        <v>20</v>
      </c>
      <c r="C240" s="11">
        <v>528</v>
      </c>
      <c r="D240" s="11">
        <v>3</v>
      </c>
      <c r="E240" s="10">
        <v>12</v>
      </c>
      <c r="F240" s="12">
        <v>2.98</v>
      </c>
      <c r="G240" s="10">
        <v>25</v>
      </c>
      <c r="H240" s="10">
        <v>35</v>
      </c>
      <c r="I240" s="9">
        <v>150</v>
      </c>
      <c r="J240" s="10">
        <v>235</v>
      </c>
      <c r="K240" s="11">
        <v>942</v>
      </c>
      <c r="L240" s="12">
        <v>68.424999999999997</v>
      </c>
      <c r="M240" s="9">
        <v>0.18595994716546399</v>
      </c>
      <c r="N240" s="9">
        <v>0.22392232840206699</v>
      </c>
      <c r="O240" s="9">
        <v>0.26742018127435102</v>
      </c>
      <c r="P240" s="9">
        <v>0.74256268800635705</v>
      </c>
      <c r="Q240" s="9">
        <v>0.15053929684126599</v>
      </c>
      <c r="R240" s="9">
        <v>0.251306503602297</v>
      </c>
      <c r="S240" s="13">
        <v>0.36173631743069773</v>
      </c>
      <c r="T240" s="9">
        <v>0.22638593505201199</v>
      </c>
      <c r="U240" s="9">
        <v>0.31163118188002098</v>
      </c>
      <c r="V240" s="9">
        <v>0.263458738723444</v>
      </c>
      <c r="W240" s="9">
        <v>0.27311614914308802</v>
      </c>
      <c r="X240" s="9">
        <v>0.45097608725740101</v>
      </c>
      <c r="Y240" s="9">
        <v>0.33494555521828301</v>
      </c>
      <c r="Z240" s="12">
        <v>0.2</v>
      </c>
      <c r="AA240" s="12">
        <v>0.25242539704067202</v>
      </c>
      <c r="AB240" s="12">
        <f t="shared" si="6"/>
        <v>-5.2425397040672006E-2</v>
      </c>
      <c r="AC240" s="14">
        <v>0.27811737925011598</v>
      </c>
      <c r="AD240" s="14">
        <f t="shared" si="7"/>
        <v>-7.811737925011597E-2</v>
      </c>
    </row>
    <row r="241" spans="1:30" ht="15" x14ac:dyDescent="0.2">
      <c r="B241" s="10">
        <v>20</v>
      </c>
      <c r="C241" s="11">
        <v>528</v>
      </c>
      <c r="D241" s="11">
        <v>3</v>
      </c>
      <c r="E241" s="10">
        <v>12</v>
      </c>
      <c r="F241" s="12">
        <v>2.98</v>
      </c>
      <c r="G241" s="10">
        <v>25</v>
      </c>
      <c r="H241" s="10">
        <v>35</v>
      </c>
      <c r="I241" s="9">
        <v>150</v>
      </c>
      <c r="J241" s="10">
        <v>235</v>
      </c>
      <c r="K241" s="11">
        <v>942</v>
      </c>
      <c r="L241" s="12">
        <v>73.599999999999994</v>
      </c>
      <c r="M241" s="9">
        <v>0.20089218640120099</v>
      </c>
      <c r="N241" s="9">
        <v>0.24190287651949399</v>
      </c>
      <c r="O241" s="9">
        <v>0.28764523700098199</v>
      </c>
      <c r="P241" s="9">
        <v>0.85913050492875898</v>
      </c>
      <c r="Q241" s="9">
        <v>0.16235170575095001</v>
      </c>
      <c r="R241" s="9">
        <v>0.27031287782431901</v>
      </c>
      <c r="S241" s="13">
        <v>0.39190178991758118</v>
      </c>
      <c r="T241" s="9">
        <v>0.24433930912284099</v>
      </c>
      <c r="U241" s="9">
        <v>0.33519992672809001</v>
      </c>
      <c r="V241" s="9">
        <v>0.28454228650135799</v>
      </c>
      <c r="W241" s="9">
        <v>0.29571760717115197</v>
      </c>
      <c r="X241" s="9">
        <v>0.49983980419228302</v>
      </c>
      <c r="Y241" s="9">
        <v>0.37216252705915798</v>
      </c>
      <c r="Z241" s="12">
        <v>0.2</v>
      </c>
      <c r="AA241" s="12">
        <v>0.27382606049365099</v>
      </c>
      <c r="AB241" s="12">
        <f t="shared" si="6"/>
        <v>-7.382606049365098E-2</v>
      </c>
      <c r="AC241" s="14">
        <v>0.303000911819991</v>
      </c>
      <c r="AD241" s="14">
        <f t="shared" si="7"/>
        <v>-0.10300091181999099</v>
      </c>
    </row>
    <row r="242" spans="1:30" ht="15" x14ac:dyDescent="0.2">
      <c r="B242" s="10">
        <v>20</v>
      </c>
      <c r="C242" s="11">
        <v>528</v>
      </c>
      <c r="D242" s="11">
        <v>3</v>
      </c>
      <c r="E242" s="10">
        <v>12</v>
      </c>
      <c r="F242" s="12">
        <v>2.98</v>
      </c>
      <c r="G242" s="10">
        <v>25</v>
      </c>
      <c r="H242" s="10">
        <v>35</v>
      </c>
      <c r="I242" s="9">
        <v>150</v>
      </c>
      <c r="J242" s="10">
        <v>235</v>
      </c>
      <c r="K242" s="11">
        <v>942</v>
      </c>
      <c r="L242" s="12">
        <v>79.924999999999997</v>
      </c>
      <c r="M242" s="9">
        <v>0.21914270102265701</v>
      </c>
      <c r="N242" s="9">
        <v>0.26387910199634901</v>
      </c>
      <c r="O242" s="9">
        <v>0.31000433689657803</v>
      </c>
      <c r="P242" s="9">
        <v>0.99788456375838896</v>
      </c>
      <c r="Q242" s="9">
        <v>0.17678909441834301</v>
      </c>
      <c r="R242" s="9">
        <v>0.29354289076234602</v>
      </c>
      <c r="S242" s="13">
        <v>0.42877070073488316</v>
      </c>
      <c r="T242" s="9">
        <v>0.26628232187607598</v>
      </c>
      <c r="U242" s="9">
        <v>0.36400617043128503</v>
      </c>
      <c r="V242" s="9">
        <v>0.31035102243774199</v>
      </c>
      <c r="W242" s="9">
        <v>0.32314461847797399</v>
      </c>
      <c r="X242" s="9">
        <v>0.56181854068062798</v>
      </c>
      <c r="Y242" s="9">
        <v>0.418017760948381</v>
      </c>
      <c r="Z242" s="12">
        <v>0.22</v>
      </c>
      <c r="AA242" s="12">
        <v>0.29998242693618099</v>
      </c>
      <c r="AB242" s="12">
        <f t="shared" si="6"/>
        <v>-7.9982426936180989E-2</v>
      </c>
      <c r="AC242" s="14">
        <v>0.33052135777379099</v>
      </c>
      <c r="AD242" s="14">
        <f t="shared" si="7"/>
        <v>-0.11052135777379099</v>
      </c>
    </row>
    <row r="243" spans="1:30" ht="15" x14ac:dyDescent="0.2">
      <c r="A243" s="9" t="s">
        <v>80</v>
      </c>
      <c r="B243" s="10">
        <v>28</v>
      </c>
      <c r="C243" s="11">
        <v>400</v>
      </c>
      <c r="D243" s="11">
        <v>4</v>
      </c>
      <c r="E243" s="10">
        <v>16</v>
      </c>
      <c r="F243" s="12">
        <v>5.3084743571011099</v>
      </c>
      <c r="G243" s="10">
        <v>30</v>
      </c>
      <c r="H243" s="10">
        <v>44</v>
      </c>
      <c r="I243" s="9">
        <v>200</v>
      </c>
      <c r="J243" s="10">
        <v>300</v>
      </c>
      <c r="K243" s="11">
        <v>2463</v>
      </c>
      <c r="L243" s="12">
        <v>78.75</v>
      </c>
      <c r="M243" s="9">
        <v>5.6084396803587601E-2</v>
      </c>
      <c r="N243" s="9">
        <v>7.28407994883951E-2</v>
      </c>
      <c r="O243" s="9">
        <v>0.11044982359729399</v>
      </c>
      <c r="P243" s="9">
        <v>7.3361377368608205E-2</v>
      </c>
      <c r="Q243" s="9">
        <v>4.5640522399196401E-2</v>
      </c>
      <c r="R243" s="9">
        <v>0.12192305235777701</v>
      </c>
      <c r="S243" s="13">
        <v>0.12976679780807773</v>
      </c>
      <c r="T243" s="9">
        <v>9.59824202295676E-2</v>
      </c>
      <c r="U243" s="9">
        <v>0.13074880349069801</v>
      </c>
      <c r="V243" s="9">
        <v>9.3514236611009299E-2</v>
      </c>
      <c r="W243" s="9">
        <v>6.76476530429682E-2</v>
      </c>
      <c r="X243" s="9">
        <v>9.4967994331934993E-2</v>
      </c>
      <c r="Y243" s="9">
        <v>7.1454274505946797E-2</v>
      </c>
      <c r="Z243" s="12">
        <v>0.22</v>
      </c>
      <c r="AA243" s="12">
        <v>6.76476530429682E-2</v>
      </c>
      <c r="AB243" s="12">
        <f t="shared" si="6"/>
        <v>0.15235234695703181</v>
      </c>
      <c r="AC243" s="14">
        <v>6.76476530429682E-2</v>
      </c>
      <c r="AD243" s="14">
        <f t="shared" si="7"/>
        <v>0.15235234695703181</v>
      </c>
    </row>
    <row r="244" spans="1:30" ht="15" x14ac:dyDescent="0.2">
      <c r="B244" s="10">
        <v>28</v>
      </c>
      <c r="C244" s="11">
        <v>400</v>
      </c>
      <c r="D244" s="11">
        <v>4</v>
      </c>
      <c r="E244" s="10">
        <v>16</v>
      </c>
      <c r="F244" s="12">
        <v>5.3084743571011099</v>
      </c>
      <c r="G244" s="10">
        <v>30</v>
      </c>
      <c r="H244" s="10">
        <v>44</v>
      </c>
      <c r="I244" s="9">
        <v>200</v>
      </c>
      <c r="J244" s="10">
        <v>300</v>
      </c>
      <c r="K244" s="11">
        <v>2463</v>
      </c>
      <c r="L244" s="12">
        <v>105.075</v>
      </c>
      <c r="M244" s="9">
        <v>8.0101861653241901E-2</v>
      </c>
      <c r="N244" s="9">
        <v>0.10403399119659799</v>
      </c>
      <c r="O244" s="9">
        <v>0.14737162177124699</v>
      </c>
      <c r="P244" s="9">
        <v>0.130606607583203</v>
      </c>
      <c r="Q244" s="9">
        <v>6.2121500476060701E-2</v>
      </c>
      <c r="R244" s="9">
        <v>0.162680187003091</v>
      </c>
      <c r="S244" s="13">
        <v>0.18875394277060942</v>
      </c>
      <c r="T244" s="9">
        <v>0.13284240909810599</v>
      </c>
      <c r="U244" s="9">
        <v>0.17445626065758901</v>
      </c>
      <c r="V244" s="9">
        <v>0.127640879756934</v>
      </c>
      <c r="W244" s="9">
        <v>0.11131626203563701</v>
      </c>
      <c r="X244" s="9">
        <v>0.15084000211537099</v>
      </c>
      <c r="Y244" s="9">
        <v>0.117245309088525</v>
      </c>
      <c r="Z244" s="12">
        <v>0.25</v>
      </c>
      <c r="AA244" s="12">
        <v>0.10459254586081899</v>
      </c>
      <c r="AB244" s="12">
        <f t="shared" si="6"/>
        <v>0.14540745413918099</v>
      </c>
      <c r="AC244" s="14">
        <v>0.10634972385684199</v>
      </c>
      <c r="AD244" s="14">
        <f t="shared" si="7"/>
        <v>0.14365027614315801</v>
      </c>
    </row>
    <row r="245" spans="1:30" ht="15" x14ac:dyDescent="0.2">
      <c r="B245" s="10">
        <v>28</v>
      </c>
      <c r="C245" s="11">
        <v>400</v>
      </c>
      <c r="D245" s="11">
        <v>4</v>
      </c>
      <c r="E245" s="10">
        <v>16</v>
      </c>
      <c r="F245" s="12">
        <v>5.3084743571011099</v>
      </c>
      <c r="G245" s="10">
        <v>30</v>
      </c>
      <c r="H245" s="10">
        <v>44</v>
      </c>
      <c r="I245" s="9">
        <v>200</v>
      </c>
      <c r="J245" s="10">
        <v>300</v>
      </c>
      <c r="K245" s="11">
        <v>2463</v>
      </c>
      <c r="L245" s="12">
        <v>120.15</v>
      </c>
      <c r="M245" s="9">
        <v>9.3855452635522599E-2</v>
      </c>
      <c r="N245" s="9">
        <v>0.12189675909787701</v>
      </c>
      <c r="O245" s="9">
        <v>0.16851487371701501</v>
      </c>
      <c r="P245" s="9">
        <v>0.170770913672839</v>
      </c>
      <c r="Q245" s="9">
        <v>7.1559325528624096E-2</v>
      </c>
      <c r="R245" s="9">
        <v>0.18601974274015101</v>
      </c>
      <c r="S245" s="13">
        <v>0.22253290612522156</v>
      </c>
      <c r="T245" s="9">
        <v>0.15395026597154299</v>
      </c>
      <c r="U245" s="9">
        <v>0.19948531732580799</v>
      </c>
      <c r="V245" s="9">
        <v>0.147593909126845</v>
      </c>
      <c r="W245" s="9">
        <v>0.136423888414447</v>
      </c>
      <c r="X245" s="9">
        <v>0.184109571423236</v>
      </c>
      <c r="Y245" s="9">
        <v>0.145176339065343</v>
      </c>
      <c r="Z245" s="12">
        <v>0.28999999999999998</v>
      </c>
      <c r="AA245" s="12">
        <v>0.12574902294454501</v>
      </c>
      <c r="AB245" s="12">
        <f t="shared" si="6"/>
        <v>0.16425097705545497</v>
      </c>
      <c r="AC245" s="14">
        <v>0.13185876427251</v>
      </c>
      <c r="AD245" s="14">
        <f t="shared" si="7"/>
        <v>0.15814123572748998</v>
      </c>
    </row>
    <row r="246" spans="1:30" ht="15" x14ac:dyDescent="0.2">
      <c r="B246" s="10">
        <v>28</v>
      </c>
      <c r="C246" s="11">
        <v>400</v>
      </c>
      <c r="D246" s="11">
        <v>4</v>
      </c>
      <c r="E246" s="10">
        <v>16</v>
      </c>
      <c r="F246" s="12">
        <v>5.3084743571011099</v>
      </c>
      <c r="G246" s="10">
        <v>30</v>
      </c>
      <c r="H246" s="10">
        <v>44</v>
      </c>
      <c r="I246" s="9">
        <v>200</v>
      </c>
      <c r="J246" s="10">
        <v>300</v>
      </c>
      <c r="K246" s="11">
        <v>2463</v>
      </c>
      <c r="L246" s="12">
        <v>137.47499999999999</v>
      </c>
      <c r="M246" s="9">
        <v>0.109661818391278</v>
      </c>
      <c r="N246" s="9">
        <v>0.142425611760541</v>
      </c>
      <c r="O246" s="9">
        <v>0.192813834908419</v>
      </c>
      <c r="P246" s="9">
        <v>0.22357014498470301</v>
      </c>
      <c r="Q246" s="9">
        <v>8.2405781186047605E-2</v>
      </c>
      <c r="R246" s="9">
        <v>0.21284281425886201</v>
      </c>
      <c r="S246" s="13">
        <v>0.26135350580141753</v>
      </c>
      <c r="T246" s="9">
        <v>0.17820854924400001</v>
      </c>
      <c r="U246" s="9">
        <v>0.22825005409376201</v>
      </c>
      <c r="V246" s="9">
        <v>0.17076220416677501</v>
      </c>
      <c r="W246" s="9">
        <v>0.164748506490624</v>
      </c>
      <c r="X246" s="9">
        <v>0.22349104287806501</v>
      </c>
      <c r="Y246" s="9">
        <v>0.17881311370995601</v>
      </c>
      <c r="Z246" s="12">
        <v>0.31</v>
      </c>
      <c r="AA246" s="12">
        <v>0.15006318317509601</v>
      </c>
      <c r="AB246" s="12">
        <f t="shared" si="6"/>
        <v>0.15993681682490399</v>
      </c>
      <c r="AC246" s="14">
        <v>0.16117512415320401</v>
      </c>
      <c r="AD246" s="14">
        <f t="shared" si="7"/>
        <v>0.14882487584679599</v>
      </c>
    </row>
    <row r="247" spans="1:30" ht="15" x14ac:dyDescent="0.2">
      <c r="B247" s="10">
        <v>28</v>
      </c>
      <c r="C247" s="11">
        <v>400</v>
      </c>
      <c r="D247" s="11">
        <v>4</v>
      </c>
      <c r="E247" s="10">
        <v>16</v>
      </c>
      <c r="F247" s="12">
        <v>5.3084743571011099</v>
      </c>
      <c r="G247" s="10">
        <v>30</v>
      </c>
      <c r="H247" s="10">
        <v>44</v>
      </c>
      <c r="I247" s="9">
        <v>200</v>
      </c>
      <c r="J247" s="10">
        <v>300</v>
      </c>
      <c r="K247" s="11">
        <v>2463</v>
      </c>
      <c r="L247" s="12">
        <v>164.47499999999999</v>
      </c>
      <c r="M247" s="9">
        <v>0.134295115672975</v>
      </c>
      <c r="N247" s="9">
        <v>0.17441862889715901</v>
      </c>
      <c r="O247" s="9">
        <v>0.23068234585606301</v>
      </c>
      <c r="P247" s="9">
        <v>0.320011909976056</v>
      </c>
      <c r="Q247" s="9">
        <v>9.9309348444370005E-2</v>
      </c>
      <c r="R247" s="9">
        <v>0.25464500363867199</v>
      </c>
      <c r="S247" s="13">
        <v>0.32185314166042434</v>
      </c>
      <c r="T247" s="9">
        <v>0.21601366603224401</v>
      </c>
      <c r="U247" s="9">
        <v>0.27307821529057302</v>
      </c>
      <c r="V247" s="9">
        <v>0.20722172617713999</v>
      </c>
      <c r="W247" s="9">
        <v>0.20791828758297501</v>
      </c>
      <c r="X247" s="9">
        <v>0.28730870481149501</v>
      </c>
      <c r="Y247" s="9">
        <v>0.23451085819970199</v>
      </c>
      <c r="Z247" s="12">
        <v>0.33</v>
      </c>
      <c r="AA247" s="12">
        <v>0.18795538093699399</v>
      </c>
      <c r="AB247" s="12">
        <f t="shared" si="6"/>
        <v>0.14204461906300603</v>
      </c>
      <c r="AC247" s="14">
        <v>0.20686295773350699</v>
      </c>
      <c r="AD247" s="14">
        <f t="shared" si="7"/>
        <v>0.12313704226649302</v>
      </c>
    </row>
    <row r="248" spans="1:30" ht="15" x14ac:dyDescent="0.2">
      <c r="B248" s="10">
        <v>28</v>
      </c>
      <c r="C248" s="11">
        <v>400</v>
      </c>
      <c r="D248" s="11">
        <v>4</v>
      </c>
      <c r="E248" s="10">
        <v>16</v>
      </c>
      <c r="F248" s="12">
        <v>5.3084743571011099</v>
      </c>
      <c r="G248" s="10">
        <v>30</v>
      </c>
      <c r="H248" s="10">
        <v>44</v>
      </c>
      <c r="I248" s="9">
        <v>200</v>
      </c>
      <c r="J248" s="10">
        <v>300</v>
      </c>
      <c r="K248" s="11">
        <v>2463</v>
      </c>
      <c r="L248" s="12">
        <v>178.2</v>
      </c>
      <c r="M248" s="9">
        <v>0.146817041791171</v>
      </c>
      <c r="N248" s="9">
        <v>0.190681745941607</v>
      </c>
      <c r="O248" s="9">
        <v>0.249932172254449</v>
      </c>
      <c r="P248" s="9">
        <v>0.37564857970402199</v>
      </c>
      <c r="Q248" s="9">
        <v>0.10790199513401701</v>
      </c>
      <c r="R248" s="9">
        <v>0.275894449906742</v>
      </c>
      <c r="S248" s="13">
        <v>0.35260712322208626</v>
      </c>
      <c r="T248" s="9">
        <v>0.23523126706626901</v>
      </c>
      <c r="U248" s="9">
        <v>0.29586586389895198</v>
      </c>
      <c r="V248" s="9">
        <v>0.22587572620277699</v>
      </c>
      <c r="W248" s="9">
        <v>0.22947156593928</v>
      </c>
      <c r="X248" s="9">
        <v>0.32089078548170402</v>
      </c>
      <c r="Y248" s="9">
        <v>0.26435429775630498</v>
      </c>
      <c r="Z248" s="12">
        <v>0.34</v>
      </c>
      <c r="AA248" s="12">
        <v>0.20721724813262599</v>
      </c>
      <c r="AB248" s="12">
        <f t="shared" si="6"/>
        <v>0.13278275186737404</v>
      </c>
      <c r="AC248" s="14">
        <v>0.23008760647015999</v>
      </c>
      <c r="AD248" s="14">
        <f t="shared" si="7"/>
        <v>0.10991239352984003</v>
      </c>
    </row>
    <row r="249" spans="1:30" ht="15" x14ac:dyDescent="0.2">
      <c r="B249" s="10">
        <v>28</v>
      </c>
      <c r="C249" s="11">
        <v>400</v>
      </c>
      <c r="D249" s="11">
        <v>4</v>
      </c>
      <c r="E249" s="10">
        <v>16</v>
      </c>
      <c r="F249" s="12">
        <v>5.3084743571011099</v>
      </c>
      <c r="G249" s="10">
        <v>30</v>
      </c>
      <c r="H249" s="10">
        <v>44</v>
      </c>
      <c r="I249" s="9">
        <v>200</v>
      </c>
      <c r="J249" s="10">
        <v>300</v>
      </c>
      <c r="K249" s="11">
        <v>2463</v>
      </c>
      <c r="L249" s="12">
        <v>198.22499999999999</v>
      </c>
      <c r="M249" s="9">
        <v>0.16508673727509601</v>
      </c>
      <c r="N249" s="9">
        <v>0.214409900317933</v>
      </c>
      <c r="O249" s="9">
        <v>0.27358028479302099</v>
      </c>
      <c r="P249" s="9">
        <v>0.45009793258907599</v>
      </c>
      <c r="Q249" s="9">
        <v>0.120438807517273</v>
      </c>
      <c r="R249" s="9">
        <v>0.30689774036343298</v>
      </c>
      <c r="S249" s="13">
        <v>0.39747768648418291</v>
      </c>
      <c r="T249" s="9">
        <v>0.26327006201754999</v>
      </c>
      <c r="U249" s="9">
        <v>0.32911341678658601</v>
      </c>
      <c r="V249" s="9">
        <v>0.24956102424659499</v>
      </c>
      <c r="W249" s="9">
        <v>0.26051337936518798</v>
      </c>
      <c r="X249" s="9">
        <v>0.37126773559201398</v>
      </c>
      <c r="Y249" s="9">
        <v>0.31110805096063598</v>
      </c>
      <c r="Z249" s="12">
        <v>0.37</v>
      </c>
      <c r="AA249" s="12">
        <v>0.23532062813936599</v>
      </c>
      <c r="AB249" s="12">
        <f t="shared" si="6"/>
        <v>0.134679371860634</v>
      </c>
      <c r="AC249" s="14">
        <v>0.26397274970888401</v>
      </c>
      <c r="AD249" s="14">
        <f t="shared" si="7"/>
        <v>0.10602725029111598</v>
      </c>
    </row>
    <row r="250" spans="1:30" ht="15" x14ac:dyDescent="0.2">
      <c r="A250" s="9" t="s">
        <v>81</v>
      </c>
      <c r="B250" s="10">
        <v>15.9</v>
      </c>
      <c r="C250" s="11">
        <v>392</v>
      </c>
      <c r="D250" s="11">
        <v>2</v>
      </c>
      <c r="E250" s="10">
        <v>46</v>
      </c>
      <c r="F250" s="12">
        <v>2.8258773978663201</v>
      </c>
      <c r="G250" s="10">
        <v>30</v>
      </c>
      <c r="H250" s="10">
        <v>38</v>
      </c>
      <c r="I250" s="9">
        <v>150</v>
      </c>
      <c r="J250" s="10">
        <v>250</v>
      </c>
      <c r="K250" s="11">
        <v>397.2</v>
      </c>
      <c r="L250" s="12">
        <v>27.1</v>
      </c>
      <c r="M250" s="9">
        <v>0.24981880799060699</v>
      </c>
      <c r="N250" s="9">
        <v>0.25478881615385301</v>
      </c>
      <c r="O250" s="9">
        <v>0.28199361842550302</v>
      </c>
      <c r="P250" s="9">
        <v>0.43113366848373103</v>
      </c>
      <c r="Q250" s="9">
        <v>0.243478633841056</v>
      </c>
      <c r="R250" s="9">
        <v>0.27246081076315698</v>
      </c>
      <c r="S250" s="13">
        <v>0.30877551535385822</v>
      </c>
      <c r="T250" s="9">
        <v>0.19708565182586599</v>
      </c>
      <c r="U250" s="9">
        <v>0.30288745462493399</v>
      </c>
      <c r="V250" s="9">
        <v>0.29702172941567501</v>
      </c>
      <c r="W250" s="9">
        <v>0.31568745144897498</v>
      </c>
      <c r="X250" s="9">
        <v>0.33535424363244698</v>
      </c>
      <c r="Y250" s="9">
        <v>0.31439514627007398</v>
      </c>
      <c r="Z250" s="12">
        <v>0.2</v>
      </c>
      <c r="AA250" s="12">
        <v>0.267289298730918</v>
      </c>
      <c r="AB250" s="12">
        <f t="shared" si="6"/>
        <v>-6.728929873091799E-2</v>
      </c>
      <c r="AC250" s="14">
        <v>0.31773914093066102</v>
      </c>
      <c r="AD250" s="14">
        <f t="shared" si="7"/>
        <v>-0.11773914093066101</v>
      </c>
    </row>
    <row r="251" spans="1:30" ht="15" x14ac:dyDescent="0.2">
      <c r="B251" s="10">
        <v>15.9</v>
      </c>
      <c r="C251" s="11">
        <v>392</v>
      </c>
      <c r="D251" s="11">
        <v>2</v>
      </c>
      <c r="E251" s="10">
        <v>46</v>
      </c>
      <c r="F251" s="12">
        <v>2.8258773978663201</v>
      </c>
      <c r="G251" s="10">
        <v>30</v>
      </c>
      <c r="H251" s="10">
        <v>38</v>
      </c>
      <c r="I251" s="9">
        <v>150</v>
      </c>
      <c r="J251" s="10">
        <v>250</v>
      </c>
      <c r="K251" s="11">
        <v>397.2</v>
      </c>
      <c r="L251" s="12">
        <v>35.6</v>
      </c>
      <c r="M251" s="9">
        <v>0.27432948922960299</v>
      </c>
      <c r="N251" s="9">
        <v>0.27978712395237199</v>
      </c>
      <c r="O251" s="9">
        <v>0.29185886340253198</v>
      </c>
      <c r="P251" s="9">
        <v>0.461826822418196</v>
      </c>
      <c r="Q251" s="9">
        <v>0.26626281210622399</v>
      </c>
      <c r="R251" s="9">
        <v>0.29553599084879201</v>
      </c>
      <c r="S251" s="13">
        <v>0.33817812649890866</v>
      </c>
      <c r="T251" s="9">
        <v>0.21484833224410799</v>
      </c>
      <c r="U251" s="9">
        <v>0.328539520114915</v>
      </c>
      <c r="V251" s="9">
        <v>0.29702172941567501</v>
      </c>
      <c r="W251" s="9">
        <v>0.34949955409107297</v>
      </c>
      <c r="X251" s="9">
        <v>0.37632763568334299</v>
      </c>
      <c r="Y251" s="9">
        <v>0.35639546092798002</v>
      </c>
      <c r="Z251" s="12">
        <v>0.35</v>
      </c>
      <c r="AA251" s="12">
        <v>0.29702172941567501</v>
      </c>
      <c r="AB251" s="12">
        <f t="shared" si="6"/>
        <v>5.2978270584324971E-2</v>
      </c>
      <c r="AC251" s="14">
        <v>0.356474413156604</v>
      </c>
      <c r="AD251" s="14">
        <f t="shared" si="7"/>
        <v>-6.4744131566040197E-3</v>
      </c>
    </row>
    <row r="252" spans="1:30" ht="15" x14ac:dyDescent="0.2">
      <c r="A252" s="9" t="s">
        <v>82</v>
      </c>
      <c r="B252" s="10">
        <v>15.9</v>
      </c>
      <c r="C252" s="11">
        <v>392</v>
      </c>
      <c r="D252" s="11">
        <v>2</v>
      </c>
      <c r="E252" s="10">
        <v>46</v>
      </c>
      <c r="F252" s="12">
        <v>2.8258773978663201</v>
      </c>
      <c r="G252" s="10">
        <v>30</v>
      </c>
      <c r="H252" s="10">
        <v>38</v>
      </c>
      <c r="I252" s="9">
        <v>150</v>
      </c>
      <c r="J252" s="10">
        <v>250</v>
      </c>
      <c r="K252" s="11">
        <v>397.2</v>
      </c>
      <c r="L252" s="12">
        <v>27.2</v>
      </c>
      <c r="M252" s="9">
        <v>0.25088674352315199</v>
      </c>
      <c r="N252" s="9">
        <v>0.25587799767807301</v>
      </c>
      <c r="O252" s="9">
        <v>0.28303418528316199</v>
      </c>
      <c r="P252" s="9">
        <v>0.43432133725167599</v>
      </c>
      <c r="Q252" s="9">
        <v>0.24447134527620501</v>
      </c>
      <c r="R252" s="9">
        <v>0.27346620120877801</v>
      </c>
      <c r="S252" s="13">
        <v>0.31005659330045815</v>
      </c>
      <c r="T252" s="9">
        <v>0.197859575544547</v>
      </c>
      <c r="U252" s="9">
        <v>0.30400512050915901</v>
      </c>
      <c r="V252" s="9">
        <v>0.29702172941567501</v>
      </c>
      <c r="W252" s="9">
        <v>0.31717126021214198</v>
      </c>
      <c r="X252" s="9">
        <v>0.337124155337029</v>
      </c>
      <c r="Y252" s="9">
        <v>0.316198173352992</v>
      </c>
      <c r="Z252" s="12">
        <v>0.2</v>
      </c>
      <c r="AA252" s="12">
        <v>0.268584746984175</v>
      </c>
      <c r="AB252" s="12">
        <f t="shared" si="6"/>
        <v>-6.8584746984174993E-2</v>
      </c>
      <c r="AC252" s="14">
        <v>0.31942684488182999</v>
      </c>
      <c r="AD252" s="14">
        <f t="shared" si="7"/>
        <v>-0.11942684488182997</v>
      </c>
    </row>
    <row r="253" spans="1:30" ht="15" x14ac:dyDescent="0.2">
      <c r="B253" s="10">
        <v>15.9</v>
      </c>
      <c r="C253" s="11">
        <v>392</v>
      </c>
      <c r="D253" s="11">
        <v>2</v>
      </c>
      <c r="E253" s="10">
        <v>46</v>
      </c>
      <c r="F253" s="12">
        <v>2.8258773978663201</v>
      </c>
      <c r="G253" s="10">
        <v>30</v>
      </c>
      <c r="H253" s="10">
        <v>38</v>
      </c>
      <c r="I253" s="9">
        <v>150</v>
      </c>
      <c r="J253" s="10">
        <v>250</v>
      </c>
      <c r="K253" s="11">
        <v>397.2</v>
      </c>
      <c r="L253" s="12">
        <v>35.6</v>
      </c>
      <c r="M253" s="9">
        <v>0.27432948922960299</v>
      </c>
      <c r="N253" s="9">
        <v>0.27978712395237199</v>
      </c>
      <c r="O253" s="9">
        <v>0.29185886340253198</v>
      </c>
      <c r="P253" s="9">
        <v>0.461826822418196</v>
      </c>
      <c r="Q253" s="9">
        <v>0.26626281210622399</v>
      </c>
      <c r="R253" s="9">
        <v>0.29553599084879201</v>
      </c>
      <c r="S253" s="13">
        <v>0.33817812649890866</v>
      </c>
      <c r="T253" s="9">
        <v>0.21484833224410799</v>
      </c>
      <c r="U253" s="9">
        <v>0.328539520114915</v>
      </c>
      <c r="V253" s="9">
        <v>0.29702172941567501</v>
      </c>
      <c r="W253" s="9">
        <v>0.34949955409107297</v>
      </c>
      <c r="X253" s="9">
        <v>0.37632763568334299</v>
      </c>
      <c r="Y253" s="9">
        <v>0.35639546092798002</v>
      </c>
      <c r="Z253" s="12">
        <v>0.25</v>
      </c>
      <c r="AA253" s="12">
        <v>0.29702172941567501</v>
      </c>
      <c r="AB253" s="12">
        <f t="shared" si="6"/>
        <v>-4.7021729415675007E-2</v>
      </c>
      <c r="AC253" s="14">
        <v>0.356474413156604</v>
      </c>
      <c r="AD253" s="14">
        <f t="shared" si="7"/>
        <v>-0.106474413156604</v>
      </c>
    </row>
    <row r="254" spans="1:30" ht="15" x14ac:dyDescent="0.2">
      <c r="A254" s="9" t="s">
        <v>83</v>
      </c>
      <c r="B254" s="10">
        <v>15.9</v>
      </c>
      <c r="C254" s="11">
        <v>392</v>
      </c>
      <c r="D254" s="11">
        <v>2</v>
      </c>
      <c r="E254" s="10">
        <v>46</v>
      </c>
      <c r="F254" s="12">
        <v>2.8258773978663201</v>
      </c>
      <c r="G254" s="10">
        <v>30</v>
      </c>
      <c r="H254" s="10">
        <v>38</v>
      </c>
      <c r="I254" s="9">
        <v>150</v>
      </c>
      <c r="J254" s="10">
        <v>250</v>
      </c>
      <c r="K254" s="11">
        <v>397.2</v>
      </c>
      <c r="L254" s="12">
        <v>27.2</v>
      </c>
      <c r="M254" s="9">
        <v>0.25088674352315199</v>
      </c>
      <c r="N254" s="9">
        <v>0.25587799767807301</v>
      </c>
      <c r="O254" s="9">
        <v>0.28303418528316199</v>
      </c>
      <c r="P254" s="9">
        <v>0.43432133725167599</v>
      </c>
      <c r="Q254" s="9">
        <v>0.24447134527620501</v>
      </c>
      <c r="R254" s="9">
        <v>0.27346620120877801</v>
      </c>
      <c r="S254" s="13">
        <v>0.31005659330045815</v>
      </c>
      <c r="T254" s="9">
        <v>0.197859575544547</v>
      </c>
      <c r="U254" s="9">
        <v>0.30400512050915901</v>
      </c>
      <c r="V254" s="9">
        <v>0.29702172941567501</v>
      </c>
      <c r="W254" s="9">
        <v>0.31717126021214198</v>
      </c>
      <c r="X254" s="9">
        <v>0.337124155337029</v>
      </c>
      <c r="Y254" s="9">
        <v>0.316198173352992</v>
      </c>
      <c r="Z254" s="12">
        <v>0.2</v>
      </c>
      <c r="AA254" s="12">
        <v>0.268584746984175</v>
      </c>
      <c r="AB254" s="12">
        <f t="shared" si="6"/>
        <v>-6.8584746984174993E-2</v>
      </c>
      <c r="AC254" s="14">
        <v>0.31942684488182999</v>
      </c>
      <c r="AD254" s="14">
        <f t="shared" si="7"/>
        <v>-0.11942684488182997</v>
      </c>
    </row>
    <row r="255" spans="1:30" ht="15" x14ac:dyDescent="0.2">
      <c r="B255" s="10">
        <v>15.9</v>
      </c>
      <c r="C255" s="11">
        <v>392</v>
      </c>
      <c r="D255" s="11">
        <v>2</v>
      </c>
      <c r="E255" s="10">
        <v>46</v>
      </c>
      <c r="F255" s="12">
        <v>2.8258773978663201</v>
      </c>
      <c r="G255" s="10">
        <v>30</v>
      </c>
      <c r="H255" s="10">
        <v>38</v>
      </c>
      <c r="I255" s="9">
        <v>150</v>
      </c>
      <c r="J255" s="10">
        <v>250</v>
      </c>
      <c r="K255" s="11">
        <v>397.2</v>
      </c>
      <c r="L255" s="12">
        <v>35.6</v>
      </c>
      <c r="M255" s="9">
        <v>0.27432948922960299</v>
      </c>
      <c r="N255" s="9">
        <v>0.27978712395237199</v>
      </c>
      <c r="O255" s="9">
        <v>0.29185886340253198</v>
      </c>
      <c r="P255" s="9">
        <v>0.461826822418196</v>
      </c>
      <c r="Q255" s="9">
        <v>0.26626281210622399</v>
      </c>
      <c r="R255" s="9">
        <v>0.29553599084879201</v>
      </c>
      <c r="S255" s="13">
        <v>0.33817812649890866</v>
      </c>
      <c r="T255" s="9">
        <v>0.21484833224410799</v>
      </c>
      <c r="U255" s="9">
        <v>0.328539520114915</v>
      </c>
      <c r="V255" s="9">
        <v>0.29702172941567501</v>
      </c>
      <c r="W255" s="9">
        <v>0.34949955409107297</v>
      </c>
      <c r="X255" s="9">
        <v>0.37632763568334299</v>
      </c>
      <c r="Y255" s="9">
        <v>0.35639546092798002</v>
      </c>
      <c r="Z255" s="12">
        <v>0.25</v>
      </c>
      <c r="AA255" s="12">
        <v>0.29702172941567501</v>
      </c>
      <c r="AB255" s="12">
        <f t="shared" si="6"/>
        <v>-4.7021729415675007E-2</v>
      </c>
      <c r="AC255" s="14">
        <v>0.356474413156604</v>
      </c>
      <c r="AD255" s="14">
        <f t="shared" si="7"/>
        <v>-0.106474413156604</v>
      </c>
    </row>
    <row r="256" spans="1:30" ht="15" x14ac:dyDescent="0.2">
      <c r="A256" s="9" t="s">
        <v>84</v>
      </c>
      <c r="B256" s="10">
        <v>15.9</v>
      </c>
      <c r="C256" s="11">
        <v>392</v>
      </c>
      <c r="D256" s="11">
        <v>2</v>
      </c>
      <c r="E256" s="10">
        <v>46</v>
      </c>
      <c r="F256" s="12">
        <v>2.8258773978663201</v>
      </c>
      <c r="G256" s="10">
        <v>30</v>
      </c>
      <c r="H256" s="10">
        <v>38</v>
      </c>
      <c r="I256" s="9">
        <v>150</v>
      </c>
      <c r="J256" s="10">
        <v>250</v>
      </c>
      <c r="K256" s="11">
        <v>397.2</v>
      </c>
      <c r="L256" s="12">
        <v>27.3</v>
      </c>
      <c r="M256" s="9">
        <v>0.25195467905569802</v>
      </c>
      <c r="N256" s="9">
        <v>0.25696717920229201</v>
      </c>
      <c r="O256" s="9">
        <v>0.28407475214082101</v>
      </c>
      <c r="P256" s="9">
        <v>0.43752074697272603</v>
      </c>
      <c r="Q256" s="9">
        <v>0.24546405671135299</v>
      </c>
      <c r="R256" s="9">
        <v>0.27447159165439799</v>
      </c>
      <c r="S256" s="13">
        <v>0.31133767124705813</v>
      </c>
      <c r="T256" s="9">
        <v>0.19863349926322801</v>
      </c>
      <c r="U256" s="9">
        <v>0.30512278639338403</v>
      </c>
      <c r="V256" s="9">
        <v>0.29702172941567501</v>
      </c>
      <c r="W256" s="9">
        <v>0.31865406613021802</v>
      </c>
      <c r="X256" s="9">
        <v>0.33889546171847201</v>
      </c>
      <c r="Y256" s="9">
        <v>0.31800365452792401</v>
      </c>
      <c r="Z256" s="12">
        <v>0.2</v>
      </c>
      <c r="AA256" s="12">
        <v>0.26988019523743301</v>
      </c>
      <c r="AB256" s="12">
        <f t="shared" si="6"/>
        <v>-6.9880195237432996E-2</v>
      </c>
      <c r="AC256" s="14">
        <v>0.321114548833</v>
      </c>
      <c r="AD256" s="14">
        <f t="shared" si="7"/>
        <v>-0.12111454883299999</v>
      </c>
    </row>
    <row r="257" spans="1:30" ht="15" x14ac:dyDescent="0.2">
      <c r="B257" s="10">
        <v>15.9</v>
      </c>
      <c r="C257" s="11">
        <v>392</v>
      </c>
      <c r="D257" s="11">
        <v>2</v>
      </c>
      <c r="E257" s="10">
        <v>46</v>
      </c>
      <c r="F257" s="12">
        <v>2.8258773978663201</v>
      </c>
      <c r="G257" s="10">
        <v>30</v>
      </c>
      <c r="H257" s="10">
        <v>38</v>
      </c>
      <c r="I257" s="9">
        <v>150</v>
      </c>
      <c r="J257" s="10">
        <v>250</v>
      </c>
      <c r="K257" s="11">
        <v>397.2</v>
      </c>
      <c r="L257" s="12">
        <v>35.700000000000003</v>
      </c>
      <c r="M257" s="9">
        <v>0.27432948922960299</v>
      </c>
      <c r="N257" s="9">
        <v>0.27978712395237199</v>
      </c>
      <c r="O257" s="9">
        <v>0.29185886340253198</v>
      </c>
      <c r="P257" s="9">
        <v>0.461826822418196</v>
      </c>
      <c r="Q257" s="9">
        <v>0.26626281210622399</v>
      </c>
      <c r="R257" s="9">
        <v>0.29553599084879201</v>
      </c>
      <c r="S257" s="13">
        <v>0.33817812649890866</v>
      </c>
      <c r="T257" s="9">
        <v>0.21484833224410799</v>
      </c>
      <c r="U257" s="9">
        <v>0.328539520114915</v>
      </c>
      <c r="V257" s="9">
        <v>0.29702172941567501</v>
      </c>
      <c r="W257" s="9">
        <v>0.34949955409107297</v>
      </c>
      <c r="X257" s="9">
        <v>0.37632763568334299</v>
      </c>
      <c r="Y257" s="9">
        <v>0.35639546092798002</v>
      </c>
      <c r="Z257" s="12">
        <v>0.3</v>
      </c>
      <c r="AA257" s="12">
        <v>0.29702172941567501</v>
      </c>
      <c r="AB257" s="12">
        <f t="shared" si="6"/>
        <v>2.9782705843249824E-3</v>
      </c>
      <c r="AC257" s="14">
        <v>0.356474413156604</v>
      </c>
      <c r="AD257" s="14">
        <f t="shared" si="7"/>
        <v>-5.6474413156604009E-2</v>
      </c>
    </row>
    <row r="258" spans="1:30" ht="15" x14ac:dyDescent="0.2">
      <c r="A258" s="9" t="s">
        <v>85</v>
      </c>
      <c r="B258" s="10">
        <v>12.7</v>
      </c>
      <c r="C258" s="11">
        <v>392</v>
      </c>
      <c r="D258" s="11">
        <v>2</v>
      </c>
      <c r="E258" s="10">
        <v>52</v>
      </c>
      <c r="F258" s="12">
        <v>2.9208758709847902</v>
      </c>
      <c r="G258" s="10">
        <v>30</v>
      </c>
      <c r="H258" s="10">
        <v>36.5</v>
      </c>
      <c r="I258" s="9">
        <v>150</v>
      </c>
      <c r="J258" s="10">
        <v>250</v>
      </c>
      <c r="K258" s="11">
        <v>253.4</v>
      </c>
      <c r="L258" s="12">
        <v>15.6</v>
      </c>
      <c r="M258" s="9">
        <v>0.231810802807599</v>
      </c>
      <c r="N258" s="9">
        <v>0.22003405864266901</v>
      </c>
      <c r="O258" s="9">
        <v>0.24661873508292401</v>
      </c>
      <c r="P258" s="9">
        <v>0.25333162419306499</v>
      </c>
      <c r="Q258" s="9">
        <v>0.23677888448534601</v>
      </c>
      <c r="R258" s="9">
        <v>0.25140813378365101</v>
      </c>
      <c r="S258" s="13">
        <v>0.23964603892529618</v>
      </c>
      <c r="T258" s="9">
        <v>0.16697779297207399</v>
      </c>
      <c r="U258" s="9">
        <v>0.25182342460354601</v>
      </c>
      <c r="V258" s="9">
        <v>0.27183155367374301</v>
      </c>
      <c r="W258" s="9">
        <v>0.27297834654866499</v>
      </c>
      <c r="X258" s="9">
        <v>0.24327202135404999</v>
      </c>
      <c r="Y258" s="9">
        <v>0.228119075064356</v>
      </c>
      <c r="Z258" s="12">
        <v>0.15</v>
      </c>
      <c r="AA258" s="12">
        <v>0.21302068526037099</v>
      </c>
      <c r="AB258" s="12">
        <f t="shared" si="6"/>
        <v>-6.3020685260370995E-2</v>
      </c>
      <c r="AC258" s="14">
        <v>0.26705922088184098</v>
      </c>
      <c r="AD258" s="14">
        <f t="shared" si="7"/>
        <v>-0.11705922088184098</v>
      </c>
    </row>
    <row r="259" spans="1:30" ht="15" x14ac:dyDescent="0.2">
      <c r="B259" s="10">
        <v>12.7</v>
      </c>
      <c r="C259" s="11">
        <v>392</v>
      </c>
      <c r="D259" s="11">
        <v>2</v>
      </c>
      <c r="E259" s="10">
        <v>52</v>
      </c>
      <c r="F259" s="12">
        <v>2.9208758709847902</v>
      </c>
      <c r="G259" s="10">
        <v>30</v>
      </c>
      <c r="H259" s="10">
        <v>36.5</v>
      </c>
      <c r="I259" s="9">
        <v>150</v>
      </c>
      <c r="J259" s="10">
        <v>250</v>
      </c>
      <c r="K259" s="11">
        <v>253.4</v>
      </c>
      <c r="L259" s="12">
        <v>19.600000000000001</v>
      </c>
      <c r="M259" s="9">
        <v>0.304600353772294</v>
      </c>
      <c r="N259" s="9">
        <v>0.28912566322518801</v>
      </c>
      <c r="O259" s="9">
        <v>0.29271457269954598</v>
      </c>
      <c r="P259" s="9">
        <v>0.35688308472413</v>
      </c>
      <c r="Q259" s="9">
        <v>0.30404573484726</v>
      </c>
      <c r="R259" s="9">
        <v>0.31102671634078199</v>
      </c>
      <c r="S259" s="13">
        <v>0.30467873514325156</v>
      </c>
      <c r="T259" s="9">
        <v>0.20988664557260001</v>
      </c>
      <c r="U259" s="9">
        <v>0.31154048866029499</v>
      </c>
      <c r="V259" s="9">
        <v>0.29227907742116799</v>
      </c>
      <c r="W259" s="9">
        <v>0.36814735008662097</v>
      </c>
      <c r="X259" s="9">
        <v>0.33863759947357802</v>
      </c>
      <c r="Y259" s="9">
        <v>0.32708247015811498</v>
      </c>
      <c r="Z259" s="12">
        <v>0.2</v>
      </c>
      <c r="AA259" s="12">
        <v>0.29227907742116799</v>
      </c>
      <c r="AB259" s="12">
        <f t="shared" ref="AB259:AB322" si="8">Z259-AA259</f>
        <v>-9.2279077421167977E-2</v>
      </c>
      <c r="AC259" s="14">
        <v>0.37829420906230998</v>
      </c>
      <c r="AD259" s="14">
        <f t="shared" ref="AD259:AD322" si="9">Z259-AC259</f>
        <v>-0.17829420906230997</v>
      </c>
    </row>
    <row r="260" spans="1:30" ht="15" x14ac:dyDescent="0.2">
      <c r="A260" s="9" t="s">
        <v>86</v>
      </c>
      <c r="B260" s="10">
        <v>12.7</v>
      </c>
      <c r="C260" s="11">
        <v>392</v>
      </c>
      <c r="D260" s="11">
        <v>2</v>
      </c>
      <c r="E260" s="10">
        <v>52</v>
      </c>
      <c r="F260" s="12">
        <v>2.9208758709847902</v>
      </c>
      <c r="G260" s="10">
        <v>30</v>
      </c>
      <c r="H260" s="10">
        <v>36.5</v>
      </c>
      <c r="I260" s="9">
        <v>150</v>
      </c>
      <c r="J260" s="10">
        <v>250</v>
      </c>
      <c r="K260" s="11">
        <v>253.4</v>
      </c>
      <c r="L260" s="12">
        <v>15.7</v>
      </c>
      <c r="M260" s="9">
        <v>0.23377842684639999</v>
      </c>
      <c r="N260" s="9">
        <v>0.221901720968567</v>
      </c>
      <c r="O260" s="9">
        <v>0.24819962441037799</v>
      </c>
      <c r="P260" s="9">
        <v>0.25658987527674498</v>
      </c>
      <c r="Q260" s="9">
        <v>0.23859722063431801</v>
      </c>
      <c r="R260" s="9">
        <v>0.253019724384828</v>
      </c>
      <c r="S260" s="13">
        <v>0.24140398212855224</v>
      </c>
      <c r="T260" s="9">
        <v>0.168137691456612</v>
      </c>
      <c r="U260" s="9">
        <v>0.25343767732536399</v>
      </c>
      <c r="V260" s="9">
        <v>0.27382391747852702</v>
      </c>
      <c r="W260" s="9">
        <v>0.275616826795475</v>
      </c>
      <c r="X260" s="9">
        <v>0.24581531113439101</v>
      </c>
      <c r="Y260" s="9">
        <v>0.230712930779712</v>
      </c>
      <c r="Z260" s="12">
        <v>0.15</v>
      </c>
      <c r="AA260" s="12">
        <v>0.21516317296122101</v>
      </c>
      <c r="AB260" s="12">
        <f t="shared" si="8"/>
        <v>-6.5163172961221011E-2</v>
      </c>
      <c r="AC260" s="14">
        <v>0.27006608977715402</v>
      </c>
      <c r="AD260" s="14">
        <f t="shared" si="9"/>
        <v>-0.12006608977715402</v>
      </c>
    </row>
    <row r="261" spans="1:30" ht="15" x14ac:dyDescent="0.2">
      <c r="B261" s="10">
        <v>12.7</v>
      </c>
      <c r="C261" s="11">
        <v>392</v>
      </c>
      <c r="D261" s="11">
        <v>2</v>
      </c>
      <c r="E261" s="10">
        <v>52</v>
      </c>
      <c r="F261" s="12">
        <v>2.9208758709847902</v>
      </c>
      <c r="G261" s="10">
        <v>30</v>
      </c>
      <c r="H261" s="10">
        <v>36.5</v>
      </c>
      <c r="I261" s="9">
        <v>150</v>
      </c>
      <c r="J261" s="10">
        <v>250</v>
      </c>
      <c r="K261" s="11">
        <v>253.4</v>
      </c>
      <c r="L261" s="12">
        <v>19.600000000000001</v>
      </c>
      <c r="M261" s="9">
        <v>0.304600353772294</v>
      </c>
      <c r="N261" s="9">
        <v>0.28912566322518801</v>
      </c>
      <c r="O261" s="9">
        <v>0.29271457269954598</v>
      </c>
      <c r="P261" s="9">
        <v>0.35688308472413</v>
      </c>
      <c r="Q261" s="9">
        <v>0.30404573484726</v>
      </c>
      <c r="R261" s="9">
        <v>0.31102671634078199</v>
      </c>
      <c r="S261" s="13">
        <v>0.30467873514325156</v>
      </c>
      <c r="T261" s="9">
        <v>0.20988664557260001</v>
      </c>
      <c r="U261" s="9">
        <v>0.31154048866029499</v>
      </c>
      <c r="V261" s="9">
        <v>0.29227907742116799</v>
      </c>
      <c r="W261" s="9">
        <v>0.36814735008662097</v>
      </c>
      <c r="X261" s="9">
        <v>0.33863759947357802</v>
      </c>
      <c r="Y261" s="9">
        <v>0.32708247015811498</v>
      </c>
      <c r="Z261" s="12">
        <v>0.2</v>
      </c>
      <c r="AA261" s="12">
        <v>0.29227907742116799</v>
      </c>
      <c r="AB261" s="12">
        <f t="shared" si="8"/>
        <v>-9.2279077421167977E-2</v>
      </c>
      <c r="AC261" s="14">
        <v>0.37829420906230998</v>
      </c>
      <c r="AD261" s="14">
        <f t="shared" si="9"/>
        <v>-0.17829420906230997</v>
      </c>
    </row>
    <row r="262" spans="1:30" ht="15" x14ac:dyDescent="0.2">
      <c r="A262" s="9" t="s">
        <v>87</v>
      </c>
      <c r="B262" s="10">
        <v>15.9</v>
      </c>
      <c r="C262" s="11">
        <v>392</v>
      </c>
      <c r="D262" s="11">
        <v>2</v>
      </c>
      <c r="E262" s="10">
        <v>46</v>
      </c>
      <c r="F262" s="12">
        <v>2.9208758709847902</v>
      </c>
      <c r="G262" s="10">
        <v>30</v>
      </c>
      <c r="H262" s="10">
        <v>38</v>
      </c>
      <c r="I262" s="9">
        <v>150</v>
      </c>
      <c r="J262" s="10">
        <v>250</v>
      </c>
      <c r="K262" s="11">
        <v>397.2</v>
      </c>
      <c r="L262" s="12">
        <v>19.5</v>
      </c>
      <c r="M262" s="9">
        <v>0.16749190626511001</v>
      </c>
      <c r="N262" s="9">
        <v>0.170714257577712</v>
      </c>
      <c r="O262" s="9">
        <v>0.20291053724344299</v>
      </c>
      <c r="P262" s="9">
        <v>0.215964712364801</v>
      </c>
      <c r="Q262" s="9">
        <v>0.16787418419359601</v>
      </c>
      <c r="R262" s="9">
        <v>0.200146386095679</v>
      </c>
      <c r="S262" s="13">
        <v>0.21110994442958303</v>
      </c>
      <c r="T262" s="9">
        <v>0.13814397477016799</v>
      </c>
      <c r="U262" s="9">
        <v>0.217616872047867</v>
      </c>
      <c r="V262" s="9">
        <v>0.209877623809549</v>
      </c>
      <c r="W262" s="9">
        <v>0.197474466598235</v>
      </c>
      <c r="X262" s="9">
        <v>0.20057815088324199</v>
      </c>
      <c r="Y262" s="9">
        <v>0.180282019879628</v>
      </c>
      <c r="Z262" s="12">
        <v>0.15</v>
      </c>
      <c r="AA262" s="12">
        <v>0.16593842049260599</v>
      </c>
      <c r="AB262" s="12">
        <f t="shared" si="8"/>
        <v>-1.5938420492605992E-2</v>
      </c>
      <c r="AC262" s="14">
        <v>0.18715407179110799</v>
      </c>
      <c r="AD262" s="14">
        <f t="shared" si="9"/>
        <v>-3.7154071791107995E-2</v>
      </c>
    </row>
    <row r="263" spans="1:30" ht="15" x14ac:dyDescent="0.2">
      <c r="B263" s="10">
        <v>15.9</v>
      </c>
      <c r="C263" s="11">
        <v>392</v>
      </c>
      <c r="D263" s="11">
        <v>2</v>
      </c>
      <c r="E263" s="10">
        <v>46</v>
      </c>
      <c r="F263" s="12">
        <v>2.9208758709847902</v>
      </c>
      <c r="G263" s="10">
        <v>30</v>
      </c>
      <c r="H263" s="10">
        <v>38</v>
      </c>
      <c r="I263" s="9">
        <v>150</v>
      </c>
      <c r="J263" s="10">
        <v>250</v>
      </c>
      <c r="K263" s="11">
        <v>397.2</v>
      </c>
      <c r="L263" s="12">
        <v>27.4</v>
      </c>
      <c r="M263" s="9">
        <v>0.251925495788488</v>
      </c>
      <c r="N263" s="9">
        <v>0.25677225208933901</v>
      </c>
      <c r="O263" s="9">
        <v>0.28511531899847897</v>
      </c>
      <c r="P263" s="9">
        <v>0.42639754754766002</v>
      </c>
      <c r="Q263" s="9">
        <v>0.24623422313174201</v>
      </c>
      <c r="R263" s="9">
        <v>0.28123133225751801</v>
      </c>
      <c r="S263" s="13">
        <v>0.31218477580125376</v>
      </c>
      <c r="T263" s="9">
        <v>0.199233925569371</v>
      </c>
      <c r="U263" s="9">
        <v>0.30577960482623401</v>
      </c>
      <c r="V263" s="9">
        <v>0.29428835920144603</v>
      </c>
      <c r="W263" s="9">
        <v>0.31855611740347201</v>
      </c>
      <c r="X263" s="9">
        <v>0.33508114429698799</v>
      </c>
      <c r="Y263" s="9">
        <v>0.31421204909575401</v>
      </c>
      <c r="Z263" s="12">
        <v>0.25</v>
      </c>
      <c r="AA263" s="12">
        <v>0.26816066312683401</v>
      </c>
      <c r="AB263" s="12">
        <f t="shared" si="8"/>
        <v>-1.8160663126834009E-2</v>
      </c>
      <c r="AC263" s="14">
        <v>0.32130197860869097</v>
      </c>
      <c r="AD263" s="14">
        <f t="shared" si="9"/>
        <v>-7.1301978608690975E-2</v>
      </c>
    </row>
    <row r="264" spans="1:30" ht="15" x14ac:dyDescent="0.2">
      <c r="B264" s="10">
        <v>15.9</v>
      </c>
      <c r="C264" s="11">
        <v>392</v>
      </c>
      <c r="D264" s="11">
        <v>2</v>
      </c>
      <c r="E264" s="10">
        <v>46</v>
      </c>
      <c r="F264" s="12">
        <v>2.9208758709847902</v>
      </c>
      <c r="G264" s="10">
        <v>30</v>
      </c>
      <c r="H264" s="10">
        <v>38</v>
      </c>
      <c r="I264" s="9">
        <v>150</v>
      </c>
      <c r="J264" s="10">
        <v>250</v>
      </c>
      <c r="K264" s="11">
        <v>397.2</v>
      </c>
      <c r="L264" s="12">
        <v>31.3</v>
      </c>
      <c r="M264" s="9">
        <v>0.273506465924793</v>
      </c>
      <c r="N264" s="9">
        <v>0.27876841522807899</v>
      </c>
      <c r="O264" s="9">
        <v>0.29185886340253198</v>
      </c>
      <c r="P264" s="9">
        <v>0.44680638166249398</v>
      </c>
      <c r="Q264" s="9">
        <v>0.26626281210622399</v>
      </c>
      <c r="R264" s="9">
        <v>0.301956399277652</v>
      </c>
      <c r="S264" s="13">
        <v>0.33801919702718186</v>
      </c>
      <c r="T264" s="9">
        <v>0.21484833224410799</v>
      </c>
      <c r="U264" s="9">
        <v>0.32831373270075898</v>
      </c>
      <c r="V264" s="9">
        <v>0.29428835920144603</v>
      </c>
      <c r="W264" s="9">
        <v>0.34835829619665598</v>
      </c>
      <c r="X264" s="9">
        <v>0.37079828558216998</v>
      </c>
      <c r="Y264" s="9">
        <v>0.35084038915868498</v>
      </c>
      <c r="Z264" s="12">
        <v>0.3</v>
      </c>
      <c r="AA264" s="12">
        <v>0.29428835920144603</v>
      </c>
      <c r="AB264" s="12">
        <f t="shared" si="8"/>
        <v>5.711640798553963E-3</v>
      </c>
      <c r="AC264" s="14">
        <v>0.35558977789828999</v>
      </c>
      <c r="AD264" s="14">
        <f t="shared" si="9"/>
        <v>-5.5589777898290005E-2</v>
      </c>
    </row>
    <row r="265" spans="1:30" ht="15" x14ac:dyDescent="0.2">
      <c r="A265" s="9" t="s">
        <v>88</v>
      </c>
      <c r="B265" s="10">
        <v>15.9</v>
      </c>
      <c r="C265" s="11">
        <v>392</v>
      </c>
      <c r="D265" s="11">
        <v>2</v>
      </c>
      <c r="E265" s="10">
        <v>46</v>
      </c>
      <c r="F265" s="12">
        <v>2.9208758709847902</v>
      </c>
      <c r="G265" s="10">
        <v>30</v>
      </c>
      <c r="H265" s="10">
        <v>38</v>
      </c>
      <c r="I265" s="9">
        <v>150</v>
      </c>
      <c r="J265" s="10">
        <v>250</v>
      </c>
      <c r="K265" s="11">
        <v>397.2</v>
      </c>
      <c r="L265" s="12">
        <v>19.600000000000001</v>
      </c>
      <c r="M265" s="9">
        <v>0.16856068587933001</v>
      </c>
      <c r="N265" s="9">
        <v>0.17180359928039099</v>
      </c>
      <c r="O265" s="9">
        <v>0.20395110410110201</v>
      </c>
      <c r="P265" s="9">
        <v>0.21818541460108301</v>
      </c>
      <c r="Q265" s="9">
        <v>0.16886608342066101</v>
      </c>
      <c r="R265" s="9">
        <v>0.201172777819246</v>
      </c>
      <c r="S265" s="13">
        <v>0.21238937267479413</v>
      </c>
      <c r="T265" s="9">
        <v>0.13891726528661399</v>
      </c>
      <c r="U265" s="9">
        <v>0.218732856007087</v>
      </c>
      <c r="V265" s="9">
        <v>0.21108176677691101</v>
      </c>
      <c r="W265" s="9">
        <v>0.199060186244431</v>
      </c>
      <c r="X265" s="9">
        <v>0.20222859137949001</v>
      </c>
      <c r="Y265" s="9">
        <v>0.18188401925098799</v>
      </c>
      <c r="Z265" s="12">
        <v>0.15</v>
      </c>
      <c r="AA265" s="12">
        <v>0.16723237293101401</v>
      </c>
      <c r="AB265" s="12">
        <f t="shared" si="8"/>
        <v>-1.7232372931014012E-2</v>
      </c>
      <c r="AC265" s="14">
        <v>0.18885214656095101</v>
      </c>
      <c r="AD265" s="14">
        <f t="shared" si="9"/>
        <v>-3.8852146560951012E-2</v>
      </c>
    </row>
    <row r="266" spans="1:30" ht="15" x14ac:dyDescent="0.2">
      <c r="B266" s="10">
        <v>15.9</v>
      </c>
      <c r="C266" s="11">
        <v>392</v>
      </c>
      <c r="D266" s="11">
        <v>2</v>
      </c>
      <c r="E266" s="10">
        <v>46</v>
      </c>
      <c r="F266" s="12">
        <v>2.9208758709847902</v>
      </c>
      <c r="G266" s="10">
        <v>30</v>
      </c>
      <c r="H266" s="10">
        <v>38</v>
      </c>
      <c r="I266" s="9">
        <v>150</v>
      </c>
      <c r="J266" s="10">
        <v>250</v>
      </c>
      <c r="K266" s="11">
        <v>397.2</v>
      </c>
      <c r="L266" s="12">
        <v>27.5</v>
      </c>
      <c r="M266" s="9">
        <v>0.25299427540270802</v>
      </c>
      <c r="N266" s="9">
        <v>0.25786159379201801</v>
      </c>
      <c r="O266" s="9">
        <v>0.28615588585613799</v>
      </c>
      <c r="P266" s="9">
        <v>0.42951561795103299</v>
      </c>
      <c r="Q266" s="9">
        <v>0.247226122358808</v>
      </c>
      <c r="R266" s="9">
        <v>0.28225772398108501</v>
      </c>
      <c r="S266" s="13">
        <v>0.31346420404646486</v>
      </c>
      <c r="T266" s="9">
        <v>0.20000721608581601</v>
      </c>
      <c r="U266" s="9">
        <v>0.30689558878545398</v>
      </c>
      <c r="V266" s="9">
        <v>0.29428835920144603</v>
      </c>
      <c r="W266" s="9">
        <v>0.320041510118099</v>
      </c>
      <c r="X266" s="9">
        <v>0.33683717951657399</v>
      </c>
      <c r="Y266" s="9">
        <v>0.31600307613067002</v>
      </c>
      <c r="Z266" s="12">
        <v>0.25</v>
      </c>
      <c r="AA266" s="12">
        <v>0.26945461556524197</v>
      </c>
      <c r="AB266" s="12">
        <f t="shared" si="8"/>
        <v>-1.9454615565241973E-2</v>
      </c>
      <c r="AC266" s="14">
        <v>0.32300005337853399</v>
      </c>
      <c r="AD266" s="14">
        <f t="shared" si="9"/>
        <v>-7.3000053378533991E-2</v>
      </c>
    </row>
    <row r="267" spans="1:30" ht="15" x14ac:dyDescent="0.2">
      <c r="A267" s="9" t="s">
        <v>89</v>
      </c>
      <c r="B267" s="10">
        <v>19.100000000000001</v>
      </c>
      <c r="C267" s="11">
        <v>392</v>
      </c>
      <c r="D267" s="11">
        <v>2</v>
      </c>
      <c r="E267" s="10">
        <v>40</v>
      </c>
      <c r="F267" s="12">
        <v>2.9208758709847902</v>
      </c>
      <c r="G267" s="10">
        <v>30</v>
      </c>
      <c r="H267" s="10">
        <v>39.5</v>
      </c>
      <c r="I267" s="9">
        <v>150</v>
      </c>
      <c r="J267" s="10">
        <v>250</v>
      </c>
      <c r="K267" s="11">
        <v>573</v>
      </c>
      <c r="L267" s="12">
        <v>19.7</v>
      </c>
      <c r="M267" s="9">
        <v>0.10386548783744</v>
      </c>
      <c r="N267" s="9">
        <v>0.112452206478951</v>
      </c>
      <c r="O267" s="9">
        <v>0.148149174230395</v>
      </c>
      <c r="P267" s="9">
        <v>0.13550807397378101</v>
      </c>
      <c r="Q267" s="9">
        <v>0.104570834231011</v>
      </c>
      <c r="R267" s="9">
        <v>0.141262254417484</v>
      </c>
      <c r="S267" s="13">
        <v>0.15579651010814627</v>
      </c>
      <c r="T267" s="9">
        <v>9.7961980084099301E-2</v>
      </c>
      <c r="U267" s="9">
        <v>0.165161217811746</v>
      </c>
      <c r="V267" s="9">
        <v>0.13951343158948501</v>
      </c>
      <c r="W267" s="9">
        <v>0.112341503321914</v>
      </c>
      <c r="X267" s="9">
        <v>0.129793354244817</v>
      </c>
      <c r="Y267" s="9">
        <v>0.108510124180053</v>
      </c>
      <c r="Z267" s="12">
        <v>0.15</v>
      </c>
      <c r="AA267" s="12">
        <v>0.102474345140568</v>
      </c>
      <c r="AB267" s="12">
        <f t="shared" si="8"/>
        <v>4.7525654859431998E-2</v>
      </c>
      <c r="AC267" s="14">
        <v>0.102474345140568</v>
      </c>
      <c r="AD267" s="14">
        <f t="shared" si="9"/>
        <v>4.7525654859431998E-2</v>
      </c>
    </row>
    <row r="268" spans="1:30" ht="15" x14ac:dyDescent="0.2">
      <c r="B268" s="10">
        <v>19.100000000000001</v>
      </c>
      <c r="C268" s="11">
        <v>392</v>
      </c>
      <c r="D268" s="11">
        <v>2</v>
      </c>
      <c r="E268" s="10">
        <v>40</v>
      </c>
      <c r="F268" s="12">
        <v>2.9208758709847902</v>
      </c>
      <c r="G268" s="10">
        <v>30</v>
      </c>
      <c r="H268" s="10">
        <v>39.5</v>
      </c>
      <c r="I268" s="9">
        <v>150</v>
      </c>
      <c r="J268" s="10">
        <v>250</v>
      </c>
      <c r="K268" s="11">
        <v>573</v>
      </c>
      <c r="L268" s="12">
        <v>27.5</v>
      </c>
      <c r="M268" s="9">
        <v>0.155218033571807</v>
      </c>
      <c r="N268" s="9">
        <v>0.16805014566331999</v>
      </c>
      <c r="O268" s="9">
        <v>0.20680722291045001</v>
      </c>
      <c r="P268" s="9">
        <v>0.26405725718949702</v>
      </c>
      <c r="Q268" s="9">
        <v>0.152248441958829</v>
      </c>
      <c r="R268" s="9">
        <v>0.197193502359432</v>
      </c>
      <c r="S268" s="13">
        <v>0.23426478594682273</v>
      </c>
      <c r="T268" s="9">
        <v>0.14156003614041501</v>
      </c>
      <c r="U268" s="9">
        <v>0.230554999483402</v>
      </c>
      <c r="V268" s="9">
        <v>0.20154768912832599</v>
      </c>
      <c r="W268" s="9">
        <v>0.193363664011726</v>
      </c>
      <c r="X268" s="9">
        <v>0.22193590105589101</v>
      </c>
      <c r="Y268" s="9">
        <v>0.19291168718523299</v>
      </c>
      <c r="Z268" s="12">
        <v>0.2</v>
      </c>
      <c r="AA268" s="12">
        <v>0.169135103328064</v>
      </c>
      <c r="AB268" s="12">
        <f t="shared" si="8"/>
        <v>3.086489667193601E-2</v>
      </c>
      <c r="AC268" s="14">
        <v>0.18555915799</v>
      </c>
      <c r="AD268" s="14">
        <f t="shared" si="9"/>
        <v>1.444084201000001E-2</v>
      </c>
    </row>
    <row r="269" spans="1:30" ht="15" x14ac:dyDescent="0.2">
      <c r="B269" s="10">
        <v>19.100000000000001</v>
      </c>
      <c r="C269" s="11">
        <v>392</v>
      </c>
      <c r="D269" s="11">
        <v>2</v>
      </c>
      <c r="E269" s="10">
        <v>40</v>
      </c>
      <c r="F269" s="12">
        <v>2.9208758709847902</v>
      </c>
      <c r="G269" s="10">
        <v>30</v>
      </c>
      <c r="H269" s="10">
        <v>39.5</v>
      </c>
      <c r="I269" s="9">
        <v>150</v>
      </c>
      <c r="J269" s="10">
        <v>250</v>
      </c>
      <c r="K269" s="11">
        <v>573</v>
      </c>
      <c r="L269" s="12">
        <v>35.4</v>
      </c>
      <c r="M269" s="9">
        <v>0.20722894527712599</v>
      </c>
      <c r="N269" s="9">
        <v>0.224360878939796</v>
      </c>
      <c r="O269" s="9">
        <v>0.26621729785563403</v>
      </c>
      <c r="P269" s="9">
        <v>0.43756164286888</v>
      </c>
      <c r="Q269" s="9">
        <v>0.20053730106777201</v>
      </c>
      <c r="R269" s="9">
        <v>0.25384181758268698</v>
      </c>
      <c r="S269" s="13">
        <v>0.31373906532189261</v>
      </c>
      <c r="T269" s="9">
        <v>0.18571704163335101</v>
      </c>
      <c r="U269" s="9">
        <v>0.29678716297136098</v>
      </c>
      <c r="V269" s="9">
        <v>0.26594899106323799</v>
      </c>
      <c r="W269" s="9">
        <v>0.271676124952277</v>
      </c>
      <c r="X269" s="9">
        <v>0.32145494350216203</v>
      </c>
      <c r="Y269" s="9">
        <v>0.28727170856742201</v>
      </c>
      <c r="Z269" s="12">
        <v>0.3</v>
      </c>
      <c r="AA269" s="12">
        <v>0.23665048662052801</v>
      </c>
      <c r="AB269" s="12">
        <f t="shared" si="8"/>
        <v>6.3349513379471978E-2</v>
      </c>
      <c r="AC269" s="14">
        <v>0.270411044845979</v>
      </c>
      <c r="AD269" s="14">
        <f t="shared" si="9"/>
        <v>2.9588955154020991E-2</v>
      </c>
    </row>
    <row r="270" spans="1:30" ht="15" x14ac:dyDescent="0.2">
      <c r="B270" s="10">
        <v>19.100000000000001</v>
      </c>
      <c r="C270" s="11">
        <v>392</v>
      </c>
      <c r="D270" s="11">
        <v>2</v>
      </c>
      <c r="E270" s="10">
        <v>40</v>
      </c>
      <c r="F270" s="12">
        <v>2.9208758709847902</v>
      </c>
      <c r="G270" s="10">
        <v>30</v>
      </c>
      <c r="H270" s="10">
        <v>39.5</v>
      </c>
      <c r="I270" s="9">
        <v>150</v>
      </c>
      <c r="J270" s="10">
        <v>250</v>
      </c>
      <c r="K270" s="11">
        <v>573</v>
      </c>
      <c r="L270" s="12">
        <v>43.3</v>
      </c>
      <c r="M270" s="9">
        <v>0.24621851901716399</v>
      </c>
      <c r="N270" s="9">
        <v>0.26657378033783402</v>
      </c>
      <c r="O270" s="9">
        <v>0.29484546616440799</v>
      </c>
      <c r="P270" s="9">
        <v>0.53672967860085696</v>
      </c>
      <c r="Q270" s="9">
        <v>0.23673666714921501</v>
      </c>
      <c r="R270" s="9">
        <v>0.29630778465051899</v>
      </c>
      <c r="S270" s="13">
        <v>0.37331633813892939</v>
      </c>
      <c r="T270" s="9">
        <v>0.21881899592249299</v>
      </c>
      <c r="U270" s="9">
        <v>0.34643758703827598</v>
      </c>
      <c r="V270" s="9">
        <v>0.28726286639158199</v>
      </c>
      <c r="W270" s="9">
        <v>0.32850389548935299</v>
      </c>
      <c r="X270" s="9">
        <v>0.40014731122486502</v>
      </c>
      <c r="Y270" s="9">
        <v>0.36386619856308799</v>
      </c>
      <c r="Z270" s="12">
        <v>0.33</v>
      </c>
      <c r="AA270" s="12">
        <v>0.28726286639158199</v>
      </c>
      <c r="AB270" s="12">
        <f t="shared" si="8"/>
        <v>4.2737133608418021E-2</v>
      </c>
      <c r="AC270" s="14">
        <v>0.33401959911045198</v>
      </c>
      <c r="AD270" s="14">
        <f t="shared" si="9"/>
        <v>-4.0195991104519657E-3</v>
      </c>
    </row>
    <row r="271" spans="1:30" ht="15" x14ac:dyDescent="0.2">
      <c r="A271" s="9" t="s">
        <v>90</v>
      </c>
      <c r="B271" s="10">
        <v>19.100000000000001</v>
      </c>
      <c r="C271" s="11">
        <v>392</v>
      </c>
      <c r="D271" s="11">
        <v>2</v>
      </c>
      <c r="E271" s="10">
        <v>40</v>
      </c>
      <c r="F271" s="12">
        <v>2.9208758709847902</v>
      </c>
      <c r="G271" s="10">
        <v>30</v>
      </c>
      <c r="H271" s="10">
        <v>39.5</v>
      </c>
      <c r="I271" s="9">
        <v>150</v>
      </c>
      <c r="J271" s="10">
        <v>250</v>
      </c>
      <c r="K271" s="11">
        <v>573</v>
      </c>
      <c r="L271" s="12">
        <v>19.600000000000001</v>
      </c>
      <c r="M271" s="9">
        <v>0.10320712186648701</v>
      </c>
      <c r="N271" s="9">
        <v>0.111739412386844</v>
      </c>
      <c r="O271" s="9">
        <v>0.14739714796526601</v>
      </c>
      <c r="P271" s="9">
        <v>0.13413584915294899</v>
      </c>
      <c r="Q271" s="9">
        <v>0.103959582849885</v>
      </c>
      <c r="R271" s="9">
        <v>0.140545187136177</v>
      </c>
      <c r="S271" s="13">
        <v>0.15479050657175297</v>
      </c>
      <c r="T271" s="9">
        <v>9.7403030647479794E-2</v>
      </c>
      <c r="U271" s="9">
        <v>0.16432283599544301</v>
      </c>
      <c r="V271" s="9">
        <v>0.13873428107171101</v>
      </c>
      <c r="W271" s="9">
        <v>0.111273740480514</v>
      </c>
      <c r="X271" s="9">
        <v>0.12865149929327299</v>
      </c>
      <c r="Y271" s="9">
        <v>0.10748459035664799</v>
      </c>
      <c r="Z271" s="12">
        <v>0.15</v>
      </c>
      <c r="AA271" s="12">
        <v>0.10161972003560001</v>
      </c>
      <c r="AB271" s="12">
        <f t="shared" si="8"/>
        <v>4.8380279964399989E-2</v>
      </c>
      <c r="AC271" s="14">
        <v>0.10161972003560001</v>
      </c>
      <c r="AD271" s="14">
        <f t="shared" si="9"/>
        <v>4.8380279964399989E-2</v>
      </c>
    </row>
    <row r="272" spans="1:30" ht="15" x14ac:dyDescent="0.2">
      <c r="B272" s="10">
        <v>19.100000000000001</v>
      </c>
      <c r="C272" s="11">
        <v>392</v>
      </c>
      <c r="D272" s="11">
        <v>2</v>
      </c>
      <c r="E272" s="10">
        <v>40</v>
      </c>
      <c r="F272" s="12">
        <v>2.9208758709847902</v>
      </c>
      <c r="G272" s="10">
        <v>30</v>
      </c>
      <c r="H272" s="10">
        <v>39.5</v>
      </c>
      <c r="I272" s="9">
        <v>150</v>
      </c>
      <c r="J272" s="10">
        <v>250</v>
      </c>
      <c r="K272" s="11">
        <v>573</v>
      </c>
      <c r="L272" s="12">
        <v>27.3</v>
      </c>
      <c r="M272" s="9">
        <v>0.15390130162990001</v>
      </c>
      <c r="N272" s="9">
        <v>0.16662455747910501</v>
      </c>
      <c r="O272" s="9">
        <v>0.205303170380192</v>
      </c>
      <c r="P272" s="9">
        <v>0.26023039102249301</v>
      </c>
      <c r="Q272" s="9">
        <v>0.151025939196577</v>
      </c>
      <c r="R272" s="9">
        <v>0.19575936779681799</v>
      </c>
      <c r="S272" s="13">
        <v>0.23225277887403617</v>
      </c>
      <c r="T272" s="9">
        <v>0.140442137267177</v>
      </c>
      <c r="U272" s="9">
        <v>0.228878235850795</v>
      </c>
      <c r="V272" s="9">
        <v>0.199933212915064</v>
      </c>
      <c r="W272" s="9">
        <v>0.19133681685137799</v>
      </c>
      <c r="X272" s="9">
        <v>0.21949734909128099</v>
      </c>
      <c r="Y272" s="9">
        <v>0.190638763536853</v>
      </c>
      <c r="Z272" s="12">
        <v>0.25</v>
      </c>
      <c r="AA272" s="12">
        <v>0.16742585311812799</v>
      </c>
      <c r="AB272" s="12">
        <f t="shared" si="8"/>
        <v>8.2574146881872007E-2</v>
      </c>
      <c r="AC272" s="14">
        <v>0.183411008955672</v>
      </c>
      <c r="AD272" s="14">
        <f t="shared" si="9"/>
        <v>6.6588991044328E-2</v>
      </c>
    </row>
    <row r="273" spans="1:30" ht="15" x14ac:dyDescent="0.2">
      <c r="B273" s="10">
        <v>19.100000000000001</v>
      </c>
      <c r="C273" s="11">
        <v>392</v>
      </c>
      <c r="D273" s="11">
        <v>2</v>
      </c>
      <c r="E273" s="10">
        <v>40</v>
      </c>
      <c r="F273" s="12">
        <v>2.9208758709847902</v>
      </c>
      <c r="G273" s="10">
        <v>30</v>
      </c>
      <c r="H273" s="10">
        <v>39.5</v>
      </c>
      <c r="I273" s="9">
        <v>150</v>
      </c>
      <c r="J273" s="10">
        <v>250</v>
      </c>
      <c r="K273" s="11">
        <v>573</v>
      </c>
      <c r="L273" s="12">
        <v>35.1</v>
      </c>
      <c r="M273" s="9">
        <v>0.205253847364266</v>
      </c>
      <c r="N273" s="9">
        <v>0.22222249666347399</v>
      </c>
      <c r="O273" s="9">
        <v>0.263961219060247</v>
      </c>
      <c r="P273" s="9">
        <v>0.43017676883310102</v>
      </c>
      <c r="Q273" s="9">
        <v>0.19870354692439501</v>
      </c>
      <c r="R273" s="9">
        <v>0.251690615738766</v>
      </c>
      <c r="S273" s="13">
        <v>0.31072105471271277</v>
      </c>
      <c r="T273" s="9">
        <v>0.184040193323493</v>
      </c>
      <c r="U273" s="9">
        <v>0.29427201752245102</v>
      </c>
      <c r="V273" s="9">
        <v>0.26348502590432998</v>
      </c>
      <c r="W273" s="9">
        <v>0.268758655659256</v>
      </c>
      <c r="X273" s="9">
        <v>0.31756185551983501</v>
      </c>
      <c r="Y273" s="9">
        <v>0.28352524510536697</v>
      </c>
      <c r="Z273" s="12">
        <v>0.28000000000000003</v>
      </c>
      <c r="AA273" s="12">
        <v>0.234086611305624</v>
      </c>
      <c r="AB273" s="12">
        <f t="shared" si="8"/>
        <v>4.5913388694376028E-2</v>
      </c>
      <c r="AC273" s="14">
        <v>0.26718882129448601</v>
      </c>
      <c r="AD273" s="14">
        <f t="shared" si="9"/>
        <v>1.2811178705514015E-2</v>
      </c>
    </row>
    <row r="274" spans="1:30" ht="15" x14ac:dyDescent="0.2">
      <c r="A274" s="9" t="s">
        <v>91</v>
      </c>
      <c r="B274" s="10">
        <v>15.9</v>
      </c>
      <c r="C274" s="11">
        <v>392</v>
      </c>
      <c r="D274" s="11">
        <v>2</v>
      </c>
      <c r="E274" s="10">
        <v>46</v>
      </c>
      <c r="F274" s="12">
        <v>3.3538794827423901</v>
      </c>
      <c r="G274" s="10">
        <v>30</v>
      </c>
      <c r="H274" s="10">
        <v>38</v>
      </c>
      <c r="I274" s="9">
        <v>150</v>
      </c>
      <c r="J274" s="10">
        <v>250</v>
      </c>
      <c r="K274" s="11">
        <v>397.2</v>
      </c>
      <c r="L274" s="12">
        <v>27.5</v>
      </c>
      <c r="M274" s="9">
        <v>0.247876093912795</v>
      </c>
      <c r="N274" s="9">
        <v>0.25197930642052602</v>
      </c>
      <c r="O274" s="9">
        <v>0.28615588585613799</v>
      </c>
      <c r="P274" s="9">
        <v>0.37406287588439802</v>
      </c>
      <c r="Q274" s="9">
        <v>0.24630754968100699</v>
      </c>
      <c r="R274" s="9">
        <v>0.30775363409033601</v>
      </c>
      <c r="S274" s="13">
        <v>0.31169658297083969</v>
      </c>
      <c r="T274" s="9">
        <v>0.19929109138178699</v>
      </c>
      <c r="U274" s="9">
        <v>0.30500771306213498</v>
      </c>
      <c r="V274" s="9">
        <v>0.28192769917035498</v>
      </c>
      <c r="W274" s="9">
        <v>0.31302564121596399</v>
      </c>
      <c r="X274" s="9">
        <v>0.31331008298028501</v>
      </c>
      <c r="Y274" s="9">
        <v>0.29217612216028599</v>
      </c>
      <c r="Z274" s="12">
        <v>0.2</v>
      </c>
      <c r="AA274" s="12">
        <v>0.25593185375688199</v>
      </c>
      <c r="AB274" s="12">
        <f t="shared" si="8"/>
        <v>-5.5931853756881977E-2</v>
      </c>
      <c r="AC274" s="14">
        <v>0.31638565265359397</v>
      </c>
      <c r="AD274" s="14">
        <f t="shared" si="9"/>
        <v>-0.11638565265359396</v>
      </c>
    </row>
    <row r="275" spans="1:30" ht="15" x14ac:dyDescent="0.2">
      <c r="B275" s="10">
        <v>15.9</v>
      </c>
      <c r="C275" s="11">
        <v>392</v>
      </c>
      <c r="D275" s="11">
        <v>2</v>
      </c>
      <c r="E275" s="10">
        <v>46</v>
      </c>
      <c r="F275" s="12">
        <v>3.3538794827423901</v>
      </c>
      <c r="G275" s="10">
        <v>30</v>
      </c>
      <c r="H275" s="10">
        <v>38</v>
      </c>
      <c r="I275" s="9">
        <v>150</v>
      </c>
      <c r="J275" s="10">
        <v>250</v>
      </c>
      <c r="K275" s="11">
        <v>397.2</v>
      </c>
      <c r="L275" s="12">
        <v>31.4</v>
      </c>
      <c r="M275" s="9">
        <v>0.269520780893451</v>
      </c>
      <c r="N275" s="9">
        <v>0.27398228834178301</v>
      </c>
      <c r="O275" s="9">
        <v>0.29185886340253198</v>
      </c>
      <c r="P275" s="9">
        <v>0.38912131038557102</v>
      </c>
      <c r="Q275" s="9">
        <v>0.26626281210622399</v>
      </c>
      <c r="R275" s="9">
        <v>0.33034410902974498</v>
      </c>
      <c r="S275" s="13">
        <v>0.33738838631610368</v>
      </c>
      <c r="T275" s="9">
        <v>0.21484833224410799</v>
      </c>
      <c r="U275" s="9">
        <v>0.327396625279608</v>
      </c>
      <c r="V275" s="9">
        <v>0.28192769917035498</v>
      </c>
      <c r="W275" s="9">
        <v>0.34320552405229998</v>
      </c>
      <c r="X275" s="9">
        <v>0.34760364977129998</v>
      </c>
      <c r="Y275" s="9">
        <v>0.327244920707776</v>
      </c>
      <c r="Z275" s="12">
        <v>0.22</v>
      </c>
      <c r="AA275" s="12">
        <v>0.28192769917035498</v>
      </c>
      <c r="AB275" s="12">
        <f t="shared" si="8"/>
        <v>-6.1927699170354983E-2</v>
      </c>
      <c r="AC275" s="14">
        <v>0.35162528560688699</v>
      </c>
      <c r="AD275" s="14">
        <f t="shared" si="9"/>
        <v>-0.13162528560688699</v>
      </c>
    </row>
    <row r="276" spans="1:30" ht="15" x14ac:dyDescent="0.2">
      <c r="A276" s="9" t="s">
        <v>92</v>
      </c>
      <c r="B276" s="10">
        <v>15.9</v>
      </c>
      <c r="C276" s="11">
        <v>392</v>
      </c>
      <c r="D276" s="11">
        <v>2</v>
      </c>
      <c r="E276" s="10">
        <v>46</v>
      </c>
      <c r="F276" s="12">
        <v>3.3538794827423901</v>
      </c>
      <c r="G276" s="10">
        <v>30</v>
      </c>
      <c r="H276" s="10">
        <v>38</v>
      </c>
      <c r="I276" s="9">
        <v>150</v>
      </c>
      <c r="J276" s="10">
        <v>250</v>
      </c>
      <c r="K276" s="11">
        <v>397.2</v>
      </c>
      <c r="L276" s="12">
        <v>27.5</v>
      </c>
      <c r="M276" s="9">
        <v>0.247876093912795</v>
      </c>
      <c r="N276" s="9">
        <v>0.25197930642052602</v>
      </c>
      <c r="O276" s="9">
        <v>0.28615588585613799</v>
      </c>
      <c r="P276" s="9">
        <v>0.37406287588439802</v>
      </c>
      <c r="Q276" s="9">
        <v>0.24630754968100699</v>
      </c>
      <c r="R276" s="9">
        <v>0.30775363409033601</v>
      </c>
      <c r="S276" s="13">
        <v>0.31169658297083969</v>
      </c>
      <c r="T276" s="9">
        <v>0.19929109138178699</v>
      </c>
      <c r="U276" s="9">
        <v>0.30500771306213498</v>
      </c>
      <c r="V276" s="9">
        <v>0.28192769917035498</v>
      </c>
      <c r="W276" s="9">
        <v>0.31302564121596399</v>
      </c>
      <c r="X276" s="9">
        <v>0.31331008298028501</v>
      </c>
      <c r="Y276" s="9">
        <v>0.29217612216028599</v>
      </c>
      <c r="Z276" s="12">
        <v>0.17</v>
      </c>
      <c r="AA276" s="12">
        <v>0.25593185375688199</v>
      </c>
      <c r="AB276" s="12">
        <f t="shared" si="8"/>
        <v>-8.5931853756881976E-2</v>
      </c>
      <c r="AC276" s="14">
        <v>0.31638565265359397</v>
      </c>
      <c r="AD276" s="14">
        <f t="shared" si="9"/>
        <v>-0.14638565265359396</v>
      </c>
    </row>
    <row r="277" spans="1:30" ht="15" x14ac:dyDescent="0.2">
      <c r="B277" s="10">
        <v>15.9</v>
      </c>
      <c r="C277" s="11">
        <v>392</v>
      </c>
      <c r="D277" s="11">
        <v>2</v>
      </c>
      <c r="E277" s="10">
        <v>46</v>
      </c>
      <c r="F277" s="12">
        <v>3.3538794827423901</v>
      </c>
      <c r="G277" s="10">
        <v>30</v>
      </c>
      <c r="H277" s="10">
        <v>38</v>
      </c>
      <c r="I277" s="9">
        <v>150</v>
      </c>
      <c r="J277" s="10">
        <v>250</v>
      </c>
      <c r="K277" s="11">
        <v>397.2</v>
      </c>
      <c r="L277" s="12">
        <v>31.4</v>
      </c>
      <c r="M277" s="9">
        <v>0.269520780893451</v>
      </c>
      <c r="N277" s="9">
        <v>0.27398228834178301</v>
      </c>
      <c r="O277" s="9">
        <v>0.29185886340253198</v>
      </c>
      <c r="P277" s="9">
        <v>0.38912131038557102</v>
      </c>
      <c r="Q277" s="9">
        <v>0.26626281210622399</v>
      </c>
      <c r="R277" s="9">
        <v>0.33034410902974498</v>
      </c>
      <c r="S277" s="13">
        <v>0.33738838631610368</v>
      </c>
      <c r="T277" s="9">
        <v>0.21484833224410799</v>
      </c>
      <c r="U277" s="9">
        <v>0.327396625279608</v>
      </c>
      <c r="V277" s="9">
        <v>0.28192769917035498</v>
      </c>
      <c r="W277" s="9">
        <v>0.34320552405229998</v>
      </c>
      <c r="X277" s="9">
        <v>0.34760364977129998</v>
      </c>
      <c r="Y277" s="9">
        <v>0.327244920707776</v>
      </c>
      <c r="Z277" s="12">
        <v>0.21</v>
      </c>
      <c r="AA277" s="12">
        <v>0.28192769917035498</v>
      </c>
      <c r="AB277" s="12">
        <f t="shared" si="8"/>
        <v>-7.1927699170354992E-2</v>
      </c>
      <c r="AC277" s="14">
        <v>0.35162528560688699</v>
      </c>
      <c r="AD277" s="14">
        <f t="shared" si="9"/>
        <v>-0.141625285606887</v>
      </c>
    </row>
    <row r="278" spans="1:30" ht="15" x14ac:dyDescent="0.2">
      <c r="A278" s="9" t="s">
        <v>93</v>
      </c>
      <c r="B278" s="10">
        <v>19.100000000000001</v>
      </c>
      <c r="C278" s="11">
        <v>392</v>
      </c>
      <c r="D278" s="11">
        <v>2</v>
      </c>
      <c r="E278" s="10">
        <v>40</v>
      </c>
      <c r="F278" s="12">
        <v>3.3538794827423901</v>
      </c>
      <c r="G278" s="10">
        <v>30</v>
      </c>
      <c r="H278" s="10">
        <v>39.5</v>
      </c>
      <c r="I278" s="9">
        <v>150</v>
      </c>
      <c r="J278" s="10">
        <v>250</v>
      </c>
      <c r="K278" s="11">
        <v>573</v>
      </c>
      <c r="L278" s="12">
        <v>23.4</v>
      </c>
      <c r="M278" s="9">
        <v>0.12502421040515399</v>
      </c>
      <c r="N278" s="9">
        <v>0.13495075566019701</v>
      </c>
      <c r="O278" s="9">
        <v>0.17597414604016501</v>
      </c>
      <c r="P278" s="9">
        <v>0.16650607497088099</v>
      </c>
      <c r="Q278" s="9">
        <v>0.126644840509609</v>
      </c>
      <c r="R278" s="9">
        <v>0.18287249019815299</v>
      </c>
      <c r="S278" s="13">
        <v>0.19145425081753056</v>
      </c>
      <c r="T278" s="9">
        <v>0.118147216067747</v>
      </c>
      <c r="U278" s="9">
        <v>0.194718588519085</v>
      </c>
      <c r="V278" s="9">
        <v>0.165008033992563</v>
      </c>
      <c r="W278" s="9">
        <v>0.14323409716608199</v>
      </c>
      <c r="X278" s="9">
        <v>0.156615851331663</v>
      </c>
      <c r="Y278" s="9">
        <v>0.132940303744433</v>
      </c>
      <c r="Z278" s="12">
        <v>0.17</v>
      </c>
      <c r="AA278" s="12">
        <v>0.124185684451845</v>
      </c>
      <c r="AB278" s="12">
        <f t="shared" si="8"/>
        <v>4.5814315548155016E-2</v>
      </c>
      <c r="AC278" s="14">
        <v>0.13239376928063301</v>
      </c>
      <c r="AD278" s="14">
        <f t="shared" si="9"/>
        <v>3.7606230719367001E-2</v>
      </c>
    </row>
    <row r="279" spans="1:30" ht="15" x14ac:dyDescent="0.2">
      <c r="B279" s="10">
        <v>19.100000000000001</v>
      </c>
      <c r="C279" s="11">
        <v>392</v>
      </c>
      <c r="D279" s="11">
        <v>2</v>
      </c>
      <c r="E279" s="10">
        <v>40</v>
      </c>
      <c r="F279" s="12">
        <v>3.3538794827423901</v>
      </c>
      <c r="G279" s="10">
        <v>30</v>
      </c>
      <c r="H279" s="10">
        <v>39.5</v>
      </c>
      <c r="I279" s="9">
        <v>150</v>
      </c>
      <c r="J279" s="10">
        <v>250</v>
      </c>
      <c r="K279" s="11">
        <v>573</v>
      </c>
      <c r="L279" s="12">
        <v>27.4</v>
      </c>
      <c r="M279" s="9">
        <v>0.15144280284122499</v>
      </c>
      <c r="N279" s="9">
        <v>0.16346690466184299</v>
      </c>
      <c r="O279" s="9">
        <v>0.20605519664532099</v>
      </c>
      <c r="P279" s="9">
        <v>0.228296626570857</v>
      </c>
      <c r="Q279" s="9">
        <v>0.15100219578488999</v>
      </c>
      <c r="R279" s="9">
        <v>0.21413274493288001</v>
      </c>
      <c r="S279" s="13">
        <v>0.23140163722368232</v>
      </c>
      <c r="T279" s="9">
        <v>0.14042042546906</v>
      </c>
      <c r="U279" s="9">
        <v>0.228003817325766</v>
      </c>
      <c r="V279" s="9">
        <v>0.19652209141027999</v>
      </c>
      <c r="W279" s="9">
        <v>0.18507173148334599</v>
      </c>
      <c r="X279" s="9">
        <v>0.202605707504941</v>
      </c>
      <c r="Y279" s="9">
        <v>0.175505016818047</v>
      </c>
      <c r="Z279" s="12">
        <v>0.18</v>
      </c>
      <c r="AA279" s="12">
        <v>0.15819691921097201</v>
      </c>
      <c r="AB279" s="12">
        <f t="shared" si="8"/>
        <v>2.1803080789027984E-2</v>
      </c>
      <c r="AC279" s="14">
        <v>0.17633003721722099</v>
      </c>
      <c r="AD279" s="14">
        <f t="shared" si="9"/>
        <v>3.6699627827790071E-3</v>
      </c>
    </row>
    <row r="280" spans="1:30" ht="15" x14ac:dyDescent="0.2">
      <c r="B280" s="10">
        <v>19.100000000000001</v>
      </c>
      <c r="C280" s="11">
        <v>392</v>
      </c>
      <c r="D280" s="11">
        <v>2</v>
      </c>
      <c r="E280" s="10">
        <v>40</v>
      </c>
      <c r="F280" s="12">
        <v>3.3538794827423901</v>
      </c>
      <c r="G280" s="10">
        <v>30</v>
      </c>
      <c r="H280" s="10">
        <v>39.5</v>
      </c>
      <c r="I280" s="9">
        <v>150</v>
      </c>
      <c r="J280" s="10">
        <v>250</v>
      </c>
      <c r="K280" s="11">
        <v>573</v>
      </c>
      <c r="L280" s="12">
        <v>31.3</v>
      </c>
      <c r="M280" s="9">
        <v>0.17720093046639401</v>
      </c>
      <c r="N280" s="9">
        <v>0.19127014993844799</v>
      </c>
      <c r="O280" s="9">
        <v>0.235384220985349</v>
      </c>
      <c r="P280" s="9">
        <v>0.29791134594970797</v>
      </c>
      <c r="Q280" s="9">
        <v>0.17475061717828899</v>
      </c>
      <c r="R280" s="9">
        <v>0.24461149329923901</v>
      </c>
      <c r="S280" s="13">
        <v>0.2703503389696803</v>
      </c>
      <c r="T280" s="9">
        <v>0.162136804635339</v>
      </c>
      <c r="U280" s="9">
        <v>0.260456915412281</v>
      </c>
      <c r="V280" s="9">
        <v>0.22769634035772701</v>
      </c>
      <c r="W280" s="9">
        <v>0.22480394836704401</v>
      </c>
      <c r="X280" s="9">
        <v>0.24872789677669699</v>
      </c>
      <c r="Y280" s="9">
        <v>0.21898941685735501</v>
      </c>
      <c r="Z280" s="12">
        <v>0.2</v>
      </c>
      <c r="AA280" s="12">
        <v>0.19135787310112101</v>
      </c>
      <c r="AB280" s="12">
        <f t="shared" si="8"/>
        <v>8.642126898878999E-3</v>
      </c>
      <c r="AC280" s="14">
        <v>0.219167898455395</v>
      </c>
      <c r="AD280" s="14">
        <f t="shared" si="9"/>
        <v>-1.9167898455394988E-2</v>
      </c>
    </row>
    <row r="281" spans="1:30" ht="15" x14ac:dyDescent="0.2">
      <c r="B281" s="10">
        <v>19.100000000000001</v>
      </c>
      <c r="C281" s="11">
        <v>392</v>
      </c>
      <c r="D281" s="11">
        <v>2</v>
      </c>
      <c r="E281" s="10">
        <v>40</v>
      </c>
      <c r="F281" s="12">
        <v>3.3538794827423901</v>
      </c>
      <c r="G281" s="10">
        <v>30</v>
      </c>
      <c r="H281" s="10">
        <v>39.5</v>
      </c>
      <c r="I281" s="9">
        <v>150</v>
      </c>
      <c r="J281" s="10">
        <v>250</v>
      </c>
      <c r="K281" s="11">
        <v>573</v>
      </c>
      <c r="L281" s="12">
        <v>35.299999999999997</v>
      </c>
      <c r="M281" s="9">
        <v>0.20361952290246499</v>
      </c>
      <c r="N281" s="9">
        <v>0.21978629894009399</v>
      </c>
      <c r="O281" s="9">
        <v>0.26546527159050498</v>
      </c>
      <c r="P281" s="9">
        <v>0.37892021871660603</v>
      </c>
      <c r="Q281" s="9">
        <v>0.19910797245357001</v>
      </c>
      <c r="R281" s="9">
        <v>0.27587174803396602</v>
      </c>
      <c r="S281" s="13">
        <v>0.310297725375832</v>
      </c>
      <c r="T281" s="9">
        <v>0.184410014036652</v>
      </c>
      <c r="U281" s="9">
        <v>0.293742144218962</v>
      </c>
      <c r="V281" s="9">
        <v>0.260000859463903</v>
      </c>
      <c r="W281" s="9">
        <v>0.26461971704774301</v>
      </c>
      <c r="X281" s="9">
        <v>0.297347659622406</v>
      </c>
      <c r="Y281" s="9">
        <v>0.26562347309514101</v>
      </c>
      <c r="Z281" s="12">
        <v>0.2</v>
      </c>
      <c r="AA281" s="12">
        <v>0.225369107860247</v>
      </c>
      <c r="AB281" s="12">
        <f t="shared" si="8"/>
        <v>-2.5369107860246987E-2</v>
      </c>
      <c r="AC281" s="14">
        <v>0.26310416639198297</v>
      </c>
      <c r="AD281" s="14">
        <f t="shared" si="9"/>
        <v>-6.3104166391982963E-2</v>
      </c>
    </row>
    <row r="282" spans="1:30" ht="15" x14ac:dyDescent="0.2">
      <c r="B282" s="10">
        <v>19.100000000000001</v>
      </c>
      <c r="C282" s="11">
        <v>392</v>
      </c>
      <c r="D282" s="11">
        <v>2</v>
      </c>
      <c r="E282" s="10">
        <v>40</v>
      </c>
      <c r="F282" s="12">
        <v>3.3538794827423901</v>
      </c>
      <c r="G282" s="10">
        <v>30</v>
      </c>
      <c r="H282" s="10">
        <v>39.5</v>
      </c>
      <c r="I282" s="9">
        <v>150</v>
      </c>
      <c r="J282" s="10">
        <v>250</v>
      </c>
      <c r="K282" s="11">
        <v>573</v>
      </c>
      <c r="L282" s="12">
        <v>39.1</v>
      </c>
      <c r="M282" s="9">
        <v>0.228717185716732</v>
      </c>
      <c r="N282" s="9">
        <v>0.246876640491658</v>
      </c>
      <c r="O282" s="9">
        <v>0.29404226966540398</v>
      </c>
      <c r="P282" s="9">
        <v>0.46489179720255702</v>
      </c>
      <c r="Q282" s="9">
        <v>0.22224745996508699</v>
      </c>
      <c r="R282" s="9">
        <v>0.30556899003195698</v>
      </c>
      <c r="S282" s="13">
        <v>0.34824774246167622</v>
      </c>
      <c r="T282" s="9">
        <v>0.20556956296789899</v>
      </c>
      <c r="U282" s="9">
        <v>0.32536311158530901</v>
      </c>
      <c r="V282" s="9">
        <v>0.27791169117888298</v>
      </c>
      <c r="W282" s="9">
        <v>0.30168784548245398</v>
      </c>
      <c r="X282" s="9">
        <v>0.34476982726524102</v>
      </c>
      <c r="Y282" s="9">
        <v>0.31183429695436099</v>
      </c>
      <c r="Z282" s="12">
        <v>0.25</v>
      </c>
      <c r="AA282" s="12">
        <v>0.25767978088141802</v>
      </c>
      <c r="AB282" s="12">
        <f t="shared" si="8"/>
        <v>-7.6797808814180191E-3</v>
      </c>
      <c r="AC282" s="14">
        <v>0.304843620931742</v>
      </c>
      <c r="AD282" s="14">
        <f t="shared" si="9"/>
        <v>-5.4843620931741999E-2</v>
      </c>
    </row>
    <row r="283" spans="1:30" ht="15" x14ac:dyDescent="0.2">
      <c r="B283" s="10">
        <v>19.100000000000001</v>
      </c>
      <c r="C283" s="11">
        <v>392</v>
      </c>
      <c r="D283" s="11">
        <v>2</v>
      </c>
      <c r="E283" s="10">
        <v>40</v>
      </c>
      <c r="F283" s="12">
        <v>3.3538794827423901</v>
      </c>
      <c r="G283" s="10">
        <v>30</v>
      </c>
      <c r="H283" s="10">
        <v>39.5</v>
      </c>
      <c r="I283" s="9">
        <v>150</v>
      </c>
      <c r="J283" s="10">
        <v>250</v>
      </c>
      <c r="K283" s="11">
        <v>573</v>
      </c>
      <c r="L283" s="12">
        <v>43.1</v>
      </c>
      <c r="M283" s="9">
        <v>0.24443253966190001</v>
      </c>
      <c r="N283" s="9">
        <v>0.26383974614531602</v>
      </c>
      <c r="O283" s="9">
        <v>0.29484546616440799</v>
      </c>
      <c r="P283" s="9">
        <v>0.46743503323046598</v>
      </c>
      <c r="Q283" s="9">
        <v>0.23673666714921501</v>
      </c>
      <c r="R283" s="9">
        <v>0.32416445338834599</v>
      </c>
      <c r="S283" s="13">
        <v>0.37201082969186144</v>
      </c>
      <c r="T283" s="9">
        <v>0.21881899592249299</v>
      </c>
      <c r="U283" s="9">
        <v>0.34516315025537397</v>
      </c>
      <c r="V283" s="9">
        <v>0.27791169117888298</v>
      </c>
      <c r="W283" s="9">
        <v>0.32456871429093098</v>
      </c>
      <c r="X283" s="9">
        <v>0.37507592482148999</v>
      </c>
      <c r="Y283" s="9">
        <v>0.34171677725868199</v>
      </c>
      <c r="Z283" s="12">
        <v>0.27</v>
      </c>
      <c r="AA283" s="12">
        <v>0.27791169117888298</v>
      </c>
      <c r="AB283" s="12">
        <f t="shared" si="8"/>
        <v>-7.9116911788829625E-3</v>
      </c>
      <c r="AC283" s="14">
        <v>0.33097953272659097</v>
      </c>
      <c r="AD283" s="14">
        <f t="shared" si="9"/>
        <v>-6.0979532726590957E-2</v>
      </c>
    </row>
    <row r="284" spans="1:30" ht="15" x14ac:dyDescent="0.2">
      <c r="A284" s="9" t="s">
        <v>94</v>
      </c>
      <c r="B284" s="10">
        <v>19.100000000000001</v>
      </c>
      <c r="C284" s="11">
        <v>392</v>
      </c>
      <c r="D284" s="11">
        <v>2</v>
      </c>
      <c r="E284" s="10">
        <v>40</v>
      </c>
      <c r="F284" s="12">
        <v>3.3538794827423901</v>
      </c>
      <c r="G284" s="10">
        <v>30</v>
      </c>
      <c r="H284" s="10">
        <v>39.5</v>
      </c>
      <c r="I284" s="9">
        <v>150</v>
      </c>
      <c r="J284" s="10">
        <v>250</v>
      </c>
      <c r="K284" s="11">
        <v>573</v>
      </c>
      <c r="L284" s="12">
        <v>31.3</v>
      </c>
      <c r="M284" s="9">
        <v>0.17720093046639401</v>
      </c>
      <c r="N284" s="9">
        <v>0.19127014993844799</v>
      </c>
      <c r="O284" s="9">
        <v>0.235384220985349</v>
      </c>
      <c r="P284" s="9">
        <v>0.29791134594970797</v>
      </c>
      <c r="Q284" s="9">
        <v>0.17475061717828899</v>
      </c>
      <c r="R284" s="9">
        <v>0.24461149329923901</v>
      </c>
      <c r="S284" s="13">
        <v>0.2703503389696803</v>
      </c>
      <c r="T284" s="9">
        <v>0.162136804635339</v>
      </c>
      <c r="U284" s="9">
        <v>0.260456915412281</v>
      </c>
      <c r="V284" s="9">
        <v>0.22769634035772701</v>
      </c>
      <c r="W284" s="9">
        <v>0.22480394836704401</v>
      </c>
      <c r="X284" s="9">
        <v>0.24872789677669699</v>
      </c>
      <c r="Y284" s="9">
        <v>0.21898941685735501</v>
      </c>
      <c r="Z284" s="12">
        <v>0.18</v>
      </c>
      <c r="AA284" s="12">
        <v>0.19135787310112101</v>
      </c>
      <c r="AB284" s="12">
        <f t="shared" si="8"/>
        <v>-1.1357873101121019E-2</v>
      </c>
      <c r="AC284" s="14">
        <v>0.219167898455395</v>
      </c>
      <c r="AD284" s="14">
        <f t="shared" si="9"/>
        <v>-3.9167898455395006E-2</v>
      </c>
    </row>
    <row r="285" spans="1:30" ht="15" x14ac:dyDescent="0.2">
      <c r="B285" s="10">
        <v>19.100000000000001</v>
      </c>
      <c r="C285" s="11">
        <v>392</v>
      </c>
      <c r="D285" s="11">
        <v>2</v>
      </c>
      <c r="E285" s="10">
        <v>40</v>
      </c>
      <c r="F285" s="12">
        <v>3.3538794827423901</v>
      </c>
      <c r="G285" s="10">
        <v>30</v>
      </c>
      <c r="H285" s="10">
        <v>39.5</v>
      </c>
      <c r="I285" s="9">
        <v>150</v>
      </c>
      <c r="J285" s="10">
        <v>250</v>
      </c>
      <c r="K285" s="11">
        <v>573</v>
      </c>
      <c r="L285" s="12">
        <v>35.1</v>
      </c>
      <c r="M285" s="9">
        <v>0.20229859328066099</v>
      </c>
      <c r="N285" s="9">
        <v>0.21836049149001199</v>
      </c>
      <c r="O285" s="9">
        <v>0.263961219060247</v>
      </c>
      <c r="P285" s="9">
        <v>0.37463866868448198</v>
      </c>
      <c r="Q285" s="9">
        <v>0.197890104689806</v>
      </c>
      <c r="R285" s="9">
        <v>0.27430873529722999</v>
      </c>
      <c r="S285" s="13">
        <v>0.30830035605552447</v>
      </c>
      <c r="T285" s="9">
        <v>0.183296353566586</v>
      </c>
      <c r="U285" s="9">
        <v>0.29207788277862801</v>
      </c>
      <c r="V285" s="9">
        <v>0.258379095973851</v>
      </c>
      <c r="W285" s="9">
        <v>0.26264931447655598</v>
      </c>
      <c r="X285" s="9">
        <v>0.29488504602013599</v>
      </c>
      <c r="Y285" s="9">
        <v>0.26324283514393498</v>
      </c>
      <c r="Z285" s="12">
        <v>0.19</v>
      </c>
      <c r="AA285" s="12">
        <v>0.22366854612229101</v>
      </c>
      <c r="AB285" s="12">
        <f t="shared" si="8"/>
        <v>-3.3668546122291004E-2</v>
      </c>
      <c r="AC285" s="14">
        <v>0.260907352995153</v>
      </c>
      <c r="AD285" s="14">
        <f t="shared" si="9"/>
        <v>-7.0907352995152995E-2</v>
      </c>
    </row>
    <row r="286" spans="1:30" ht="15" x14ac:dyDescent="0.2">
      <c r="B286" s="10">
        <v>19.100000000000001</v>
      </c>
      <c r="C286" s="11">
        <v>392</v>
      </c>
      <c r="D286" s="11">
        <v>2</v>
      </c>
      <c r="E286" s="10">
        <v>40</v>
      </c>
      <c r="F286" s="12">
        <v>3.3538794827423901</v>
      </c>
      <c r="G286" s="10">
        <v>30</v>
      </c>
      <c r="H286" s="10">
        <v>39.5</v>
      </c>
      <c r="I286" s="9">
        <v>150</v>
      </c>
      <c r="J286" s="10">
        <v>250</v>
      </c>
      <c r="K286" s="11">
        <v>573</v>
      </c>
      <c r="L286" s="12">
        <v>39.1</v>
      </c>
      <c r="M286" s="9">
        <v>0.228717185716732</v>
      </c>
      <c r="N286" s="9">
        <v>0.246876640491658</v>
      </c>
      <c r="O286" s="9">
        <v>0.29404226966540398</v>
      </c>
      <c r="P286" s="9">
        <v>0.46489179720255702</v>
      </c>
      <c r="Q286" s="9">
        <v>0.22224745996508699</v>
      </c>
      <c r="R286" s="9">
        <v>0.30556899003195698</v>
      </c>
      <c r="S286" s="13">
        <v>0.34824774246167622</v>
      </c>
      <c r="T286" s="9">
        <v>0.20556956296789899</v>
      </c>
      <c r="U286" s="9">
        <v>0.32536311158530901</v>
      </c>
      <c r="V286" s="9">
        <v>0.27791169117888298</v>
      </c>
      <c r="W286" s="9">
        <v>0.30168784548245398</v>
      </c>
      <c r="X286" s="9">
        <v>0.34476982726524102</v>
      </c>
      <c r="Y286" s="9">
        <v>0.31183429695436099</v>
      </c>
      <c r="Z286" s="12">
        <v>0.21</v>
      </c>
      <c r="AA286" s="12">
        <v>0.25767978088141802</v>
      </c>
      <c r="AB286" s="12">
        <f t="shared" si="8"/>
        <v>-4.7679780881418027E-2</v>
      </c>
      <c r="AC286" s="14">
        <v>0.304843620931742</v>
      </c>
      <c r="AD286" s="14">
        <f t="shared" si="9"/>
        <v>-9.4843620931742006E-2</v>
      </c>
    </row>
    <row r="287" spans="1:30" ht="15" x14ac:dyDescent="0.2">
      <c r="B287" s="10">
        <v>19.100000000000001</v>
      </c>
      <c r="C287" s="11">
        <v>392</v>
      </c>
      <c r="D287" s="11">
        <v>2</v>
      </c>
      <c r="E287" s="10">
        <v>40</v>
      </c>
      <c r="F287" s="12">
        <v>3.3538794827423901</v>
      </c>
      <c r="G287" s="10">
        <v>30</v>
      </c>
      <c r="H287" s="10">
        <v>39.5</v>
      </c>
      <c r="I287" s="9">
        <v>150</v>
      </c>
      <c r="J287" s="10">
        <v>250</v>
      </c>
      <c r="K287" s="11">
        <v>573</v>
      </c>
      <c r="L287" s="12">
        <v>43.1</v>
      </c>
      <c r="M287" s="9">
        <v>0.24443253966190001</v>
      </c>
      <c r="N287" s="9">
        <v>0.26383974614531602</v>
      </c>
      <c r="O287" s="9">
        <v>0.29484546616440799</v>
      </c>
      <c r="P287" s="9">
        <v>0.46743503323046598</v>
      </c>
      <c r="Q287" s="9">
        <v>0.23673666714921501</v>
      </c>
      <c r="R287" s="9">
        <v>0.32416445338834599</v>
      </c>
      <c r="S287" s="13">
        <v>0.37201082969186144</v>
      </c>
      <c r="T287" s="9">
        <v>0.21881899592249299</v>
      </c>
      <c r="U287" s="9">
        <v>0.34516315025537397</v>
      </c>
      <c r="V287" s="9">
        <v>0.27791169117888298</v>
      </c>
      <c r="W287" s="9">
        <v>0.32456871429093098</v>
      </c>
      <c r="X287" s="9">
        <v>0.37507592482148999</v>
      </c>
      <c r="Y287" s="9">
        <v>0.34171677725868199</v>
      </c>
      <c r="Z287" s="12">
        <v>0.26</v>
      </c>
      <c r="AA287" s="12">
        <v>0.27791169117888298</v>
      </c>
      <c r="AB287" s="12">
        <f t="shared" si="8"/>
        <v>-1.7911691178882971E-2</v>
      </c>
      <c r="AC287" s="14">
        <v>0.33097953272659097</v>
      </c>
      <c r="AD287" s="14">
        <f t="shared" si="9"/>
        <v>-7.0979532726590966E-2</v>
      </c>
    </row>
    <row r="288" spans="1:30" ht="15" x14ac:dyDescent="0.2">
      <c r="A288" s="9" t="s">
        <v>95</v>
      </c>
      <c r="B288" s="10">
        <v>19.100000000000001</v>
      </c>
      <c r="C288" s="11">
        <v>276</v>
      </c>
      <c r="D288" s="11">
        <v>2</v>
      </c>
      <c r="E288" s="10">
        <v>69.8</v>
      </c>
      <c r="F288" s="12">
        <v>2.9003288251790802</v>
      </c>
      <c r="G288" s="10">
        <v>31.8</v>
      </c>
      <c r="H288" s="10">
        <v>41.4</v>
      </c>
      <c r="I288" s="9">
        <v>152.4</v>
      </c>
      <c r="J288" s="10">
        <v>381</v>
      </c>
      <c r="K288" s="11">
        <v>568</v>
      </c>
      <c r="L288" s="12">
        <v>35.088900000000002</v>
      </c>
      <c r="M288" s="9">
        <v>0.144612644411651</v>
      </c>
      <c r="N288" s="9">
        <v>0.140053915791155</v>
      </c>
      <c r="O288" s="9">
        <v>0.17419711219546</v>
      </c>
      <c r="P288" s="9">
        <v>0.15865517662423101</v>
      </c>
      <c r="Q288" s="9">
        <v>0.113684471499992</v>
      </c>
      <c r="R288" s="9">
        <v>0.125395114242982</v>
      </c>
      <c r="S288" s="13">
        <v>0.16875320294974011</v>
      </c>
      <c r="T288" s="9">
        <v>0.12747372435868701</v>
      </c>
      <c r="U288" s="9">
        <v>0.16805255523912299</v>
      </c>
      <c r="V288" s="9">
        <v>0.173396421842929</v>
      </c>
      <c r="W288" s="9">
        <v>0.14690574145696</v>
      </c>
      <c r="X288" s="9">
        <v>0.162054438532935</v>
      </c>
      <c r="Y288" s="9">
        <v>0.139692515123061</v>
      </c>
      <c r="Z288" s="12">
        <v>0.17</v>
      </c>
      <c r="AA288" s="12">
        <v>0.13127422971881</v>
      </c>
      <c r="AB288" s="12">
        <f t="shared" si="8"/>
        <v>3.8725770281190008E-2</v>
      </c>
      <c r="AC288" s="14">
        <v>0.13479155649448901</v>
      </c>
      <c r="AD288" s="14">
        <f t="shared" si="9"/>
        <v>3.5208443505511E-2</v>
      </c>
    </row>
    <row r="289" spans="1:30" ht="15" x14ac:dyDescent="0.2">
      <c r="B289" s="10">
        <v>19.100000000000001</v>
      </c>
      <c r="C289" s="11">
        <v>276</v>
      </c>
      <c r="D289" s="11">
        <v>2</v>
      </c>
      <c r="E289" s="10">
        <v>69.8</v>
      </c>
      <c r="F289" s="12">
        <v>2.9003288251790802</v>
      </c>
      <c r="G289" s="10">
        <v>31.8</v>
      </c>
      <c r="H289" s="10">
        <v>41.4</v>
      </c>
      <c r="I289" s="9">
        <v>152.4</v>
      </c>
      <c r="J289" s="10">
        <v>381</v>
      </c>
      <c r="K289" s="11">
        <v>568</v>
      </c>
      <c r="L289" s="12">
        <v>42.257599999999996</v>
      </c>
      <c r="M289" s="9">
        <v>0.184869531379248</v>
      </c>
      <c r="N289" s="9">
        <v>0.179041755895402</v>
      </c>
      <c r="O289" s="9">
        <v>0.20978576952571501</v>
      </c>
      <c r="P289" s="9">
        <v>0.23010412019590201</v>
      </c>
      <c r="Q289" s="9">
        <v>0.142372635093723</v>
      </c>
      <c r="R289" s="9">
        <v>0.15101347091628001</v>
      </c>
      <c r="S289" s="13">
        <v>0.21168897760914146</v>
      </c>
      <c r="T289" s="9">
        <v>0.15661366367243301</v>
      </c>
      <c r="U289" s="9">
        <v>0.20238587297614799</v>
      </c>
      <c r="V289" s="9">
        <v>0.205980118431288</v>
      </c>
      <c r="W289" s="9">
        <v>0.198883923836256</v>
      </c>
      <c r="X289" s="9">
        <v>0.218295638091697</v>
      </c>
      <c r="Y289" s="9">
        <v>0.19196100878984701</v>
      </c>
      <c r="Z289" s="12">
        <v>0.23</v>
      </c>
      <c r="AA289" s="12">
        <v>0.17385097621224299</v>
      </c>
      <c r="AB289" s="12">
        <f t="shared" si="8"/>
        <v>5.6149023787757019E-2</v>
      </c>
      <c r="AC289" s="14">
        <v>0.18859175010146001</v>
      </c>
      <c r="AD289" s="14">
        <f t="shared" si="9"/>
        <v>4.140824989854E-2</v>
      </c>
    </row>
    <row r="290" spans="1:30" ht="15" x14ac:dyDescent="0.2">
      <c r="B290" s="10">
        <v>19.100000000000001</v>
      </c>
      <c r="C290" s="11">
        <v>276</v>
      </c>
      <c r="D290" s="11">
        <v>2</v>
      </c>
      <c r="E290" s="10">
        <v>69.8</v>
      </c>
      <c r="F290" s="12">
        <v>2.9003288251790802</v>
      </c>
      <c r="G290" s="10">
        <v>31.8</v>
      </c>
      <c r="H290" s="10">
        <v>41.4</v>
      </c>
      <c r="I290" s="9">
        <v>152.4</v>
      </c>
      <c r="J290" s="10">
        <v>381</v>
      </c>
      <c r="K290" s="11">
        <v>568</v>
      </c>
      <c r="L290" s="12">
        <v>48.808900000000001</v>
      </c>
      <c r="M290" s="9">
        <v>0.21524806786224099</v>
      </c>
      <c r="N290" s="9">
        <v>0.20846264787727101</v>
      </c>
      <c r="O290" s="9">
        <v>0.22604792126916101</v>
      </c>
      <c r="P290" s="9">
        <v>0.26716119659943099</v>
      </c>
      <c r="Q290" s="9">
        <v>0.16402121475324299</v>
      </c>
      <c r="R290" s="9">
        <v>0.170345521689618</v>
      </c>
      <c r="S290" s="13">
        <v>0.24408904863217179</v>
      </c>
      <c r="T290" s="9">
        <v>0.17860316102893201</v>
      </c>
      <c r="U290" s="9">
        <v>0.22829438265042901</v>
      </c>
      <c r="V290" s="9">
        <v>0.205980118431288</v>
      </c>
      <c r="W290" s="9">
        <v>0.237143521273427</v>
      </c>
      <c r="X290" s="9">
        <v>0.26192996285311798</v>
      </c>
      <c r="Y290" s="9">
        <v>0.23319433791514299</v>
      </c>
      <c r="Z290" s="12">
        <v>0.27</v>
      </c>
      <c r="AA290" s="12">
        <v>0.205980118431288</v>
      </c>
      <c r="AB290" s="12">
        <f t="shared" si="8"/>
        <v>6.4019881568712023E-2</v>
      </c>
      <c r="AC290" s="14">
        <v>0.22919029776355501</v>
      </c>
      <c r="AD290" s="14">
        <f t="shared" si="9"/>
        <v>4.0809702236445006E-2</v>
      </c>
    </row>
    <row r="291" spans="1:30" ht="15" x14ac:dyDescent="0.2">
      <c r="A291" s="9" t="s">
        <v>96</v>
      </c>
      <c r="B291" s="10">
        <v>19.100000000000001</v>
      </c>
      <c r="C291" s="11">
        <v>276</v>
      </c>
      <c r="D291" s="11">
        <v>2</v>
      </c>
      <c r="E291" s="10">
        <v>69.8</v>
      </c>
      <c r="F291" s="12">
        <v>2.8466918957142102</v>
      </c>
      <c r="G291" s="10">
        <v>31.8</v>
      </c>
      <c r="H291" s="10">
        <v>41.4</v>
      </c>
      <c r="I291" s="9">
        <v>152.4</v>
      </c>
      <c r="J291" s="10">
        <v>381</v>
      </c>
      <c r="K291" s="11">
        <v>568</v>
      </c>
      <c r="L291" s="12">
        <v>48.808900000000001</v>
      </c>
      <c r="M291" s="9">
        <v>0.21596411355973399</v>
      </c>
      <c r="N291" s="9">
        <v>0.20923215334782899</v>
      </c>
      <c r="O291" s="9">
        <v>0.22604792126916101</v>
      </c>
      <c r="P291" s="9">
        <v>0.27219500664376001</v>
      </c>
      <c r="Q291" s="9">
        <v>0.16402121475324299</v>
      </c>
      <c r="R291" s="9">
        <v>0.168291165283984</v>
      </c>
      <c r="S291" s="13">
        <v>0.24408134513087065</v>
      </c>
      <c r="T291" s="9">
        <v>0.17860316102893201</v>
      </c>
      <c r="U291" s="9">
        <v>0.22835384489192001</v>
      </c>
      <c r="V291" s="9">
        <v>0.20732569988657901</v>
      </c>
      <c r="W291" s="9">
        <v>0.237990700753243</v>
      </c>
      <c r="X291" s="9">
        <v>0.26443809794901801</v>
      </c>
      <c r="Y291" s="9">
        <v>0.23546774273535601</v>
      </c>
      <c r="Z291" s="12">
        <v>0.16</v>
      </c>
      <c r="AA291" s="12">
        <v>0.20732569988657901</v>
      </c>
      <c r="AB291" s="12">
        <f t="shared" si="8"/>
        <v>-4.7325699886579004E-2</v>
      </c>
      <c r="AC291" s="14">
        <v>0.23014130586856801</v>
      </c>
      <c r="AD291" s="14">
        <f t="shared" si="9"/>
        <v>-7.014130586856801E-2</v>
      </c>
    </row>
    <row r="292" spans="1:30" ht="15" x14ac:dyDescent="0.2">
      <c r="A292" s="9" t="s">
        <v>97</v>
      </c>
      <c r="B292" s="10">
        <v>19.100000000000001</v>
      </c>
      <c r="C292" s="11">
        <v>276</v>
      </c>
      <c r="D292" s="11">
        <v>2</v>
      </c>
      <c r="E292" s="10">
        <v>69.8</v>
      </c>
      <c r="F292" s="12">
        <v>2.7113214734883302</v>
      </c>
      <c r="G292" s="10">
        <v>38.200000000000003</v>
      </c>
      <c r="H292" s="10">
        <v>47.7</v>
      </c>
      <c r="I292" s="9">
        <v>152.4</v>
      </c>
      <c r="J292" s="10">
        <v>381</v>
      </c>
      <c r="K292" s="11">
        <v>568</v>
      </c>
      <c r="L292" s="12">
        <v>42.257599999999996</v>
      </c>
      <c r="M292" s="9">
        <v>0.20566966214226401</v>
      </c>
      <c r="N292" s="9">
        <v>0.20854527065130199</v>
      </c>
      <c r="O292" s="9">
        <v>0.22003184339839599</v>
      </c>
      <c r="P292" s="9">
        <v>0.25612342439380897</v>
      </c>
      <c r="Q292" s="9">
        <v>0.168743686059287</v>
      </c>
      <c r="R292" s="9">
        <v>0.16899873803406101</v>
      </c>
      <c r="S292" s="13">
        <v>0.22791955508240316</v>
      </c>
      <c r="T292" s="9">
        <v>0.16916012694496699</v>
      </c>
      <c r="U292" s="9">
        <v>0.233546286066943</v>
      </c>
      <c r="V292" s="9">
        <v>0.23559597544973301</v>
      </c>
      <c r="W292" s="9">
        <v>0.23431741833146799</v>
      </c>
      <c r="X292" s="9">
        <v>0.24891747608116399</v>
      </c>
      <c r="Y292" s="9">
        <v>0.22657460911063099</v>
      </c>
      <c r="Z292" s="12">
        <v>0.16</v>
      </c>
      <c r="AA292" s="12">
        <v>0.205276239077366</v>
      </c>
      <c r="AB292" s="12">
        <f t="shared" si="8"/>
        <v>-4.5276239077365998E-2</v>
      </c>
      <c r="AC292" s="14">
        <v>0.223160977177881</v>
      </c>
      <c r="AD292" s="14">
        <f t="shared" si="9"/>
        <v>-6.3160977177880995E-2</v>
      </c>
    </row>
    <row r="293" spans="1:30" ht="15" x14ac:dyDescent="0.2">
      <c r="B293" s="10">
        <v>19.100000000000001</v>
      </c>
      <c r="C293" s="11">
        <v>276</v>
      </c>
      <c r="D293" s="11">
        <v>2</v>
      </c>
      <c r="E293" s="10">
        <v>69.8</v>
      </c>
      <c r="F293" s="12">
        <v>2.7113214734883302</v>
      </c>
      <c r="G293" s="10">
        <v>38.200000000000003</v>
      </c>
      <c r="H293" s="10">
        <v>47.7</v>
      </c>
      <c r="I293" s="9">
        <v>152.4</v>
      </c>
      <c r="J293" s="10">
        <v>381</v>
      </c>
      <c r="K293" s="11">
        <v>568</v>
      </c>
      <c r="L293" s="12">
        <v>48.808900000000001</v>
      </c>
      <c r="M293" s="9">
        <v>0.232607474797317</v>
      </c>
      <c r="N293" s="9">
        <v>0.23585971932782199</v>
      </c>
      <c r="O293" s="9">
        <v>0.23242384954718101</v>
      </c>
      <c r="P293" s="9">
        <v>0.28578511513419103</v>
      </c>
      <c r="Q293" s="9">
        <v>0.189506313649598</v>
      </c>
      <c r="R293" s="9">
        <v>0.18662910931180299</v>
      </c>
      <c r="S293" s="13">
        <v>0.25623115922388756</v>
      </c>
      <c r="T293" s="9">
        <v>0.18847613594205401</v>
      </c>
      <c r="U293" s="9">
        <v>0.25791041908826901</v>
      </c>
      <c r="V293" s="9">
        <v>0.23559597544973301</v>
      </c>
      <c r="W293" s="9">
        <v>0.27021086001637801</v>
      </c>
      <c r="X293" s="9">
        <v>0.28812625013958298</v>
      </c>
      <c r="Y293" s="9">
        <v>0.26506305440545902</v>
      </c>
      <c r="Z293" s="12">
        <v>0.2</v>
      </c>
      <c r="AA293" s="12">
        <v>0.23559597544973301</v>
      </c>
      <c r="AB293" s="12">
        <f t="shared" si="8"/>
        <v>-3.5595975449733003E-2</v>
      </c>
      <c r="AC293" s="14">
        <v>0.26128303111942902</v>
      </c>
      <c r="AD293" s="14">
        <f t="shared" si="9"/>
        <v>-6.128303111942901E-2</v>
      </c>
    </row>
    <row r="294" spans="1:30" ht="15" x14ac:dyDescent="0.2">
      <c r="A294" s="9" t="s">
        <v>98</v>
      </c>
      <c r="B294" s="10">
        <v>22.2</v>
      </c>
      <c r="C294" s="11">
        <v>276</v>
      </c>
      <c r="D294" s="11">
        <v>2</v>
      </c>
      <c r="E294" s="10">
        <v>63.6</v>
      </c>
      <c r="F294" s="12">
        <v>2.6879866270061701</v>
      </c>
      <c r="G294" s="10">
        <v>12.8</v>
      </c>
      <c r="H294" s="10">
        <v>23.9</v>
      </c>
      <c r="I294" s="9">
        <v>152.4</v>
      </c>
      <c r="J294" s="10">
        <v>381</v>
      </c>
      <c r="K294" s="11">
        <v>774</v>
      </c>
      <c r="L294" s="12">
        <v>66.198999999999998</v>
      </c>
      <c r="M294" s="9">
        <v>0.118523553790798</v>
      </c>
      <c r="N294" s="9">
        <v>0.106171066832134</v>
      </c>
      <c r="O294" s="9">
        <v>0.21217855953956499</v>
      </c>
      <c r="P294" s="9">
        <v>0.33505270024467698</v>
      </c>
      <c r="Q294" s="9">
        <v>8.1992519279429105E-2</v>
      </c>
      <c r="R294" s="9">
        <v>8.9837857585190403E-2</v>
      </c>
      <c r="S294" s="13">
        <v>0.21914543976212919</v>
      </c>
      <c r="T294" s="9">
        <v>0.144397179614943</v>
      </c>
      <c r="U294" s="9">
        <v>0.14590550886852399</v>
      </c>
      <c r="V294" s="9">
        <v>0.121209098535111</v>
      </c>
      <c r="W294" s="9">
        <v>0.126416212264962</v>
      </c>
      <c r="X294" s="9">
        <v>0.29737272192085001</v>
      </c>
      <c r="Y294" s="9">
        <v>0.16708557819136299</v>
      </c>
      <c r="Z294" s="12">
        <v>0.17</v>
      </c>
      <c r="AA294" s="12">
        <v>0.11891617173496501</v>
      </c>
      <c r="AB294" s="12">
        <f t="shared" si="8"/>
        <v>5.1083828265035006E-2</v>
      </c>
      <c r="AC294" s="14">
        <v>0.124331141033773</v>
      </c>
      <c r="AD294" s="14">
        <f t="shared" si="9"/>
        <v>4.5668858966227008E-2</v>
      </c>
    </row>
    <row r="295" spans="1:30" ht="15" x14ac:dyDescent="0.2">
      <c r="A295" s="9" t="s">
        <v>99</v>
      </c>
      <c r="B295" s="10">
        <v>22.2</v>
      </c>
      <c r="C295" s="11">
        <v>276</v>
      </c>
      <c r="D295" s="11">
        <v>2</v>
      </c>
      <c r="E295" s="10">
        <v>63.6</v>
      </c>
      <c r="F295" s="12">
        <v>2.3846015710371402</v>
      </c>
      <c r="G295" s="10">
        <v>38</v>
      </c>
      <c r="H295" s="10">
        <v>49.1</v>
      </c>
      <c r="I295" s="9">
        <v>152.4</v>
      </c>
      <c r="J295" s="10">
        <v>381</v>
      </c>
      <c r="K295" s="11">
        <v>774</v>
      </c>
      <c r="L295" s="12">
        <v>43.938299999999998</v>
      </c>
      <c r="M295" s="9">
        <v>0.14501757225662501</v>
      </c>
      <c r="N295" s="9">
        <v>0.15519138254448001</v>
      </c>
      <c r="O295" s="9">
        <v>0.172994275409456</v>
      </c>
      <c r="P295" s="9">
        <v>0.20681414500293499</v>
      </c>
      <c r="Q295" s="9">
        <v>0.11650049466899701</v>
      </c>
      <c r="R295" s="9">
        <v>0.119692304813366</v>
      </c>
      <c r="S295" s="13">
        <v>0.17981005096602437</v>
      </c>
      <c r="T295" s="9">
        <v>0.13095691387127401</v>
      </c>
      <c r="U295" s="9">
        <v>0.18982529204428</v>
      </c>
      <c r="V295" s="9">
        <v>0.18625796863820099</v>
      </c>
      <c r="W295" s="9">
        <v>0.166110023353157</v>
      </c>
      <c r="X295" s="9">
        <v>0.19888079834790401</v>
      </c>
      <c r="Y295" s="9">
        <v>0.17229633515763201</v>
      </c>
      <c r="Z295" s="12">
        <v>0.15</v>
      </c>
      <c r="AA295" s="12">
        <v>0.154918924089883</v>
      </c>
      <c r="AB295" s="12">
        <f t="shared" si="8"/>
        <v>-4.9189240898830089E-3</v>
      </c>
      <c r="AC295" s="14">
        <v>0.15601234248965001</v>
      </c>
      <c r="AD295" s="14">
        <f t="shared" si="9"/>
        <v>-6.0123424896500188E-3</v>
      </c>
    </row>
    <row r="296" spans="1:30" ht="15" x14ac:dyDescent="0.2">
      <c r="B296" s="10">
        <v>22.2</v>
      </c>
      <c r="C296" s="11">
        <v>276</v>
      </c>
      <c r="D296" s="11">
        <v>2</v>
      </c>
      <c r="E296" s="10">
        <v>63.6</v>
      </c>
      <c r="F296" s="12">
        <v>2.3846015710371402</v>
      </c>
      <c r="G296" s="10">
        <v>38</v>
      </c>
      <c r="H296" s="10">
        <v>49.1</v>
      </c>
      <c r="I296" s="9">
        <v>152.4</v>
      </c>
      <c r="J296" s="10">
        <v>381</v>
      </c>
      <c r="K296" s="11">
        <v>774</v>
      </c>
      <c r="L296" s="12">
        <v>51.106999999999999</v>
      </c>
      <c r="M296" s="9">
        <v>0.173744152276404</v>
      </c>
      <c r="N296" s="9">
        <v>0.18593329609103201</v>
      </c>
      <c r="O296" s="9">
        <v>0.201218946416931</v>
      </c>
      <c r="P296" s="9">
        <v>0.27980438494334497</v>
      </c>
      <c r="Q296" s="9">
        <v>0.13877359157702199</v>
      </c>
      <c r="R296" s="9">
        <v>0.13922055751125401</v>
      </c>
      <c r="S296" s="13">
        <v>0.21671195946411043</v>
      </c>
      <c r="T296" s="9">
        <v>0.154850837840977</v>
      </c>
      <c r="U296" s="9">
        <v>0.22079600713971601</v>
      </c>
      <c r="V296" s="9">
        <v>0.21968556834700401</v>
      </c>
      <c r="W296" s="9">
        <v>0.207359124652161</v>
      </c>
      <c r="X296" s="9">
        <v>0.248262643734915</v>
      </c>
      <c r="Y296" s="9">
        <v>0.218006181576888</v>
      </c>
      <c r="Z296" s="12">
        <v>0.19</v>
      </c>
      <c r="AA296" s="12">
        <v>0.19018496513522101</v>
      </c>
      <c r="AB296" s="12">
        <f t="shared" si="8"/>
        <v>-1.8496513522101021E-4</v>
      </c>
      <c r="AC296" s="14">
        <v>0.198117066913921</v>
      </c>
      <c r="AD296" s="14">
        <f t="shared" si="9"/>
        <v>-8.1170669139210005E-3</v>
      </c>
    </row>
    <row r="297" spans="1:30" ht="15" x14ac:dyDescent="0.2">
      <c r="B297" s="10">
        <v>22.2</v>
      </c>
      <c r="C297" s="11">
        <v>276</v>
      </c>
      <c r="D297" s="11">
        <v>2</v>
      </c>
      <c r="E297" s="10">
        <v>63.6</v>
      </c>
      <c r="F297" s="12">
        <v>2.3846015710371402</v>
      </c>
      <c r="G297" s="10">
        <v>38</v>
      </c>
      <c r="H297" s="10">
        <v>49.1</v>
      </c>
      <c r="I297" s="9">
        <v>152.4</v>
      </c>
      <c r="J297" s="10">
        <v>381</v>
      </c>
      <c r="K297" s="11">
        <v>774</v>
      </c>
      <c r="L297" s="12">
        <v>58.755899999999997</v>
      </c>
      <c r="M297" s="9">
        <v>0.20439500081425399</v>
      </c>
      <c r="N297" s="9">
        <v>0.218734476573717</v>
      </c>
      <c r="O297" s="9">
        <v>0.23133426524309</v>
      </c>
      <c r="P297" s="9">
        <v>0.36982537419117101</v>
      </c>
      <c r="Q297" s="9">
        <v>0.16253866626836</v>
      </c>
      <c r="R297" s="9">
        <v>0.16005692283005199</v>
      </c>
      <c r="S297" s="13">
        <v>0.25608576613910172</v>
      </c>
      <c r="T297" s="9">
        <v>0.18034531174166399</v>
      </c>
      <c r="U297" s="9">
        <v>0.25384131559082801</v>
      </c>
      <c r="V297" s="9">
        <v>0.24430562575555101</v>
      </c>
      <c r="W297" s="9">
        <v>0.25058467263015699</v>
      </c>
      <c r="X297" s="9">
        <v>0.302632452829041</v>
      </c>
      <c r="Y297" s="9">
        <v>0.26913168878938698</v>
      </c>
      <c r="Z297" s="12">
        <v>0.22</v>
      </c>
      <c r="AA297" s="12">
        <v>0.22781332471948099</v>
      </c>
      <c r="AB297" s="12">
        <f t="shared" si="8"/>
        <v>-7.8133247194809852E-3</v>
      </c>
      <c r="AC297" s="14">
        <v>0.243042203500584</v>
      </c>
      <c r="AD297" s="14">
        <f t="shared" si="9"/>
        <v>-2.3042203500584002E-2</v>
      </c>
    </row>
    <row r="298" spans="1:30" ht="15" x14ac:dyDescent="0.2">
      <c r="B298" s="10">
        <v>22.2</v>
      </c>
      <c r="C298" s="11">
        <v>276</v>
      </c>
      <c r="D298" s="11">
        <v>2</v>
      </c>
      <c r="E298" s="10">
        <v>63.6</v>
      </c>
      <c r="F298" s="12">
        <v>2.3846015710371402</v>
      </c>
      <c r="G298" s="10">
        <v>38</v>
      </c>
      <c r="H298" s="10">
        <v>49.1</v>
      </c>
      <c r="I298" s="9">
        <v>152.4</v>
      </c>
      <c r="J298" s="10">
        <v>381</v>
      </c>
      <c r="K298" s="11">
        <v>774</v>
      </c>
      <c r="L298" s="12">
        <v>66.198999999999998</v>
      </c>
      <c r="M298" s="9">
        <v>0.21782909750840401</v>
      </c>
      <c r="N298" s="9">
        <v>0.23311105181738401</v>
      </c>
      <c r="O298" s="9">
        <v>0.233778093596272</v>
      </c>
      <c r="P298" s="9">
        <v>0.37768035907495101</v>
      </c>
      <c r="Q298" s="9">
        <v>0.17295476652584199</v>
      </c>
      <c r="R298" s="9">
        <v>0.16918938603418501</v>
      </c>
      <c r="S298" s="13">
        <v>0.2733430869416702</v>
      </c>
      <c r="T298" s="9">
        <v>0.19151939806835699</v>
      </c>
      <c r="U298" s="9">
        <v>0.26832489076728899</v>
      </c>
      <c r="V298" s="9">
        <v>0.24430562575555101</v>
      </c>
      <c r="W298" s="9">
        <v>0.269300452189637</v>
      </c>
      <c r="X298" s="9">
        <v>0.32700916096556998</v>
      </c>
      <c r="Y298" s="9">
        <v>0.29230565784830398</v>
      </c>
      <c r="Z298" s="12">
        <v>0.27</v>
      </c>
      <c r="AA298" s="12">
        <v>0.24430562575555101</v>
      </c>
      <c r="AB298" s="12">
        <f t="shared" si="8"/>
        <v>2.5694374244449009E-2</v>
      </c>
      <c r="AC298" s="14">
        <v>0.26273264137403601</v>
      </c>
      <c r="AD298" s="14">
        <f t="shared" si="9"/>
        <v>7.2673586259640044E-3</v>
      </c>
    </row>
    <row r="299" spans="1:30" ht="15" x14ac:dyDescent="0.2">
      <c r="A299" s="9" t="s">
        <v>100</v>
      </c>
      <c r="B299" s="10">
        <v>22.2</v>
      </c>
      <c r="C299" s="11">
        <v>276</v>
      </c>
      <c r="D299" s="11">
        <v>2</v>
      </c>
      <c r="E299" s="10">
        <v>63.6</v>
      </c>
      <c r="F299" s="12">
        <v>2.8648423476200802</v>
      </c>
      <c r="G299" s="10">
        <v>38</v>
      </c>
      <c r="H299" s="10">
        <v>49.1</v>
      </c>
      <c r="I299" s="9">
        <v>152.4</v>
      </c>
      <c r="J299" s="10">
        <v>381</v>
      </c>
      <c r="K299" s="11">
        <v>774</v>
      </c>
      <c r="L299" s="12">
        <v>58.755899999999997</v>
      </c>
      <c r="M299" s="9">
        <v>0.19942076017549801</v>
      </c>
      <c r="N299" s="9">
        <v>0.212537474155374</v>
      </c>
      <c r="O299" s="9">
        <v>0.23133426524309</v>
      </c>
      <c r="P299" s="9">
        <v>0.30783061030854902</v>
      </c>
      <c r="Q299" s="9">
        <v>0.161642534697404</v>
      </c>
      <c r="R299" s="9">
        <v>0.179445475068434</v>
      </c>
      <c r="S299" s="13">
        <v>0.2541697306494245</v>
      </c>
      <c r="T299" s="9">
        <v>0.17938396812107499</v>
      </c>
      <c r="U299" s="9">
        <v>0.25162560849822802</v>
      </c>
      <c r="V299" s="9">
        <v>0.23274471188871701</v>
      </c>
      <c r="W299" s="9">
        <v>0.241202314544294</v>
      </c>
      <c r="X299" s="9">
        <v>0.27646892734004003</v>
      </c>
      <c r="Y299" s="9">
        <v>0.24587083584714001</v>
      </c>
      <c r="Z299" s="12">
        <v>0.17</v>
      </c>
      <c r="AA299" s="12">
        <v>0.21486544798031201</v>
      </c>
      <c r="AB299" s="12">
        <f t="shared" si="8"/>
        <v>-4.4865447980312001E-2</v>
      </c>
      <c r="AC299" s="14">
        <v>0.232509472706563</v>
      </c>
      <c r="AD299" s="14">
        <f t="shared" si="9"/>
        <v>-6.2509472706562985E-2</v>
      </c>
    </row>
    <row r="300" spans="1:30" ht="15" x14ac:dyDescent="0.2">
      <c r="B300" s="10">
        <v>22.2</v>
      </c>
      <c r="C300" s="11">
        <v>276</v>
      </c>
      <c r="D300" s="11">
        <v>2</v>
      </c>
      <c r="E300" s="10">
        <v>63.6</v>
      </c>
      <c r="F300" s="12">
        <v>2.8648423476200802</v>
      </c>
      <c r="G300" s="10">
        <v>38</v>
      </c>
      <c r="H300" s="10">
        <v>49.1</v>
      </c>
      <c r="I300" s="9">
        <v>152.4</v>
      </c>
      <c r="J300" s="10">
        <v>381</v>
      </c>
      <c r="K300" s="11">
        <v>774</v>
      </c>
      <c r="L300" s="12">
        <v>66.198999999999998</v>
      </c>
      <c r="M300" s="9">
        <v>0.214151516501106</v>
      </c>
      <c r="N300" s="9">
        <v>0.228237132200443</v>
      </c>
      <c r="O300" s="9">
        <v>0.233778093596272</v>
      </c>
      <c r="P300" s="9">
        <v>0.31436884418724598</v>
      </c>
      <c r="Q300" s="9">
        <v>0.17295476652584199</v>
      </c>
      <c r="R300" s="9">
        <v>0.190619927798649</v>
      </c>
      <c r="S300" s="13">
        <v>0.27288000415778502</v>
      </c>
      <c r="T300" s="9">
        <v>0.19151939806835699</v>
      </c>
      <c r="U300" s="9">
        <v>0.26729487219408099</v>
      </c>
      <c r="V300" s="9">
        <v>0.23274471188871701</v>
      </c>
      <c r="W300" s="9">
        <v>0.26195684019109999</v>
      </c>
      <c r="X300" s="9">
        <v>0.30151488657238301</v>
      </c>
      <c r="Y300" s="9">
        <v>0.26980996439717803</v>
      </c>
      <c r="Z300" s="12">
        <v>0.2</v>
      </c>
      <c r="AA300" s="12">
        <v>0.23274471188871701</v>
      </c>
      <c r="AB300" s="12">
        <f t="shared" si="8"/>
        <v>-3.2744711888716999E-2</v>
      </c>
      <c r="AC300" s="14">
        <v>0.254486890270819</v>
      </c>
      <c r="AD300" s="14">
        <f t="shared" si="9"/>
        <v>-5.4486890270818988E-2</v>
      </c>
    </row>
    <row r="301" spans="1:30" ht="15" x14ac:dyDescent="0.2">
      <c r="A301" s="9" t="s">
        <v>101</v>
      </c>
      <c r="B301" s="10">
        <v>22.2</v>
      </c>
      <c r="C301" s="11">
        <v>276</v>
      </c>
      <c r="D301" s="11">
        <v>2</v>
      </c>
      <c r="E301" s="10">
        <v>63.6</v>
      </c>
      <c r="F301" s="12">
        <v>2.8336917902498899</v>
      </c>
      <c r="G301" s="10">
        <v>38</v>
      </c>
      <c r="H301" s="10">
        <v>49.1</v>
      </c>
      <c r="I301" s="9">
        <v>152.4</v>
      </c>
      <c r="J301" s="10">
        <v>381</v>
      </c>
      <c r="K301" s="11">
        <v>774</v>
      </c>
      <c r="L301" s="12">
        <v>43.938299999999998</v>
      </c>
      <c r="M301" s="9">
        <v>0.140110950744427</v>
      </c>
      <c r="N301" s="9">
        <v>0.14936247187861201</v>
      </c>
      <c r="O301" s="9">
        <v>0.172994275409456</v>
      </c>
      <c r="P301" s="9">
        <v>0.17403774707736</v>
      </c>
      <c r="Q301" s="9">
        <v>0.115869668748682</v>
      </c>
      <c r="R301" s="9">
        <v>0.133279593911907</v>
      </c>
      <c r="S301" s="13">
        <v>0.17847881045997802</v>
      </c>
      <c r="T301" s="9">
        <v>0.13028018235789901</v>
      </c>
      <c r="U301" s="9">
        <v>0.18826474681216901</v>
      </c>
      <c r="V301" s="9">
        <v>0.18180950235090099</v>
      </c>
      <c r="W301" s="9">
        <v>0.15575777367131199</v>
      </c>
      <c r="X301" s="9">
        <v>0.179498324343557</v>
      </c>
      <c r="Y301" s="9">
        <v>0.155005636053725</v>
      </c>
      <c r="Z301" s="12">
        <v>0.15</v>
      </c>
      <c r="AA301" s="12">
        <v>0.14325409277470799</v>
      </c>
      <c r="AB301" s="12">
        <f t="shared" si="8"/>
        <v>6.7459072252920027E-3</v>
      </c>
      <c r="AC301" s="14">
        <v>0.14430524158949401</v>
      </c>
      <c r="AD301" s="14">
        <f t="shared" si="9"/>
        <v>5.6947584105059845E-3</v>
      </c>
    </row>
    <row r="302" spans="1:30" ht="15" x14ac:dyDescent="0.2">
      <c r="B302" s="10">
        <v>22.2</v>
      </c>
      <c r="C302" s="11">
        <v>276</v>
      </c>
      <c r="D302" s="11">
        <v>2</v>
      </c>
      <c r="E302" s="10">
        <v>63.6</v>
      </c>
      <c r="F302" s="12">
        <v>2.8336917902498899</v>
      </c>
      <c r="G302" s="10">
        <v>38</v>
      </c>
      <c r="H302" s="10">
        <v>49.1</v>
      </c>
      <c r="I302" s="9">
        <v>152.4</v>
      </c>
      <c r="J302" s="10">
        <v>381</v>
      </c>
      <c r="K302" s="11">
        <v>774</v>
      </c>
      <c r="L302" s="12">
        <v>51.106999999999999</v>
      </c>
      <c r="M302" s="9">
        <v>0.168964618688975</v>
      </c>
      <c r="N302" s="9">
        <v>0.18012134649950801</v>
      </c>
      <c r="O302" s="9">
        <v>0.201218946416931</v>
      </c>
      <c r="P302" s="9">
        <v>0.235460320072474</v>
      </c>
      <c r="Q302" s="9">
        <v>0.138039844019435</v>
      </c>
      <c r="R302" s="9">
        <v>0.15502466426911901</v>
      </c>
      <c r="S302" s="13">
        <v>0.21515141477058025</v>
      </c>
      <c r="T302" s="9">
        <v>0.15406369501901701</v>
      </c>
      <c r="U302" s="9">
        <v>0.21898085304459999</v>
      </c>
      <c r="V302" s="9">
        <v>0.214591920537922</v>
      </c>
      <c r="W302" s="9">
        <v>0.19782958279841201</v>
      </c>
      <c r="X302" s="9">
        <v>0.226514264737841</v>
      </c>
      <c r="Y302" s="9">
        <v>0.198646474361374</v>
      </c>
      <c r="Z302" s="12">
        <v>0.18</v>
      </c>
      <c r="AA302" s="12">
        <v>0.178298285681843</v>
      </c>
      <c r="AB302" s="12">
        <f t="shared" si="8"/>
        <v>1.7017143181569938E-3</v>
      </c>
      <c r="AC302" s="14">
        <v>0.18730209693616101</v>
      </c>
      <c r="AD302" s="14">
        <f t="shared" si="9"/>
        <v>-7.3020969361610177E-3</v>
      </c>
    </row>
    <row r="303" spans="1:30" ht="15" x14ac:dyDescent="0.2">
      <c r="B303" s="10">
        <v>22.2</v>
      </c>
      <c r="C303" s="11">
        <v>276</v>
      </c>
      <c r="D303" s="11">
        <v>2</v>
      </c>
      <c r="E303" s="10">
        <v>63.6</v>
      </c>
      <c r="F303" s="12">
        <v>2.8336917902498899</v>
      </c>
      <c r="G303" s="10">
        <v>38</v>
      </c>
      <c r="H303" s="10">
        <v>49.1</v>
      </c>
      <c r="I303" s="9">
        <v>152.4</v>
      </c>
      <c r="J303" s="10">
        <v>381</v>
      </c>
      <c r="K303" s="11">
        <v>774</v>
      </c>
      <c r="L303" s="12">
        <v>58.755899999999997</v>
      </c>
      <c r="M303" s="9">
        <v>0.199751068218324</v>
      </c>
      <c r="N303" s="9">
        <v>0.21294062420505599</v>
      </c>
      <c r="O303" s="9">
        <v>0.23133426524309</v>
      </c>
      <c r="P303" s="9">
        <v>0.311214568690936</v>
      </c>
      <c r="Q303" s="9">
        <v>0.16169510280114699</v>
      </c>
      <c r="R303" s="9">
        <v>0.178226342210068</v>
      </c>
      <c r="S303" s="13">
        <v>0.25428055716897391</v>
      </c>
      <c r="T303" s="9">
        <v>0.17944036163829699</v>
      </c>
      <c r="U303" s="9">
        <v>0.251754497493556</v>
      </c>
      <c r="V303" s="9">
        <v>0.23348798376539201</v>
      </c>
      <c r="W303" s="9">
        <v>0.241799603758316</v>
      </c>
      <c r="X303" s="9">
        <v>0.27802568617985002</v>
      </c>
      <c r="Y303" s="9">
        <v>0.24727690343332701</v>
      </c>
      <c r="Z303" s="12">
        <v>0.22</v>
      </c>
      <c r="AA303" s="12">
        <v>0.215689936487064</v>
      </c>
      <c r="AB303" s="12">
        <f t="shared" si="8"/>
        <v>4.3100635129360021E-3</v>
      </c>
      <c r="AC303" s="14">
        <v>0.233179124411313</v>
      </c>
      <c r="AD303" s="14">
        <f t="shared" si="9"/>
        <v>-1.3179124411312998E-2</v>
      </c>
    </row>
    <row r="304" spans="1:30" ht="15" x14ac:dyDescent="0.2">
      <c r="B304" s="10">
        <v>22.2</v>
      </c>
      <c r="C304" s="11">
        <v>276</v>
      </c>
      <c r="D304" s="11">
        <v>2</v>
      </c>
      <c r="E304" s="10">
        <v>63.6</v>
      </c>
      <c r="F304" s="12">
        <v>2.8336917902498899</v>
      </c>
      <c r="G304" s="10">
        <v>38</v>
      </c>
      <c r="H304" s="10">
        <v>49.1</v>
      </c>
      <c r="I304" s="9">
        <v>152.4</v>
      </c>
      <c r="J304" s="10">
        <v>381</v>
      </c>
      <c r="K304" s="11">
        <v>774</v>
      </c>
      <c r="L304" s="12">
        <v>66.198999999999998</v>
      </c>
      <c r="M304" s="9">
        <v>0.21440510655189601</v>
      </c>
      <c r="N304" s="9">
        <v>0.22856226817276201</v>
      </c>
      <c r="O304" s="9">
        <v>0.233778093596272</v>
      </c>
      <c r="P304" s="9">
        <v>0.31782467687517302</v>
      </c>
      <c r="Q304" s="9">
        <v>0.17295476652584199</v>
      </c>
      <c r="R304" s="9">
        <v>0.18927010604602801</v>
      </c>
      <c r="S304" s="13">
        <v>0.27290563285752345</v>
      </c>
      <c r="T304" s="9">
        <v>0.19151939806835699</v>
      </c>
      <c r="U304" s="9">
        <v>0.26735442049305702</v>
      </c>
      <c r="V304" s="9">
        <v>0.23348798376539201</v>
      </c>
      <c r="W304" s="9">
        <v>0.26242979988356802</v>
      </c>
      <c r="X304" s="9">
        <v>0.30303277646459997</v>
      </c>
      <c r="Y304" s="9">
        <v>0.27117385728312898</v>
      </c>
      <c r="Z304" s="12">
        <v>0.25</v>
      </c>
      <c r="AA304" s="12">
        <v>0.23348798376539201</v>
      </c>
      <c r="AB304" s="12">
        <f t="shared" si="8"/>
        <v>1.651201623460799E-2</v>
      </c>
      <c r="AC304" s="14">
        <v>0.25501612508949401</v>
      </c>
      <c r="AD304" s="14">
        <f t="shared" si="9"/>
        <v>-5.0161250894940057E-3</v>
      </c>
    </row>
    <row r="305" spans="1:30" ht="15" x14ac:dyDescent="0.2">
      <c r="A305" s="9" t="s">
        <v>102</v>
      </c>
      <c r="B305" s="10">
        <v>22.2</v>
      </c>
      <c r="C305" s="11">
        <v>276</v>
      </c>
      <c r="D305" s="11">
        <v>2</v>
      </c>
      <c r="E305" s="10">
        <v>63.6</v>
      </c>
      <c r="F305" s="12">
        <v>2.7563734268389202</v>
      </c>
      <c r="G305" s="10">
        <v>38</v>
      </c>
      <c r="H305" s="10">
        <v>49.1</v>
      </c>
      <c r="I305" s="9">
        <v>152.4</v>
      </c>
      <c r="J305" s="10">
        <v>381</v>
      </c>
      <c r="K305" s="11">
        <v>774</v>
      </c>
      <c r="L305" s="12">
        <v>43.938299999999998</v>
      </c>
      <c r="M305" s="9">
        <v>0.14096818536099001</v>
      </c>
      <c r="N305" s="9">
        <v>0.15036800039665199</v>
      </c>
      <c r="O305" s="9">
        <v>0.172994275409456</v>
      </c>
      <c r="P305" s="9">
        <v>0.17891963776921199</v>
      </c>
      <c r="Q305" s="9">
        <v>0.115969490704598</v>
      </c>
      <c r="R305" s="9">
        <v>0.13100054919281101</v>
      </c>
      <c r="S305" s="13">
        <v>0.17868708449865608</v>
      </c>
      <c r="T305" s="9">
        <v>0.13038726841939199</v>
      </c>
      <c r="U305" s="9">
        <v>0.188509944732314</v>
      </c>
      <c r="V305" s="9">
        <v>0.18253185202682501</v>
      </c>
      <c r="W305" s="9">
        <v>0.15752243337106001</v>
      </c>
      <c r="X305" s="9">
        <v>0.182656648809463</v>
      </c>
      <c r="Y305" s="9">
        <v>0.15785103343844201</v>
      </c>
      <c r="Z305" s="12">
        <v>0.2</v>
      </c>
      <c r="AA305" s="12">
        <v>0.14523639043966599</v>
      </c>
      <c r="AB305" s="12">
        <f t="shared" si="8"/>
        <v>5.476360956033402E-2</v>
      </c>
      <c r="AC305" s="14">
        <v>0.14629649491431801</v>
      </c>
      <c r="AD305" s="14">
        <f t="shared" si="9"/>
        <v>5.3703505085682002E-2</v>
      </c>
    </row>
    <row r="306" spans="1:30" ht="15" x14ac:dyDescent="0.2">
      <c r="B306" s="10">
        <v>22.2</v>
      </c>
      <c r="C306" s="11">
        <v>276</v>
      </c>
      <c r="D306" s="11">
        <v>2</v>
      </c>
      <c r="E306" s="10">
        <v>63.6</v>
      </c>
      <c r="F306" s="12">
        <v>2.7563734268389202</v>
      </c>
      <c r="G306" s="10">
        <v>38</v>
      </c>
      <c r="H306" s="10">
        <v>49.1</v>
      </c>
      <c r="I306" s="9">
        <v>152.4</v>
      </c>
      <c r="J306" s="10">
        <v>381</v>
      </c>
      <c r="K306" s="11">
        <v>774</v>
      </c>
      <c r="L306" s="12">
        <v>51.106999999999999</v>
      </c>
      <c r="M306" s="9">
        <v>0.16980174289977501</v>
      </c>
      <c r="N306" s="9">
        <v>0.18112419109546901</v>
      </c>
      <c r="O306" s="9">
        <v>0.201218946416931</v>
      </c>
      <c r="P306" s="9">
        <v>0.24206516048305099</v>
      </c>
      <c r="Q306" s="9">
        <v>0.13815595230539399</v>
      </c>
      <c r="R306" s="9">
        <v>0.15237378477540001</v>
      </c>
      <c r="S306" s="13">
        <v>0.21539549408664255</v>
      </c>
      <c r="T306" s="9">
        <v>0.15418825257688301</v>
      </c>
      <c r="U306" s="9">
        <v>0.219266055933761</v>
      </c>
      <c r="V306" s="9">
        <v>0.21542327049224599</v>
      </c>
      <c r="W306" s="9">
        <v>0.19944957765500901</v>
      </c>
      <c r="X306" s="9">
        <v>0.23002594128812301</v>
      </c>
      <c r="Y306" s="9">
        <v>0.20180892759892299</v>
      </c>
      <c r="Z306" s="12">
        <v>0.25</v>
      </c>
      <c r="AA306" s="12">
        <v>0.18031567133788301</v>
      </c>
      <c r="AB306" s="12">
        <f t="shared" si="8"/>
        <v>6.968432866211699E-2</v>
      </c>
      <c r="AC306" s="14">
        <v>0.18913767848311999</v>
      </c>
      <c r="AD306" s="14">
        <f t="shared" si="9"/>
        <v>6.0862321516880008E-2</v>
      </c>
    </row>
    <row r="307" spans="1:30" ht="15" x14ac:dyDescent="0.2">
      <c r="B307" s="10">
        <v>22.2</v>
      </c>
      <c r="C307" s="11">
        <v>276</v>
      </c>
      <c r="D307" s="11">
        <v>2</v>
      </c>
      <c r="E307" s="10">
        <v>63.6</v>
      </c>
      <c r="F307" s="12">
        <v>2.7563734268389202</v>
      </c>
      <c r="G307" s="10">
        <v>38</v>
      </c>
      <c r="H307" s="10">
        <v>49.1</v>
      </c>
      <c r="I307" s="9">
        <v>152.4</v>
      </c>
      <c r="J307" s="10">
        <v>381</v>
      </c>
      <c r="K307" s="11">
        <v>774</v>
      </c>
      <c r="L307" s="12">
        <v>58.755899999999997</v>
      </c>
      <c r="M307" s="9">
        <v>0.20056673491484101</v>
      </c>
      <c r="N307" s="9">
        <v>0.21394060509468499</v>
      </c>
      <c r="O307" s="9">
        <v>0.23133426524309</v>
      </c>
      <c r="P307" s="9">
        <v>0.31994437318205998</v>
      </c>
      <c r="Q307" s="9">
        <v>0.16182858836748801</v>
      </c>
      <c r="R307" s="9">
        <v>0.17517872034916801</v>
      </c>
      <c r="S307" s="13">
        <v>0.25456284020205394</v>
      </c>
      <c r="T307" s="9">
        <v>0.17958356103200401</v>
      </c>
      <c r="U307" s="9">
        <v>0.25208238511042402</v>
      </c>
      <c r="V307" s="9">
        <v>0.23533649443840499</v>
      </c>
      <c r="W307" s="9">
        <v>0.243288159089255</v>
      </c>
      <c r="X307" s="9">
        <v>0.28196350271321202</v>
      </c>
      <c r="Y307" s="9">
        <v>0.25082131602525698</v>
      </c>
      <c r="Z307" s="12">
        <v>0.3</v>
      </c>
      <c r="AA307" s="12">
        <v>0.217744760525933</v>
      </c>
      <c r="AB307" s="12">
        <f t="shared" si="8"/>
        <v>8.2255239474066988E-2</v>
      </c>
      <c r="AC307" s="14">
        <v>0.23484860640581301</v>
      </c>
      <c r="AD307" s="14">
        <f t="shared" si="9"/>
        <v>6.5151393594186979E-2</v>
      </c>
    </row>
    <row r="308" spans="1:30" ht="15" x14ac:dyDescent="0.2">
      <c r="B308" s="10">
        <v>22.2</v>
      </c>
      <c r="C308" s="11">
        <v>276</v>
      </c>
      <c r="D308" s="11">
        <v>2</v>
      </c>
      <c r="E308" s="10">
        <v>63.6</v>
      </c>
      <c r="F308" s="12">
        <v>2.7563734268389202</v>
      </c>
      <c r="G308" s="10">
        <v>38</v>
      </c>
      <c r="H308" s="10">
        <v>49.1</v>
      </c>
      <c r="I308" s="9">
        <v>152.4</v>
      </c>
      <c r="J308" s="10">
        <v>381</v>
      </c>
      <c r="K308" s="11">
        <v>774</v>
      </c>
      <c r="L308" s="12">
        <v>66.198999999999998</v>
      </c>
      <c r="M308" s="9">
        <v>0.21502633211821501</v>
      </c>
      <c r="N308" s="9">
        <v>0.22936437402839599</v>
      </c>
      <c r="O308" s="9">
        <v>0.233778093596272</v>
      </c>
      <c r="P308" s="9">
        <v>0.326739899910025</v>
      </c>
      <c r="Q308" s="9">
        <v>0.17295476652584199</v>
      </c>
      <c r="R308" s="9">
        <v>0.18589707784083001</v>
      </c>
      <c r="S308" s="13">
        <v>0.27297155774947446</v>
      </c>
      <c r="T308" s="9">
        <v>0.19151939806835699</v>
      </c>
      <c r="U308" s="9">
        <v>0.267506114177395</v>
      </c>
      <c r="V308" s="9">
        <v>0.23533649443840499</v>
      </c>
      <c r="W308" s="9">
        <v>0.26360551076661798</v>
      </c>
      <c r="X308" s="9">
        <v>0.30687183846371302</v>
      </c>
      <c r="Y308" s="9">
        <v>0.27460972536747202</v>
      </c>
      <c r="Z308" s="12">
        <v>0.35</v>
      </c>
      <c r="AA308" s="12">
        <v>0.23533649443840499</v>
      </c>
      <c r="AB308" s="12">
        <f t="shared" si="8"/>
        <v>0.11466350556159499</v>
      </c>
      <c r="AC308" s="14">
        <v>0.25633281824083998</v>
      </c>
      <c r="AD308" s="14">
        <f t="shared" si="9"/>
        <v>9.3667181759160001E-2</v>
      </c>
    </row>
    <row r="309" spans="1:30" ht="15" x14ac:dyDescent="0.2">
      <c r="A309" s="9" t="s">
        <v>103</v>
      </c>
      <c r="B309" s="10">
        <v>28.7</v>
      </c>
      <c r="C309" s="11">
        <v>276</v>
      </c>
      <c r="D309" s="11">
        <v>2</v>
      </c>
      <c r="E309" s="10">
        <v>50.6</v>
      </c>
      <c r="F309" s="12">
        <v>2.7748174021560699</v>
      </c>
      <c r="G309" s="10">
        <v>22.2</v>
      </c>
      <c r="H309" s="10">
        <v>36.6</v>
      </c>
      <c r="I309" s="9">
        <v>152.4</v>
      </c>
      <c r="J309" s="10">
        <v>381</v>
      </c>
      <c r="K309" s="11">
        <v>1290</v>
      </c>
      <c r="L309" s="12">
        <v>89.111400000000003</v>
      </c>
      <c r="M309" s="9">
        <v>0.122169470768246</v>
      </c>
      <c r="N309" s="9">
        <v>0.124975658703082</v>
      </c>
      <c r="O309" s="9">
        <v>0.20638869069728799</v>
      </c>
      <c r="P309" s="9">
        <v>0.33708607017123599</v>
      </c>
      <c r="Q309" s="9">
        <v>8.7030674959262602E-2</v>
      </c>
      <c r="R309" s="9">
        <v>0.110695249958927</v>
      </c>
      <c r="S309" s="13">
        <v>0.22068313064470585</v>
      </c>
      <c r="T309" s="9">
        <v>0.14424167270541999</v>
      </c>
      <c r="U309" s="9">
        <v>0.17989763994722499</v>
      </c>
      <c r="V309" s="9">
        <v>0.145153761160389</v>
      </c>
      <c r="W309" s="9">
        <v>0.14215650440597999</v>
      </c>
      <c r="X309" s="9">
        <v>0.27685679156195903</v>
      </c>
      <c r="Y309" s="9">
        <v>0.17664311151613901</v>
      </c>
      <c r="Z309" s="12">
        <v>0.17</v>
      </c>
      <c r="AA309" s="12">
        <v>0.134837869496894</v>
      </c>
      <c r="AB309" s="12">
        <f t="shared" si="8"/>
        <v>3.5162130503106015E-2</v>
      </c>
      <c r="AC309" s="14">
        <v>0.138648828196445</v>
      </c>
      <c r="AD309" s="14">
        <f t="shared" si="9"/>
        <v>3.1351171803555011E-2</v>
      </c>
    </row>
    <row r="310" spans="1:30" ht="15" x14ac:dyDescent="0.2">
      <c r="B310" s="10">
        <v>28.7</v>
      </c>
      <c r="C310" s="11">
        <v>276</v>
      </c>
      <c r="D310" s="11">
        <v>2</v>
      </c>
      <c r="E310" s="10">
        <v>50.6</v>
      </c>
      <c r="F310" s="12">
        <v>2.7748174021560699</v>
      </c>
      <c r="G310" s="10">
        <v>22.2</v>
      </c>
      <c r="H310" s="10">
        <v>36.6</v>
      </c>
      <c r="I310" s="9">
        <v>152.4</v>
      </c>
      <c r="J310" s="10">
        <v>381</v>
      </c>
      <c r="K310" s="11">
        <v>1290</v>
      </c>
      <c r="L310" s="12">
        <v>104.61499999999999</v>
      </c>
      <c r="M310" s="9">
        <v>0.146108260128539</v>
      </c>
      <c r="N310" s="9">
        <v>0.14946431327483101</v>
      </c>
      <c r="O310" s="9">
        <v>0.230267614787388</v>
      </c>
      <c r="P310" s="9">
        <v>0.41959928439326599</v>
      </c>
      <c r="Q310" s="9">
        <v>0.103508727574287</v>
      </c>
      <c r="R310" s="9">
        <v>0.129954007842466</v>
      </c>
      <c r="S310" s="13">
        <v>0.26698923600833224</v>
      </c>
      <c r="T310" s="9">
        <v>0.171653172456639</v>
      </c>
      <c r="U310" s="9">
        <v>0.211196228575456</v>
      </c>
      <c r="V310" s="9">
        <v>0.16323212460060199</v>
      </c>
      <c r="W310" s="9">
        <v>0.172505410000412</v>
      </c>
      <c r="X310" s="9">
        <v>0.351967434815879</v>
      </c>
      <c r="Y310" s="9">
        <v>0.22499141904506101</v>
      </c>
      <c r="Z310" s="12">
        <v>0.2</v>
      </c>
      <c r="AA310" s="12">
        <v>0.162583158045426</v>
      </c>
      <c r="AB310" s="12">
        <f t="shared" si="8"/>
        <v>3.7416841954574009E-2</v>
      </c>
      <c r="AC310" s="14">
        <v>0.169914612673841</v>
      </c>
      <c r="AD310" s="14">
        <f t="shared" si="9"/>
        <v>3.0085387326159008E-2</v>
      </c>
    </row>
    <row r="311" spans="1:30" ht="15" x14ac:dyDescent="0.2">
      <c r="A311" s="9" t="s">
        <v>104</v>
      </c>
      <c r="B311" s="10">
        <v>28.7</v>
      </c>
      <c r="C311" s="11">
        <v>276</v>
      </c>
      <c r="D311" s="11">
        <v>2</v>
      </c>
      <c r="E311" s="10">
        <v>50.6</v>
      </c>
      <c r="F311" s="12">
        <v>2.8017146470593901</v>
      </c>
      <c r="G311" s="10">
        <v>38.200000000000003</v>
      </c>
      <c r="H311" s="10">
        <v>52.5</v>
      </c>
      <c r="I311" s="9">
        <v>152.4</v>
      </c>
      <c r="J311" s="10">
        <v>381</v>
      </c>
      <c r="K311" s="11">
        <v>1290</v>
      </c>
      <c r="L311" s="12">
        <v>64.998500000000007</v>
      </c>
      <c r="M311" s="9">
        <v>0.11532192168156601</v>
      </c>
      <c r="N311" s="9">
        <v>0.13405833916930099</v>
      </c>
      <c r="O311" s="9">
        <v>0.16565003896528299</v>
      </c>
      <c r="P311" s="9">
        <v>0.19653619230075201</v>
      </c>
      <c r="Q311" s="9">
        <v>9.3567981486954596E-2</v>
      </c>
      <c r="R311" s="9">
        <v>0.120494910383521</v>
      </c>
      <c r="S311" s="13">
        <v>0.18555463279263743</v>
      </c>
      <c r="T311" s="9">
        <v>0.123255665971158</v>
      </c>
      <c r="U311" s="9">
        <v>0.18980320560508901</v>
      </c>
      <c r="V311" s="9">
        <v>0.16105132485396201</v>
      </c>
      <c r="W311" s="9">
        <v>0.142008452953511</v>
      </c>
      <c r="X311" s="9">
        <v>0.19184353171455601</v>
      </c>
      <c r="Y311" s="9">
        <v>0.15346522258282599</v>
      </c>
      <c r="Z311" s="12">
        <v>0.17</v>
      </c>
      <c r="AA311" s="12">
        <v>0.13588745970060401</v>
      </c>
      <c r="AB311" s="12">
        <f t="shared" si="8"/>
        <v>3.4112540299396005E-2</v>
      </c>
      <c r="AC311" s="14">
        <v>0.13588745970060401</v>
      </c>
      <c r="AD311" s="14">
        <f t="shared" si="9"/>
        <v>3.4112540299396005E-2</v>
      </c>
    </row>
    <row r="312" spans="1:30" ht="15" x14ac:dyDescent="0.2">
      <c r="B312" s="10">
        <v>28.7</v>
      </c>
      <c r="C312" s="11">
        <v>276</v>
      </c>
      <c r="D312" s="11">
        <v>2</v>
      </c>
      <c r="E312" s="10">
        <v>50.6</v>
      </c>
      <c r="F312" s="12">
        <v>2.8017146470593901</v>
      </c>
      <c r="G312" s="10">
        <v>38.200000000000003</v>
      </c>
      <c r="H312" s="10">
        <v>52.5</v>
      </c>
      <c r="I312" s="9">
        <v>152.4</v>
      </c>
      <c r="J312" s="10">
        <v>381</v>
      </c>
      <c r="K312" s="11">
        <v>1290</v>
      </c>
      <c r="L312" s="12">
        <v>77.037800000000004</v>
      </c>
      <c r="M312" s="9">
        <v>0.140424010918515</v>
      </c>
      <c r="N312" s="9">
        <v>0.163238778965275</v>
      </c>
      <c r="O312" s="9">
        <v>0.196332447238008</v>
      </c>
      <c r="P312" s="9">
        <v>0.276085509468807</v>
      </c>
      <c r="Q312" s="9">
        <v>0.112861248150379</v>
      </c>
      <c r="R312" s="9">
        <v>0.14281349272896501</v>
      </c>
      <c r="S312" s="13">
        <v>0.22977913995305638</v>
      </c>
      <c r="T312" s="9">
        <v>0.14891351993040899</v>
      </c>
      <c r="U312" s="9">
        <v>0.224959366643287</v>
      </c>
      <c r="V312" s="9">
        <v>0.193629138056578</v>
      </c>
      <c r="W312" s="9">
        <v>0.18156980749840501</v>
      </c>
      <c r="X312" s="9">
        <v>0.24595396894281801</v>
      </c>
      <c r="Y312" s="9">
        <v>0.199153145595442</v>
      </c>
      <c r="Z312" s="12">
        <v>0.2</v>
      </c>
      <c r="AA312" s="12">
        <v>0.170118894178651</v>
      </c>
      <c r="AB312" s="12">
        <f t="shared" si="8"/>
        <v>2.9881105821349008E-2</v>
      </c>
      <c r="AC312" s="14">
        <v>0.17401832817903201</v>
      </c>
      <c r="AD312" s="14">
        <f t="shared" si="9"/>
        <v>2.5981671820968E-2</v>
      </c>
    </row>
    <row r="313" spans="1:30" ht="15" x14ac:dyDescent="0.2">
      <c r="B313" s="10">
        <v>28.7</v>
      </c>
      <c r="C313" s="11">
        <v>276</v>
      </c>
      <c r="D313" s="11">
        <v>2</v>
      </c>
      <c r="E313" s="10">
        <v>50.6</v>
      </c>
      <c r="F313" s="12">
        <v>2.8017146470593901</v>
      </c>
      <c r="G313" s="10">
        <v>38.200000000000003</v>
      </c>
      <c r="H313" s="10">
        <v>52.5</v>
      </c>
      <c r="I313" s="9">
        <v>152.4</v>
      </c>
      <c r="J313" s="10">
        <v>381</v>
      </c>
      <c r="K313" s="11">
        <v>1290</v>
      </c>
      <c r="L313" s="12">
        <v>88.802700000000002</v>
      </c>
      <c r="M313" s="9">
        <v>0.16495397276544799</v>
      </c>
      <c r="N313" s="9">
        <v>0.191754137512338</v>
      </c>
      <c r="O313" s="9">
        <v>0.226315541362067</v>
      </c>
      <c r="P313" s="9">
        <v>0.366849735279691</v>
      </c>
      <c r="Q313" s="9">
        <v>0.13171478224027899</v>
      </c>
      <c r="R313" s="9">
        <v>0.16462338943690499</v>
      </c>
      <c r="S313" s="13">
        <v>0.27299568113830908</v>
      </c>
      <c r="T313" s="9">
        <v>0.17398657949742499</v>
      </c>
      <c r="U313" s="9">
        <v>0.25931424765782302</v>
      </c>
      <c r="V313" s="9">
        <v>0.22578113027322799</v>
      </c>
      <c r="W313" s="9">
        <v>0.21958766611318201</v>
      </c>
      <c r="X313" s="9">
        <v>0.30107951427423402</v>
      </c>
      <c r="Y313" s="9">
        <v>0.24627594738575601</v>
      </c>
      <c r="Z313" s="12">
        <v>0.25</v>
      </c>
      <c r="AA313" s="12">
        <v>0.20357012502187</v>
      </c>
      <c r="AB313" s="12">
        <f t="shared" si="8"/>
        <v>4.6429874978130004E-2</v>
      </c>
      <c r="AC313" s="14">
        <v>0.213045974149526</v>
      </c>
      <c r="AD313" s="14">
        <f t="shared" si="9"/>
        <v>3.6954025850473998E-2</v>
      </c>
    </row>
    <row r="314" spans="1:30" ht="15" x14ac:dyDescent="0.2">
      <c r="B314" s="10">
        <v>28.7</v>
      </c>
      <c r="C314" s="11">
        <v>276</v>
      </c>
      <c r="D314" s="11">
        <v>2</v>
      </c>
      <c r="E314" s="10">
        <v>50.6</v>
      </c>
      <c r="F314" s="12">
        <v>2.8017146470593901</v>
      </c>
      <c r="G314" s="10">
        <v>38.200000000000003</v>
      </c>
      <c r="H314" s="10">
        <v>52.5</v>
      </c>
      <c r="I314" s="9">
        <v>152.4</v>
      </c>
      <c r="J314" s="10">
        <v>381</v>
      </c>
      <c r="K314" s="11">
        <v>1290</v>
      </c>
      <c r="L314" s="12">
        <v>104.61499999999999</v>
      </c>
      <c r="M314" s="9">
        <v>0.18803361981907099</v>
      </c>
      <c r="N314" s="9">
        <v>0.21858354780577399</v>
      </c>
      <c r="O314" s="9">
        <v>0.24087564876911199</v>
      </c>
      <c r="P314" s="9">
        <v>0.41557101380352901</v>
      </c>
      <c r="Q314" s="9">
        <v>0.149453615884764</v>
      </c>
      <c r="R314" s="9">
        <v>0.18514379307374099</v>
      </c>
      <c r="S314" s="13">
        <v>0.31365707815383997</v>
      </c>
      <c r="T314" s="9">
        <v>0.197577214043543</v>
      </c>
      <c r="U314" s="9">
        <v>0.29163792322374399</v>
      </c>
      <c r="V314" s="9">
        <v>0.23504357802551901</v>
      </c>
      <c r="W314" s="9">
        <v>0.25484835043311999</v>
      </c>
      <c r="X314" s="9">
        <v>0.35497506248326299</v>
      </c>
      <c r="Y314" s="9">
        <v>0.29284750986810099</v>
      </c>
      <c r="Z314" s="12">
        <v>0.28999999999999998</v>
      </c>
      <c r="AA314" s="12">
        <v>0.23504357802551901</v>
      </c>
      <c r="AB314" s="12">
        <f t="shared" si="8"/>
        <v>5.4956421974480973E-2</v>
      </c>
      <c r="AC314" s="14">
        <v>0.24976614110100201</v>
      </c>
      <c r="AD314" s="14">
        <f t="shared" si="9"/>
        <v>4.0233858898997971E-2</v>
      </c>
    </row>
    <row r="315" spans="1:30" ht="15" x14ac:dyDescent="0.2">
      <c r="A315" s="9" t="s">
        <v>105</v>
      </c>
      <c r="B315" s="10">
        <v>28.7</v>
      </c>
      <c r="C315" s="11">
        <v>276</v>
      </c>
      <c r="D315" s="11">
        <v>2</v>
      </c>
      <c r="E315" s="10">
        <v>50.6</v>
      </c>
      <c r="F315" s="12">
        <v>2.7153116457984501</v>
      </c>
      <c r="G315" s="10">
        <v>38.200000000000003</v>
      </c>
      <c r="H315" s="10">
        <v>52.5</v>
      </c>
      <c r="I315" s="9">
        <v>152.4</v>
      </c>
      <c r="J315" s="10">
        <v>381</v>
      </c>
      <c r="K315" s="11">
        <v>1290</v>
      </c>
      <c r="L315" s="12">
        <v>77.037800000000004</v>
      </c>
      <c r="M315" s="9">
        <v>0.14087586174075001</v>
      </c>
      <c r="N315" s="9">
        <v>0.16389493709976799</v>
      </c>
      <c r="O315" s="9">
        <v>0.196332447238008</v>
      </c>
      <c r="P315" s="9">
        <v>0.28487073184270001</v>
      </c>
      <c r="Q315" s="9">
        <v>0.112980180425429</v>
      </c>
      <c r="R315" s="9">
        <v>0.14006985591184801</v>
      </c>
      <c r="S315" s="13">
        <v>0.23025283675283303</v>
      </c>
      <c r="T315" s="9">
        <v>0.14907168635175699</v>
      </c>
      <c r="U315" s="9">
        <v>0.22539483460015799</v>
      </c>
      <c r="V315" s="9">
        <v>0.19436741122454099</v>
      </c>
      <c r="W315" s="9">
        <v>0.18293908078479201</v>
      </c>
      <c r="X315" s="9">
        <v>0.25009363270656298</v>
      </c>
      <c r="Y315" s="9">
        <v>0.20212256733709599</v>
      </c>
      <c r="Z315" s="12">
        <v>0.17</v>
      </c>
      <c r="AA315" s="12">
        <v>0.17172528363860701</v>
      </c>
      <c r="AB315" s="12">
        <f t="shared" si="8"/>
        <v>-1.7252836386069947E-3</v>
      </c>
      <c r="AC315" s="14">
        <v>0.17555386359826999</v>
      </c>
      <c r="AD315" s="14">
        <f t="shared" si="9"/>
        <v>-5.5538635982699813E-3</v>
      </c>
    </row>
    <row r="316" spans="1:30" ht="15" x14ac:dyDescent="0.2">
      <c r="A316" s="9" t="s">
        <v>106</v>
      </c>
      <c r="B316" s="10">
        <v>28.7</v>
      </c>
      <c r="C316" s="11">
        <v>276</v>
      </c>
      <c r="D316" s="11">
        <v>2</v>
      </c>
      <c r="E316" s="10">
        <v>50.6</v>
      </c>
      <c r="F316" s="12">
        <v>2.8017146470593901</v>
      </c>
      <c r="G316" s="10">
        <v>38.200000000000003</v>
      </c>
      <c r="H316" s="10">
        <v>52.5</v>
      </c>
      <c r="I316" s="9">
        <v>152.4</v>
      </c>
      <c r="J316" s="10">
        <v>381</v>
      </c>
      <c r="K316" s="11">
        <v>1290</v>
      </c>
      <c r="L316" s="12">
        <v>64.998500000000007</v>
      </c>
      <c r="M316" s="9">
        <v>0.11532192168156601</v>
      </c>
      <c r="N316" s="9">
        <v>0.13405833916930099</v>
      </c>
      <c r="O316" s="9">
        <v>0.16565003896528299</v>
      </c>
      <c r="P316" s="9">
        <v>0.19653619230075201</v>
      </c>
      <c r="Q316" s="9">
        <v>9.3567981486954596E-2</v>
      </c>
      <c r="R316" s="9">
        <v>0.120494910383521</v>
      </c>
      <c r="S316" s="13">
        <v>0.18555463279263743</v>
      </c>
      <c r="T316" s="9">
        <v>0.123255665971158</v>
      </c>
      <c r="U316" s="9">
        <v>0.18980320560508901</v>
      </c>
      <c r="V316" s="9">
        <v>0.16105132485396201</v>
      </c>
      <c r="W316" s="9">
        <v>0.142008452953511</v>
      </c>
      <c r="X316" s="9">
        <v>0.19184353171455601</v>
      </c>
      <c r="Y316" s="9">
        <v>0.15346522258282599</v>
      </c>
      <c r="Z316" s="12">
        <v>0.15</v>
      </c>
      <c r="AA316" s="12">
        <v>0.13588745970060401</v>
      </c>
      <c r="AB316" s="12">
        <f t="shared" si="8"/>
        <v>1.4112540299395987E-2</v>
      </c>
      <c r="AC316" s="14">
        <v>0.13588745970060401</v>
      </c>
      <c r="AD316" s="14">
        <f t="shared" si="9"/>
        <v>1.4112540299395987E-2</v>
      </c>
    </row>
    <row r="317" spans="1:30" ht="15" x14ac:dyDescent="0.2">
      <c r="B317" s="10">
        <v>28.7</v>
      </c>
      <c r="C317" s="11">
        <v>276</v>
      </c>
      <c r="D317" s="11">
        <v>2</v>
      </c>
      <c r="E317" s="10">
        <v>50.6</v>
      </c>
      <c r="F317" s="12">
        <v>2.8017146470593901</v>
      </c>
      <c r="G317" s="10">
        <v>38.200000000000003</v>
      </c>
      <c r="H317" s="10">
        <v>52.5</v>
      </c>
      <c r="I317" s="9">
        <v>152.4</v>
      </c>
      <c r="J317" s="10">
        <v>381</v>
      </c>
      <c r="K317" s="11">
        <v>1290</v>
      </c>
      <c r="L317" s="12">
        <v>77.037800000000004</v>
      </c>
      <c r="M317" s="9">
        <v>0.140424010918515</v>
      </c>
      <c r="N317" s="9">
        <v>0.163238778965275</v>
      </c>
      <c r="O317" s="9">
        <v>0.196332447238008</v>
      </c>
      <c r="P317" s="9">
        <v>0.276085509468807</v>
      </c>
      <c r="Q317" s="9">
        <v>0.112861248150379</v>
      </c>
      <c r="R317" s="9">
        <v>0.14281349272896501</v>
      </c>
      <c r="S317" s="13">
        <v>0.22977913995305638</v>
      </c>
      <c r="T317" s="9">
        <v>0.14891351993040899</v>
      </c>
      <c r="U317" s="9">
        <v>0.224959366643287</v>
      </c>
      <c r="V317" s="9">
        <v>0.193629138056578</v>
      </c>
      <c r="W317" s="9">
        <v>0.18156980749840501</v>
      </c>
      <c r="X317" s="9">
        <v>0.24595396894281801</v>
      </c>
      <c r="Y317" s="9">
        <v>0.199153145595442</v>
      </c>
      <c r="Z317" s="12">
        <v>0.16</v>
      </c>
      <c r="AA317" s="12">
        <v>0.170118894178651</v>
      </c>
      <c r="AB317" s="12">
        <f t="shared" si="8"/>
        <v>-1.0118894178651E-2</v>
      </c>
      <c r="AC317" s="14">
        <v>0.17401832817903201</v>
      </c>
      <c r="AD317" s="14">
        <f t="shared" si="9"/>
        <v>-1.4018328179032008E-2</v>
      </c>
    </row>
    <row r="318" spans="1:30" ht="15" x14ac:dyDescent="0.2">
      <c r="B318" s="10">
        <v>28.7</v>
      </c>
      <c r="C318" s="11">
        <v>276</v>
      </c>
      <c r="D318" s="11">
        <v>2</v>
      </c>
      <c r="E318" s="10">
        <v>50.6</v>
      </c>
      <c r="F318" s="12">
        <v>2.8017146470593901</v>
      </c>
      <c r="G318" s="10">
        <v>38.200000000000003</v>
      </c>
      <c r="H318" s="10">
        <v>52.5</v>
      </c>
      <c r="I318" s="9">
        <v>152.4</v>
      </c>
      <c r="J318" s="10">
        <v>381</v>
      </c>
      <c r="K318" s="11">
        <v>1290</v>
      </c>
      <c r="L318" s="12">
        <v>88.802700000000002</v>
      </c>
      <c r="M318" s="9">
        <v>0.16495397276544799</v>
      </c>
      <c r="N318" s="9">
        <v>0.191754137512338</v>
      </c>
      <c r="O318" s="9">
        <v>0.226315541362067</v>
      </c>
      <c r="P318" s="9">
        <v>0.366849735279691</v>
      </c>
      <c r="Q318" s="9">
        <v>0.13171478224027899</v>
      </c>
      <c r="R318" s="9">
        <v>0.16462338943690499</v>
      </c>
      <c r="S318" s="13">
        <v>0.27299568113830908</v>
      </c>
      <c r="T318" s="9">
        <v>0.17398657949742499</v>
      </c>
      <c r="U318" s="9">
        <v>0.25931424765782302</v>
      </c>
      <c r="V318" s="9">
        <v>0.22578113027322799</v>
      </c>
      <c r="W318" s="9">
        <v>0.21958766611318201</v>
      </c>
      <c r="X318" s="9">
        <v>0.30107951427423402</v>
      </c>
      <c r="Y318" s="9">
        <v>0.24627594738575601</v>
      </c>
      <c r="Z318" s="12">
        <v>0.22</v>
      </c>
      <c r="AA318" s="12">
        <v>0.20357012502187</v>
      </c>
      <c r="AB318" s="12">
        <f t="shared" si="8"/>
        <v>1.6429874978130005E-2</v>
      </c>
      <c r="AC318" s="14">
        <v>0.213045974149526</v>
      </c>
      <c r="AD318" s="14">
        <f t="shared" si="9"/>
        <v>6.9540258504739993E-3</v>
      </c>
    </row>
    <row r="319" spans="1:30" ht="15" x14ac:dyDescent="0.2">
      <c r="B319" s="10">
        <v>28.7</v>
      </c>
      <c r="C319" s="11">
        <v>276</v>
      </c>
      <c r="D319" s="11">
        <v>2</v>
      </c>
      <c r="E319" s="10">
        <v>50.6</v>
      </c>
      <c r="F319" s="12">
        <v>2.8017146470593901</v>
      </c>
      <c r="G319" s="10">
        <v>38.200000000000003</v>
      </c>
      <c r="H319" s="10">
        <v>52.5</v>
      </c>
      <c r="I319" s="9">
        <v>152.4</v>
      </c>
      <c r="J319" s="10">
        <v>381</v>
      </c>
      <c r="K319" s="11">
        <v>1290</v>
      </c>
      <c r="L319" s="12">
        <v>104.61499999999999</v>
      </c>
      <c r="M319" s="9">
        <v>0.18803361981907099</v>
      </c>
      <c r="N319" s="9">
        <v>0.21858354780577399</v>
      </c>
      <c r="O319" s="9">
        <v>0.24087564876911199</v>
      </c>
      <c r="P319" s="9">
        <v>0.41557101380352901</v>
      </c>
      <c r="Q319" s="9">
        <v>0.149453615884764</v>
      </c>
      <c r="R319" s="9">
        <v>0.18514379307374099</v>
      </c>
      <c r="S319" s="13">
        <v>0.31365707815383997</v>
      </c>
      <c r="T319" s="9">
        <v>0.197577214043543</v>
      </c>
      <c r="U319" s="9">
        <v>0.29163792322374399</v>
      </c>
      <c r="V319" s="9">
        <v>0.23504357802551901</v>
      </c>
      <c r="W319" s="9">
        <v>0.25484835043311999</v>
      </c>
      <c r="X319" s="9">
        <v>0.35497506248326299</v>
      </c>
      <c r="Y319" s="9">
        <v>0.29284750986810099</v>
      </c>
      <c r="Z319" s="12">
        <v>0.26</v>
      </c>
      <c r="AA319" s="12">
        <v>0.23504357802551901</v>
      </c>
      <c r="AB319" s="12">
        <f t="shared" si="8"/>
        <v>2.4956421974481002E-2</v>
      </c>
      <c r="AC319" s="14">
        <v>0.24976614110100201</v>
      </c>
      <c r="AD319" s="14">
        <f t="shared" si="9"/>
        <v>1.0233858898997999E-2</v>
      </c>
    </row>
    <row r="320" spans="1:30" ht="15" x14ac:dyDescent="0.2">
      <c r="A320" s="9" t="s">
        <v>107</v>
      </c>
      <c r="B320" s="10">
        <v>28.7</v>
      </c>
      <c r="C320" s="11">
        <v>276</v>
      </c>
      <c r="D320" s="11">
        <v>2</v>
      </c>
      <c r="E320" s="10">
        <v>50.6</v>
      </c>
      <c r="F320" s="12">
        <v>2.5244480681033798</v>
      </c>
      <c r="G320" s="10">
        <v>38.200000000000003</v>
      </c>
      <c r="H320" s="10">
        <v>52.5</v>
      </c>
      <c r="I320" s="9">
        <v>152.4</v>
      </c>
      <c r="J320" s="10">
        <v>381</v>
      </c>
      <c r="K320" s="11">
        <v>1290</v>
      </c>
      <c r="L320" s="12">
        <v>77.037800000000004</v>
      </c>
      <c r="M320" s="9">
        <v>0.141859120010489</v>
      </c>
      <c r="N320" s="9">
        <v>0.16534871114949401</v>
      </c>
      <c r="O320" s="9">
        <v>0.196332447238008</v>
      </c>
      <c r="P320" s="9">
        <v>0.30640868611757599</v>
      </c>
      <c r="Q320" s="9">
        <v>0.11325908664956801</v>
      </c>
      <c r="R320" s="9">
        <v>0.13389031809443799</v>
      </c>
      <c r="S320" s="13">
        <v>0.23137952107838697</v>
      </c>
      <c r="T320" s="9">
        <v>0.14944259996074399</v>
      </c>
      <c r="U320" s="9">
        <v>0.22642364307679</v>
      </c>
      <c r="V320" s="9">
        <v>0.19606887332991799</v>
      </c>
      <c r="W320" s="9">
        <v>0.18600341560866501</v>
      </c>
      <c r="X320" s="9">
        <v>0.259854558654044</v>
      </c>
      <c r="Y320" s="9">
        <v>0.20899886940821299</v>
      </c>
      <c r="Z320" s="12">
        <v>0.17</v>
      </c>
      <c r="AA320" s="12">
        <v>0.175324609891476</v>
      </c>
      <c r="AB320" s="12">
        <f t="shared" si="8"/>
        <v>-5.3246098914759843E-3</v>
      </c>
      <c r="AC320" s="14">
        <v>0.17899338062495501</v>
      </c>
      <c r="AD320" s="14">
        <f t="shared" si="9"/>
        <v>-8.9933806249549997E-3</v>
      </c>
    </row>
    <row r="321" spans="1:30" ht="15" x14ac:dyDescent="0.2">
      <c r="B321" s="10">
        <v>28.7</v>
      </c>
      <c r="C321" s="11">
        <v>276</v>
      </c>
      <c r="D321" s="11">
        <v>2</v>
      </c>
      <c r="E321" s="10">
        <v>50.6</v>
      </c>
      <c r="F321" s="12">
        <v>2.5244480681033798</v>
      </c>
      <c r="G321" s="10">
        <v>38.200000000000003</v>
      </c>
      <c r="H321" s="10">
        <v>52.5</v>
      </c>
      <c r="I321" s="9">
        <v>152.4</v>
      </c>
      <c r="J321" s="10">
        <v>381</v>
      </c>
      <c r="K321" s="11">
        <v>1290</v>
      </c>
      <c r="L321" s="12">
        <v>88.802700000000002</v>
      </c>
      <c r="M321" s="9">
        <v>0.16632972890339801</v>
      </c>
      <c r="N321" s="9">
        <v>0.193871259725763</v>
      </c>
      <c r="O321" s="9">
        <v>0.226315541362067</v>
      </c>
      <c r="P321" s="9">
        <v>0.40714177866814399</v>
      </c>
      <c r="Q321" s="9">
        <v>0.13217337701962001</v>
      </c>
      <c r="R321" s="9">
        <v>0.154337503805209</v>
      </c>
      <c r="S321" s="13">
        <v>0.27486471501390636</v>
      </c>
      <c r="T321" s="9">
        <v>0.17459645848163599</v>
      </c>
      <c r="U321" s="9">
        <v>0.26100214244247899</v>
      </c>
      <c r="V321" s="9">
        <v>0.22852085428135699</v>
      </c>
      <c r="W321" s="9">
        <v>0.22375801244190799</v>
      </c>
      <c r="X321" s="9">
        <v>0.31758142250733801</v>
      </c>
      <c r="Y321" s="9">
        <v>0.25772258281940402</v>
      </c>
      <c r="Z321" s="12">
        <v>0.2</v>
      </c>
      <c r="AA321" s="12">
        <v>0.208922974031405</v>
      </c>
      <c r="AB321" s="12">
        <f t="shared" si="8"/>
        <v>-8.9229740314049899E-3</v>
      </c>
      <c r="AC321" s="14">
        <v>0.21770102562207599</v>
      </c>
      <c r="AD321" s="14">
        <f t="shared" si="9"/>
        <v>-1.7701025622075983E-2</v>
      </c>
    </row>
    <row r="322" spans="1:30" ht="15" x14ac:dyDescent="0.2">
      <c r="B322" s="10">
        <v>28.7</v>
      </c>
      <c r="C322" s="11">
        <v>276</v>
      </c>
      <c r="D322" s="11">
        <v>2</v>
      </c>
      <c r="E322" s="10">
        <v>50.6</v>
      </c>
      <c r="F322" s="12">
        <v>2.5244480681033798</v>
      </c>
      <c r="G322" s="10">
        <v>38.200000000000003</v>
      </c>
      <c r="H322" s="10">
        <v>52.5</v>
      </c>
      <c r="I322" s="9">
        <v>152.4</v>
      </c>
      <c r="J322" s="10">
        <v>381</v>
      </c>
      <c r="K322" s="11">
        <v>1290</v>
      </c>
      <c r="L322" s="12">
        <v>104.61499999999999</v>
      </c>
      <c r="M322" s="9">
        <v>0.18868626243291201</v>
      </c>
      <c r="N322" s="9">
        <v>0.21992967602358099</v>
      </c>
      <c r="O322" s="9">
        <v>0.24087564876911199</v>
      </c>
      <c r="P322" s="9">
        <v>0.46121423965017999</v>
      </c>
      <c r="Q322" s="9">
        <v>0.149453615884764</v>
      </c>
      <c r="R322" s="9">
        <v>0.17301820745780599</v>
      </c>
      <c r="S322" s="13">
        <v>0.31459311738065426</v>
      </c>
      <c r="T322" s="9">
        <v>0.197577214043543</v>
      </c>
      <c r="U322" s="9">
        <v>0.292593321225664</v>
      </c>
      <c r="V322" s="9">
        <v>0.239618693852614</v>
      </c>
      <c r="W322" s="9">
        <v>0.25780518558381099</v>
      </c>
      <c r="X322" s="9">
        <v>0.37255055872376802</v>
      </c>
      <c r="Y322" s="9">
        <v>0.30454913395810002</v>
      </c>
      <c r="Z322" s="12">
        <v>0.24</v>
      </c>
      <c r="AA322" s="12">
        <v>0.239618693852614</v>
      </c>
      <c r="AB322" s="12">
        <f t="shared" si="8"/>
        <v>3.8130614738599022E-4</v>
      </c>
      <c r="AC322" s="14">
        <v>0.25306462311218098</v>
      </c>
      <c r="AD322" s="14">
        <f t="shared" si="9"/>
        <v>-1.3064623112180984E-2</v>
      </c>
    </row>
    <row r="323" spans="1:30" ht="15" x14ac:dyDescent="0.2">
      <c r="A323" s="9" t="s">
        <v>108</v>
      </c>
      <c r="B323" s="10">
        <v>32.299999999999997</v>
      </c>
      <c r="C323" s="11">
        <v>276</v>
      </c>
      <c r="D323" s="11">
        <v>1</v>
      </c>
      <c r="E323" s="10">
        <v>60</v>
      </c>
      <c r="F323" s="12">
        <v>2.5382184533279299</v>
      </c>
      <c r="G323" s="10">
        <v>38.299999999999997</v>
      </c>
      <c r="H323" s="10">
        <v>54.4</v>
      </c>
      <c r="I323" s="9">
        <v>152.4</v>
      </c>
      <c r="J323" s="10">
        <v>381</v>
      </c>
      <c r="K323" s="11">
        <v>819</v>
      </c>
      <c r="L323" s="12">
        <v>39.959499999999998</v>
      </c>
      <c r="M323" s="9">
        <v>0.14970058886743601</v>
      </c>
      <c r="N323" s="9">
        <v>0.148256700196014</v>
      </c>
      <c r="O323" s="9">
        <v>0.22847111041694401</v>
      </c>
      <c r="P323" s="9">
        <v>0.21773757789137599</v>
      </c>
      <c r="Q323" s="9">
        <v>0.15347113053949901</v>
      </c>
      <c r="R323" s="9">
        <v>0.16855423879676801</v>
      </c>
      <c r="S323" s="13">
        <v>0.2273891260861389</v>
      </c>
      <c r="T323" s="9">
        <v>0.118128118714196</v>
      </c>
      <c r="U323" s="9">
        <v>0.23000080519711599</v>
      </c>
      <c r="V323" s="9">
        <v>0.19161592366703001</v>
      </c>
      <c r="W323" s="9">
        <v>0.15145443871388201</v>
      </c>
      <c r="X323" s="9">
        <v>0.19676267818426599</v>
      </c>
      <c r="Y323" s="9">
        <v>0.15275936108371799</v>
      </c>
      <c r="Z323" s="12">
        <v>0.17</v>
      </c>
      <c r="AA323" s="12">
        <v>0.143016253459017</v>
      </c>
      <c r="AB323" s="12">
        <f t="shared" ref="AB323:AB342" si="10">Z323-AA323</f>
        <v>2.6983746540983011E-2</v>
      </c>
      <c r="AC323" s="14">
        <v>0.143016253459017</v>
      </c>
      <c r="AD323" s="14">
        <f t="shared" ref="AD323:AD342" si="11">Z323-AC323</f>
        <v>2.6983746540983011E-2</v>
      </c>
    </row>
    <row r="324" spans="1:30" ht="15" x14ac:dyDescent="0.2">
      <c r="B324" s="10">
        <v>32.299999999999997</v>
      </c>
      <c r="C324" s="11">
        <v>276</v>
      </c>
      <c r="D324" s="11">
        <v>1</v>
      </c>
      <c r="E324" s="10">
        <v>60</v>
      </c>
      <c r="F324" s="12">
        <v>2.5382184533279299</v>
      </c>
      <c r="G324" s="10">
        <v>38.299999999999997</v>
      </c>
      <c r="H324" s="10">
        <v>54.4</v>
      </c>
      <c r="I324" s="9">
        <v>152.4</v>
      </c>
      <c r="J324" s="10">
        <v>381</v>
      </c>
      <c r="K324" s="11">
        <v>819</v>
      </c>
      <c r="L324" s="12">
        <v>49.186199999999999</v>
      </c>
      <c r="M324" s="9">
        <v>0.19313670689694701</v>
      </c>
      <c r="N324" s="9">
        <v>0.19127386918045</v>
      </c>
      <c r="O324" s="9">
        <v>0.28122538398102798</v>
      </c>
      <c r="P324" s="9">
        <v>0.32989811911981998</v>
      </c>
      <c r="Q324" s="9">
        <v>0.19550919357185101</v>
      </c>
      <c r="R324" s="9">
        <v>0.20747362955756599</v>
      </c>
      <c r="S324" s="13">
        <v>0.29594956737431882</v>
      </c>
      <c r="T324" s="9">
        <v>0.149037936210803</v>
      </c>
      <c r="U324" s="9">
        <v>0.28310828725550602</v>
      </c>
      <c r="V324" s="9">
        <v>0.240774974735015</v>
      </c>
      <c r="W324" s="9">
        <v>0.215905723621829</v>
      </c>
      <c r="X324" s="9">
        <v>0.27847515862206301</v>
      </c>
      <c r="Y324" s="9">
        <v>0.21933091167457999</v>
      </c>
      <c r="Z324" s="12">
        <v>0.23</v>
      </c>
      <c r="AA324" s="12">
        <v>0.196050625318856</v>
      </c>
      <c r="AB324" s="12">
        <f t="shared" si="10"/>
        <v>3.3949374681144007E-2</v>
      </c>
      <c r="AC324" s="14">
        <v>0.20219818495855699</v>
      </c>
      <c r="AD324" s="14">
        <f t="shared" si="11"/>
        <v>2.7801815041443023E-2</v>
      </c>
    </row>
    <row r="325" spans="1:30" ht="15" x14ac:dyDescent="0.2">
      <c r="B325" s="10">
        <v>32.299999999999997</v>
      </c>
      <c r="C325" s="11">
        <v>276</v>
      </c>
      <c r="D325" s="11">
        <v>1</v>
      </c>
      <c r="E325" s="10">
        <v>60</v>
      </c>
      <c r="F325" s="12">
        <v>2.5382184533279299</v>
      </c>
      <c r="G325" s="10">
        <v>38.299999999999997</v>
      </c>
      <c r="H325" s="10">
        <v>54.4</v>
      </c>
      <c r="I325" s="9">
        <v>152.4</v>
      </c>
      <c r="J325" s="10">
        <v>381</v>
      </c>
      <c r="K325" s="11">
        <v>819</v>
      </c>
      <c r="L325" s="12">
        <v>57.349600000000002</v>
      </c>
      <c r="M325" s="9">
        <v>0.23156717563681301</v>
      </c>
      <c r="N325" s="9">
        <v>0.22933366924846299</v>
      </c>
      <c r="O325" s="9">
        <v>0.327900168770069</v>
      </c>
      <c r="P325" s="9">
        <v>0.44849136211894303</v>
      </c>
      <c r="Q325" s="9">
        <v>0.232702721459211</v>
      </c>
      <c r="R325" s="9">
        <v>0.24190788606712099</v>
      </c>
      <c r="S325" s="13">
        <v>0.35660899126497603</v>
      </c>
      <c r="T325" s="9">
        <v>0.176385655780292</v>
      </c>
      <c r="U325" s="9">
        <v>0.33009557621423002</v>
      </c>
      <c r="V325" s="9">
        <v>0.28420837788544501</v>
      </c>
      <c r="W325" s="9">
        <v>0.27153217515663097</v>
      </c>
      <c r="X325" s="9">
        <v>0.35471690488254598</v>
      </c>
      <c r="Y325" s="9">
        <v>0.28176150855433202</v>
      </c>
      <c r="Z325" s="12">
        <v>0.27</v>
      </c>
      <c r="AA325" s="12">
        <v>0.24297322941789601</v>
      </c>
      <c r="AB325" s="12">
        <f t="shared" si="10"/>
        <v>2.7026770582104009E-2</v>
      </c>
      <c r="AC325" s="14">
        <v>0.25973057252738202</v>
      </c>
      <c r="AD325" s="14">
        <f t="shared" si="11"/>
        <v>1.0269427472617998E-2</v>
      </c>
    </row>
    <row r="326" spans="1:30" ht="15" x14ac:dyDescent="0.2">
      <c r="B326" s="10">
        <v>32.299999999999997</v>
      </c>
      <c r="C326" s="11">
        <v>276</v>
      </c>
      <c r="D326" s="11">
        <v>1</v>
      </c>
      <c r="E326" s="10">
        <v>60</v>
      </c>
      <c r="F326" s="12">
        <v>2.5382184533279299</v>
      </c>
      <c r="G326" s="10">
        <v>38.299999999999997</v>
      </c>
      <c r="H326" s="10">
        <v>54.4</v>
      </c>
      <c r="I326" s="9">
        <v>152.4</v>
      </c>
      <c r="J326" s="10">
        <v>381</v>
      </c>
      <c r="K326" s="11">
        <v>819</v>
      </c>
      <c r="L326" s="12">
        <v>63.180599999999998</v>
      </c>
      <c r="M326" s="9">
        <v>0.25901751045100202</v>
      </c>
      <c r="N326" s="9">
        <v>0.25651924072561599</v>
      </c>
      <c r="O326" s="9">
        <v>0.351799313041326</v>
      </c>
      <c r="P326" s="9">
        <v>0.51625084647407804</v>
      </c>
      <c r="Q326" s="9">
        <v>0.25926952709303902</v>
      </c>
      <c r="R326" s="9">
        <v>0.266503783573945</v>
      </c>
      <c r="S326" s="13">
        <v>0.39993715118687406</v>
      </c>
      <c r="T326" s="9">
        <v>0.19591974118707001</v>
      </c>
      <c r="U326" s="9">
        <v>0.363657925470461</v>
      </c>
      <c r="V326" s="9">
        <v>0.28420837788544501</v>
      </c>
      <c r="W326" s="9">
        <v>0.31056215287811401</v>
      </c>
      <c r="X326" s="9">
        <v>0.41144346336329501</v>
      </c>
      <c r="Y326" s="9">
        <v>0.32838436537468702</v>
      </c>
      <c r="Z326" s="12">
        <v>0.31</v>
      </c>
      <c r="AA326" s="12">
        <v>0.27648937520292399</v>
      </c>
      <c r="AB326" s="12">
        <f t="shared" si="10"/>
        <v>3.3510624797076005E-2</v>
      </c>
      <c r="AC326" s="14">
        <v>0.30082513507654302</v>
      </c>
      <c r="AD326" s="14">
        <f t="shared" si="11"/>
        <v>9.1748649234569823E-3</v>
      </c>
    </row>
    <row r="327" spans="1:30" ht="15" x14ac:dyDescent="0.2">
      <c r="B327" s="10">
        <v>32.299999999999997</v>
      </c>
      <c r="C327" s="11">
        <v>276</v>
      </c>
      <c r="D327" s="11">
        <v>1</v>
      </c>
      <c r="E327" s="10">
        <v>60</v>
      </c>
      <c r="F327" s="12">
        <v>2.5382184533279299</v>
      </c>
      <c r="G327" s="10">
        <v>38.299999999999997</v>
      </c>
      <c r="H327" s="10">
        <v>54.4</v>
      </c>
      <c r="I327" s="9">
        <v>152.4</v>
      </c>
      <c r="J327" s="10">
        <v>381</v>
      </c>
      <c r="K327" s="11">
        <v>819</v>
      </c>
      <c r="L327" s="12">
        <v>67.125100000000003</v>
      </c>
      <c r="M327" s="9">
        <v>0.26533951446142401</v>
      </c>
      <c r="N327" s="9">
        <v>0.262780267888582</v>
      </c>
      <c r="O327" s="9">
        <v>0.351799313041326</v>
      </c>
      <c r="P327" s="9">
        <v>0.51625084647407804</v>
      </c>
      <c r="Q327" s="9">
        <v>0.26538804815655398</v>
      </c>
      <c r="R327" s="9">
        <v>0.27216839071737697</v>
      </c>
      <c r="S327" s="13">
        <v>0.40991592931998566</v>
      </c>
      <c r="T327" s="9">
        <v>0.20041857761720799</v>
      </c>
      <c r="U327" s="9">
        <v>0.37138756913540399</v>
      </c>
      <c r="V327" s="9">
        <v>0.28420837788544501</v>
      </c>
      <c r="W327" s="9">
        <v>0.31947502184674198</v>
      </c>
      <c r="X327" s="9">
        <v>0.42477577036504199</v>
      </c>
      <c r="Y327" s="9">
        <v>0.33936155030147502</v>
      </c>
      <c r="Z327" s="12">
        <v>0.35</v>
      </c>
      <c r="AA327" s="12">
        <v>0.28420837788544501</v>
      </c>
      <c r="AB327" s="12">
        <f t="shared" si="10"/>
        <v>6.5791622114554971E-2</v>
      </c>
      <c r="AC327" s="14">
        <v>0.31028950011984302</v>
      </c>
      <c r="AD327" s="14">
        <f t="shared" si="11"/>
        <v>3.9710499880156958E-2</v>
      </c>
    </row>
    <row r="328" spans="1:30" ht="15" x14ac:dyDescent="0.2">
      <c r="A328" s="9" t="s">
        <v>109</v>
      </c>
      <c r="B328" s="10">
        <v>32.299999999999997</v>
      </c>
      <c r="C328" s="11">
        <v>276</v>
      </c>
      <c r="D328" s="11">
        <v>1</v>
      </c>
      <c r="E328" s="10">
        <v>60</v>
      </c>
      <c r="F328" s="12">
        <v>2.8108695189494299</v>
      </c>
      <c r="G328" s="10">
        <v>38.299999999999997</v>
      </c>
      <c r="H328" s="10">
        <v>54.4</v>
      </c>
      <c r="I328" s="9">
        <v>152.4</v>
      </c>
      <c r="J328" s="10">
        <v>381</v>
      </c>
      <c r="K328" s="11">
        <v>819</v>
      </c>
      <c r="L328" s="12">
        <v>39.959499999999998</v>
      </c>
      <c r="M328" s="9">
        <v>0.14629024420917799</v>
      </c>
      <c r="N328" s="9">
        <v>0.14454665868466801</v>
      </c>
      <c r="O328" s="9">
        <v>0.22847111041694401</v>
      </c>
      <c r="P328" s="9">
        <v>0.19661728673673101</v>
      </c>
      <c r="Q328" s="9">
        <v>0.15296421546125999</v>
      </c>
      <c r="R328" s="9">
        <v>0.17961035688042301</v>
      </c>
      <c r="S328" s="13">
        <v>0.22617338211622934</v>
      </c>
      <c r="T328" s="9">
        <v>0.117755393345223</v>
      </c>
      <c r="U328" s="9">
        <v>0.22879945760378301</v>
      </c>
      <c r="V328" s="9">
        <v>0.18872920540969401</v>
      </c>
      <c r="W328" s="9">
        <v>0.14255364010142099</v>
      </c>
      <c r="X328" s="9">
        <v>0.18027249649750399</v>
      </c>
      <c r="Y328" s="9">
        <v>0.13999182792345299</v>
      </c>
      <c r="Z328" s="12">
        <v>0.19</v>
      </c>
      <c r="AA328" s="12">
        <v>0.133769063769031</v>
      </c>
      <c r="AB328" s="12">
        <f t="shared" si="10"/>
        <v>5.6230936230969003E-2</v>
      </c>
      <c r="AC328" s="14">
        <v>0.133769063769031</v>
      </c>
      <c r="AD328" s="14">
        <f t="shared" si="11"/>
        <v>5.6230936230969003E-2</v>
      </c>
    </row>
    <row r="329" spans="1:30" ht="15" x14ac:dyDescent="0.2">
      <c r="B329" s="10">
        <v>32.299999999999997</v>
      </c>
      <c r="C329" s="11">
        <v>276</v>
      </c>
      <c r="D329" s="11">
        <v>1</v>
      </c>
      <c r="E329" s="10">
        <v>60</v>
      </c>
      <c r="F329" s="12">
        <v>2.8108695189494299</v>
      </c>
      <c r="G329" s="10">
        <v>38.299999999999997</v>
      </c>
      <c r="H329" s="10">
        <v>54.4</v>
      </c>
      <c r="I329" s="9">
        <v>152.4</v>
      </c>
      <c r="J329" s="10">
        <v>381</v>
      </c>
      <c r="K329" s="11">
        <v>819</v>
      </c>
      <c r="L329" s="12">
        <v>49.186199999999999</v>
      </c>
      <c r="M329" s="9">
        <v>0.18986727219110999</v>
      </c>
      <c r="N329" s="9">
        <v>0.18760430633743799</v>
      </c>
      <c r="O329" s="9">
        <v>0.28122538398102798</v>
      </c>
      <c r="P329" s="9">
        <v>0.29789838625489301</v>
      </c>
      <c r="Q329" s="9">
        <v>0.19488523114936601</v>
      </c>
      <c r="R329" s="9">
        <v>0.221082619542084</v>
      </c>
      <c r="S329" s="13">
        <v>0.29442553828244411</v>
      </c>
      <c r="T329" s="9">
        <v>0.14857914807423001</v>
      </c>
      <c r="U329" s="9">
        <v>0.28162954695607301</v>
      </c>
      <c r="V329" s="9">
        <v>0.23720372143490001</v>
      </c>
      <c r="W329" s="9">
        <v>0.207982061009712</v>
      </c>
      <c r="X329" s="9">
        <v>0.25880299300728998</v>
      </c>
      <c r="Y329" s="9">
        <v>0.20476841073798199</v>
      </c>
      <c r="Z329" s="12">
        <v>0.24</v>
      </c>
      <c r="AA329" s="12">
        <v>0.186626082364968</v>
      </c>
      <c r="AB329" s="12">
        <f t="shared" si="10"/>
        <v>5.3373917635031992E-2</v>
      </c>
      <c r="AC329" s="14">
        <v>0.193179679982976</v>
      </c>
      <c r="AD329" s="14">
        <f t="shared" si="11"/>
        <v>4.6820320017023992E-2</v>
      </c>
    </row>
    <row r="330" spans="1:30" ht="15" x14ac:dyDescent="0.2">
      <c r="B330" s="10">
        <v>32.299999999999997</v>
      </c>
      <c r="C330" s="11">
        <v>276</v>
      </c>
      <c r="D330" s="11">
        <v>1</v>
      </c>
      <c r="E330" s="10">
        <v>60</v>
      </c>
      <c r="F330" s="12">
        <v>2.8108695189494299</v>
      </c>
      <c r="G330" s="10">
        <v>38.299999999999997</v>
      </c>
      <c r="H330" s="10">
        <v>54.4</v>
      </c>
      <c r="I330" s="9">
        <v>152.4</v>
      </c>
      <c r="J330" s="10">
        <v>381</v>
      </c>
      <c r="K330" s="11">
        <v>819</v>
      </c>
      <c r="L330" s="12">
        <v>57.349600000000002</v>
      </c>
      <c r="M330" s="9">
        <v>0.22842241218999301</v>
      </c>
      <c r="N330" s="9">
        <v>0.22569992024583599</v>
      </c>
      <c r="O330" s="9">
        <v>0.327900168770069</v>
      </c>
      <c r="P330" s="9">
        <v>0.40498822297306403</v>
      </c>
      <c r="Q330" s="9">
        <v>0.23197520041988401</v>
      </c>
      <c r="R330" s="9">
        <v>0.25777555081894299</v>
      </c>
      <c r="S330" s="13">
        <v>0.35481220433284966</v>
      </c>
      <c r="T330" s="9">
        <v>0.17585072289022999</v>
      </c>
      <c r="U330" s="9">
        <v>0.32837141039787598</v>
      </c>
      <c r="V330" s="9">
        <v>0.275521082842547</v>
      </c>
      <c r="W330" s="9">
        <v>0.26433571913599302</v>
      </c>
      <c r="X330" s="9">
        <v>0.33173042737757302</v>
      </c>
      <c r="Y330" s="9">
        <v>0.26535915539642302</v>
      </c>
      <c r="Z330" s="12">
        <v>0.28999999999999998</v>
      </c>
      <c r="AA330" s="12">
        <v>0.23339177168033201</v>
      </c>
      <c r="AB330" s="12">
        <f t="shared" si="10"/>
        <v>5.6608228319667969E-2</v>
      </c>
      <c r="AC330" s="14">
        <v>0.25156072272697799</v>
      </c>
      <c r="AD330" s="14">
        <f t="shared" si="11"/>
        <v>3.8439277273021988E-2</v>
      </c>
    </row>
    <row r="331" spans="1:30" ht="15" x14ac:dyDescent="0.2">
      <c r="B331" s="10">
        <v>32.299999999999997</v>
      </c>
      <c r="C331" s="11">
        <v>276</v>
      </c>
      <c r="D331" s="11">
        <v>1</v>
      </c>
      <c r="E331" s="10">
        <v>60</v>
      </c>
      <c r="F331" s="12">
        <v>2.8108695189494299</v>
      </c>
      <c r="G331" s="10">
        <v>38.299999999999997</v>
      </c>
      <c r="H331" s="10">
        <v>54.4</v>
      </c>
      <c r="I331" s="9">
        <v>152.4</v>
      </c>
      <c r="J331" s="10">
        <v>381</v>
      </c>
      <c r="K331" s="11">
        <v>819</v>
      </c>
      <c r="L331" s="12">
        <v>63.180599999999998</v>
      </c>
      <c r="M331" s="9">
        <v>0.255961797903482</v>
      </c>
      <c r="N331" s="9">
        <v>0.25291107303755</v>
      </c>
      <c r="O331" s="9">
        <v>0.351799313041326</v>
      </c>
      <c r="P331" s="9">
        <v>0.46617511635915998</v>
      </c>
      <c r="Q331" s="9">
        <v>0.25846803561311199</v>
      </c>
      <c r="R331" s="9">
        <v>0.28398478744527</v>
      </c>
      <c r="S331" s="13">
        <v>0.39794553722599663</v>
      </c>
      <c r="T331" s="9">
        <v>0.19533041918737201</v>
      </c>
      <c r="U331" s="9">
        <v>0.36175845571345</v>
      </c>
      <c r="V331" s="9">
        <v>0.275521082842547</v>
      </c>
      <c r="W331" s="9">
        <v>0.303815737138803</v>
      </c>
      <c r="X331" s="9">
        <v>0.38580277576223498</v>
      </c>
      <c r="Y331" s="9">
        <v>0.31052312974431201</v>
      </c>
      <c r="Z331" s="12">
        <v>0.36</v>
      </c>
      <c r="AA331" s="12">
        <v>0.26679583547702101</v>
      </c>
      <c r="AB331" s="12">
        <f t="shared" si="10"/>
        <v>9.3204164522978972E-2</v>
      </c>
      <c r="AC331" s="14">
        <v>0.29326146754412202</v>
      </c>
      <c r="AD331" s="14">
        <f t="shared" si="11"/>
        <v>6.6738532455877964E-2</v>
      </c>
    </row>
    <row r="332" spans="1:30" ht="15" x14ac:dyDescent="0.2">
      <c r="B332" s="10">
        <v>32.299999999999997</v>
      </c>
      <c r="C332" s="11">
        <v>276</v>
      </c>
      <c r="D332" s="11">
        <v>1</v>
      </c>
      <c r="E332" s="10">
        <v>60</v>
      </c>
      <c r="F332" s="12">
        <v>2.8108695189494299</v>
      </c>
      <c r="G332" s="10">
        <v>38.299999999999997</v>
      </c>
      <c r="H332" s="10">
        <v>54.4</v>
      </c>
      <c r="I332" s="9">
        <v>152.4</v>
      </c>
      <c r="J332" s="10">
        <v>381</v>
      </c>
      <c r="K332" s="11">
        <v>819</v>
      </c>
      <c r="L332" s="12">
        <v>67.125100000000003</v>
      </c>
      <c r="M332" s="9">
        <v>0.26315517276072398</v>
      </c>
      <c r="N332" s="9">
        <v>0.260018712415019</v>
      </c>
      <c r="O332" s="9">
        <v>0.351799313041326</v>
      </c>
      <c r="P332" s="9">
        <v>0.46617511635915998</v>
      </c>
      <c r="Q332" s="9">
        <v>0.26538804815655398</v>
      </c>
      <c r="R332" s="9">
        <v>0.29083072314393799</v>
      </c>
      <c r="S332" s="13">
        <v>0.4092121005244902</v>
      </c>
      <c r="T332" s="9">
        <v>0.20041857761720799</v>
      </c>
      <c r="U332" s="9">
        <v>0.37047925779775498</v>
      </c>
      <c r="V332" s="9">
        <v>0.275521082842547</v>
      </c>
      <c r="W332" s="9">
        <v>0.314031027493412</v>
      </c>
      <c r="X332" s="9">
        <v>0.40019860627022802</v>
      </c>
      <c r="Y332" s="9">
        <v>0.32257882534633697</v>
      </c>
      <c r="Z332" s="12">
        <v>0.42</v>
      </c>
      <c r="AA332" s="12">
        <v>0.275521082842547</v>
      </c>
      <c r="AB332" s="12">
        <f t="shared" si="10"/>
        <v>0.14447891715745298</v>
      </c>
      <c r="AC332" s="14">
        <v>0.30415383429539</v>
      </c>
      <c r="AD332" s="14">
        <f t="shared" si="11"/>
        <v>0.11584616570460998</v>
      </c>
    </row>
    <row r="333" spans="1:30" ht="15" x14ac:dyDescent="0.2">
      <c r="A333" s="9" t="s">
        <v>110</v>
      </c>
      <c r="B333" s="10">
        <v>28.7</v>
      </c>
      <c r="C333" s="11">
        <v>276</v>
      </c>
      <c r="D333" s="11">
        <v>2</v>
      </c>
      <c r="E333" s="10">
        <v>50.6</v>
      </c>
      <c r="F333" s="12">
        <v>2.5765786179080399</v>
      </c>
      <c r="G333" s="10">
        <v>38</v>
      </c>
      <c r="H333" s="10">
        <v>52.3</v>
      </c>
      <c r="I333" s="9">
        <v>152.4</v>
      </c>
      <c r="J333" s="10">
        <v>584.20000000000005</v>
      </c>
      <c r="K333" s="11">
        <v>1290</v>
      </c>
      <c r="L333" s="12">
        <v>110.208</v>
      </c>
      <c r="M333" s="9">
        <v>0.147279370026866</v>
      </c>
      <c r="N333" s="9">
        <v>0.15177118672558901</v>
      </c>
      <c r="O333" s="9">
        <v>0.16772641499721699</v>
      </c>
      <c r="P333" s="9">
        <v>0.21934168126914799</v>
      </c>
      <c r="Q333" s="9">
        <v>8.9952928665751497E-2</v>
      </c>
      <c r="R333" s="9">
        <v>0.10183915137741301</v>
      </c>
      <c r="S333" s="13">
        <v>0.18416473465850905</v>
      </c>
      <c r="T333" s="9">
        <v>0.14884778675975899</v>
      </c>
      <c r="U333" s="9">
        <v>0.17407114613167099</v>
      </c>
      <c r="V333" s="9">
        <v>0.17190685644409701</v>
      </c>
      <c r="W333" s="9">
        <v>0.15520605412914701</v>
      </c>
      <c r="X333" s="9">
        <v>0.21204954402259599</v>
      </c>
      <c r="Y333" s="9">
        <v>0.17000808964217701</v>
      </c>
      <c r="Z333" s="12">
        <v>0.18</v>
      </c>
      <c r="AA333" s="12">
        <v>0.14859881244269199</v>
      </c>
      <c r="AB333" s="12">
        <f t="shared" si="10"/>
        <v>3.1401187557308002E-2</v>
      </c>
      <c r="AC333" s="14">
        <v>0.14859881244269199</v>
      </c>
      <c r="AD333" s="14">
        <f t="shared" si="11"/>
        <v>3.1401187557308002E-2</v>
      </c>
    </row>
    <row r="334" spans="1:30" ht="15" x14ac:dyDescent="0.2">
      <c r="B334" s="10">
        <v>28.7</v>
      </c>
      <c r="C334" s="11">
        <v>276</v>
      </c>
      <c r="D334" s="11">
        <v>2</v>
      </c>
      <c r="E334" s="10">
        <v>50.6</v>
      </c>
      <c r="F334" s="12">
        <v>2.5765786179080399</v>
      </c>
      <c r="G334" s="10">
        <v>38</v>
      </c>
      <c r="H334" s="10">
        <v>52.3</v>
      </c>
      <c r="I334" s="9">
        <v>152.4</v>
      </c>
      <c r="J334" s="10">
        <v>584.20000000000005</v>
      </c>
      <c r="K334" s="11">
        <v>1290</v>
      </c>
      <c r="L334" s="12">
        <v>132.25800000000001</v>
      </c>
      <c r="M334" s="9">
        <v>0.18349626769646801</v>
      </c>
      <c r="N334" s="9">
        <v>0.18909264958784799</v>
      </c>
      <c r="O334" s="9">
        <v>0.20128448202219401</v>
      </c>
      <c r="P334" s="9">
        <v>0.315892145780101</v>
      </c>
      <c r="Q334" s="9">
        <v>0.11114577166126299</v>
      </c>
      <c r="R334" s="9">
        <v>0.12221474378333599</v>
      </c>
      <c r="S334" s="13">
        <v>0.23130199439813939</v>
      </c>
      <c r="T334" s="9">
        <v>0.18231449146175599</v>
      </c>
      <c r="U334" s="9">
        <v>0.20889864297585001</v>
      </c>
      <c r="V334" s="9">
        <v>0.20939486067139901</v>
      </c>
      <c r="W334" s="9">
        <v>0.199838677680373</v>
      </c>
      <c r="X334" s="9">
        <v>0.27547273388042798</v>
      </c>
      <c r="Y334" s="9">
        <v>0.22331097800803901</v>
      </c>
      <c r="Z334" s="12">
        <v>0.22</v>
      </c>
      <c r="AA334" s="12">
        <v>0.18772668752404401</v>
      </c>
      <c r="AB334" s="12">
        <f t="shared" si="10"/>
        <v>3.2273312475955995E-2</v>
      </c>
      <c r="AC334" s="14">
        <v>0.19264787851086501</v>
      </c>
      <c r="AD334" s="14">
        <f t="shared" si="11"/>
        <v>2.735212148913499E-2</v>
      </c>
    </row>
    <row r="335" spans="1:30" ht="15" x14ac:dyDescent="0.2">
      <c r="B335" s="10">
        <v>28.7</v>
      </c>
      <c r="C335" s="11">
        <v>276</v>
      </c>
      <c r="D335" s="11">
        <v>2</v>
      </c>
      <c r="E335" s="10">
        <v>50.6</v>
      </c>
      <c r="F335" s="12">
        <v>2.5765786179080399</v>
      </c>
      <c r="G335" s="10">
        <v>38</v>
      </c>
      <c r="H335" s="10">
        <v>52.3</v>
      </c>
      <c r="I335" s="9">
        <v>152.4</v>
      </c>
      <c r="J335" s="10">
        <v>584.20000000000005</v>
      </c>
      <c r="K335" s="11">
        <v>1290</v>
      </c>
      <c r="L335" s="12">
        <v>149.268</v>
      </c>
      <c r="M335" s="9">
        <v>0.21143501732730299</v>
      </c>
      <c r="N335" s="9">
        <v>0.217883492367305</v>
      </c>
      <c r="O335" s="9">
        <v>0.22717213372717601</v>
      </c>
      <c r="P335" s="9">
        <v>0.40237255763655999</v>
      </c>
      <c r="Q335" s="9">
        <v>0.12749453625780099</v>
      </c>
      <c r="R335" s="9">
        <v>0.13793305792504801</v>
      </c>
      <c r="S335" s="13">
        <v>0.26766502334013986</v>
      </c>
      <c r="T335" s="9">
        <v>0.208131663660439</v>
      </c>
      <c r="U335" s="9">
        <v>0.23576556911278901</v>
      </c>
      <c r="V335" s="9">
        <v>0.238555549406339</v>
      </c>
      <c r="W335" s="9">
        <v>0.23375097908675299</v>
      </c>
      <c r="X335" s="9">
        <v>0.32656044432005799</v>
      </c>
      <c r="Y335" s="9">
        <v>0.26668390997187102</v>
      </c>
      <c r="Z335" s="12">
        <v>0.27</v>
      </c>
      <c r="AA335" s="12">
        <v>0.21791104830108701</v>
      </c>
      <c r="AB335" s="12">
        <f t="shared" si="10"/>
        <v>5.2088951698913005E-2</v>
      </c>
      <c r="AC335" s="14">
        <v>0.22749210319479099</v>
      </c>
      <c r="AD335" s="14">
        <f t="shared" si="11"/>
        <v>4.2507896805209028E-2</v>
      </c>
    </row>
    <row r="336" spans="1:30" ht="15" x14ac:dyDescent="0.2">
      <c r="B336" s="10">
        <v>28.7</v>
      </c>
      <c r="C336" s="11">
        <v>276</v>
      </c>
      <c r="D336" s="11">
        <v>2</v>
      </c>
      <c r="E336" s="10">
        <v>50.6</v>
      </c>
      <c r="F336" s="12">
        <v>2.5765786179080399</v>
      </c>
      <c r="G336" s="10">
        <v>38</v>
      </c>
      <c r="H336" s="10">
        <v>52.3</v>
      </c>
      <c r="I336" s="9">
        <v>152.4</v>
      </c>
      <c r="J336" s="10">
        <v>584.20000000000005</v>
      </c>
      <c r="K336" s="11">
        <v>1290</v>
      </c>
      <c r="L336" s="12">
        <v>168.88200000000001</v>
      </c>
      <c r="M336" s="9">
        <v>0.23873012564927101</v>
      </c>
      <c r="N336" s="9">
        <v>0.24601106366987799</v>
      </c>
      <c r="O336" s="9">
        <v>0.24074304834434099</v>
      </c>
      <c r="P336" s="9">
        <v>0.45188273634436499</v>
      </c>
      <c r="Q336" s="9">
        <v>0.14346666480647299</v>
      </c>
      <c r="R336" s="9">
        <v>0.15328926007459701</v>
      </c>
      <c r="S336" s="13">
        <v>0.30319033592575939</v>
      </c>
      <c r="T336" s="9">
        <v>0.233354070569882</v>
      </c>
      <c r="U336" s="9">
        <v>0.26201354616530098</v>
      </c>
      <c r="V336" s="9">
        <v>0.247400034312454</v>
      </c>
      <c r="W336" s="9">
        <v>0.26649663528918799</v>
      </c>
      <c r="X336" s="9">
        <v>0.37828904739902702</v>
      </c>
      <c r="Y336" s="9">
        <v>0.31095310755361799</v>
      </c>
      <c r="Z336" s="12">
        <v>0.32</v>
      </c>
      <c r="AA336" s="12">
        <v>0.247400034312454</v>
      </c>
      <c r="AB336" s="12">
        <f t="shared" si="10"/>
        <v>7.2599965687546009E-2</v>
      </c>
      <c r="AC336" s="14">
        <v>0.26153360110395701</v>
      </c>
      <c r="AD336" s="14">
        <f t="shared" si="11"/>
        <v>5.8466398896042993E-2</v>
      </c>
    </row>
    <row r="337" spans="1:30" ht="15" x14ac:dyDescent="0.2">
      <c r="A337" s="9" t="s">
        <v>111</v>
      </c>
      <c r="B337" s="10">
        <v>28.7</v>
      </c>
      <c r="C337" s="11">
        <v>276</v>
      </c>
      <c r="D337" s="11">
        <v>2</v>
      </c>
      <c r="E337" s="10">
        <v>50.6</v>
      </c>
      <c r="F337" s="12">
        <v>2.5765786179080399</v>
      </c>
      <c r="G337" s="10">
        <v>38</v>
      </c>
      <c r="H337" s="10">
        <v>52.3</v>
      </c>
      <c r="I337" s="9">
        <v>152.4</v>
      </c>
      <c r="J337" s="10">
        <v>584.20000000000005</v>
      </c>
      <c r="K337" s="11">
        <v>1290</v>
      </c>
      <c r="L337" s="12">
        <v>132.25800000000001</v>
      </c>
      <c r="M337" s="9">
        <v>0.18349626769646801</v>
      </c>
      <c r="N337" s="9">
        <v>0.18909264958784799</v>
      </c>
      <c r="O337" s="9">
        <v>0.20128448202219401</v>
      </c>
      <c r="P337" s="9">
        <v>0.315892145780101</v>
      </c>
      <c r="Q337" s="9">
        <v>0.11114577166126299</v>
      </c>
      <c r="R337" s="9">
        <v>0.12221474378333599</v>
      </c>
      <c r="S337" s="13">
        <v>0.23130199439813939</v>
      </c>
      <c r="T337" s="9">
        <v>0.18231449146175599</v>
      </c>
      <c r="U337" s="9">
        <v>0.20889864297585001</v>
      </c>
      <c r="V337" s="9">
        <v>0.20939486067139901</v>
      </c>
      <c r="W337" s="9">
        <v>0.199838677680373</v>
      </c>
      <c r="X337" s="9">
        <v>0.27547273388042798</v>
      </c>
      <c r="Y337" s="9">
        <v>0.22331097800803901</v>
      </c>
      <c r="Z337" s="12">
        <v>0.16</v>
      </c>
      <c r="AA337" s="12">
        <v>0.18772668752404401</v>
      </c>
      <c r="AB337" s="12">
        <f t="shared" si="10"/>
        <v>-2.7726687524044002E-2</v>
      </c>
      <c r="AC337" s="14">
        <v>0.19264787851086501</v>
      </c>
      <c r="AD337" s="14">
        <f t="shared" si="11"/>
        <v>-3.2647878510865008E-2</v>
      </c>
    </row>
    <row r="338" spans="1:30" ht="15" x14ac:dyDescent="0.2">
      <c r="B338" s="10">
        <v>28.7</v>
      </c>
      <c r="C338" s="11">
        <v>276</v>
      </c>
      <c r="D338" s="11">
        <v>2</v>
      </c>
      <c r="E338" s="10">
        <v>50.6</v>
      </c>
      <c r="F338" s="12">
        <v>2.5765786179080399</v>
      </c>
      <c r="G338" s="10">
        <v>38</v>
      </c>
      <c r="H338" s="10">
        <v>52.3</v>
      </c>
      <c r="I338" s="9">
        <v>152.4</v>
      </c>
      <c r="J338" s="10">
        <v>584.20000000000005</v>
      </c>
      <c r="K338" s="11">
        <v>1290</v>
      </c>
      <c r="L338" s="12">
        <v>149.268</v>
      </c>
      <c r="M338" s="9">
        <v>0.21143501732730299</v>
      </c>
      <c r="N338" s="9">
        <v>0.217883492367305</v>
      </c>
      <c r="O338" s="9">
        <v>0.22717213372717601</v>
      </c>
      <c r="P338" s="9">
        <v>0.40237255763655999</v>
      </c>
      <c r="Q338" s="9">
        <v>0.12749453625780099</v>
      </c>
      <c r="R338" s="9">
        <v>0.13793305792504801</v>
      </c>
      <c r="S338" s="13">
        <v>0.26766502334013986</v>
      </c>
      <c r="T338" s="9">
        <v>0.208131663660439</v>
      </c>
      <c r="U338" s="9">
        <v>0.23576556911278901</v>
      </c>
      <c r="V338" s="9">
        <v>0.238555549406339</v>
      </c>
      <c r="W338" s="9">
        <v>0.23375097908675299</v>
      </c>
      <c r="X338" s="9">
        <v>0.32656044432005799</v>
      </c>
      <c r="Y338" s="9">
        <v>0.26668390997187102</v>
      </c>
      <c r="Z338" s="12">
        <v>0.19</v>
      </c>
      <c r="AA338" s="12">
        <v>0.21791104830108701</v>
      </c>
      <c r="AB338" s="12">
        <f t="shared" si="10"/>
        <v>-2.791104830108701E-2</v>
      </c>
      <c r="AC338" s="14">
        <v>0.22749210319479099</v>
      </c>
      <c r="AD338" s="14">
        <f t="shared" si="11"/>
        <v>-3.7492103194790988E-2</v>
      </c>
    </row>
    <row r="339" spans="1:30" ht="15" x14ac:dyDescent="0.2">
      <c r="B339" s="10">
        <v>28.7</v>
      </c>
      <c r="C339" s="11">
        <v>276</v>
      </c>
      <c r="D339" s="11">
        <v>2</v>
      </c>
      <c r="E339" s="10">
        <v>50.6</v>
      </c>
      <c r="F339" s="12">
        <v>2.5765786179080399</v>
      </c>
      <c r="G339" s="10">
        <v>38</v>
      </c>
      <c r="H339" s="10">
        <v>52.3</v>
      </c>
      <c r="I339" s="9">
        <v>152.4</v>
      </c>
      <c r="J339" s="10">
        <v>584.20000000000005</v>
      </c>
      <c r="K339" s="11">
        <v>1290</v>
      </c>
      <c r="L339" s="12">
        <v>168.88200000000001</v>
      </c>
      <c r="M339" s="9">
        <v>0.23873012564927101</v>
      </c>
      <c r="N339" s="9">
        <v>0.24601106366987799</v>
      </c>
      <c r="O339" s="9">
        <v>0.24074304834434099</v>
      </c>
      <c r="P339" s="9">
        <v>0.45188273634436499</v>
      </c>
      <c r="Q339" s="9">
        <v>0.14346666480647299</v>
      </c>
      <c r="R339" s="9">
        <v>0.15328926007459701</v>
      </c>
      <c r="S339" s="13">
        <v>0.30319033592575939</v>
      </c>
      <c r="T339" s="9">
        <v>0.233354070569882</v>
      </c>
      <c r="U339" s="9">
        <v>0.26201354616530098</v>
      </c>
      <c r="V339" s="9">
        <v>0.247400034312454</v>
      </c>
      <c r="W339" s="9">
        <v>0.26649663528918799</v>
      </c>
      <c r="X339" s="9">
        <v>0.37828904739902702</v>
      </c>
      <c r="Y339" s="9">
        <v>0.31095310755361799</v>
      </c>
      <c r="Z339" s="12">
        <v>0.22</v>
      </c>
      <c r="AA339" s="12">
        <v>0.247400034312454</v>
      </c>
      <c r="AB339" s="12">
        <f t="shared" si="10"/>
        <v>-2.7400034312453997E-2</v>
      </c>
      <c r="AC339" s="14">
        <v>0.26153360110395701</v>
      </c>
      <c r="AD339" s="14">
        <f t="shared" si="11"/>
        <v>-4.1533601103957013E-2</v>
      </c>
    </row>
    <row r="340" spans="1:30" ht="15" x14ac:dyDescent="0.2">
      <c r="A340" s="9" t="s">
        <v>112</v>
      </c>
      <c r="B340" s="10">
        <v>35.799999999999997</v>
      </c>
      <c r="C340" s="11">
        <v>276</v>
      </c>
      <c r="D340" s="11">
        <v>2</v>
      </c>
      <c r="E340" s="10">
        <v>36.4</v>
      </c>
      <c r="F340" s="12">
        <v>2.5478355335404399</v>
      </c>
      <c r="G340" s="10">
        <v>38</v>
      </c>
      <c r="H340" s="10">
        <v>55.9</v>
      </c>
      <c r="I340" s="9">
        <v>152.4</v>
      </c>
      <c r="J340" s="10">
        <v>584.20000000000005</v>
      </c>
      <c r="K340" s="11">
        <v>2012</v>
      </c>
      <c r="L340" s="12">
        <v>167.03399999999999</v>
      </c>
      <c r="M340" s="9">
        <v>0.13153374465321899</v>
      </c>
      <c r="N340" s="9">
        <v>0.146640079165194</v>
      </c>
      <c r="O340" s="9">
        <v>0.17675156906293299</v>
      </c>
      <c r="P340" s="9">
        <v>0.28174342772628103</v>
      </c>
      <c r="Q340" s="9">
        <v>8.1714692437448805E-2</v>
      </c>
      <c r="R340" s="9">
        <v>0.101440797590145</v>
      </c>
      <c r="S340" s="13">
        <v>0.20292968348603119</v>
      </c>
      <c r="T340" s="9">
        <v>0.15448442183399499</v>
      </c>
      <c r="U340" s="9">
        <v>0.18796088604883099</v>
      </c>
      <c r="V340" s="9">
        <v>0.165330751827893</v>
      </c>
      <c r="W340" s="9">
        <v>0.155387407000178</v>
      </c>
      <c r="X340" s="9">
        <v>0.25345808420698501</v>
      </c>
      <c r="Y340" s="9">
        <v>0.18223313375247999</v>
      </c>
      <c r="Z340" s="12">
        <v>0.17</v>
      </c>
      <c r="AA340" s="12">
        <v>0.15062208841314201</v>
      </c>
      <c r="AB340" s="12">
        <f t="shared" si="10"/>
        <v>1.9377911586858004E-2</v>
      </c>
      <c r="AC340" s="14">
        <v>0.15062208841314201</v>
      </c>
      <c r="AD340" s="14">
        <f t="shared" si="11"/>
        <v>1.9377911586858004E-2</v>
      </c>
    </row>
    <row r="341" spans="1:30" ht="15" x14ac:dyDescent="0.2">
      <c r="A341" s="9" t="s">
        <v>113</v>
      </c>
      <c r="B341" s="10">
        <v>35.799999999999997</v>
      </c>
      <c r="C341" s="11">
        <v>276</v>
      </c>
      <c r="D341" s="11">
        <v>2</v>
      </c>
      <c r="E341" s="10">
        <v>36.4</v>
      </c>
      <c r="F341" s="12">
        <v>2.7563734268389202</v>
      </c>
      <c r="G341" s="10">
        <v>38</v>
      </c>
      <c r="H341" s="10">
        <v>55.9</v>
      </c>
      <c r="I341" s="9">
        <v>152.4</v>
      </c>
      <c r="J341" s="10">
        <v>584.20000000000005</v>
      </c>
      <c r="K341" s="11">
        <v>2012</v>
      </c>
      <c r="L341" s="12">
        <v>130.78800000000001</v>
      </c>
      <c r="M341" s="9">
        <v>9.7514649841521805E-2</v>
      </c>
      <c r="N341" s="9">
        <v>0.108470561427934</v>
      </c>
      <c r="O341" s="9">
        <v>0.13839687856725499</v>
      </c>
      <c r="P341" s="9">
        <v>0.159666264321595</v>
      </c>
      <c r="Q341" s="9">
        <v>6.1803121002324803E-2</v>
      </c>
      <c r="R341" s="9">
        <v>8.3394318678546298E-2</v>
      </c>
      <c r="S341" s="13">
        <v>0.14617077463815276</v>
      </c>
      <c r="T341" s="9">
        <v>0.11663503645628299</v>
      </c>
      <c r="U341" s="9">
        <v>0.146565134130969</v>
      </c>
      <c r="V341" s="9">
        <v>0.12589239016704601</v>
      </c>
      <c r="W341" s="9">
        <v>0.10806100229525099</v>
      </c>
      <c r="X341" s="9">
        <v>0.17012779655856899</v>
      </c>
      <c r="Y341" s="9">
        <v>0.122578511020668</v>
      </c>
      <c r="Z341" s="12">
        <v>0.19</v>
      </c>
      <c r="AA341" s="12">
        <v>0.10806100229525099</v>
      </c>
      <c r="AB341" s="12">
        <f t="shared" si="10"/>
        <v>8.1938997704749009E-2</v>
      </c>
      <c r="AC341" s="14">
        <v>0.10806100229525099</v>
      </c>
      <c r="AD341" s="14">
        <f t="shared" si="11"/>
        <v>8.1938997704749009E-2</v>
      </c>
    </row>
    <row r="342" spans="1:30" ht="15" x14ac:dyDescent="0.2">
      <c r="B342" s="10">
        <v>35.799999999999997</v>
      </c>
      <c r="C342" s="11">
        <v>276</v>
      </c>
      <c r="D342" s="11">
        <v>2</v>
      </c>
      <c r="E342" s="10">
        <v>36.4</v>
      </c>
      <c r="F342" s="12">
        <v>2.7563734268389202</v>
      </c>
      <c r="G342" s="10">
        <v>38</v>
      </c>
      <c r="H342" s="10">
        <v>55.9</v>
      </c>
      <c r="I342" s="9">
        <v>152.4</v>
      </c>
      <c r="J342" s="10">
        <v>584.20000000000005</v>
      </c>
      <c r="K342" s="11">
        <v>2012</v>
      </c>
      <c r="L342" s="12">
        <v>167.03399999999999</v>
      </c>
      <c r="M342" s="9">
        <v>0.130442766845764</v>
      </c>
      <c r="N342" s="9">
        <v>0.14509819988040901</v>
      </c>
      <c r="O342" s="9">
        <v>0.17675156906293299</v>
      </c>
      <c r="P342" s="9">
        <v>0.260427672648744</v>
      </c>
      <c r="Q342" s="9">
        <v>8.1495536285087003E-2</v>
      </c>
      <c r="R342" s="9">
        <v>0.106505846302048</v>
      </c>
      <c r="S342" s="13">
        <v>0.20229140738943771</v>
      </c>
      <c r="T342" s="9">
        <v>0.15406783363573701</v>
      </c>
      <c r="U342" s="9">
        <v>0.18718353835544799</v>
      </c>
      <c r="V342" s="9">
        <v>0.16397439600647401</v>
      </c>
      <c r="W342" s="9">
        <v>0.15275482844556301</v>
      </c>
      <c r="X342" s="9">
        <v>0.242783253449533</v>
      </c>
      <c r="Y342" s="9">
        <v>0.17648036556212801</v>
      </c>
      <c r="Z342" s="12">
        <v>0.25</v>
      </c>
      <c r="AA342" s="12">
        <v>0.14780512821168501</v>
      </c>
      <c r="AB342" s="12">
        <f t="shared" si="10"/>
        <v>0.10219487178831499</v>
      </c>
      <c r="AC342" s="14">
        <v>0.14780512821168501</v>
      </c>
      <c r="AD342" s="14">
        <f t="shared" si="11"/>
        <v>0.10219487178831499</v>
      </c>
    </row>
    <row r="344" spans="1:30" x14ac:dyDescent="0.2">
      <c r="AA344" s="15"/>
      <c r="AB344" s="15"/>
      <c r="AC344" s="15"/>
      <c r="AD344" s="15"/>
    </row>
    <row r="345" spans="1:30" x14ac:dyDescent="0.2">
      <c r="AA345" s="15"/>
      <c r="AB345" s="15"/>
      <c r="AC345" s="15"/>
      <c r="AD345" s="15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Dataset_1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wanderlei malaquias pereira junior</dc:creator>
  <cp:lastModifiedBy>wanderlei malaquias pereira junior</cp:lastModifiedBy>
  <dcterms:created xsi:type="dcterms:W3CDTF">2026-10-05T19:48:02Z</dcterms:created>
  <dcterms:modified xsi:type="dcterms:W3CDTF">2026-10-05T20:03:24Z</dcterms:modified>
</cp:coreProperties>
</file>