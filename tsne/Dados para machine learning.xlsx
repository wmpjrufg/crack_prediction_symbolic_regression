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Com TS variável MC2010" sheetId="1" state="visible" r:id="rId3"/>
    <sheet name="Sem TS MC2010" sheetId="2" state="visible" r:id="rId4"/>
    <sheet name="Com TS variável MC2020" sheetId="3" state="visible" r:id="rId5"/>
    <sheet name="Sem TS MC2020" sheetId="4" state="visible" r:id="rId6"/>
    <sheet name="Modelos normativos" sheetId="5" state="visible" r:id="rId7"/>
    <sheet name="Modelos empíricos" sheetId="6" state="visible" r:id="rId8"/>
    <sheet name="Modelos Propostos" sheetId="7" state="visible" r:id="rId9"/>
    <sheet name="Dataset_1" sheetId="8" state="visible" r:id="rId10"/>
    <sheet name="Dataset_2" sheetId="9" state="visible" r:id="rId11"/>
    <sheet name="Modelos" sheetId="10" state="visible" r:id="rId12"/>
    <sheet name="Dataset experimental" sheetId="11" state="visible" r:id="rId13"/>
    <sheet name="Estatística Dataset Experimenta" sheetId="12" state="visible" r:id="rId14"/>
    <sheet name="Avaliação do resultado M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<sst xmlns="http://schemas.openxmlformats.org/spreadsheetml/2006/main" count="1434" uniqueCount="237">
  <si>
    <t xml:space="preserve">Opção 3 de equação</t>
  </si>
  <si>
    <t xml:space="preserve">Opção 4 de equação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</si>
  <si>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</si>
  <si>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</si>
  <si>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</si>
  <si>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</si>
  <si>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</si>
  <si>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</si>
  <si>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Autor</t>
  </si>
  <si>
    <t xml:space="preserve">Inputs</t>
  </si>
  <si>
    <t xml:space="preserve">Output</t>
  </si>
  <si>
    <t xml:space="preserve">Diâmetro da armadura (mm)</t>
  </si>
  <si>
    <r>
      <rPr>
        <sz val="11"/>
        <color theme="1"/>
        <rFont val="Aptos Narrow"/>
        <family val="2"/>
        <charset val="1"/>
      </rPr>
      <t xml:space="preserve">Resistência do aço - f</t>
    </r>
    <r>
      <rPr>
        <vertAlign val="subscript"/>
        <sz val="11"/>
        <color theme="1"/>
        <rFont val="Aptos Narrow"/>
        <family val="2"/>
        <charset val="1"/>
      </rPr>
      <t xml:space="preserve">y</t>
    </r>
    <r>
      <rPr>
        <sz val="11"/>
        <color theme="1"/>
        <rFont val="Aptos Narrow"/>
        <family val="2"/>
        <charset val="1"/>
      </rPr>
      <t xml:space="preserve"> (MPa)</t>
    </r>
  </si>
  <si>
    <t xml:space="preserve">Número de barras em uma camada</t>
  </si>
  <si>
    <t xml:space="preserve">Espaçamento entre as barras (mm)</t>
  </si>
  <si>
    <t xml:space="preserve">Resistência à tração do concreto (MPa)</t>
  </si>
  <si>
    <t xml:space="preserve">Cobrimento (mm)</t>
  </si>
  <si>
    <t xml:space="preserve">Distância ao centro de gravidade da armadura  (mm)</t>
  </si>
  <si>
    <t xml:space="preserve">Taxa de armadura</t>
  </si>
  <si>
    <t xml:space="preserve">Tensão na armadura menos tension stiffening (MPa)</t>
  </si>
  <si>
    <t xml:space="preserve">w (mm)</t>
  </si>
  <si>
    <t xml:space="preserve">Deformação na armadura menos tension stiffening (MPa)</t>
  </si>
  <si>
    <t xml:space="preserve">Viga S200-1.76-20 - Sokolov et al  (2021)</t>
  </si>
  <si>
    <t xml:space="preserve">Viga S600-0.37-10 - Sokolov et al  (2021)</t>
  </si>
  <si>
    <t xml:space="preserve">Viga V1 - Oliveira (2007)</t>
  </si>
  <si>
    <t xml:space="preserve">Viga V2 - Oliveira (2007)</t>
  </si>
  <si>
    <t xml:space="preserve">Viga T1F000 - Silva Neto (2017)</t>
  </si>
  <si>
    <t xml:space="preserve">Viga 12-20-00 - Caldentey et al (2013)</t>
  </si>
  <si>
    <t xml:space="preserve">Viga 25-20-00 - Caldentey et al (2013)</t>
  </si>
  <si>
    <t xml:space="preserve">Viga 12-20-10 - Caldentey et al (2013)</t>
  </si>
  <si>
    <t xml:space="preserve">Viga 12-20-30 - Caldentey et al (2013)</t>
  </si>
  <si>
    <t xml:space="preserve">Viga 12-70-00 - Caldentey et al (2013)</t>
  </si>
  <si>
    <t xml:space="preserve">Viga 12-70-10 - Caldentey et al (2013)</t>
  </si>
  <si>
    <t xml:space="preserve">Viga 12-70-30 - Caldentey et al (2013)</t>
  </si>
  <si>
    <t xml:space="preserve">Viga 25-20-10 - Caldentey et al (2013)</t>
  </si>
  <si>
    <t xml:space="preserve">Viga 25-20-30 - Caldentey et al (2013)</t>
  </si>
  <si>
    <t xml:space="preserve">Viga 25-70-00 - Caldentey et al (2013)</t>
  </si>
  <si>
    <t xml:space="preserve">Viga 25-70-10 - Caldentey et al (2013)</t>
  </si>
  <si>
    <t xml:space="preserve">Viga 25-70-30 - Caldentey et al (2013)</t>
  </si>
  <si>
    <t xml:space="preserve">Viga RS1 - Harajlí e Naamam (1985)</t>
  </si>
  <si>
    <t xml:space="preserve">Viga RS2 - Harajlí e Naamam (1985)</t>
  </si>
  <si>
    <t xml:space="preserve">Viga RS3 - Harajlí e Naamam (1985)</t>
  </si>
  <si>
    <t xml:space="preserve">Viga B1-a - Gilbert e Nejadi (2004)</t>
  </si>
  <si>
    <t xml:space="preserve">Viga B1-b - Gilbert e Nejadi (2004)</t>
  </si>
  <si>
    <t xml:space="preserve">Viga B2-a - Gilbert e Nejadi (2004)</t>
  </si>
  <si>
    <t xml:space="preserve">Viga B2-b - Gilbert e Nejadi (2004)</t>
  </si>
  <si>
    <t xml:space="preserve">Viga B3-a - Gilbert e Nejadi (2004)</t>
  </si>
  <si>
    <t xml:space="preserve">Viga B3-b - Gilbert e Nejadi (2004)</t>
  </si>
  <si>
    <t xml:space="preserve">Laje S1-a - Gilbert e Nejadi (2004)</t>
  </si>
  <si>
    <t xml:space="preserve">Laje S1-b - Gilbert e Nejadi (2004)</t>
  </si>
  <si>
    <t xml:space="preserve">Laje S2-a - Gilbert e Nejadi (2004)</t>
  </si>
  <si>
    <t xml:space="preserve">Laje S2-b - Gilbert e Nejadi (2004)</t>
  </si>
  <si>
    <t xml:space="preserve">Laje S3-a - Gilbert e Nejadi (2004)</t>
  </si>
  <si>
    <t xml:space="preserve">Laje S3-b - Gilbert e Nejadi (2004)</t>
  </si>
  <si>
    <t xml:space="preserve">Viga 250-10-1 - Cornelissen (2022)</t>
  </si>
  <si>
    <t xml:space="preserve">Viga 250-10-2 - Cornelissen (2022)</t>
  </si>
  <si>
    <t xml:space="preserve">Viga 250-20-2 - Cornelissen (2022)</t>
  </si>
  <si>
    <t xml:space="preserve">Viga 250-20-3 - Cornelissen (2022)</t>
  </si>
  <si>
    <t xml:space="preserve">Viga 350-10-1 - Cornelissen (2022)</t>
  </si>
  <si>
    <t xml:space="preserve">Viga 350-10-2 - Cornelissen (2022)</t>
  </si>
  <si>
    <t xml:space="preserve">Viga 350-10-3 - Cornelissen (2022)</t>
  </si>
  <si>
    <t xml:space="preserve">Viga 350-20-1 - Cornelissen (2022)</t>
  </si>
  <si>
    <t xml:space="preserve">Viga 350-20-2 - Cornelissen (2022)</t>
  </si>
  <si>
    <t xml:space="preserve">Viga 350-20-3 - Cornelissen (2022)</t>
  </si>
  <si>
    <t xml:space="preserve">Viga G2 - Makhlouf e Malhas (1996)</t>
  </si>
  <si>
    <t xml:space="preserve">Viga G3 - Makhlouf e Malhas (1996)</t>
  </si>
  <si>
    <t xml:space="preserve">Viga C1 - Kumar et al. (2007)</t>
  </si>
  <si>
    <t xml:space="preserve">Viga C2 - Kumar et al. (2007)</t>
  </si>
  <si>
    <t xml:space="preserve">Viga C3 - Kumar et al. (2007)</t>
  </si>
  <si>
    <t xml:space="preserve">Viga CS1 - Kumar et al. (2007)</t>
  </si>
  <si>
    <t xml:space="preserve">Viga CS2 - Kumar et al. (2007)</t>
  </si>
  <si>
    <t xml:space="preserve">Viga CS3 - Kumar et al. (2007)</t>
  </si>
  <si>
    <t xml:space="preserve">Viga B6 - Maghsoudi e Sharifi (2008)</t>
  </si>
  <si>
    <t xml:space="preserve">Viga F29-2D16-10A - Hong et al (2013)</t>
  </si>
  <si>
    <t xml:space="preserve">Viga F29-2D16-10B - Hong et al (2013)</t>
  </si>
  <si>
    <t xml:space="preserve">Viga F29-2D16-10C - Hong et al (2013)</t>
  </si>
  <si>
    <t xml:space="preserve">Viga F29-2D16-10D - Hong et al (2013)</t>
  </si>
  <si>
    <t xml:space="preserve">Viga F30-2D13-10 - Hong et al (2013)</t>
  </si>
  <si>
    <t xml:space="preserve">Viga F30-2D13-20 - Hong et al (2013)</t>
  </si>
  <si>
    <t xml:space="preserve">Viga F30-2D16-10 - Hong et al (2013)</t>
  </si>
  <si>
    <t xml:space="preserve">Viga F30-2D16-20 - Hong et al (2013)</t>
  </si>
  <si>
    <t xml:space="preserve">Viga F30-2D19-10 - Hong et al (2013)</t>
  </si>
  <si>
    <t xml:space="preserve">Viga F30-2D19-20 - Hong et al (2013)</t>
  </si>
  <si>
    <t xml:space="preserve">Viga F37-2D16-10 - Hong et al (2013)</t>
  </si>
  <si>
    <t xml:space="preserve">Viga F37-2D16-20 - Hong et al (2013)</t>
  </si>
  <si>
    <t xml:space="preserve">Viga F37-2D19-10 - Hong et al (2013)</t>
  </si>
  <si>
    <t xml:space="preserve">Viga F37-2D19-20 - Hong et al (2013)</t>
  </si>
  <si>
    <t xml:space="preserve">Viga 15-6-6-1 - Clark (1956)</t>
  </si>
  <si>
    <t xml:space="preserve">Viga 15-6-6-2 - Clark (1956)</t>
  </si>
  <si>
    <t xml:space="preserve">Viga 15-6-6-3 - Clark (1956)</t>
  </si>
  <si>
    <t xml:space="preserve">Viga 15-6-7-1 - Clark (1956)</t>
  </si>
  <si>
    <t xml:space="preserve">Viga 15-6-7-2 - Clark (1956)</t>
  </si>
  <si>
    <t xml:space="preserve">Viga 15-6-7-3 - Clark (1956)</t>
  </si>
  <si>
    <t xml:space="preserve">Viga 15-6-7-4 - Clark (1956)</t>
  </si>
  <si>
    <t xml:space="preserve">Viga 15-6-7-5 - Clark (1956)</t>
  </si>
  <si>
    <t xml:space="preserve">Viga 15-6-9-1 - Clark (1956)</t>
  </si>
  <si>
    <t xml:space="preserve">Viga 15-6-9-2 - Clark (1956)</t>
  </si>
  <si>
    <t xml:space="preserve">Viga 15-6-9-3 - Clark (1956)</t>
  </si>
  <si>
    <t xml:space="preserve">Viga 15-6-9-4 - Clark (1956)</t>
  </si>
  <si>
    <t xml:space="preserve">Viga 15-6-9-5 - Clark (1956)</t>
  </si>
  <si>
    <t xml:space="preserve">Viga 15-6-10-1 - Clark (1956)</t>
  </si>
  <si>
    <t xml:space="preserve">Viga 15-6-10-2 - Clark (1956)</t>
  </si>
  <si>
    <t xml:space="preserve">Viga 23-6-9-1 - Clark (1956)</t>
  </si>
  <si>
    <t xml:space="preserve">Viga 23-6-9-2 - Clark (1956)</t>
  </si>
  <si>
    <t xml:space="preserve">Viga 23-6-11-2 - Clark (1956)</t>
  </si>
  <si>
    <t xml:space="preserve">Viga 23-6-11-3 - Clark (1956)</t>
  </si>
  <si>
    <t xml:space="preserve">média</t>
  </si>
  <si>
    <t xml:space="preserve">DevioPad</t>
  </si>
  <si>
    <t xml:space="preserve">CoV</t>
  </si>
  <si>
    <t xml:space="preserve">Diâmetro da armadura f (mm)</t>
  </si>
  <si>
    <t xml:space="preserve">Resistência à tração do concreto fctm (MPa)</t>
  </si>
  <si>
    <t xml:space="preserve">Cobrimento c (mm)</t>
  </si>
  <si>
    <t xml:space="preserve">Distância ao centro de gravidade da armadura d' (mm)</t>
  </si>
  <si>
    <t xml:space="preserve">Taxa de armadura r</t>
  </si>
  <si>
    <t xml:space="preserve">Tensão na armadura (MPa)</t>
  </si>
  <si>
    <t xml:space="preserve">wexp (mm)</t>
  </si>
  <si>
    <t xml:space="preserve">Equações (13) e (15) do artigo Flexural cracking behavior and parametric analysis of steel-UHPC composite decks without longitudinal ribs (sem Tension stiffening). w=A1*(A2+A3*ft/(ro*Sigmas))*eps*(A4*c+A5*fi/ro)*(h-xii)/(h-xii-dl)</t>
  </si>
  <si>
    <t xml:space="preserve">Equações (13) e (15) do artigo Flexural cracking behavior and parametric analysis of steel-UHPC composite decks without longitudinal ribs (sem Tension stiffening) + proposta de correção por fy. w=A1*(A2+A3*ft/(ro*Sigmas))*(A4*c+A5*fi/ro)*(Sigmas**A6/200000)*(h-xii)/(h-xii-dl)+(Sigmas-fy/A7)*(A4*c+A5*fi/ro)/200000</t>
  </si>
  <si>
    <t xml:space="preserve">A7</t>
  </si>
  <si>
    <t xml:space="preserve">Largura da viga - b (mm)</t>
  </si>
  <si>
    <t xml:space="preserve">Altura da viga - h (mm)</t>
  </si>
  <si>
    <r>
      <rPr>
        <sz val="10"/>
        <rFont val="Arial"/>
        <family val="2"/>
        <charset val="1"/>
      </rPr>
      <t xml:space="preserve">Área de aço tracionada - A</t>
    </r>
    <r>
      <rPr>
        <vertAlign val="subscript"/>
        <sz val="10"/>
        <rFont val="Arial"/>
        <family val="2"/>
        <charset val="1"/>
      </rPr>
      <t xml:space="preserve">s</t>
    </r>
    <r>
      <rPr>
        <sz val="10"/>
        <rFont val="Arial"/>
        <family val="2"/>
        <charset val="1"/>
      </rPr>
      <t xml:space="preserve"> (mm</t>
    </r>
    <r>
      <rPr>
        <vertAlign val="superscript"/>
        <sz val="10"/>
        <rFont val="Arial"/>
        <family val="2"/>
        <charset val="1"/>
      </rPr>
      <t xml:space="preserve">2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</si>
  <si>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Área de concreto efetiva - A</t>
    </r>
    <r>
      <rPr>
        <vertAlign val="subscript"/>
        <sz val="10"/>
        <rFont val="Arial"/>
        <family val="2"/>
        <charset val="1"/>
      </rPr>
      <t xml:space="preserve">ce</t>
    </r>
    <r>
      <rPr>
        <sz val="10"/>
        <rFont val="Arial"/>
        <family val="2"/>
        <charset val="1"/>
      </rPr>
      <t xml:space="preserve"> (mm</t>
    </r>
    <r>
      <rPr>
        <vertAlign val="superscript"/>
        <sz val="10"/>
        <rFont val="Arial"/>
        <family val="2"/>
        <charset val="1"/>
      </rPr>
      <t xml:space="preserve">2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</si>
  <si>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Linha neutra no Estádio II - X</t>
    </r>
    <r>
      <rPr>
        <vertAlign val="subscript"/>
        <sz val="10"/>
        <rFont val="Arial"/>
        <family val="2"/>
        <charset val="1"/>
      </rPr>
      <t xml:space="preserve">II</t>
    </r>
    <r>
      <rPr>
        <sz val="10"/>
        <rFont val="Arial"/>
        <family val="2"/>
        <charset val="1"/>
      </rPr>
      <t xml:space="preserve"> (mm)</t>
    </r>
  </si>
  <si>
    <r>
      <rPr>
        <sz val="11"/>
        <color theme="1"/>
        <rFont val="Aptos Narrow"/>
        <family val="2"/>
        <charset val="1"/>
      </rPr>
      <t xml:space="preserve">Momento fletor - M</t>
    </r>
    <r>
      <rPr>
        <vertAlign val="subscript"/>
        <sz val="11"/>
        <color theme="1"/>
        <rFont val="Aptos Narrow"/>
        <family val="2"/>
        <charset val="1"/>
      </rPr>
      <t xml:space="preserve">s</t>
    </r>
    <r>
      <rPr>
        <sz val="11"/>
        <color theme="1"/>
        <rFont val="Aptos Narrow"/>
        <family val="2"/>
        <charset val="1"/>
      </rPr>
      <t xml:space="preserve"> (kNm)</t>
    </r>
  </si>
  <si>
    <t xml:space="preserve">Normalizado Tensão na armadura menos tension stiffening (MPa)</t>
  </si>
  <si>
    <t xml:space="preserve">Deformação na armadura menos tension stiffening</t>
  </si>
  <si>
    <t xml:space="preserve">resíduo</t>
  </si>
  <si>
    <t xml:space="preserve">Erro</t>
  </si>
  <si>
    <r>
      <rPr>
        <sz val="11"/>
        <color theme="1"/>
        <rFont val="Aptos Narrow"/>
        <family val="2"/>
        <charset val="1"/>
      </rPr>
      <t xml:space="preserve">w</t>
    </r>
    <r>
      <rPr>
        <vertAlign val="subscript"/>
        <sz val="11"/>
        <color theme="1"/>
        <rFont val="Aptos Narrow"/>
        <family val="2"/>
        <charset val="1"/>
      </rPr>
      <t xml:space="preserve">pred</t>
    </r>
    <r>
      <rPr>
        <sz val="11"/>
        <color theme="1"/>
        <rFont val="Aptos Narrow"/>
        <family val="2"/>
        <charset val="1"/>
      </rPr>
      <t xml:space="preserve">*Erro/w</t>
    </r>
    <r>
      <rPr>
        <vertAlign val="subscript"/>
        <sz val="11"/>
        <color theme="1"/>
        <rFont val="Aptos Narrow"/>
        <family val="2"/>
        <charset val="1"/>
      </rPr>
      <t xml:space="preserve">obs</t>
    </r>
  </si>
  <si>
    <r>
      <rPr>
        <sz val="11"/>
        <color theme="1"/>
        <rFont val="Aptos Narrow"/>
        <family val="2"/>
        <charset val="1"/>
      </rPr>
      <t xml:space="preserve">Momento fletor  - M</t>
    </r>
    <r>
      <rPr>
        <vertAlign val="subscript"/>
        <sz val="11"/>
        <color theme="1"/>
        <rFont val="Aptos Narrow"/>
        <family val="2"/>
        <charset val="1"/>
      </rPr>
      <t xml:space="preserve">s</t>
    </r>
    <r>
      <rPr>
        <sz val="11"/>
        <color theme="1"/>
        <rFont val="Aptos Narrow"/>
        <family val="2"/>
        <charset val="1"/>
      </rPr>
      <t xml:space="preserve"> (kNm)</t>
    </r>
  </si>
  <si>
    <t xml:space="preserve">Deformação na armadura</t>
  </si>
  <si>
    <t xml:space="preserve">Altura efetiva - d (mm)</t>
  </si>
  <si>
    <t xml:space="preserve">Linha neutra no Estádio I - Xg (mm)</t>
  </si>
  <si>
    <t xml:space="preserve">Altura efetiva da fib 2020 - hc,ef (mm)</t>
  </si>
  <si>
    <t xml:space="preserve">fib Model Code 2010 - wmax</t>
  </si>
  <si>
    <r>
      <rPr>
        <sz val="11"/>
        <color theme="1"/>
        <rFont val="Aptos Narrow"/>
        <family val="2"/>
        <charset val="1"/>
      </rPr>
      <t xml:space="preserve">Tensão na armadura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3.2"/>
        <color theme="1"/>
        <rFont val="Aptos Narrow"/>
        <family val="2"/>
        <charset val="1"/>
      </rPr>
      <t xml:space="preserve">s </t>
    </r>
    <r>
      <rPr>
        <sz val="11"/>
        <color theme="1"/>
        <rFont val="Aptos Narrow"/>
        <family val="2"/>
        <charset val="1"/>
      </rPr>
      <t xml:space="preserve">(MPa)</t>
    </r>
  </si>
  <si>
    <r>
      <rPr>
        <sz val="11"/>
        <color theme="1"/>
        <rFont val="Aptos Narrow"/>
        <family val="2"/>
        <charset val="1"/>
      </rPr>
      <t xml:space="preserve">tensão na armadura no instante da fissuração do concreto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1"/>
        <color theme="1"/>
        <rFont val="Aptos Narrow"/>
        <family val="2"/>
        <charset val="1"/>
      </rPr>
      <t xml:space="preserve">sr</t>
    </r>
    <r>
      <rPr>
        <sz val="11"/>
        <color theme="1"/>
        <rFont val="Aptos Narrow"/>
        <family val="2"/>
        <charset val="1"/>
      </rPr>
      <t xml:space="preserve"> ( MPa)</t>
    </r>
  </si>
  <si>
    <t xml:space="preserve">wk/wexp</t>
  </si>
  <si>
    <t xml:space="preserve">fib Model Code 2020 - wmax</t>
  </si>
  <si>
    <r>
      <rPr>
        <sz val="11"/>
        <color theme="1"/>
        <rFont val="Aptos Narrow"/>
        <family val="2"/>
        <charset val="1"/>
      </rPr>
      <t xml:space="preserve">k</t>
    </r>
    <r>
      <rPr>
        <vertAlign val="subscript"/>
        <sz val="11"/>
        <color theme="1"/>
        <rFont val="Aptos Narrow"/>
        <family val="2"/>
        <charset val="1"/>
      </rPr>
      <t xml:space="preserve">1/r</t>
    </r>
  </si>
  <si>
    <r>
      <rPr>
        <sz val="11"/>
        <color theme="1"/>
        <rFont val="Aptos Narrow"/>
        <family val="2"/>
        <charset val="1"/>
      </rPr>
      <t xml:space="preserve">k</t>
    </r>
    <r>
      <rPr>
        <vertAlign val="subscript"/>
        <sz val="11"/>
        <color theme="1"/>
        <rFont val="Aptos Narrow"/>
        <family val="2"/>
        <charset val="1"/>
      </rPr>
      <t xml:space="preserve">fl</t>
    </r>
  </si>
  <si>
    <t xml:space="preserve">Eurocode 2 - wmax</t>
  </si>
  <si>
    <t xml:space="preserve">tensão na armadura no instante da fissuração do concreto (Sigmasr)  MPa</t>
  </si>
  <si>
    <t xml:space="preserve">NBR 6118 - wk1 - fissuração estabilizada</t>
  </si>
  <si>
    <t xml:space="preserve">NBR 6118 - wk2 - fissuração não estabilizada</t>
  </si>
  <si>
    <t xml:space="preserve">NBR 6118</t>
  </si>
  <si>
    <t xml:space="preserve">GB 50010</t>
  </si>
  <si>
    <t xml:space="preserve">Valores nomalizados</t>
  </si>
  <si>
    <t xml:space="preserve">Média</t>
  </si>
  <si>
    <t xml:space="preserve">Desvio Padrão</t>
  </si>
  <si>
    <t xml:space="preserve">Clark (1956)</t>
  </si>
  <si>
    <t xml:space="preserve">Normalizado Clark (1956)</t>
  </si>
  <si>
    <t xml:space="preserve">Leonhardt (1977)</t>
  </si>
  <si>
    <t xml:space="preserve">Normalizado Leonhardt (1977)</t>
  </si>
  <si>
    <t xml:space="preserve">Desayi;Ganesan (1985)</t>
  </si>
  <si>
    <t xml:space="preserve">Normalizado Desayi;Ganesan (1985)</t>
  </si>
  <si>
    <t xml:space="preserve">Oh; Kang (1987)</t>
  </si>
  <si>
    <t xml:space="preserve">Normalizado Oh; Kang (1987)</t>
  </si>
  <si>
    <t xml:space="preserve">Caldas (1997)</t>
  </si>
  <si>
    <t xml:space="preserve">Normalizado Caldas (1997)</t>
  </si>
  <si>
    <t xml:space="preserve">Gergely e Lutz (1968)</t>
  </si>
  <si>
    <t xml:space="preserve">Normalizado Gergely e Lutz (1968)</t>
  </si>
  <si>
    <t xml:space="preserve">Yao et al (2021) modificado</t>
  </si>
  <si>
    <t xml:space="preserve">Normalizado Yao et al (2021) modificado</t>
  </si>
  <si>
    <t xml:space="preserve">Proposta 1</t>
  </si>
  <si>
    <t xml:space="preserve">Nomalizado Proposta 1</t>
  </si>
  <si>
    <t xml:space="preserve">Prosposta 2</t>
  </si>
  <si>
    <t xml:space="preserve">Nomalizado Proposta 2</t>
  </si>
  <si>
    <t xml:space="preserve">Proposta 3</t>
  </si>
  <si>
    <t xml:space="preserve">Nomalizado Proposta 3</t>
  </si>
  <si>
    <t xml:space="preserve">Proposta 4</t>
  </si>
  <si>
    <t xml:space="preserve">Nomalizado Proposta 4</t>
  </si>
  <si>
    <t xml:space="preserve">Proposta 5</t>
  </si>
  <si>
    <t xml:space="preserve">Nomalizado Proposta 5</t>
  </si>
  <si>
    <t xml:space="preserve">Taxa de armadura conforme MC2020</t>
  </si>
  <si>
    <t xml:space="preserve">Output: w_exp (mm)</t>
  </si>
  <si>
    <t xml:space="preserve">Tensão na armadura menos tension stiffening variável (MPa)</t>
  </si>
  <si>
    <t xml:space="preserve">fib Model Code 2020 (mm)</t>
  </si>
  <si>
    <t xml:space="preserve">fib Model Code 2020  com TS variável (mm)</t>
  </si>
  <si>
    <t xml:space="preserve">Normalizado Diâmetro da armadura f (mm)</t>
  </si>
  <si>
    <t xml:space="preserve">Normalizado Número de barras em uma camada</t>
  </si>
  <si>
    <t xml:space="preserve">Normalizado Espaçamento entre as barras (mm)</t>
  </si>
  <si>
    <t xml:space="preserve">Resistência à compressão do concreto fcm (MPa)</t>
  </si>
  <si>
    <t xml:space="preserve">Normalizado Resistência à compressão do concreto fcm (MPa)</t>
  </si>
  <si>
    <t xml:space="preserve">Normalizado Resistência à tração do concreto fctm (MPa)</t>
  </si>
  <si>
    <t xml:space="preserve">Normalizado Cobrimento c (mm)</t>
  </si>
  <si>
    <t xml:space="preserve">Normalizado Distância ao centro de gravidade da armadura d' (mm)</t>
  </si>
  <si>
    <t xml:space="preserve">Largura do elemento - b (mm)</t>
  </si>
  <si>
    <t xml:space="preserve">Normalizado Largura do elemento - b (mm)</t>
  </si>
  <si>
    <t xml:space="preserve">Altura do elemento - h (mm)</t>
  </si>
  <si>
    <t xml:space="preserve">Normalizado Altura do elemento - h (mm)</t>
  </si>
  <si>
    <t xml:space="preserve">Altura útil - d (mm)</t>
  </si>
  <si>
    <t xml:space="preserve">Normalizado Altura útil - d (mm)</t>
  </si>
  <si>
    <t xml:space="preserve">Área de armadura tracionada (mm2)</t>
  </si>
  <si>
    <t xml:space="preserve">Normalizado Área de armadura tracionada (mm2)</t>
  </si>
  <si>
    <t xml:space="preserve">Normalizado Taxa de armadura</t>
  </si>
  <si>
    <r>
      <rPr>
        <sz val="11"/>
        <color theme="1"/>
        <rFont val="Aptos Narrow"/>
        <family val="2"/>
        <charset val="1"/>
      </rPr>
      <t xml:space="preserve">Normalizado Tensão na armadura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3.2"/>
        <color theme="1"/>
        <rFont val="Aptos Narrow"/>
        <family val="2"/>
        <charset val="1"/>
      </rPr>
      <t xml:space="preserve">s </t>
    </r>
    <r>
      <rPr>
        <sz val="11"/>
        <color theme="1"/>
        <rFont val="Aptos Narrow"/>
        <family val="2"/>
        <charset val="1"/>
      </rPr>
      <t xml:space="preserve">(MPa)</t>
    </r>
  </si>
  <si>
    <t xml:space="preserve">Resistência ao escoamento do aço (MPa)</t>
  </si>
  <si>
    <t xml:space="preserve">Normalizado Resistência ao escoamento do aço (MPa)</t>
  </si>
  <si>
    <t xml:space="preserve">Momento fletor (kNm)</t>
  </si>
  <si>
    <t xml:space="preserve">Normalizado Momento fletor (kNm)</t>
  </si>
  <si>
    <t xml:space="preserve">Largura do elemento - h (mm)</t>
  </si>
  <si>
    <t xml:space="preserve">Tensão na armadura  ss (MPa)</t>
  </si>
  <si>
    <t xml:space="preserve">Erro padrão</t>
  </si>
  <si>
    <t xml:space="preserve">Mediana</t>
  </si>
  <si>
    <t xml:space="preserve">Modo</t>
  </si>
  <si>
    <t xml:space="preserve">Desvio padrão</t>
  </si>
  <si>
    <t xml:space="preserve">Variância da amostra</t>
  </si>
  <si>
    <t xml:space="preserve">Curtose</t>
  </si>
  <si>
    <t xml:space="preserve">Assimetria</t>
  </si>
  <si>
    <t xml:space="preserve">Intervalo</t>
  </si>
  <si>
    <t xml:space="preserve">Mínimo</t>
  </si>
  <si>
    <t xml:space="preserve">Máximo</t>
  </si>
  <si>
    <t xml:space="preserve">Soma</t>
  </si>
  <si>
    <t xml:space="preserve">Contagem</t>
  </si>
  <si>
    <r>
      <rPr>
        <sz val="11"/>
        <color theme="1"/>
        <rFont val="Aptos Narrow"/>
        <family val="2"/>
        <charset val="1"/>
      </rPr>
      <t xml:space="preserve">w</t>
    </r>
    <r>
      <rPr>
        <vertAlign val="subscript"/>
        <sz val="11"/>
        <color theme="1"/>
        <rFont val="Aptos Narrow"/>
        <family val="2"/>
        <charset val="1"/>
      </rPr>
      <t xml:space="preserve">error,1</t>
    </r>
    <r>
      <rPr>
        <sz val="11"/>
        <color theme="1"/>
        <rFont val="Aptos Narrow"/>
        <family val="2"/>
        <charset val="1"/>
      </rPr>
      <t xml:space="preserve"> (Eq. 19) - mm</t>
    </r>
  </si>
  <si>
    <t xml:space="preserve">q</t>
  </si>
  <si>
    <t xml:space="preserve">a</t>
  </si>
  <si>
    <t xml:space="preserve">w</t>
  </si>
  <si>
    <t xml:space="preserve">b</t>
  </si>
  <si>
    <r>
      <rPr>
        <sz val="11"/>
        <color theme="1"/>
        <rFont val="Aptos Narrow"/>
        <family val="2"/>
        <charset val="1"/>
      </rPr>
      <t xml:space="preserve">w</t>
    </r>
    <r>
      <rPr>
        <vertAlign val="subscript"/>
        <sz val="11"/>
        <color theme="1"/>
        <rFont val="Aptos Narrow"/>
        <family val="2"/>
        <charset val="1"/>
      </rPr>
      <t xml:space="preserve">error,2</t>
    </r>
    <r>
      <rPr>
        <sz val="11"/>
        <color theme="1"/>
        <rFont val="Aptos Narrow"/>
        <family val="2"/>
        <charset val="1"/>
      </rPr>
      <t xml:space="preserve"> (Eq. 20) - mm</t>
    </r>
  </si>
  <si>
    <r>
      <rPr>
        <sz val="11"/>
        <color theme="1"/>
        <rFont val="Aptos Narrow"/>
        <family val="2"/>
        <charset val="1"/>
      </rPr>
      <t xml:space="preserve">w</t>
    </r>
    <r>
      <rPr>
        <vertAlign val="subscript"/>
        <sz val="11"/>
        <color theme="1"/>
        <rFont val="Aptos Narrow"/>
        <family val="2"/>
        <charset val="1"/>
      </rPr>
      <t xml:space="preserve">error,1</t>
    </r>
    <r>
      <rPr>
        <sz val="11"/>
        <color theme="1"/>
        <rFont val="Aptos Narrow"/>
        <family val="2"/>
        <charset val="1"/>
      </rPr>
      <t xml:space="preserve"> (Eq. 21) - mm</t>
    </r>
  </si>
  <si>
    <r>
      <rPr>
        <sz val="11"/>
        <color theme="1"/>
        <rFont val="Symbol"/>
        <family val="1"/>
        <charset val="2"/>
      </rPr>
      <t xml:space="preserve">q</t>
    </r>
    <r>
      <rPr>
        <vertAlign val="subscript"/>
        <sz val="14.3"/>
        <color theme="1"/>
        <rFont val="Aptos Narrow"/>
        <family val="2"/>
        <charset val="1"/>
      </rPr>
      <t xml:space="preserve">2</t>
    </r>
  </si>
  <si>
    <r>
      <rPr>
        <sz val="11"/>
        <color theme="1"/>
        <rFont val="Aptos Narrow"/>
        <family val="2"/>
        <charset val="1"/>
      </rPr>
      <t xml:space="preserve">w</t>
    </r>
    <r>
      <rPr>
        <vertAlign val="subscript"/>
        <sz val="11"/>
        <color theme="1"/>
        <rFont val="Aptos Narrow"/>
        <family val="2"/>
        <charset val="1"/>
      </rPr>
      <t xml:space="preserve">error</t>
    </r>
    <r>
      <rPr>
        <sz val="11"/>
        <color theme="1"/>
        <rFont val="Aptos Narrow"/>
        <family val="2"/>
        <charset val="1"/>
      </rPr>
      <t xml:space="preserve"> (Eq. 23) - mm</t>
    </r>
  </si>
  <si>
    <t xml:space="preserve">g</t>
  </si>
  <si>
    <t xml:space="preserve">d</t>
  </si>
  <si>
    <t xml:space="preserve">Eq. 23 /Eq. 21</t>
  </si>
  <si>
    <r>
      <rPr>
        <sz val="11"/>
        <color theme="1"/>
        <rFont val="Aptos Narrow"/>
        <family val="2"/>
        <charset val="1"/>
      </rPr>
      <t xml:space="preserve">w</t>
    </r>
    <r>
      <rPr>
        <vertAlign val="subscript"/>
        <sz val="11"/>
        <color theme="1"/>
        <rFont val="Aptos Narrow"/>
        <family val="2"/>
        <charset val="1"/>
      </rPr>
      <t xml:space="preserve">error,2</t>
    </r>
    <r>
      <rPr>
        <sz val="11"/>
        <color theme="1"/>
        <rFont val="Aptos Narrow"/>
        <family val="2"/>
        <charset val="1"/>
      </rPr>
      <t xml:space="preserve"> (Eq. 22) - mm</t>
    </r>
  </si>
  <si>
    <r>
      <rPr>
        <sz val="11"/>
        <color theme="1"/>
        <rFont val="Aptos Narrow"/>
        <family val="2"/>
        <charset val="1"/>
      </rPr>
      <t xml:space="preserve">fib Model Code 2020 + w</t>
    </r>
    <r>
      <rPr>
        <vertAlign val="subscript"/>
        <sz val="11"/>
        <color theme="1"/>
        <rFont val="Aptos Narrow"/>
        <family val="2"/>
        <charset val="1"/>
      </rPr>
      <t xml:space="preserve">error,1</t>
    </r>
    <r>
      <rPr>
        <sz val="11"/>
        <color theme="1"/>
        <rFont val="Aptos Narrow"/>
        <family val="2"/>
        <charset val="1"/>
      </rPr>
      <t xml:space="preserve"> (Eq. 19)</t>
    </r>
  </si>
  <si>
    <r>
      <rPr>
        <sz val="11"/>
        <color theme="1"/>
        <rFont val="Aptos Narrow"/>
        <family val="2"/>
        <charset val="1"/>
      </rPr>
      <t xml:space="preserve">w</t>
    </r>
    <r>
      <rPr>
        <vertAlign val="subscript"/>
        <sz val="11"/>
        <color theme="1"/>
        <rFont val="Aptos Narrow"/>
        <family val="2"/>
        <charset val="1"/>
      </rPr>
      <t xml:space="preserve">cal</t>
    </r>
    <r>
      <rPr>
        <sz val="11"/>
        <color theme="1"/>
        <rFont val="Aptos Narrow"/>
        <family val="2"/>
        <charset val="1"/>
      </rPr>
      <t xml:space="preserve">/w</t>
    </r>
    <r>
      <rPr>
        <vertAlign val="subscript"/>
        <sz val="11"/>
        <color theme="1"/>
        <rFont val="Aptos Narrow"/>
        <family val="2"/>
        <charset val="1"/>
      </rPr>
      <t xml:space="preserve">exp</t>
    </r>
  </si>
  <si>
    <r>
      <rPr>
        <sz val="11"/>
        <color theme="1"/>
        <rFont val="Aptos Narrow"/>
        <family val="2"/>
        <charset val="1"/>
      </rPr>
      <t xml:space="preserve">Proposta 1 + w</t>
    </r>
    <r>
      <rPr>
        <vertAlign val="subscript"/>
        <sz val="11"/>
        <color theme="1"/>
        <rFont val="Aptos Narrow"/>
        <family val="2"/>
        <charset val="1"/>
      </rPr>
      <t xml:space="preserve">error,1</t>
    </r>
    <r>
      <rPr>
        <sz val="11"/>
        <color theme="1"/>
        <rFont val="Aptos Narrow"/>
        <family val="2"/>
        <charset val="1"/>
      </rPr>
      <t xml:space="preserve"> (Eq. 21)</t>
    </r>
  </si>
  <si>
    <r>
      <rPr>
        <sz val="11"/>
        <color theme="1"/>
        <rFont val="Aptos Narrow"/>
        <family val="2"/>
        <charset val="1"/>
      </rPr>
      <t xml:space="preserve">fib Model Code 2020 + w</t>
    </r>
    <r>
      <rPr>
        <vertAlign val="subscript"/>
        <sz val="11"/>
        <color theme="1"/>
        <rFont val="Aptos Narrow"/>
        <family val="2"/>
        <charset val="1"/>
      </rPr>
      <t xml:space="preserve">error,2</t>
    </r>
    <r>
      <rPr>
        <sz val="11"/>
        <color theme="1"/>
        <rFont val="Aptos Narrow"/>
        <family val="2"/>
        <charset val="1"/>
      </rPr>
      <t xml:space="preserve"> (Eq. 20)</t>
    </r>
  </si>
  <si>
    <r>
      <rPr>
        <sz val="11"/>
        <color theme="1"/>
        <rFont val="Aptos Narrow"/>
        <family val="2"/>
        <charset val="1"/>
      </rPr>
      <t xml:space="preserve">Proposta 1 + w</t>
    </r>
    <r>
      <rPr>
        <vertAlign val="subscript"/>
        <sz val="11"/>
        <color theme="1"/>
        <rFont val="Aptos Narrow"/>
        <family val="2"/>
        <charset val="1"/>
      </rPr>
      <t xml:space="preserve">error,2</t>
    </r>
    <r>
      <rPr>
        <sz val="11"/>
        <color theme="1"/>
        <rFont val="Aptos Narrow"/>
        <family val="2"/>
        <charset val="1"/>
      </rPr>
      <t xml:space="preserve"> (Eq. 22)</t>
    </r>
  </si>
  <si>
    <r>
      <rPr>
        <sz val="11"/>
        <color theme="1"/>
        <rFont val="Aptos Narrow"/>
        <family val="2"/>
        <charset val="1"/>
      </rPr>
      <t xml:space="preserve">Proposta 1 + w</t>
    </r>
    <r>
      <rPr>
        <vertAlign val="subscript"/>
        <sz val="11"/>
        <color theme="1"/>
        <rFont val="Aptos Narrow"/>
        <family val="2"/>
        <charset val="1"/>
      </rPr>
      <t xml:space="preserve">error</t>
    </r>
    <r>
      <rPr>
        <sz val="11"/>
        <color theme="1"/>
        <rFont val="Aptos Narrow"/>
        <family val="2"/>
        <charset val="1"/>
      </rPr>
      <t xml:space="preserve"> (Eq. 23)</t>
    </r>
  </si>
  <si>
    <t xml:space="preserve">DP</t>
  </si>
  <si>
    <t xml:space="preserve">Cov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</si>
</sst>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"/>
    <numFmt numFmtId="167" formatCode="0.00"/>
    <numFmt numFmtId="168" formatCode="0.00000"/>
    <numFmt numFmtId="169" formatCode="0%"/>
    <numFmt numFmtId="170" formatCode="0.0000"/>
    <numFmt numFmtId="171" formatCode="0.000000"/>
    <numFmt numFmtId="172" formatCode="0.000000E+00"/>
    <numFmt numFmtId="173" formatCode="0.E+00"/>
    <numFmt numFmtId="174" formatCode="0.00%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1"/>
      <color theme="1"/>
      <name val="Aptos Narrow"/>
      <family val="2"/>
      <charset val="1"/>
    </font>
    <font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  <font>
      <sz val="11"/>
      <color theme="1"/>
      <name val="Symbol"/>
      <family val="1"/>
      <charset val="2"/>
    </font>
    <font>
      <vertAlign val="subscript"/>
      <sz val="13.2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vertAlign val="subscript"/>
      <sz val="14.3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'Sem TS MC2020'!$R$3:$R$343</c:f>
              <c:numCache>
                <c:formatCode>0.000000</c:formatCode>
                <c:ptCount val="341"/>
                <c:pt idx="0">
                  <c:v>0.00115905502469367</c:v>
                </c:pt>
                <c:pt idx="1">
                  <c:v>0.00152125971991044</c:v>
                </c:pt>
                <c:pt idx="2">
                  <c:v>0.00157141113924815</c:v>
                </c:pt>
                <c:pt idx="3">
                  <c:v>0.00181659585601027</c:v>
                </c:pt>
                <c:pt idx="4">
                  <c:v>0.00229582052968169</c:v>
                </c:pt>
                <c:pt idx="5">
                  <c:v>0.0025</c:v>
                </c:pt>
                <c:pt idx="6">
                  <c:v>0.00161459857818906</c:v>
                </c:pt>
                <c:pt idx="7">
                  <c:v>0.00183910466620392</c:v>
                </c:pt>
                <c:pt idx="8">
                  <c:v>0.0025</c:v>
                </c:pt>
                <c:pt idx="9">
                  <c:v>0.00142524016092358</c:v>
                </c:pt>
                <c:pt idx="10">
                  <c:v>0.00162499823072232</c:v>
                </c:pt>
                <c:pt idx="11">
                  <c:v>0.00183822313668727</c:v>
                </c:pt>
                <c:pt idx="12">
                  <c:v>0.00205369251534658</c:v>
                </c:pt>
                <c:pt idx="13">
                  <c:v>0.00219284982239739</c:v>
                </c:pt>
                <c:pt idx="14">
                  <c:v>0.00249136469074831</c:v>
                </c:pt>
                <c:pt idx="15">
                  <c:v>0.00251380941769199</c:v>
                </c:pt>
                <c:pt idx="16">
                  <c:v>0.00269336723324142</c:v>
                </c:pt>
                <c:pt idx="17">
                  <c:v>0.00314</c:v>
                </c:pt>
                <c:pt idx="18">
                  <c:v>0.00314</c:v>
                </c:pt>
                <c:pt idx="19">
                  <c:v>0.00160735938221297</c:v>
                </c:pt>
                <c:pt idx="20">
                  <c:v>0.00178595486912552</c:v>
                </c:pt>
                <c:pt idx="21">
                  <c:v>0.00185292817671773</c:v>
                </c:pt>
                <c:pt idx="22">
                  <c:v>0.00196455035603807</c:v>
                </c:pt>
                <c:pt idx="23">
                  <c:v>0.00212082140708655</c:v>
                </c:pt>
                <c:pt idx="24">
                  <c:v>0.00245568794504759</c:v>
                </c:pt>
                <c:pt idx="25">
                  <c:v>0.000700209827987956</c:v>
                </c:pt>
                <c:pt idx="26">
                  <c:v>0.00100799436776288</c:v>
                </c:pt>
                <c:pt idx="27">
                  <c:v>0.00121959623885814</c:v>
                </c:pt>
                <c:pt idx="28">
                  <c:v>0.00156970115285212</c:v>
                </c:pt>
                <c:pt idx="29">
                  <c:v>0.00208139295022793</c:v>
                </c:pt>
                <c:pt idx="30">
                  <c:v>0.00150216478124621</c:v>
                </c:pt>
                <c:pt idx="31">
                  <c:v>0.00193135471874512</c:v>
                </c:pt>
                <c:pt idx="32">
                  <c:v>0.0025</c:v>
                </c:pt>
                <c:pt idx="33">
                  <c:v>0.0025</c:v>
                </c:pt>
                <c:pt idx="34">
                  <c:v>0.0025</c:v>
                </c:pt>
                <c:pt idx="35">
                  <c:v>0.000532563276129973</c:v>
                </c:pt>
                <c:pt idx="36">
                  <c:v>0.000958613897033951</c:v>
                </c:pt>
                <c:pt idx="37">
                  <c:v>0.00138466451793793</c:v>
                </c:pt>
                <c:pt idx="38">
                  <c:v>0.00181071513884191</c:v>
                </c:pt>
                <c:pt idx="39">
                  <c:v>0.00213025310451989</c:v>
                </c:pt>
                <c:pt idx="40">
                  <c:v>0.0025</c:v>
                </c:pt>
                <c:pt idx="41">
                  <c:v>0.00106235563563045</c:v>
                </c:pt>
                <c:pt idx="42">
                  <c:v>0.00127482676275654</c:v>
                </c:pt>
                <c:pt idx="43">
                  <c:v>0.00148729788988263</c:v>
                </c:pt>
                <c:pt idx="44">
                  <c:v>0.00191224014413481</c:v>
                </c:pt>
                <c:pt idx="45">
                  <c:v>0.0025</c:v>
                </c:pt>
                <c:pt idx="46">
                  <c:v>0.00106235563563045</c:v>
                </c:pt>
                <c:pt idx="47">
                  <c:v>0.00148729788988263</c:v>
                </c:pt>
                <c:pt idx="48">
                  <c:v>0.00191224014413481</c:v>
                </c:pt>
                <c:pt idx="49">
                  <c:v>0.0025</c:v>
                </c:pt>
                <c:pt idx="50">
                  <c:v>0.00122597385242733</c:v>
                </c:pt>
                <c:pt idx="51">
                  <c:v>0.0014711686229128</c:v>
                </c:pt>
                <c:pt idx="52">
                  <c:v>0.000969729074552072</c:v>
                </c:pt>
                <c:pt idx="53">
                  <c:v>0.00121216134319009</c:v>
                </c:pt>
                <c:pt idx="54">
                  <c:v>0.00145459361182811</c:v>
                </c:pt>
                <c:pt idx="55">
                  <c:v>0.000969729074552072</c:v>
                </c:pt>
                <c:pt idx="56">
                  <c:v>0.00121216134319009</c:v>
                </c:pt>
                <c:pt idx="57">
                  <c:v>0.00145459361182811</c:v>
                </c:pt>
                <c:pt idx="58">
                  <c:v>0.00105418774634295</c:v>
                </c:pt>
                <c:pt idx="59">
                  <c:v>0.00158128161951442</c:v>
                </c:pt>
                <c:pt idx="60">
                  <c:v>0.00210837549268589</c:v>
                </c:pt>
                <c:pt idx="61">
                  <c:v>0.0025</c:v>
                </c:pt>
                <c:pt idx="62">
                  <c:v>0.00105418774634295</c:v>
                </c:pt>
                <c:pt idx="63">
                  <c:v>0.00158128161951442</c:v>
                </c:pt>
                <c:pt idx="64">
                  <c:v>0.00210837549268589</c:v>
                </c:pt>
                <c:pt idx="65">
                  <c:v>0.0025</c:v>
                </c:pt>
                <c:pt idx="66">
                  <c:v>0.000611703829148615</c:v>
                </c:pt>
                <c:pt idx="67">
                  <c:v>0.00122340765829723</c:v>
                </c:pt>
                <c:pt idx="68">
                  <c:v>0.0006045335685648</c:v>
                </c:pt>
                <c:pt idx="69">
                  <c:v>0.0012090671371296</c:v>
                </c:pt>
                <c:pt idx="70">
                  <c:v>0.0006045335685648</c:v>
                </c:pt>
                <c:pt idx="71">
                  <c:v>0.0012090671371296</c:v>
                </c:pt>
                <c:pt idx="72">
                  <c:v>0.0014773531582663</c:v>
                </c:pt>
                <c:pt idx="73">
                  <c:v>0.00171933341694785</c:v>
                </c:pt>
                <c:pt idx="74">
                  <c:v>0.00151628012615649</c:v>
                </c:pt>
                <c:pt idx="75">
                  <c:v>0.00173905113995199</c:v>
                </c:pt>
                <c:pt idx="76">
                  <c:v>0.0020552422563069</c:v>
                </c:pt>
                <c:pt idx="77">
                  <c:v>0.00144867461457827</c:v>
                </c:pt>
                <c:pt idx="78">
                  <c:v>0.00189990113387314</c:v>
                </c:pt>
                <c:pt idx="79">
                  <c:v>0.000926369822350829</c:v>
                </c:pt>
                <c:pt idx="80">
                  <c:v>0.00105883798499845</c:v>
                </c:pt>
                <c:pt idx="81">
                  <c:v>0.00119130614764607</c:v>
                </c:pt>
                <c:pt idx="82">
                  <c:v>0.00132354748124806</c:v>
                </c:pt>
                <c:pt idx="83">
                  <c:v>0.00145578881485005</c:v>
                </c:pt>
                <c:pt idx="84">
                  <c:v>0.00158825697749767</c:v>
                </c:pt>
                <c:pt idx="85">
                  <c:v>0.0017207251401453</c:v>
                </c:pt>
                <c:pt idx="86">
                  <c:v>0.00185273964470166</c:v>
                </c:pt>
                <c:pt idx="87">
                  <c:v>0.00105883798499845</c:v>
                </c:pt>
                <c:pt idx="88">
                  <c:v>0.00119130614764607</c:v>
                </c:pt>
                <c:pt idx="89">
                  <c:v>0.00132354748124806</c:v>
                </c:pt>
                <c:pt idx="90">
                  <c:v>0.00145578881485005</c:v>
                </c:pt>
                <c:pt idx="91">
                  <c:v>0.00158825697749767</c:v>
                </c:pt>
                <c:pt idx="92">
                  <c:v>0.0017207251401453</c:v>
                </c:pt>
                <c:pt idx="93">
                  <c:v>0.00185273964470166</c:v>
                </c:pt>
                <c:pt idx="94">
                  <c:v>0.00105883798499845</c:v>
                </c:pt>
                <c:pt idx="95">
                  <c:v>0.00119130614764607</c:v>
                </c:pt>
                <c:pt idx="96">
                  <c:v>0.00132354748124806</c:v>
                </c:pt>
                <c:pt idx="97">
                  <c:v>0.00145578881485005</c:v>
                </c:pt>
                <c:pt idx="98">
                  <c:v>0.00158825697749767</c:v>
                </c:pt>
                <c:pt idx="99">
                  <c:v>0.0017207251401453</c:v>
                </c:pt>
                <c:pt idx="100">
                  <c:v>0.00185273964470166</c:v>
                </c:pt>
                <c:pt idx="101">
                  <c:v>0.000926369822350829</c:v>
                </c:pt>
                <c:pt idx="102">
                  <c:v>0.00105883798499845</c:v>
                </c:pt>
                <c:pt idx="103">
                  <c:v>0.00119130614764607</c:v>
                </c:pt>
                <c:pt idx="104">
                  <c:v>0.00132354748124806</c:v>
                </c:pt>
                <c:pt idx="105">
                  <c:v>0.00145578881485005</c:v>
                </c:pt>
                <c:pt idx="106">
                  <c:v>0.00158825697749767</c:v>
                </c:pt>
                <c:pt idx="107">
                  <c:v>0.0017207251401453</c:v>
                </c:pt>
                <c:pt idx="108">
                  <c:v>0.00185273964470166</c:v>
                </c:pt>
                <c:pt idx="109">
                  <c:v>0.00116652346032186</c:v>
                </c:pt>
                <c:pt idx="110">
                  <c:v>0.001256019460046</c:v>
                </c:pt>
                <c:pt idx="111">
                  <c:v>0.00134582300616095</c:v>
                </c:pt>
                <c:pt idx="112">
                  <c:v>0.00143562655227589</c:v>
                </c:pt>
                <c:pt idx="113">
                  <c:v>0.00152543009839084</c:v>
                </c:pt>
                <c:pt idx="114">
                  <c:v>0.001256019460046</c:v>
                </c:pt>
                <c:pt idx="115">
                  <c:v>0.00134582300616095</c:v>
                </c:pt>
                <c:pt idx="116">
                  <c:v>0.00143562655227589</c:v>
                </c:pt>
                <c:pt idx="117">
                  <c:v>0.00152543009839084</c:v>
                </c:pt>
                <c:pt idx="118">
                  <c:v>0.000881430867601341</c:v>
                </c:pt>
                <c:pt idx="119">
                  <c:v>0.00121173151391876</c:v>
                </c:pt>
                <c:pt idx="120">
                  <c:v>0.00154203216023618</c:v>
                </c:pt>
                <c:pt idx="121">
                  <c:v>0.00121173151391876</c:v>
                </c:pt>
                <c:pt idx="122">
                  <c:v>0.00154203216023618</c:v>
                </c:pt>
                <c:pt idx="123">
                  <c:v>0.00104389869644652</c:v>
                </c:pt>
                <c:pt idx="124">
                  <c:v>0.00126750000841487</c:v>
                </c:pt>
                <c:pt idx="125">
                  <c:v>0.00149110132038322</c:v>
                </c:pt>
                <c:pt idx="126">
                  <c:v>0.00104389869644652</c:v>
                </c:pt>
                <c:pt idx="127">
                  <c:v>0.00126750000841487</c:v>
                </c:pt>
                <c:pt idx="128">
                  <c:v>0.00149110132038322</c:v>
                </c:pt>
                <c:pt idx="129">
                  <c:v>0.0011322765133288</c:v>
                </c:pt>
                <c:pt idx="130">
                  <c:v>0.00130206947805248</c:v>
                </c:pt>
                <c:pt idx="131">
                  <c:v>0.00147186244277617</c:v>
                </c:pt>
                <c:pt idx="132">
                  <c:v>0.0011322765133288</c:v>
                </c:pt>
                <c:pt idx="133">
                  <c:v>0.00130206947805248</c:v>
                </c:pt>
                <c:pt idx="134">
                  <c:v>0.00147186244277617</c:v>
                </c:pt>
                <c:pt idx="135">
                  <c:v>0.00137071816106366</c:v>
                </c:pt>
                <c:pt idx="136">
                  <c:v>0.00147101461187319</c:v>
                </c:pt>
                <c:pt idx="137">
                  <c:v>0.00158468392279067</c:v>
                </c:pt>
                <c:pt idx="138">
                  <c:v>0.0016849803736002</c:v>
                </c:pt>
                <c:pt idx="139">
                  <c:v>0.00179864968451768</c:v>
                </c:pt>
                <c:pt idx="140">
                  <c:v>0.00189894613532721</c:v>
                </c:pt>
                <c:pt idx="141">
                  <c:v>0.00201930187629866</c:v>
                </c:pt>
                <c:pt idx="142">
                  <c:v>0.00125704885014618</c:v>
                </c:pt>
                <c:pt idx="143">
                  <c:v>0.00137071816106366</c:v>
                </c:pt>
                <c:pt idx="144">
                  <c:v>0.00147770104192716</c:v>
                </c:pt>
                <c:pt idx="145">
                  <c:v>0.00157465427770971</c:v>
                </c:pt>
                <c:pt idx="146">
                  <c:v>0.0016849803736002</c:v>
                </c:pt>
                <c:pt idx="147">
                  <c:v>0.00179530646949069</c:v>
                </c:pt>
                <c:pt idx="148">
                  <c:v>0.00188891649024626</c:v>
                </c:pt>
                <c:pt idx="149">
                  <c:v>0.00197918329597484</c:v>
                </c:pt>
                <c:pt idx="150">
                  <c:v>0.0010066634269548</c:v>
                </c:pt>
                <c:pt idx="151">
                  <c:v>0.00117640739525105</c:v>
                </c:pt>
                <c:pt idx="152">
                  <c:v>0.00134070503301374</c:v>
                </c:pt>
                <c:pt idx="153">
                  <c:v>0.00150409494902083</c:v>
                </c:pt>
                <c:pt idx="154">
                  <c:v>0.00166566942151673</c:v>
                </c:pt>
                <c:pt idx="155">
                  <c:v>0.00183178250279061</c:v>
                </c:pt>
                <c:pt idx="156">
                  <c:v>0.000848719841481277</c:v>
                </c:pt>
                <c:pt idx="157">
                  <c:v>0.00100938659222158</c:v>
                </c:pt>
                <c:pt idx="158">
                  <c:v>0.00117368422998427</c:v>
                </c:pt>
                <c:pt idx="159">
                  <c:v>0.00133616642423577</c:v>
                </c:pt>
                <c:pt idx="160">
                  <c:v>0.00150500267077643</c:v>
                </c:pt>
                <c:pt idx="161">
                  <c:v>0.00166566942151673</c:v>
                </c:pt>
                <c:pt idx="162">
                  <c:v>0.0017437334924979</c:v>
                </c:pt>
                <c:pt idx="163">
                  <c:v>0.00155154926787369</c:v>
                </c:pt>
                <c:pt idx="164">
                  <c:v>0.00165143441387414</c:v>
                </c:pt>
                <c:pt idx="165">
                  <c:v>0.00167141144307423</c:v>
                </c:pt>
                <c:pt idx="166">
                  <c:v>0.00175575889969684</c:v>
                </c:pt>
                <c:pt idx="167">
                  <c:v>0.00181347031738599</c:v>
                </c:pt>
                <c:pt idx="168">
                  <c:v>0.0018778407448085</c:v>
                </c:pt>
                <c:pt idx="169">
                  <c:v>0.00193555216249765</c:v>
                </c:pt>
                <c:pt idx="170">
                  <c:v>0.00200436192974241</c:v>
                </c:pt>
                <c:pt idx="171">
                  <c:v>0.00154489025814033</c:v>
                </c:pt>
                <c:pt idx="172">
                  <c:v>0.00161148035547396</c:v>
                </c:pt>
                <c:pt idx="173">
                  <c:v>0.00167363111298536</c:v>
                </c:pt>
                <c:pt idx="174">
                  <c:v>0.00173800154040787</c:v>
                </c:pt>
                <c:pt idx="175">
                  <c:v>0.00180681130765263</c:v>
                </c:pt>
                <c:pt idx="176">
                  <c:v>0.0018778407448085</c:v>
                </c:pt>
                <c:pt idx="177">
                  <c:v>0.00194221117223102</c:v>
                </c:pt>
                <c:pt idx="178">
                  <c:v>0.00199992258992017</c:v>
                </c:pt>
                <c:pt idx="179">
                  <c:v>0.00161813936520733</c:v>
                </c:pt>
                <c:pt idx="180">
                  <c:v>0.00168250979262984</c:v>
                </c:pt>
                <c:pt idx="181">
                  <c:v>0.00177351625898581</c:v>
                </c:pt>
                <c:pt idx="182">
                  <c:v>0.00182678833685272</c:v>
                </c:pt>
                <c:pt idx="183">
                  <c:v>0.0018778407448085</c:v>
                </c:pt>
                <c:pt idx="184">
                  <c:v>0.00193333249258653</c:v>
                </c:pt>
                <c:pt idx="185">
                  <c:v>0.00200658159965353</c:v>
                </c:pt>
                <c:pt idx="186">
                  <c:v>0.00112468244711666</c:v>
                </c:pt>
                <c:pt idx="187">
                  <c:v>0.00129948820154206</c:v>
                </c:pt>
                <c:pt idx="188">
                  <c:v>0.00147370139408806</c:v>
                </c:pt>
                <c:pt idx="189">
                  <c:v>0.00112468244711666</c:v>
                </c:pt>
                <c:pt idx="190">
                  <c:v>0.00129711795402443</c:v>
                </c:pt>
                <c:pt idx="191">
                  <c:v>0.00147073858469102</c:v>
                </c:pt>
                <c:pt idx="192">
                  <c:v>0.000771515566989405</c:v>
                </c:pt>
                <c:pt idx="193">
                  <c:v>0.000951654378329481</c:v>
                </c:pt>
                <c:pt idx="194">
                  <c:v>0.00112171963771962</c:v>
                </c:pt>
                <c:pt idx="195">
                  <c:v>0.00129237745898916</c:v>
                </c:pt>
                <c:pt idx="196">
                  <c:v>0.00153355014390828</c:v>
                </c:pt>
                <c:pt idx="197">
                  <c:v>0.000899440201314778</c:v>
                </c:pt>
                <c:pt idx="198">
                  <c:v>0.00112648335892822</c:v>
                </c:pt>
                <c:pt idx="199">
                  <c:v>0.00135352651654166</c:v>
                </c:pt>
                <c:pt idx="200">
                  <c:v>0.000884197868667605</c:v>
                </c:pt>
                <c:pt idx="201">
                  <c:v>0.00110376378236359</c:v>
                </c:pt>
                <c:pt idx="202">
                  <c:v>0.00132332969605957</c:v>
                </c:pt>
                <c:pt idx="203">
                  <c:v>0.00117361172711607</c:v>
                </c:pt>
                <c:pt idx="204">
                  <c:v>0.00157830542612161</c:v>
                </c:pt>
                <c:pt idx="205">
                  <c:v>0.00182112164552494</c:v>
                </c:pt>
                <c:pt idx="206">
                  <c:v>0.00202346849502771</c:v>
                </c:pt>
                <c:pt idx="207">
                  <c:v>0.00234722345423214</c:v>
                </c:pt>
                <c:pt idx="208">
                  <c:v>0.00263050904353602</c:v>
                </c:pt>
                <c:pt idx="209">
                  <c:v>0.00135435066655363</c:v>
                </c:pt>
                <c:pt idx="210">
                  <c:v>0.00154024193451197</c:v>
                </c:pt>
                <c:pt idx="211">
                  <c:v>0.00177924499331555</c:v>
                </c:pt>
                <c:pt idx="212">
                  <c:v>0.00188546857500603</c:v>
                </c:pt>
                <c:pt idx="213">
                  <c:v>0.00212447163380962</c:v>
                </c:pt>
                <c:pt idx="214">
                  <c:v>0.0026290336468394</c:v>
                </c:pt>
                <c:pt idx="215">
                  <c:v>0.00123460956472699</c:v>
                </c:pt>
                <c:pt idx="216">
                  <c:v>0.0014161697948339</c:v>
                </c:pt>
                <c:pt idx="217">
                  <c:v>0.00157957400193012</c:v>
                </c:pt>
                <c:pt idx="218">
                  <c:v>0.00177929025504772</c:v>
                </c:pt>
                <c:pt idx="219">
                  <c:v>0.00197900650816532</c:v>
                </c:pt>
                <c:pt idx="220">
                  <c:v>0.00216056673827224</c:v>
                </c:pt>
                <c:pt idx="221">
                  <c:v>0.00234212696837915</c:v>
                </c:pt>
                <c:pt idx="222">
                  <c:v>0.00250553117547537</c:v>
                </c:pt>
                <c:pt idx="223">
                  <c:v>0.00185373642024366</c:v>
                </c:pt>
                <c:pt idx="224">
                  <c:v>0.00221642398072612</c:v>
                </c:pt>
                <c:pt idx="225">
                  <c:v>0.00261941015903996</c:v>
                </c:pt>
                <c:pt idx="226">
                  <c:v>0.00132140047154737</c:v>
                </c:pt>
                <c:pt idx="227">
                  <c:v>0.001506396537564</c:v>
                </c:pt>
                <c:pt idx="228">
                  <c:v>0.00174424862244253</c:v>
                </c:pt>
                <c:pt idx="229">
                  <c:v>0.00184996066016631</c:v>
                </c:pt>
                <c:pt idx="230">
                  <c:v>0.002008528716752</c:v>
                </c:pt>
                <c:pt idx="231">
                  <c:v>0.00211424075447579</c:v>
                </c:pt>
                <c:pt idx="232">
                  <c:v>0.00237323524689907</c:v>
                </c:pt>
                <c:pt idx="233">
                  <c:v>0.00263222973932236</c:v>
                </c:pt>
                <c:pt idx="234">
                  <c:v>0.00151701284157095</c:v>
                </c:pt>
                <c:pt idx="235">
                  <c:v>0.00158925154831243</c:v>
                </c:pt>
                <c:pt idx="236">
                  <c:v>0.00176984831516611</c:v>
                </c:pt>
                <c:pt idx="237">
                  <c:v>0.00196850475870517</c:v>
                </c:pt>
                <c:pt idx="238">
                  <c:v>0.00214910152555885</c:v>
                </c:pt>
                <c:pt idx="239">
                  <c:v>0.00231163861572717</c:v>
                </c:pt>
                <c:pt idx="240">
                  <c:v>0.00251029505926622</c:v>
                </c:pt>
                <c:pt idx="241">
                  <c:v>0.000755859849887294</c:v>
                </c:pt>
                <c:pt idx="242">
                  <c:v>0.00100853299970676</c:v>
                </c:pt>
                <c:pt idx="243">
                  <c:v>0.0011532261709709</c:v>
                </c:pt>
                <c:pt idx="244">
                  <c:v>0.0013195153379461</c:v>
                </c:pt>
                <c:pt idx="245">
                  <c:v>0.00157866728647889</c:v>
                </c:pt>
                <c:pt idx="246">
                  <c:v>0.00171040286031639</c:v>
                </c:pt>
                <c:pt idx="247">
                  <c:v>0.00190260722214487</c:v>
                </c:pt>
                <c:pt idx="248">
                  <c:v>0.00180834787254514</c:v>
                </c:pt>
                <c:pt idx="249">
                  <c:v>0.0019615</c:v>
                </c:pt>
                <c:pt idx="250">
                  <c:v>0.00181502074292354</c:v>
                </c:pt>
                <c:pt idx="251">
                  <c:v>0.0019615</c:v>
                </c:pt>
                <c:pt idx="252">
                  <c:v>0.00181502074292354</c:v>
                </c:pt>
                <c:pt idx="253">
                  <c:v>0.0019615</c:v>
                </c:pt>
                <c:pt idx="254">
                  <c:v>0.00182169361330193</c:v>
                </c:pt>
                <c:pt idx="255">
                  <c:v>0.0019615</c:v>
                </c:pt>
                <c:pt idx="256">
                  <c:v>0.00158551348970394</c:v>
                </c:pt>
                <c:pt idx="257">
                  <c:v>0.0019615</c:v>
                </c:pt>
                <c:pt idx="258">
                  <c:v>0.00159567703771486</c:v>
                </c:pt>
                <c:pt idx="259">
                  <c:v>0.0019615</c:v>
                </c:pt>
                <c:pt idx="260">
                  <c:v>0.00130014511123404</c:v>
                </c:pt>
                <c:pt idx="261">
                  <c:v>0.0018268705665545</c:v>
                </c:pt>
                <c:pt idx="262">
                  <c:v>0.0019615</c:v>
                </c:pt>
                <c:pt idx="263">
                  <c:v>0.00130681252206088</c:v>
                </c:pt>
                <c:pt idx="264">
                  <c:v>0.00183353797738134</c:v>
                </c:pt>
                <c:pt idx="265">
                  <c:v>0.000935128695206929</c:v>
                </c:pt>
                <c:pt idx="266">
                  <c:v>0.00130538269635485</c:v>
                </c:pt>
                <c:pt idx="267">
                  <c:v>0.00168038354367133</c:v>
                </c:pt>
                <c:pt idx="268">
                  <c:v>0.0019615</c:v>
                </c:pt>
                <c:pt idx="269">
                  <c:v>0.000930381849038365</c:v>
                </c:pt>
                <c:pt idx="270">
                  <c:v>0.00129588900401772</c:v>
                </c:pt>
                <c:pt idx="271">
                  <c:v>0.00166614300516564</c:v>
                </c:pt>
                <c:pt idx="272">
                  <c:v>0.00182736345758125</c:v>
                </c:pt>
                <c:pt idx="273">
                  <c:v>0.0019615</c:v>
                </c:pt>
                <c:pt idx="274">
                  <c:v>0.00182736345758125</c:v>
                </c:pt>
                <c:pt idx="275">
                  <c:v>0.0019615</c:v>
                </c:pt>
                <c:pt idx="276">
                  <c:v>0.00110655065900749</c:v>
                </c:pt>
                <c:pt idx="277">
                  <c:v>0.00129570461781219</c:v>
                </c:pt>
                <c:pt idx="278">
                  <c:v>0.00148012972764677</c:v>
                </c:pt>
                <c:pt idx="279">
                  <c:v>0.00166928368645147</c:v>
                </c:pt>
                <c:pt idx="280">
                  <c:v>0.00184897994731593</c:v>
                </c:pt>
                <c:pt idx="281">
                  <c:v>0.0019615</c:v>
                </c:pt>
                <c:pt idx="282">
                  <c:v>0.00148012972764677</c:v>
                </c:pt>
                <c:pt idx="283">
                  <c:v>0.00165982598851124</c:v>
                </c:pt>
                <c:pt idx="284">
                  <c:v>0.00184897994731593</c:v>
                </c:pt>
                <c:pt idx="285">
                  <c:v>0.0019615</c:v>
                </c:pt>
                <c:pt idx="286">
                  <c:v>0.00101511246568692</c:v>
                </c:pt>
                <c:pt idx="287">
                  <c:v>0.00122250103394554</c:v>
                </c:pt>
                <c:pt idx="288">
                  <c:v>0.001379</c:v>
                </c:pt>
                <c:pt idx="289">
                  <c:v>0.001379</c:v>
                </c:pt>
                <c:pt idx="290">
                  <c:v>0.00124872942173031</c:v>
                </c:pt>
                <c:pt idx="291">
                  <c:v>0.001379</c:v>
                </c:pt>
                <c:pt idx="292">
                  <c:v>0.00135644718780187</c:v>
                </c:pt>
                <c:pt idx="293">
                  <c:v>0.000975567629900153</c:v>
                </c:pt>
                <c:pt idx="294">
                  <c:v>0.00113473518231946</c:v>
                </c:pt>
                <c:pt idx="295">
                  <c:v>0.00130456467604915</c:v>
                </c:pt>
                <c:pt idx="296">
                  <c:v>0.001379</c:v>
                </c:pt>
                <c:pt idx="297">
                  <c:v>0.00129816075883082</c:v>
                </c:pt>
                <c:pt idx="298">
                  <c:v>0.001379</c:v>
                </c:pt>
                <c:pt idx="299">
                  <c:v>0.00097105963453005</c:v>
                </c:pt>
                <c:pt idx="300">
                  <c:v>0.00112949169043698</c:v>
                </c:pt>
                <c:pt idx="301">
                  <c:v>0.00129853641994534</c:v>
                </c:pt>
                <c:pt idx="302">
                  <c:v>0.001379</c:v>
                </c:pt>
                <c:pt idx="303">
                  <c:v>0.000971772980162513</c:v>
                </c:pt>
                <c:pt idx="304">
                  <c:v>0.00113032142111018</c:v>
                </c:pt>
                <c:pt idx="305">
                  <c:v>0.00129949033178641</c:v>
                </c:pt>
                <c:pt idx="306">
                  <c:v>0.001379</c:v>
                </c:pt>
                <c:pt idx="307">
                  <c:v>0.00117057909144943</c:v>
                </c:pt>
                <c:pt idx="308">
                  <c:v>0.00137423642375703</c:v>
                </c:pt>
                <c:pt idx="309">
                  <c:v>0.000897478001613021</c:v>
                </c:pt>
                <c:pt idx="310">
                  <c:v>0.00106371271325744</c:v>
                </c:pt>
                <c:pt idx="311">
                  <c:v>0.00122615859956523</c:v>
                </c:pt>
                <c:pt idx="312">
                  <c:v>0.001379</c:v>
                </c:pt>
                <c:pt idx="313">
                  <c:v>0.00106473745794132</c:v>
                </c:pt>
                <c:pt idx="314">
                  <c:v>0.000897478001613021</c:v>
                </c:pt>
                <c:pt idx="315">
                  <c:v>0.00106371271325744</c:v>
                </c:pt>
                <c:pt idx="316">
                  <c:v>0.00122615859956523</c:v>
                </c:pt>
                <c:pt idx="317">
                  <c:v>0.001379</c:v>
                </c:pt>
                <c:pt idx="318">
                  <c:v>0.00106714057072437</c:v>
                </c:pt>
                <c:pt idx="319">
                  <c:v>0.00123010994550551</c:v>
                </c:pt>
                <c:pt idx="320">
                  <c:v>0.001379</c:v>
                </c:pt>
                <c:pt idx="321">
                  <c:v>0.00085401649577341</c:v>
                </c:pt>
                <c:pt idx="322">
                  <c:v>0.00105121000423954</c:v>
                </c:pt>
                <c:pt idx="323">
                  <c:v>0.00122567861024304</c:v>
                </c:pt>
                <c:pt idx="324">
                  <c:v>0.00135029904310268</c:v>
                </c:pt>
                <c:pt idx="325">
                  <c:v>0.001379</c:v>
                </c:pt>
                <c:pt idx="326">
                  <c:v>0.000851638642096009</c:v>
                </c:pt>
                <c:pt idx="327">
                  <c:v>0.00104828310108642</c:v>
                </c:pt>
                <c:pt idx="328">
                  <c:v>0.00122226593097384</c:v>
                </c:pt>
                <c:pt idx="329">
                  <c:v>0.00134653938089343</c:v>
                </c:pt>
                <c:pt idx="330">
                  <c:v>0.001379</c:v>
                </c:pt>
                <c:pt idx="331">
                  <c:v>0.000916151527387567</c:v>
                </c:pt>
                <c:pt idx="332">
                  <c:v>0.0010994516614876</c:v>
                </c:pt>
                <c:pt idx="333">
                  <c:v>0.00124085462207905</c:v>
                </c:pt>
                <c:pt idx="334">
                  <c:v>0.001379</c:v>
                </c:pt>
                <c:pt idx="335">
                  <c:v>0.0010994516614876</c:v>
                </c:pt>
                <c:pt idx="336">
                  <c:v>0.00124085462207905</c:v>
                </c:pt>
                <c:pt idx="337">
                  <c:v>0.001379</c:v>
                </c:pt>
                <c:pt idx="338">
                  <c:v>0.000920432403567281</c:v>
                </c:pt>
                <c:pt idx="339">
                  <c:v>0.000718964384934785</c:v>
                </c:pt>
                <c:pt idx="340">
                  <c:v>0.000918214951472588</c:v>
                </c:pt>
              </c:numCache>
            </c:numRef>
          </c:xVal>
          <c:yVal>
            <c:numRef>
              <c:f>'Com TS variável MC2020'!$AE$11:$AE$351</c:f>
              <c:numCache>
                <c:formatCode>0.00</c:formatCode>
                <c:ptCount val="341"/>
                <c:pt idx="0">
                  <c:v>0.0226977333170769</c:v>
                </c:pt>
                <c:pt idx="1">
                  <c:v>0.0572641352646093</c:v>
                </c:pt>
                <c:pt idx="2">
                  <c:v>0.0617425601496522</c:v>
                </c:pt>
                <c:pt idx="3">
                  <c:v>0.102525970698751</c:v>
                </c:pt>
                <c:pt idx="4">
                  <c:v>0.160875364044717</c:v>
                </c:pt>
                <c:pt idx="5">
                  <c:v>0.169820796957897</c:v>
                </c:pt>
                <c:pt idx="6">
                  <c:v>-0.00680483544766694</c:v>
                </c:pt>
                <c:pt idx="7">
                  <c:v>0.0142621307111863</c:v>
                </c:pt>
                <c:pt idx="8">
                  <c:v>0.0551540252140711</c:v>
                </c:pt>
                <c:pt idx="9">
                  <c:v>-0.0218263951012075</c:v>
                </c:pt>
                <c:pt idx="10">
                  <c:v>-0.0324378656776967</c:v>
                </c:pt>
                <c:pt idx="11">
                  <c:v>-0.00106808707956726</c:v>
                </c:pt>
                <c:pt idx="12">
                  <c:v>-0.00936810028566812</c:v>
                </c:pt>
                <c:pt idx="13">
                  <c:v>-0.0488951921479415</c:v>
                </c:pt>
                <c:pt idx="14">
                  <c:v>-0.0249775021105605</c:v>
                </c:pt>
                <c:pt idx="15">
                  <c:v>-0.0816754201528626</c:v>
                </c:pt>
                <c:pt idx="16">
                  <c:v>-0.0952587644912799</c:v>
                </c:pt>
                <c:pt idx="17">
                  <c:v>-0.0495498786344364</c:v>
                </c:pt>
                <c:pt idx="18">
                  <c:v>-0.109549878634436</c:v>
                </c:pt>
                <c:pt idx="19">
                  <c:v>-0.0807624740231329</c:v>
                </c:pt>
                <c:pt idx="20">
                  <c:v>-0.114521228874278</c:v>
                </c:pt>
                <c:pt idx="21">
                  <c:v>-0.104680761943457</c:v>
                </c:pt>
                <c:pt idx="22">
                  <c:v>-0.0882799837254225</c:v>
                </c:pt>
                <c:pt idx="23">
                  <c:v>-0.145318894220174</c:v>
                </c:pt>
                <c:pt idx="24">
                  <c:v>-0.156116559566071</c:v>
                </c:pt>
                <c:pt idx="25">
                  <c:v>-0.102989383118342</c:v>
                </c:pt>
                <c:pt idx="26">
                  <c:v>-0.0660485031832228</c:v>
                </c:pt>
                <c:pt idx="27">
                  <c:v>-0.0869016482278285</c:v>
                </c:pt>
                <c:pt idx="28">
                  <c:v>-0.202131397301631</c:v>
                </c:pt>
                <c:pt idx="29">
                  <c:v>-0.267467184409495</c:v>
                </c:pt>
                <c:pt idx="30">
                  <c:v>-0.151158814919034</c:v>
                </c:pt>
                <c:pt idx="31">
                  <c:v>-0.126429882608723</c:v>
                </c:pt>
                <c:pt idx="32">
                  <c:v>-0.130920974663491</c:v>
                </c:pt>
                <c:pt idx="33">
                  <c:v>-0.280920974663491</c:v>
                </c:pt>
                <c:pt idx="34">
                  <c:v>-0.360920974663491</c:v>
                </c:pt>
                <c:pt idx="35">
                  <c:v>-0.139444814105335</c:v>
                </c:pt>
                <c:pt idx="36">
                  <c:v>-0.111077247449529</c:v>
                </c:pt>
                <c:pt idx="37">
                  <c:v>-0.142709680793723</c:v>
                </c:pt>
                <c:pt idx="38">
                  <c:v>-0.174342114137917</c:v>
                </c:pt>
                <c:pt idx="39">
                  <c:v>-0.215566439146062</c:v>
                </c:pt>
                <c:pt idx="40">
                  <c:v>-0.357555355355516</c:v>
                </c:pt>
                <c:pt idx="41">
                  <c:v>-0.0986602829864568</c:v>
                </c:pt>
                <c:pt idx="42">
                  <c:v>-0.153948105103661</c:v>
                </c:pt>
                <c:pt idx="43">
                  <c:v>-0.179235927220865</c:v>
                </c:pt>
                <c:pt idx="44">
                  <c:v>-0.229811571455273</c:v>
                </c:pt>
                <c:pt idx="45">
                  <c:v>-0.32612406820117</c:v>
                </c:pt>
                <c:pt idx="46">
                  <c:v>-0.0586602829864568</c:v>
                </c:pt>
                <c:pt idx="47">
                  <c:v>-0.159235927220865</c:v>
                </c:pt>
                <c:pt idx="48">
                  <c:v>-0.269811571455273</c:v>
                </c:pt>
                <c:pt idx="49">
                  <c:v>-0.36612406820117</c:v>
                </c:pt>
                <c:pt idx="50">
                  <c:v>-0.0943958873848732</c:v>
                </c:pt>
                <c:pt idx="51">
                  <c:v>-0.12743162939992</c:v>
                </c:pt>
                <c:pt idx="52">
                  <c:v>-0.0272422146972284</c:v>
                </c:pt>
                <c:pt idx="53">
                  <c:v>-0.102639181842481</c:v>
                </c:pt>
                <c:pt idx="54">
                  <c:v>-0.0980361489877332</c:v>
                </c:pt>
                <c:pt idx="55">
                  <c:v>-0.137242214697228</c:v>
                </c:pt>
                <c:pt idx="56">
                  <c:v>-0.232639181842481</c:v>
                </c:pt>
                <c:pt idx="57">
                  <c:v>-0.258036148987733</c:v>
                </c:pt>
                <c:pt idx="58">
                  <c:v>-0.0842074284107605</c:v>
                </c:pt>
                <c:pt idx="59">
                  <c:v>-0.115788383422276</c:v>
                </c:pt>
                <c:pt idx="60">
                  <c:v>-0.167369338433792</c:v>
                </c:pt>
                <c:pt idx="61">
                  <c:v>-0.281675034831947</c:v>
                </c:pt>
                <c:pt idx="62">
                  <c:v>-0.12420742841076</c:v>
                </c:pt>
                <c:pt idx="63">
                  <c:v>-0.165788383422276</c:v>
                </c:pt>
                <c:pt idx="64">
                  <c:v>-0.207369338433792</c:v>
                </c:pt>
                <c:pt idx="65">
                  <c:v>-0.331675034831947</c:v>
                </c:pt>
                <c:pt idx="66">
                  <c:v>-0.171806196460829</c:v>
                </c:pt>
                <c:pt idx="67">
                  <c:v>-0.200612870269252</c:v>
                </c:pt>
                <c:pt idx="68">
                  <c:v>-0.136171925393905</c:v>
                </c:pt>
                <c:pt idx="69">
                  <c:v>-0.244535824274964</c:v>
                </c:pt>
                <c:pt idx="70">
                  <c:v>-0.146171925393905</c:v>
                </c:pt>
                <c:pt idx="71">
                  <c:v>-0.234535824274964</c:v>
                </c:pt>
                <c:pt idx="72">
                  <c:v>-0.023998120811565</c:v>
                </c:pt>
                <c:pt idx="73">
                  <c:v>-0.0162137981945877</c:v>
                </c:pt>
                <c:pt idx="74">
                  <c:v>-0.0204145675028399</c:v>
                </c:pt>
                <c:pt idx="75">
                  <c:v>-0.016989153352813</c:v>
                </c:pt>
                <c:pt idx="76">
                  <c:v>-0.013740178430194</c:v>
                </c:pt>
                <c:pt idx="77">
                  <c:v>-0.0464102905969329</c:v>
                </c:pt>
                <c:pt idx="78">
                  <c:v>-0.0559081338984642</c:v>
                </c:pt>
                <c:pt idx="79">
                  <c:v>-0.0732496377077738</c:v>
                </c:pt>
                <c:pt idx="80">
                  <c:v>-0.075957230430423</c:v>
                </c:pt>
                <c:pt idx="81">
                  <c:v>-0.0786648231530721</c:v>
                </c:pt>
                <c:pt idx="82">
                  <c:v>-0.0614533960251688</c:v>
                </c:pt>
                <c:pt idx="83">
                  <c:v>-0.0142419688972653</c:v>
                </c:pt>
                <c:pt idx="84">
                  <c:v>0.0130504383800855</c:v>
                </c:pt>
                <c:pt idx="85">
                  <c:v>0.0303428456574364</c:v>
                </c:pt>
                <c:pt idx="86">
                  <c:v>0.0774732926358924</c:v>
                </c:pt>
                <c:pt idx="87">
                  <c:v>-0.025957230430423</c:v>
                </c:pt>
                <c:pt idx="88">
                  <c:v>-0.0086648231530721</c:v>
                </c:pt>
                <c:pt idx="89">
                  <c:v>0.0185466039748313</c:v>
                </c:pt>
                <c:pt idx="90">
                  <c:v>0.0157580311027348</c:v>
                </c:pt>
                <c:pt idx="91">
                  <c:v>0.0130504383800855</c:v>
                </c:pt>
                <c:pt idx="92">
                  <c:v>0.0303428456574364</c:v>
                </c:pt>
                <c:pt idx="93">
                  <c:v>0.0274732926358924</c:v>
                </c:pt>
                <c:pt idx="94">
                  <c:v>-0.0227274599789665</c:v>
                </c:pt>
                <c:pt idx="95">
                  <c:v>-0.0186059776051293</c:v>
                </c:pt>
                <c:pt idx="96">
                  <c:v>-0.00454292242713783</c:v>
                </c:pt>
                <c:pt idx="97">
                  <c:v>-0.000479867249146226</c:v>
                </c:pt>
                <c:pt idx="98">
                  <c:v>0.013641615124691</c:v>
                </c:pt>
                <c:pt idx="99">
                  <c:v>-0.00223690250147196</c:v>
                </c:pt>
                <c:pt idx="100">
                  <c:v>0.0317677254806741</c:v>
                </c:pt>
                <c:pt idx="101">
                  <c:v>-0.0568489423528037</c:v>
                </c:pt>
                <c:pt idx="102">
                  <c:v>-0.0527274599789665</c:v>
                </c:pt>
                <c:pt idx="103">
                  <c:v>-0.0186059776051293</c:v>
                </c:pt>
                <c:pt idx="104">
                  <c:v>-0.0545429224271378</c:v>
                </c:pt>
                <c:pt idx="105">
                  <c:v>-0.0504798672491462</c:v>
                </c:pt>
                <c:pt idx="106">
                  <c:v>-0.066358384875309</c:v>
                </c:pt>
                <c:pt idx="107">
                  <c:v>-0.082236902501472</c:v>
                </c:pt>
                <c:pt idx="108">
                  <c:v>-0.0982322745193259</c:v>
                </c:pt>
                <c:pt idx="109">
                  <c:v>0.00145217968812747</c:v>
                </c:pt>
                <c:pt idx="110">
                  <c:v>-0.0104231750198672</c:v>
                </c:pt>
                <c:pt idx="111">
                  <c:v>0.00776375427657786</c:v>
                </c:pt>
                <c:pt idx="112">
                  <c:v>0.00595068357302289</c:v>
                </c:pt>
                <c:pt idx="113">
                  <c:v>0.0241376128694681</c:v>
                </c:pt>
                <c:pt idx="114">
                  <c:v>0.0195768249801328</c:v>
                </c:pt>
                <c:pt idx="115">
                  <c:v>0.00776375427657786</c:v>
                </c:pt>
                <c:pt idx="116">
                  <c:v>0.00595068357302289</c:v>
                </c:pt>
                <c:pt idx="117">
                  <c:v>0.0241376128694681</c:v>
                </c:pt>
                <c:pt idx="118">
                  <c:v>-0.16365198304243</c:v>
                </c:pt>
                <c:pt idx="119">
                  <c:v>-0.11604989007137</c:v>
                </c:pt>
                <c:pt idx="120">
                  <c:v>-0.0984477971003096</c:v>
                </c:pt>
                <c:pt idx="121">
                  <c:v>-0.0960498900713699</c:v>
                </c:pt>
                <c:pt idx="122">
                  <c:v>-0.0484477971003096</c:v>
                </c:pt>
                <c:pt idx="123">
                  <c:v>-0.0945088417801033</c:v>
                </c:pt>
                <c:pt idx="124">
                  <c:v>-0.0775470270233631</c:v>
                </c:pt>
                <c:pt idx="125">
                  <c:v>-0.0305852122666231</c:v>
                </c:pt>
                <c:pt idx="126">
                  <c:v>-0.0945088417801033</c:v>
                </c:pt>
                <c:pt idx="127">
                  <c:v>-0.0775470270233631</c:v>
                </c:pt>
                <c:pt idx="128">
                  <c:v>-0.0305852122666231</c:v>
                </c:pt>
                <c:pt idx="129">
                  <c:v>-0.032902296652517</c:v>
                </c:pt>
                <c:pt idx="130">
                  <c:v>0.017225187493648</c:v>
                </c:pt>
                <c:pt idx="131">
                  <c:v>0.0373526716398132</c:v>
                </c:pt>
                <c:pt idx="132">
                  <c:v>-0.062902296652517</c:v>
                </c:pt>
                <c:pt idx="133">
                  <c:v>-0.032774812506352</c:v>
                </c:pt>
                <c:pt idx="134">
                  <c:v>-0.0126473283601868</c:v>
                </c:pt>
                <c:pt idx="135">
                  <c:v>0.00156340102515137</c:v>
                </c:pt>
                <c:pt idx="136">
                  <c:v>0.0176557134346021</c:v>
                </c:pt>
                <c:pt idx="137">
                  <c:v>0.0385603341653127</c:v>
                </c:pt>
                <c:pt idx="138">
                  <c:v>0.0546526465747633</c:v>
                </c:pt>
                <c:pt idx="139">
                  <c:v>0.0755572673054739</c:v>
                </c:pt>
                <c:pt idx="140">
                  <c:v>0.0916495797149244</c:v>
                </c:pt>
                <c:pt idx="141">
                  <c:v>0.114960354606265</c:v>
                </c:pt>
                <c:pt idx="142">
                  <c:v>-0.0293412197055592</c:v>
                </c:pt>
                <c:pt idx="143">
                  <c:v>-0.00843659897484864</c:v>
                </c:pt>
                <c:pt idx="144">
                  <c:v>0.010061867595232</c:v>
                </c:pt>
                <c:pt idx="145">
                  <c:v>0.0349511029243677</c:v>
                </c:pt>
                <c:pt idx="146">
                  <c:v>0.0546526465747633</c:v>
                </c:pt>
                <c:pt idx="147">
                  <c:v>0.074354190225159</c:v>
                </c:pt>
                <c:pt idx="148">
                  <c:v>0.0880403484739795</c:v>
                </c:pt>
                <c:pt idx="149">
                  <c:v>0.090523429642485</c:v>
                </c:pt>
                <c:pt idx="150">
                  <c:v>0.0401604880980324</c:v>
                </c:pt>
                <c:pt idx="151">
                  <c:v>0.0655567388876214</c:v>
                </c:pt>
                <c:pt idx="152">
                  <c:v>0.0791755698657797</c:v>
                </c:pt>
                <c:pt idx="153">
                  <c:v>0.102498164208699</c:v>
                </c:pt>
                <c:pt idx="154">
                  <c:v>0.105228285281143</c:v>
                </c:pt>
                <c:pt idx="155">
                  <c:v>0.139439589529778</c:v>
                </c:pt>
                <c:pt idx="156">
                  <c:v>-0.00138468643345699</c:v>
                </c:pt>
                <c:pt idx="157">
                  <c:v>0.0110491980037477</c:v>
                </c:pt>
                <c:pt idx="158">
                  <c:v>0.024668028981906</c:v>
                </c:pt>
                <c:pt idx="159">
                  <c:v>0.0476943866895875</c:v>
                </c:pt>
                <c:pt idx="160">
                  <c:v>0.0827944008439379</c:v>
                </c:pt>
                <c:pt idx="161">
                  <c:v>0.105228285281143</c:v>
                </c:pt>
                <c:pt idx="162">
                  <c:v>0.120704635911649</c:v>
                </c:pt>
                <c:pt idx="163">
                  <c:v>0.0590589126893842</c:v>
                </c:pt>
                <c:pt idx="164">
                  <c:v>0.052215410878619</c:v>
                </c:pt>
                <c:pt idx="165">
                  <c:v>0.048846710516466</c:v>
                </c:pt>
                <c:pt idx="166">
                  <c:v>0.0468455312095974</c:v>
                </c:pt>
                <c:pt idx="167">
                  <c:v>0.0460026190522662</c:v>
                </c:pt>
                <c:pt idx="168">
                  <c:v>0.0373701401075509</c:v>
                </c:pt>
                <c:pt idx="169">
                  <c:v>0.0265272279502198</c:v>
                </c:pt>
                <c:pt idx="170">
                  <c:v>-0.000631628852752197</c:v>
                </c:pt>
                <c:pt idx="171">
                  <c:v>0.0468484794767687</c:v>
                </c:pt>
                <c:pt idx="172">
                  <c:v>0.0489528116029251</c:v>
                </c:pt>
                <c:pt idx="173">
                  <c:v>0.0495835215873378</c:v>
                </c:pt>
                <c:pt idx="174">
                  <c:v>0.0409510426426223</c:v>
                </c:pt>
                <c:pt idx="175">
                  <c:v>0.0537921858396507</c:v>
                </c:pt>
                <c:pt idx="176">
                  <c:v>0.0673701401075509</c:v>
                </c:pt>
                <c:pt idx="177">
                  <c:v>0.0687376611628354</c:v>
                </c:pt>
                <c:pt idx="178">
                  <c:v>0.0678947490055044</c:v>
                </c:pt>
                <c:pt idx="179">
                  <c:v>0.0811632448155408</c:v>
                </c:pt>
                <c:pt idx="180">
                  <c:v>0.0925307658708253</c:v>
                </c:pt>
                <c:pt idx="181">
                  <c:v>0.102740019776573</c:v>
                </c:pt>
                <c:pt idx="182">
                  <c:v>0.120423485477498</c:v>
                </c:pt>
                <c:pt idx="183">
                  <c:v>0.127370140107551</c:v>
                </c:pt>
                <c:pt idx="184">
                  <c:v>0.135790416879348</c:v>
                </c:pt>
                <c:pt idx="185">
                  <c:v>0.14010518221812</c:v>
                </c:pt>
                <c:pt idx="186">
                  <c:v>0.0610414004530898</c:v>
                </c:pt>
                <c:pt idx="187">
                  <c:v>0.0717499435425509</c:v>
                </c:pt>
                <c:pt idx="188">
                  <c:v>0.0922865932656072</c:v>
                </c:pt>
                <c:pt idx="189">
                  <c:v>0.0810414004530898</c:v>
                </c:pt>
                <c:pt idx="190">
                  <c:v>0.101062370076931</c:v>
                </c:pt>
                <c:pt idx="191">
                  <c:v>0.111427126433582</c:v>
                </c:pt>
                <c:pt idx="192">
                  <c:v>-0.0914070459242623</c:v>
                </c:pt>
                <c:pt idx="193">
                  <c:v>-0.0791514625371565</c:v>
                </c:pt>
                <c:pt idx="194">
                  <c:v>-0.069818066378935</c:v>
                </c:pt>
                <c:pt idx="195">
                  <c:v>-0.0603127768543086</c:v>
                </c:pt>
                <c:pt idx="196">
                  <c:v>-0.0303521767274927</c:v>
                </c:pt>
                <c:pt idx="197">
                  <c:v>-0.0160850376126092</c:v>
                </c:pt>
                <c:pt idx="198">
                  <c:v>-0.0202494271575085</c:v>
                </c:pt>
                <c:pt idx="199">
                  <c:v>0.00558618329759208</c:v>
                </c:pt>
                <c:pt idx="200">
                  <c:v>-0.0392615081238096</c:v>
                </c:pt>
                <c:pt idx="201">
                  <c:v>-0.063266060317363</c:v>
                </c:pt>
                <c:pt idx="202">
                  <c:v>-0.0872706125109166</c:v>
                </c:pt>
                <c:pt idx="203">
                  <c:v>0.0125672327201733</c:v>
                </c:pt>
                <c:pt idx="204">
                  <c:v>0.0575220189184168</c:v>
                </c:pt>
                <c:pt idx="205">
                  <c:v>0.0784948906373628</c:v>
                </c:pt>
                <c:pt idx="206">
                  <c:v>0.120972283736484</c:v>
                </c:pt>
                <c:pt idx="207">
                  <c:v>0.158936112695079</c:v>
                </c:pt>
                <c:pt idx="208">
                  <c:v>0.17840446303385</c:v>
                </c:pt>
                <c:pt idx="209">
                  <c:v>0.0319058675661795</c:v>
                </c:pt>
                <c:pt idx="210">
                  <c:v>0.0465893048363224</c:v>
                </c:pt>
                <c:pt idx="211">
                  <c:v>0.0711822956122208</c:v>
                </c:pt>
                <c:pt idx="212">
                  <c:v>0.071001402623731</c:v>
                </c:pt>
                <c:pt idx="213">
                  <c:v>0.0955943933996293</c:v>
                </c:pt>
                <c:pt idx="214">
                  <c:v>0.189735151704303</c:v>
                </c:pt>
                <c:pt idx="215">
                  <c:v>-0.0296078843966976</c:v>
                </c:pt>
                <c:pt idx="216">
                  <c:v>-0.0136804338985179</c:v>
                </c:pt>
                <c:pt idx="217">
                  <c:v>-0.0103457284501562</c:v>
                </c:pt>
                <c:pt idx="218">
                  <c:v>-0.00182553290215862</c:v>
                </c:pt>
                <c:pt idx="219">
                  <c:v>0.00669466264583907</c:v>
                </c:pt>
                <c:pt idx="220">
                  <c:v>-0.00737788685598118</c:v>
                </c:pt>
                <c:pt idx="221">
                  <c:v>-0.00145043635780151</c:v>
                </c:pt>
                <c:pt idx="222">
                  <c:v>-0.0381157309094399</c:v>
                </c:pt>
                <c:pt idx="223">
                  <c:v>0.154986434559002</c:v>
                </c:pt>
                <c:pt idx="224">
                  <c:v>0.190849401161328</c:v>
                </c:pt>
                <c:pt idx="225">
                  <c:v>0.215141586275024</c:v>
                </c:pt>
                <c:pt idx="226">
                  <c:v>0.0313192170118291</c:v>
                </c:pt>
                <c:pt idx="227">
                  <c:v>0.0456696211031399</c:v>
                </c:pt>
                <c:pt idx="228">
                  <c:v>0.0498344263633967</c:v>
                </c:pt>
                <c:pt idx="229">
                  <c:v>0.0494632287012887</c:v>
                </c:pt>
                <c:pt idx="230">
                  <c:v>0.0289064322081266</c:v>
                </c:pt>
                <c:pt idx="231">
                  <c:v>0.0285352345460186</c:v>
                </c:pt>
                <c:pt idx="232">
                  <c:v>0.0366258002738538</c:v>
                </c:pt>
                <c:pt idx="233">
                  <c:v>-0.0252836339983109</c:v>
                </c:pt>
                <c:pt idx="234">
                  <c:v>0.0328282640606708</c:v>
                </c:pt>
                <c:pt idx="235">
                  <c:v>0.0230790310591528</c:v>
                </c:pt>
                <c:pt idx="236">
                  <c:v>0.048705948555358</c:v>
                </c:pt>
                <c:pt idx="237">
                  <c:v>0.0568955578011837</c:v>
                </c:pt>
                <c:pt idx="238">
                  <c:v>0.0825224752973888</c:v>
                </c:pt>
                <c:pt idx="239">
                  <c:v>0.105586701043973</c:v>
                </c:pt>
                <c:pt idx="240">
                  <c:v>0.113776310289799</c:v>
                </c:pt>
                <c:pt idx="241">
                  <c:v>-0.137056965908814</c:v>
                </c:pt>
                <c:pt idx="242">
                  <c:v>-0.130627215095178</c:v>
                </c:pt>
                <c:pt idx="243">
                  <c:v>-0.149765733860019</c:v>
                </c:pt>
                <c:pt idx="244">
                  <c:v>-0.145790598709164</c:v>
                </c:pt>
                <c:pt idx="245">
                  <c:v>-0.12842675172082</c:v>
                </c:pt>
                <c:pt idx="246">
                  <c:v>-0.119433462835078</c:v>
                </c:pt>
                <c:pt idx="247">
                  <c:v>-0.121721942985389</c:v>
                </c:pt>
                <c:pt idx="248">
                  <c:v>0.121832912882017</c:v>
                </c:pt>
                <c:pt idx="249">
                  <c:v>0.00542588929908133</c:v>
                </c:pt>
                <c:pt idx="250">
                  <c:v>0.123296565924131</c:v>
                </c:pt>
                <c:pt idx="251">
                  <c:v>0.105425889299081</c:v>
                </c:pt>
                <c:pt idx="252">
                  <c:v>0.123296565924131</c:v>
                </c:pt>
                <c:pt idx="253">
                  <c:v>0.105425889299081</c:v>
                </c:pt>
                <c:pt idx="254">
                  <c:v>0.124760218966245</c:v>
                </c:pt>
                <c:pt idx="255">
                  <c:v>0.0554258892990813</c:v>
                </c:pt>
                <c:pt idx="256">
                  <c:v>0.100260491829465</c:v>
                </c:pt>
                <c:pt idx="257">
                  <c:v>0.134636113843871</c:v>
                </c:pt>
                <c:pt idx="258">
                  <c:v>0.102541306863546</c:v>
                </c:pt>
                <c:pt idx="259">
                  <c:v>0.134636113843871</c:v>
                </c:pt>
                <c:pt idx="260">
                  <c:v>0.0577037733731467</c:v>
                </c:pt>
                <c:pt idx="261">
                  <c:v>0.0731583594470963</c:v>
                </c:pt>
                <c:pt idx="262">
                  <c:v>0.0526682024873646</c:v>
                </c:pt>
                <c:pt idx="263">
                  <c:v>0.0591652238297791</c:v>
                </c:pt>
                <c:pt idx="264">
                  <c:v>0.0746198099037286</c:v>
                </c:pt>
                <c:pt idx="265">
                  <c:v>-0.0074151993140166</c:v>
                </c:pt>
                <c:pt idx="266">
                  <c:v>0.0232659447414641</c:v>
                </c:pt>
                <c:pt idx="267">
                  <c:v>0.00498146243868197</c:v>
                </c:pt>
                <c:pt idx="268">
                  <c:v>0.0362388620592149</c:v>
                </c:pt>
                <c:pt idx="269">
                  <c:v>-0.00844957295575352</c:v>
                </c:pt>
                <c:pt idx="270">
                  <c:v>-0.0288028025420097</c:v>
                </c:pt>
                <c:pt idx="271">
                  <c:v>0.0218783415134711</c:v>
                </c:pt>
                <c:pt idx="272">
                  <c:v>0.110939199162914</c:v>
                </c:pt>
                <c:pt idx="273">
                  <c:v>0.120258873261634</c:v>
                </c:pt>
                <c:pt idx="274">
                  <c:v>0.140939199162914</c:v>
                </c:pt>
                <c:pt idx="275">
                  <c:v>0.130258873261634</c:v>
                </c:pt>
                <c:pt idx="276">
                  <c:v>0.00023976588773128</c:v>
                </c:pt>
                <c:pt idx="277">
                  <c:v>0.0313062139753402</c:v>
                </c:pt>
                <c:pt idx="278">
                  <c:v>0.051346000860759</c:v>
                </c:pt>
                <c:pt idx="279">
                  <c:v>0.0924124489483679</c:v>
                </c:pt>
                <c:pt idx="280">
                  <c:v>0.0814255746315965</c:v>
                </c:pt>
                <c:pt idx="281">
                  <c:v>0.0858543464720852</c:v>
                </c:pt>
                <c:pt idx="282">
                  <c:v>0.071346000860759</c:v>
                </c:pt>
                <c:pt idx="283">
                  <c:v>0.100359126543987</c:v>
                </c:pt>
                <c:pt idx="284">
                  <c:v>0.121425574631597</c:v>
                </c:pt>
                <c:pt idx="285">
                  <c:v>0.0958543464720852</c:v>
                </c:pt>
                <c:pt idx="286">
                  <c:v>-0.0208484376858197</c:v>
                </c:pt>
                <c:pt idx="287">
                  <c:v>-0.0382018924207936</c:v>
                </c:pt>
                <c:pt idx="288">
                  <c:v>-0.0460200788530913</c:v>
                </c:pt>
                <c:pt idx="289">
                  <c:v>0.0651406061286582</c:v>
                </c:pt>
                <c:pt idx="290">
                  <c:v>0.061157719842859</c:v>
                </c:pt>
                <c:pt idx="291">
                  <c:v>0.051002060217717</c:v>
                </c:pt>
                <c:pt idx="292">
                  <c:v>-0.0527397167312922</c:v>
                </c:pt>
                <c:pt idx="293">
                  <c:v>0.0239153542494923</c:v>
                </c:pt>
                <c:pt idx="294">
                  <c:v>0.0198149322444428</c:v>
                </c:pt>
                <c:pt idx="295">
                  <c:v>0.0281192666601076</c:v>
                </c:pt>
                <c:pt idx="296">
                  <c:v>-0.00509215628925491</c:v>
                </c:pt>
                <c:pt idx="297">
                  <c:v>0.0664754419619796</c:v>
                </c:pt>
                <c:pt idx="298">
                  <c:v>0.0546384050204468</c:v>
                </c:pt>
                <c:pt idx="299">
                  <c:v>0.0136189557598094</c:v>
                </c:pt>
                <c:pt idx="300">
                  <c:v>0.0192234049304001</c:v>
                </c:pt>
                <c:pt idx="301">
                  <c:v>0.0172128411267718</c:v>
                </c:pt>
                <c:pt idx="302">
                  <c:v>0.005295428200078</c:v>
                </c:pt>
                <c:pt idx="303">
                  <c:v>-0.0346369796245919</c:v>
                </c:pt>
                <c:pt idx="304">
                  <c:v>-0.0489861588574473</c:v>
                </c:pt>
                <c:pt idx="305">
                  <c:v>-0.0609472448331733</c:v>
                </c:pt>
                <c:pt idx="306">
                  <c:v>-0.0930688922376181</c:v>
                </c:pt>
                <c:pt idx="307">
                  <c:v>-0.0302589738731663</c:v>
                </c:pt>
                <c:pt idx="308">
                  <c:v>-0.0333177958355225</c:v>
                </c:pt>
                <c:pt idx="309">
                  <c:v>-0.0117231790828728</c:v>
                </c:pt>
                <c:pt idx="310">
                  <c:v>-0.00578076781144074</c:v>
                </c:pt>
                <c:pt idx="311">
                  <c:v>-0.0206575567969074</c:v>
                </c:pt>
                <c:pt idx="312">
                  <c:v>-0.0276109781408266</c:v>
                </c:pt>
                <c:pt idx="313">
                  <c:v>0.0257339215473218</c:v>
                </c:pt>
                <c:pt idx="314">
                  <c:v>0.00827682091712723</c:v>
                </c:pt>
                <c:pt idx="315">
                  <c:v>0.0342192321885593</c:v>
                </c:pt>
                <c:pt idx="316">
                  <c:v>0.0093424432030926</c:v>
                </c:pt>
                <c:pt idx="317">
                  <c:v>0.00238902185917333</c:v>
                </c:pt>
                <c:pt idx="318">
                  <c:v>0.0291507033874944</c:v>
                </c:pt>
                <c:pt idx="319">
                  <c:v>0.0345025338675113</c:v>
                </c:pt>
                <c:pt idx="320">
                  <c:v>0.0268002338109391</c:v>
                </c:pt>
                <c:pt idx="321">
                  <c:v>0.0359834324551171</c:v>
                </c:pt>
                <c:pt idx="322">
                  <c:v>0.042637671995831</c:v>
                </c:pt>
                <c:pt idx="323">
                  <c:v>0.061610567946351</c:v>
                </c:pt>
                <c:pt idx="324">
                  <c:v>0.0637340650538653</c:v>
                </c:pt>
                <c:pt idx="325">
                  <c:v>0.0334354009191397</c:v>
                </c:pt>
                <c:pt idx="326">
                  <c:v>0.00581756126252064</c:v>
                </c:pt>
                <c:pt idx="327">
                  <c:v>0.022123650238331</c:v>
                </c:pt>
                <c:pt idx="328">
                  <c:v>0.0307885170645126</c:v>
                </c:pt>
                <c:pt idx="329">
                  <c:v>0.00269199336892811</c:v>
                </c:pt>
                <c:pt idx="330">
                  <c:v>-0.0463626857726034</c:v>
                </c:pt>
                <c:pt idx="331">
                  <c:v>-0.0317316437786681</c:v>
                </c:pt>
                <c:pt idx="332">
                  <c:v>-0.0361859589468441</c:v>
                </c:pt>
                <c:pt idx="333">
                  <c:v>-0.0587650020765799</c:v>
                </c:pt>
                <c:pt idx="334">
                  <c:v>-0.0819757578206438</c:v>
                </c:pt>
                <c:pt idx="335">
                  <c:v>0.0238140410531559</c:v>
                </c:pt>
                <c:pt idx="336">
                  <c:v>0.0212349979234202</c:v>
                </c:pt>
                <c:pt idx="337">
                  <c:v>0.0180242421793562</c:v>
                </c:pt>
                <c:pt idx="338">
                  <c:v>-0.0234657810462068</c:v>
                </c:pt>
                <c:pt idx="339">
                  <c:v>-0.0812633960783642</c:v>
                </c:pt>
                <c:pt idx="340">
                  <c:v>-0.10561991467794</c:v>
                </c:pt>
              </c:numCache>
            </c:numRef>
          </c:yVal>
          <c:smooth val="0"/>
        </c:ser>
        <c:axId val="6338232"/>
        <c:axId val="73727217"/>
      </c:scatterChart>
      <c:valAx>
        <c:axId val="633823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pt-BR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pt-BR" sz="1000" spc="-1" strike="noStrike">
                    <a:solidFill>
                      <a:srgbClr val="595959"/>
                    </a:solidFill>
                    <a:latin typeface="Aptos Narrow"/>
                  </a:rPr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2923915866"/>
              <c:y val="0.873971909401493"/>
            </c:manualLayout>
          </c:layout>
          <c:overlay val="0"/>
          <c:spPr>
            <a:noFill/>
            <a:ln w="0">
              <a:noFill/>
            </a:ln>
          </c:spPr>
        </c:title>
        <c:numFmt formatCode="0.000000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3727217"/>
        <c:crosses val="autoZero"/>
        <c:crossBetween val="midCat"/>
        <c:majorUnit val="0.0008"/>
      </c:valAx>
      <c:valAx>
        <c:axId val="737272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pt-BR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pt-BR" sz="1000" spc="-1" strike="noStrike">
                    <a:solidFill>
                      <a:srgbClr val="595959"/>
                    </a:solidFill>
                    <a:latin typeface="Aptos Narrow"/>
                  </a:rPr>
                  <a:t>Resíduo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3382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'Sem TS MC2020'!$R$3:$R$343</c:f>
              <c:numCache>
                <c:formatCode>0.000000</c:formatCode>
                <c:ptCount val="341"/>
                <c:pt idx="0">
                  <c:v>0.00115905502469367</c:v>
                </c:pt>
                <c:pt idx="1">
                  <c:v>0.00152125971991044</c:v>
                </c:pt>
                <c:pt idx="2">
                  <c:v>0.00157141113924815</c:v>
                </c:pt>
                <c:pt idx="3">
                  <c:v>0.00181659585601027</c:v>
                </c:pt>
                <c:pt idx="4">
                  <c:v>0.00229582052968169</c:v>
                </c:pt>
                <c:pt idx="5">
                  <c:v>0.0025</c:v>
                </c:pt>
                <c:pt idx="6">
                  <c:v>0.00161459857818906</c:v>
                </c:pt>
                <c:pt idx="7">
                  <c:v>0.00183910466620392</c:v>
                </c:pt>
                <c:pt idx="8">
                  <c:v>0.0025</c:v>
                </c:pt>
                <c:pt idx="9">
                  <c:v>0.00142524016092358</c:v>
                </c:pt>
                <c:pt idx="10">
                  <c:v>0.00162499823072232</c:v>
                </c:pt>
                <c:pt idx="11">
                  <c:v>0.00183822313668727</c:v>
                </c:pt>
                <c:pt idx="12">
                  <c:v>0.00205369251534658</c:v>
                </c:pt>
                <c:pt idx="13">
                  <c:v>0.00219284982239739</c:v>
                </c:pt>
                <c:pt idx="14">
                  <c:v>0.00249136469074831</c:v>
                </c:pt>
                <c:pt idx="15">
                  <c:v>0.00251380941769199</c:v>
                </c:pt>
                <c:pt idx="16">
                  <c:v>0.00269336723324142</c:v>
                </c:pt>
                <c:pt idx="17">
                  <c:v>0.00314</c:v>
                </c:pt>
                <c:pt idx="18">
                  <c:v>0.00314</c:v>
                </c:pt>
                <c:pt idx="19">
                  <c:v>0.00160735938221297</c:v>
                </c:pt>
                <c:pt idx="20">
                  <c:v>0.00178595486912552</c:v>
                </c:pt>
                <c:pt idx="21">
                  <c:v>0.00185292817671773</c:v>
                </c:pt>
                <c:pt idx="22">
                  <c:v>0.00196455035603807</c:v>
                </c:pt>
                <c:pt idx="23">
                  <c:v>0.00212082140708655</c:v>
                </c:pt>
                <c:pt idx="24">
                  <c:v>0.00245568794504759</c:v>
                </c:pt>
                <c:pt idx="25">
                  <c:v>0.000700209827987956</c:v>
                </c:pt>
                <c:pt idx="26">
                  <c:v>0.00100799436776288</c:v>
                </c:pt>
                <c:pt idx="27">
                  <c:v>0.00121959623885814</c:v>
                </c:pt>
                <c:pt idx="28">
                  <c:v>0.00156970115285212</c:v>
                </c:pt>
                <c:pt idx="29">
                  <c:v>0.00208139295022793</c:v>
                </c:pt>
                <c:pt idx="30">
                  <c:v>0.00150216478124621</c:v>
                </c:pt>
                <c:pt idx="31">
                  <c:v>0.00193135471874512</c:v>
                </c:pt>
                <c:pt idx="32">
                  <c:v>0.0025</c:v>
                </c:pt>
                <c:pt idx="33">
                  <c:v>0.0025</c:v>
                </c:pt>
                <c:pt idx="34">
                  <c:v>0.0025</c:v>
                </c:pt>
                <c:pt idx="35">
                  <c:v>0.000532563276129973</c:v>
                </c:pt>
                <c:pt idx="36">
                  <c:v>0.000958613897033951</c:v>
                </c:pt>
                <c:pt idx="37">
                  <c:v>0.00138466451793793</c:v>
                </c:pt>
                <c:pt idx="38">
                  <c:v>0.00181071513884191</c:v>
                </c:pt>
                <c:pt idx="39">
                  <c:v>0.00213025310451989</c:v>
                </c:pt>
                <c:pt idx="40">
                  <c:v>0.0025</c:v>
                </c:pt>
                <c:pt idx="41">
                  <c:v>0.00106235563563045</c:v>
                </c:pt>
                <c:pt idx="42">
                  <c:v>0.00127482676275654</c:v>
                </c:pt>
                <c:pt idx="43">
                  <c:v>0.00148729788988263</c:v>
                </c:pt>
                <c:pt idx="44">
                  <c:v>0.00191224014413481</c:v>
                </c:pt>
                <c:pt idx="45">
                  <c:v>0.0025</c:v>
                </c:pt>
                <c:pt idx="46">
                  <c:v>0.00106235563563045</c:v>
                </c:pt>
                <c:pt idx="47">
                  <c:v>0.00148729788988263</c:v>
                </c:pt>
                <c:pt idx="48">
                  <c:v>0.00191224014413481</c:v>
                </c:pt>
                <c:pt idx="49">
                  <c:v>0.0025</c:v>
                </c:pt>
                <c:pt idx="50">
                  <c:v>0.00122597385242733</c:v>
                </c:pt>
                <c:pt idx="51">
                  <c:v>0.0014711686229128</c:v>
                </c:pt>
                <c:pt idx="52">
                  <c:v>0.000969729074552072</c:v>
                </c:pt>
                <c:pt idx="53">
                  <c:v>0.00121216134319009</c:v>
                </c:pt>
                <c:pt idx="54">
                  <c:v>0.00145459361182811</c:v>
                </c:pt>
                <c:pt idx="55">
                  <c:v>0.000969729074552072</c:v>
                </c:pt>
                <c:pt idx="56">
                  <c:v>0.00121216134319009</c:v>
                </c:pt>
                <c:pt idx="57">
                  <c:v>0.00145459361182811</c:v>
                </c:pt>
                <c:pt idx="58">
                  <c:v>0.00105418774634295</c:v>
                </c:pt>
                <c:pt idx="59">
                  <c:v>0.00158128161951442</c:v>
                </c:pt>
                <c:pt idx="60">
                  <c:v>0.00210837549268589</c:v>
                </c:pt>
                <c:pt idx="61">
                  <c:v>0.0025</c:v>
                </c:pt>
                <c:pt idx="62">
                  <c:v>0.00105418774634295</c:v>
                </c:pt>
                <c:pt idx="63">
                  <c:v>0.00158128161951442</c:v>
                </c:pt>
                <c:pt idx="64">
                  <c:v>0.00210837549268589</c:v>
                </c:pt>
                <c:pt idx="65">
                  <c:v>0.0025</c:v>
                </c:pt>
                <c:pt idx="66">
                  <c:v>0.000611703829148615</c:v>
                </c:pt>
                <c:pt idx="67">
                  <c:v>0.00122340765829723</c:v>
                </c:pt>
                <c:pt idx="68">
                  <c:v>0.0006045335685648</c:v>
                </c:pt>
                <c:pt idx="69">
                  <c:v>0.0012090671371296</c:v>
                </c:pt>
                <c:pt idx="70">
                  <c:v>0.0006045335685648</c:v>
                </c:pt>
                <c:pt idx="71">
                  <c:v>0.0012090671371296</c:v>
                </c:pt>
                <c:pt idx="72">
                  <c:v>0.0014773531582663</c:v>
                </c:pt>
                <c:pt idx="73">
                  <c:v>0.00171933341694785</c:v>
                </c:pt>
                <c:pt idx="74">
                  <c:v>0.00151628012615649</c:v>
                </c:pt>
                <c:pt idx="75">
                  <c:v>0.00173905113995199</c:v>
                </c:pt>
                <c:pt idx="76">
                  <c:v>0.0020552422563069</c:v>
                </c:pt>
                <c:pt idx="77">
                  <c:v>0.00144867461457827</c:v>
                </c:pt>
                <c:pt idx="78">
                  <c:v>0.00189990113387314</c:v>
                </c:pt>
                <c:pt idx="79">
                  <c:v>0.000926369822350829</c:v>
                </c:pt>
                <c:pt idx="80">
                  <c:v>0.00105883798499845</c:v>
                </c:pt>
                <c:pt idx="81">
                  <c:v>0.00119130614764607</c:v>
                </c:pt>
                <c:pt idx="82">
                  <c:v>0.00132354748124806</c:v>
                </c:pt>
                <c:pt idx="83">
                  <c:v>0.00145578881485005</c:v>
                </c:pt>
                <c:pt idx="84">
                  <c:v>0.00158825697749767</c:v>
                </c:pt>
                <c:pt idx="85">
                  <c:v>0.0017207251401453</c:v>
                </c:pt>
                <c:pt idx="86">
                  <c:v>0.00185273964470166</c:v>
                </c:pt>
                <c:pt idx="87">
                  <c:v>0.00105883798499845</c:v>
                </c:pt>
                <c:pt idx="88">
                  <c:v>0.00119130614764607</c:v>
                </c:pt>
                <c:pt idx="89">
                  <c:v>0.00132354748124806</c:v>
                </c:pt>
                <c:pt idx="90">
                  <c:v>0.00145578881485005</c:v>
                </c:pt>
                <c:pt idx="91">
                  <c:v>0.00158825697749767</c:v>
                </c:pt>
                <c:pt idx="92">
                  <c:v>0.0017207251401453</c:v>
                </c:pt>
                <c:pt idx="93">
                  <c:v>0.00185273964470166</c:v>
                </c:pt>
                <c:pt idx="94">
                  <c:v>0.00105883798499845</c:v>
                </c:pt>
                <c:pt idx="95">
                  <c:v>0.00119130614764607</c:v>
                </c:pt>
                <c:pt idx="96">
                  <c:v>0.00132354748124806</c:v>
                </c:pt>
                <c:pt idx="97">
                  <c:v>0.00145578881485005</c:v>
                </c:pt>
                <c:pt idx="98">
                  <c:v>0.00158825697749767</c:v>
                </c:pt>
                <c:pt idx="99">
                  <c:v>0.0017207251401453</c:v>
                </c:pt>
                <c:pt idx="100">
                  <c:v>0.00185273964470166</c:v>
                </c:pt>
                <c:pt idx="101">
                  <c:v>0.000926369822350829</c:v>
                </c:pt>
                <c:pt idx="102">
                  <c:v>0.00105883798499845</c:v>
                </c:pt>
                <c:pt idx="103">
                  <c:v>0.00119130614764607</c:v>
                </c:pt>
                <c:pt idx="104">
                  <c:v>0.00132354748124806</c:v>
                </c:pt>
                <c:pt idx="105">
                  <c:v>0.00145578881485005</c:v>
                </c:pt>
                <c:pt idx="106">
                  <c:v>0.00158825697749767</c:v>
                </c:pt>
                <c:pt idx="107">
                  <c:v>0.0017207251401453</c:v>
                </c:pt>
                <c:pt idx="108">
                  <c:v>0.00185273964470166</c:v>
                </c:pt>
                <c:pt idx="109">
                  <c:v>0.00116652346032186</c:v>
                </c:pt>
                <c:pt idx="110">
                  <c:v>0.001256019460046</c:v>
                </c:pt>
                <c:pt idx="111">
                  <c:v>0.00134582300616095</c:v>
                </c:pt>
                <c:pt idx="112">
                  <c:v>0.00143562655227589</c:v>
                </c:pt>
                <c:pt idx="113">
                  <c:v>0.00152543009839084</c:v>
                </c:pt>
                <c:pt idx="114">
                  <c:v>0.001256019460046</c:v>
                </c:pt>
                <c:pt idx="115">
                  <c:v>0.00134582300616095</c:v>
                </c:pt>
                <c:pt idx="116">
                  <c:v>0.00143562655227589</c:v>
                </c:pt>
                <c:pt idx="117">
                  <c:v>0.00152543009839084</c:v>
                </c:pt>
                <c:pt idx="118">
                  <c:v>0.000881430867601341</c:v>
                </c:pt>
                <c:pt idx="119">
                  <c:v>0.00121173151391876</c:v>
                </c:pt>
                <c:pt idx="120">
                  <c:v>0.00154203216023618</c:v>
                </c:pt>
                <c:pt idx="121">
                  <c:v>0.00121173151391876</c:v>
                </c:pt>
                <c:pt idx="122">
                  <c:v>0.00154203216023618</c:v>
                </c:pt>
                <c:pt idx="123">
                  <c:v>0.00104389869644652</c:v>
                </c:pt>
                <c:pt idx="124">
                  <c:v>0.00126750000841487</c:v>
                </c:pt>
                <c:pt idx="125">
                  <c:v>0.00149110132038322</c:v>
                </c:pt>
                <c:pt idx="126">
                  <c:v>0.00104389869644652</c:v>
                </c:pt>
                <c:pt idx="127">
                  <c:v>0.00126750000841487</c:v>
                </c:pt>
                <c:pt idx="128">
                  <c:v>0.00149110132038322</c:v>
                </c:pt>
                <c:pt idx="129">
                  <c:v>0.0011322765133288</c:v>
                </c:pt>
                <c:pt idx="130">
                  <c:v>0.00130206947805248</c:v>
                </c:pt>
                <c:pt idx="131">
                  <c:v>0.00147186244277617</c:v>
                </c:pt>
                <c:pt idx="132">
                  <c:v>0.0011322765133288</c:v>
                </c:pt>
                <c:pt idx="133">
                  <c:v>0.00130206947805248</c:v>
                </c:pt>
                <c:pt idx="134">
                  <c:v>0.00147186244277617</c:v>
                </c:pt>
                <c:pt idx="135">
                  <c:v>0.00137071816106366</c:v>
                </c:pt>
                <c:pt idx="136">
                  <c:v>0.00147101461187319</c:v>
                </c:pt>
                <c:pt idx="137">
                  <c:v>0.00158468392279067</c:v>
                </c:pt>
                <c:pt idx="138">
                  <c:v>0.0016849803736002</c:v>
                </c:pt>
                <c:pt idx="139">
                  <c:v>0.00179864968451768</c:v>
                </c:pt>
                <c:pt idx="140">
                  <c:v>0.00189894613532721</c:v>
                </c:pt>
                <c:pt idx="141">
                  <c:v>0.00201930187629866</c:v>
                </c:pt>
                <c:pt idx="142">
                  <c:v>0.00125704885014618</c:v>
                </c:pt>
                <c:pt idx="143">
                  <c:v>0.00137071816106366</c:v>
                </c:pt>
                <c:pt idx="144">
                  <c:v>0.00147770104192716</c:v>
                </c:pt>
                <c:pt idx="145">
                  <c:v>0.00157465427770971</c:v>
                </c:pt>
                <c:pt idx="146">
                  <c:v>0.0016849803736002</c:v>
                </c:pt>
                <c:pt idx="147">
                  <c:v>0.00179530646949069</c:v>
                </c:pt>
                <c:pt idx="148">
                  <c:v>0.00188891649024626</c:v>
                </c:pt>
                <c:pt idx="149">
                  <c:v>0.00197918329597484</c:v>
                </c:pt>
                <c:pt idx="150">
                  <c:v>0.0010066634269548</c:v>
                </c:pt>
                <c:pt idx="151">
                  <c:v>0.00117640739525105</c:v>
                </c:pt>
                <c:pt idx="152">
                  <c:v>0.00134070503301374</c:v>
                </c:pt>
                <c:pt idx="153">
                  <c:v>0.00150409494902083</c:v>
                </c:pt>
                <c:pt idx="154">
                  <c:v>0.00166566942151673</c:v>
                </c:pt>
                <c:pt idx="155">
                  <c:v>0.00183178250279061</c:v>
                </c:pt>
                <c:pt idx="156">
                  <c:v>0.000848719841481277</c:v>
                </c:pt>
                <c:pt idx="157">
                  <c:v>0.00100938659222158</c:v>
                </c:pt>
                <c:pt idx="158">
                  <c:v>0.00117368422998427</c:v>
                </c:pt>
                <c:pt idx="159">
                  <c:v>0.00133616642423577</c:v>
                </c:pt>
                <c:pt idx="160">
                  <c:v>0.00150500267077643</c:v>
                </c:pt>
                <c:pt idx="161">
                  <c:v>0.00166566942151673</c:v>
                </c:pt>
                <c:pt idx="162">
                  <c:v>0.0017437334924979</c:v>
                </c:pt>
                <c:pt idx="163">
                  <c:v>0.00155154926787369</c:v>
                </c:pt>
                <c:pt idx="164">
                  <c:v>0.00165143441387414</c:v>
                </c:pt>
                <c:pt idx="165">
                  <c:v>0.00167141144307423</c:v>
                </c:pt>
                <c:pt idx="166">
                  <c:v>0.00175575889969684</c:v>
                </c:pt>
                <c:pt idx="167">
                  <c:v>0.00181347031738599</c:v>
                </c:pt>
                <c:pt idx="168">
                  <c:v>0.0018778407448085</c:v>
                </c:pt>
                <c:pt idx="169">
                  <c:v>0.00193555216249765</c:v>
                </c:pt>
                <c:pt idx="170">
                  <c:v>0.00200436192974241</c:v>
                </c:pt>
                <c:pt idx="171">
                  <c:v>0.00154489025814033</c:v>
                </c:pt>
                <c:pt idx="172">
                  <c:v>0.00161148035547396</c:v>
                </c:pt>
                <c:pt idx="173">
                  <c:v>0.00167363111298536</c:v>
                </c:pt>
                <c:pt idx="174">
                  <c:v>0.00173800154040787</c:v>
                </c:pt>
                <c:pt idx="175">
                  <c:v>0.00180681130765263</c:v>
                </c:pt>
                <c:pt idx="176">
                  <c:v>0.0018778407448085</c:v>
                </c:pt>
                <c:pt idx="177">
                  <c:v>0.00194221117223102</c:v>
                </c:pt>
                <c:pt idx="178">
                  <c:v>0.00199992258992017</c:v>
                </c:pt>
                <c:pt idx="179">
                  <c:v>0.00161813936520733</c:v>
                </c:pt>
                <c:pt idx="180">
                  <c:v>0.00168250979262984</c:v>
                </c:pt>
                <c:pt idx="181">
                  <c:v>0.00177351625898581</c:v>
                </c:pt>
                <c:pt idx="182">
                  <c:v>0.00182678833685272</c:v>
                </c:pt>
                <c:pt idx="183">
                  <c:v>0.0018778407448085</c:v>
                </c:pt>
                <c:pt idx="184">
                  <c:v>0.00193333249258653</c:v>
                </c:pt>
                <c:pt idx="185">
                  <c:v>0.00200658159965353</c:v>
                </c:pt>
                <c:pt idx="186">
                  <c:v>0.00112468244711666</c:v>
                </c:pt>
                <c:pt idx="187">
                  <c:v>0.00129948820154206</c:v>
                </c:pt>
                <c:pt idx="188">
                  <c:v>0.00147370139408806</c:v>
                </c:pt>
                <c:pt idx="189">
                  <c:v>0.00112468244711666</c:v>
                </c:pt>
                <c:pt idx="190">
                  <c:v>0.00129711795402443</c:v>
                </c:pt>
                <c:pt idx="191">
                  <c:v>0.00147073858469102</c:v>
                </c:pt>
                <c:pt idx="192">
                  <c:v>0.000771515566989405</c:v>
                </c:pt>
                <c:pt idx="193">
                  <c:v>0.000951654378329481</c:v>
                </c:pt>
                <c:pt idx="194">
                  <c:v>0.00112171963771962</c:v>
                </c:pt>
                <c:pt idx="195">
                  <c:v>0.00129237745898916</c:v>
                </c:pt>
                <c:pt idx="196">
                  <c:v>0.00153355014390828</c:v>
                </c:pt>
                <c:pt idx="197">
                  <c:v>0.000899440201314778</c:v>
                </c:pt>
                <c:pt idx="198">
                  <c:v>0.00112648335892822</c:v>
                </c:pt>
                <c:pt idx="199">
                  <c:v>0.00135352651654166</c:v>
                </c:pt>
                <c:pt idx="200">
                  <c:v>0.000884197868667605</c:v>
                </c:pt>
                <c:pt idx="201">
                  <c:v>0.00110376378236359</c:v>
                </c:pt>
                <c:pt idx="202">
                  <c:v>0.00132332969605957</c:v>
                </c:pt>
                <c:pt idx="203">
                  <c:v>0.00117361172711607</c:v>
                </c:pt>
                <c:pt idx="204">
                  <c:v>0.00157830542612161</c:v>
                </c:pt>
                <c:pt idx="205">
                  <c:v>0.00182112164552494</c:v>
                </c:pt>
                <c:pt idx="206">
                  <c:v>0.00202346849502771</c:v>
                </c:pt>
                <c:pt idx="207">
                  <c:v>0.00234722345423214</c:v>
                </c:pt>
                <c:pt idx="208">
                  <c:v>0.00263050904353602</c:v>
                </c:pt>
                <c:pt idx="209">
                  <c:v>0.00135435066655363</c:v>
                </c:pt>
                <c:pt idx="210">
                  <c:v>0.00154024193451197</c:v>
                </c:pt>
                <c:pt idx="211">
                  <c:v>0.00177924499331555</c:v>
                </c:pt>
                <c:pt idx="212">
                  <c:v>0.00188546857500603</c:v>
                </c:pt>
                <c:pt idx="213">
                  <c:v>0.00212447163380962</c:v>
                </c:pt>
                <c:pt idx="214">
                  <c:v>0.0026290336468394</c:v>
                </c:pt>
                <c:pt idx="215">
                  <c:v>0.00123460956472699</c:v>
                </c:pt>
                <c:pt idx="216">
                  <c:v>0.0014161697948339</c:v>
                </c:pt>
                <c:pt idx="217">
                  <c:v>0.00157957400193012</c:v>
                </c:pt>
                <c:pt idx="218">
                  <c:v>0.00177929025504772</c:v>
                </c:pt>
                <c:pt idx="219">
                  <c:v>0.00197900650816532</c:v>
                </c:pt>
                <c:pt idx="220">
                  <c:v>0.00216056673827224</c:v>
                </c:pt>
                <c:pt idx="221">
                  <c:v>0.00234212696837915</c:v>
                </c:pt>
                <c:pt idx="222">
                  <c:v>0.00250553117547537</c:v>
                </c:pt>
                <c:pt idx="223">
                  <c:v>0.00185373642024366</c:v>
                </c:pt>
                <c:pt idx="224">
                  <c:v>0.00221642398072612</c:v>
                </c:pt>
                <c:pt idx="225">
                  <c:v>0.00261941015903996</c:v>
                </c:pt>
                <c:pt idx="226">
                  <c:v>0.00132140047154737</c:v>
                </c:pt>
                <c:pt idx="227">
                  <c:v>0.001506396537564</c:v>
                </c:pt>
                <c:pt idx="228">
                  <c:v>0.00174424862244253</c:v>
                </c:pt>
                <c:pt idx="229">
                  <c:v>0.00184996066016631</c:v>
                </c:pt>
                <c:pt idx="230">
                  <c:v>0.002008528716752</c:v>
                </c:pt>
                <c:pt idx="231">
                  <c:v>0.00211424075447579</c:v>
                </c:pt>
                <c:pt idx="232">
                  <c:v>0.00237323524689907</c:v>
                </c:pt>
                <c:pt idx="233">
                  <c:v>0.00263222973932236</c:v>
                </c:pt>
                <c:pt idx="234">
                  <c:v>0.00151701284157095</c:v>
                </c:pt>
                <c:pt idx="235">
                  <c:v>0.00158925154831243</c:v>
                </c:pt>
                <c:pt idx="236">
                  <c:v>0.00176984831516611</c:v>
                </c:pt>
                <c:pt idx="237">
                  <c:v>0.00196850475870517</c:v>
                </c:pt>
                <c:pt idx="238">
                  <c:v>0.00214910152555885</c:v>
                </c:pt>
                <c:pt idx="239">
                  <c:v>0.00231163861572717</c:v>
                </c:pt>
                <c:pt idx="240">
                  <c:v>0.00251029505926622</c:v>
                </c:pt>
                <c:pt idx="241">
                  <c:v>0.000755859849887294</c:v>
                </c:pt>
                <c:pt idx="242">
                  <c:v>0.00100853299970676</c:v>
                </c:pt>
                <c:pt idx="243">
                  <c:v>0.0011532261709709</c:v>
                </c:pt>
                <c:pt idx="244">
                  <c:v>0.0013195153379461</c:v>
                </c:pt>
                <c:pt idx="245">
                  <c:v>0.00157866728647889</c:v>
                </c:pt>
                <c:pt idx="246">
                  <c:v>0.00171040286031639</c:v>
                </c:pt>
                <c:pt idx="247">
                  <c:v>0.00190260722214487</c:v>
                </c:pt>
                <c:pt idx="248">
                  <c:v>0.00180834787254514</c:v>
                </c:pt>
                <c:pt idx="249">
                  <c:v>0.0019615</c:v>
                </c:pt>
                <c:pt idx="250">
                  <c:v>0.00181502074292354</c:v>
                </c:pt>
                <c:pt idx="251">
                  <c:v>0.0019615</c:v>
                </c:pt>
                <c:pt idx="252">
                  <c:v>0.00181502074292354</c:v>
                </c:pt>
                <c:pt idx="253">
                  <c:v>0.0019615</c:v>
                </c:pt>
                <c:pt idx="254">
                  <c:v>0.00182169361330193</c:v>
                </c:pt>
                <c:pt idx="255">
                  <c:v>0.0019615</c:v>
                </c:pt>
                <c:pt idx="256">
                  <c:v>0.00158551348970394</c:v>
                </c:pt>
                <c:pt idx="257">
                  <c:v>0.0019615</c:v>
                </c:pt>
                <c:pt idx="258">
                  <c:v>0.00159567703771486</c:v>
                </c:pt>
                <c:pt idx="259">
                  <c:v>0.0019615</c:v>
                </c:pt>
                <c:pt idx="260">
                  <c:v>0.00130014511123404</c:v>
                </c:pt>
                <c:pt idx="261">
                  <c:v>0.0018268705665545</c:v>
                </c:pt>
                <c:pt idx="262">
                  <c:v>0.0019615</c:v>
                </c:pt>
                <c:pt idx="263">
                  <c:v>0.00130681252206088</c:v>
                </c:pt>
                <c:pt idx="264">
                  <c:v>0.00183353797738134</c:v>
                </c:pt>
                <c:pt idx="265">
                  <c:v>0.000935128695206929</c:v>
                </c:pt>
                <c:pt idx="266">
                  <c:v>0.00130538269635485</c:v>
                </c:pt>
                <c:pt idx="267">
                  <c:v>0.00168038354367133</c:v>
                </c:pt>
                <c:pt idx="268">
                  <c:v>0.0019615</c:v>
                </c:pt>
                <c:pt idx="269">
                  <c:v>0.000930381849038365</c:v>
                </c:pt>
                <c:pt idx="270">
                  <c:v>0.00129588900401772</c:v>
                </c:pt>
                <c:pt idx="271">
                  <c:v>0.00166614300516564</c:v>
                </c:pt>
                <c:pt idx="272">
                  <c:v>0.00182736345758125</c:v>
                </c:pt>
                <c:pt idx="273">
                  <c:v>0.0019615</c:v>
                </c:pt>
                <c:pt idx="274">
                  <c:v>0.00182736345758125</c:v>
                </c:pt>
                <c:pt idx="275">
                  <c:v>0.0019615</c:v>
                </c:pt>
                <c:pt idx="276">
                  <c:v>0.00110655065900749</c:v>
                </c:pt>
                <c:pt idx="277">
                  <c:v>0.00129570461781219</c:v>
                </c:pt>
                <c:pt idx="278">
                  <c:v>0.00148012972764677</c:v>
                </c:pt>
                <c:pt idx="279">
                  <c:v>0.00166928368645147</c:v>
                </c:pt>
                <c:pt idx="280">
                  <c:v>0.00184897994731593</c:v>
                </c:pt>
                <c:pt idx="281">
                  <c:v>0.0019615</c:v>
                </c:pt>
                <c:pt idx="282">
                  <c:v>0.00148012972764677</c:v>
                </c:pt>
                <c:pt idx="283">
                  <c:v>0.00165982598851124</c:v>
                </c:pt>
                <c:pt idx="284">
                  <c:v>0.00184897994731593</c:v>
                </c:pt>
                <c:pt idx="285">
                  <c:v>0.0019615</c:v>
                </c:pt>
                <c:pt idx="286">
                  <c:v>0.00101511246568692</c:v>
                </c:pt>
                <c:pt idx="287">
                  <c:v>0.00122250103394554</c:v>
                </c:pt>
                <c:pt idx="288">
                  <c:v>0.001379</c:v>
                </c:pt>
                <c:pt idx="289">
                  <c:v>0.001379</c:v>
                </c:pt>
                <c:pt idx="290">
                  <c:v>0.00124872942173031</c:v>
                </c:pt>
                <c:pt idx="291">
                  <c:v>0.001379</c:v>
                </c:pt>
                <c:pt idx="292">
                  <c:v>0.00135644718780187</c:v>
                </c:pt>
                <c:pt idx="293">
                  <c:v>0.000975567629900153</c:v>
                </c:pt>
                <c:pt idx="294">
                  <c:v>0.00113473518231946</c:v>
                </c:pt>
                <c:pt idx="295">
                  <c:v>0.00130456467604915</c:v>
                </c:pt>
                <c:pt idx="296">
                  <c:v>0.001379</c:v>
                </c:pt>
                <c:pt idx="297">
                  <c:v>0.00129816075883082</c:v>
                </c:pt>
                <c:pt idx="298">
                  <c:v>0.001379</c:v>
                </c:pt>
                <c:pt idx="299">
                  <c:v>0.00097105963453005</c:v>
                </c:pt>
                <c:pt idx="300">
                  <c:v>0.00112949169043698</c:v>
                </c:pt>
                <c:pt idx="301">
                  <c:v>0.00129853641994534</c:v>
                </c:pt>
                <c:pt idx="302">
                  <c:v>0.001379</c:v>
                </c:pt>
                <c:pt idx="303">
                  <c:v>0.000971772980162513</c:v>
                </c:pt>
                <c:pt idx="304">
                  <c:v>0.00113032142111018</c:v>
                </c:pt>
                <c:pt idx="305">
                  <c:v>0.00129949033178641</c:v>
                </c:pt>
                <c:pt idx="306">
                  <c:v>0.001379</c:v>
                </c:pt>
                <c:pt idx="307">
                  <c:v>0.00117057909144943</c:v>
                </c:pt>
                <c:pt idx="308">
                  <c:v>0.00137423642375703</c:v>
                </c:pt>
                <c:pt idx="309">
                  <c:v>0.000897478001613021</c:v>
                </c:pt>
                <c:pt idx="310">
                  <c:v>0.00106371271325744</c:v>
                </c:pt>
                <c:pt idx="311">
                  <c:v>0.00122615859956523</c:v>
                </c:pt>
                <c:pt idx="312">
                  <c:v>0.001379</c:v>
                </c:pt>
                <c:pt idx="313">
                  <c:v>0.00106473745794132</c:v>
                </c:pt>
                <c:pt idx="314">
                  <c:v>0.000897478001613021</c:v>
                </c:pt>
                <c:pt idx="315">
                  <c:v>0.00106371271325744</c:v>
                </c:pt>
                <c:pt idx="316">
                  <c:v>0.00122615859956523</c:v>
                </c:pt>
                <c:pt idx="317">
                  <c:v>0.001379</c:v>
                </c:pt>
                <c:pt idx="318">
                  <c:v>0.00106714057072437</c:v>
                </c:pt>
                <c:pt idx="319">
                  <c:v>0.00123010994550551</c:v>
                </c:pt>
                <c:pt idx="320">
                  <c:v>0.001379</c:v>
                </c:pt>
                <c:pt idx="321">
                  <c:v>0.00085401649577341</c:v>
                </c:pt>
                <c:pt idx="322">
                  <c:v>0.00105121000423954</c:v>
                </c:pt>
                <c:pt idx="323">
                  <c:v>0.00122567861024304</c:v>
                </c:pt>
                <c:pt idx="324">
                  <c:v>0.00135029904310268</c:v>
                </c:pt>
                <c:pt idx="325">
                  <c:v>0.001379</c:v>
                </c:pt>
                <c:pt idx="326">
                  <c:v>0.000851638642096009</c:v>
                </c:pt>
                <c:pt idx="327">
                  <c:v>0.00104828310108642</c:v>
                </c:pt>
                <c:pt idx="328">
                  <c:v>0.00122226593097384</c:v>
                </c:pt>
                <c:pt idx="329">
                  <c:v>0.00134653938089343</c:v>
                </c:pt>
                <c:pt idx="330">
                  <c:v>0.001379</c:v>
                </c:pt>
                <c:pt idx="331">
                  <c:v>0.000916151527387567</c:v>
                </c:pt>
                <c:pt idx="332">
                  <c:v>0.0010994516614876</c:v>
                </c:pt>
                <c:pt idx="333">
                  <c:v>0.00124085462207905</c:v>
                </c:pt>
                <c:pt idx="334">
                  <c:v>0.001379</c:v>
                </c:pt>
                <c:pt idx="335">
                  <c:v>0.0010994516614876</c:v>
                </c:pt>
                <c:pt idx="336">
                  <c:v>0.00124085462207905</c:v>
                </c:pt>
                <c:pt idx="337">
                  <c:v>0.001379</c:v>
                </c:pt>
                <c:pt idx="338">
                  <c:v>0.000920432403567281</c:v>
                </c:pt>
                <c:pt idx="339">
                  <c:v>0.000718964384934785</c:v>
                </c:pt>
                <c:pt idx="340">
                  <c:v>0.000918214951472588</c:v>
                </c:pt>
              </c:numCache>
            </c:numRef>
          </c:xVal>
          <c:yVal>
            <c:numRef>
              <c:f>'Com TS variável MC2020'!$AR$11:$AR$351</c:f>
              <c:numCache>
                <c:formatCode>0.00</c:formatCode>
                <c:ptCount val="341"/>
                <c:pt idx="0">
                  <c:v>0.037309262613594</c:v>
                </c:pt>
                <c:pt idx="1">
                  <c:v>0.0742025267931178</c:v>
                </c:pt>
                <c:pt idx="2">
                  <c:v>0.0784862082674819</c:v>
                </c:pt>
                <c:pt idx="3">
                  <c:v>0.11687098192123</c:v>
                </c:pt>
                <c:pt idx="4">
                  <c:v>0.164902948058779</c:v>
                </c:pt>
                <c:pt idx="5">
                  <c:v>0.167643688313119</c:v>
                </c:pt>
                <c:pt idx="6">
                  <c:v>0.000141138955641551</c:v>
                </c:pt>
                <c:pt idx="7">
                  <c:v>0.0209293848451462</c:v>
                </c:pt>
                <c:pt idx="8">
                  <c:v>0.0546564899374533</c:v>
                </c:pt>
                <c:pt idx="9">
                  <c:v>-0.0184810151104173</c:v>
                </c:pt>
                <c:pt idx="10">
                  <c:v>-0.0295949145534179</c:v>
                </c:pt>
                <c:pt idx="11">
                  <c:v>0.000372787895428328</c:v>
                </c:pt>
                <c:pt idx="12">
                  <c:v>-0.010103448743911</c:v>
                </c:pt>
                <c:pt idx="13">
                  <c:v>-0.0513873443861785</c:v>
                </c:pt>
                <c:pt idx="14">
                  <c:v>-0.0320426197254626</c:v>
                </c:pt>
                <c:pt idx="15">
                  <c:v>-0.0891247110331845</c:v>
                </c:pt>
                <c:pt idx="16">
                  <c:v>-0.105966061058113</c:v>
                </c:pt>
                <c:pt idx="17">
                  <c:v>-0.0696374167090894</c:v>
                </c:pt>
                <c:pt idx="18">
                  <c:v>-0.129637416709089</c:v>
                </c:pt>
                <c:pt idx="19">
                  <c:v>-0.0780828649186895</c:v>
                </c:pt>
                <c:pt idx="20">
                  <c:v>-0.112791999653288</c:v>
                </c:pt>
                <c:pt idx="21">
                  <c:v>-0.103456153694652</c:v>
                </c:pt>
                <c:pt idx="22">
                  <c:v>-0.0880592496631673</c:v>
                </c:pt>
                <c:pt idx="23">
                  <c:v>-0.146817886559314</c:v>
                </c:pt>
                <c:pt idx="24">
                  <c:v>-0.162376720436536</c:v>
                </c:pt>
                <c:pt idx="25">
                  <c:v>-0.0989181477842865</c:v>
                </c:pt>
                <c:pt idx="26">
                  <c:v>-0.0600439126191366</c:v>
                </c:pt>
                <c:pt idx="27">
                  <c:v>-0.0820139882104915</c:v>
                </c:pt>
                <c:pt idx="28">
                  <c:v>-0.20206394663039</c:v>
                </c:pt>
                <c:pt idx="29">
                  <c:v>-0.27916768376372</c:v>
                </c:pt>
                <c:pt idx="30">
                  <c:v>-0.136746645704725</c:v>
                </c:pt>
                <c:pt idx="31">
                  <c:v>-0.113338371503256</c:v>
                </c:pt>
                <c:pt idx="32">
                  <c:v>-0.126383302203892</c:v>
                </c:pt>
                <c:pt idx="33">
                  <c:v>-0.276383302203892</c:v>
                </c:pt>
                <c:pt idx="34">
                  <c:v>-0.356383302203892</c:v>
                </c:pt>
                <c:pt idx="35">
                  <c:v>-0.133297611304972</c:v>
                </c:pt>
                <c:pt idx="36">
                  <c:v>-0.0959394895664358</c:v>
                </c:pt>
                <c:pt idx="37">
                  <c:v>-0.126794706587629</c:v>
                </c:pt>
                <c:pt idx="38">
                  <c:v>-0.16240166013772</c:v>
                </c:pt>
                <c:pt idx="39">
                  <c:v>-0.208808298749005</c:v>
                </c:pt>
                <c:pt idx="40">
                  <c:v>-0.358618530280319</c:v>
                </c:pt>
                <c:pt idx="41">
                  <c:v>-0.089759132900572</c:v>
                </c:pt>
                <c:pt idx="42">
                  <c:v>-0.141568622024993</c:v>
                </c:pt>
                <c:pt idx="43">
                  <c:v>-0.165334958872692</c:v>
                </c:pt>
                <c:pt idx="44">
                  <c:v>-0.217199356170403</c:v>
                </c:pt>
                <c:pt idx="45">
                  <c:v>-0.322072853813262</c:v>
                </c:pt>
                <c:pt idx="46">
                  <c:v>-0.049759132900572</c:v>
                </c:pt>
                <c:pt idx="47">
                  <c:v>-0.145334958872692</c:v>
                </c:pt>
                <c:pt idx="48">
                  <c:v>-0.257199356170403</c:v>
                </c:pt>
                <c:pt idx="49">
                  <c:v>-0.362072853813262</c:v>
                </c:pt>
                <c:pt idx="50">
                  <c:v>-0.0875093692708304</c:v>
                </c:pt>
                <c:pt idx="51">
                  <c:v>-0.119341020636153</c:v>
                </c:pt>
                <c:pt idx="52">
                  <c:v>-0.0277060749270445</c:v>
                </c:pt>
                <c:pt idx="53">
                  <c:v>-0.0960698631556773</c:v>
                </c:pt>
                <c:pt idx="54">
                  <c:v>-0.0899262812603468</c:v>
                </c:pt>
                <c:pt idx="55">
                  <c:v>-0.137706074927044</c:v>
                </c:pt>
                <c:pt idx="56">
                  <c:v>-0.226069863155677</c:v>
                </c:pt>
                <c:pt idx="57">
                  <c:v>-0.249926281260347</c:v>
                </c:pt>
                <c:pt idx="58">
                  <c:v>-0.0698209479684901</c:v>
                </c:pt>
                <c:pt idx="59">
                  <c:v>-0.102989976093481</c:v>
                </c:pt>
                <c:pt idx="60">
                  <c:v>-0.161629690176456</c:v>
                </c:pt>
                <c:pt idx="61">
                  <c:v>-0.283635083662991</c:v>
                </c:pt>
                <c:pt idx="62">
                  <c:v>-0.10982094796849</c:v>
                </c:pt>
                <c:pt idx="63">
                  <c:v>-0.152989976093482</c:v>
                </c:pt>
                <c:pt idx="64">
                  <c:v>-0.201629690176456</c:v>
                </c:pt>
                <c:pt idx="65">
                  <c:v>-0.333635083662991</c:v>
                </c:pt>
                <c:pt idx="66">
                  <c:v>-0.163578867553087</c:v>
                </c:pt>
                <c:pt idx="67">
                  <c:v>-0.183697339645323</c:v>
                </c:pt>
                <c:pt idx="68">
                  <c:v>-0.128469899538929</c:v>
                </c:pt>
                <c:pt idx="69">
                  <c:v>-0.228116644533984</c:v>
                </c:pt>
                <c:pt idx="70">
                  <c:v>-0.138469899538929</c:v>
                </c:pt>
                <c:pt idx="71">
                  <c:v>-0.218116644533984</c:v>
                </c:pt>
                <c:pt idx="72">
                  <c:v>-0.0178968504951748</c:v>
                </c:pt>
                <c:pt idx="73">
                  <c:v>-0.0116079654419508</c:v>
                </c:pt>
                <c:pt idx="74">
                  <c:v>-0.0147776350893817</c:v>
                </c:pt>
                <c:pt idx="75">
                  <c:v>-0.0130136616779018</c:v>
                </c:pt>
                <c:pt idx="76">
                  <c:v>-0.0130484552620888</c:v>
                </c:pt>
                <c:pt idx="77">
                  <c:v>-0.0430952562237494</c:v>
                </c:pt>
                <c:pt idx="78">
                  <c:v>-0.0563724804026043</c:v>
                </c:pt>
                <c:pt idx="79">
                  <c:v>-0.0753832630692791</c:v>
                </c:pt>
                <c:pt idx="80">
                  <c:v>-0.0712413843835952</c:v>
                </c:pt>
                <c:pt idx="81">
                  <c:v>-0.0690512914466035</c:v>
                </c:pt>
                <c:pt idx="82">
                  <c:v>-0.0485488998639779</c:v>
                </c:pt>
                <c:pt idx="83">
                  <c:v>0.00061035680379179</c:v>
                </c:pt>
                <c:pt idx="84">
                  <c:v>0.0286995841083491</c:v>
                </c:pt>
                <c:pt idx="85">
                  <c:v>0.0457830565376991</c:v>
                </c:pt>
                <c:pt idx="86">
                  <c:v>0.091822973518821</c:v>
                </c:pt>
                <c:pt idx="87">
                  <c:v>-0.0212413843835952</c:v>
                </c:pt>
                <c:pt idx="88">
                  <c:v>0.000948708553396488</c:v>
                </c:pt>
                <c:pt idx="89">
                  <c:v>0.0314511001360221</c:v>
                </c:pt>
                <c:pt idx="90">
                  <c:v>0.0306103568037918</c:v>
                </c:pt>
                <c:pt idx="91">
                  <c:v>0.0286995841083491</c:v>
                </c:pt>
                <c:pt idx="92">
                  <c:v>0.0457830565376991</c:v>
                </c:pt>
                <c:pt idx="93">
                  <c:v>0.041822973518821</c:v>
                </c:pt>
                <c:pt idx="94">
                  <c:v>-0.0132593096361245</c:v>
                </c:pt>
                <c:pt idx="95">
                  <c:v>-0.0061135837259077</c:v>
                </c:pt>
                <c:pt idx="96">
                  <c:v>0.0099192026455045</c:v>
                </c:pt>
                <c:pt idx="97">
                  <c:v>0.0150649014820553</c:v>
                </c:pt>
                <c:pt idx="98">
                  <c:v>0.0295044175999805</c:v>
                </c:pt>
                <c:pt idx="99">
                  <c:v>0.0132729483757408</c:v>
                </c:pt>
                <c:pt idx="100">
                  <c:v>0.0463346816601984</c:v>
                </c:pt>
                <c:pt idx="101">
                  <c:v>-0.0516777284227425</c:v>
                </c:pt>
                <c:pt idx="102">
                  <c:v>-0.0432593096361245</c:v>
                </c:pt>
                <c:pt idx="103">
                  <c:v>-0.0061135837259077</c:v>
                </c:pt>
                <c:pt idx="104">
                  <c:v>-0.0400807973544955</c:v>
                </c:pt>
                <c:pt idx="105">
                  <c:v>-0.0349350985179447</c:v>
                </c:pt>
                <c:pt idx="106">
                  <c:v>-0.0504955824000196</c:v>
                </c:pt>
                <c:pt idx="107">
                  <c:v>-0.0667270516242592</c:v>
                </c:pt>
                <c:pt idx="108">
                  <c:v>-0.0836653183398016</c:v>
                </c:pt>
                <c:pt idx="109">
                  <c:v>0.013221605761795</c:v>
                </c:pt>
                <c:pt idx="110">
                  <c:v>0.00195398997542623</c:v>
                </c:pt>
                <c:pt idx="111">
                  <c:v>0.0204413752888317</c:v>
                </c:pt>
                <c:pt idx="112">
                  <c:v>0.01864940119234</c:v>
                </c:pt>
                <c:pt idx="113">
                  <c:v>0.0366036929112528</c:v>
                </c:pt>
                <c:pt idx="114">
                  <c:v>0.0319539899754262</c:v>
                </c:pt>
                <c:pt idx="115">
                  <c:v>0.0204413752888317</c:v>
                </c:pt>
                <c:pt idx="116">
                  <c:v>0.01864940119234</c:v>
                </c:pt>
                <c:pt idx="117">
                  <c:v>0.0366036929112528</c:v>
                </c:pt>
                <c:pt idx="118">
                  <c:v>-0.16950443204327</c:v>
                </c:pt>
                <c:pt idx="119">
                  <c:v>-0.10807653411008</c:v>
                </c:pt>
                <c:pt idx="120">
                  <c:v>-0.0851835303467915</c:v>
                </c:pt>
                <c:pt idx="121">
                  <c:v>-0.0880765341100799</c:v>
                </c:pt>
                <c:pt idx="122">
                  <c:v>-0.0351835303467915</c:v>
                </c:pt>
                <c:pt idx="123">
                  <c:v>-0.0921393374435103</c:v>
                </c:pt>
                <c:pt idx="124">
                  <c:v>-0.0680633426398499</c:v>
                </c:pt>
                <c:pt idx="125">
                  <c:v>-0.0176025264528123</c:v>
                </c:pt>
                <c:pt idx="126">
                  <c:v>-0.0921393374435103</c:v>
                </c:pt>
                <c:pt idx="127">
                  <c:v>-0.0680633426398499</c:v>
                </c:pt>
                <c:pt idx="128">
                  <c:v>-0.0176025264528123</c:v>
                </c:pt>
                <c:pt idx="129">
                  <c:v>-0.0264683876087009</c:v>
                </c:pt>
                <c:pt idx="130">
                  <c:v>0.0278720755702755</c:v>
                </c:pt>
                <c:pt idx="131">
                  <c:v>0.0502861137816256</c:v>
                </c:pt>
                <c:pt idx="132">
                  <c:v>-0.0564683876087009</c:v>
                </c:pt>
                <c:pt idx="133">
                  <c:v>-0.0221279244297245</c:v>
                </c:pt>
                <c:pt idx="134">
                  <c:v>0.000286113781625574</c:v>
                </c:pt>
                <c:pt idx="135">
                  <c:v>0.0066567372072314</c:v>
                </c:pt>
                <c:pt idx="136">
                  <c:v>0.0248597284456673</c:v>
                </c:pt>
                <c:pt idx="137">
                  <c:v>0.0472722069628958</c:v>
                </c:pt>
                <c:pt idx="138">
                  <c:v>0.0639984288280163</c:v>
                </c:pt>
                <c:pt idx="139">
                  <c:v>0.0849138346471646</c:v>
                </c:pt>
                <c:pt idx="140">
                  <c:v>0.100449255551958</c:v>
                </c:pt>
                <c:pt idx="141">
                  <c:v>0.122455406248479</c:v>
                </c:pt>
                <c:pt idx="142">
                  <c:v>-0.0276456245679164</c:v>
                </c:pt>
                <c:pt idx="143">
                  <c:v>-0.00334326279276861</c:v>
                </c:pt>
                <c:pt idx="144">
                  <c:v>0.0173795453175886</c:v>
                </c:pt>
                <c:pt idx="145">
                  <c:v>0.0435649613969618</c:v>
                </c:pt>
                <c:pt idx="146">
                  <c:v>0.0639984288280163</c:v>
                </c:pt>
                <c:pt idx="147">
                  <c:v>0.0837204772641394</c:v>
                </c:pt>
                <c:pt idx="148">
                  <c:v>0.0969182017306843</c:v>
                </c:pt>
                <c:pt idx="149">
                  <c:v>0.098526702838581</c:v>
                </c:pt>
                <c:pt idx="150">
                  <c:v>0.0530911480613137</c:v>
                </c:pt>
                <c:pt idx="151">
                  <c:v>0.0800462446821462</c:v>
                </c:pt>
                <c:pt idx="152">
                  <c:v>0.0933853033669777</c:v>
                </c:pt>
                <c:pt idx="153">
                  <c:v>0.114996860919814</c:v>
                </c:pt>
                <c:pt idx="154">
                  <c:v>0.114847055123442</c:v>
                </c:pt>
                <c:pt idx="155">
                  <c:v>0.145036131311996</c:v>
                </c:pt>
                <c:pt idx="156">
                  <c:v>0.00797448286405258</c:v>
                </c:pt>
                <c:pt idx="157">
                  <c:v>0.0240219914175955</c:v>
                </c:pt>
                <c:pt idx="158">
                  <c:v>0.0391484012783851</c:v>
                </c:pt>
                <c:pt idx="159">
                  <c:v>0.0619324444815654</c:v>
                </c:pt>
                <c:pt idx="160">
                  <c:v>0.0952800442621221</c:v>
                </c:pt>
                <c:pt idx="161">
                  <c:v>0.114847055123442</c:v>
                </c:pt>
                <c:pt idx="162">
                  <c:v>0.128558319839606</c:v>
                </c:pt>
                <c:pt idx="163">
                  <c:v>0.0671856749877479</c:v>
                </c:pt>
                <c:pt idx="164">
                  <c:v>0.0612940282480549</c:v>
                </c:pt>
                <c:pt idx="165">
                  <c:v>0.0580472778386866</c:v>
                </c:pt>
                <c:pt idx="166">
                  <c:v>0.0563258660180115</c:v>
                </c:pt>
                <c:pt idx="167">
                  <c:v>0.0554661237389252</c:v>
                </c:pt>
                <c:pt idx="168">
                  <c:v>0.0466273460314315</c:v>
                </c:pt>
                <c:pt idx="169">
                  <c:v>0.0354398806512164</c:v>
                </c:pt>
                <c:pt idx="170">
                  <c:v>0.00768322220313844</c:v>
                </c:pt>
                <c:pt idx="171">
                  <c:v>0.0548906211183791</c:v>
                </c:pt>
                <c:pt idx="172">
                  <c:v>0.0577204909514452</c:v>
                </c:pt>
                <c:pt idx="173">
                  <c:v>0.058796287518489</c:v>
                </c:pt>
                <c:pt idx="174">
                  <c:v>0.050403216832245</c:v>
                </c:pt>
                <c:pt idx="175">
                  <c:v>0.0632659154825361</c:v>
                </c:pt>
                <c:pt idx="176">
                  <c:v>0.0766273460314316</c:v>
                </c:pt>
                <c:pt idx="177">
                  <c:v>0.0776011948565545</c:v>
                </c:pt>
                <c:pt idx="178">
                  <c:v>0.0762541049874861</c:v>
                </c:pt>
                <c:pt idx="179">
                  <c:v>0.0899890649613589</c:v>
                </c:pt>
                <c:pt idx="180">
                  <c:v>0.101789650639827</c:v>
                </c:pt>
                <c:pt idx="181">
                  <c:v>0.112232635994298</c:v>
                </c:pt>
                <c:pt idx="182">
                  <c:v>0.129860193963445</c:v>
                </c:pt>
                <c:pt idx="183">
                  <c:v>0.136627346031432</c:v>
                </c:pt>
                <c:pt idx="184">
                  <c:v>0.144719018684666</c:v>
                </c:pt>
                <c:pt idx="185">
                  <c:v>0.148397479491127</c:v>
                </c:pt>
                <c:pt idx="186">
                  <c:v>0.0729167893023258</c:v>
                </c:pt>
                <c:pt idx="187">
                  <c:v>0.0841635449293921</c:v>
                </c:pt>
                <c:pt idx="188">
                  <c:v>0.103721016040442</c:v>
                </c:pt>
                <c:pt idx="189">
                  <c:v>0.0929167893023258</c:v>
                </c:pt>
                <c:pt idx="190">
                  <c:v>0.113479542523006</c:v>
                </c:pt>
                <c:pt idx="191">
                  <c:v>0.122889322980335</c:v>
                </c:pt>
                <c:pt idx="192">
                  <c:v>-0.0869770203015871</c:v>
                </c:pt>
                <c:pt idx="193">
                  <c:v>-0.0696702387026708</c:v>
                </c:pt>
                <c:pt idx="194">
                  <c:v>-0.0579668503696685</c:v>
                </c:pt>
                <c:pt idx="195">
                  <c:v>-0.0478893004300673</c:v>
                </c:pt>
                <c:pt idx="196">
                  <c:v>-0.0195549096308618</c:v>
                </c:pt>
                <c:pt idx="197">
                  <c:v>-0.00543559245128825</c:v>
                </c:pt>
                <c:pt idx="198">
                  <c:v>-0.00390768630399055</c:v>
                </c:pt>
                <c:pt idx="199">
                  <c:v>0.0235079661166258</c:v>
                </c:pt>
                <c:pt idx="200">
                  <c:v>-0.0276181147326626</c:v>
                </c:pt>
                <c:pt idx="201">
                  <c:v>-0.0501781737641176</c:v>
                </c:pt>
                <c:pt idx="202">
                  <c:v>-0.0753149920355255</c:v>
                </c:pt>
                <c:pt idx="203">
                  <c:v>0.0234239258219313</c:v>
                </c:pt>
                <c:pt idx="204">
                  <c:v>0.0675023031427354</c:v>
                </c:pt>
                <c:pt idx="205">
                  <c:v>0.0856152174045762</c:v>
                </c:pt>
                <c:pt idx="206">
                  <c:v>0.124674215667988</c:v>
                </c:pt>
                <c:pt idx="207">
                  <c:v>0.155545399385632</c:v>
                </c:pt>
                <c:pt idx="208">
                  <c:v>0.167426120185758</c:v>
                </c:pt>
                <c:pt idx="209">
                  <c:v>0.0430909342494858</c:v>
                </c:pt>
                <c:pt idx="210">
                  <c:v>0.056254396017291</c:v>
                </c:pt>
                <c:pt idx="211">
                  <c:v>0.0777230927909595</c:v>
                </c:pt>
                <c:pt idx="212">
                  <c:v>0.0757901197645353</c:v>
                </c:pt>
                <c:pt idx="213">
                  <c:v>0.0957336427001082</c:v>
                </c:pt>
                <c:pt idx="214">
                  <c:v>0.177367964801487</c:v>
                </c:pt>
                <c:pt idx="215">
                  <c:v>-0.0222091698969202</c:v>
                </c:pt>
                <c:pt idx="216">
                  <c:v>-0.00778490381026337</c:v>
                </c:pt>
                <c:pt idx="217">
                  <c:v>-0.00632225820633053</c:v>
                </c:pt>
                <c:pt idx="218">
                  <c:v>-0.000658303065760452</c:v>
                </c:pt>
                <c:pt idx="219">
                  <c:v>0.004466035040815</c:v>
                </c:pt>
                <c:pt idx="220">
                  <c:v>-0.0131025160185017</c:v>
                </c:pt>
                <c:pt idx="221">
                  <c:v>-0.0110170519518746</c:v>
                </c:pt>
                <c:pt idx="222">
                  <c:v>-0.0514075718156616</c:v>
                </c:pt>
                <c:pt idx="223">
                  <c:v>0.161860019998145</c:v>
                </c:pt>
                <c:pt idx="224">
                  <c:v>0.190483935514498</c:v>
                </c:pt>
                <c:pt idx="225">
                  <c:v>0.204163524401072</c:v>
                </c:pt>
                <c:pt idx="226">
                  <c:v>0.0431663711917511</c:v>
                </c:pt>
                <c:pt idx="227">
                  <c:v>0.0560165193077409</c:v>
                </c:pt>
                <c:pt idx="228">
                  <c:v>0.0570951457287007</c:v>
                </c:pt>
                <c:pt idx="229">
                  <c:v>0.0549929644963812</c:v>
                </c:pt>
                <c:pt idx="230">
                  <c:v>0.0314747984042348</c:v>
                </c:pt>
                <c:pt idx="231">
                  <c:v>0.0289060028964683</c:v>
                </c:pt>
                <c:pt idx="232">
                  <c:v>0.0309362323273756</c:v>
                </c:pt>
                <c:pt idx="233">
                  <c:v>-0.0378860270035304</c:v>
                </c:pt>
                <c:pt idx="234">
                  <c:v>0.0377292087664546</c:v>
                </c:pt>
                <c:pt idx="235">
                  <c:v>0.0270662569302957</c:v>
                </c:pt>
                <c:pt idx="236">
                  <c:v>0.0500699915499197</c:v>
                </c:pt>
                <c:pt idx="237">
                  <c:v>0.0548751068804908</c:v>
                </c:pt>
                <c:pt idx="238">
                  <c:v>0.0770266850644796</c:v>
                </c:pt>
                <c:pt idx="239">
                  <c:v>0.0966734358692843</c:v>
                </c:pt>
                <c:pt idx="240">
                  <c:v>0.100349998868577</c:v>
                </c:pt>
                <c:pt idx="241">
                  <c:v>-0.128176457266617</c:v>
                </c:pt>
                <c:pt idx="242">
                  <c:v>-0.121455437332651</c:v>
                </c:pt>
                <c:pt idx="243">
                  <c:v>-0.141309223235698</c:v>
                </c:pt>
                <c:pt idx="244">
                  <c:v>-0.138772939956734</c:v>
                </c:pt>
                <c:pt idx="245">
                  <c:v>-0.124724216059727</c:v>
                </c:pt>
                <c:pt idx="246">
                  <c:v>-0.117836987837654</c:v>
                </c:pt>
                <c:pt idx="247">
                  <c:v>-0.123632101662784</c:v>
                </c:pt>
                <c:pt idx="248">
                  <c:v>0.133598977027061</c:v>
                </c:pt>
                <c:pt idx="249">
                  <c:v>0.0143344198425902</c:v>
                </c:pt>
                <c:pt idx="250">
                  <c:v>0.134948913861544</c:v>
                </c:pt>
                <c:pt idx="251">
                  <c:v>0.11433441984259</c:v>
                </c:pt>
                <c:pt idx="252">
                  <c:v>0.134948913861544</c:v>
                </c:pt>
                <c:pt idx="253">
                  <c:v>0.11433441984259</c:v>
                </c:pt>
                <c:pt idx="254">
                  <c:v>0.136297833156856</c:v>
                </c:pt>
                <c:pt idx="255">
                  <c:v>0.0643344198425902</c:v>
                </c:pt>
                <c:pt idx="256">
                  <c:v>0.115005921722085</c:v>
                </c:pt>
                <c:pt idx="257">
                  <c:v>0.144689099882611</c:v>
                </c:pt>
                <c:pt idx="258">
                  <c:v>0.117211379651566</c:v>
                </c:pt>
                <c:pt idx="259">
                  <c:v>0.144689099882611</c:v>
                </c:pt>
                <c:pt idx="260">
                  <c:v>0.0744238484667959</c:v>
                </c:pt>
                <c:pt idx="261">
                  <c:v>0.0845504983177415</c:v>
                </c:pt>
                <c:pt idx="262">
                  <c:v>0.0615566843691874</c:v>
                </c:pt>
                <c:pt idx="263">
                  <c:v>0.0758719099421669</c:v>
                </c:pt>
                <c:pt idx="264">
                  <c:v>0.0858973450497539</c:v>
                </c:pt>
                <c:pt idx="265">
                  <c:v>0.00915605804521399</c:v>
                </c:pt>
                <c:pt idx="266">
                  <c:v>0.0406792556603989</c:v>
                </c:pt>
                <c:pt idx="267">
                  <c:v>0.0183140922740558</c:v>
                </c:pt>
                <c:pt idx="268">
                  <c:v>0.0441923955673139</c:v>
                </c:pt>
                <c:pt idx="269">
                  <c:v>0.00806877409975634</c:v>
                </c:pt>
                <c:pt idx="270">
                  <c:v>-0.0113420429890583</c:v>
                </c:pt>
                <c:pt idx="271">
                  <c:v>0.0354358788972942</c:v>
                </c:pt>
                <c:pt idx="272">
                  <c:v>0.122070068101845</c:v>
                </c:pt>
                <c:pt idx="273">
                  <c:v>0.129054691889379</c:v>
                </c:pt>
                <c:pt idx="274">
                  <c:v>0.152070068101845</c:v>
                </c:pt>
                <c:pt idx="275">
                  <c:v>0.139054691889379</c:v>
                </c:pt>
                <c:pt idx="276">
                  <c:v>0.0168281230864532</c:v>
                </c:pt>
                <c:pt idx="277">
                  <c:v>0.0479455696863186</c:v>
                </c:pt>
                <c:pt idx="278">
                  <c:v>0.0667859304445371</c:v>
                </c:pt>
                <c:pt idx="279">
                  <c:v>0.105568955177351</c:v>
                </c:pt>
                <c:pt idx="280">
                  <c:v>0.0915766593046241</c:v>
                </c:pt>
                <c:pt idx="281">
                  <c:v>0.0937592379230148</c:v>
                </c:pt>
                <c:pt idx="282">
                  <c:v>0.0867859304445371</c:v>
                </c:pt>
                <c:pt idx="283">
                  <c:v>0.113652385935247</c:v>
                </c:pt>
                <c:pt idx="284">
                  <c:v>0.131576659304624</c:v>
                </c:pt>
                <c:pt idx="285">
                  <c:v>0.103759237923015</c:v>
                </c:pt>
                <c:pt idx="286">
                  <c:v>-0.000787173045832867</c:v>
                </c:pt>
                <c:pt idx="287">
                  <c:v>-0.0174099644947139</c:v>
                </c:pt>
                <c:pt idx="288">
                  <c:v>-0.0257299673292906</c:v>
                </c:pt>
                <c:pt idx="289">
                  <c:v>0.0855135755789209</c:v>
                </c:pt>
                <c:pt idx="290">
                  <c:v>0.0827792643398273</c:v>
                </c:pt>
                <c:pt idx="291">
                  <c:v>0.0718415534299137</c:v>
                </c:pt>
                <c:pt idx="292">
                  <c:v>-0.0405684416136965</c:v>
                </c:pt>
                <c:pt idx="293">
                  <c:v>0.0465428609619931</c:v>
                </c:pt>
                <c:pt idx="294">
                  <c:v>0.0425461310425015</c:v>
                </c:pt>
                <c:pt idx="295">
                  <c:v>0.0498380916729233</c:v>
                </c:pt>
                <c:pt idx="296">
                  <c:v>0.0158707123356721</c:v>
                </c:pt>
                <c:pt idx="297">
                  <c:v>0.0874969958950165</c:v>
                </c:pt>
                <c:pt idx="298">
                  <c:v>0.0749626789806175</c:v>
                </c:pt>
                <c:pt idx="299">
                  <c:v>0.0350010203114932</c:v>
                </c:pt>
                <c:pt idx="300">
                  <c:v>0.0410143566710259</c:v>
                </c:pt>
                <c:pt idx="301">
                  <c:v>0.0382800335273786</c:v>
                </c:pt>
                <c:pt idx="302">
                  <c:v>0.0256607051018413</c:v>
                </c:pt>
                <c:pt idx="303">
                  <c:v>-0.0130412113794502</c:v>
                </c:pt>
                <c:pt idx="304">
                  <c:v>-0.0270333271150409</c:v>
                </c:pt>
                <c:pt idx="305">
                  <c:v>-0.0397669993917912</c:v>
                </c:pt>
                <c:pt idx="306">
                  <c:v>-0.0726016168081591</c:v>
                </c:pt>
                <c:pt idx="307">
                  <c:v>-0.0152731368386964</c:v>
                </c:pt>
                <c:pt idx="308">
                  <c:v>-0.0194977408189989</c:v>
                </c:pt>
                <c:pt idx="309">
                  <c:v>0.00965269055045256</c:v>
                </c:pt>
                <c:pt idx="310">
                  <c:v>0.0156766659070515</c:v>
                </c:pt>
                <c:pt idx="311">
                  <c:v>-0.000200173163045131</c:v>
                </c:pt>
                <c:pt idx="312">
                  <c:v>-0.00889804092468655</c:v>
                </c:pt>
                <c:pt idx="313">
                  <c:v>0.0473245508754948</c:v>
                </c:pt>
                <c:pt idx="314">
                  <c:v>0.0296526905504526</c:v>
                </c:pt>
                <c:pt idx="315">
                  <c:v>0.0556766659070515</c:v>
                </c:pt>
                <c:pt idx="316">
                  <c:v>0.0297998268369549</c:v>
                </c:pt>
                <c:pt idx="317">
                  <c:v>0.0211019590753134</c:v>
                </c:pt>
                <c:pt idx="318">
                  <c:v>0.051036726143124</c:v>
                </c:pt>
                <c:pt idx="319">
                  <c:v>0.0552535376371589</c:v>
                </c:pt>
                <c:pt idx="320">
                  <c:v>0.0457524165536561</c:v>
                </c:pt>
                <c:pt idx="321">
                  <c:v>0.0707483275125974</c:v>
                </c:pt>
                <c:pt idx="322">
                  <c:v>0.0808356059302388</c:v>
                </c:pt>
                <c:pt idx="323">
                  <c:v>0.100491691724592</c:v>
                </c:pt>
                <c:pt idx="324">
                  <c:v>0.102011223086678</c:v>
                </c:pt>
                <c:pt idx="325">
                  <c:v>0.0714596651299826</c:v>
                </c:pt>
                <c:pt idx="326">
                  <c:v>0.0388222995739388</c:v>
                </c:pt>
                <c:pt idx="327">
                  <c:v>0.05898152666542</c:v>
                </c:pt>
                <c:pt idx="328">
                  <c:v>0.0686455701531197</c:v>
                </c:pt>
                <c:pt idx="329">
                  <c:v>0.0401483412312464</c:v>
                </c:pt>
                <c:pt idx="330">
                  <c:v>-0.00914561813171327</c:v>
                </c:pt>
                <c:pt idx="331">
                  <c:v>-0.0118080525482774</c:v>
                </c:pt>
                <c:pt idx="332">
                  <c:v>-0.0162305538715221</c:v>
                </c:pt>
                <c:pt idx="333">
                  <c:v>-0.0395810809383769</c:v>
                </c:pt>
                <c:pt idx="334">
                  <c:v>-0.064104192008955</c:v>
                </c:pt>
                <c:pt idx="335">
                  <c:v>0.0437694461284779</c:v>
                </c:pt>
                <c:pt idx="336">
                  <c:v>0.0404189190616231</c:v>
                </c:pt>
                <c:pt idx="337">
                  <c:v>0.0358958079910451</c:v>
                </c:pt>
                <c:pt idx="338">
                  <c:v>-0.00516040765340775</c:v>
                </c:pt>
                <c:pt idx="339">
                  <c:v>-0.0640394362634496</c:v>
                </c:pt>
                <c:pt idx="340">
                  <c:v>-0.0875372079861103</c:v>
                </c:pt>
              </c:numCache>
            </c:numRef>
          </c:yVal>
          <c:smooth val="0"/>
        </c:ser>
        <c:axId val="4434507"/>
        <c:axId val="58315825"/>
      </c:scatterChart>
      <c:valAx>
        <c:axId val="443450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pt-BR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pt-BR" sz="1000" spc="-1" strike="noStrike">
                    <a:solidFill>
                      <a:srgbClr val="595959"/>
                    </a:solidFill>
                    <a:latin typeface="Aptos Narrow"/>
                  </a:rPr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78285233959"/>
              <c:y val="0.873949579831933"/>
            </c:manualLayout>
          </c:layout>
          <c:overlay val="0"/>
          <c:spPr>
            <a:noFill/>
            <a:ln w="0">
              <a:noFill/>
            </a:ln>
          </c:spPr>
        </c:title>
        <c:numFmt formatCode="0.000000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8315825"/>
        <c:crosses val="autoZero"/>
        <c:crossBetween val="midCat"/>
        <c:majorUnit val="0.0008"/>
      </c:valAx>
      <c:valAx>
        <c:axId val="583158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pt-BR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pt-BR" sz="1000" spc="-1" strike="noStrike">
                    <a:solidFill>
                      <a:srgbClr val="595959"/>
                    </a:solidFill>
                    <a:latin typeface="Aptos Narrow"/>
                  </a:rPr>
                  <a:t>Resíduo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4345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1"/>
            <c:dispEq val="1"/>
          </c:trendline>
          <c:xVal>
            <c:numRef>
              <c:f>'Sem TS MC2020'!$P$3:$P$343</c:f>
              <c:numCache>
                <c:formatCode>0</c:formatCode>
                <c:ptCount val="341"/>
                <c:pt idx="0">
                  <c:v>231.811004938734</c:v>
                </c:pt>
                <c:pt idx="1">
                  <c:v>304.251943982088</c:v>
                </c:pt>
                <c:pt idx="2">
                  <c:v>314.282227849629</c:v>
                </c:pt>
                <c:pt idx="3">
                  <c:v>363.319171202054</c:v>
                </c:pt>
                <c:pt idx="4">
                  <c:v>459.164105936338</c:v>
                </c:pt>
                <c:pt idx="5">
                  <c:v>500</c:v>
                </c:pt>
                <c:pt idx="6">
                  <c:v>322.919715637812</c:v>
                </c:pt>
                <c:pt idx="7">
                  <c:v>367.820933240784</c:v>
                </c:pt>
                <c:pt idx="8">
                  <c:v>500</c:v>
                </c:pt>
                <c:pt idx="9">
                  <c:v>285.048032184717</c:v>
                </c:pt>
                <c:pt idx="10">
                  <c:v>324.999646144464</c:v>
                </c:pt>
                <c:pt idx="11">
                  <c:v>367.644627337453</c:v>
                </c:pt>
                <c:pt idx="12">
                  <c:v>410.738503069316</c:v>
                </c:pt>
                <c:pt idx="13">
                  <c:v>438.569964479477</c:v>
                </c:pt>
                <c:pt idx="14">
                  <c:v>498.272938149662</c:v>
                </c:pt>
                <c:pt idx="15">
                  <c:v>502.761883538398</c:v>
                </c:pt>
                <c:pt idx="16">
                  <c:v>538.673446648283</c:v>
                </c:pt>
                <c:pt idx="17">
                  <c:v>628</c:v>
                </c:pt>
                <c:pt idx="18">
                  <c:v>628</c:v>
                </c:pt>
                <c:pt idx="19">
                  <c:v>321.471876442594</c:v>
                </c:pt>
                <c:pt idx="20">
                  <c:v>357.190973825104</c:v>
                </c:pt>
                <c:pt idx="21">
                  <c:v>370.585635343545</c:v>
                </c:pt>
                <c:pt idx="22">
                  <c:v>392.910071207614</c:v>
                </c:pt>
                <c:pt idx="23">
                  <c:v>424.164281417311</c:v>
                </c:pt>
                <c:pt idx="24">
                  <c:v>491.137589009518</c:v>
                </c:pt>
                <c:pt idx="25">
                  <c:v>140.041965597591</c:v>
                </c:pt>
                <c:pt idx="26">
                  <c:v>201.598873552576</c:v>
                </c:pt>
                <c:pt idx="27">
                  <c:v>243.919247771628</c:v>
                </c:pt>
                <c:pt idx="28">
                  <c:v>313.940230570424</c:v>
                </c:pt>
                <c:pt idx="29">
                  <c:v>416.278590045587</c:v>
                </c:pt>
                <c:pt idx="30">
                  <c:v>300.432956249241</c:v>
                </c:pt>
                <c:pt idx="31">
                  <c:v>386.270943749024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106.512655225995</c:v>
                </c:pt>
                <c:pt idx="36">
                  <c:v>191.72277940679</c:v>
                </c:pt>
                <c:pt idx="37">
                  <c:v>276.932903587586</c:v>
                </c:pt>
                <c:pt idx="38">
                  <c:v>362.143027768382</c:v>
                </c:pt>
                <c:pt idx="39">
                  <c:v>426.050620903978</c:v>
                </c:pt>
                <c:pt idx="40">
                  <c:v>500</c:v>
                </c:pt>
                <c:pt idx="41">
                  <c:v>212.47112712609</c:v>
                </c:pt>
                <c:pt idx="42">
                  <c:v>254.965352551308</c:v>
                </c:pt>
                <c:pt idx="43">
                  <c:v>297.459577976525</c:v>
                </c:pt>
                <c:pt idx="44">
                  <c:v>382.448028826961</c:v>
                </c:pt>
                <c:pt idx="45">
                  <c:v>500</c:v>
                </c:pt>
                <c:pt idx="46">
                  <c:v>212.47112712609</c:v>
                </c:pt>
                <c:pt idx="47">
                  <c:v>297.459577976525</c:v>
                </c:pt>
                <c:pt idx="48">
                  <c:v>382.448028826961</c:v>
                </c:pt>
                <c:pt idx="49">
                  <c:v>500</c:v>
                </c:pt>
                <c:pt idx="50">
                  <c:v>245.194770485466</c:v>
                </c:pt>
                <c:pt idx="51">
                  <c:v>294.23372458256</c:v>
                </c:pt>
                <c:pt idx="52">
                  <c:v>193.945814910414</c:v>
                </c:pt>
                <c:pt idx="53">
                  <c:v>242.432268638018</c:v>
                </c:pt>
                <c:pt idx="54">
                  <c:v>290.918722365622</c:v>
                </c:pt>
                <c:pt idx="55">
                  <c:v>193.945814910414</c:v>
                </c:pt>
                <c:pt idx="56">
                  <c:v>242.432268638018</c:v>
                </c:pt>
                <c:pt idx="57">
                  <c:v>290.918722365622</c:v>
                </c:pt>
                <c:pt idx="58">
                  <c:v>210.837549268589</c:v>
                </c:pt>
                <c:pt idx="59">
                  <c:v>316.256323902884</c:v>
                </c:pt>
                <c:pt idx="60">
                  <c:v>421.675098537179</c:v>
                </c:pt>
                <c:pt idx="61">
                  <c:v>500</c:v>
                </c:pt>
                <c:pt idx="62">
                  <c:v>210.837549268589</c:v>
                </c:pt>
                <c:pt idx="63">
                  <c:v>316.256323902884</c:v>
                </c:pt>
                <c:pt idx="64">
                  <c:v>421.675098537179</c:v>
                </c:pt>
                <c:pt idx="65">
                  <c:v>500</c:v>
                </c:pt>
                <c:pt idx="66">
                  <c:v>122.340765829723</c:v>
                </c:pt>
                <c:pt idx="67">
                  <c:v>244.681531659446</c:v>
                </c:pt>
                <c:pt idx="68">
                  <c:v>120.90671371296</c:v>
                </c:pt>
                <c:pt idx="69">
                  <c:v>241.81342742592</c:v>
                </c:pt>
                <c:pt idx="70">
                  <c:v>120.90671371296</c:v>
                </c:pt>
                <c:pt idx="71">
                  <c:v>241.81342742592</c:v>
                </c:pt>
                <c:pt idx="72">
                  <c:v>295.47063165326</c:v>
                </c:pt>
                <c:pt idx="73">
                  <c:v>343.866683389569</c:v>
                </c:pt>
                <c:pt idx="74">
                  <c:v>303.256025231297</c:v>
                </c:pt>
                <c:pt idx="75">
                  <c:v>347.810227990398</c:v>
                </c:pt>
                <c:pt idx="76">
                  <c:v>411.048451261379</c:v>
                </c:pt>
                <c:pt idx="77">
                  <c:v>289.734922915654</c:v>
                </c:pt>
                <c:pt idx="78">
                  <c:v>379.980226774629</c:v>
                </c:pt>
                <c:pt idx="79">
                  <c:v>185.273964470166</c:v>
                </c:pt>
                <c:pt idx="80">
                  <c:v>211.76759699969</c:v>
                </c:pt>
                <c:pt idx="81">
                  <c:v>238.261229529214</c:v>
                </c:pt>
                <c:pt idx="82">
                  <c:v>264.709496249612</c:v>
                </c:pt>
                <c:pt idx="83">
                  <c:v>291.157762970011</c:v>
                </c:pt>
                <c:pt idx="84">
                  <c:v>317.651395499535</c:v>
                </c:pt>
                <c:pt idx="85">
                  <c:v>344.145028029059</c:v>
                </c:pt>
                <c:pt idx="86">
                  <c:v>370.547928940332</c:v>
                </c:pt>
                <c:pt idx="87">
                  <c:v>211.76759699969</c:v>
                </c:pt>
                <c:pt idx="88">
                  <c:v>238.261229529214</c:v>
                </c:pt>
                <c:pt idx="89">
                  <c:v>264.709496249612</c:v>
                </c:pt>
                <c:pt idx="90">
                  <c:v>291.157762970011</c:v>
                </c:pt>
                <c:pt idx="91">
                  <c:v>317.651395499535</c:v>
                </c:pt>
                <c:pt idx="92">
                  <c:v>344.145028029059</c:v>
                </c:pt>
                <c:pt idx="93">
                  <c:v>370.547928940332</c:v>
                </c:pt>
                <c:pt idx="94">
                  <c:v>211.76759699969</c:v>
                </c:pt>
                <c:pt idx="95">
                  <c:v>238.261229529214</c:v>
                </c:pt>
                <c:pt idx="96">
                  <c:v>264.709496249612</c:v>
                </c:pt>
                <c:pt idx="97">
                  <c:v>291.157762970011</c:v>
                </c:pt>
                <c:pt idx="98">
                  <c:v>317.651395499535</c:v>
                </c:pt>
                <c:pt idx="99">
                  <c:v>344.145028029059</c:v>
                </c:pt>
                <c:pt idx="100">
                  <c:v>370.547928940332</c:v>
                </c:pt>
                <c:pt idx="101">
                  <c:v>185.273964470166</c:v>
                </c:pt>
                <c:pt idx="102">
                  <c:v>211.76759699969</c:v>
                </c:pt>
                <c:pt idx="103">
                  <c:v>238.261229529214</c:v>
                </c:pt>
                <c:pt idx="104">
                  <c:v>264.709496249612</c:v>
                </c:pt>
                <c:pt idx="105">
                  <c:v>291.157762970011</c:v>
                </c:pt>
                <c:pt idx="106">
                  <c:v>317.651395499535</c:v>
                </c:pt>
                <c:pt idx="107">
                  <c:v>344.145028029059</c:v>
                </c:pt>
                <c:pt idx="108">
                  <c:v>370.547928940332</c:v>
                </c:pt>
                <c:pt idx="109">
                  <c:v>233.304692064372</c:v>
                </c:pt>
                <c:pt idx="110">
                  <c:v>251.2038920092</c:v>
                </c:pt>
                <c:pt idx="111">
                  <c:v>269.164601232189</c:v>
                </c:pt>
                <c:pt idx="112">
                  <c:v>287.125310455178</c:v>
                </c:pt>
                <c:pt idx="113">
                  <c:v>305.086019678167</c:v>
                </c:pt>
                <c:pt idx="114">
                  <c:v>251.2038920092</c:v>
                </c:pt>
                <c:pt idx="115">
                  <c:v>269.164601232189</c:v>
                </c:pt>
                <c:pt idx="116">
                  <c:v>287.125310455178</c:v>
                </c:pt>
                <c:pt idx="117">
                  <c:v>305.086019678167</c:v>
                </c:pt>
                <c:pt idx="118">
                  <c:v>176.286173520268</c:v>
                </c:pt>
                <c:pt idx="119">
                  <c:v>242.346302783752</c:v>
                </c:pt>
                <c:pt idx="120">
                  <c:v>308.406432047236</c:v>
                </c:pt>
                <c:pt idx="121">
                  <c:v>242.346302783752</c:v>
                </c:pt>
                <c:pt idx="122">
                  <c:v>308.406432047236</c:v>
                </c:pt>
                <c:pt idx="123">
                  <c:v>208.779739289304</c:v>
                </c:pt>
                <c:pt idx="124">
                  <c:v>253.500001682973</c:v>
                </c:pt>
                <c:pt idx="125">
                  <c:v>298.220264076643</c:v>
                </c:pt>
                <c:pt idx="126">
                  <c:v>208.779739289304</c:v>
                </c:pt>
                <c:pt idx="127">
                  <c:v>253.500001682973</c:v>
                </c:pt>
                <c:pt idx="128">
                  <c:v>298.220264076643</c:v>
                </c:pt>
                <c:pt idx="129">
                  <c:v>226.45530266576</c:v>
                </c:pt>
                <c:pt idx="130">
                  <c:v>260.413895610496</c:v>
                </c:pt>
                <c:pt idx="131">
                  <c:v>294.372488555233</c:v>
                </c:pt>
                <c:pt idx="132">
                  <c:v>226.45530266576</c:v>
                </c:pt>
                <c:pt idx="133">
                  <c:v>260.413895610496</c:v>
                </c:pt>
                <c:pt idx="134">
                  <c:v>294.372488555233</c:v>
                </c:pt>
                <c:pt idx="135">
                  <c:v>274.143632212731</c:v>
                </c:pt>
                <c:pt idx="136">
                  <c:v>294.202922374639</c:v>
                </c:pt>
                <c:pt idx="137">
                  <c:v>316.936784558133</c:v>
                </c:pt>
                <c:pt idx="138">
                  <c:v>336.996074720041</c:v>
                </c:pt>
                <c:pt idx="139">
                  <c:v>359.729936903535</c:v>
                </c:pt>
                <c:pt idx="140">
                  <c:v>379.789227065442</c:v>
                </c:pt>
                <c:pt idx="141">
                  <c:v>403.860375259731</c:v>
                </c:pt>
                <c:pt idx="142">
                  <c:v>251.409770029237</c:v>
                </c:pt>
                <c:pt idx="143">
                  <c:v>274.143632212731</c:v>
                </c:pt>
                <c:pt idx="144">
                  <c:v>295.540208385432</c:v>
                </c:pt>
                <c:pt idx="145">
                  <c:v>314.930855541943</c:v>
                </c:pt>
                <c:pt idx="146">
                  <c:v>336.996074720041</c:v>
                </c:pt>
                <c:pt idx="147">
                  <c:v>359.061293898138</c:v>
                </c:pt>
                <c:pt idx="148">
                  <c:v>377.783298049252</c:v>
                </c:pt>
                <c:pt idx="149">
                  <c:v>395.836659194968</c:v>
                </c:pt>
                <c:pt idx="150">
                  <c:v>201.33268539096</c:v>
                </c:pt>
                <c:pt idx="151">
                  <c:v>235.281479050211</c:v>
                </c:pt>
                <c:pt idx="152">
                  <c:v>268.141006602748</c:v>
                </c:pt>
                <c:pt idx="153">
                  <c:v>300.818989804166</c:v>
                </c:pt>
                <c:pt idx="154">
                  <c:v>333.133884303346</c:v>
                </c:pt>
                <c:pt idx="155">
                  <c:v>366.356500558121</c:v>
                </c:pt>
                <c:pt idx="156">
                  <c:v>169.743968296255</c:v>
                </c:pt>
                <c:pt idx="157">
                  <c:v>201.877318444317</c:v>
                </c:pt>
                <c:pt idx="158">
                  <c:v>234.736845996854</c:v>
                </c:pt>
                <c:pt idx="159">
                  <c:v>267.233284847153</c:v>
                </c:pt>
                <c:pt idx="160">
                  <c:v>301.000534155285</c:v>
                </c:pt>
                <c:pt idx="161">
                  <c:v>333.133884303346</c:v>
                </c:pt>
                <c:pt idx="162">
                  <c:v>348.746698499579</c:v>
                </c:pt>
                <c:pt idx="163">
                  <c:v>310.309853574738</c:v>
                </c:pt>
                <c:pt idx="164">
                  <c:v>330.286882774829</c:v>
                </c:pt>
                <c:pt idx="165">
                  <c:v>334.282288614847</c:v>
                </c:pt>
                <c:pt idx="166">
                  <c:v>351.151779939368</c:v>
                </c:pt>
                <c:pt idx="167">
                  <c:v>362.694063477198</c:v>
                </c:pt>
                <c:pt idx="168">
                  <c:v>375.568148961701</c:v>
                </c:pt>
                <c:pt idx="169">
                  <c:v>387.110432499531</c:v>
                </c:pt>
                <c:pt idx="170">
                  <c:v>400.872385948482</c:v>
                </c:pt>
                <c:pt idx="171">
                  <c:v>308.978051628066</c:v>
                </c:pt>
                <c:pt idx="172">
                  <c:v>322.296071094793</c:v>
                </c:pt>
                <c:pt idx="173">
                  <c:v>334.726222597071</c:v>
                </c:pt>
                <c:pt idx="174">
                  <c:v>347.600308081574</c:v>
                </c:pt>
                <c:pt idx="175">
                  <c:v>361.362261530525</c:v>
                </c:pt>
                <c:pt idx="176">
                  <c:v>375.568148961701</c:v>
                </c:pt>
                <c:pt idx="177">
                  <c:v>388.442234446203</c:v>
                </c:pt>
                <c:pt idx="178">
                  <c:v>399.984517984033</c:v>
                </c:pt>
                <c:pt idx="179">
                  <c:v>323.627873041465</c:v>
                </c:pt>
                <c:pt idx="180">
                  <c:v>336.501958525968</c:v>
                </c:pt>
                <c:pt idx="181">
                  <c:v>354.703251797162</c:v>
                </c:pt>
                <c:pt idx="182">
                  <c:v>365.357667370543</c:v>
                </c:pt>
                <c:pt idx="183">
                  <c:v>375.568148961701</c:v>
                </c:pt>
                <c:pt idx="184">
                  <c:v>386.666498517306</c:v>
                </c:pt>
                <c:pt idx="185">
                  <c:v>401.316319930706</c:v>
                </c:pt>
                <c:pt idx="186">
                  <c:v>224.936489423332</c:v>
                </c:pt>
                <c:pt idx="187">
                  <c:v>259.897640308412</c:v>
                </c:pt>
                <c:pt idx="188">
                  <c:v>294.740278817611</c:v>
                </c:pt>
                <c:pt idx="189">
                  <c:v>224.936489423332</c:v>
                </c:pt>
                <c:pt idx="190">
                  <c:v>259.423590804886</c:v>
                </c:pt>
                <c:pt idx="191">
                  <c:v>294.147716938203</c:v>
                </c:pt>
                <c:pt idx="192">
                  <c:v>154.303113397881</c:v>
                </c:pt>
                <c:pt idx="193">
                  <c:v>190.330875665896</c:v>
                </c:pt>
                <c:pt idx="194">
                  <c:v>224.343927543924</c:v>
                </c:pt>
                <c:pt idx="195">
                  <c:v>258.475491797833</c:v>
                </c:pt>
                <c:pt idx="196">
                  <c:v>306.710028781656</c:v>
                </c:pt>
                <c:pt idx="197">
                  <c:v>179.888040262956</c:v>
                </c:pt>
                <c:pt idx="198">
                  <c:v>225.296671785643</c:v>
                </c:pt>
                <c:pt idx="199">
                  <c:v>270.705303308331</c:v>
                </c:pt>
                <c:pt idx="200">
                  <c:v>176.839573733521</c:v>
                </c:pt>
                <c:pt idx="201">
                  <c:v>220.752756472718</c:v>
                </c:pt>
                <c:pt idx="202">
                  <c:v>264.665939211914</c:v>
                </c:pt>
                <c:pt idx="203">
                  <c:v>234.722345423214</c:v>
                </c:pt>
                <c:pt idx="204">
                  <c:v>315.661085224322</c:v>
                </c:pt>
                <c:pt idx="205">
                  <c:v>364.224329104987</c:v>
                </c:pt>
                <c:pt idx="206">
                  <c:v>404.693699005541</c:v>
                </c:pt>
                <c:pt idx="207">
                  <c:v>469.444690846428</c:v>
                </c:pt>
                <c:pt idx="208">
                  <c:v>526.101808707204</c:v>
                </c:pt>
                <c:pt idx="209">
                  <c:v>270.870133310726</c:v>
                </c:pt>
                <c:pt idx="210">
                  <c:v>308.048386902394</c:v>
                </c:pt>
                <c:pt idx="211">
                  <c:v>355.848998663111</c:v>
                </c:pt>
                <c:pt idx="212">
                  <c:v>377.093715001207</c:v>
                </c:pt>
                <c:pt idx="213">
                  <c:v>424.894326761923</c:v>
                </c:pt>
                <c:pt idx="214">
                  <c:v>525.80672936788</c:v>
                </c:pt>
                <c:pt idx="215">
                  <c:v>246.921912945398</c:v>
                </c:pt>
                <c:pt idx="216">
                  <c:v>283.23395896678</c:v>
                </c:pt>
                <c:pt idx="217">
                  <c:v>315.914800386024</c:v>
                </c:pt>
                <c:pt idx="218">
                  <c:v>355.858051009545</c:v>
                </c:pt>
                <c:pt idx="219">
                  <c:v>395.801301633065</c:v>
                </c:pt>
                <c:pt idx="220">
                  <c:v>432.113347654447</c:v>
                </c:pt>
                <c:pt idx="221">
                  <c:v>468.425393675829</c:v>
                </c:pt>
                <c:pt idx="222">
                  <c:v>501.106235095073</c:v>
                </c:pt>
                <c:pt idx="223">
                  <c:v>370.747284048733</c:v>
                </c:pt>
                <c:pt idx="224">
                  <c:v>443.284796145224</c:v>
                </c:pt>
                <c:pt idx="225">
                  <c:v>523.882031807992</c:v>
                </c:pt>
                <c:pt idx="226">
                  <c:v>264.280094309474</c:v>
                </c:pt>
                <c:pt idx="227">
                  <c:v>301.2793075128</c:v>
                </c:pt>
                <c:pt idx="228">
                  <c:v>348.849724488505</c:v>
                </c:pt>
                <c:pt idx="229">
                  <c:v>369.992132033263</c:v>
                </c:pt>
                <c:pt idx="230">
                  <c:v>401.7057433504</c:v>
                </c:pt>
                <c:pt idx="231">
                  <c:v>422.848150895158</c:v>
                </c:pt>
                <c:pt idx="232">
                  <c:v>474.647049379814</c:v>
                </c:pt>
                <c:pt idx="233">
                  <c:v>526.445947864471</c:v>
                </c:pt>
                <c:pt idx="234">
                  <c:v>303.402568314191</c:v>
                </c:pt>
                <c:pt idx="235">
                  <c:v>317.850309662485</c:v>
                </c:pt>
                <c:pt idx="236">
                  <c:v>353.969663033222</c:v>
                </c:pt>
                <c:pt idx="237">
                  <c:v>393.700951741033</c:v>
                </c:pt>
                <c:pt idx="238">
                  <c:v>429.82030511177</c:v>
                </c:pt>
                <c:pt idx="239">
                  <c:v>462.327723145433</c:v>
                </c:pt>
                <c:pt idx="240">
                  <c:v>502.059011853244</c:v>
                </c:pt>
                <c:pt idx="241">
                  <c:v>151.171969977459</c:v>
                </c:pt>
                <c:pt idx="242">
                  <c:v>201.706599941352</c:v>
                </c:pt>
                <c:pt idx="243">
                  <c:v>230.64523419418</c:v>
                </c:pt>
                <c:pt idx="244">
                  <c:v>263.903067589221</c:v>
                </c:pt>
                <c:pt idx="245">
                  <c:v>315.733457295778</c:v>
                </c:pt>
                <c:pt idx="246">
                  <c:v>342.080572063278</c:v>
                </c:pt>
                <c:pt idx="247">
                  <c:v>380.521444428975</c:v>
                </c:pt>
                <c:pt idx="248">
                  <c:v>361.669574509028</c:v>
                </c:pt>
                <c:pt idx="249">
                  <c:v>392.3</c:v>
                </c:pt>
                <c:pt idx="250">
                  <c:v>363.004148584707</c:v>
                </c:pt>
                <c:pt idx="251">
                  <c:v>392.3</c:v>
                </c:pt>
                <c:pt idx="252">
                  <c:v>363.004148584707</c:v>
                </c:pt>
                <c:pt idx="253">
                  <c:v>392.3</c:v>
                </c:pt>
                <c:pt idx="254">
                  <c:v>364.338722660386</c:v>
                </c:pt>
                <c:pt idx="255">
                  <c:v>392.3</c:v>
                </c:pt>
                <c:pt idx="256">
                  <c:v>317.102697940788</c:v>
                </c:pt>
                <c:pt idx="257">
                  <c:v>392.3</c:v>
                </c:pt>
                <c:pt idx="258">
                  <c:v>319.135407542973</c:v>
                </c:pt>
                <c:pt idx="259">
                  <c:v>392.3</c:v>
                </c:pt>
                <c:pt idx="260">
                  <c:v>260.029022246808</c:v>
                </c:pt>
                <c:pt idx="261">
                  <c:v>365.3741133109</c:v>
                </c:pt>
                <c:pt idx="262">
                  <c:v>392.3</c:v>
                </c:pt>
                <c:pt idx="263">
                  <c:v>261.362504412177</c:v>
                </c:pt>
                <c:pt idx="264">
                  <c:v>366.707595476268</c:v>
                </c:pt>
                <c:pt idx="265">
                  <c:v>187.025739041386</c:v>
                </c:pt>
                <c:pt idx="266">
                  <c:v>261.07653927097</c:v>
                </c:pt>
                <c:pt idx="267">
                  <c:v>336.076708734267</c:v>
                </c:pt>
                <c:pt idx="268">
                  <c:v>392.3</c:v>
                </c:pt>
                <c:pt idx="269">
                  <c:v>186.076369807673</c:v>
                </c:pt>
                <c:pt idx="270">
                  <c:v>259.177800803545</c:v>
                </c:pt>
                <c:pt idx="271">
                  <c:v>333.228601033129</c:v>
                </c:pt>
                <c:pt idx="272">
                  <c:v>365.472691516251</c:v>
                </c:pt>
                <c:pt idx="273">
                  <c:v>392.3</c:v>
                </c:pt>
                <c:pt idx="274">
                  <c:v>365.472691516251</c:v>
                </c:pt>
                <c:pt idx="275">
                  <c:v>392.3</c:v>
                </c:pt>
                <c:pt idx="276">
                  <c:v>221.310131801498</c:v>
                </c:pt>
                <c:pt idx="277">
                  <c:v>259.140923562438</c:v>
                </c:pt>
                <c:pt idx="278">
                  <c:v>296.025945529354</c:v>
                </c:pt>
                <c:pt idx="279">
                  <c:v>333.856737290294</c:v>
                </c:pt>
                <c:pt idx="280">
                  <c:v>369.795989463187</c:v>
                </c:pt>
                <c:pt idx="281">
                  <c:v>392.3</c:v>
                </c:pt>
                <c:pt idx="282">
                  <c:v>296.025945529354</c:v>
                </c:pt>
                <c:pt idx="283">
                  <c:v>331.965197702247</c:v>
                </c:pt>
                <c:pt idx="284">
                  <c:v>369.795989463187</c:v>
                </c:pt>
                <c:pt idx="285">
                  <c:v>392.3</c:v>
                </c:pt>
                <c:pt idx="286">
                  <c:v>203.022493137384</c:v>
                </c:pt>
                <c:pt idx="287">
                  <c:v>244.500206789107</c:v>
                </c:pt>
                <c:pt idx="288">
                  <c:v>275.8</c:v>
                </c:pt>
                <c:pt idx="289">
                  <c:v>275.8</c:v>
                </c:pt>
                <c:pt idx="290">
                  <c:v>249.745884346061</c:v>
                </c:pt>
                <c:pt idx="291">
                  <c:v>275.8</c:v>
                </c:pt>
                <c:pt idx="292">
                  <c:v>271.289437560374</c:v>
                </c:pt>
                <c:pt idx="293">
                  <c:v>195.113525980031</c:v>
                </c:pt>
                <c:pt idx="294">
                  <c:v>226.947036463892</c:v>
                </c:pt>
                <c:pt idx="295">
                  <c:v>260.91293520983</c:v>
                </c:pt>
                <c:pt idx="296">
                  <c:v>275.8</c:v>
                </c:pt>
                <c:pt idx="297">
                  <c:v>259.632151766165</c:v>
                </c:pt>
                <c:pt idx="298">
                  <c:v>275.8</c:v>
                </c:pt>
                <c:pt idx="299">
                  <c:v>194.21192690601</c:v>
                </c:pt>
                <c:pt idx="300">
                  <c:v>225.898338087397</c:v>
                </c:pt>
                <c:pt idx="301">
                  <c:v>259.707283989067</c:v>
                </c:pt>
                <c:pt idx="302">
                  <c:v>275.8</c:v>
                </c:pt>
                <c:pt idx="303">
                  <c:v>194.354596032503</c:v>
                </c:pt>
                <c:pt idx="304">
                  <c:v>226.064284222037</c:v>
                </c:pt>
                <c:pt idx="305">
                  <c:v>259.898066357281</c:v>
                </c:pt>
                <c:pt idx="306">
                  <c:v>275.8</c:v>
                </c:pt>
                <c:pt idx="307">
                  <c:v>234.115818289886</c:v>
                </c:pt>
                <c:pt idx="308">
                  <c:v>274.847284751406</c:v>
                </c:pt>
                <c:pt idx="309">
                  <c:v>179.495600322604</c:v>
                </c:pt>
                <c:pt idx="310">
                  <c:v>212.742542651488</c:v>
                </c:pt>
                <c:pt idx="311">
                  <c:v>245.231719913046</c:v>
                </c:pt>
                <c:pt idx="312">
                  <c:v>275.8</c:v>
                </c:pt>
                <c:pt idx="313">
                  <c:v>212.947491588265</c:v>
                </c:pt>
                <c:pt idx="314">
                  <c:v>179.495600322604</c:v>
                </c:pt>
                <c:pt idx="315">
                  <c:v>212.742542651488</c:v>
                </c:pt>
                <c:pt idx="316">
                  <c:v>245.231719913046</c:v>
                </c:pt>
                <c:pt idx="317">
                  <c:v>275.8</c:v>
                </c:pt>
                <c:pt idx="318">
                  <c:v>213.428114144873</c:v>
                </c:pt>
                <c:pt idx="319">
                  <c:v>246.021989101103</c:v>
                </c:pt>
                <c:pt idx="320">
                  <c:v>275.8</c:v>
                </c:pt>
                <c:pt idx="321">
                  <c:v>170.803299154682</c:v>
                </c:pt>
                <c:pt idx="322">
                  <c:v>210.242000847909</c:v>
                </c:pt>
                <c:pt idx="323">
                  <c:v>245.135722048608</c:v>
                </c:pt>
                <c:pt idx="324">
                  <c:v>270.059808620536</c:v>
                </c:pt>
                <c:pt idx="325">
                  <c:v>275.8</c:v>
                </c:pt>
                <c:pt idx="326">
                  <c:v>170.327728419202</c:v>
                </c:pt>
                <c:pt idx="327">
                  <c:v>209.656620217284</c:v>
                </c:pt>
                <c:pt idx="328">
                  <c:v>244.453186194769</c:v>
                </c:pt>
                <c:pt idx="329">
                  <c:v>269.307876178686</c:v>
                </c:pt>
                <c:pt idx="330">
                  <c:v>275.8</c:v>
                </c:pt>
                <c:pt idx="331">
                  <c:v>183.230305477513</c:v>
                </c:pt>
                <c:pt idx="332">
                  <c:v>219.890332297519</c:v>
                </c:pt>
                <c:pt idx="333">
                  <c:v>248.170924415809</c:v>
                </c:pt>
                <c:pt idx="334">
                  <c:v>275.8</c:v>
                </c:pt>
                <c:pt idx="335">
                  <c:v>219.890332297519</c:v>
                </c:pt>
                <c:pt idx="336">
                  <c:v>248.170924415809</c:v>
                </c:pt>
                <c:pt idx="337">
                  <c:v>275.8</c:v>
                </c:pt>
                <c:pt idx="338">
                  <c:v>184.086480713456</c:v>
                </c:pt>
                <c:pt idx="339">
                  <c:v>143.792876986957</c:v>
                </c:pt>
                <c:pt idx="340">
                  <c:v>183.642990294518</c:v>
                </c:pt>
              </c:numCache>
            </c:numRef>
          </c:xVal>
          <c:yVal>
            <c:numRef>
              <c:f>'Com TS variável MC2020'!$AF$11:$AF$351</c:f>
              <c:numCache>
                <c:formatCode>0.00</c:formatCode>
                <c:ptCount val="341"/>
                <c:pt idx="0">
                  <c:v>0.875763465123651</c:v>
                </c:pt>
                <c:pt idx="1">
                  <c:v>0.800656858149517</c:v>
                </c:pt>
                <c:pt idx="2">
                  <c:v>0.795380008312283</c:v>
                </c:pt>
                <c:pt idx="3">
                  <c:v>0.724781682988593</c:v>
                </c:pt>
                <c:pt idx="4">
                  <c:v>0.685098606495662</c:v>
                </c:pt>
                <c:pt idx="5">
                  <c:v>0.701975080824499</c:v>
                </c:pt>
                <c:pt idx="6">
                  <c:v>1.04441938795883</c:v>
                </c:pt>
                <c:pt idx="7">
                  <c:v>0.926583062488952</c:v>
                </c:pt>
                <c:pt idx="8">
                  <c:v>0.824993429239537</c:v>
                </c:pt>
                <c:pt idx="9">
                  <c:v>1.15796356414957</c:v>
                </c:pt>
                <c:pt idx="10">
                  <c:v>1.19358708820993</c:v>
                </c:pt>
                <c:pt idx="11">
                  <c:v>1.0053691087764</c:v>
                </c:pt>
                <c:pt idx="12">
                  <c:v>1.04061927381803</c:v>
                </c:pt>
                <c:pt idx="13">
                  <c:v>1.19472025472626</c:v>
                </c:pt>
                <c:pt idx="14">
                  <c:v>1.08466304193493</c:v>
                </c:pt>
                <c:pt idx="15">
                  <c:v>1.27378039112538</c:v>
                </c:pt>
                <c:pt idx="16">
                  <c:v>1.29333744555739</c:v>
                </c:pt>
                <c:pt idx="17">
                  <c:v>1.12690450309284</c:v>
                </c:pt>
                <c:pt idx="18">
                  <c:v>1.28057329896914</c:v>
                </c:pt>
                <c:pt idx="19">
                  <c:v>1.50718242152836</c:v>
                </c:pt>
                <c:pt idx="20">
                  <c:v>1.61743577542172</c:v>
                </c:pt>
                <c:pt idx="21">
                  <c:v>1.53594701159521</c:v>
                </c:pt>
                <c:pt idx="22">
                  <c:v>1.41696569497205</c:v>
                </c:pt>
                <c:pt idx="23">
                  <c:v>1.61921855079595</c:v>
                </c:pt>
                <c:pt idx="24">
                  <c:v>1.54993189925921</c:v>
                </c:pt>
                <c:pt idx="25">
                  <c:v>2.33734006152171</c:v>
                </c:pt>
                <c:pt idx="26">
                  <c:v>1.49307775390943</c:v>
                </c:pt>
                <c:pt idx="27">
                  <c:v>1.50203625475421</c:v>
                </c:pt>
                <c:pt idx="28">
                  <c:v>1.84976072927937</c:v>
                </c:pt>
                <c:pt idx="29">
                  <c:v>1.80433320222707</c:v>
                </c:pt>
                <c:pt idx="30">
                  <c:v>1.72379791783135</c:v>
                </c:pt>
                <c:pt idx="31">
                  <c:v>1.41647670625553</c:v>
                </c:pt>
                <c:pt idx="32">
                  <c:v>1.30512089133421</c:v>
                </c:pt>
                <c:pt idx="33">
                  <c:v>1.65470684437016</c:v>
                </c:pt>
                <c:pt idx="34">
                  <c:v>1.84115268598934</c:v>
                </c:pt>
                <c:pt idx="35">
                  <c:v>3.30277245532524</c:v>
                </c:pt>
                <c:pt idx="36">
                  <c:v>1.79956123392512</c:v>
                </c:pt>
                <c:pt idx="37">
                  <c:v>1.65676962192801</c:v>
                </c:pt>
                <c:pt idx="38">
                  <c:v>1.58967517010266</c:v>
                </c:pt>
                <c:pt idx="39">
                  <c:v>1.60819985169209</c:v>
                </c:pt>
                <c:pt idx="40">
                  <c:v>1.84639575832811</c:v>
                </c:pt>
                <c:pt idx="41">
                  <c:v>1.88611939775683</c:v>
                </c:pt>
                <c:pt idx="42">
                  <c:v>1.98651865269514</c:v>
                </c:pt>
                <c:pt idx="43">
                  <c:v>1.89276893390206</c:v>
                </c:pt>
                <c:pt idx="44">
                  <c:v>1.79193912937108</c:v>
                </c:pt>
                <c:pt idx="45">
                  <c:v>1.78797543694734</c:v>
                </c:pt>
                <c:pt idx="46">
                  <c:v>1.52685856008886</c:v>
                </c:pt>
                <c:pt idx="47">
                  <c:v>1.79314951632827</c:v>
                </c:pt>
                <c:pt idx="48">
                  <c:v>1.92978060086116</c:v>
                </c:pt>
                <c:pt idx="49">
                  <c:v>1.88462275786341</c:v>
                </c:pt>
                <c:pt idx="50">
                  <c:v>1.43782043969346</c:v>
                </c:pt>
                <c:pt idx="51">
                  <c:v>1.40769201680666</c:v>
                </c:pt>
                <c:pt idx="52">
                  <c:v>1.24159941261775</c:v>
                </c:pt>
                <c:pt idx="53">
                  <c:v>1.49497866932851</c:v>
                </c:pt>
                <c:pt idx="54">
                  <c:v>1.32466187147597</c:v>
                </c:pt>
                <c:pt idx="55">
                  <c:v>2.21714180824599</c:v>
                </c:pt>
                <c:pt idx="56">
                  <c:v>2.12190520807918</c:v>
                </c:pt>
                <c:pt idx="57">
                  <c:v>1.85452662006636</c:v>
                </c:pt>
                <c:pt idx="58">
                  <c:v>1.57758380617642</c:v>
                </c:pt>
                <c:pt idx="59">
                  <c:v>1.49437506607983</c:v>
                </c:pt>
                <c:pt idx="60">
                  <c:v>1.51876451426315</c:v>
                </c:pt>
                <c:pt idx="61">
                  <c:v>1.72535906804253</c:v>
                </c:pt>
                <c:pt idx="62">
                  <c:v>1.85194620725057</c:v>
                </c:pt>
                <c:pt idx="63">
                  <c:v>1.70785721837695</c:v>
                </c:pt>
                <c:pt idx="64">
                  <c:v>1.64274529093769</c:v>
                </c:pt>
                <c:pt idx="65">
                  <c:v>1.85411720744869</c:v>
                </c:pt>
                <c:pt idx="66">
                  <c:v>2.34020671606277</c:v>
                </c:pt>
                <c:pt idx="67">
                  <c:v>1.54309653510528</c:v>
                </c:pt>
                <c:pt idx="68">
                  <c:v>2.09968539708848</c:v>
                </c:pt>
                <c:pt idx="69">
                  <c:v>1.68793380873385</c:v>
                </c:pt>
                <c:pt idx="70">
                  <c:v>2.18044252774573</c:v>
                </c:pt>
                <c:pt idx="71">
                  <c:v>1.65980157858829</c:v>
                </c:pt>
                <c:pt idx="72">
                  <c:v>1.19045843574822</c:v>
                </c:pt>
                <c:pt idx="73">
                  <c:v>1.10543077339997</c:v>
                </c:pt>
                <c:pt idx="74">
                  <c:v>1.15753751875842</c:v>
                </c:pt>
                <c:pt idx="75">
                  <c:v>1.1110323465629</c:v>
                </c:pt>
                <c:pt idx="76">
                  <c:v>1.07376888002142</c:v>
                </c:pt>
                <c:pt idx="77">
                  <c:v>1.40857830203833</c:v>
                </c:pt>
                <c:pt idx="78">
                  <c:v>1.36282339433559</c:v>
                </c:pt>
                <c:pt idx="79">
                  <c:v>1.95438816860403</c:v>
                </c:pt>
                <c:pt idx="80">
                  <c:v>1.61234710168107</c:v>
                </c:pt>
                <c:pt idx="81">
                  <c:v>1.45912826893307</c:v>
                </c:pt>
                <c:pt idx="82">
                  <c:v>1.28119126496354</c:v>
                </c:pt>
                <c:pt idx="83">
                  <c:v>1.05358998498811</c:v>
                </c:pt>
                <c:pt idx="84">
                  <c:v>0.958312026497658</c:v>
                </c:pt>
                <c:pt idx="85">
                  <c:v>0.915794510635901</c:v>
                </c:pt>
                <c:pt idx="86">
                  <c:v>0.809869029366986</c:v>
                </c:pt>
                <c:pt idx="87">
                  <c:v>1.2092603262608</c:v>
                </c:pt>
                <c:pt idx="88">
                  <c:v>1.05057235363181</c:v>
                </c:pt>
                <c:pt idx="89">
                  <c:v>0.915136617831101</c:v>
                </c:pt>
                <c:pt idx="90">
                  <c:v>0.940705343739384</c:v>
                </c:pt>
                <c:pt idx="91">
                  <c:v>0.958312026497658</c:v>
                </c:pt>
                <c:pt idx="92">
                  <c:v>0.915794510635901</c:v>
                </c:pt>
                <c:pt idx="93">
                  <c:v>0.932576458058954</c:v>
                </c:pt>
                <c:pt idx="94">
                  <c:v>1.17857316256288</c:v>
                </c:pt>
                <c:pt idx="95">
                  <c:v>1.11528294127032</c:v>
                </c:pt>
                <c:pt idx="96">
                  <c:v>1.02324255782165</c:v>
                </c:pt>
                <c:pt idx="97">
                  <c:v>1.00209074142383</c:v>
                </c:pt>
                <c:pt idx="98">
                  <c:v>0.948256973322519</c:v>
                </c:pt>
                <c:pt idx="99">
                  <c:v>1.00751235636741</c:v>
                </c:pt>
                <c:pt idx="100">
                  <c:v>0.904247089029989</c:v>
                </c:pt>
                <c:pt idx="101">
                  <c:v>1.61028767454381</c:v>
                </c:pt>
                <c:pt idx="102">
                  <c:v>1.41428779507545</c:v>
                </c:pt>
                <c:pt idx="103">
                  <c:v>1.11528294127032</c:v>
                </c:pt>
                <c:pt idx="104">
                  <c:v>1.27905319727706</c:v>
                </c:pt>
                <c:pt idx="105">
                  <c:v>1.21993655477684</c:v>
                </c:pt>
                <c:pt idx="106">
                  <c:v>1.25169920478573</c:v>
                </c:pt>
                <c:pt idx="107">
                  <c:v>1.27618231806538</c:v>
                </c:pt>
                <c:pt idx="108">
                  <c:v>1.29608749427632</c:v>
                </c:pt>
                <c:pt idx="109">
                  <c:v>0.990411628996573</c:v>
                </c:pt>
                <c:pt idx="110">
                  <c:v>1.06146579888548</c:v>
                </c:pt>
                <c:pt idx="111">
                  <c:v>0.958651475059762</c:v>
                </c:pt>
                <c:pt idx="112">
                  <c:v>0.971106269375829</c:v>
                </c:pt>
                <c:pt idx="113">
                  <c:v>0.892308958945123</c:v>
                </c:pt>
                <c:pt idx="114">
                  <c:v>0.884554832404567</c:v>
                </c:pt>
                <c:pt idx="115">
                  <c:v>0.958651475059762</c:v>
                </c:pt>
                <c:pt idx="116">
                  <c:v>0.971106269375829</c:v>
                </c:pt>
                <c:pt idx="117">
                  <c:v>0.892308958945123</c:v>
                </c:pt>
                <c:pt idx="118">
                  <c:v>5.50236345034903</c:v>
                </c:pt>
                <c:pt idx="119">
                  <c:v>1.86636651610963</c:v>
                </c:pt>
                <c:pt idx="120">
                  <c:v>1.42516458866495</c:v>
                </c:pt>
                <c:pt idx="121">
                  <c:v>1.71705719482086</c:v>
                </c:pt>
                <c:pt idx="122">
                  <c:v>1.20923056007935</c:v>
                </c:pt>
                <c:pt idx="123">
                  <c:v>2.10548089121698</c:v>
                </c:pt>
                <c:pt idx="124">
                  <c:v>1.50866195331755</c:v>
                </c:pt>
                <c:pt idx="125">
                  <c:v>1.13939448923465</c:v>
                </c:pt>
                <c:pt idx="126">
                  <c:v>2.10548089121698</c:v>
                </c:pt>
                <c:pt idx="127">
                  <c:v>1.50866195331755</c:v>
                </c:pt>
                <c:pt idx="128">
                  <c:v>1.13939448923465</c:v>
                </c:pt>
                <c:pt idx="129">
                  <c:v>1.28098157104654</c:v>
                </c:pt>
                <c:pt idx="130">
                  <c:v>0.896994060812147</c:v>
                </c:pt>
                <c:pt idx="131">
                  <c:v>0.828147170412001</c:v>
                </c:pt>
                <c:pt idx="132">
                  <c:v>1.53717788525584</c:v>
                </c:pt>
                <c:pt idx="133">
                  <c:v>1.19599208108286</c:v>
                </c:pt>
                <c:pt idx="134">
                  <c:v>1.058188051082</c:v>
                </c:pt>
                <c:pt idx="135">
                  <c:v>0.990323297137648</c:v>
                </c:pt>
                <c:pt idx="136">
                  <c:v>0.910674408911312</c:v>
                </c:pt>
                <c:pt idx="137">
                  <c:v>0.838362340075396</c:v>
                </c:pt>
                <c:pt idx="138">
                  <c:v>0.801011760649879</c:v>
                </c:pt>
                <c:pt idx="139">
                  <c:v>0.760559254582684</c:v>
                </c:pt>
                <c:pt idx="140">
                  <c:v>0.73937241787912</c:v>
                </c:pt>
                <c:pt idx="141">
                  <c:v>0.708931913632524</c:v>
                </c:pt>
                <c:pt idx="142">
                  <c:v>1.24317517244877</c:v>
                </c:pt>
                <c:pt idx="143">
                  <c:v>1.05221850320875</c:v>
                </c:pt>
                <c:pt idx="144">
                  <c:v>0.949706219800021</c:v>
                </c:pt>
                <c:pt idx="145">
                  <c:v>0.851240949757879</c:v>
                </c:pt>
                <c:pt idx="146">
                  <c:v>0.801011760649879</c:v>
                </c:pt>
                <c:pt idx="147">
                  <c:v>0.763470020323565</c:v>
                </c:pt>
                <c:pt idx="148">
                  <c:v>0.747039822078096</c:v>
                </c:pt>
                <c:pt idx="149">
                  <c:v>0.762108131613512</c:v>
                </c:pt>
                <c:pt idx="150">
                  <c:v>0.808905620359528</c:v>
                </c:pt>
                <c:pt idx="151">
                  <c:v>0.753134719298674</c:v>
                </c:pt>
                <c:pt idx="152">
                  <c:v>0.751937249147625</c:v>
                </c:pt>
                <c:pt idx="153">
                  <c:v>0.724835786972435</c:v>
                </c:pt>
                <c:pt idx="154">
                  <c:v>0.752536957386148</c:v>
                </c:pt>
                <c:pt idx="155">
                  <c:v>0.709161294613704</c:v>
                </c:pt>
                <c:pt idx="156">
                  <c:v>1.00872984078474</c:v>
                </c:pt>
                <c:pt idx="157">
                  <c:v>0.94764633977168</c:v>
                </c:pt>
                <c:pt idx="158">
                  <c:v>0.906796340015845</c:v>
                </c:pt>
                <c:pt idx="159">
                  <c:v>0.849873373003003</c:v>
                </c:pt>
                <c:pt idx="160">
                  <c:v>0.777908679270647</c:v>
                </c:pt>
                <c:pt idx="161">
                  <c:v>0.752536957386148</c:v>
                </c:pt>
                <c:pt idx="162">
                  <c:v>0.732186833029802</c:v>
                </c:pt>
                <c:pt idx="163">
                  <c:v>0.717501100863694</c:v>
                </c:pt>
                <c:pt idx="164">
                  <c:v>0.784425727953431</c:v>
                </c:pt>
                <c:pt idx="165">
                  <c:v>0.803707630231127</c:v>
                </c:pt>
                <c:pt idx="166">
                  <c:v>0.830788198007318</c:v>
                </c:pt>
                <c:pt idx="167">
                  <c:v>0.844587121561437</c:v>
                </c:pt>
                <c:pt idx="168">
                  <c:v>0.882250610927396</c:v>
                </c:pt>
                <c:pt idx="169">
                  <c:v>0.921173605738244</c:v>
                </c:pt>
                <c:pt idx="170">
                  <c:v>1.00175760835806</c:v>
                </c:pt>
                <c:pt idx="171">
                  <c:v>0.773513058470269</c:v>
                </c:pt>
                <c:pt idx="172">
                  <c:v>0.786188205070727</c:v>
                </c:pt>
                <c:pt idx="173">
                  <c:v>0.80133495484001</c:v>
                </c:pt>
                <c:pt idx="174">
                  <c:v>0.848861837757769</c:v>
                </c:pt>
                <c:pt idx="175">
                  <c:v>0.816903959899702</c:v>
                </c:pt>
                <c:pt idx="176">
                  <c:v>0.787723759756604</c:v>
                </c:pt>
                <c:pt idx="177">
                  <c:v>0.797077003699945</c:v>
                </c:pt>
                <c:pt idx="178">
                  <c:v>0.81029409010843</c:v>
                </c:pt>
                <c:pt idx="179">
                  <c:v>0.648892085416495</c:v>
                </c:pt>
                <c:pt idx="180">
                  <c:v>0.633586167009224</c:v>
                </c:pt>
                <c:pt idx="181">
                  <c:v>0.636627245560215</c:v>
                </c:pt>
                <c:pt idx="182">
                  <c:v>0.599154222959318</c:v>
                </c:pt>
                <c:pt idx="183">
                  <c:v>0.598670057415019</c:v>
                </c:pt>
                <c:pt idx="184">
                  <c:v>0.595609612265562</c:v>
                </c:pt>
                <c:pt idx="185">
                  <c:v>0.610932613201727</c:v>
                </c:pt>
                <c:pt idx="186">
                  <c:v>0.723846300611707</c:v>
                </c:pt>
                <c:pt idx="187">
                  <c:v>0.735970714079224</c:v>
                </c:pt>
                <c:pt idx="188">
                  <c:v>0.713650535908111</c:v>
                </c:pt>
                <c:pt idx="189">
                  <c:v>0.633365513035244</c:v>
                </c:pt>
                <c:pt idx="190">
                  <c:v>0.62716193307006</c:v>
                </c:pt>
                <c:pt idx="191">
                  <c:v>0.653336270432648</c:v>
                </c:pt>
                <c:pt idx="192">
                  <c:v>1.77076287235316</c:v>
                </c:pt>
                <c:pt idx="193">
                  <c:v>1.46328440215282</c:v>
                </c:pt>
                <c:pt idx="194">
                  <c:v>1.31709262077375</c:v>
                </c:pt>
                <c:pt idx="195">
                  <c:v>1.22363972660924</c:v>
                </c:pt>
                <c:pt idx="196">
                  <c:v>1.0893636721562</c:v>
                </c:pt>
                <c:pt idx="197">
                  <c:v>1.12011381944071</c:v>
                </c:pt>
                <c:pt idx="198">
                  <c:v>1.09654050943982</c:v>
                </c:pt>
                <c:pt idx="199">
                  <c:v>0.980439588382429</c:v>
                </c:pt>
                <c:pt idx="200">
                  <c:v>1.27896780475912</c:v>
                </c:pt>
                <c:pt idx="201">
                  <c:v>1.32158182985316</c:v>
                </c:pt>
                <c:pt idx="202">
                  <c:v>1.34531248375176</c:v>
                </c:pt>
                <c:pt idx="203">
                  <c:v>0.922695167347744</c:v>
                </c:pt>
                <c:pt idx="204">
                  <c:v>0.76760847713764</c:v>
                </c:pt>
                <c:pt idx="205">
                  <c:v>0.73703104106822</c:v>
                </c:pt>
                <c:pt idx="206">
                  <c:v>0.645213732885174</c:v>
                </c:pt>
                <c:pt idx="207">
                  <c:v>0.611342437703493</c:v>
                </c:pt>
                <c:pt idx="208">
                  <c:v>0.619123050454459</c:v>
                </c:pt>
                <c:pt idx="209">
                  <c:v>0.841976521283011</c:v>
                </c:pt>
                <c:pt idx="210">
                  <c:v>0.803079412788529</c:v>
                </c:pt>
                <c:pt idx="211">
                  <c:v>0.746846452557637</c:v>
                </c:pt>
                <c:pt idx="212">
                  <c:v>0.764116040640227</c:v>
                </c:pt>
                <c:pt idx="213">
                  <c:v>0.723391365064513</c:v>
                </c:pt>
                <c:pt idx="214">
                  <c:v>0.568524028681952</c:v>
                </c:pt>
                <c:pt idx="215">
                  <c:v>1.19687125404098</c:v>
                </c:pt>
                <c:pt idx="216">
                  <c:v>1.07758885868993</c:v>
                </c:pt>
                <c:pt idx="217">
                  <c:v>1.05181821741076</c:v>
                </c:pt>
                <c:pt idx="218">
                  <c:v>1.00800060114253</c:v>
                </c:pt>
                <c:pt idx="219">
                  <c:v>0.973919743492775</c:v>
                </c:pt>
                <c:pt idx="220">
                  <c:v>1.0261051294745</c:v>
                </c:pt>
                <c:pt idx="221">
                  <c:v>1.00470082129004</c:v>
                </c:pt>
                <c:pt idx="222">
                  <c:v>1.11484645239103</c:v>
                </c:pt>
                <c:pt idx="223">
                  <c:v>0.507958383109447</c:v>
                </c:pt>
                <c:pt idx="224">
                  <c:v>0.511706041779113</c:v>
                </c:pt>
                <c:pt idx="225">
                  <c:v>0.547205312080398</c:v>
                </c:pt>
                <c:pt idx="226">
                  <c:v>0.844430067448609</c:v>
                </c:pt>
                <c:pt idx="227">
                  <c:v>0.806213372392394</c:v>
                </c:pt>
                <c:pt idx="228">
                  <c:v>0.821914597817636</c:v>
                </c:pt>
                <c:pt idx="229">
                  <c:v>0.834827037310054</c:v>
                </c:pt>
                <c:pt idx="230">
                  <c:v>0.912113508957359</c:v>
                </c:pt>
                <c:pt idx="231">
                  <c:v>0.91812812101139</c:v>
                </c:pt>
                <c:pt idx="232">
                  <c:v>0.907656536088764</c:v>
                </c:pt>
                <c:pt idx="233">
                  <c:v>1.05685339225455</c:v>
                </c:pt>
                <c:pt idx="234">
                  <c:v>0.829753878558271</c:v>
                </c:pt>
                <c:pt idx="235">
                  <c:v>0.886354435813561</c:v>
                </c:pt>
                <c:pt idx="236">
                  <c:v>0.787036809217191</c:v>
                </c:pt>
                <c:pt idx="237">
                  <c:v>0.77852650202221</c:v>
                </c:pt>
                <c:pt idx="238">
                  <c:v>0.707908281595919</c:v>
                </c:pt>
                <c:pt idx="239">
                  <c:v>0.654478743075997</c:v>
                </c:pt>
                <c:pt idx="240">
                  <c:v>0.659124069677044</c:v>
                </c:pt>
                <c:pt idx="241">
                  <c:v>2.65242286360222</c:v>
                </c:pt>
                <c:pt idx="242">
                  <c:v>2.09427969867109</c:v>
                </c:pt>
                <c:pt idx="243">
                  <c:v>2.06796817912195</c:v>
                </c:pt>
                <c:pt idx="244">
                  <c:v>1.88783344658173</c:v>
                </c:pt>
                <c:pt idx="245">
                  <c:v>1.63712200312885</c:v>
                </c:pt>
                <c:pt idx="246">
                  <c:v>1.54148496127395</c:v>
                </c:pt>
                <c:pt idx="247">
                  <c:v>1.49026460271608</c:v>
                </c:pt>
                <c:pt idx="248">
                  <c:v>0.621440480431283</c:v>
                </c:pt>
                <c:pt idx="249">
                  <c:v>0.984734119088</c:v>
                </c:pt>
                <c:pt idx="250">
                  <c:v>0.618627047362249</c:v>
                </c:pt>
                <c:pt idx="251">
                  <c:v>0.703381513634286</c:v>
                </c:pt>
                <c:pt idx="252">
                  <c:v>0.618627047362249</c:v>
                </c:pt>
                <c:pt idx="253">
                  <c:v>0.703381513634286</c:v>
                </c:pt>
                <c:pt idx="254">
                  <c:v>0.615838973863937</c:v>
                </c:pt>
                <c:pt idx="255">
                  <c:v>0.844057816361143</c:v>
                </c:pt>
                <c:pt idx="256">
                  <c:v>0.59937547034877</c:v>
                </c:pt>
                <c:pt idx="257">
                  <c:v>0.597664124480338</c:v>
                </c:pt>
                <c:pt idx="258">
                  <c:v>0.593962238743972</c:v>
                </c:pt>
                <c:pt idx="259">
                  <c:v>0.597664124480338</c:v>
                </c:pt>
                <c:pt idx="260">
                  <c:v>0.722182354051508</c:v>
                </c:pt>
                <c:pt idx="261">
                  <c:v>0.773614522699442</c:v>
                </c:pt>
                <c:pt idx="262">
                  <c:v>0.850657921196477</c:v>
                </c:pt>
                <c:pt idx="263">
                  <c:v>0.717136420928518</c:v>
                </c:pt>
                <c:pt idx="264">
                  <c:v>0.770131681347918</c:v>
                </c:pt>
                <c:pt idx="265">
                  <c:v>1.05200553830662</c:v>
                </c:pt>
                <c:pt idx="266">
                  <c:v>0.895792684511713</c:v>
                </c:pt>
                <c:pt idx="267">
                  <c:v>0.983666343525113</c:v>
                </c:pt>
                <c:pt idx="268">
                  <c:v>0.901051292439425</c:v>
                </c:pt>
                <c:pt idx="269">
                  <c:v>1.05969302341357</c:v>
                </c:pt>
                <c:pt idx="270">
                  <c:v>1.13021323449399</c:v>
                </c:pt>
                <c:pt idx="271">
                  <c:v>0.927525964917576</c:v>
                </c:pt>
                <c:pt idx="272">
                  <c:v>0.643212565473971</c:v>
                </c:pt>
                <c:pt idx="273">
                  <c:v>0.646566532978659</c:v>
                </c:pt>
                <c:pt idx="274">
                  <c:v>0.546730680652876</c:v>
                </c:pt>
                <c:pt idx="275">
                  <c:v>0.617177145115993</c:v>
                </c:pt>
                <c:pt idx="276">
                  <c:v>0.99859159881664</c:v>
                </c:pt>
                <c:pt idx="277">
                  <c:v>0.851844328728573</c:v>
                </c:pt>
                <c:pt idx="278">
                  <c:v>0.795715863053641</c:v>
                </c:pt>
                <c:pt idx="279">
                  <c:v>0.683965408173558</c:v>
                </c:pt>
                <c:pt idx="280">
                  <c:v>0.754317165408533</c:v>
                </c:pt>
                <c:pt idx="281">
                  <c:v>0.758737395444965</c:v>
                </c:pt>
                <c:pt idx="282">
                  <c:v>0.716144276748277</c:v>
                </c:pt>
                <c:pt idx="283">
                  <c:v>0.654362073138474</c:v>
                </c:pt>
                <c:pt idx="284">
                  <c:v>0.633626418943168</c:v>
                </c:pt>
                <c:pt idx="285">
                  <c:v>0.730636010428485</c:v>
                </c:pt>
                <c:pt idx="286">
                  <c:v>1.13978021659541</c:v>
                </c:pt>
                <c:pt idx="287">
                  <c:v>1.19917762955517</c:v>
                </c:pt>
                <c:pt idx="288">
                  <c:v>1.20546519802954</c:v>
                </c:pt>
                <c:pt idx="289">
                  <c:v>0.710667003839222</c:v>
                </c:pt>
                <c:pt idx="290">
                  <c:v>0.723465588782911</c:v>
                </c:pt>
                <c:pt idx="291">
                  <c:v>0.796806208787776</c:v>
                </c:pt>
                <c:pt idx="292">
                  <c:v>1.4497662402063</c:v>
                </c:pt>
                <c:pt idx="293">
                  <c:v>0.86248854017119</c:v>
                </c:pt>
                <c:pt idx="294">
                  <c:v>0.905559952132684</c:v>
                </c:pt>
                <c:pt idx="295">
                  <c:v>0.886670362045574</c:v>
                </c:pt>
                <c:pt idx="296">
                  <c:v>1.01922236887336</c:v>
                </c:pt>
                <c:pt idx="297">
                  <c:v>0.718890716894537</c:v>
                </c:pt>
                <c:pt idx="298">
                  <c:v>0.785427476990129</c:v>
                </c:pt>
                <c:pt idx="299">
                  <c:v>0.916764193387214</c:v>
                </c:pt>
                <c:pt idx="300">
                  <c:v>0.903508300457389</c:v>
                </c:pt>
                <c:pt idx="301">
                  <c:v>0.927437144443741</c:v>
                </c:pt>
                <c:pt idx="302">
                  <c:v>0.97925764578938</c:v>
                </c:pt>
                <c:pt idx="303">
                  <c:v>1.20946025021773</c:v>
                </c:pt>
                <c:pt idx="304">
                  <c:v>1.24369545191024</c:v>
                </c:pt>
                <c:pt idx="305">
                  <c:v>1.25495311606277</c:v>
                </c:pt>
                <c:pt idx="306">
                  <c:v>1.36223286875675</c:v>
                </c:pt>
                <c:pt idx="307">
                  <c:v>1.21653607900161</c:v>
                </c:pt>
                <c:pt idx="308">
                  <c:v>1.19988814044387</c:v>
                </c:pt>
                <c:pt idx="309">
                  <c:v>1.07406756728461</c:v>
                </c:pt>
                <c:pt idx="310">
                  <c:v>1.02976413687924</c:v>
                </c:pt>
                <c:pt idx="311">
                  <c:v>1.09007297780731</c:v>
                </c:pt>
                <c:pt idx="312">
                  <c:v>1.10522916677378</c:v>
                </c:pt>
                <c:pt idx="313">
                  <c:v>0.86852600027686</c:v>
                </c:pt>
                <c:pt idx="314">
                  <c:v>0.947706677015828</c:v>
                </c:pt>
                <c:pt idx="315">
                  <c:v>0.82381130950339</c:v>
                </c:pt>
                <c:pt idx="316">
                  <c:v>0.959264220470437</c:v>
                </c:pt>
                <c:pt idx="317">
                  <c:v>0.990895115038557</c:v>
                </c:pt>
                <c:pt idx="318">
                  <c:v>0.853624903695294</c:v>
                </c:pt>
                <c:pt idx="319">
                  <c:v>0.852869249220973</c:v>
                </c:pt>
                <c:pt idx="320">
                  <c:v>0.899549436564848</c:v>
                </c:pt>
                <c:pt idx="321">
                  <c:v>0.825309093909979</c:v>
                </c:pt>
                <c:pt idx="322">
                  <c:v>0.843610489762094</c:v>
                </c:pt>
                <c:pt idx="323">
                  <c:v>0.814208068434301</c:v>
                </c:pt>
                <c:pt idx="324">
                  <c:v>0.829466802699188</c:v>
                </c:pt>
                <c:pt idx="325">
                  <c:v>0.912800433035158</c:v>
                </c:pt>
                <c:pt idx="326">
                  <c:v>0.970290911473862</c:v>
                </c:pt>
                <c:pt idx="327">
                  <c:v>0.915598419989133</c:v>
                </c:pt>
                <c:pt idx="328">
                  <c:v>0.904022384135649</c:v>
                </c:pt>
                <c:pt idx="329">
                  <c:v>0.992577742497365</c:v>
                </c:pt>
                <c:pt idx="330">
                  <c:v>1.12408473138844</c:v>
                </c:pt>
                <c:pt idx="331">
                  <c:v>1.21401494281963</c:v>
                </c:pt>
                <c:pt idx="332">
                  <c:v>1.19686177802043</c:v>
                </c:pt>
                <c:pt idx="333">
                  <c:v>1.27819728101062</c:v>
                </c:pt>
                <c:pt idx="334">
                  <c:v>1.3444008772807</c:v>
                </c:pt>
                <c:pt idx="335">
                  <c:v>0.870444929469402</c:v>
                </c:pt>
                <c:pt idx="336">
                  <c:v>0.899472160711178</c:v>
                </c:pt>
                <c:pt idx="337">
                  <c:v>0.92427560313048</c:v>
                </c:pt>
                <c:pt idx="338">
                  <c:v>1.16013857523345</c:v>
                </c:pt>
                <c:pt idx="339">
                  <c:v>1.74734167840049</c:v>
                </c:pt>
                <c:pt idx="340">
                  <c:v>1.73154074152498</c:v>
                </c:pt>
              </c:numCache>
            </c:numRef>
          </c:yVal>
          <c:smooth val="0"/>
        </c:ser>
        <c:axId val="27842041"/>
        <c:axId val="78911644"/>
      </c:scatterChart>
      <c:valAx>
        <c:axId val="2784204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pt-BR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pt-BR" sz="1000" spc="-1" strike="noStrike">
                    <a:solidFill>
                      <a:srgbClr val="595959"/>
                    </a:solidFill>
                    <a:latin typeface="Aptos Narrow"/>
                  </a:rPr>
                  <a:t>Tensão sem TS MC2020</a:t>
                </a:r>
              </a:p>
            </c:rich>
          </c:tx>
          <c:layout>
            <c:manualLayout>
              <c:xMode val="edge"/>
              <c:yMode val="edge"/>
              <c:x val="0.39742923915866"/>
              <c:y val="0.873949579831933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8911644"/>
        <c:crosses val="autoZero"/>
        <c:crossBetween val="midCat"/>
        <c:majorUnit val="100"/>
        <c:minorUnit val="50"/>
      </c:valAx>
      <c:valAx>
        <c:axId val="789116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pt-BR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pt-BR" sz="1000" spc="-1" strike="noStrike">
                    <a:solidFill>
                      <a:srgbClr val="595959"/>
                    </a:solidFill>
                    <a:latin typeface="Aptos Narrow"/>
                  </a:rPr>
                  <a:t>Erro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784204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fib Model Code 2020 + werror,1 (Eq. 19)</a:t>
            </a:r>
          </a:p>
        </c:rich>
      </c:tx>
      <c:layout>
        <c:manualLayout>
          <c:xMode val="edge"/>
          <c:yMode val="edge"/>
          <c:x val="0.146130480718436"/>
          <c:y val="0.0277387311404742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'Avaliação do resultado ML'!$W$1</c:f>
              <c:strCache>
                <c:ptCount val="1"/>
                <c:pt idx="0">
                  <c:v>fib Model Code 2020 + werror,1 (Eq. 19)</c:v>
                </c:pt>
              </c:strCache>
            </c:strRef>
          </c:tx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'Dataset experimental'!$AF$2:$AF$342</c:f>
              <c:numCache>
                <c:formatCode>0.00</c:formatCode>
                <c:ptCount val="341"/>
                <c:pt idx="0">
                  <c:v>0.16</c:v>
                </c:pt>
                <c:pt idx="1">
                  <c:v>0.23</c:v>
                </c:pt>
                <c:pt idx="2">
                  <c:v>0.24</c:v>
                </c:pt>
                <c:pt idx="3">
                  <c:v>0.27</c:v>
                </c:pt>
                <c:pt idx="4">
                  <c:v>0.35</c:v>
                </c:pt>
                <c:pt idx="5">
                  <c:v>0.4</c:v>
                </c:pt>
                <c:pt idx="6">
                  <c:v>0.16</c:v>
                </c:pt>
                <c:pt idx="7">
                  <c:v>0.18</c:v>
                </c:pt>
                <c:pt idx="8">
                  <c:v>0.26</c:v>
                </c:pt>
                <c:pt idx="9">
                  <c:v>0.16</c:v>
                </c:pt>
                <c:pt idx="10">
                  <c:v>0.2</c:v>
                </c:pt>
                <c:pt idx="11">
                  <c:v>0.2</c:v>
                </c:pt>
                <c:pt idx="12">
                  <c:v>0.24</c:v>
                </c:pt>
                <c:pt idx="13">
                  <c:v>0.3</c:v>
                </c:pt>
                <c:pt idx="14">
                  <c:v>0.32</c:v>
                </c:pt>
                <c:pt idx="15">
                  <c:v>0.38</c:v>
                </c:pt>
                <c:pt idx="16">
                  <c:v>0.42</c:v>
                </c:pt>
                <c:pt idx="17">
                  <c:v>0.44</c:v>
                </c:pt>
                <c:pt idx="18">
                  <c:v>0.5</c:v>
                </c:pt>
                <c:pt idx="19">
                  <c:v>0.24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0.38</c:v>
                </c:pt>
                <c:pt idx="24">
                  <c:v>0.44</c:v>
                </c:pt>
                <c:pt idx="25">
                  <c:v>0.18</c:v>
                </c:pt>
                <c:pt idx="26">
                  <c:v>0.2</c:v>
                </c:pt>
                <c:pt idx="27">
                  <c:v>0.26</c:v>
                </c:pt>
                <c:pt idx="28">
                  <c:v>0.44</c:v>
                </c:pt>
                <c:pt idx="29">
                  <c:v>0.6</c:v>
                </c:pt>
                <c:pt idx="30">
                  <c:v>0.36</c:v>
                </c:pt>
                <c:pt idx="31">
                  <c:v>0.43</c:v>
                </c:pt>
                <c:pt idx="32">
                  <c:v>0.56</c:v>
                </c:pt>
                <c:pt idx="33">
                  <c:v>0.71</c:v>
                </c:pt>
                <c:pt idx="34">
                  <c:v>0.79</c:v>
                </c:pt>
                <c:pt idx="35">
                  <c:v>0.2</c:v>
                </c:pt>
                <c:pt idx="36">
                  <c:v>0.25</c:v>
                </c:pt>
                <c:pt idx="37">
                  <c:v>0.36</c:v>
                </c:pt>
                <c:pt idx="38">
                  <c:v>0.47</c:v>
                </c:pt>
                <c:pt idx="39">
                  <c:v>0.57</c:v>
                </c:pt>
                <c:pt idx="40">
                  <c:v>0.78</c:v>
                </c:pt>
                <c:pt idx="41">
                  <c:v>0.21</c:v>
                </c:pt>
                <c:pt idx="42">
                  <c:v>0.31</c:v>
                </c:pt>
                <c:pt idx="43">
                  <c:v>0.38</c:v>
                </c:pt>
                <c:pt idx="44">
                  <c:v>0.52</c:v>
                </c:pt>
                <c:pt idx="45">
                  <c:v>0.74</c:v>
                </c:pt>
                <c:pt idx="46">
                  <c:v>0.17</c:v>
                </c:pt>
                <c:pt idx="47">
                  <c:v>0.36</c:v>
                </c:pt>
                <c:pt idx="48">
                  <c:v>0.56</c:v>
                </c:pt>
                <c:pt idx="49">
                  <c:v>0.78</c:v>
                </c:pt>
                <c:pt idx="50">
                  <c:v>0.31</c:v>
                </c:pt>
                <c:pt idx="51">
                  <c:v>0.44</c:v>
                </c:pt>
                <c:pt idx="52">
                  <c:v>0.14</c:v>
                </c:pt>
                <c:pt idx="53">
                  <c:v>0.31</c:v>
                </c:pt>
                <c:pt idx="54">
                  <c:v>0.4</c:v>
                </c:pt>
                <c:pt idx="55">
                  <c:v>0.25</c:v>
                </c:pt>
                <c:pt idx="56">
                  <c:v>0.44</c:v>
                </c:pt>
                <c:pt idx="57">
                  <c:v>0.56</c:v>
                </c:pt>
                <c:pt idx="58">
                  <c:v>0.23</c:v>
                </c:pt>
                <c:pt idx="59">
                  <c:v>0.35</c:v>
                </c:pt>
                <c:pt idx="60">
                  <c:v>0.49</c:v>
                </c:pt>
                <c:pt idx="61">
                  <c:v>0.67</c:v>
                </c:pt>
                <c:pt idx="62">
                  <c:v>0.27</c:v>
                </c:pt>
                <c:pt idx="63">
                  <c:v>0.4</c:v>
                </c:pt>
                <c:pt idx="64">
                  <c:v>0.53</c:v>
                </c:pt>
                <c:pt idx="65">
                  <c:v>0.72</c:v>
                </c:pt>
                <c:pt idx="66">
                  <c:v>0.3</c:v>
                </c:pt>
                <c:pt idx="67">
                  <c:v>0.57</c:v>
                </c:pt>
                <c:pt idx="68">
                  <c:v>0.26</c:v>
                </c:pt>
                <c:pt idx="69">
                  <c:v>0.6</c:v>
                </c:pt>
                <c:pt idx="70">
                  <c:v>0.27</c:v>
                </c:pt>
                <c:pt idx="71">
                  <c:v>0.59</c:v>
                </c:pt>
                <c:pt idx="72">
                  <c:v>0.15</c:v>
                </c:pt>
                <c:pt idx="73">
                  <c:v>0.17</c:v>
                </c:pt>
                <c:pt idx="74">
                  <c:v>0.15</c:v>
                </c:pt>
                <c:pt idx="75">
                  <c:v>0.17</c:v>
                </c:pt>
                <c:pt idx="76">
                  <c:v>0.2</c:v>
                </c:pt>
                <c:pt idx="77">
                  <c:v>0.16</c:v>
                </c:pt>
                <c:pt idx="78">
                  <c:v>0.21</c:v>
                </c:pt>
                <c:pt idx="79">
                  <c:v>0.15</c:v>
                </c:pt>
                <c:pt idx="80">
                  <c:v>0.2</c:v>
                </c:pt>
                <c:pt idx="81">
                  <c:v>0.25</c:v>
                </c:pt>
                <c:pt idx="82">
                  <c:v>0.28</c:v>
                </c:pt>
                <c:pt idx="83">
                  <c:v>0.28</c:v>
                </c:pt>
                <c:pt idx="84">
                  <c:v>0.3</c:v>
                </c:pt>
                <c:pt idx="85">
                  <c:v>0.33</c:v>
                </c:pt>
                <c:pt idx="86">
                  <c:v>0.33</c:v>
                </c:pt>
                <c:pt idx="87">
                  <c:v>0.15</c:v>
                </c:pt>
                <c:pt idx="88">
                  <c:v>0.18</c:v>
                </c:pt>
                <c:pt idx="89">
                  <c:v>0.2</c:v>
                </c:pt>
                <c:pt idx="90">
                  <c:v>0.25</c:v>
                </c:pt>
                <c:pt idx="91">
                  <c:v>0.3</c:v>
                </c:pt>
                <c:pt idx="92">
                  <c:v>0.33</c:v>
                </c:pt>
                <c:pt idx="93">
                  <c:v>0.38</c:v>
                </c:pt>
                <c:pt idx="94">
                  <c:v>0.15</c:v>
                </c:pt>
                <c:pt idx="95">
                  <c:v>0.18</c:v>
                </c:pt>
                <c:pt idx="96">
                  <c:v>0.2</c:v>
                </c:pt>
                <c:pt idx="97">
                  <c:v>0.23</c:v>
                </c:pt>
                <c:pt idx="98">
                  <c:v>0.25</c:v>
                </c:pt>
                <c:pt idx="99">
                  <c:v>0.3</c:v>
                </c:pt>
                <c:pt idx="100">
                  <c:v>0.3</c:v>
                </c:pt>
                <c:pt idx="101">
                  <c:v>0.15</c:v>
                </c:pt>
                <c:pt idx="102">
                  <c:v>0.18</c:v>
                </c:pt>
                <c:pt idx="103">
                  <c:v>0.18</c:v>
                </c:pt>
                <c:pt idx="104">
                  <c:v>0.25</c:v>
                </c:pt>
                <c:pt idx="105">
                  <c:v>0.28</c:v>
                </c:pt>
                <c:pt idx="106">
                  <c:v>0.33</c:v>
                </c:pt>
                <c:pt idx="107">
                  <c:v>0.38</c:v>
                </c:pt>
                <c:pt idx="108">
                  <c:v>0.43</c:v>
                </c:pt>
                <c:pt idx="109">
                  <c:v>0.15</c:v>
                </c:pt>
                <c:pt idx="110">
                  <c:v>0.18</c:v>
                </c:pt>
                <c:pt idx="111">
                  <c:v>0.18</c:v>
                </c:pt>
                <c:pt idx="112">
                  <c:v>0.2</c:v>
                </c:pt>
                <c:pt idx="113">
                  <c:v>0.2</c:v>
                </c:pt>
                <c:pt idx="114">
                  <c:v>0.15</c:v>
                </c:pt>
                <c:pt idx="115">
                  <c:v>0.18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0.25</c:v>
                </c:pt>
                <c:pt idx="120">
                  <c:v>0.33</c:v>
                </c:pt>
                <c:pt idx="121">
                  <c:v>0.23</c:v>
                </c:pt>
                <c:pt idx="122">
                  <c:v>0.28</c:v>
                </c:pt>
                <c:pt idx="123">
                  <c:v>0.18</c:v>
                </c:pt>
                <c:pt idx="124">
                  <c:v>0.23</c:v>
                </c:pt>
                <c:pt idx="125">
                  <c:v>0.25</c:v>
                </c:pt>
                <c:pt idx="126">
                  <c:v>0.18</c:v>
                </c:pt>
                <c:pt idx="127">
                  <c:v>0.23</c:v>
                </c:pt>
                <c:pt idx="128">
                  <c:v>0.25</c:v>
                </c:pt>
                <c:pt idx="129">
                  <c:v>0.15</c:v>
                </c:pt>
                <c:pt idx="130">
                  <c:v>0.15</c:v>
                </c:pt>
                <c:pt idx="131">
                  <c:v>0.18</c:v>
                </c:pt>
                <c:pt idx="132">
                  <c:v>0.18</c:v>
                </c:pt>
                <c:pt idx="133">
                  <c:v>0.2</c:v>
                </c:pt>
                <c:pt idx="134">
                  <c:v>0.23</c:v>
                </c:pt>
                <c:pt idx="135">
                  <c:v>0.16</c:v>
                </c:pt>
                <c:pt idx="136">
                  <c:v>0.18</c:v>
                </c:pt>
                <c:pt idx="137">
                  <c:v>0.2</c:v>
                </c:pt>
                <c:pt idx="138">
                  <c:v>0.22</c:v>
                </c:pt>
                <c:pt idx="139">
                  <c:v>0.24</c:v>
                </c:pt>
                <c:pt idx="140">
                  <c:v>0.26</c:v>
                </c:pt>
                <c:pt idx="141">
                  <c:v>0.28</c:v>
                </c:pt>
                <c:pt idx="142">
                  <c:v>0.15</c:v>
                </c:pt>
                <c:pt idx="143">
                  <c:v>0.17</c:v>
                </c:pt>
                <c:pt idx="144">
                  <c:v>0.19</c:v>
                </c:pt>
                <c:pt idx="145">
                  <c:v>0.2</c:v>
                </c:pt>
                <c:pt idx="146">
                  <c:v>0.22</c:v>
                </c:pt>
                <c:pt idx="147">
                  <c:v>0.24</c:v>
                </c:pt>
                <c:pt idx="148">
                  <c:v>0.26</c:v>
                </c:pt>
                <c:pt idx="149">
                  <c:v>0.29</c:v>
                </c:pt>
                <c:pt idx="150">
                  <c:v>0.17</c:v>
                </c:pt>
                <c:pt idx="151">
                  <c:v>0.2</c:v>
                </c:pt>
                <c:pt idx="152">
                  <c:v>0.24</c:v>
                </c:pt>
                <c:pt idx="153">
                  <c:v>0.27</c:v>
                </c:pt>
                <c:pt idx="154">
                  <c:v>0.32</c:v>
                </c:pt>
                <c:pt idx="155">
                  <c:v>0.34</c:v>
                </c:pt>
                <c:pt idx="156">
                  <c:v>0.16</c:v>
                </c:pt>
                <c:pt idx="157">
                  <c:v>0.2</c:v>
                </c:pt>
                <c:pt idx="158">
                  <c:v>0.24</c:v>
                </c:pt>
                <c:pt idx="159">
                  <c:v>0.27</c:v>
                </c:pt>
                <c:pt idx="160">
                  <c:v>0.29</c:v>
                </c:pt>
                <c:pt idx="161">
                  <c:v>0.32</c:v>
                </c:pt>
                <c:pt idx="162">
                  <c:v>0.33</c:v>
                </c:pt>
                <c:pt idx="163">
                  <c:v>0.15</c:v>
                </c:pt>
                <c:pt idx="164">
                  <c:v>0.19</c:v>
                </c:pt>
                <c:pt idx="165">
                  <c:v>0.2</c:v>
                </c:pt>
                <c:pt idx="166">
                  <c:v>0.23</c:v>
                </c:pt>
                <c:pt idx="167">
                  <c:v>0.25</c:v>
                </c:pt>
                <c:pt idx="168">
                  <c:v>0.28</c:v>
                </c:pt>
                <c:pt idx="169">
                  <c:v>0.31</c:v>
                </c:pt>
                <c:pt idx="170">
                  <c:v>0.36</c:v>
                </c:pt>
                <c:pt idx="171">
                  <c:v>0.16</c:v>
                </c:pt>
                <c:pt idx="172">
                  <c:v>0.18</c:v>
                </c:pt>
                <c:pt idx="173">
                  <c:v>0.2</c:v>
                </c:pt>
                <c:pt idx="174">
                  <c:v>0.23</c:v>
                </c:pt>
                <c:pt idx="175">
                  <c:v>0.24</c:v>
                </c:pt>
                <c:pt idx="176">
                  <c:v>0.25</c:v>
                </c:pt>
                <c:pt idx="177">
                  <c:v>0.27</c:v>
                </c:pt>
                <c:pt idx="178">
                  <c:v>0.29</c:v>
                </c:pt>
                <c:pt idx="179">
                  <c:v>0.15</c:v>
                </c:pt>
                <c:pt idx="180">
                  <c:v>0.16</c:v>
                </c:pt>
                <c:pt idx="181">
                  <c:v>0.18</c:v>
                </c:pt>
                <c:pt idx="182">
                  <c:v>0.18</c:v>
                </c:pt>
                <c:pt idx="183">
                  <c:v>0.19</c:v>
                </c:pt>
                <c:pt idx="184">
                  <c:v>0.2</c:v>
                </c:pt>
                <c:pt idx="185">
                  <c:v>0.22</c:v>
                </c:pt>
                <c:pt idx="186">
                  <c:v>0.16</c:v>
                </c:pt>
                <c:pt idx="187">
                  <c:v>0.2</c:v>
                </c:pt>
                <c:pt idx="188">
                  <c:v>0.23</c:v>
                </c:pt>
                <c:pt idx="189">
                  <c:v>0.14</c:v>
                </c:pt>
                <c:pt idx="190">
                  <c:v>0.17</c:v>
                </c:pt>
                <c:pt idx="191">
                  <c:v>0.21</c:v>
                </c:pt>
                <c:pt idx="192">
                  <c:v>0.21</c:v>
                </c:pt>
                <c:pt idx="193">
                  <c:v>0.25</c:v>
                </c:pt>
                <c:pt idx="194">
                  <c:v>0.29</c:v>
                </c:pt>
                <c:pt idx="195">
                  <c:v>0.33</c:v>
                </c:pt>
                <c:pt idx="196">
                  <c:v>0.37</c:v>
                </c:pt>
                <c:pt idx="197">
                  <c:v>0.15</c:v>
                </c:pt>
                <c:pt idx="198">
                  <c:v>0.23</c:v>
                </c:pt>
                <c:pt idx="199">
                  <c:v>0.28</c:v>
                </c:pt>
                <c:pt idx="200">
                  <c:v>0.18</c:v>
                </c:pt>
                <c:pt idx="201">
                  <c:v>0.26</c:v>
                </c:pt>
                <c:pt idx="202">
                  <c:v>0.34</c:v>
                </c:pt>
                <c:pt idx="203">
                  <c:v>0.15</c:v>
                </c:pt>
                <c:pt idx="204">
                  <c:v>0.19</c:v>
                </c:pt>
                <c:pt idx="205">
                  <c:v>0.22</c:v>
                </c:pt>
                <c:pt idx="206">
                  <c:v>0.22</c:v>
                </c:pt>
                <c:pt idx="207">
                  <c:v>0.25</c:v>
                </c:pt>
                <c:pt idx="208">
                  <c:v>0.29</c:v>
                </c:pt>
                <c:pt idx="209">
                  <c:v>0.17</c:v>
                </c:pt>
                <c:pt idx="210">
                  <c:v>0.19</c:v>
                </c:pt>
                <c:pt idx="211">
                  <c:v>0.21</c:v>
                </c:pt>
                <c:pt idx="212">
                  <c:v>0.23</c:v>
                </c:pt>
                <c:pt idx="213">
                  <c:v>0.25</c:v>
                </c:pt>
                <c:pt idx="214">
                  <c:v>0.25</c:v>
                </c:pt>
                <c:pt idx="215">
                  <c:v>0.18</c:v>
                </c:pt>
                <c:pt idx="216">
                  <c:v>0.19</c:v>
                </c:pt>
                <c:pt idx="217">
                  <c:v>0.21</c:v>
                </c:pt>
                <c:pt idx="218">
                  <c:v>0.23</c:v>
                </c:pt>
                <c:pt idx="219">
                  <c:v>0.25</c:v>
                </c:pt>
                <c:pt idx="220">
                  <c:v>0.29</c:v>
                </c:pt>
                <c:pt idx="221">
                  <c:v>0.31</c:v>
                </c:pt>
                <c:pt idx="222">
                  <c:v>0.37</c:v>
                </c:pt>
                <c:pt idx="223">
                  <c:v>0.16</c:v>
                </c:pt>
                <c:pt idx="224">
                  <c:v>0.2</c:v>
                </c:pt>
                <c:pt idx="225">
                  <c:v>0.26</c:v>
                </c:pt>
                <c:pt idx="226">
                  <c:v>0.17</c:v>
                </c:pt>
                <c:pt idx="227">
                  <c:v>0.19</c:v>
                </c:pt>
                <c:pt idx="228">
                  <c:v>0.23</c:v>
                </c:pt>
                <c:pt idx="229">
                  <c:v>0.25</c:v>
                </c:pt>
                <c:pt idx="230">
                  <c:v>0.3</c:v>
                </c:pt>
                <c:pt idx="231">
                  <c:v>0.32</c:v>
                </c:pt>
                <c:pt idx="232">
                  <c:v>0.36</c:v>
                </c:pt>
                <c:pt idx="233">
                  <c:v>0.47</c:v>
                </c:pt>
                <c:pt idx="234">
                  <c:v>0.16</c:v>
                </c:pt>
                <c:pt idx="235">
                  <c:v>0.18</c:v>
                </c:pt>
                <c:pt idx="236">
                  <c:v>0.18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0.22</c:v>
                </c:pt>
                <c:pt idx="241">
                  <c:v>0.22</c:v>
                </c:pt>
                <c:pt idx="242">
                  <c:v>0.25</c:v>
                </c:pt>
                <c:pt idx="243">
                  <c:v>0.29</c:v>
                </c:pt>
                <c:pt idx="244">
                  <c:v>0.31</c:v>
                </c:pt>
                <c:pt idx="245">
                  <c:v>0.33</c:v>
                </c:pt>
                <c:pt idx="246">
                  <c:v>0.34</c:v>
                </c:pt>
                <c:pt idx="247">
                  <c:v>0.37</c:v>
                </c:pt>
                <c:pt idx="248">
                  <c:v>0.2</c:v>
                </c:pt>
                <c:pt idx="249">
                  <c:v>0.35</c:v>
                </c:pt>
                <c:pt idx="250">
                  <c:v>0.2</c:v>
                </c:pt>
                <c:pt idx="251">
                  <c:v>0.25</c:v>
                </c:pt>
                <c:pt idx="252">
                  <c:v>0.2</c:v>
                </c:pt>
                <c:pt idx="253">
                  <c:v>0.25</c:v>
                </c:pt>
                <c:pt idx="254">
                  <c:v>0.2</c:v>
                </c:pt>
                <c:pt idx="255">
                  <c:v>0.3</c:v>
                </c:pt>
                <c:pt idx="256">
                  <c:v>0.15</c:v>
                </c:pt>
                <c:pt idx="257">
                  <c:v>0.2</c:v>
                </c:pt>
                <c:pt idx="258">
                  <c:v>0.15</c:v>
                </c:pt>
                <c:pt idx="259">
                  <c:v>0.2</c:v>
                </c:pt>
                <c:pt idx="260">
                  <c:v>0.15</c:v>
                </c:pt>
                <c:pt idx="261">
                  <c:v>0.25</c:v>
                </c:pt>
                <c:pt idx="262">
                  <c:v>0.3</c:v>
                </c:pt>
                <c:pt idx="263">
                  <c:v>0.15</c:v>
                </c:pt>
                <c:pt idx="264">
                  <c:v>0.25</c:v>
                </c:pt>
                <c:pt idx="265">
                  <c:v>0.15</c:v>
                </c:pt>
                <c:pt idx="266">
                  <c:v>0.2</c:v>
                </c:pt>
                <c:pt idx="267">
                  <c:v>0.3</c:v>
                </c:pt>
                <c:pt idx="268">
                  <c:v>0.33</c:v>
                </c:pt>
                <c:pt idx="269">
                  <c:v>0.15</c:v>
                </c:pt>
                <c:pt idx="270">
                  <c:v>0.25</c:v>
                </c:pt>
                <c:pt idx="271">
                  <c:v>0.28</c:v>
                </c:pt>
                <c:pt idx="272">
                  <c:v>0.2</c:v>
                </c:pt>
                <c:pt idx="273">
                  <c:v>0.22</c:v>
                </c:pt>
                <c:pt idx="274">
                  <c:v>0.17</c:v>
                </c:pt>
                <c:pt idx="275">
                  <c:v>0.21</c:v>
                </c:pt>
                <c:pt idx="276">
                  <c:v>0.17</c:v>
                </c:pt>
                <c:pt idx="277">
                  <c:v>0.18</c:v>
                </c:pt>
                <c:pt idx="278">
                  <c:v>0.2</c:v>
                </c:pt>
                <c:pt idx="279">
                  <c:v>0.2</c:v>
                </c:pt>
                <c:pt idx="280">
                  <c:v>0.25</c:v>
                </c:pt>
                <c:pt idx="281">
                  <c:v>0.27</c:v>
                </c:pt>
                <c:pt idx="282">
                  <c:v>0.18</c:v>
                </c:pt>
                <c:pt idx="283">
                  <c:v>0.19</c:v>
                </c:pt>
                <c:pt idx="284">
                  <c:v>0.21</c:v>
                </c:pt>
                <c:pt idx="285">
                  <c:v>0.26</c:v>
                </c:pt>
                <c:pt idx="286">
                  <c:v>0.17</c:v>
                </c:pt>
                <c:pt idx="287">
                  <c:v>0.23</c:v>
                </c:pt>
                <c:pt idx="288">
                  <c:v>0.27</c:v>
                </c:pt>
                <c:pt idx="289">
                  <c:v>0.16</c:v>
                </c:pt>
                <c:pt idx="290">
                  <c:v>0.16</c:v>
                </c:pt>
                <c:pt idx="291">
                  <c:v>0.2</c:v>
                </c:pt>
                <c:pt idx="292">
                  <c:v>0.17</c:v>
                </c:pt>
                <c:pt idx="293">
                  <c:v>0.15</c:v>
                </c:pt>
                <c:pt idx="294">
                  <c:v>0.19</c:v>
                </c:pt>
                <c:pt idx="295">
                  <c:v>0.22</c:v>
                </c:pt>
                <c:pt idx="296">
                  <c:v>0.27</c:v>
                </c:pt>
                <c:pt idx="297">
                  <c:v>0.17</c:v>
                </c:pt>
                <c:pt idx="298">
                  <c:v>0.2</c:v>
                </c:pt>
                <c:pt idx="299">
                  <c:v>0.15</c:v>
                </c:pt>
                <c:pt idx="300">
                  <c:v>0.18</c:v>
                </c:pt>
                <c:pt idx="301">
                  <c:v>0.22</c:v>
                </c:pt>
                <c:pt idx="302">
                  <c:v>0.25</c:v>
                </c:pt>
                <c:pt idx="303">
                  <c:v>0.2</c:v>
                </c:pt>
                <c:pt idx="304">
                  <c:v>0.25</c:v>
                </c:pt>
                <c:pt idx="305">
                  <c:v>0.3</c:v>
                </c:pt>
                <c:pt idx="306">
                  <c:v>0.35</c:v>
                </c:pt>
                <c:pt idx="307">
                  <c:v>0.17</c:v>
                </c:pt>
                <c:pt idx="308">
                  <c:v>0.2</c:v>
                </c:pt>
                <c:pt idx="309">
                  <c:v>0.17</c:v>
                </c:pt>
                <c:pt idx="310">
                  <c:v>0.2</c:v>
                </c:pt>
                <c:pt idx="311">
                  <c:v>0.25</c:v>
                </c:pt>
                <c:pt idx="312">
                  <c:v>0.29</c:v>
                </c:pt>
                <c:pt idx="313">
                  <c:v>0.17</c:v>
                </c:pt>
                <c:pt idx="314">
                  <c:v>0.15</c:v>
                </c:pt>
                <c:pt idx="315">
                  <c:v>0.16</c:v>
                </c:pt>
                <c:pt idx="316">
                  <c:v>0.22</c:v>
                </c:pt>
                <c:pt idx="317">
                  <c:v>0.26</c:v>
                </c:pt>
                <c:pt idx="318">
                  <c:v>0.17</c:v>
                </c:pt>
                <c:pt idx="319">
                  <c:v>0.2</c:v>
                </c:pt>
                <c:pt idx="320">
                  <c:v>0.24</c:v>
                </c:pt>
                <c:pt idx="321">
                  <c:v>0.17</c:v>
                </c:pt>
                <c:pt idx="322">
                  <c:v>0.23</c:v>
                </c:pt>
                <c:pt idx="323">
                  <c:v>0.27</c:v>
                </c:pt>
                <c:pt idx="324">
                  <c:v>0.31</c:v>
                </c:pt>
                <c:pt idx="325">
                  <c:v>0.35</c:v>
                </c:pt>
                <c:pt idx="326">
                  <c:v>0.19</c:v>
                </c:pt>
                <c:pt idx="327">
                  <c:v>0.24</c:v>
                </c:pt>
                <c:pt idx="328">
                  <c:v>0.29</c:v>
                </c:pt>
                <c:pt idx="329">
                  <c:v>0.36</c:v>
                </c:pt>
                <c:pt idx="330">
                  <c:v>0.42</c:v>
                </c:pt>
                <c:pt idx="331">
                  <c:v>0.18</c:v>
                </c:pt>
                <c:pt idx="332">
                  <c:v>0.22</c:v>
                </c:pt>
                <c:pt idx="333">
                  <c:v>0.27</c:v>
                </c:pt>
                <c:pt idx="334">
                  <c:v>0.32</c:v>
                </c:pt>
                <c:pt idx="335">
                  <c:v>0.16</c:v>
                </c:pt>
                <c:pt idx="336">
                  <c:v>0.19</c:v>
                </c:pt>
                <c:pt idx="337">
                  <c:v>0.22</c:v>
                </c:pt>
                <c:pt idx="338">
                  <c:v>0.17</c:v>
                </c:pt>
                <c:pt idx="339">
                  <c:v>0.19</c:v>
                </c:pt>
                <c:pt idx="340">
                  <c:v>0.25</c:v>
                </c:pt>
              </c:numCache>
            </c:numRef>
          </c:xVal>
          <c:yVal>
            <c:numRef>
              <c:f>'Avaliação do resultado ML'!$W$2:$W$342</c:f>
              <c:numCache>
                <c:formatCode>0.00</c:formatCode>
                <c:ptCount val="341"/>
              </c:numCache>
            </c:numRef>
          </c:yVal>
          <c:smooth val="0"/>
        </c:ser>
        <c:axId val="78537215"/>
        <c:axId val="13767374"/>
      </c:scatterChart>
      <c:valAx>
        <c:axId val="78537215"/>
        <c:scaling>
          <c:orientation val="minMax"/>
          <c:max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3767374"/>
        <c:crosses val="autoZero"/>
        <c:crossBetween val="midCat"/>
      </c:valAx>
      <c:valAx>
        <c:axId val="137673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853721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Proposta 1 + werror,1 (Eq. 21)</a:t>
            </a:r>
          </a:p>
        </c:rich>
      </c:tx>
      <c:layout>
        <c:manualLayout>
          <c:xMode val="edge"/>
          <c:yMode val="edge"/>
          <c:x val="0.25939672042648"/>
          <c:y val="0.0244588136069722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'Avaliação do resultado ML'!$AJ$1</c:f>
              <c:strCache>
                <c:ptCount val="1"/>
                <c:pt idx="0">
                  <c:v>Proposta 1 + werror,1 (Eq. 21)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'Dataset experimental'!$AF$2:$AF$342</c:f>
              <c:numCache>
                <c:formatCode>0.00</c:formatCode>
                <c:ptCount val="341"/>
                <c:pt idx="0">
                  <c:v>0.16</c:v>
                </c:pt>
                <c:pt idx="1">
                  <c:v>0.23</c:v>
                </c:pt>
                <c:pt idx="2">
                  <c:v>0.24</c:v>
                </c:pt>
                <c:pt idx="3">
                  <c:v>0.27</c:v>
                </c:pt>
                <c:pt idx="4">
                  <c:v>0.35</c:v>
                </c:pt>
                <c:pt idx="5">
                  <c:v>0.4</c:v>
                </c:pt>
                <c:pt idx="6">
                  <c:v>0.16</c:v>
                </c:pt>
                <c:pt idx="7">
                  <c:v>0.18</c:v>
                </c:pt>
                <c:pt idx="8">
                  <c:v>0.26</c:v>
                </c:pt>
                <c:pt idx="9">
                  <c:v>0.16</c:v>
                </c:pt>
                <c:pt idx="10">
                  <c:v>0.2</c:v>
                </c:pt>
                <c:pt idx="11">
                  <c:v>0.2</c:v>
                </c:pt>
                <c:pt idx="12">
                  <c:v>0.24</c:v>
                </c:pt>
                <c:pt idx="13">
                  <c:v>0.3</c:v>
                </c:pt>
                <c:pt idx="14">
                  <c:v>0.32</c:v>
                </c:pt>
                <c:pt idx="15">
                  <c:v>0.38</c:v>
                </c:pt>
                <c:pt idx="16">
                  <c:v>0.42</c:v>
                </c:pt>
                <c:pt idx="17">
                  <c:v>0.44</c:v>
                </c:pt>
                <c:pt idx="18">
                  <c:v>0.5</c:v>
                </c:pt>
                <c:pt idx="19">
                  <c:v>0.24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0.38</c:v>
                </c:pt>
                <c:pt idx="24">
                  <c:v>0.44</c:v>
                </c:pt>
                <c:pt idx="25">
                  <c:v>0.18</c:v>
                </c:pt>
                <c:pt idx="26">
                  <c:v>0.2</c:v>
                </c:pt>
                <c:pt idx="27">
                  <c:v>0.26</c:v>
                </c:pt>
                <c:pt idx="28">
                  <c:v>0.44</c:v>
                </c:pt>
                <c:pt idx="29">
                  <c:v>0.6</c:v>
                </c:pt>
                <c:pt idx="30">
                  <c:v>0.36</c:v>
                </c:pt>
                <c:pt idx="31">
                  <c:v>0.43</c:v>
                </c:pt>
                <c:pt idx="32">
                  <c:v>0.56</c:v>
                </c:pt>
                <c:pt idx="33">
                  <c:v>0.71</c:v>
                </c:pt>
                <c:pt idx="34">
                  <c:v>0.79</c:v>
                </c:pt>
                <c:pt idx="35">
                  <c:v>0.2</c:v>
                </c:pt>
                <c:pt idx="36">
                  <c:v>0.25</c:v>
                </c:pt>
                <c:pt idx="37">
                  <c:v>0.36</c:v>
                </c:pt>
                <c:pt idx="38">
                  <c:v>0.47</c:v>
                </c:pt>
                <c:pt idx="39">
                  <c:v>0.57</c:v>
                </c:pt>
                <c:pt idx="40">
                  <c:v>0.78</c:v>
                </c:pt>
                <c:pt idx="41">
                  <c:v>0.21</c:v>
                </c:pt>
                <c:pt idx="42">
                  <c:v>0.31</c:v>
                </c:pt>
                <c:pt idx="43">
                  <c:v>0.38</c:v>
                </c:pt>
                <c:pt idx="44">
                  <c:v>0.52</c:v>
                </c:pt>
                <c:pt idx="45">
                  <c:v>0.74</c:v>
                </c:pt>
                <c:pt idx="46">
                  <c:v>0.17</c:v>
                </c:pt>
                <c:pt idx="47">
                  <c:v>0.36</c:v>
                </c:pt>
                <c:pt idx="48">
                  <c:v>0.56</c:v>
                </c:pt>
                <c:pt idx="49">
                  <c:v>0.78</c:v>
                </c:pt>
                <c:pt idx="50">
                  <c:v>0.31</c:v>
                </c:pt>
                <c:pt idx="51">
                  <c:v>0.44</c:v>
                </c:pt>
                <c:pt idx="52">
                  <c:v>0.14</c:v>
                </c:pt>
                <c:pt idx="53">
                  <c:v>0.31</c:v>
                </c:pt>
                <c:pt idx="54">
                  <c:v>0.4</c:v>
                </c:pt>
                <c:pt idx="55">
                  <c:v>0.25</c:v>
                </c:pt>
                <c:pt idx="56">
                  <c:v>0.44</c:v>
                </c:pt>
                <c:pt idx="57">
                  <c:v>0.56</c:v>
                </c:pt>
                <c:pt idx="58">
                  <c:v>0.23</c:v>
                </c:pt>
                <c:pt idx="59">
                  <c:v>0.35</c:v>
                </c:pt>
                <c:pt idx="60">
                  <c:v>0.49</c:v>
                </c:pt>
                <c:pt idx="61">
                  <c:v>0.67</c:v>
                </c:pt>
                <c:pt idx="62">
                  <c:v>0.27</c:v>
                </c:pt>
                <c:pt idx="63">
                  <c:v>0.4</c:v>
                </c:pt>
                <c:pt idx="64">
                  <c:v>0.53</c:v>
                </c:pt>
                <c:pt idx="65">
                  <c:v>0.72</c:v>
                </c:pt>
                <c:pt idx="66">
                  <c:v>0.3</c:v>
                </c:pt>
                <c:pt idx="67">
                  <c:v>0.57</c:v>
                </c:pt>
                <c:pt idx="68">
                  <c:v>0.26</c:v>
                </c:pt>
                <c:pt idx="69">
                  <c:v>0.6</c:v>
                </c:pt>
                <c:pt idx="70">
                  <c:v>0.27</c:v>
                </c:pt>
                <c:pt idx="71">
                  <c:v>0.59</c:v>
                </c:pt>
                <c:pt idx="72">
                  <c:v>0.15</c:v>
                </c:pt>
                <c:pt idx="73">
                  <c:v>0.17</c:v>
                </c:pt>
                <c:pt idx="74">
                  <c:v>0.15</c:v>
                </c:pt>
                <c:pt idx="75">
                  <c:v>0.17</c:v>
                </c:pt>
                <c:pt idx="76">
                  <c:v>0.2</c:v>
                </c:pt>
                <c:pt idx="77">
                  <c:v>0.16</c:v>
                </c:pt>
                <c:pt idx="78">
                  <c:v>0.21</c:v>
                </c:pt>
                <c:pt idx="79">
                  <c:v>0.15</c:v>
                </c:pt>
                <c:pt idx="80">
                  <c:v>0.2</c:v>
                </c:pt>
                <c:pt idx="81">
                  <c:v>0.25</c:v>
                </c:pt>
                <c:pt idx="82">
                  <c:v>0.28</c:v>
                </c:pt>
                <c:pt idx="83">
                  <c:v>0.28</c:v>
                </c:pt>
                <c:pt idx="84">
                  <c:v>0.3</c:v>
                </c:pt>
                <c:pt idx="85">
                  <c:v>0.33</c:v>
                </c:pt>
                <c:pt idx="86">
                  <c:v>0.33</c:v>
                </c:pt>
                <c:pt idx="87">
                  <c:v>0.15</c:v>
                </c:pt>
                <c:pt idx="88">
                  <c:v>0.18</c:v>
                </c:pt>
                <c:pt idx="89">
                  <c:v>0.2</c:v>
                </c:pt>
                <c:pt idx="90">
                  <c:v>0.25</c:v>
                </c:pt>
                <c:pt idx="91">
                  <c:v>0.3</c:v>
                </c:pt>
                <c:pt idx="92">
                  <c:v>0.33</c:v>
                </c:pt>
                <c:pt idx="93">
                  <c:v>0.38</c:v>
                </c:pt>
                <c:pt idx="94">
                  <c:v>0.15</c:v>
                </c:pt>
                <c:pt idx="95">
                  <c:v>0.18</c:v>
                </c:pt>
                <c:pt idx="96">
                  <c:v>0.2</c:v>
                </c:pt>
                <c:pt idx="97">
                  <c:v>0.23</c:v>
                </c:pt>
                <c:pt idx="98">
                  <c:v>0.25</c:v>
                </c:pt>
                <c:pt idx="99">
                  <c:v>0.3</c:v>
                </c:pt>
                <c:pt idx="100">
                  <c:v>0.3</c:v>
                </c:pt>
                <c:pt idx="101">
                  <c:v>0.15</c:v>
                </c:pt>
                <c:pt idx="102">
                  <c:v>0.18</c:v>
                </c:pt>
                <c:pt idx="103">
                  <c:v>0.18</c:v>
                </c:pt>
                <c:pt idx="104">
                  <c:v>0.25</c:v>
                </c:pt>
                <c:pt idx="105">
                  <c:v>0.28</c:v>
                </c:pt>
                <c:pt idx="106">
                  <c:v>0.33</c:v>
                </c:pt>
                <c:pt idx="107">
                  <c:v>0.38</c:v>
                </c:pt>
                <c:pt idx="108">
                  <c:v>0.43</c:v>
                </c:pt>
                <c:pt idx="109">
                  <c:v>0.15</c:v>
                </c:pt>
                <c:pt idx="110">
                  <c:v>0.18</c:v>
                </c:pt>
                <c:pt idx="111">
                  <c:v>0.18</c:v>
                </c:pt>
                <c:pt idx="112">
                  <c:v>0.2</c:v>
                </c:pt>
                <c:pt idx="113">
                  <c:v>0.2</c:v>
                </c:pt>
                <c:pt idx="114">
                  <c:v>0.15</c:v>
                </c:pt>
                <c:pt idx="115">
                  <c:v>0.18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0.25</c:v>
                </c:pt>
                <c:pt idx="120">
                  <c:v>0.33</c:v>
                </c:pt>
                <c:pt idx="121">
                  <c:v>0.23</c:v>
                </c:pt>
                <c:pt idx="122">
                  <c:v>0.28</c:v>
                </c:pt>
                <c:pt idx="123">
                  <c:v>0.18</c:v>
                </c:pt>
                <c:pt idx="124">
                  <c:v>0.23</c:v>
                </c:pt>
                <c:pt idx="125">
                  <c:v>0.25</c:v>
                </c:pt>
                <c:pt idx="126">
                  <c:v>0.18</c:v>
                </c:pt>
                <c:pt idx="127">
                  <c:v>0.23</c:v>
                </c:pt>
                <c:pt idx="128">
                  <c:v>0.25</c:v>
                </c:pt>
                <c:pt idx="129">
                  <c:v>0.15</c:v>
                </c:pt>
                <c:pt idx="130">
                  <c:v>0.15</c:v>
                </c:pt>
                <c:pt idx="131">
                  <c:v>0.18</c:v>
                </c:pt>
                <c:pt idx="132">
                  <c:v>0.18</c:v>
                </c:pt>
                <c:pt idx="133">
                  <c:v>0.2</c:v>
                </c:pt>
                <c:pt idx="134">
                  <c:v>0.23</c:v>
                </c:pt>
                <c:pt idx="135">
                  <c:v>0.16</c:v>
                </c:pt>
                <c:pt idx="136">
                  <c:v>0.18</c:v>
                </c:pt>
                <c:pt idx="137">
                  <c:v>0.2</c:v>
                </c:pt>
                <c:pt idx="138">
                  <c:v>0.22</c:v>
                </c:pt>
                <c:pt idx="139">
                  <c:v>0.24</c:v>
                </c:pt>
                <c:pt idx="140">
                  <c:v>0.26</c:v>
                </c:pt>
                <c:pt idx="141">
                  <c:v>0.28</c:v>
                </c:pt>
                <c:pt idx="142">
                  <c:v>0.15</c:v>
                </c:pt>
                <c:pt idx="143">
                  <c:v>0.17</c:v>
                </c:pt>
                <c:pt idx="144">
                  <c:v>0.19</c:v>
                </c:pt>
                <c:pt idx="145">
                  <c:v>0.2</c:v>
                </c:pt>
                <c:pt idx="146">
                  <c:v>0.22</c:v>
                </c:pt>
                <c:pt idx="147">
                  <c:v>0.24</c:v>
                </c:pt>
                <c:pt idx="148">
                  <c:v>0.26</c:v>
                </c:pt>
                <c:pt idx="149">
                  <c:v>0.29</c:v>
                </c:pt>
                <c:pt idx="150">
                  <c:v>0.17</c:v>
                </c:pt>
                <c:pt idx="151">
                  <c:v>0.2</c:v>
                </c:pt>
                <c:pt idx="152">
                  <c:v>0.24</c:v>
                </c:pt>
                <c:pt idx="153">
                  <c:v>0.27</c:v>
                </c:pt>
                <c:pt idx="154">
                  <c:v>0.32</c:v>
                </c:pt>
                <c:pt idx="155">
                  <c:v>0.34</c:v>
                </c:pt>
                <c:pt idx="156">
                  <c:v>0.16</c:v>
                </c:pt>
                <c:pt idx="157">
                  <c:v>0.2</c:v>
                </c:pt>
                <c:pt idx="158">
                  <c:v>0.24</c:v>
                </c:pt>
                <c:pt idx="159">
                  <c:v>0.27</c:v>
                </c:pt>
                <c:pt idx="160">
                  <c:v>0.29</c:v>
                </c:pt>
                <c:pt idx="161">
                  <c:v>0.32</c:v>
                </c:pt>
                <c:pt idx="162">
                  <c:v>0.33</c:v>
                </c:pt>
                <c:pt idx="163">
                  <c:v>0.15</c:v>
                </c:pt>
                <c:pt idx="164">
                  <c:v>0.19</c:v>
                </c:pt>
                <c:pt idx="165">
                  <c:v>0.2</c:v>
                </c:pt>
                <c:pt idx="166">
                  <c:v>0.23</c:v>
                </c:pt>
                <c:pt idx="167">
                  <c:v>0.25</c:v>
                </c:pt>
                <c:pt idx="168">
                  <c:v>0.28</c:v>
                </c:pt>
                <c:pt idx="169">
                  <c:v>0.31</c:v>
                </c:pt>
                <c:pt idx="170">
                  <c:v>0.36</c:v>
                </c:pt>
                <c:pt idx="171">
                  <c:v>0.16</c:v>
                </c:pt>
                <c:pt idx="172">
                  <c:v>0.18</c:v>
                </c:pt>
                <c:pt idx="173">
                  <c:v>0.2</c:v>
                </c:pt>
                <c:pt idx="174">
                  <c:v>0.23</c:v>
                </c:pt>
                <c:pt idx="175">
                  <c:v>0.24</c:v>
                </c:pt>
                <c:pt idx="176">
                  <c:v>0.25</c:v>
                </c:pt>
                <c:pt idx="177">
                  <c:v>0.27</c:v>
                </c:pt>
                <c:pt idx="178">
                  <c:v>0.29</c:v>
                </c:pt>
                <c:pt idx="179">
                  <c:v>0.15</c:v>
                </c:pt>
                <c:pt idx="180">
                  <c:v>0.16</c:v>
                </c:pt>
                <c:pt idx="181">
                  <c:v>0.18</c:v>
                </c:pt>
                <c:pt idx="182">
                  <c:v>0.18</c:v>
                </c:pt>
                <c:pt idx="183">
                  <c:v>0.19</c:v>
                </c:pt>
                <c:pt idx="184">
                  <c:v>0.2</c:v>
                </c:pt>
                <c:pt idx="185">
                  <c:v>0.22</c:v>
                </c:pt>
                <c:pt idx="186">
                  <c:v>0.16</c:v>
                </c:pt>
                <c:pt idx="187">
                  <c:v>0.2</c:v>
                </c:pt>
                <c:pt idx="188">
                  <c:v>0.23</c:v>
                </c:pt>
                <c:pt idx="189">
                  <c:v>0.14</c:v>
                </c:pt>
                <c:pt idx="190">
                  <c:v>0.17</c:v>
                </c:pt>
                <c:pt idx="191">
                  <c:v>0.21</c:v>
                </c:pt>
                <c:pt idx="192">
                  <c:v>0.21</c:v>
                </c:pt>
                <c:pt idx="193">
                  <c:v>0.25</c:v>
                </c:pt>
                <c:pt idx="194">
                  <c:v>0.29</c:v>
                </c:pt>
                <c:pt idx="195">
                  <c:v>0.33</c:v>
                </c:pt>
                <c:pt idx="196">
                  <c:v>0.37</c:v>
                </c:pt>
                <c:pt idx="197">
                  <c:v>0.15</c:v>
                </c:pt>
                <c:pt idx="198">
                  <c:v>0.23</c:v>
                </c:pt>
                <c:pt idx="199">
                  <c:v>0.28</c:v>
                </c:pt>
                <c:pt idx="200">
                  <c:v>0.18</c:v>
                </c:pt>
                <c:pt idx="201">
                  <c:v>0.26</c:v>
                </c:pt>
                <c:pt idx="202">
                  <c:v>0.34</c:v>
                </c:pt>
                <c:pt idx="203">
                  <c:v>0.15</c:v>
                </c:pt>
                <c:pt idx="204">
                  <c:v>0.19</c:v>
                </c:pt>
                <c:pt idx="205">
                  <c:v>0.22</c:v>
                </c:pt>
                <c:pt idx="206">
                  <c:v>0.22</c:v>
                </c:pt>
                <c:pt idx="207">
                  <c:v>0.25</c:v>
                </c:pt>
                <c:pt idx="208">
                  <c:v>0.29</c:v>
                </c:pt>
                <c:pt idx="209">
                  <c:v>0.17</c:v>
                </c:pt>
                <c:pt idx="210">
                  <c:v>0.19</c:v>
                </c:pt>
                <c:pt idx="211">
                  <c:v>0.21</c:v>
                </c:pt>
                <c:pt idx="212">
                  <c:v>0.23</c:v>
                </c:pt>
                <c:pt idx="213">
                  <c:v>0.25</c:v>
                </c:pt>
                <c:pt idx="214">
                  <c:v>0.25</c:v>
                </c:pt>
                <c:pt idx="215">
                  <c:v>0.18</c:v>
                </c:pt>
                <c:pt idx="216">
                  <c:v>0.19</c:v>
                </c:pt>
                <c:pt idx="217">
                  <c:v>0.21</c:v>
                </c:pt>
                <c:pt idx="218">
                  <c:v>0.23</c:v>
                </c:pt>
                <c:pt idx="219">
                  <c:v>0.25</c:v>
                </c:pt>
                <c:pt idx="220">
                  <c:v>0.29</c:v>
                </c:pt>
                <c:pt idx="221">
                  <c:v>0.31</c:v>
                </c:pt>
                <c:pt idx="222">
                  <c:v>0.37</c:v>
                </c:pt>
                <c:pt idx="223">
                  <c:v>0.16</c:v>
                </c:pt>
                <c:pt idx="224">
                  <c:v>0.2</c:v>
                </c:pt>
                <c:pt idx="225">
                  <c:v>0.26</c:v>
                </c:pt>
                <c:pt idx="226">
                  <c:v>0.17</c:v>
                </c:pt>
                <c:pt idx="227">
                  <c:v>0.19</c:v>
                </c:pt>
                <c:pt idx="228">
                  <c:v>0.23</c:v>
                </c:pt>
                <c:pt idx="229">
                  <c:v>0.25</c:v>
                </c:pt>
                <c:pt idx="230">
                  <c:v>0.3</c:v>
                </c:pt>
                <c:pt idx="231">
                  <c:v>0.32</c:v>
                </c:pt>
                <c:pt idx="232">
                  <c:v>0.36</c:v>
                </c:pt>
                <c:pt idx="233">
                  <c:v>0.47</c:v>
                </c:pt>
                <c:pt idx="234">
                  <c:v>0.16</c:v>
                </c:pt>
                <c:pt idx="235">
                  <c:v>0.18</c:v>
                </c:pt>
                <c:pt idx="236">
                  <c:v>0.18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0.22</c:v>
                </c:pt>
                <c:pt idx="241">
                  <c:v>0.22</c:v>
                </c:pt>
                <c:pt idx="242">
                  <c:v>0.25</c:v>
                </c:pt>
                <c:pt idx="243">
                  <c:v>0.29</c:v>
                </c:pt>
                <c:pt idx="244">
                  <c:v>0.31</c:v>
                </c:pt>
                <c:pt idx="245">
                  <c:v>0.33</c:v>
                </c:pt>
                <c:pt idx="246">
                  <c:v>0.34</c:v>
                </c:pt>
                <c:pt idx="247">
                  <c:v>0.37</c:v>
                </c:pt>
                <c:pt idx="248">
                  <c:v>0.2</c:v>
                </c:pt>
                <c:pt idx="249">
                  <c:v>0.35</c:v>
                </c:pt>
                <c:pt idx="250">
                  <c:v>0.2</c:v>
                </c:pt>
                <c:pt idx="251">
                  <c:v>0.25</c:v>
                </c:pt>
                <c:pt idx="252">
                  <c:v>0.2</c:v>
                </c:pt>
                <c:pt idx="253">
                  <c:v>0.25</c:v>
                </c:pt>
                <c:pt idx="254">
                  <c:v>0.2</c:v>
                </c:pt>
                <c:pt idx="255">
                  <c:v>0.3</c:v>
                </c:pt>
                <c:pt idx="256">
                  <c:v>0.15</c:v>
                </c:pt>
                <c:pt idx="257">
                  <c:v>0.2</c:v>
                </c:pt>
                <c:pt idx="258">
                  <c:v>0.15</c:v>
                </c:pt>
                <c:pt idx="259">
                  <c:v>0.2</c:v>
                </c:pt>
                <c:pt idx="260">
                  <c:v>0.15</c:v>
                </c:pt>
                <c:pt idx="261">
                  <c:v>0.25</c:v>
                </c:pt>
                <c:pt idx="262">
                  <c:v>0.3</c:v>
                </c:pt>
                <c:pt idx="263">
                  <c:v>0.15</c:v>
                </c:pt>
                <c:pt idx="264">
                  <c:v>0.25</c:v>
                </c:pt>
                <c:pt idx="265">
                  <c:v>0.15</c:v>
                </c:pt>
                <c:pt idx="266">
                  <c:v>0.2</c:v>
                </c:pt>
                <c:pt idx="267">
                  <c:v>0.3</c:v>
                </c:pt>
                <c:pt idx="268">
                  <c:v>0.33</c:v>
                </c:pt>
                <c:pt idx="269">
                  <c:v>0.15</c:v>
                </c:pt>
                <c:pt idx="270">
                  <c:v>0.25</c:v>
                </c:pt>
                <c:pt idx="271">
                  <c:v>0.28</c:v>
                </c:pt>
                <c:pt idx="272">
                  <c:v>0.2</c:v>
                </c:pt>
                <c:pt idx="273">
                  <c:v>0.22</c:v>
                </c:pt>
                <c:pt idx="274">
                  <c:v>0.17</c:v>
                </c:pt>
                <c:pt idx="275">
                  <c:v>0.21</c:v>
                </c:pt>
                <c:pt idx="276">
                  <c:v>0.17</c:v>
                </c:pt>
                <c:pt idx="277">
                  <c:v>0.18</c:v>
                </c:pt>
                <c:pt idx="278">
                  <c:v>0.2</c:v>
                </c:pt>
                <c:pt idx="279">
                  <c:v>0.2</c:v>
                </c:pt>
                <c:pt idx="280">
                  <c:v>0.25</c:v>
                </c:pt>
                <c:pt idx="281">
                  <c:v>0.27</c:v>
                </c:pt>
                <c:pt idx="282">
                  <c:v>0.18</c:v>
                </c:pt>
                <c:pt idx="283">
                  <c:v>0.19</c:v>
                </c:pt>
                <c:pt idx="284">
                  <c:v>0.21</c:v>
                </c:pt>
                <c:pt idx="285">
                  <c:v>0.26</c:v>
                </c:pt>
                <c:pt idx="286">
                  <c:v>0.17</c:v>
                </c:pt>
                <c:pt idx="287">
                  <c:v>0.23</c:v>
                </c:pt>
                <c:pt idx="288">
                  <c:v>0.27</c:v>
                </c:pt>
                <c:pt idx="289">
                  <c:v>0.16</c:v>
                </c:pt>
                <c:pt idx="290">
                  <c:v>0.16</c:v>
                </c:pt>
                <c:pt idx="291">
                  <c:v>0.2</c:v>
                </c:pt>
                <c:pt idx="292">
                  <c:v>0.17</c:v>
                </c:pt>
                <c:pt idx="293">
                  <c:v>0.15</c:v>
                </c:pt>
                <c:pt idx="294">
                  <c:v>0.19</c:v>
                </c:pt>
                <c:pt idx="295">
                  <c:v>0.22</c:v>
                </c:pt>
                <c:pt idx="296">
                  <c:v>0.27</c:v>
                </c:pt>
                <c:pt idx="297">
                  <c:v>0.17</c:v>
                </c:pt>
                <c:pt idx="298">
                  <c:v>0.2</c:v>
                </c:pt>
                <c:pt idx="299">
                  <c:v>0.15</c:v>
                </c:pt>
                <c:pt idx="300">
                  <c:v>0.18</c:v>
                </c:pt>
                <c:pt idx="301">
                  <c:v>0.22</c:v>
                </c:pt>
                <c:pt idx="302">
                  <c:v>0.25</c:v>
                </c:pt>
                <c:pt idx="303">
                  <c:v>0.2</c:v>
                </c:pt>
                <c:pt idx="304">
                  <c:v>0.25</c:v>
                </c:pt>
                <c:pt idx="305">
                  <c:v>0.3</c:v>
                </c:pt>
                <c:pt idx="306">
                  <c:v>0.35</c:v>
                </c:pt>
                <c:pt idx="307">
                  <c:v>0.17</c:v>
                </c:pt>
                <c:pt idx="308">
                  <c:v>0.2</c:v>
                </c:pt>
                <c:pt idx="309">
                  <c:v>0.17</c:v>
                </c:pt>
                <c:pt idx="310">
                  <c:v>0.2</c:v>
                </c:pt>
                <c:pt idx="311">
                  <c:v>0.25</c:v>
                </c:pt>
                <c:pt idx="312">
                  <c:v>0.29</c:v>
                </c:pt>
                <c:pt idx="313">
                  <c:v>0.17</c:v>
                </c:pt>
                <c:pt idx="314">
                  <c:v>0.15</c:v>
                </c:pt>
                <c:pt idx="315">
                  <c:v>0.16</c:v>
                </c:pt>
                <c:pt idx="316">
                  <c:v>0.22</c:v>
                </c:pt>
                <c:pt idx="317">
                  <c:v>0.26</c:v>
                </c:pt>
                <c:pt idx="318">
                  <c:v>0.17</c:v>
                </c:pt>
                <c:pt idx="319">
                  <c:v>0.2</c:v>
                </c:pt>
                <c:pt idx="320">
                  <c:v>0.24</c:v>
                </c:pt>
                <c:pt idx="321">
                  <c:v>0.17</c:v>
                </c:pt>
                <c:pt idx="322">
                  <c:v>0.23</c:v>
                </c:pt>
                <c:pt idx="323">
                  <c:v>0.27</c:v>
                </c:pt>
                <c:pt idx="324">
                  <c:v>0.31</c:v>
                </c:pt>
                <c:pt idx="325">
                  <c:v>0.35</c:v>
                </c:pt>
                <c:pt idx="326">
                  <c:v>0.19</c:v>
                </c:pt>
                <c:pt idx="327">
                  <c:v>0.24</c:v>
                </c:pt>
                <c:pt idx="328">
                  <c:v>0.29</c:v>
                </c:pt>
                <c:pt idx="329">
                  <c:v>0.36</c:v>
                </c:pt>
                <c:pt idx="330">
                  <c:v>0.42</c:v>
                </c:pt>
                <c:pt idx="331">
                  <c:v>0.18</c:v>
                </c:pt>
                <c:pt idx="332">
                  <c:v>0.22</c:v>
                </c:pt>
                <c:pt idx="333">
                  <c:v>0.27</c:v>
                </c:pt>
                <c:pt idx="334">
                  <c:v>0.32</c:v>
                </c:pt>
                <c:pt idx="335">
                  <c:v>0.16</c:v>
                </c:pt>
                <c:pt idx="336">
                  <c:v>0.19</c:v>
                </c:pt>
                <c:pt idx="337">
                  <c:v>0.22</c:v>
                </c:pt>
                <c:pt idx="338">
                  <c:v>0.17</c:v>
                </c:pt>
                <c:pt idx="339">
                  <c:v>0.19</c:v>
                </c:pt>
                <c:pt idx="340">
                  <c:v>0.25</c:v>
                </c:pt>
              </c:numCache>
            </c:numRef>
          </c:xVal>
          <c:yVal>
            <c:numRef>
              <c:f>'Avaliação do resultado ML'!$AJ$2:$AJ$342</c:f>
              <c:numCache>
                <c:formatCode>0.00</c:formatCode>
                <c:ptCount val="341"/>
              </c:numCache>
            </c:numRef>
          </c:yVal>
          <c:smooth val="0"/>
        </c:ser>
        <c:axId val="60887319"/>
        <c:axId val="9116383"/>
      </c:scatterChart>
      <c:valAx>
        <c:axId val="60887319"/>
        <c:scaling>
          <c:orientation val="minMax"/>
          <c:max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116383"/>
        <c:crosses val="autoZero"/>
        <c:crossBetween val="midCat"/>
      </c:valAx>
      <c:valAx>
        <c:axId val="91163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088731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fib Model Code 2020 + werror,2 (Eq. 20)</a:t>
            </a:r>
          </a:p>
        </c:rich>
      </c:tx>
      <c:layout>
        <c:manualLayout>
          <c:xMode val="edge"/>
          <c:yMode val="edge"/>
          <c:x val="0.146154372988152"/>
          <c:y val="0.0277387311404742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'Avaliação do resultado ML'!$AV$1</c:f>
              <c:strCache>
                <c:ptCount val="1"/>
                <c:pt idx="0">
                  <c:v>fib Model Code 2020 + werror,2 (Eq. 20)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'Dataset experimental'!$AF$2:$AF$342</c:f>
              <c:numCache>
                <c:formatCode>0.00</c:formatCode>
                <c:ptCount val="341"/>
                <c:pt idx="0">
                  <c:v>0.16</c:v>
                </c:pt>
                <c:pt idx="1">
                  <c:v>0.23</c:v>
                </c:pt>
                <c:pt idx="2">
                  <c:v>0.24</c:v>
                </c:pt>
                <c:pt idx="3">
                  <c:v>0.27</c:v>
                </c:pt>
                <c:pt idx="4">
                  <c:v>0.35</c:v>
                </c:pt>
                <c:pt idx="5">
                  <c:v>0.4</c:v>
                </c:pt>
                <c:pt idx="6">
                  <c:v>0.16</c:v>
                </c:pt>
                <c:pt idx="7">
                  <c:v>0.18</c:v>
                </c:pt>
                <c:pt idx="8">
                  <c:v>0.26</c:v>
                </c:pt>
                <c:pt idx="9">
                  <c:v>0.16</c:v>
                </c:pt>
                <c:pt idx="10">
                  <c:v>0.2</c:v>
                </c:pt>
                <c:pt idx="11">
                  <c:v>0.2</c:v>
                </c:pt>
                <c:pt idx="12">
                  <c:v>0.24</c:v>
                </c:pt>
                <c:pt idx="13">
                  <c:v>0.3</c:v>
                </c:pt>
                <c:pt idx="14">
                  <c:v>0.32</c:v>
                </c:pt>
                <c:pt idx="15">
                  <c:v>0.38</c:v>
                </c:pt>
                <c:pt idx="16">
                  <c:v>0.42</c:v>
                </c:pt>
                <c:pt idx="17">
                  <c:v>0.44</c:v>
                </c:pt>
                <c:pt idx="18">
                  <c:v>0.5</c:v>
                </c:pt>
                <c:pt idx="19">
                  <c:v>0.24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0.38</c:v>
                </c:pt>
                <c:pt idx="24">
                  <c:v>0.44</c:v>
                </c:pt>
                <c:pt idx="25">
                  <c:v>0.18</c:v>
                </c:pt>
                <c:pt idx="26">
                  <c:v>0.2</c:v>
                </c:pt>
                <c:pt idx="27">
                  <c:v>0.26</c:v>
                </c:pt>
                <c:pt idx="28">
                  <c:v>0.44</c:v>
                </c:pt>
                <c:pt idx="29">
                  <c:v>0.6</c:v>
                </c:pt>
                <c:pt idx="30">
                  <c:v>0.36</c:v>
                </c:pt>
                <c:pt idx="31">
                  <c:v>0.43</c:v>
                </c:pt>
                <c:pt idx="32">
                  <c:v>0.56</c:v>
                </c:pt>
                <c:pt idx="33">
                  <c:v>0.71</c:v>
                </c:pt>
                <c:pt idx="34">
                  <c:v>0.79</c:v>
                </c:pt>
                <c:pt idx="35">
                  <c:v>0.2</c:v>
                </c:pt>
                <c:pt idx="36">
                  <c:v>0.25</c:v>
                </c:pt>
                <c:pt idx="37">
                  <c:v>0.36</c:v>
                </c:pt>
                <c:pt idx="38">
                  <c:v>0.47</c:v>
                </c:pt>
                <c:pt idx="39">
                  <c:v>0.57</c:v>
                </c:pt>
                <c:pt idx="40">
                  <c:v>0.78</c:v>
                </c:pt>
                <c:pt idx="41">
                  <c:v>0.21</c:v>
                </c:pt>
                <c:pt idx="42">
                  <c:v>0.31</c:v>
                </c:pt>
                <c:pt idx="43">
                  <c:v>0.38</c:v>
                </c:pt>
                <c:pt idx="44">
                  <c:v>0.52</c:v>
                </c:pt>
                <c:pt idx="45">
                  <c:v>0.74</c:v>
                </c:pt>
                <c:pt idx="46">
                  <c:v>0.17</c:v>
                </c:pt>
                <c:pt idx="47">
                  <c:v>0.36</c:v>
                </c:pt>
                <c:pt idx="48">
                  <c:v>0.56</c:v>
                </c:pt>
                <c:pt idx="49">
                  <c:v>0.78</c:v>
                </c:pt>
                <c:pt idx="50">
                  <c:v>0.31</c:v>
                </c:pt>
                <c:pt idx="51">
                  <c:v>0.44</c:v>
                </c:pt>
                <c:pt idx="52">
                  <c:v>0.14</c:v>
                </c:pt>
                <c:pt idx="53">
                  <c:v>0.31</c:v>
                </c:pt>
                <c:pt idx="54">
                  <c:v>0.4</c:v>
                </c:pt>
                <c:pt idx="55">
                  <c:v>0.25</c:v>
                </c:pt>
                <c:pt idx="56">
                  <c:v>0.44</c:v>
                </c:pt>
                <c:pt idx="57">
                  <c:v>0.56</c:v>
                </c:pt>
                <c:pt idx="58">
                  <c:v>0.23</c:v>
                </c:pt>
                <c:pt idx="59">
                  <c:v>0.35</c:v>
                </c:pt>
                <c:pt idx="60">
                  <c:v>0.49</c:v>
                </c:pt>
                <c:pt idx="61">
                  <c:v>0.67</c:v>
                </c:pt>
                <c:pt idx="62">
                  <c:v>0.27</c:v>
                </c:pt>
                <c:pt idx="63">
                  <c:v>0.4</c:v>
                </c:pt>
                <c:pt idx="64">
                  <c:v>0.53</c:v>
                </c:pt>
                <c:pt idx="65">
                  <c:v>0.72</c:v>
                </c:pt>
                <c:pt idx="66">
                  <c:v>0.3</c:v>
                </c:pt>
                <c:pt idx="67">
                  <c:v>0.57</c:v>
                </c:pt>
                <c:pt idx="68">
                  <c:v>0.26</c:v>
                </c:pt>
                <c:pt idx="69">
                  <c:v>0.6</c:v>
                </c:pt>
                <c:pt idx="70">
                  <c:v>0.27</c:v>
                </c:pt>
                <c:pt idx="71">
                  <c:v>0.59</c:v>
                </c:pt>
                <c:pt idx="72">
                  <c:v>0.15</c:v>
                </c:pt>
                <c:pt idx="73">
                  <c:v>0.17</c:v>
                </c:pt>
                <c:pt idx="74">
                  <c:v>0.15</c:v>
                </c:pt>
                <c:pt idx="75">
                  <c:v>0.17</c:v>
                </c:pt>
                <c:pt idx="76">
                  <c:v>0.2</c:v>
                </c:pt>
                <c:pt idx="77">
                  <c:v>0.16</c:v>
                </c:pt>
                <c:pt idx="78">
                  <c:v>0.21</c:v>
                </c:pt>
                <c:pt idx="79">
                  <c:v>0.15</c:v>
                </c:pt>
                <c:pt idx="80">
                  <c:v>0.2</c:v>
                </c:pt>
                <c:pt idx="81">
                  <c:v>0.25</c:v>
                </c:pt>
                <c:pt idx="82">
                  <c:v>0.28</c:v>
                </c:pt>
                <c:pt idx="83">
                  <c:v>0.28</c:v>
                </c:pt>
                <c:pt idx="84">
                  <c:v>0.3</c:v>
                </c:pt>
                <c:pt idx="85">
                  <c:v>0.33</c:v>
                </c:pt>
                <c:pt idx="86">
                  <c:v>0.33</c:v>
                </c:pt>
                <c:pt idx="87">
                  <c:v>0.15</c:v>
                </c:pt>
                <c:pt idx="88">
                  <c:v>0.18</c:v>
                </c:pt>
                <c:pt idx="89">
                  <c:v>0.2</c:v>
                </c:pt>
                <c:pt idx="90">
                  <c:v>0.25</c:v>
                </c:pt>
                <c:pt idx="91">
                  <c:v>0.3</c:v>
                </c:pt>
                <c:pt idx="92">
                  <c:v>0.33</c:v>
                </c:pt>
                <c:pt idx="93">
                  <c:v>0.38</c:v>
                </c:pt>
                <c:pt idx="94">
                  <c:v>0.15</c:v>
                </c:pt>
                <c:pt idx="95">
                  <c:v>0.18</c:v>
                </c:pt>
                <c:pt idx="96">
                  <c:v>0.2</c:v>
                </c:pt>
                <c:pt idx="97">
                  <c:v>0.23</c:v>
                </c:pt>
                <c:pt idx="98">
                  <c:v>0.25</c:v>
                </c:pt>
                <c:pt idx="99">
                  <c:v>0.3</c:v>
                </c:pt>
                <c:pt idx="100">
                  <c:v>0.3</c:v>
                </c:pt>
                <c:pt idx="101">
                  <c:v>0.15</c:v>
                </c:pt>
                <c:pt idx="102">
                  <c:v>0.18</c:v>
                </c:pt>
                <c:pt idx="103">
                  <c:v>0.18</c:v>
                </c:pt>
                <c:pt idx="104">
                  <c:v>0.25</c:v>
                </c:pt>
                <c:pt idx="105">
                  <c:v>0.28</c:v>
                </c:pt>
                <c:pt idx="106">
                  <c:v>0.33</c:v>
                </c:pt>
                <c:pt idx="107">
                  <c:v>0.38</c:v>
                </c:pt>
                <c:pt idx="108">
                  <c:v>0.43</c:v>
                </c:pt>
                <c:pt idx="109">
                  <c:v>0.15</c:v>
                </c:pt>
                <c:pt idx="110">
                  <c:v>0.18</c:v>
                </c:pt>
                <c:pt idx="111">
                  <c:v>0.18</c:v>
                </c:pt>
                <c:pt idx="112">
                  <c:v>0.2</c:v>
                </c:pt>
                <c:pt idx="113">
                  <c:v>0.2</c:v>
                </c:pt>
                <c:pt idx="114">
                  <c:v>0.15</c:v>
                </c:pt>
                <c:pt idx="115">
                  <c:v>0.18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0.25</c:v>
                </c:pt>
                <c:pt idx="120">
                  <c:v>0.33</c:v>
                </c:pt>
                <c:pt idx="121">
                  <c:v>0.23</c:v>
                </c:pt>
                <c:pt idx="122">
                  <c:v>0.28</c:v>
                </c:pt>
                <c:pt idx="123">
                  <c:v>0.18</c:v>
                </c:pt>
                <c:pt idx="124">
                  <c:v>0.23</c:v>
                </c:pt>
                <c:pt idx="125">
                  <c:v>0.25</c:v>
                </c:pt>
                <c:pt idx="126">
                  <c:v>0.18</c:v>
                </c:pt>
                <c:pt idx="127">
                  <c:v>0.23</c:v>
                </c:pt>
                <c:pt idx="128">
                  <c:v>0.25</c:v>
                </c:pt>
                <c:pt idx="129">
                  <c:v>0.15</c:v>
                </c:pt>
                <c:pt idx="130">
                  <c:v>0.15</c:v>
                </c:pt>
                <c:pt idx="131">
                  <c:v>0.18</c:v>
                </c:pt>
                <c:pt idx="132">
                  <c:v>0.18</c:v>
                </c:pt>
                <c:pt idx="133">
                  <c:v>0.2</c:v>
                </c:pt>
                <c:pt idx="134">
                  <c:v>0.23</c:v>
                </c:pt>
                <c:pt idx="135">
                  <c:v>0.16</c:v>
                </c:pt>
                <c:pt idx="136">
                  <c:v>0.18</c:v>
                </c:pt>
                <c:pt idx="137">
                  <c:v>0.2</c:v>
                </c:pt>
                <c:pt idx="138">
                  <c:v>0.22</c:v>
                </c:pt>
                <c:pt idx="139">
                  <c:v>0.24</c:v>
                </c:pt>
                <c:pt idx="140">
                  <c:v>0.26</c:v>
                </c:pt>
                <c:pt idx="141">
                  <c:v>0.28</c:v>
                </c:pt>
                <c:pt idx="142">
                  <c:v>0.15</c:v>
                </c:pt>
                <c:pt idx="143">
                  <c:v>0.17</c:v>
                </c:pt>
                <c:pt idx="144">
                  <c:v>0.19</c:v>
                </c:pt>
                <c:pt idx="145">
                  <c:v>0.2</c:v>
                </c:pt>
                <c:pt idx="146">
                  <c:v>0.22</c:v>
                </c:pt>
                <c:pt idx="147">
                  <c:v>0.24</c:v>
                </c:pt>
                <c:pt idx="148">
                  <c:v>0.26</c:v>
                </c:pt>
                <c:pt idx="149">
                  <c:v>0.29</c:v>
                </c:pt>
                <c:pt idx="150">
                  <c:v>0.17</c:v>
                </c:pt>
                <c:pt idx="151">
                  <c:v>0.2</c:v>
                </c:pt>
                <c:pt idx="152">
                  <c:v>0.24</c:v>
                </c:pt>
                <c:pt idx="153">
                  <c:v>0.27</c:v>
                </c:pt>
                <c:pt idx="154">
                  <c:v>0.32</c:v>
                </c:pt>
                <c:pt idx="155">
                  <c:v>0.34</c:v>
                </c:pt>
                <c:pt idx="156">
                  <c:v>0.16</c:v>
                </c:pt>
                <c:pt idx="157">
                  <c:v>0.2</c:v>
                </c:pt>
                <c:pt idx="158">
                  <c:v>0.24</c:v>
                </c:pt>
                <c:pt idx="159">
                  <c:v>0.27</c:v>
                </c:pt>
                <c:pt idx="160">
                  <c:v>0.29</c:v>
                </c:pt>
                <c:pt idx="161">
                  <c:v>0.32</c:v>
                </c:pt>
                <c:pt idx="162">
                  <c:v>0.33</c:v>
                </c:pt>
                <c:pt idx="163">
                  <c:v>0.15</c:v>
                </c:pt>
                <c:pt idx="164">
                  <c:v>0.19</c:v>
                </c:pt>
                <c:pt idx="165">
                  <c:v>0.2</c:v>
                </c:pt>
                <c:pt idx="166">
                  <c:v>0.23</c:v>
                </c:pt>
                <c:pt idx="167">
                  <c:v>0.25</c:v>
                </c:pt>
                <c:pt idx="168">
                  <c:v>0.28</c:v>
                </c:pt>
                <c:pt idx="169">
                  <c:v>0.31</c:v>
                </c:pt>
                <c:pt idx="170">
                  <c:v>0.36</c:v>
                </c:pt>
                <c:pt idx="171">
                  <c:v>0.16</c:v>
                </c:pt>
                <c:pt idx="172">
                  <c:v>0.18</c:v>
                </c:pt>
                <c:pt idx="173">
                  <c:v>0.2</c:v>
                </c:pt>
                <c:pt idx="174">
                  <c:v>0.23</c:v>
                </c:pt>
                <c:pt idx="175">
                  <c:v>0.24</c:v>
                </c:pt>
                <c:pt idx="176">
                  <c:v>0.25</c:v>
                </c:pt>
                <c:pt idx="177">
                  <c:v>0.27</c:v>
                </c:pt>
                <c:pt idx="178">
                  <c:v>0.29</c:v>
                </c:pt>
                <c:pt idx="179">
                  <c:v>0.15</c:v>
                </c:pt>
                <c:pt idx="180">
                  <c:v>0.16</c:v>
                </c:pt>
                <c:pt idx="181">
                  <c:v>0.18</c:v>
                </c:pt>
                <c:pt idx="182">
                  <c:v>0.18</c:v>
                </c:pt>
                <c:pt idx="183">
                  <c:v>0.19</c:v>
                </c:pt>
                <c:pt idx="184">
                  <c:v>0.2</c:v>
                </c:pt>
                <c:pt idx="185">
                  <c:v>0.22</c:v>
                </c:pt>
                <c:pt idx="186">
                  <c:v>0.16</c:v>
                </c:pt>
                <c:pt idx="187">
                  <c:v>0.2</c:v>
                </c:pt>
                <c:pt idx="188">
                  <c:v>0.23</c:v>
                </c:pt>
                <c:pt idx="189">
                  <c:v>0.14</c:v>
                </c:pt>
                <c:pt idx="190">
                  <c:v>0.17</c:v>
                </c:pt>
                <c:pt idx="191">
                  <c:v>0.21</c:v>
                </c:pt>
                <c:pt idx="192">
                  <c:v>0.21</c:v>
                </c:pt>
                <c:pt idx="193">
                  <c:v>0.25</c:v>
                </c:pt>
                <c:pt idx="194">
                  <c:v>0.29</c:v>
                </c:pt>
                <c:pt idx="195">
                  <c:v>0.33</c:v>
                </c:pt>
                <c:pt idx="196">
                  <c:v>0.37</c:v>
                </c:pt>
                <c:pt idx="197">
                  <c:v>0.15</c:v>
                </c:pt>
                <c:pt idx="198">
                  <c:v>0.23</c:v>
                </c:pt>
                <c:pt idx="199">
                  <c:v>0.28</c:v>
                </c:pt>
                <c:pt idx="200">
                  <c:v>0.18</c:v>
                </c:pt>
                <c:pt idx="201">
                  <c:v>0.26</c:v>
                </c:pt>
                <c:pt idx="202">
                  <c:v>0.34</c:v>
                </c:pt>
                <c:pt idx="203">
                  <c:v>0.15</c:v>
                </c:pt>
                <c:pt idx="204">
                  <c:v>0.19</c:v>
                </c:pt>
                <c:pt idx="205">
                  <c:v>0.22</c:v>
                </c:pt>
                <c:pt idx="206">
                  <c:v>0.22</c:v>
                </c:pt>
                <c:pt idx="207">
                  <c:v>0.25</c:v>
                </c:pt>
                <c:pt idx="208">
                  <c:v>0.29</c:v>
                </c:pt>
                <c:pt idx="209">
                  <c:v>0.17</c:v>
                </c:pt>
                <c:pt idx="210">
                  <c:v>0.19</c:v>
                </c:pt>
                <c:pt idx="211">
                  <c:v>0.21</c:v>
                </c:pt>
                <c:pt idx="212">
                  <c:v>0.23</c:v>
                </c:pt>
                <c:pt idx="213">
                  <c:v>0.25</c:v>
                </c:pt>
                <c:pt idx="214">
                  <c:v>0.25</c:v>
                </c:pt>
                <c:pt idx="215">
                  <c:v>0.18</c:v>
                </c:pt>
                <c:pt idx="216">
                  <c:v>0.19</c:v>
                </c:pt>
                <c:pt idx="217">
                  <c:v>0.21</c:v>
                </c:pt>
                <c:pt idx="218">
                  <c:v>0.23</c:v>
                </c:pt>
                <c:pt idx="219">
                  <c:v>0.25</c:v>
                </c:pt>
                <c:pt idx="220">
                  <c:v>0.29</c:v>
                </c:pt>
                <c:pt idx="221">
                  <c:v>0.31</c:v>
                </c:pt>
                <c:pt idx="222">
                  <c:v>0.37</c:v>
                </c:pt>
                <c:pt idx="223">
                  <c:v>0.16</c:v>
                </c:pt>
                <c:pt idx="224">
                  <c:v>0.2</c:v>
                </c:pt>
                <c:pt idx="225">
                  <c:v>0.26</c:v>
                </c:pt>
                <c:pt idx="226">
                  <c:v>0.17</c:v>
                </c:pt>
                <c:pt idx="227">
                  <c:v>0.19</c:v>
                </c:pt>
                <c:pt idx="228">
                  <c:v>0.23</c:v>
                </c:pt>
                <c:pt idx="229">
                  <c:v>0.25</c:v>
                </c:pt>
                <c:pt idx="230">
                  <c:v>0.3</c:v>
                </c:pt>
                <c:pt idx="231">
                  <c:v>0.32</c:v>
                </c:pt>
                <c:pt idx="232">
                  <c:v>0.36</c:v>
                </c:pt>
                <c:pt idx="233">
                  <c:v>0.47</c:v>
                </c:pt>
                <c:pt idx="234">
                  <c:v>0.16</c:v>
                </c:pt>
                <c:pt idx="235">
                  <c:v>0.18</c:v>
                </c:pt>
                <c:pt idx="236">
                  <c:v>0.18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0.22</c:v>
                </c:pt>
                <c:pt idx="241">
                  <c:v>0.22</c:v>
                </c:pt>
                <c:pt idx="242">
                  <c:v>0.25</c:v>
                </c:pt>
                <c:pt idx="243">
                  <c:v>0.29</c:v>
                </c:pt>
                <c:pt idx="244">
                  <c:v>0.31</c:v>
                </c:pt>
                <c:pt idx="245">
                  <c:v>0.33</c:v>
                </c:pt>
                <c:pt idx="246">
                  <c:v>0.34</c:v>
                </c:pt>
                <c:pt idx="247">
                  <c:v>0.37</c:v>
                </c:pt>
                <c:pt idx="248">
                  <c:v>0.2</c:v>
                </c:pt>
                <c:pt idx="249">
                  <c:v>0.35</c:v>
                </c:pt>
                <c:pt idx="250">
                  <c:v>0.2</c:v>
                </c:pt>
                <c:pt idx="251">
                  <c:v>0.25</c:v>
                </c:pt>
                <c:pt idx="252">
                  <c:v>0.2</c:v>
                </c:pt>
                <c:pt idx="253">
                  <c:v>0.25</c:v>
                </c:pt>
                <c:pt idx="254">
                  <c:v>0.2</c:v>
                </c:pt>
                <c:pt idx="255">
                  <c:v>0.3</c:v>
                </c:pt>
                <c:pt idx="256">
                  <c:v>0.15</c:v>
                </c:pt>
                <c:pt idx="257">
                  <c:v>0.2</c:v>
                </c:pt>
                <c:pt idx="258">
                  <c:v>0.15</c:v>
                </c:pt>
                <c:pt idx="259">
                  <c:v>0.2</c:v>
                </c:pt>
                <c:pt idx="260">
                  <c:v>0.15</c:v>
                </c:pt>
                <c:pt idx="261">
                  <c:v>0.25</c:v>
                </c:pt>
                <c:pt idx="262">
                  <c:v>0.3</c:v>
                </c:pt>
                <c:pt idx="263">
                  <c:v>0.15</c:v>
                </c:pt>
                <c:pt idx="264">
                  <c:v>0.25</c:v>
                </c:pt>
                <c:pt idx="265">
                  <c:v>0.15</c:v>
                </c:pt>
                <c:pt idx="266">
                  <c:v>0.2</c:v>
                </c:pt>
                <c:pt idx="267">
                  <c:v>0.3</c:v>
                </c:pt>
                <c:pt idx="268">
                  <c:v>0.33</c:v>
                </c:pt>
                <c:pt idx="269">
                  <c:v>0.15</c:v>
                </c:pt>
                <c:pt idx="270">
                  <c:v>0.25</c:v>
                </c:pt>
                <c:pt idx="271">
                  <c:v>0.28</c:v>
                </c:pt>
                <c:pt idx="272">
                  <c:v>0.2</c:v>
                </c:pt>
                <c:pt idx="273">
                  <c:v>0.22</c:v>
                </c:pt>
                <c:pt idx="274">
                  <c:v>0.17</c:v>
                </c:pt>
                <c:pt idx="275">
                  <c:v>0.21</c:v>
                </c:pt>
                <c:pt idx="276">
                  <c:v>0.17</c:v>
                </c:pt>
                <c:pt idx="277">
                  <c:v>0.18</c:v>
                </c:pt>
                <c:pt idx="278">
                  <c:v>0.2</c:v>
                </c:pt>
                <c:pt idx="279">
                  <c:v>0.2</c:v>
                </c:pt>
                <c:pt idx="280">
                  <c:v>0.25</c:v>
                </c:pt>
                <c:pt idx="281">
                  <c:v>0.27</c:v>
                </c:pt>
                <c:pt idx="282">
                  <c:v>0.18</c:v>
                </c:pt>
                <c:pt idx="283">
                  <c:v>0.19</c:v>
                </c:pt>
                <c:pt idx="284">
                  <c:v>0.21</c:v>
                </c:pt>
                <c:pt idx="285">
                  <c:v>0.26</c:v>
                </c:pt>
                <c:pt idx="286">
                  <c:v>0.17</c:v>
                </c:pt>
                <c:pt idx="287">
                  <c:v>0.23</c:v>
                </c:pt>
                <c:pt idx="288">
                  <c:v>0.27</c:v>
                </c:pt>
                <c:pt idx="289">
                  <c:v>0.16</c:v>
                </c:pt>
                <c:pt idx="290">
                  <c:v>0.16</c:v>
                </c:pt>
                <c:pt idx="291">
                  <c:v>0.2</c:v>
                </c:pt>
                <c:pt idx="292">
                  <c:v>0.17</c:v>
                </c:pt>
                <c:pt idx="293">
                  <c:v>0.15</c:v>
                </c:pt>
                <c:pt idx="294">
                  <c:v>0.19</c:v>
                </c:pt>
                <c:pt idx="295">
                  <c:v>0.22</c:v>
                </c:pt>
                <c:pt idx="296">
                  <c:v>0.27</c:v>
                </c:pt>
                <c:pt idx="297">
                  <c:v>0.17</c:v>
                </c:pt>
                <c:pt idx="298">
                  <c:v>0.2</c:v>
                </c:pt>
                <c:pt idx="299">
                  <c:v>0.15</c:v>
                </c:pt>
                <c:pt idx="300">
                  <c:v>0.18</c:v>
                </c:pt>
                <c:pt idx="301">
                  <c:v>0.22</c:v>
                </c:pt>
                <c:pt idx="302">
                  <c:v>0.25</c:v>
                </c:pt>
                <c:pt idx="303">
                  <c:v>0.2</c:v>
                </c:pt>
                <c:pt idx="304">
                  <c:v>0.25</c:v>
                </c:pt>
                <c:pt idx="305">
                  <c:v>0.3</c:v>
                </c:pt>
                <c:pt idx="306">
                  <c:v>0.35</c:v>
                </c:pt>
                <c:pt idx="307">
                  <c:v>0.17</c:v>
                </c:pt>
                <c:pt idx="308">
                  <c:v>0.2</c:v>
                </c:pt>
                <c:pt idx="309">
                  <c:v>0.17</c:v>
                </c:pt>
                <c:pt idx="310">
                  <c:v>0.2</c:v>
                </c:pt>
                <c:pt idx="311">
                  <c:v>0.25</c:v>
                </c:pt>
                <c:pt idx="312">
                  <c:v>0.29</c:v>
                </c:pt>
                <c:pt idx="313">
                  <c:v>0.17</c:v>
                </c:pt>
                <c:pt idx="314">
                  <c:v>0.15</c:v>
                </c:pt>
                <c:pt idx="315">
                  <c:v>0.16</c:v>
                </c:pt>
                <c:pt idx="316">
                  <c:v>0.22</c:v>
                </c:pt>
                <c:pt idx="317">
                  <c:v>0.26</c:v>
                </c:pt>
                <c:pt idx="318">
                  <c:v>0.17</c:v>
                </c:pt>
                <c:pt idx="319">
                  <c:v>0.2</c:v>
                </c:pt>
                <c:pt idx="320">
                  <c:v>0.24</c:v>
                </c:pt>
                <c:pt idx="321">
                  <c:v>0.17</c:v>
                </c:pt>
                <c:pt idx="322">
                  <c:v>0.23</c:v>
                </c:pt>
                <c:pt idx="323">
                  <c:v>0.27</c:v>
                </c:pt>
                <c:pt idx="324">
                  <c:v>0.31</c:v>
                </c:pt>
                <c:pt idx="325">
                  <c:v>0.35</c:v>
                </c:pt>
                <c:pt idx="326">
                  <c:v>0.19</c:v>
                </c:pt>
                <c:pt idx="327">
                  <c:v>0.24</c:v>
                </c:pt>
                <c:pt idx="328">
                  <c:v>0.29</c:v>
                </c:pt>
                <c:pt idx="329">
                  <c:v>0.36</c:v>
                </c:pt>
                <c:pt idx="330">
                  <c:v>0.42</c:v>
                </c:pt>
                <c:pt idx="331">
                  <c:v>0.18</c:v>
                </c:pt>
                <c:pt idx="332">
                  <c:v>0.22</c:v>
                </c:pt>
                <c:pt idx="333">
                  <c:v>0.27</c:v>
                </c:pt>
                <c:pt idx="334">
                  <c:v>0.32</c:v>
                </c:pt>
                <c:pt idx="335">
                  <c:v>0.16</c:v>
                </c:pt>
                <c:pt idx="336">
                  <c:v>0.19</c:v>
                </c:pt>
                <c:pt idx="337">
                  <c:v>0.22</c:v>
                </c:pt>
                <c:pt idx="338">
                  <c:v>0.17</c:v>
                </c:pt>
                <c:pt idx="339">
                  <c:v>0.19</c:v>
                </c:pt>
                <c:pt idx="340">
                  <c:v>0.25</c:v>
                </c:pt>
              </c:numCache>
            </c:numRef>
          </c:xVal>
          <c:yVal>
            <c:numRef>
              <c:f>'Avaliação do resultado ML'!$AV$2:$AV$342</c:f>
              <c:numCache>
                <c:formatCode>0.00</c:formatCode>
                <c:ptCount val="341"/>
              </c:numCache>
            </c:numRef>
          </c:yVal>
          <c:smooth val="0"/>
        </c:ser>
        <c:axId val="38649584"/>
        <c:axId val="84377257"/>
      </c:scatterChart>
      <c:valAx>
        <c:axId val="38649584"/>
        <c:scaling>
          <c:orientation val="minMax"/>
          <c:max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4377257"/>
        <c:crosses val="autoZero"/>
        <c:crossBetween val="midCat"/>
      </c:valAx>
      <c:valAx>
        <c:axId val="843772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864958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Proposta 1 + werror,2 (Eq. 22)</a:t>
            </a:r>
          </a:p>
        </c:rich>
      </c:tx>
      <c:layout>
        <c:manualLayout>
          <c:xMode val="edge"/>
          <c:yMode val="edge"/>
          <c:x val="0.259297308403534"/>
          <c:y val="0.0244588136069722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'Avaliação do resultado ML'!$BH$1</c:f>
              <c:strCache>
                <c:ptCount val="1"/>
                <c:pt idx="0">
                  <c:v>Proposta 1 + werror,2 (Eq. 22)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'Dataset experimental'!$AF$2:$AF$342</c:f>
              <c:numCache>
                <c:formatCode>0.00</c:formatCode>
                <c:ptCount val="341"/>
                <c:pt idx="0">
                  <c:v>0.16</c:v>
                </c:pt>
                <c:pt idx="1">
                  <c:v>0.23</c:v>
                </c:pt>
                <c:pt idx="2">
                  <c:v>0.24</c:v>
                </c:pt>
                <c:pt idx="3">
                  <c:v>0.27</c:v>
                </c:pt>
                <c:pt idx="4">
                  <c:v>0.35</c:v>
                </c:pt>
                <c:pt idx="5">
                  <c:v>0.4</c:v>
                </c:pt>
                <c:pt idx="6">
                  <c:v>0.16</c:v>
                </c:pt>
                <c:pt idx="7">
                  <c:v>0.18</c:v>
                </c:pt>
                <c:pt idx="8">
                  <c:v>0.26</c:v>
                </c:pt>
                <c:pt idx="9">
                  <c:v>0.16</c:v>
                </c:pt>
                <c:pt idx="10">
                  <c:v>0.2</c:v>
                </c:pt>
                <c:pt idx="11">
                  <c:v>0.2</c:v>
                </c:pt>
                <c:pt idx="12">
                  <c:v>0.24</c:v>
                </c:pt>
                <c:pt idx="13">
                  <c:v>0.3</c:v>
                </c:pt>
                <c:pt idx="14">
                  <c:v>0.32</c:v>
                </c:pt>
                <c:pt idx="15">
                  <c:v>0.38</c:v>
                </c:pt>
                <c:pt idx="16">
                  <c:v>0.42</c:v>
                </c:pt>
                <c:pt idx="17">
                  <c:v>0.44</c:v>
                </c:pt>
                <c:pt idx="18">
                  <c:v>0.5</c:v>
                </c:pt>
                <c:pt idx="19">
                  <c:v>0.24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0.38</c:v>
                </c:pt>
                <c:pt idx="24">
                  <c:v>0.44</c:v>
                </c:pt>
                <c:pt idx="25">
                  <c:v>0.18</c:v>
                </c:pt>
                <c:pt idx="26">
                  <c:v>0.2</c:v>
                </c:pt>
                <c:pt idx="27">
                  <c:v>0.26</c:v>
                </c:pt>
                <c:pt idx="28">
                  <c:v>0.44</c:v>
                </c:pt>
                <c:pt idx="29">
                  <c:v>0.6</c:v>
                </c:pt>
                <c:pt idx="30">
                  <c:v>0.36</c:v>
                </c:pt>
                <c:pt idx="31">
                  <c:v>0.43</c:v>
                </c:pt>
                <c:pt idx="32">
                  <c:v>0.56</c:v>
                </c:pt>
                <c:pt idx="33">
                  <c:v>0.71</c:v>
                </c:pt>
                <c:pt idx="34">
                  <c:v>0.79</c:v>
                </c:pt>
                <c:pt idx="35">
                  <c:v>0.2</c:v>
                </c:pt>
                <c:pt idx="36">
                  <c:v>0.25</c:v>
                </c:pt>
                <c:pt idx="37">
                  <c:v>0.36</c:v>
                </c:pt>
                <c:pt idx="38">
                  <c:v>0.47</c:v>
                </c:pt>
                <c:pt idx="39">
                  <c:v>0.57</c:v>
                </c:pt>
                <c:pt idx="40">
                  <c:v>0.78</c:v>
                </c:pt>
                <c:pt idx="41">
                  <c:v>0.21</c:v>
                </c:pt>
                <c:pt idx="42">
                  <c:v>0.31</c:v>
                </c:pt>
                <c:pt idx="43">
                  <c:v>0.38</c:v>
                </c:pt>
                <c:pt idx="44">
                  <c:v>0.52</c:v>
                </c:pt>
                <c:pt idx="45">
                  <c:v>0.74</c:v>
                </c:pt>
                <c:pt idx="46">
                  <c:v>0.17</c:v>
                </c:pt>
                <c:pt idx="47">
                  <c:v>0.36</c:v>
                </c:pt>
                <c:pt idx="48">
                  <c:v>0.56</c:v>
                </c:pt>
                <c:pt idx="49">
                  <c:v>0.78</c:v>
                </c:pt>
                <c:pt idx="50">
                  <c:v>0.31</c:v>
                </c:pt>
                <c:pt idx="51">
                  <c:v>0.44</c:v>
                </c:pt>
                <c:pt idx="52">
                  <c:v>0.14</c:v>
                </c:pt>
                <c:pt idx="53">
                  <c:v>0.31</c:v>
                </c:pt>
                <c:pt idx="54">
                  <c:v>0.4</c:v>
                </c:pt>
                <c:pt idx="55">
                  <c:v>0.25</c:v>
                </c:pt>
                <c:pt idx="56">
                  <c:v>0.44</c:v>
                </c:pt>
                <c:pt idx="57">
                  <c:v>0.56</c:v>
                </c:pt>
                <c:pt idx="58">
                  <c:v>0.23</c:v>
                </c:pt>
                <c:pt idx="59">
                  <c:v>0.35</c:v>
                </c:pt>
                <c:pt idx="60">
                  <c:v>0.49</c:v>
                </c:pt>
                <c:pt idx="61">
                  <c:v>0.67</c:v>
                </c:pt>
                <c:pt idx="62">
                  <c:v>0.27</c:v>
                </c:pt>
                <c:pt idx="63">
                  <c:v>0.4</c:v>
                </c:pt>
                <c:pt idx="64">
                  <c:v>0.53</c:v>
                </c:pt>
                <c:pt idx="65">
                  <c:v>0.72</c:v>
                </c:pt>
                <c:pt idx="66">
                  <c:v>0.3</c:v>
                </c:pt>
                <c:pt idx="67">
                  <c:v>0.57</c:v>
                </c:pt>
                <c:pt idx="68">
                  <c:v>0.26</c:v>
                </c:pt>
                <c:pt idx="69">
                  <c:v>0.6</c:v>
                </c:pt>
                <c:pt idx="70">
                  <c:v>0.27</c:v>
                </c:pt>
                <c:pt idx="71">
                  <c:v>0.59</c:v>
                </c:pt>
                <c:pt idx="72">
                  <c:v>0.15</c:v>
                </c:pt>
                <c:pt idx="73">
                  <c:v>0.17</c:v>
                </c:pt>
                <c:pt idx="74">
                  <c:v>0.15</c:v>
                </c:pt>
                <c:pt idx="75">
                  <c:v>0.17</c:v>
                </c:pt>
                <c:pt idx="76">
                  <c:v>0.2</c:v>
                </c:pt>
                <c:pt idx="77">
                  <c:v>0.16</c:v>
                </c:pt>
                <c:pt idx="78">
                  <c:v>0.21</c:v>
                </c:pt>
                <c:pt idx="79">
                  <c:v>0.15</c:v>
                </c:pt>
                <c:pt idx="80">
                  <c:v>0.2</c:v>
                </c:pt>
                <c:pt idx="81">
                  <c:v>0.25</c:v>
                </c:pt>
                <c:pt idx="82">
                  <c:v>0.28</c:v>
                </c:pt>
                <c:pt idx="83">
                  <c:v>0.28</c:v>
                </c:pt>
                <c:pt idx="84">
                  <c:v>0.3</c:v>
                </c:pt>
                <c:pt idx="85">
                  <c:v>0.33</c:v>
                </c:pt>
                <c:pt idx="86">
                  <c:v>0.33</c:v>
                </c:pt>
                <c:pt idx="87">
                  <c:v>0.15</c:v>
                </c:pt>
                <c:pt idx="88">
                  <c:v>0.18</c:v>
                </c:pt>
                <c:pt idx="89">
                  <c:v>0.2</c:v>
                </c:pt>
                <c:pt idx="90">
                  <c:v>0.25</c:v>
                </c:pt>
                <c:pt idx="91">
                  <c:v>0.3</c:v>
                </c:pt>
                <c:pt idx="92">
                  <c:v>0.33</c:v>
                </c:pt>
                <c:pt idx="93">
                  <c:v>0.38</c:v>
                </c:pt>
                <c:pt idx="94">
                  <c:v>0.15</c:v>
                </c:pt>
                <c:pt idx="95">
                  <c:v>0.18</c:v>
                </c:pt>
                <c:pt idx="96">
                  <c:v>0.2</c:v>
                </c:pt>
                <c:pt idx="97">
                  <c:v>0.23</c:v>
                </c:pt>
                <c:pt idx="98">
                  <c:v>0.25</c:v>
                </c:pt>
                <c:pt idx="99">
                  <c:v>0.3</c:v>
                </c:pt>
                <c:pt idx="100">
                  <c:v>0.3</c:v>
                </c:pt>
                <c:pt idx="101">
                  <c:v>0.15</c:v>
                </c:pt>
                <c:pt idx="102">
                  <c:v>0.18</c:v>
                </c:pt>
                <c:pt idx="103">
                  <c:v>0.18</c:v>
                </c:pt>
                <c:pt idx="104">
                  <c:v>0.25</c:v>
                </c:pt>
                <c:pt idx="105">
                  <c:v>0.28</c:v>
                </c:pt>
                <c:pt idx="106">
                  <c:v>0.33</c:v>
                </c:pt>
                <c:pt idx="107">
                  <c:v>0.38</c:v>
                </c:pt>
                <c:pt idx="108">
                  <c:v>0.43</c:v>
                </c:pt>
                <c:pt idx="109">
                  <c:v>0.15</c:v>
                </c:pt>
                <c:pt idx="110">
                  <c:v>0.18</c:v>
                </c:pt>
                <c:pt idx="111">
                  <c:v>0.18</c:v>
                </c:pt>
                <c:pt idx="112">
                  <c:v>0.2</c:v>
                </c:pt>
                <c:pt idx="113">
                  <c:v>0.2</c:v>
                </c:pt>
                <c:pt idx="114">
                  <c:v>0.15</c:v>
                </c:pt>
                <c:pt idx="115">
                  <c:v>0.18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0.25</c:v>
                </c:pt>
                <c:pt idx="120">
                  <c:v>0.33</c:v>
                </c:pt>
                <c:pt idx="121">
                  <c:v>0.23</c:v>
                </c:pt>
                <c:pt idx="122">
                  <c:v>0.28</c:v>
                </c:pt>
                <c:pt idx="123">
                  <c:v>0.18</c:v>
                </c:pt>
                <c:pt idx="124">
                  <c:v>0.23</c:v>
                </c:pt>
                <c:pt idx="125">
                  <c:v>0.25</c:v>
                </c:pt>
                <c:pt idx="126">
                  <c:v>0.18</c:v>
                </c:pt>
                <c:pt idx="127">
                  <c:v>0.23</c:v>
                </c:pt>
                <c:pt idx="128">
                  <c:v>0.25</c:v>
                </c:pt>
                <c:pt idx="129">
                  <c:v>0.15</c:v>
                </c:pt>
                <c:pt idx="130">
                  <c:v>0.15</c:v>
                </c:pt>
                <c:pt idx="131">
                  <c:v>0.18</c:v>
                </c:pt>
                <c:pt idx="132">
                  <c:v>0.18</c:v>
                </c:pt>
                <c:pt idx="133">
                  <c:v>0.2</c:v>
                </c:pt>
                <c:pt idx="134">
                  <c:v>0.23</c:v>
                </c:pt>
                <c:pt idx="135">
                  <c:v>0.16</c:v>
                </c:pt>
                <c:pt idx="136">
                  <c:v>0.18</c:v>
                </c:pt>
                <c:pt idx="137">
                  <c:v>0.2</c:v>
                </c:pt>
                <c:pt idx="138">
                  <c:v>0.22</c:v>
                </c:pt>
                <c:pt idx="139">
                  <c:v>0.24</c:v>
                </c:pt>
                <c:pt idx="140">
                  <c:v>0.26</c:v>
                </c:pt>
                <c:pt idx="141">
                  <c:v>0.28</c:v>
                </c:pt>
                <c:pt idx="142">
                  <c:v>0.15</c:v>
                </c:pt>
                <c:pt idx="143">
                  <c:v>0.17</c:v>
                </c:pt>
                <c:pt idx="144">
                  <c:v>0.19</c:v>
                </c:pt>
                <c:pt idx="145">
                  <c:v>0.2</c:v>
                </c:pt>
                <c:pt idx="146">
                  <c:v>0.22</c:v>
                </c:pt>
                <c:pt idx="147">
                  <c:v>0.24</c:v>
                </c:pt>
                <c:pt idx="148">
                  <c:v>0.26</c:v>
                </c:pt>
                <c:pt idx="149">
                  <c:v>0.29</c:v>
                </c:pt>
                <c:pt idx="150">
                  <c:v>0.17</c:v>
                </c:pt>
                <c:pt idx="151">
                  <c:v>0.2</c:v>
                </c:pt>
                <c:pt idx="152">
                  <c:v>0.24</c:v>
                </c:pt>
                <c:pt idx="153">
                  <c:v>0.27</c:v>
                </c:pt>
                <c:pt idx="154">
                  <c:v>0.32</c:v>
                </c:pt>
                <c:pt idx="155">
                  <c:v>0.34</c:v>
                </c:pt>
                <c:pt idx="156">
                  <c:v>0.16</c:v>
                </c:pt>
                <c:pt idx="157">
                  <c:v>0.2</c:v>
                </c:pt>
                <c:pt idx="158">
                  <c:v>0.24</c:v>
                </c:pt>
                <c:pt idx="159">
                  <c:v>0.27</c:v>
                </c:pt>
                <c:pt idx="160">
                  <c:v>0.29</c:v>
                </c:pt>
                <c:pt idx="161">
                  <c:v>0.32</c:v>
                </c:pt>
                <c:pt idx="162">
                  <c:v>0.33</c:v>
                </c:pt>
                <c:pt idx="163">
                  <c:v>0.15</c:v>
                </c:pt>
                <c:pt idx="164">
                  <c:v>0.19</c:v>
                </c:pt>
                <c:pt idx="165">
                  <c:v>0.2</c:v>
                </c:pt>
                <c:pt idx="166">
                  <c:v>0.23</c:v>
                </c:pt>
                <c:pt idx="167">
                  <c:v>0.25</c:v>
                </c:pt>
                <c:pt idx="168">
                  <c:v>0.28</c:v>
                </c:pt>
                <c:pt idx="169">
                  <c:v>0.31</c:v>
                </c:pt>
                <c:pt idx="170">
                  <c:v>0.36</c:v>
                </c:pt>
                <c:pt idx="171">
                  <c:v>0.16</c:v>
                </c:pt>
                <c:pt idx="172">
                  <c:v>0.18</c:v>
                </c:pt>
                <c:pt idx="173">
                  <c:v>0.2</c:v>
                </c:pt>
                <c:pt idx="174">
                  <c:v>0.23</c:v>
                </c:pt>
                <c:pt idx="175">
                  <c:v>0.24</c:v>
                </c:pt>
                <c:pt idx="176">
                  <c:v>0.25</c:v>
                </c:pt>
                <c:pt idx="177">
                  <c:v>0.27</c:v>
                </c:pt>
                <c:pt idx="178">
                  <c:v>0.29</c:v>
                </c:pt>
                <c:pt idx="179">
                  <c:v>0.15</c:v>
                </c:pt>
                <c:pt idx="180">
                  <c:v>0.16</c:v>
                </c:pt>
                <c:pt idx="181">
                  <c:v>0.18</c:v>
                </c:pt>
                <c:pt idx="182">
                  <c:v>0.18</c:v>
                </c:pt>
                <c:pt idx="183">
                  <c:v>0.19</c:v>
                </c:pt>
                <c:pt idx="184">
                  <c:v>0.2</c:v>
                </c:pt>
                <c:pt idx="185">
                  <c:v>0.22</c:v>
                </c:pt>
                <c:pt idx="186">
                  <c:v>0.16</c:v>
                </c:pt>
                <c:pt idx="187">
                  <c:v>0.2</c:v>
                </c:pt>
                <c:pt idx="188">
                  <c:v>0.23</c:v>
                </c:pt>
                <c:pt idx="189">
                  <c:v>0.14</c:v>
                </c:pt>
                <c:pt idx="190">
                  <c:v>0.17</c:v>
                </c:pt>
                <c:pt idx="191">
                  <c:v>0.21</c:v>
                </c:pt>
                <c:pt idx="192">
                  <c:v>0.21</c:v>
                </c:pt>
                <c:pt idx="193">
                  <c:v>0.25</c:v>
                </c:pt>
                <c:pt idx="194">
                  <c:v>0.29</c:v>
                </c:pt>
                <c:pt idx="195">
                  <c:v>0.33</c:v>
                </c:pt>
                <c:pt idx="196">
                  <c:v>0.37</c:v>
                </c:pt>
                <c:pt idx="197">
                  <c:v>0.15</c:v>
                </c:pt>
                <c:pt idx="198">
                  <c:v>0.23</c:v>
                </c:pt>
                <c:pt idx="199">
                  <c:v>0.28</c:v>
                </c:pt>
                <c:pt idx="200">
                  <c:v>0.18</c:v>
                </c:pt>
                <c:pt idx="201">
                  <c:v>0.26</c:v>
                </c:pt>
                <c:pt idx="202">
                  <c:v>0.34</c:v>
                </c:pt>
                <c:pt idx="203">
                  <c:v>0.15</c:v>
                </c:pt>
                <c:pt idx="204">
                  <c:v>0.19</c:v>
                </c:pt>
                <c:pt idx="205">
                  <c:v>0.22</c:v>
                </c:pt>
                <c:pt idx="206">
                  <c:v>0.22</c:v>
                </c:pt>
                <c:pt idx="207">
                  <c:v>0.25</c:v>
                </c:pt>
                <c:pt idx="208">
                  <c:v>0.29</c:v>
                </c:pt>
                <c:pt idx="209">
                  <c:v>0.17</c:v>
                </c:pt>
                <c:pt idx="210">
                  <c:v>0.19</c:v>
                </c:pt>
                <c:pt idx="211">
                  <c:v>0.21</c:v>
                </c:pt>
                <c:pt idx="212">
                  <c:v>0.23</c:v>
                </c:pt>
                <c:pt idx="213">
                  <c:v>0.25</c:v>
                </c:pt>
                <c:pt idx="214">
                  <c:v>0.25</c:v>
                </c:pt>
                <c:pt idx="215">
                  <c:v>0.18</c:v>
                </c:pt>
                <c:pt idx="216">
                  <c:v>0.19</c:v>
                </c:pt>
                <c:pt idx="217">
                  <c:v>0.21</c:v>
                </c:pt>
                <c:pt idx="218">
                  <c:v>0.23</c:v>
                </c:pt>
                <c:pt idx="219">
                  <c:v>0.25</c:v>
                </c:pt>
                <c:pt idx="220">
                  <c:v>0.29</c:v>
                </c:pt>
                <c:pt idx="221">
                  <c:v>0.31</c:v>
                </c:pt>
                <c:pt idx="222">
                  <c:v>0.37</c:v>
                </c:pt>
                <c:pt idx="223">
                  <c:v>0.16</c:v>
                </c:pt>
                <c:pt idx="224">
                  <c:v>0.2</c:v>
                </c:pt>
                <c:pt idx="225">
                  <c:v>0.26</c:v>
                </c:pt>
                <c:pt idx="226">
                  <c:v>0.17</c:v>
                </c:pt>
                <c:pt idx="227">
                  <c:v>0.19</c:v>
                </c:pt>
                <c:pt idx="228">
                  <c:v>0.23</c:v>
                </c:pt>
                <c:pt idx="229">
                  <c:v>0.25</c:v>
                </c:pt>
                <c:pt idx="230">
                  <c:v>0.3</c:v>
                </c:pt>
                <c:pt idx="231">
                  <c:v>0.32</c:v>
                </c:pt>
                <c:pt idx="232">
                  <c:v>0.36</c:v>
                </c:pt>
                <c:pt idx="233">
                  <c:v>0.47</c:v>
                </c:pt>
                <c:pt idx="234">
                  <c:v>0.16</c:v>
                </c:pt>
                <c:pt idx="235">
                  <c:v>0.18</c:v>
                </c:pt>
                <c:pt idx="236">
                  <c:v>0.18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0.22</c:v>
                </c:pt>
                <c:pt idx="241">
                  <c:v>0.22</c:v>
                </c:pt>
                <c:pt idx="242">
                  <c:v>0.25</c:v>
                </c:pt>
                <c:pt idx="243">
                  <c:v>0.29</c:v>
                </c:pt>
                <c:pt idx="244">
                  <c:v>0.31</c:v>
                </c:pt>
                <c:pt idx="245">
                  <c:v>0.33</c:v>
                </c:pt>
                <c:pt idx="246">
                  <c:v>0.34</c:v>
                </c:pt>
                <c:pt idx="247">
                  <c:v>0.37</c:v>
                </c:pt>
                <c:pt idx="248">
                  <c:v>0.2</c:v>
                </c:pt>
                <c:pt idx="249">
                  <c:v>0.35</c:v>
                </c:pt>
                <c:pt idx="250">
                  <c:v>0.2</c:v>
                </c:pt>
                <c:pt idx="251">
                  <c:v>0.25</c:v>
                </c:pt>
                <c:pt idx="252">
                  <c:v>0.2</c:v>
                </c:pt>
                <c:pt idx="253">
                  <c:v>0.25</c:v>
                </c:pt>
                <c:pt idx="254">
                  <c:v>0.2</c:v>
                </c:pt>
                <c:pt idx="255">
                  <c:v>0.3</c:v>
                </c:pt>
                <c:pt idx="256">
                  <c:v>0.15</c:v>
                </c:pt>
                <c:pt idx="257">
                  <c:v>0.2</c:v>
                </c:pt>
                <c:pt idx="258">
                  <c:v>0.15</c:v>
                </c:pt>
                <c:pt idx="259">
                  <c:v>0.2</c:v>
                </c:pt>
                <c:pt idx="260">
                  <c:v>0.15</c:v>
                </c:pt>
                <c:pt idx="261">
                  <c:v>0.25</c:v>
                </c:pt>
                <c:pt idx="262">
                  <c:v>0.3</c:v>
                </c:pt>
                <c:pt idx="263">
                  <c:v>0.15</c:v>
                </c:pt>
                <c:pt idx="264">
                  <c:v>0.25</c:v>
                </c:pt>
                <c:pt idx="265">
                  <c:v>0.15</c:v>
                </c:pt>
                <c:pt idx="266">
                  <c:v>0.2</c:v>
                </c:pt>
                <c:pt idx="267">
                  <c:v>0.3</c:v>
                </c:pt>
                <c:pt idx="268">
                  <c:v>0.33</c:v>
                </c:pt>
                <c:pt idx="269">
                  <c:v>0.15</c:v>
                </c:pt>
                <c:pt idx="270">
                  <c:v>0.25</c:v>
                </c:pt>
                <c:pt idx="271">
                  <c:v>0.28</c:v>
                </c:pt>
                <c:pt idx="272">
                  <c:v>0.2</c:v>
                </c:pt>
                <c:pt idx="273">
                  <c:v>0.22</c:v>
                </c:pt>
                <c:pt idx="274">
                  <c:v>0.17</c:v>
                </c:pt>
                <c:pt idx="275">
                  <c:v>0.21</c:v>
                </c:pt>
                <c:pt idx="276">
                  <c:v>0.17</c:v>
                </c:pt>
                <c:pt idx="277">
                  <c:v>0.18</c:v>
                </c:pt>
                <c:pt idx="278">
                  <c:v>0.2</c:v>
                </c:pt>
                <c:pt idx="279">
                  <c:v>0.2</c:v>
                </c:pt>
                <c:pt idx="280">
                  <c:v>0.25</c:v>
                </c:pt>
                <c:pt idx="281">
                  <c:v>0.27</c:v>
                </c:pt>
                <c:pt idx="282">
                  <c:v>0.18</c:v>
                </c:pt>
                <c:pt idx="283">
                  <c:v>0.19</c:v>
                </c:pt>
                <c:pt idx="284">
                  <c:v>0.21</c:v>
                </c:pt>
                <c:pt idx="285">
                  <c:v>0.26</c:v>
                </c:pt>
                <c:pt idx="286">
                  <c:v>0.17</c:v>
                </c:pt>
                <c:pt idx="287">
                  <c:v>0.23</c:v>
                </c:pt>
                <c:pt idx="288">
                  <c:v>0.27</c:v>
                </c:pt>
                <c:pt idx="289">
                  <c:v>0.16</c:v>
                </c:pt>
                <c:pt idx="290">
                  <c:v>0.16</c:v>
                </c:pt>
                <c:pt idx="291">
                  <c:v>0.2</c:v>
                </c:pt>
                <c:pt idx="292">
                  <c:v>0.17</c:v>
                </c:pt>
                <c:pt idx="293">
                  <c:v>0.15</c:v>
                </c:pt>
                <c:pt idx="294">
                  <c:v>0.19</c:v>
                </c:pt>
                <c:pt idx="295">
                  <c:v>0.22</c:v>
                </c:pt>
                <c:pt idx="296">
                  <c:v>0.27</c:v>
                </c:pt>
                <c:pt idx="297">
                  <c:v>0.17</c:v>
                </c:pt>
                <c:pt idx="298">
                  <c:v>0.2</c:v>
                </c:pt>
                <c:pt idx="299">
                  <c:v>0.15</c:v>
                </c:pt>
                <c:pt idx="300">
                  <c:v>0.18</c:v>
                </c:pt>
                <c:pt idx="301">
                  <c:v>0.22</c:v>
                </c:pt>
                <c:pt idx="302">
                  <c:v>0.25</c:v>
                </c:pt>
                <c:pt idx="303">
                  <c:v>0.2</c:v>
                </c:pt>
                <c:pt idx="304">
                  <c:v>0.25</c:v>
                </c:pt>
                <c:pt idx="305">
                  <c:v>0.3</c:v>
                </c:pt>
                <c:pt idx="306">
                  <c:v>0.35</c:v>
                </c:pt>
                <c:pt idx="307">
                  <c:v>0.17</c:v>
                </c:pt>
                <c:pt idx="308">
                  <c:v>0.2</c:v>
                </c:pt>
                <c:pt idx="309">
                  <c:v>0.17</c:v>
                </c:pt>
                <c:pt idx="310">
                  <c:v>0.2</c:v>
                </c:pt>
                <c:pt idx="311">
                  <c:v>0.25</c:v>
                </c:pt>
                <c:pt idx="312">
                  <c:v>0.29</c:v>
                </c:pt>
                <c:pt idx="313">
                  <c:v>0.17</c:v>
                </c:pt>
                <c:pt idx="314">
                  <c:v>0.15</c:v>
                </c:pt>
                <c:pt idx="315">
                  <c:v>0.16</c:v>
                </c:pt>
                <c:pt idx="316">
                  <c:v>0.22</c:v>
                </c:pt>
                <c:pt idx="317">
                  <c:v>0.26</c:v>
                </c:pt>
                <c:pt idx="318">
                  <c:v>0.17</c:v>
                </c:pt>
                <c:pt idx="319">
                  <c:v>0.2</c:v>
                </c:pt>
                <c:pt idx="320">
                  <c:v>0.24</c:v>
                </c:pt>
                <c:pt idx="321">
                  <c:v>0.17</c:v>
                </c:pt>
                <c:pt idx="322">
                  <c:v>0.23</c:v>
                </c:pt>
                <c:pt idx="323">
                  <c:v>0.27</c:v>
                </c:pt>
                <c:pt idx="324">
                  <c:v>0.31</c:v>
                </c:pt>
                <c:pt idx="325">
                  <c:v>0.35</c:v>
                </c:pt>
                <c:pt idx="326">
                  <c:v>0.19</c:v>
                </c:pt>
                <c:pt idx="327">
                  <c:v>0.24</c:v>
                </c:pt>
                <c:pt idx="328">
                  <c:v>0.29</c:v>
                </c:pt>
                <c:pt idx="329">
                  <c:v>0.36</c:v>
                </c:pt>
                <c:pt idx="330">
                  <c:v>0.42</c:v>
                </c:pt>
                <c:pt idx="331">
                  <c:v>0.18</c:v>
                </c:pt>
                <c:pt idx="332">
                  <c:v>0.22</c:v>
                </c:pt>
                <c:pt idx="333">
                  <c:v>0.27</c:v>
                </c:pt>
                <c:pt idx="334">
                  <c:v>0.32</c:v>
                </c:pt>
                <c:pt idx="335">
                  <c:v>0.16</c:v>
                </c:pt>
                <c:pt idx="336">
                  <c:v>0.19</c:v>
                </c:pt>
                <c:pt idx="337">
                  <c:v>0.22</c:v>
                </c:pt>
                <c:pt idx="338">
                  <c:v>0.17</c:v>
                </c:pt>
                <c:pt idx="339">
                  <c:v>0.19</c:v>
                </c:pt>
                <c:pt idx="340">
                  <c:v>0.25</c:v>
                </c:pt>
              </c:numCache>
            </c:numRef>
          </c:xVal>
          <c:yVal>
            <c:numRef>
              <c:f>'Avaliação do resultado ML'!$BH$2:$BH$342</c:f>
              <c:numCache>
                <c:formatCode>0.00</c:formatCode>
                <c:ptCount val="341"/>
              </c:numCache>
            </c:numRef>
          </c:yVal>
          <c:smooth val="0"/>
        </c:ser>
        <c:axId val="59879060"/>
        <c:axId val="89696068"/>
      </c:scatterChart>
      <c:valAx>
        <c:axId val="59879060"/>
        <c:scaling>
          <c:orientation val="minMax"/>
          <c:max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9696068"/>
        <c:crosses val="autoZero"/>
        <c:crossBetween val="midCat"/>
      </c:valAx>
      <c:valAx>
        <c:axId val="896960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987906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Proposta 1 + werror (Eq. 23)</a:t>
            </a:r>
          </a:p>
        </c:rich>
      </c:tx>
      <c:layout>
        <c:manualLayout>
          <c:xMode val="edge"/>
          <c:yMode val="edge"/>
          <c:x val="0.259365796863229"/>
          <c:y val="0.0244588136069722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'Avaliação do resultado ML'!$BT$1</c:f>
              <c:strCache>
                <c:ptCount val="1"/>
                <c:pt idx="0">
                  <c:v>Proposta 1 + werror (Eq. 23)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'Dataset experimental'!$AF$2:$AF$342</c:f>
              <c:numCache>
                <c:formatCode>0.00</c:formatCode>
                <c:ptCount val="341"/>
                <c:pt idx="0">
                  <c:v>0.16</c:v>
                </c:pt>
                <c:pt idx="1">
                  <c:v>0.23</c:v>
                </c:pt>
                <c:pt idx="2">
                  <c:v>0.24</c:v>
                </c:pt>
                <c:pt idx="3">
                  <c:v>0.27</c:v>
                </c:pt>
                <c:pt idx="4">
                  <c:v>0.35</c:v>
                </c:pt>
                <c:pt idx="5">
                  <c:v>0.4</c:v>
                </c:pt>
                <c:pt idx="6">
                  <c:v>0.16</c:v>
                </c:pt>
                <c:pt idx="7">
                  <c:v>0.18</c:v>
                </c:pt>
                <c:pt idx="8">
                  <c:v>0.26</c:v>
                </c:pt>
                <c:pt idx="9">
                  <c:v>0.16</c:v>
                </c:pt>
                <c:pt idx="10">
                  <c:v>0.2</c:v>
                </c:pt>
                <c:pt idx="11">
                  <c:v>0.2</c:v>
                </c:pt>
                <c:pt idx="12">
                  <c:v>0.24</c:v>
                </c:pt>
                <c:pt idx="13">
                  <c:v>0.3</c:v>
                </c:pt>
                <c:pt idx="14">
                  <c:v>0.32</c:v>
                </c:pt>
                <c:pt idx="15">
                  <c:v>0.38</c:v>
                </c:pt>
                <c:pt idx="16">
                  <c:v>0.42</c:v>
                </c:pt>
                <c:pt idx="17">
                  <c:v>0.44</c:v>
                </c:pt>
                <c:pt idx="18">
                  <c:v>0.5</c:v>
                </c:pt>
                <c:pt idx="19">
                  <c:v>0.24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0.38</c:v>
                </c:pt>
                <c:pt idx="24">
                  <c:v>0.44</c:v>
                </c:pt>
                <c:pt idx="25">
                  <c:v>0.18</c:v>
                </c:pt>
                <c:pt idx="26">
                  <c:v>0.2</c:v>
                </c:pt>
                <c:pt idx="27">
                  <c:v>0.26</c:v>
                </c:pt>
                <c:pt idx="28">
                  <c:v>0.44</c:v>
                </c:pt>
                <c:pt idx="29">
                  <c:v>0.6</c:v>
                </c:pt>
                <c:pt idx="30">
                  <c:v>0.36</c:v>
                </c:pt>
                <c:pt idx="31">
                  <c:v>0.43</c:v>
                </c:pt>
                <c:pt idx="32">
                  <c:v>0.56</c:v>
                </c:pt>
                <c:pt idx="33">
                  <c:v>0.71</c:v>
                </c:pt>
                <c:pt idx="34">
                  <c:v>0.79</c:v>
                </c:pt>
                <c:pt idx="35">
                  <c:v>0.2</c:v>
                </c:pt>
                <c:pt idx="36">
                  <c:v>0.25</c:v>
                </c:pt>
                <c:pt idx="37">
                  <c:v>0.36</c:v>
                </c:pt>
                <c:pt idx="38">
                  <c:v>0.47</c:v>
                </c:pt>
                <c:pt idx="39">
                  <c:v>0.57</c:v>
                </c:pt>
                <c:pt idx="40">
                  <c:v>0.78</c:v>
                </c:pt>
                <c:pt idx="41">
                  <c:v>0.21</c:v>
                </c:pt>
                <c:pt idx="42">
                  <c:v>0.31</c:v>
                </c:pt>
                <c:pt idx="43">
                  <c:v>0.38</c:v>
                </c:pt>
                <c:pt idx="44">
                  <c:v>0.52</c:v>
                </c:pt>
                <c:pt idx="45">
                  <c:v>0.74</c:v>
                </c:pt>
                <c:pt idx="46">
                  <c:v>0.17</c:v>
                </c:pt>
                <c:pt idx="47">
                  <c:v>0.36</c:v>
                </c:pt>
                <c:pt idx="48">
                  <c:v>0.56</c:v>
                </c:pt>
                <c:pt idx="49">
                  <c:v>0.78</c:v>
                </c:pt>
                <c:pt idx="50">
                  <c:v>0.31</c:v>
                </c:pt>
                <c:pt idx="51">
                  <c:v>0.44</c:v>
                </c:pt>
                <c:pt idx="52">
                  <c:v>0.14</c:v>
                </c:pt>
                <c:pt idx="53">
                  <c:v>0.31</c:v>
                </c:pt>
                <c:pt idx="54">
                  <c:v>0.4</c:v>
                </c:pt>
                <c:pt idx="55">
                  <c:v>0.25</c:v>
                </c:pt>
                <c:pt idx="56">
                  <c:v>0.44</c:v>
                </c:pt>
                <c:pt idx="57">
                  <c:v>0.56</c:v>
                </c:pt>
                <c:pt idx="58">
                  <c:v>0.23</c:v>
                </c:pt>
                <c:pt idx="59">
                  <c:v>0.35</c:v>
                </c:pt>
                <c:pt idx="60">
                  <c:v>0.49</c:v>
                </c:pt>
                <c:pt idx="61">
                  <c:v>0.67</c:v>
                </c:pt>
                <c:pt idx="62">
                  <c:v>0.27</c:v>
                </c:pt>
                <c:pt idx="63">
                  <c:v>0.4</c:v>
                </c:pt>
                <c:pt idx="64">
                  <c:v>0.53</c:v>
                </c:pt>
                <c:pt idx="65">
                  <c:v>0.72</c:v>
                </c:pt>
                <c:pt idx="66">
                  <c:v>0.3</c:v>
                </c:pt>
                <c:pt idx="67">
                  <c:v>0.57</c:v>
                </c:pt>
                <c:pt idx="68">
                  <c:v>0.26</c:v>
                </c:pt>
                <c:pt idx="69">
                  <c:v>0.6</c:v>
                </c:pt>
                <c:pt idx="70">
                  <c:v>0.27</c:v>
                </c:pt>
                <c:pt idx="71">
                  <c:v>0.59</c:v>
                </c:pt>
                <c:pt idx="72">
                  <c:v>0.15</c:v>
                </c:pt>
                <c:pt idx="73">
                  <c:v>0.17</c:v>
                </c:pt>
                <c:pt idx="74">
                  <c:v>0.15</c:v>
                </c:pt>
                <c:pt idx="75">
                  <c:v>0.17</c:v>
                </c:pt>
                <c:pt idx="76">
                  <c:v>0.2</c:v>
                </c:pt>
                <c:pt idx="77">
                  <c:v>0.16</c:v>
                </c:pt>
                <c:pt idx="78">
                  <c:v>0.21</c:v>
                </c:pt>
                <c:pt idx="79">
                  <c:v>0.15</c:v>
                </c:pt>
                <c:pt idx="80">
                  <c:v>0.2</c:v>
                </c:pt>
                <c:pt idx="81">
                  <c:v>0.25</c:v>
                </c:pt>
                <c:pt idx="82">
                  <c:v>0.28</c:v>
                </c:pt>
                <c:pt idx="83">
                  <c:v>0.28</c:v>
                </c:pt>
                <c:pt idx="84">
                  <c:v>0.3</c:v>
                </c:pt>
                <c:pt idx="85">
                  <c:v>0.33</c:v>
                </c:pt>
                <c:pt idx="86">
                  <c:v>0.33</c:v>
                </c:pt>
                <c:pt idx="87">
                  <c:v>0.15</c:v>
                </c:pt>
                <c:pt idx="88">
                  <c:v>0.18</c:v>
                </c:pt>
                <c:pt idx="89">
                  <c:v>0.2</c:v>
                </c:pt>
                <c:pt idx="90">
                  <c:v>0.25</c:v>
                </c:pt>
                <c:pt idx="91">
                  <c:v>0.3</c:v>
                </c:pt>
                <c:pt idx="92">
                  <c:v>0.33</c:v>
                </c:pt>
                <c:pt idx="93">
                  <c:v>0.38</c:v>
                </c:pt>
                <c:pt idx="94">
                  <c:v>0.15</c:v>
                </c:pt>
                <c:pt idx="95">
                  <c:v>0.18</c:v>
                </c:pt>
                <c:pt idx="96">
                  <c:v>0.2</c:v>
                </c:pt>
                <c:pt idx="97">
                  <c:v>0.23</c:v>
                </c:pt>
                <c:pt idx="98">
                  <c:v>0.25</c:v>
                </c:pt>
                <c:pt idx="99">
                  <c:v>0.3</c:v>
                </c:pt>
                <c:pt idx="100">
                  <c:v>0.3</c:v>
                </c:pt>
                <c:pt idx="101">
                  <c:v>0.15</c:v>
                </c:pt>
                <c:pt idx="102">
                  <c:v>0.18</c:v>
                </c:pt>
                <c:pt idx="103">
                  <c:v>0.18</c:v>
                </c:pt>
                <c:pt idx="104">
                  <c:v>0.25</c:v>
                </c:pt>
                <c:pt idx="105">
                  <c:v>0.28</c:v>
                </c:pt>
                <c:pt idx="106">
                  <c:v>0.33</c:v>
                </c:pt>
                <c:pt idx="107">
                  <c:v>0.38</c:v>
                </c:pt>
                <c:pt idx="108">
                  <c:v>0.43</c:v>
                </c:pt>
                <c:pt idx="109">
                  <c:v>0.15</c:v>
                </c:pt>
                <c:pt idx="110">
                  <c:v>0.18</c:v>
                </c:pt>
                <c:pt idx="111">
                  <c:v>0.18</c:v>
                </c:pt>
                <c:pt idx="112">
                  <c:v>0.2</c:v>
                </c:pt>
                <c:pt idx="113">
                  <c:v>0.2</c:v>
                </c:pt>
                <c:pt idx="114">
                  <c:v>0.15</c:v>
                </c:pt>
                <c:pt idx="115">
                  <c:v>0.18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0.25</c:v>
                </c:pt>
                <c:pt idx="120">
                  <c:v>0.33</c:v>
                </c:pt>
                <c:pt idx="121">
                  <c:v>0.23</c:v>
                </c:pt>
                <c:pt idx="122">
                  <c:v>0.28</c:v>
                </c:pt>
                <c:pt idx="123">
                  <c:v>0.18</c:v>
                </c:pt>
                <c:pt idx="124">
                  <c:v>0.23</c:v>
                </c:pt>
                <c:pt idx="125">
                  <c:v>0.25</c:v>
                </c:pt>
                <c:pt idx="126">
                  <c:v>0.18</c:v>
                </c:pt>
                <c:pt idx="127">
                  <c:v>0.23</c:v>
                </c:pt>
                <c:pt idx="128">
                  <c:v>0.25</c:v>
                </c:pt>
                <c:pt idx="129">
                  <c:v>0.15</c:v>
                </c:pt>
                <c:pt idx="130">
                  <c:v>0.15</c:v>
                </c:pt>
                <c:pt idx="131">
                  <c:v>0.18</c:v>
                </c:pt>
                <c:pt idx="132">
                  <c:v>0.18</c:v>
                </c:pt>
                <c:pt idx="133">
                  <c:v>0.2</c:v>
                </c:pt>
                <c:pt idx="134">
                  <c:v>0.23</c:v>
                </c:pt>
                <c:pt idx="135">
                  <c:v>0.16</c:v>
                </c:pt>
                <c:pt idx="136">
                  <c:v>0.18</c:v>
                </c:pt>
                <c:pt idx="137">
                  <c:v>0.2</c:v>
                </c:pt>
                <c:pt idx="138">
                  <c:v>0.22</c:v>
                </c:pt>
                <c:pt idx="139">
                  <c:v>0.24</c:v>
                </c:pt>
                <c:pt idx="140">
                  <c:v>0.26</c:v>
                </c:pt>
                <c:pt idx="141">
                  <c:v>0.28</c:v>
                </c:pt>
                <c:pt idx="142">
                  <c:v>0.15</c:v>
                </c:pt>
                <c:pt idx="143">
                  <c:v>0.17</c:v>
                </c:pt>
                <c:pt idx="144">
                  <c:v>0.19</c:v>
                </c:pt>
                <c:pt idx="145">
                  <c:v>0.2</c:v>
                </c:pt>
                <c:pt idx="146">
                  <c:v>0.22</c:v>
                </c:pt>
                <c:pt idx="147">
                  <c:v>0.24</c:v>
                </c:pt>
                <c:pt idx="148">
                  <c:v>0.26</c:v>
                </c:pt>
                <c:pt idx="149">
                  <c:v>0.29</c:v>
                </c:pt>
                <c:pt idx="150">
                  <c:v>0.17</c:v>
                </c:pt>
                <c:pt idx="151">
                  <c:v>0.2</c:v>
                </c:pt>
                <c:pt idx="152">
                  <c:v>0.24</c:v>
                </c:pt>
                <c:pt idx="153">
                  <c:v>0.27</c:v>
                </c:pt>
                <c:pt idx="154">
                  <c:v>0.32</c:v>
                </c:pt>
                <c:pt idx="155">
                  <c:v>0.34</c:v>
                </c:pt>
                <c:pt idx="156">
                  <c:v>0.16</c:v>
                </c:pt>
                <c:pt idx="157">
                  <c:v>0.2</c:v>
                </c:pt>
                <c:pt idx="158">
                  <c:v>0.24</c:v>
                </c:pt>
                <c:pt idx="159">
                  <c:v>0.27</c:v>
                </c:pt>
                <c:pt idx="160">
                  <c:v>0.29</c:v>
                </c:pt>
                <c:pt idx="161">
                  <c:v>0.32</c:v>
                </c:pt>
                <c:pt idx="162">
                  <c:v>0.33</c:v>
                </c:pt>
                <c:pt idx="163">
                  <c:v>0.15</c:v>
                </c:pt>
                <c:pt idx="164">
                  <c:v>0.19</c:v>
                </c:pt>
                <c:pt idx="165">
                  <c:v>0.2</c:v>
                </c:pt>
                <c:pt idx="166">
                  <c:v>0.23</c:v>
                </c:pt>
                <c:pt idx="167">
                  <c:v>0.25</c:v>
                </c:pt>
                <c:pt idx="168">
                  <c:v>0.28</c:v>
                </c:pt>
                <c:pt idx="169">
                  <c:v>0.31</c:v>
                </c:pt>
                <c:pt idx="170">
                  <c:v>0.36</c:v>
                </c:pt>
                <c:pt idx="171">
                  <c:v>0.16</c:v>
                </c:pt>
                <c:pt idx="172">
                  <c:v>0.18</c:v>
                </c:pt>
                <c:pt idx="173">
                  <c:v>0.2</c:v>
                </c:pt>
                <c:pt idx="174">
                  <c:v>0.23</c:v>
                </c:pt>
                <c:pt idx="175">
                  <c:v>0.24</c:v>
                </c:pt>
                <c:pt idx="176">
                  <c:v>0.25</c:v>
                </c:pt>
                <c:pt idx="177">
                  <c:v>0.27</c:v>
                </c:pt>
                <c:pt idx="178">
                  <c:v>0.29</c:v>
                </c:pt>
                <c:pt idx="179">
                  <c:v>0.15</c:v>
                </c:pt>
                <c:pt idx="180">
                  <c:v>0.16</c:v>
                </c:pt>
                <c:pt idx="181">
                  <c:v>0.18</c:v>
                </c:pt>
                <c:pt idx="182">
                  <c:v>0.18</c:v>
                </c:pt>
                <c:pt idx="183">
                  <c:v>0.19</c:v>
                </c:pt>
                <c:pt idx="184">
                  <c:v>0.2</c:v>
                </c:pt>
                <c:pt idx="185">
                  <c:v>0.22</c:v>
                </c:pt>
                <c:pt idx="186">
                  <c:v>0.16</c:v>
                </c:pt>
                <c:pt idx="187">
                  <c:v>0.2</c:v>
                </c:pt>
                <c:pt idx="188">
                  <c:v>0.23</c:v>
                </c:pt>
                <c:pt idx="189">
                  <c:v>0.14</c:v>
                </c:pt>
                <c:pt idx="190">
                  <c:v>0.17</c:v>
                </c:pt>
                <c:pt idx="191">
                  <c:v>0.21</c:v>
                </c:pt>
                <c:pt idx="192">
                  <c:v>0.21</c:v>
                </c:pt>
                <c:pt idx="193">
                  <c:v>0.25</c:v>
                </c:pt>
                <c:pt idx="194">
                  <c:v>0.29</c:v>
                </c:pt>
                <c:pt idx="195">
                  <c:v>0.33</c:v>
                </c:pt>
                <c:pt idx="196">
                  <c:v>0.37</c:v>
                </c:pt>
                <c:pt idx="197">
                  <c:v>0.15</c:v>
                </c:pt>
                <c:pt idx="198">
                  <c:v>0.23</c:v>
                </c:pt>
                <c:pt idx="199">
                  <c:v>0.28</c:v>
                </c:pt>
                <c:pt idx="200">
                  <c:v>0.18</c:v>
                </c:pt>
                <c:pt idx="201">
                  <c:v>0.26</c:v>
                </c:pt>
                <c:pt idx="202">
                  <c:v>0.34</c:v>
                </c:pt>
                <c:pt idx="203">
                  <c:v>0.15</c:v>
                </c:pt>
                <c:pt idx="204">
                  <c:v>0.19</c:v>
                </c:pt>
                <c:pt idx="205">
                  <c:v>0.22</c:v>
                </c:pt>
                <c:pt idx="206">
                  <c:v>0.22</c:v>
                </c:pt>
                <c:pt idx="207">
                  <c:v>0.25</c:v>
                </c:pt>
                <c:pt idx="208">
                  <c:v>0.29</c:v>
                </c:pt>
                <c:pt idx="209">
                  <c:v>0.17</c:v>
                </c:pt>
                <c:pt idx="210">
                  <c:v>0.19</c:v>
                </c:pt>
                <c:pt idx="211">
                  <c:v>0.21</c:v>
                </c:pt>
                <c:pt idx="212">
                  <c:v>0.23</c:v>
                </c:pt>
                <c:pt idx="213">
                  <c:v>0.25</c:v>
                </c:pt>
                <c:pt idx="214">
                  <c:v>0.25</c:v>
                </c:pt>
                <c:pt idx="215">
                  <c:v>0.18</c:v>
                </c:pt>
                <c:pt idx="216">
                  <c:v>0.19</c:v>
                </c:pt>
                <c:pt idx="217">
                  <c:v>0.21</c:v>
                </c:pt>
                <c:pt idx="218">
                  <c:v>0.23</c:v>
                </c:pt>
                <c:pt idx="219">
                  <c:v>0.25</c:v>
                </c:pt>
                <c:pt idx="220">
                  <c:v>0.29</c:v>
                </c:pt>
                <c:pt idx="221">
                  <c:v>0.31</c:v>
                </c:pt>
                <c:pt idx="222">
                  <c:v>0.37</c:v>
                </c:pt>
                <c:pt idx="223">
                  <c:v>0.16</c:v>
                </c:pt>
                <c:pt idx="224">
                  <c:v>0.2</c:v>
                </c:pt>
                <c:pt idx="225">
                  <c:v>0.26</c:v>
                </c:pt>
                <c:pt idx="226">
                  <c:v>0.17</c:v>
                </c:pt>
                <c:pt idx="227">
                  <c:v>0.19</c:v>
                </c:pt>
                <c:pt idx="228">
                  <c:v>0.23</c:v>
                </c:pt>
                <c:pt idx="229">
                  <c:v>0.25</c:v>
                </c:pt>
                <c:pt idx="230">
                  <c:v>0.3</c:v>
                </c:pt>
                <c:pt idx="231">
                  <c:v>0.32</c:v>
                </c:pt>
                <c:pt idx="232">
                  <c:v>0.36</c:v>
                </c:pt>
                <c:pt idx="233">
                  <c:v>0.47</c:v>
                </c:pt>
                <c:pt idx="234">
                  <c:v>0.16</c:v>
                </c:pt>
                <c:pt idx="235">
                  <c:v>0.18</c:v>
                </c:pt>
                <c:pt idx="236">
                  <c:v>0.18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0.22</c:v>
                </c:pt>
                <c:pt idx="241">
                  <c:v>0.22</c:v>
                </c:pt>
                <c:pt idx="242">
                  <c:v>0.25</c:v>
                </c:pt>
                <c:pt idx="243">
                  <c:v>0.29</c:v>
                </c:pt>
                <c:pt idx="244">
                  <c:v>0.31</c:v>
                </c:pt>
                <c:pt idx="245">
                  <c:v>0.33</c:v>
                </c:pt>
                <c:pt idx="246">
                  <c:v>0.34</c:v>
                </c:pt>
                <c:pt idx="247">
                  <c:v>0.37</c:v>
                </c:pt>
                <c:pt idx="248">
                  <c:v>0.2</c:v>
                </c:pt>
                <c:pt idx="249">
                  <c:v>0.35</c:v>
                </c:pt>
                <c:pt idx="250">
                  <c:v>0.2</c:v>
                </c:pt>
                <c:pt idx="251">
                  <c:v>0.25</c:v>
                </c:pt>
                <c:pt idx="252">
                  <c:v>0.2</c:v>
                </c:pt>
                <c:pt idx="253">
                  <c:v>0.25</c:v>
                </c:pt>
                <c:pt idx="254">
                  <c:v>0.2</c:v>
                </c:pt>
                <c:pt idx="255">
                  <c:v>0.3</c:v>
                </c:pt>
                <c:pt idx="256">
                  <c:v>0.15</c:v>
                </c:pt>
                <c:pt idx="257">
                  <c:v>0.2</c:v>
                </c:pt>
                <c:pt idx="258">
                  <c:v>0.15</c:v>
                </c:pt>
                <c:pt idx="259">
                  <c:v>0.2</c:v>
                </c:pt>
                <c:pt idx="260">
                  <c:v>0.15</c:v>
                </c:pt>
                <c:pt idx="261">
                  <c:v>0.25</c:v>
                </c:pt>
                <c:pt idx="262">
                  <c:v>0.3</c:v>
                </c:pt>
                <c:pt idx="263">
                  <c:v>0.15</c:v>
                </c:pt>
                <c:pt idx="264">
                  <c:v>0.25</c:v>
                </c:pt>
                <c:pt idx="265">
                  <c:v>0.15</c:v>
                </c:pt>
                <c:pt idx="266">
                  <c:v>0.2</c:v>
                </c:pt>
                <c:pt idx="267">
                  <c:v>0.3</c:v>
                </c:pt>
                <c:pt idx="268">
                  <c:v>0.33</c:v>
                </c:pt>
                <c:pt idx="269">
                  <c:v>0.15</c:v>
                </c:pt>
                <c:pt idx="270">
                  <c:v>0.25</c:v>
                </c:pt>
                <c:pt idx="271">
                  <c:v>0.28</c:v>
                </c:pt>
                <c:pt idx="272">
                  <c:v>0.2</c:v>
                </c:pt>
                <c:pt idx="273">
                  <c:v>0.22</c:v>
                </c:pt>
                <c:pt idx="274">
                  <c:v>0.17</c:v>
                </c:pt>
                <c:pt idx="275">
                  <c:v>0.21</c:v>
                </c:pt>
                <c:pt idx="276">
                  <c:v>0.17</c:v>
                </c:pt>
                <c:pt idx="277">
                  <c:v>0.18</c:v>
                </c:pt>
                <c:pt idx="278">
                  <c:v>0.2</c:v>
                </c:pt>
                <c:pt idx="279">
                  <c:v>0.2</c:v>
                </c:pt>
                <c:pt idx="280">
                  <c:v>0.25</c:v>
                </c:pt>
                <c:pt idx="281">
                  <c:v>0.27</c:v>
                </c:pt>
                <c:pt idx="282">
                  <c:v>0.18</c:v>
                </c:pt>
                <c:pt idx="283">
                  <c:v>0.19</c:v>
                </c:pt>
                <c:pt idx="284">
                  <c:v>0.21</c:v>
                </c:pt>
                <c:pt idx="285">
                  <c:v>0.26</c:v>
                </c:pt>
                <c:pt idx="286">
                  <c:v>0.17</c:v>
                </c:pt>
                <c:pt idx="287">
                  <c:v>0.23</c:v>
                </c:pt>
                <c:pt idx="288">
                  <c:v>0.27</c:v>
                </c:pt>
                <c:pt idx="289">
                  <c:v>0.16</c:v>
                </c:pt>
                <c:pt idx="290">
                  <c:v>0.16</c:v>
                </c:pt>
                <c:pt idx="291">
                  <c:v>0.2</c:v>
                </c:pt>
                <c:pt idx="292">
                  <c:v>0.17</c:v>
                </c:pt>
                <c:pt idx="293">
                  <c:v>0.15</c:v>
                </c:pt>
                <c:pt idx="294">
                  <c:v>0.19</c:v>
                </c:pt>
                <c:pt idx="295">
                  <c:v>0.22</c:v>
                </c:pt>
                <c:pt idx="296">
                  <c:v>0.27</c:v>
                </c:pt>
                <c:pt idx="297">
                  <c:v>0.17</c:v>
                </c:pt>
                <c:pt idx="298">
                  <c:v>0.2</c:v>
                </c:pt>
                <c:pt idx="299">
                  <c:v>0.15</c:v>
                </c:pt>
                <c:pt idx="300">
                  <c:v>0.18</c:v>
                </c:pt>
                <c:pt idx="301">
                  <c:v>0.22</c:v>
                </c:pt>
                <c:pt idx="302">
                  <c:v>0.25</c:v>
                </c:pt>
                <c:pt idx="303">
                  <c:v>0.2</c:v>
                </c:pt>
                <c:pt idx="304">
                  <c:v>0.25</c:v>
                </c:pt>
                <c:pt idx="305">
                  <c:v>0.3</c:v>
                </c:pt>
                <c:pt idx="306">
                  <c:v>0.35</c:v>
                </c:pt>
                <c:pt idx="307">
                  <c:v>0.17</c:v>
                </c:pt>
                <c:pt idx="308">
                  <c:v>0.2</c:v>
                </c:pt>
                <c:pt idx="309">
                  <c:v>0.17</c:v>
                </c:pt>
                <c:pt idx="310">
                  <c:v>0.2</c:v>
                </c:pt>
                <c:pt idx="311">
                  <c:v>0.25</c:v>
                </c:pt>
                <c:pt idx="312">
                  <c:v>0.29</c:v>
                </c:pt>
                <c:pt idx="313">
                  <c:v>0.17</c:v>
                </c:pt>
                <c:pt idx="314">
                  <c:v>0.15</c:v>
                </c:pt>
                <c:pt idx="315">
                  <c:v>0.16</c:v>
                </c:pt>
                <c:pt idx="316">
                  <c:v>0.22</c:v>
                </c:pt>
                <c:pt idx="317">
                  <c:v>0.26</c:v>
                </c:pt>
                <c:pt idx="318">
                  <c:v>0.17</c:v>
                </c:pt>
                <c:pt idx="319">
                  <c:v>0.2</c:v>
                </c:pt>
                <c:pt idx="320">
                  <c:v>0.24</c:v>
                </c:pt>
                <c:pt idx="321">
                  <c:v>0.17</c:v>
                </c:pt>
                <c:pt idx="322">
                  <c:v>0.23</c:v>
                </c:pt>
                <c:pt idx="323">
                  <c:v>0.27</c:v>
                </c:pt>
                <c:pt idx="324">
                  <c:v>0.31</c:v>
                </c:pt>
                <c:pt idx="325">
                  <c:v>0.35</c:v>
                </c:pt>
                <c:pt idx="326">
                  <c:v>0.19</c:v>
                </c:pt>
                <c:pt idx="327">
                  <c:v>0.24</c:v>
                </c:pt>
                <c:pt idx="328">
                  <c:v>0.29</c:v>
                </c:pt>
                <c:pt idx="329">
                  <c:v>0.36</c:v>
                </c:pt>
                <c:pt idx="330">
                  <c:v>0.42</c:v>
                </c:pt>
                <c:pt idx="331">
                  <c:v>0.18</c:v>
                </c:pt>
                <c:pt idx="332">
                  <c:v>0.22</c:v>
                </c:pt>
                <c:pt idx="333">
                  <c:v>0.27</c:v>
                </c:pt>
                <c:pt idx="334">
                  <c:v>0.32</c:v>
                </c:pt>
                <c:pt idx="335">
                  <c:v>0.16</c:v>
                </c:pt>
                <c:pt idx="336">
                  <c:v>0.19</c:v>
                </c:pt>
                <c:pt idx="337">
                  <c:v>0.22</c:v>
                </c:pt>
                <c:pt idx="338">
                  <c:v>0.17</c:v>
                </c:pt>
                <c:pt idx="339">
                  <c:v>0.19</c:v>
                </c:pt>
                <c:pt idx="340">
                  <c:v>0.25</c:v>
                </c:pt>
              </c:numCache>
            </c:numRef>
          </c:xVal>
          <c:yVal>
            <c:numRef>
              <c:f>'Avaliação do resultado ML'!$BT$2:$BT$342</c:f>
              <c:numCache>
                <c:formatCode>0.00</c:formatCode>
                <c:ptCount val="341"/>
                <c:pt idx="0">
                  <c:v>0.206355024043208</c:v>
                </c:pt>
                <c:pt idx="1">
                  <c:v>0.256316392734287</c:v>
                </c:pt>
                <c:pt idx="2">
                  <c:v>0.263581099494777</c:v>
                </c:pt>
                <c:pt idx="3">
                  <c:v>0.300312390403917</c:v>
                </c:pt>
                <c:pt idx="4">
                  <c:v>0.377930027021621</c:v>
                </c:pt>
                <c:pt idx="5">
                  <c:v>0.4038186333202</c:v>
                </c:pt>
                <c:pt idx="6">
                  <c:v>0.0996743817460216</c:v>
                </c:pt>
                <c:pt idx="7">
                  <c:v>0.158223166628825</c:v>
                </c:pt>
                <c:pt idx="8">
                  <c:v>0.352340787026493</c:v>
                </c:pt>
                <c:pt idx="9">
                  <c:v>0.173445303588334</c:v>
                </c:pt>
                <c:pt idx="10">
                  <c:v>0.202021939566801</c:v>
                </c:pt>
                <c:pt idx="11">
                  <c:v>0.234876450371196</c:v>
                </c:pt>
                <c:pt idx="12">
                  <c:v>0.270543304865365</c:v>
                </c:pt>
                <c:pt idx="13">
                  <c:v>0.294895878539319</c:v>
                </c:pt>
                <c:pt idx="14">
                  <c:v>0.350624779573736</c:v>
                </c:pt>
                <c:pt idx="15">
                  <c:v>0.353688032978275</c:v>
                </c:pt>
                <c:pt idx="16">
                  <c:v>0.377721156061388</c:v>
                </c:pt>
                <c:pt idx="17">
                  <c:v>0.448348772093912</c:v>
                </c:pt>
                <c:pt idx="18">
                  <c:v>0.461534609000413</c:v>
                </c:pt>
                <c:pt idx="19">
                  <c:v>0.198719747077878</c:v>
                </c:pt>
                <c:pt idx="20">
                  <c:v>0.226580505210467</c:v>
                </c:pt>
                <c:pt idx="21">
                  <c:v>0.23746981706477</c:v>
                </c:pt>
                <c:pt idx="22">
                  <c:v>0.25615385506992</c:v>
                </c:pt>
                <c:pt idx="23">
                  <c:v>0.283435396597885</c:v>
                </c:pt>
                <c:pt idx="24">
                  <c:v>0.346311118275061</c:v>
                </c:pt>
                <c:pt idx="25">
                  <c:v>0.196118383567011</c:v>
                </c:pt>
                <c:pt idx="26">
                  <c:v>0.22434044173523</c:v>
                </c:pt>
                <c:pt idx="27">
                  <c:v>0.252959422458678</c:v>
                </c:pt>
                <c:pt idx="28">
                  <c:v>0.302938324659952</c:v>
                </c:pt>
                <c:pt idx="29">
                  <c:v>0.381876209302676</c:v>
                </c:pt>
                <c:pt idx="30">
                  <c:v>0.356377668944044</c:v>
                </c:pt>
                <c:pt idx="31">
                  <c:v>0.492864429345845</c:v>
                </c:pt>
                <c:pt idx="32">
                  <c:v>0.684062639046182</c:v>
                </c:pt>
                <c:pt idx="33">
                  <c:v>0.704118547032789</c:v>
                </c:pt>
                <c:pt idx="34">
                  <c:v>0.710803849694991</c:v>
                </c:pt>
                <c:pt idx="35">
                  <c:v>0.242759565641762</c:v>
                </c:pt>
                <c:pt idx="36">
                  <c:v>0.270331325726611</c:v>
                </c:pt>
                <c:pt idx="37">
                  <c:v>0.34996706821832</c:v>
                </c:pt>
                <c:pt idx="38">
                  <c:v>0.464926682219413</c:v>
                </c:pt>
                <c:pt idx="39">
                  <c:v>0.574327683398266</c:v>
                </c:pt>
                <c:pt idx="40">
                  <c:v>0.724099770606784</c:v>
                </c:pt>
                <c:pt idx="41">
                  <c:v>0.233999379121608</c:v>
                </c:pt>
                <c:pt idx="42">
                  <c:v>0.287643761365707</c:v>
                </c:pt>
                <c:pt idx="43">
                  <c:v>0.345982777003831</c:v>
                </c:pt>
                <c:pt idx="44">
                  <c:v>0.473187731985288</c:v>
                </c:pt>
                <c:pt idx="45">
                  <c:v>0.6581809750775</c:v>
                </c:pt>
                <c:pt idx="46">
                  <c:v>0.233999379121608</c:v>
                </c:pt>
                <c:pt idx="47">
                  <c:v>0.345982777003831</c:v>
                </c:pt>
                <c:pt idx="48">
                  <c:v>0.473187731985288</c:v>
                </c:pt>
                <c:pt idx="49">
                  <c:v>0.6581809750775</c:v>
                </c:pt>
                <c:pt idx="50">
                  <c:v>0.37882835578086</c:v>
                </c:pt>
                <c:pt idx="51">
                  <c:v>0.505263849428556</c:v>
                </c:pt>
                <c:pt idx="52">
                  <c:v>0.313082790113363</c:v>
                </c:pt>
                <c:pt idx="53">
                  <c:v>0.371923840463706</c:v>
                </c:pt>
                <c:pt idx="54">
                  <c:v>0.489766975753166</c:v>
                </c:pt>
                <c:pt idx="55">
                  <c:v>0.313082790113363</c:v>
                </c:pt>
                <c:pt idx="56">
                  <c:v>0.371923840463706</c:v>
                </c:pt>
                <c:pt idx="57">
                  <c:v>0.489766975753166</c:v>
                </c:pt>
                <c:pt idx="58">
                  <c:v>0.27555881847199</c:v>
                </c:pt>
                <c:pt idx="59">
                  <c:v>0.372720401546965</c:v>
                </c:pt>
                <c:pt idx="60">
                  <c:v>0.519598431968481</c:v>
                </c:pt>
                <c:pt idx="61">
                  <c:v>0.661889385906388</c:v>
                </c:pt>
                <c:pt idx="62">
                  <c:v>0.27555881847199</c:v>
                </c:pt>
                <c:pt idx="63">
                  <c:v>0.372720401546965</c:v>
                </c:pt>
                <c:pt idx="64">
                  <c:v>0.519598431968481</c:v>
                </c:pt>
                <c:pt idx="65">
                  <c:v>0.661889385906388</c:v>
                </c:pt>
                <c:pt idx="66">
                  <c:v>0.39273044355316</c:v>
                </c:pt>
                <c:pt idx="67">
                  <c:v>0.604988233770195</c:v>
                </c:pt>
                <c:pt idx="68">
                  <c:v>0.277568394197395</c:v>
                </c:pt>
                <c:pt idx="69">
                  <c:v>0.555737754264672</c:v>
                </c:pt>
                <c:pt idx="70">
                  <c:v>0.277568394197395</c:v>
                </c:pt>
                <c:pt idx="71">
                  <c:v>0.555737754264672</c:v>
                </c:pt>
                <c:pt idx="72">
                  <c:v>0.114510503712542</c:v>
                </c:pt>
                <c:pt idx="73">
                  <c:v>0.136883149105953</c:v>
                </c:pt>
                <c:pt idx="74">
                  <c:v>0.135225024291655</c:v>
                </c:pt>
                <c:pt idx="75">
                  <c:v>0.152864701897511</c:v>
                </c:pt>
                <c:pt idx="76">
                  <c:v>0.178688837570098</c:v>
                </c:pt>
                <c:pt idx="77">
                  <c:v>0.147847304601993</c:v>
                </c:pt>
                <c:pt idx="78">
                  <c:v>0.17691220441023</c:v>
                </c:pt>
                <c:pt idx="79">
                  <c:v>0.153476601642001</c:v>
                </c:pt>
                <c:pt idx="80">
                  <c:v>0.159115966915494</c:v>
                </c:pt>
                <c:pt idx="81">
                  <c:v>0.173967537431085</c:v>
                </c:pt>
                <c:pt idx="82">
                  <c:v>0.194939045013091</c:v>
                </c:pt>
                <c:pt idx="83">
                  <c:v>0.225468145750023</c:v>
                </c:pt>
                <c:pt idx="84">
                  <c:v>0.272748383951283</c:v>
                </c:pt>
                <c:pt idx="85">
                  <c:v>0.321322713293997</c:v>
                </c:pt>
                <c:pt idx="86">
                  <c:v>0.371018143195476</c:v>
                </c:pt>
                <c:pt idx="87">
                  <c:v>0.159115966915494</c:v>
                </c:pt>
                <c:pt idx="88">
                  <c:v>0.173967537431085</c:v>
                </c:pt>
                <c:pt idx="89">
                  <c:v>0.194939045013091</c:v>
                </c:pt>
                <c:pt idx="90">
                  <c:v>0.225468145750023</c:v>
                </c:pt>
                <c:pt idx="91">
                  <c:v>0.272748383951283</c:v>
                </c:pt>
                <c:pt idx="92">
                  <c:v>0.321322713293997</c:v>
                </c:pt>
                <c:pt idx="93">
                  <c:v>0.371018143195476</c:v>
                </c:pt>
                <c:pt idx="94">
                  <c:v>0.144053249897441</c:v>
                </c:pt>
                <c:pt idx="95">
                  <c:v>0.154547977184241</c:v>
                </c:pt>
                <c:pt idx="96">
                  <c:v>0.178956738038565</c:v>
                </c:pt>
                <c:pt idx="97">
                  <c:v>0.204252142285718</c:v>
                </c:pt>
                <c:pt idx="98">
                  <c:v>0.230479860817212</c:v>
                </c:pt>
                <c:pt idx="99">
                  <c:v>0.257597267008455</c:v>
                </c:pt>
                <c:pt idx="100">
                  <c:v>0.285506927933959</c:v>
                </c:pt>
                <c:pt idx="101">
                  <c:v>0.143807508766816</c:v>
                </c:pt>
                <c:pt idx="102">
                  <c:v>0.144053249897441</c:v>
                </c:pt>
                <c:pt idx="103">
                  <c:v>0.154547977184241</c:v>
                </c:pt>
                <c:pt idx="104">
                  <c:v>0.178956738038565</c:v>
                </c:pt>
                <c:pt idx="105">
                  <c:v>0.204252142285718</c:v>
                </c:pt>
                <c:pt idx="106">
                  <c:v>0.230479860817212</c:v>
                </c:pt>
                <c:pt idx="107">
                  <c:v>0.257597267008455</c:v>
                </c:pt>
                <c:pt idx="108">
                  <c:v>0.285506927933959</c:v>
                </c:pt>
                <c:pt idx="109">
                  <c:v>0.140731927659047</c:v>
                </c:pt>
                <c:pt idx="110">
                  <c:v>0.154518395586675</c:v>
                </c:pt>
                <c:pt idx="111">
                  <c:v>0.168753645812135</c:v>
                </c:pt>
                <c:pt idx="112">
                  <c:v>0.183390990675196</c:v>
                </c:pt>
                <c:pt idx="113">
                  <c:v>0.198430430175859</c:v>
                </c:pt>
                <c:pt idx="114">
                  <c:v>0.154518395586675</c:v>
                </c:pt>
                <c:pt idx="115">
                  <c:v>0.168753645812135</c:v>
                </c:pt>
                <c:pt idx="116">
                  <c:v>0.183390990675196</c:v>
                </c:pt>
                <c:pt idx="117">
                  <c:v>0.198430430175859</c:v>
                </c:pt>
                <c:pt idx="118">
                  <c:v>0.295554763109451</c:v>
                </c:pt>
                <c:pt idx="119">
                  <c:v>0.269963476400361</c:v>
                </c:pt>
                <c:pt idx="120">
                  <c:v>0.273019717917202</c:v>
                </c:pt>
                <c:pt idx="121">
                  <c:v>0.269963476400361</c:v>
                </c:pt>
                <c:pt idx="122">
                  <c:v>0.273019717917202</c:v>
                </c:pt>
                <c:pt idx="123">
                  <c:v>0.198430120221625</c:v>
                </c:pt>
                <c:pt idx="124">
                  <c:v>0.206721047488983</c:v>
                </c:pt>
                <c:pt idx="125">
                  <c:v>0.224927076400841</c:v>
                </c:pt>
                <c:pt idx="126">
                  <c:v>0.198430120221625</c:v>
                </c:pt>
                <c:pt idx="127">
                  <c:v>0.206721047488983</c:v>
                </c:pt>
                <c:pt idx="128">
                  <c:v>0.224927076400841</c:v>
                </c:pt>
                <c:pt idx="129">
                  <c:v>0.194499017733722</c:v>
                </c:pt>
                <c:pt idx="130">
                  <c:v>0.208601311565817</c:v>
                </c:pt>
                <c:pt idx="131">
                  <c:v>0.228355532509937</c:v>
                </c:pt>
                <c:pt idx="132">
                  <c:v>0.194499017733722</c:v>
                </c:pt>
                <c:pt idx="133">
                  <c:v>0.208601311565817</c:v>
                </c:pt>
                <c:pt idx="134">
                  <c:v>0.228355532509937</c:v>
                </c:pt>
                <c:pt idx="135">
                  <c:v>0.157227058001418</c:v>
                </c:pt>
                <c:pt idx="136">
                  <c:v>0.166320414157351</c:v>
                </c:pt>
                <c:pt idx="137">
                  <c:v>0.179486956091102</c:v>
                </c:pt>
                <c:pt idx="138">
                  <c:v>0.193628673935907</c:v>
                </c:pt>
                <c:pt idx="139">
                  <c:v>0.212535560240608</c:v>
                </c:pt>
                <c:pt idx="140">
                  <c:v>0.240249295330785</c:v>
                </c:pt>
                <c:pt idx="141">
                  <c:v>0.27366446864868</c:v>
                </c:pt>
                <c:pt idx="142">
                  <c:v>0.149781992648388</c:v>
                </c:pt>
                <c:pt idx="143">
                  <c:v>0.157227058001418</c:v>
                </c:pt>
                <c:pt idx="144">
                  <c:v>0.167010777262561</c:v>
                </c:pt>
                <c:pt idx="145">
                  <c:v>0.178202937381413</c:v>
                </c:pt>
                <c:pt idx="146">
                  <c:v>0.193628673935907</c:v>
                </c:pt>
                <c:pt idx="147">
                  <c:v>0.211917778135808</c:v>
                </c:pt>
                <c:pt idx="148">
                  <c:v>0.237472511894165</c:v>
                </c:pt>
                <c:pt idx="149">
                  <c:v>0.262506842244572</c:v>
                </c:pt>
                <c:pt idx="150">
                  <c:v>0.184977698275758</c:v>
                </c:pt>
                <c:pt idx="151">
                  <c:v>0.210280653381856</c:v>
                </c:pt>
                <c:pt idx="152">
                  <c:v>0.237337465693109</c:v>
                </c:pt>
                <c:pt idx="153">
                  <c:v>0.264897353928601</c:v>
                </c:pt>
                <c:pt idx="154">
                  <c:v>0.29279096888994</c:v>
                </c:pt>
                <c:pt idx="155">
                  <c:v>0.322131549454477</c:v>
                </c:pt>
                <c:pt idx="156">
                  <c:v>0.170926736975769</c:v>
                </c:pt>
                <c:pt idx="157">
                  <c:v>0.185225288792008</c:v>
                </c:pt>
                <c:pt idx="158">
                  <c:v>0.2098377413843</c:v>
                </c:pt>
                <c:pt idx="159">
                  <c:v>0.23658120254644</c:v>
                </c:pt>
                <c:pt idx="160">
                  <c:v>0.265052282109697</c:v>
                </c:pt>
                <c:pt idx="161">
                  <c:v>0.29279096888994</c:v>
                </c:pt>
                <c:pt idx="162">
                  <c:v>0.306495663983659</c:v>
                </c:pt>
                <c:pt idx="163">
                  <c:v>0.236049478656095</c:v>
                </c:pt>
                <c:pt idx="164">
                  <c:v>0.247743426811802</c:v>
                </c:pt>
                <c:pt idx="165">
                  <c:v>0.250377316741572</c:v>
                </c:pt>
                <c:pt idx="166">
                  <c:v>0.26258264857128</c:v>
                </c:pt>
                <c:pt idx="167">
                  <c:v>0.273396868448545</c:v>
                </c:pt>
                <c:pt idx="168">
                  <c:v>0.290450740047665</c:v>
                </c:pt>
                <c:pt idx="169">
                  <c:v>0.305803829318464</c:v>
                </c:pt>
                <c:pt idx="170">
                  <c:v>0.324187790820547</c:v>
                </c:pt>
                <c:pt idx="171">
                  <c:v>0.235357319237901</c:v>
                </c:pt>
                <c:pt idx="172">
                  <c:v>0.242770747250891</c:v>
                </c:pt>
                <c:pt idx="173">
                  <c:v>0.250676043200819</c:v>
                </c:pt>
                <c:pt idx="174">
                  <c:v>0.259867376485651</c:v>
                </c:pt>
                <c:pt idx="175">
                  <c:v>0.271636931816239</c:v>
                </c:pt>
                <c:pt idx="176">
                  <c:v>0.290450740047665</c:v>
                </c:pt>
                <c:pt idx="177">
                  <c:v>0.307579197508331</c:v>
                </c:pt>
                <c:pt idx="178">
                  <c:v>0.322999156861895</c:v>
                </c:pt>
                <c:pt idx="179">
                  <c:v>0.243572203075985</c:v>
                </c:pt>
                <c:pt idx="180">
                  <c:v>0.251883093083016</c:v>
                </c:pt>
                <c:pt idx="181">
                  <c:v>0.265375642546259</c:v>
                </c:pt>
                <c:pt idx="182">
                  <c:v>0.276919136265192</c:v>
                </c:pt>
                <c:pt idx="183">
                  <c:v>0.290450740047665</c:v>
                </c:pt>
                <c:pt idx="184">
                  <c:v>0.305212217296066</c:v>
                </c:pt>
                <c:pt idx="185">
                  <c:v>0.324782240830542</c:v>
                </c:pt>
                <c:pt idx="186">
                  <c:v>0.21259369622718</c:v>
                </c:pt>
                <c:pt idx="187">
                  <c:v>0.244195455838894</c:v>
                </c:pt>
                <c:pt idx="188">
                  <c:v>0.276825323947819</c:v>
                </c:pt>
                <c:pt idx="189">
                  <c:v>0.21259369622718</c:v>
                </c:pt>
                <c:pt idx="190">
                  <c:v>0.243759326509798</c:v>
                </c:pt>
                <c:pt idx="191">
                  <c:v>0.276260921158478</c:v>
                </c:pt>
                <c:pt idx="192">
                  <c:v>0.171408552860289</c:v>
                </c:pt>
                <c:pt idx="193">
                  <c:v>0.188535209345613</c:v>
                </c:pt>
                <c:pt idx="194">
                  <c:v>0.212067906808793</c:v>
                </c:pt>
                <c:pt idx="195">
                  <c:v>0.242887697203663</c:v>
                </c:pt>
                <c:pt idx="196">
                  <c:v>0.28829644615829</c:v>
                </c:pt>
                <c:pt idx="197">
                  <c:v>0.162678226226117</c:v>
                </c:pt>
                <c:pt idx="198">
                  <c:v>0.208561867943617</c:v>
                </c:pt>
                <c:pt idx="199">
                  <c:v>0.306807185623135</c:v>
                </c:pt>
                <c:pt idx="200">
                  <c:v>0.112004826796143</c:v>
                </c:pt>
                <c:pt idx="201">
                  <c:v>0.169932878018443</c:v>
                </c:pt>
                <c:pt idx="202">
                  <c:v>0.251762799045727</c:v>
                </c:pt>
                <c:pt idx="203">
                  <c:v>0.135897149657078</c:v>
                </c:pt>
                <c:pt idx="204">
                  <c:v>0.195359977903373</c:v>
                </c:pt>
                <c:pt idx="205">
                  <c:v>0.2326644143821</c:v>
                </c:pt>
                <c:pt idx="206">
                  <c:v>0.264683430970644</c:v>
                </c:pt>
                <c:pt idx="207">
                  <c:v>0.317676158670844</c:v>
                </c:pt>
                <c:pt idx="208">
                  <c:v>0.349537419064078</c:v>
                </c:pt>
                <c:pt idx="209">
                  <c:v>0.18910139738113</c:v>
                </c:pt>
                <c:pt idx="210">
                  <c:v>0.211354550048098</c:v>
                </c:pt>
                <c:pt idx="211">
                  <c:v>0.241246956007632</c:v>
                </c:pt>
                <c:pt idx="212">
                  <c:v>0.254995128816165</c:v>
                </c:pt>
                <c:pt idx="213">
                  <c:v>0.286969500495027</c:v>
                </c:pt>
                <c:pt idx="214">
                  <c:v>0.349007298308302</c:v>
                </c:pt>
                <c:pt idx="215">
                  <c:v>0.18690943376219</c:v>
                </c:pt>
                <c:pt idx="216">
                  <c:v>0.204963172037172</c:v>
                </c:pt>
                <c:pt idx="217">
                  <c:v>0.221904997966092</c:v>
                </c:pt>
                <c:pt idx="218">
                  <c:v>0.243503846767613</c:v>
                </c:pt>
                <c:pt idx="219">
                  <c:v>0.266084085501925</c:v>
                </c:pt>
                <c:pt idx="220">
                  <c:v>0.287463194623558</c:v>
                </c:pt>
                <c:pt idx="221">
                  <c:v>0.309653369805349</c:v>
                </c:pt>
                <c:pt idx="222">
                  <c:v>0.327039747390827</c:v>
                </c:pt>
                <c:pt idx="223">
                  <c:v>0.238859000401464</c:v>
                </c:pt>
                <c:pt idx="224">
                  <c:v>0.293690345789237</c:v>
                </c:pt>
                <c:pt idx="225">
                  <c:v>0.344415721667501</c:v>
                </c:pt>
                <c:pt idx="226">
                  <c:v>0.189065540894385</c:v>
                </c:pt>
                <c:pt idx="227">
                  <c:v>0.209912140245271</c:v>
                </c:pt>
                <c:pt idx="228">
                  <c:v>0.237989950554315</c:v>
                </c:pt>
                <c:pt idx="229">
                  <c:v>0.250929408366547</c:v>
                </c:pt>
                <c:pt idx="230">
                  <c:v>0.27086986163283</c:v>
                </c:pt>
                <c:pt idx="231">
                  <c:v>0.28451767484231</c:v>
                </c:pt>
                <c:pt idx="232">
                  <c:v>0.319152292004586</c:v>
                </c:pt>
                <c:pt idx="233">
                  <c:v>0.346639207244656</c:v>
                </c:pt>
                <c:pt idx="234">
                  <c:v>0.216692801621258</c:v>
                </c:pt>
                <c:pt idx="235">
                  <c:v>0.223980950598954</c:v>
                </c:pt>
                <c:pt idx="236">
                  <c:v>0.242766056496433</c:v>
                </c:pt>
                <c:pt idx="237">
                  <c:v>0.264361483181498</c:v>
                </c:pt>
                <c:pt idx="238">
                  <c:v>0.284840789438684</c:v>
                </c:pt>
                <c:pt idx="239">
                  <c:v>0.303961946645176</c:v>
                </c:pt>
                <c:pt idx="240">
                  <c:v>0.325326927660718</c:v>
                </c:pt>
                <c:pt idx="241">
                  <c:v>0.232139596098232</c:v>
                </c:pt>
                <c:pt idx="242">
                  <c:v>0.250880173993616</c:v>
                </c:pt>
                <c:pt idx="243">
                  <c:v>0.267046723313256</c:v>
                </c:pt>
                <c:pt idx="244">
                  <c:v>0.287504575075388</c:v>
                </c:pt>
                <c:pt idx="245">
                  <c:v>0.323391722549029</c:v>
                </c:pt>
                <c:pt idx="246">
                  <c:v>0.343504778353495</c:v>
                </c:pt>
                <c:pt idx="247">
                  <c:v>0.375111639724814</c:v>
                </c:pt>
                <c:pt idx="248">
                  <c:v>0.244748731917856</c:v>
                </c:pt>
                <c:pt idx="249">
                  <c:v>0.272500563449917</c:v>
                </c:pt>
                <c:pt idx="250">
                  <c:v>0.245831979692783</c:v>
                </c:pt>
                <c:pt idx="251">
                  <c:v>0.272500563449917</c:v>
                </c:pt>
                <c:pt idx="252">
                  <c:v>0.245831979692783</c:v>
                </c:pt>
                <c:pt idx="253">
                  <c:v>0.272500563449917</c:v>
                </c:pt>
                <c:pt idx="254">
                  <c:v>0.246916288685915</c:v>
                </c:pt>
                <c:pt idx="255">
                  <c:v>0.272542826838105</c:v>
                </c:pt>
                <c:pt idx="256">
                  <c:v>0.18606485257107</c:v>
                </c:pt>
                <c:pt idx="257">
                  <c:v>0.254444496515809</c:v>
                </c:pt>
                <c:pt idx="258">
                  <c:v>0.187873796278129</c:v>
                </c:pt>
                <c:pt idx="259">
                  <c:v>0.254444496515809</c:v>
                </c:pt>
                <c:pt idx="260">
                  <c:v>0.163816178262122</c:v>
                </c:pt>
                <c:pt idx="261">
                  <c:v>0.247107313550198</c:v>
                </c:pt>
                <c:pt idx="262">
                  <c:v>0.270253048461433</c:v>
                </c:pt>
                <c:pt idx="263">
                  <c:v>0.164829142782397</c:v>
                </c:pt>
                <c:pt idx="264">
                  <c:v>0.248204045716276</c:v>
                </c:pt>
                <c:pt idx="265">
                  <c:v>0.138886020903636</c:v>
                </c:pt>
                <c:pt idx="266">
                  <c:v>0.18722249122268</c:v>
                </c:pt>
                <c:pt idx="267">
                  <c:v>0.24093281299001</c:v>
                </c:pt>
                <c:pt idx="268">
                  <c:v>0.284536947961559</c:v>
                </c:pt>
                <c:pt idx="269">
                  <c:v>0.138502698000224</c:v>
                </c:pt>
                <c:pt idx="270">
                  <c:v>0.185915664369911</c:v>
                </c:pt>
                <c:pt idx="271">
                  <c:v>0.238818689077465</c:v>
                </c:pt>
                <c:pt idx="272">
                  <c:v>0.244349815678765</c:v>
                </c:pt>
                <c:pt idx="273">
                  <c:v>0.268465910762194</c:v>
                </c:pt>
                <c:pt idx="274">
                  <c:v>0.244349815678765</c:v>
                </c:pt>
                <c:pt idx="275">
                  <c:v>0.268465910762194</c:v>
                </c:pt>
                <c:pt idx="276">
                  <c:v>0.153647412821309</c:v>
                </c:pt>
                <c:pt idx="277">
                  <c:v>0.18023472213768</c:v>
                </c:pt>
                <c:pt idx="278">
                  <c:v>0.207160146836814</c:v>
                </c:pt>
                <c:pt idx="279">
                  <c:v>0.235804477928922</c:v>
                </c:pt>
                <c:pt idx="280">
                  <c:v>0.263981309640995</c:v>
                </c:pt>
                <c:pt idx="281">
                  <c:v>0.282649167793107</c:v>
                </c:pt>
                <c:pt idx="282">
                  <c:v>0.207160146836814</c:v>
                </c:pt>
                <c:pt idx="283">
                  <c:v>0.234347525036507</c:v>
                </c:pt>
                <c:pt idx="284">
                  <c:v>0.263981309640995</c:v>
                </c:pt>
                <c:pt idx="285">
                  <c:v>0.282649167793107</c:v>
                </c:pt>
                <c:pt idx="286">
                  <c:v>0.224486171242608</c:v>
                </c:pt>
                <c:pt idx="287">
                  <c:v>0.254042315225982</c:v>
                </c:pt>
                <c:pt idx="288">
                  <c:v>0.277333820688619</c:v>
                </c:pt>
                <c:pt idx="289">
                  <c:v>0.277941552403216</c:v>
                </c:pt>
                <c:pt idx="290">
                  <c:v>0.273623426131615</c:v>
                </c:pt>
                <c:pt idx="291">
                  <c:v>0.296331900116084</c:v>
                </c:pt>
                <c:pt idx="292">
                  <c:v>0.230547343988648</c:v>
                </c:pt>
                <c:pt idx="293">
                  <c:v>0.255500134723853</c:v>
                </c:pt>
                <c:pt idx="294">
                  <c:v>0.279178565661182</c:v>
                </c:pt>
                <c:pt idx="295">
                  <c:v>0.30632532438684</c:v>
                </c:pt>
                <c:pt idx="296">
                  <c:v>0.317660643814384</c:v>
                </c:pt>
                <c:pt idx="297">
                  <c:v>0.29854012251435</c:v>
                </c:pt>
                <c:pt idx="298">
                  <c:v>0.311589148252284</c:v>
                </c:pt>
                <c:pt idx="299">
                  <c:v>0.246431338229595</c:v>
                </c:pt>
                <c:pt idx="300">
                  <c:v>0.270972423018841</c:v>
                </c:pt>
                <c:pt idx="301">
                  <c:v>0.299030923514612</c:v>
                </c:pt>
                <c:pt idx="302">
                  <c:v>0.311973339913707</c:v>
                </c:pt>
                <c:pt idx="303">
                  <c:v>0.24796800782966</c:v>
                </c:pt>
                <c:pt idx="304">
                  <c:v>0.272358085295584</c:v>
                </c:pt>
                <c:pt idx="305">
                  <c:v>0.300256839439352</c:v>
                </c:pt>
                <c:pt idx="306">
                  <c:v>0.312932213642856</c:v>
                </c:pt>
                <c:pt idx="307">
                  <c:v>0.274354060856204</c:v>
                </c:pt>
                <c:pt idx="308">
                  <c:v>0.289890116829628</c:v>
                </c:pt>
                <c:pt idx="309">
                  <c:v>0.282123402498502</c:v>
                </c:pt>
                <c:pt idx="310">
                  <c:v>0.302797643575664</c:v>
                </c:pt>
                <c:pt idx="311">
                  <c:v>0.327165356046084</c:v>
                </c:pt>
                <c:pt idx="312">
                  <c:v>0.351038754058065</c:v>
                </c:pt>
                <c:pt idx="313">
                  <c:v>0.304054338705461</c:v>
                </c:pt>
                <c:pt idx="314">
                  <c:v>0.282123402498502</c:v>
                </c:pt>
                <c:pt idx="315">
                  <c:v>0.302797643575664</c:v>
                </c:pt>
                <c:pt idx="316">
                  <c:v>0.327165356046084</c:v>
                </c:pt>
                <c:pt idx="317">
                  <c:v>0.351038754058065</c:v>
                </c:pt>
                <c:pt idx="318">
                  <c:v>0.306877857797959</c:v>
                </c:pt>
                <c:pt idx="319">
                  <c:v>0.330958286485655</c:v>
                </c:pt>
                <c:pt idx="320">
                  <c:v>0.35373672827128</c:v>
                </c:pt>
                <c:pt idx="321">
                  <c:v>0.303457803318216</c:v>
                </c:pt>
                <c:pt idx="322">
                  <c:v>0.338881321784394</c:v>
                </c:pt>
                <c:pt idx="323">
                  <c:v>0.378850427797553</c:v>
                </c:pt>
                <c:pt idx="324">
                  <c:v>0.409387006232061</c:v>
                </c:pt>
                <c:pt idx="325">
                  <c:v>0.417304591281663</c:v>
                </c:pt>
                <c:pt idx="326">
                  <c:v>0.29590700143079</c:v>
                </c:pt>
                <c:pt idx="327">
                  <c:v>0.331519920085013</c:v>
                </c:pt>
                <c:pt idx="328">
                  <c:v>0.372293298090064</c:v>
                </c:pt>
                <c:pt idx="329">
                  <c:v>0.403398823474317</c:v>
                </c:pt>
                <c:pt idx="330">
                  <c:v>0.412400855353965</c:v>
                </c:pt>
                <c:pt idx="331">
                  <c:v>0.260750199422886</c:v>
                </c:pt>
                <c:pt idx="332">
                  <c:v>0.284199230406248</c:v>
                </c:pt>
                <c:pt idx="333">
                  <c:v>0.306565255363863</c:v>
                </c:pt>
                <c:pt idx="334">
                  <c:v>0.330421317235104</c:v>
                </c:pt>
                <c:pt idx="335">
                  <c:v>0.284199230406248</c:v>
                </c:pt>
                <c:pt idx="336">
                  <c:v>0.306565255363863</c:v>
                </c:pt>
                <c:pt idx="337">
                  <c:v>0.330421317235104</c:v>
                </c:pt>
                <c:pt idx="338">
                  <c:v>0.300484022277697</c:v>
                </c:pt>
                <c:pt idx="339">
                  <c:v>0.283165816669195</c:v>
                </c:pt>
                <c:pt idx="340">
                  <c:v>0.298223911222554</c:v>
                </c:pt>
              </c:numCache>
            </c:numRef>
          </c:yVal>
          <c:smooth val="0"/>
        </c:ser>
        <c:axId val="95669234"/>
        <c:axId val="99641778"/>
      </c:scatterChart>
      <c:valAx>
        <c:axId val="95669234"/>
        <c:scaling>
          <c:orientation val="minMax"/>
          <c:max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9641778"/>
        <c:crosses val="autoZero"/>
        <c:crossBetween val="midCat"/>
      </c:valAx>
      <c:valAx>
        <c:axId val="9964177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56692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138600</xdr:colOff>
      <xdr:row>9</xdr:row>
      <xdr:rowOff>104760</xdr:rowOff>
    </xdr:from>
    <xdr:to>
      <xdr:col>41</xdr:col>
      <xdr:colOff>158400</xdr:colOff>
      <xdr:row>24</xdr:row>
      <xdr:rowOff>18360</xdr:rowOff>
    </xdr:to>
    <xdr:graphicFrame>
      <xdr:nvGraphicFramePr>
        <xdr:cNvPr id="0" name="Gráfico 1"/>
        <xdr:cNvGraphicFramePr/>
      </xdr:nvGraphicFramePr>
      <xdr:xfrm>
        <a:off x="59027760" y="2333520"/>
        <a:ext cx="5545080" cy="284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45</xdr:col>
      <xdr:colOff>0</xdr:colOff>
      <xdr:row>9</xdr:row>
      <xdr:rowOff>362160</xdr:rowOff>
    </xdr:from>
    <xdr:to>
      <xdr:col>54</xdr:col>
      <xdr:colOff>234720</xdr:colOff>
      <xdr:row>24</xdr:row>
      <xdr:rowOff>129600</xdr:rowOff>
    </xdr:to>
    <xdr:graphicFrame>
      <xdr:nvGraphicFramePr>
        <xdr:cNvPr id="1" name="Gráfico 2"/>
        <xdr:cNvGraphicFramePr/>
      </xdr:nvGraphicFramePr>
      <xdr:xfrm>
        <a:off x="73666440" y="2590920"/>
        <a:ext cx="642384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0</xdr:colOff>
      <xdr:row>28</xdr:row>
      <xdr:rowOff>145440</xdr:rowOff>
    </xdr:from>
    <xdr:to>
      <xdr:col>41</xdr:col>
      <xdr:colOff>19800</xdr:colOff>
      <xdr:row>43</xdr:row>
      <xdr:rowOff>129240</xdr:rowOff>
    </xdr:to>
    <xdr:graphicFrame>
      <xdr:nvGraphicFramePr>
        <xdr:cNvPr id="2" name="Gráfico 3"/>
        <xdr:cNvGraphicFramePr/>
      </xdr:nvGraphicFramePr>
      <xdr:xfrm>
        <a:off x="58889160" y="6029280"/>
        <a:ext cx="554508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606600</xdr:colOff>
      <xdr:row>1</xdr:row>
      <xdr:rowOff>5760</xdr:rowOff>
    </xdr:from>
    <xdr:to>
      <xdr:col>33</xdr:col>
      <xdr:colOff>439200</xdr:colOff>
      <xdr:row>22</xdr:row>
      <xdr:rowOff>46440</xdr:rowOff>
    </xdr:to>
    <xdr:graphicFrame>
      <xdr:nvGraphicFramePr>
        <xdr:cNvPr id="3" name="Gráfico 1"/>
        <xdr:cNvGraphicFramePr/>
      </xdr:nvGraphicFramePr>
      <xdr:xfrm>
        <a:off x="15595200" y="262800"/>
        <a:ext cx="5451480" cy="384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37</xdr:col>
      <xdr:colOff>609480</xdr:colOff>
      <xdr:row>1</xdr:row>
      <xdr:rowOff>0</xdr:rowOff>
    </xdr:from>
    <xdr:to>
      <xdr:col>45</xdr:col>
      <xdr:colOff>442080</xdr:colOff>
      <xdr:row>22</xdr:row>
      <xdr:rowOff>40680</xdr:rowOff>
    </xdr:to>
    <xdr:graphicFrame>
      <xdr:nvGraphicFramePr>
        <xdr:cNvPr id="4" name="Gráfico 2"/>
        <xdr:cNvGraphicFramePr/>
      </xdr:nvGraphicFramePr>
      <xdr:xfrm>
        <a:off x="25783920" y="257040"/>
        <a:ext cx="5334480" cy="384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50</xdr:col>
      <xdr:colOff>0</xdr:colOff>
      <xdr:row>1</xdr:row>
      <xdr:rowOff>0</xdr:rowOff>
    </xdr:from>
    <xdr:to>
      <xdr:col>57</xdr:col>
      <xdr:colOff>442080</xdr:colOff>
      <xdr:row>22</xdr:row>
      <xdr:rowOff>40680</xdr:rowOff>
    </xdr:to>
    <xdr:graphicFrame>
      <xdr:nvGraphicFramePr>
        <xdr:cNvPr id="5" name="Gráfico 3"/>
        <xdr:cNvGraphicFramePr/>
      </xdr:nvGraphicFramePr>
      <xdr:xfrm>
        <a:off x="35930880" y="257040"/>
        <a:ext cx="5256000" cy="384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62</xdr:col>
      <xdr:colOff>0</xdr:colOff>
      <xdr:row>1</xdr:row>
      <xdr:rowOff>0</xdr:rowOff>
    </xdr:from>
    <xdr:to>
      <xdr:col>69</xdr:col>
      <xdr:colOff>442080</xdr:colOff>
      <xdr:row>22</xdr:row>
      <xdr:rowOff>40680</xdr:rowOff>
    </xdr:to>
    <xdr:graphicFrame>
      <xdr:nvGraphicFramePr>
        <xdr:cNvPr id="6" name="Gráfico 4"/>
        <xdr:cNvGraphicFramePr/>
      </xdr:nvGraphicFramePr>
      <xdr:xfrm>
        <a:off x="45999360" y="257040"/>
        <a:ext cx="5256000" cy="384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74</xdr:col>
      <xdr:colOff>0</xdr:colOff>
      <xdr:row>1</xdr:row>
      <xdr:rowOff>0</xdr:rowOff>
    </xdr:from>
    <xdr:to>
      <xdr:col>81</xdr:col>
      <xdr:colOff>442080</xdr:colOff>
      <xdr:row>22</xdr:row>
      <xdr:rowOff>40680</xdr:rowOff>
    </xdr:to>
    <xdr:graphicFrame>
      <xdr:nvGraphicFramePr>
        <xdr:cNvPr id="7" name="Gráfico 5"/>
        <xdr:cNvGraphicFramePr/>
      </xdr:nvGraphicFramePr>
      <xdr:xfrm>
        <a:off x="56067840" y="257040"/>
        <a:ext cx="5256000" cy="384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5"/>
  <sheetViews>
    <sheetView showFormulas="false" showGridLines="true" showRowColHeaders="true" showZeros="true" rightToLeft="false" tabSelected="false" showOutlineSymbols="true" defaultGridColor="true" view="normal" topLeftCell="H1" colorId="64" zoomScale="120" zoomScaleNormal="120" zoomScalePageLayoutView="100" workbookViewId="0">
      <selection pane="topLeft" activeCell="L11" activeCellId="0" sqref="L1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2.89"/>
    <col collapsed="false" customWidth="true" hidden="false" outlineLevel="0" max="2" min="2" style="2" width="24.78"/>
    <col collapsed="false" customWidth="true" hidden="false" outlineLevel="0" max="3" min="3" style="3" width="24.78"/>
    <col collapsed="false" customWidth="true" hidden="false" outlineLevel="0" max="4" min="4" style="3" width="29.66"/>
    <col collapsed="false" customWidth="true" hidden="false" outlineLevel="0" max="5" min="5" style="2" width="29.33"/>
    <col collapsed="false" customWidth="true" hidden="false" outlineLevel="0" max="6" min="6" style="4" width="36.78"/>
    <col collapsed="false" customWidth="true" hidden="false" outlineLevel="0" max="7" min="7" style="2" width="16.45"/>
    <col collapsed="false" customWidth="true" hidden="false" outlineLevel="0" max="8" min="8" style="2" width="44.55"/>
    <col collapsed="false" customWidth="true" hidden="false" outlineLevel="0" max="9" min="9" style="5" width="16.33"/>
    <col collapsed="false" customWidth="true" hidden="false" outlineLevel="0" max="10" min="10" style="4" width="42.89"/>
    <col collapsed="false" customWidth="true" hidden="false" outlineLevel="0" max="11" min="11" style="4" width="9.66"/>
    <col collapsed="false" customWidth="true" hidden="false" outlineLevel="0" max="12" min="12" style="6" width="50.78"/>
    <col collapsed="false" customWidth="true" hidden="false" outlineLevel="0" max="17" min="16" style="1" width="8.89"/>
    <col collapsed="false" customWidth="true" hidden="false" outlineLevel="0" max="22" min="22" style="0" width="13.89"/>
  </cols>
  <sheetData>
    <row r="1" customFormat="false" ht="14.25" hidden="false" customHeight="false" outlineLevel="0" collapsed="false">
      <c r="P1" s="7" t="s">
        <v>0</v>
      </c>
      <c r="S1" s="8" t="s">
        <v>1</v>
      </c>
    </row>
    <row r="2" customFormat="false" ht="14.25" hidden="false" customHeight="false" outlineLevel="0" collapsed="false">
      <c r="P2" s="1" t="s">
        <v>2</v>
      </c>
      <c r="Q2" s="1" t="n">
        <v>1.728</v>
      </c>
      <c r="S2" s="1" t="s">
        <v>2</v>
      </c>
      <c r="T2" s="1" t="n">
        <v>0.392</v>
      </c>
      <c r="V2" s="1"/>
      <c r="W2" s="4"/>
    </row>
    <row r="3" customFormat="false" ht="14.25" hidden="false" customHeight="false" outlineLevel="0" collapsed="false">
      <c r="P3" s="1" t="s">
        <v>3</v>
      </c>
      <c r="Q3" s="1" t="n">
        <v>0.011</v>
      </c>
      <c r="S3" s="1" t="s">
        <v>3</v>
      </c>
      <c r="T3" s="1" t="n">
        <v>1.148</v>
      </c>
      <c r="V3" s="1"/>
      <c r="W3" s="4"/>
    </row>
    <row r="4" customFormat="false" ht="14.25" hidden="false" customHeight="false" outlineLevel="0" collapsed="false">
      <c r="P4" s="1" t="s">
        <v>4</v>
      </c>
      <c r="Q4" s="1" t="n">
        <v>0.339</v>
      </c>
      <c r="S4" s="1" t="s">
        <v>4</v>
      </c>
      <c r="T4" s="1" t="n">
        <v>0.854</v>
      </c>
      <c r="V4" s="1"/>
      <c r="W4" s="4"/>
    </row>
    <row r="5" customFormat="false" ht="14.25" hidden="false" customHeight="false" outlineLevel="0" collapsed="false">
      <c r="P5" s="1" t="s">
        <v>5</v>
      </c>
      <c r="Q5" s="1" t="n">
        <v>1.102</v>
      </c>
      <c r="S5" s="1" t="s">
        <v>5</v>
      </c>
      <c r="T5" s="1" t="n">
        <v>0.555</v>
      </c>
      <c r="V5" s="1"/>
      <c r="W5" s="4"/>
    </row>
    <row r="6" customFormat="false" ht="14.25" hidden="false" customHeight="false" outlineLevel="0" collapsed="false">
      <c r="P6" s="1" t="s">
        <v>6</v>
      </c>
      <c r="Q6" s="1" t="n">
        <v>-0.495</v>
      </c>
      <c r="S6" s="1" t="s">
        <v>6</v>
      </c>
      <c r="T6" s="1" t="n">
        <v>-0.686</v>
      </c>
      <c r="V6" s="1"/>
      <c r="W6" s="4"/>
    </row>
    <row r="7" customFormat="false" ht="14.25" hidden="false" customHeight="false" outlineLevel="0" collapsed="false">
      <c r="P7" s="1" t="s">
        <v>7</v>
      </c>
      <c r="Q7" s="1" t="n">
        <v>0.838</v>
      </c>
      <c r="S7" s="1" t="s">
        <v>7</v>
      </c>
      <c r="T7" s="1" t="n">
        <v>1.952</v>
      </c>
      <c r="V7" s="1"/>
      <c r="W7" s="4"/>
    </row>
    <row r="8" customFormat="false" ht="14.25" hidden="false" customHeight="false" outlineLevel="0" collapsed="false">
      <c r="S8" s="1"/>
      <c r="T8" s="1"/>
      <c r="V8" s="1"/>
      <c r="W8" s="4"/>
    </row>
    <row r="9" customFormat="false" ht="14.25" hidden="false" customHeight="false" outlineLevel="0" collapsed="false">
      <c r="A9" s="1" t="s">
        <v>8</v>
      </c>
      <c r="B9" s="9" t="s">
        <v>9</v>
      </c>
      <c r="C9" s="9"/>
      <c r="D9" s="9"/>
      <c r="E9" s="9"/>
      <c r="F9" s="9"/>
      <c r="G9" s="9"/>
      <c r="H9" s="9"/>
      <c r="I9" s="9"/>
      <c r="J9" s="9"/>
      <c r="K9" s="4" t="s">
        <v>10</v>
      </c>
    </row>
    <row r="10" customFormat="false" ht="16.4" hidden="false" customHeight="false" outlineLevel="0" collapsed="false">
      <c r="B10" s="2" t="s">
        <v>11</v>
      </c>
      <c r="C10" s="3" t="s">
        <v>12</v>
      </c>
      <c r="D10" s="3" t="s">
        <v>13</v>
      </c>
      <c r="E10" s="2" t="s">
        <v>14</v>
      </c>
      <c r="F10" s="4" t="s">
        <v>15</v>
      </c>
      <c r="G10" s="2" t="s">
        <v>16</v>
      </c>
      <c r="H10" s="2" t="s">
        <v>17</v>
      </c>
      <c r="I10" s="5" t="s">
        <v>18</v>
      </c>
      <c r="J10" s="4" t="s">
        <v>19</v>
      </c>
      <c r="K10" s="4" t="s">
        <v>20</v>
      </c>
      <c r="L10" s="4" t="s">
        <v>21</v>
      </c>
    </row>
    <row r="11" customFormat="false" ht="14.25" hidden="false" customHeight="false" outlineLevel="0" collapsed="false">
      <c r="A11" s="1" t="s">
        <v>22</v>
      </c>
      <c r="B11" s="2" t="n">
        <v>20</v>
      </c>
      <c r="C11" s="3" t="n">
        <v>500</v>
      </c>
      <c r="D11" s="3" t="n">
        <v>2</v>
      </c>
      <c r="E11" s="2" t="n">
        <v>126</v>
      </c>
      <c r="F11" s="4" t="n">
        <v>4.12034052390144</v>
      </c>
      <c r="G11" s="2" t="n">
        <v>25</v>
      </c>
      <c r="H11" s="2" t="n">
        <v>39</v>
      </c>
      <c r="I11" s="5" t="n">
        <v>0.0607235456892252</v>
      </c>
      <c r="J11" s="4" t="n">
        <v>185.314362471347</v>
      </c>
      <c r="K11" s="4" t="n">
        <v>0.16</v>
      </c>
      <c r="L11" s="6" t="n">
        <f aca="false">J11/200000</f>
        <v>0.000926571812356735</v>
      </c>
      <c r="P11" s="4" t="n">
        <f aca="false">$Q$2*($Q$3*$G11+$Q$4*$B11^$Q$5*$I11^$Q$6)*$L11^$Q$7</f>
        <v>0.184158733112587</v>
      </c>
      <c r="Q11" s="4" t="n">
        <f aca="false">P11/$K11</f>
        <v>1.15099208195367</v>
      </c>
      <c r="S11" s="4" t="n">
        <f aca="false">$T$2*$B11^$T$3*$L11^$T$4*($T$5*$I11^$T$6+$T$7)</f>
        <v>0.180229210313065</v>
      </c>
      <c r="T11" s="4" t="n">
        <f aca="false">S11/$K11</f>
        <v>1.12643256445665</v>
      </c>
      <c r="V11" s="4"/>
      <c r="W11" s="4"/>
    </row>
    <row r="12" customFormat="false" ht="14.25" hidden="false" customHeight="false" outlineLevel="0" collapsed="false">
      <c r="B12" s="2" t="n">
        <v>20</v>
      </c>
      <c r="C12" s="3" t="n">
        <v>500</v>
      </c>
      <c r="D12" s="3" t="n">
        <v>2</v>
      </c>
      <c r="E12" s="2" t="n">
        <v>126</v>
      </c>
      <c r="F12" s="4" t="n">
        <v>4.12034052390144</v>
      </c>
      <c r="G12" s="2" t="n">
        <v>25</v>
      </c>
      <c r="H12" s="2" t="n">
        <v>39</v>
      </c>
      <c r="I12" s="5" t="n">
        <v>0.0607235456892252</v>
      </c>
      <c r="J12" s="4" t="n">
        <v>270.657364910614</v>
      </c>
      <c r="K12" s="4" t="n">
        <v>0.23</v>
      </c>
      <c r="L12" s="6" t="n">
        <f aca="false">J12/200000</f>
        <v>0.00135328682455307</v>
      </c>
      <c r="P12" s="4" t="n">
        <f aca="false">$Q$2*($Q$3*$G12+$Q$4*$B12^$Q$5*$I12^$Q$6)*$L12^$Q$7</f>
        <v>0.252960285874699</v>
      </c>
      <c r="Q12" s="4" t="n">
        <f aca="false">P12/$K12</f>
        <v>1.09982732989</v>
      </c>
      <c r="S12" s="4" t="n">
        <f aca="false">$T$2*$B12^$T$3*$L12^$T$4*($T$5*$I12^$T$6+$T$7)</f>
        <v>0.249067680824817</v>
      </c>
      <c r="T12" s="4" t="n">
        <f aca="false">S12/$K12</f>
        <v>1.0829029601079</v>
      </c>
      <c r="V12" s="4"/>
      <c r="W12" s="4"/>
    </row>
    <row r="13" customFormat="false" ht="14.25" hidden="false" customHeight="false" outlineLevel="0" collapsed="false">
      <c r="B13" s="2" t="n">
        <v>20</v>
      </c>
      <c r="C13" s="3" t="n">
        <v>500</v>
      </c>
      <c r="D13" s="3" t="n">
        <v>2</v>
      </c>
      <c r="E13" s="2" t="n">
        <v>126</v>
      </c>
      <c r="F13" s="4" t="n">
        <v>4.12034052390144</v>
      </c>
      <c r="G13" s="2" t="n">
        <v>25</v>
      </c>
      <c r="H13" s="2" t="n">
        <v>39</v>
      </c>
      <c r="I13" s="5" t="n">
        <v>0.0607235456892252</v>
      </c>
      <c r="J13" s="4" t="n">
        <v>284.102900853544</v>
      </c>
      <c r="K13" s="4" t="n">
        <v>0.24</v>
      </c>
      <c r="L13" s="6" t="n">
        <f aca="false">J13/200000</f>
        <v>0.00142051450426772</v>
      </c>
      <c r="P13" s="4" t="n">
        <f aca="false">$Q$2*($Q$3*$G13+$Q$4*$B13^$Q$5*$I13^$Q$6)*$L13^$Q$7</f>
        <v>0.263449342857023</v>
      </c>
      <c r="Q13" s="4" t="n">
        <f aca="false">P13/$K13</f>
        <v>1.09770559523759</v>
      </c>
      <c r="S13" s="4" t="n">
        <f aca="false">$T$2*$B13^$T$3*$L13^$T$4*($T$5*$I13^$T$6+$T$7)</f>
        <v>0.259596627552112</v>
      </c>
      <c r="T13" s="4" t="n">
        <f aca="false">S13/$K13</f>
        <v>1.08165261480047</v>
      </c>
      <c r="V13" s="4"/>
      <c r="W13" s="4"/>
    </row>
    <row r="14" customFormat="false" ht="14.25" hidden="false" customHeight="false" outlineLevel="0" collapsed="false">
      <c r="B14" s="2" t="n">
        <v>20</v>
      </c>
      <c r="C14" s="3" t="n">
        <v>500</v>
      </c>
      <c r="D14" s="3" t="n">
        <v>2</v>
      </c>
      <c r="E14" s="2" t="n">
        <v>126</v>
      </c>
      <c r="F14" s="4" t="n">
        <v>4.12034052390144</v>
      </c>
      <c r="G14" s="2" t="n">
        <v>25</v>
      </c>
      <c r="H14" s="2" t="n">
        <v>39</v>
      </c>
      <c r="I14" s="5" t="n">
        <v>0.0607235456892252</v>
      </c>
      <c r="J14" s="4" t="n">
        <v>347.370061186755</v>
      </c>
      <c r="K14" s="4" t="n">
        <v>0.27</v>
      </c>
      <c r="L14" s="6" t="n">
        <f aca="false">J14/200000</f>
        <v>0.00173685030593378</v>
      </c>
      <c r="P14" s="4" t="n">
        <f aca="false">$Q$2*($Q$3*$G14+$Q$4*$B14^$Q$5*$I14^$Q$6)*$L14^$Q$7</f>
        <v>0.311794556303122</v>
      </c>
      <c r="Q14" s="4" t="n">
        <f aca="false">P14/$K14</f>
        <v>1.15479465297453</v>
      </c>
      <c r="S14" s="4" t="n">
        <f aca="false">$T$2*$B14^$T$3*$L14^$T$4*($T$5*$I14^$T$6+$T$7)</f>
        <v>0.30822475959762</v>
      </c>
      <c r="T14" s="4" t="n">
        <f aca="false">S14/$K14</f>
        <v>1.14157318369489</v>
      </c>
      <c r="V14" s="4"/>
      <c r="W14" s="4"/>
    </row>
    <row r="15" customFormat="false" ht="14.25" hidden="false" customHeight="false" outlineLevel="0" collapsed="false">
      <c r="B15" s="2" t="n">
        <v>20</v>
      </c>
      <c r="C15" s="3" t="n">
        <v>500</v>
      </c>
      <c r="D15" s="3" t="n">
        <v>2</v>
      </c>
      <c r="E15" s="2" t="n">
        <v>126</v>
      </c>
      <c r="F15" s="4" t="n">
        <v>4.12034052390144</v>
      </c>
      <c r="G15" s="2" t="n">
        <v>25</v>
      </c>
      <c r="H15" s="2" t="n">
        <v>39</v>
      </c>
      <c r="I15" s="5" t="n">
        <v>0.0607235456892252</v>
      </c>
      <c r="J15" s="4" t="n">
        <v>454.409433279258</v>
      </c>
      <c r="K15" s="4" t="n">
        <v>0.35</v>
      </c>
      <c r="L15" s="6" t="n">
        <f aca="false">J15/200000</f>
        <v>0.00227204716639629</v>
      </c>
      <c r="P15" s="4" t="n">
        <f aca="false">$Q$2*($Q$3*$G15+$Q$4*$B15^$Q$5*$I15^$Q$6)*$L15^$Q$7</f>
        <v>0.390503903416848</v>
      </c>
      <c r="Q15" s="4" t="n">
        <f aca="false">P15/$K15</f>
        <v>1.11572543833385</v>
      </c>
      <c r="S15" s="4" t="n">
        <f aca="false">$T$2*$B15^$T$3*$L15^$T$4*($T$5*$I15^$T$6+$T$7)</f>
        <v>0.387695582597804</v>
      </c>
      <c r="T15" s="4" t="n">
        <f aca="false">S15/$K15</f>
        <v>1.10770166456516</v>
      </c>
      <c r="V15" s="4"/>
      <c r="W15" s="4"/>
    </row>
    <row r="16" customFormat="false" ht="14.25" hidden="false" customHeight="false" outlineLevel="0" collapsed="false">
      <c r="B16" s="2" t="n">
        <v>20</v>
      </c>
      <c r="C16" s="3" t="n">
        <v>500</v>
      </c>
      <c r="D16" s="3" t="n">
        <v>2</v>
      </c>
      <c r="E16" s="2" t="n">
        <v>126</v>
      </c>
      <c r="F16" s="4" t="n">
        <v>4.12034052390144</v>
      </c>
      <c r="G16" s="2" t="n">
        <v>25</v>
      </c>
      <c r="H16" s="2" t="n">
        <v>39</v>
      </c>
      <c r="I16" s="5" t="n">
        <v>0.0607235456892252</v>
      </c>
      <c r="J16" s="4" t="n">
        <v>500</v>
      </c>
      <c r="K16" s="4" t="n">
        <v>0.4</v>
      </c>
      <c r="L16" s="6" t="n">
        <f aca="false">J16/200000</f>
        <v>0.0025</v>
      </c>
      <c r="P16" s="4" t="n">
        <f aca="false">$Q$2*($Q$3*$G16+$Q$4*$B16^$Q$5*$I16^$Q$6)*$L16^$Q$7</f>
        <v>0.423078906646986</v>
      </c>
      <c r="Q16" s="4" t="n">
        <f aca="false">P16/$K16</f>
        <v>1.05769726661746</v>
      </c>
      <c r="S16" s="4" t="n">
        <f aca="false">$T$2*$B16^$T$3*$L16^$T$4*($T$5*$I16^$T$6+$T$7)</f>
        <v>0.420679364624747</v>
      </c>
      <c r="T16" s="4" t="n">
        <f aca="false">S16/$K16</f>
        <v>1.05169841156187</v>
      </c>
      <c r="V16" s="4"/>
      <c r="W16" s="4"/>
    </row>
    <row r="17" customFormat="false" ht="14.25" hidden="false" customHeight="false" outlineLevel="0" collapsed="false">
      <c r="A17" s="1" t="s">
        <v>23</v>
      </c>
      <c r="B17" s="2" t="n">
        <v>10</v>
      </c>
      <c r="C17" s="3" t="n">
        <v>500</v>
      </c>
      <c r="D17" s="3" t="n">
        <v>8</v>
      </c>
      <c r="E17" s="2" t="n">
        <v>87.7</v>
      </c>
      <c r="F17" s="4" t="n">
        <v>4.13112676332901</v>
      </c>
      <c r="G17" s="2" t="n">
        <v>25</v>
      </c>
      <c r="H17" s="2" t="n">
        <v>53</v>
      </c>
      <c r="I17" s="5" t="n">
        <v>0.015388385199706</v>
      </c>
      <c r="J17" s="4" t="n">
        <v>230.461149794345</v>
      </c>
      <c r="K17" s="4" t="n">
        <v>0.16</v>
      </c>
      <c r="L17" s="6" t="n">
        <f aca="false">J17/200000</f>
        <v>0.00115230574897173</v>
      </c>
      <c r="P17" s="4" t="n">
        <f aca="false">$Q$2*($Q$3*$G17+$Q$4*$B17^$Q$5*$I17^$Q$6)*$L17^$Q$7</f>
        <v>0.203324998678365</v>
      </c>
      <c r="Q17" s="4" t="n">
        <f aca="false">P17/$K17</f>
        <v>1.27078124173978</v>
      </c>
      <c r="S17" s="4" t="n">
        <f aca="false">$T$2*$B17^$T$3*$L17^$T$4*($T$5*$I17^$T$6+$T$7)</f>
        <v>0.199153057191498</v>
      </c>
      <c r="T17" s="4" t="n">
        <f aca="false">S17/$K17</f>
        <v>1.24470660744687</v>
      </c>
      <c r="V17" s="4"/>
      <c r="W17" s="4"/>
    </row>
    <row r="18" customFormat="false" ht="14.25" hidden="false" customHeight="false" outlineLevel="0" collapsed="false">
      <c r="B18" s="2" t="n">
        <v>10</v>
      </c>
      <c r="C18" s="3" t="n">
        <v>500</v>
      </c>
      <c r="D18" s="3" t="n">
        <v>8</v>
      </c>
      <c r="E18" s="2" t="n">
        <v>87.7</v>
      </c>
      <c r="F18" s="4" t="n">
        <v>4.13112676332901</v>
      </c>
      <c r="G18" s="2" t="n">
        <v>25</v>
      </c>
      <c r="H18" s="2" t="n">
        <v>53</v>
      </c>
      <c r="I18" s="5" t="n">
        <v>0.015388385199706</v>
      </c>
      <c r="J18" s="4" t="n">
        <v>305.353683750309</v>
      </c>
      <c r="K18" s="4" t="n">
        <v>0.18</v>
      </c>
      <c r="L18" s="6" t="n">
        <f aca="false">J18/200000</f>
        <v>0.00152676841875155</v>
      </c>
      <c r="P18" s="4" t="n">
        <f aca="false">$Q$2*($Q$3*$G18+$Q$4*$B18^$Q$5*$I18^$Q$6)*$L18^$Q$7</f>
        <v>0.257394306580557</v>
      </c>
      <c r="Q18" s="4" t="n">
        <f aca="false">P18/$K18</f>
        <v>1.42996836989199</v>
      </c>
      <c r="S18" s="4" t="n">
        <f aca="false">$T$2*$B18^$T$3*$L18^$T$4*($T$5*$I18^$T$6+$T$7)</f>
        <v>0.253250564939557</v>
      </c>
      <c r="T18" s="4" t="n">
        <f aca="false">S18/$K18</f>
        <v>1.40694758299754</v>
      </c>
      <c r="V18" s="4"/>
      <c r="W18" s="4"/>
    </row>
    <row r="19" customFormat="false" ht="14.25" hidden="false" customHeight="false" outlineLevel="0" collapsed="false">
      <c r="B19" s="2" t="n">
        <v>10</v>
      </c>
      <c r="C19" s="3" t="n">
        <v>500</v>
      </c>
      <c r="D19" s="3" t="n">
        <v>8</v>
      </c>
      <c r="E19" s="2" t="n">
        <v>87.7</v>
      </c>
      <c r="F19" s="4" t="n">
        <v>4.13112676332901</v>
      </c>
      <c r="G19" s="2" t="n">
        <v>25</v>
      </c>
      <c r="H19" s="2" t="n">
        <v>53</v>
      </c>
      <c r="I19" s="5" t="n">
        <v>0.015388385199706</v>
      </c>
      <c r="J19" s="4" t="n">
        <v>497.515383215509</v>
      </c>
      <c r="K19" s="4" t="n">
        <v>0.26</v>
      </c>
      <c r="L19" s="6" t="n">
        <f aca="false">J19/200000</f>
        <v>0.00248757691607755</v>
      </c>
      <c r="P19" s="4" t="n">
        <f aca="false">$Q$2*($Q$3*$G19+$Q$4*$B19^$Q$5*$I19^$Q$6)*$L19^$Q$7</f>
        <v>0.387487541544124</v>
      </c>
      <c r="Q19" s="4" t="n">
        <f aca="false">P19/$K19</f>
        <v>1.49033669824663</v>
      </c>
      <c r="S19" s="4" t="n">
        <f aca="false">$T$2*$B19^$T$3*$L19^$T$4*($T$5*$I19^$T$6+$T$7)</f>
        <v>0.384238858826796</v>
      </c>
      <c r="T19" s="4" t="n">
        <f aca="false">S19/$K19</f>
        <v>1.47784176471845</v>
      </c>
      <c r="V19" s="4"/>
      <c r="W19" s="4"/>
    </row>
    <row r="20" customFormat="false" ht="14.25" hidden="false" customHeight="false" outlineLevel="0" collapsed="false">
      <c r="A20" s="1" t="s">
        <v>24</v>
      </c>
      <c r="B20" s="2" t="n">
        <v>10</v>
      </c>
      <c r="C20" s="3" t="n">
        <v>628</v>
      </c>
      <c r="D20" s="3" t="n">
        <v>4</v>
      </c>
      <c r="E20" s="2" t="n">
        <v>32.4666666666667</v>
      </c>
      <c r="F20" s="4" t="n">
        <v>3.262</v>
      </c>
      <c r="G20" s="2" t="n">
        <v>25</v>
      </c>
      <c r="H20" s="2" t="n">
        <v>36</v>
      </c>
      <c r="I20" s="5" t="n">
        <v>0.0174444444444444</v>
      </c>
      <c r="J20" s="4" t="n">
        <v>173.650302050044</v>
      </c>
      <c r="K20" s="4" t="n">
        <v>0.16</v>
      </c>
      <c r="L20" s="6" t="n">
        <f aca="false">J20/200000</f>
        <v>0.000868251510250219</v>
      </c>
      <c r="P20" s="4" t="n">
        <f aca="false">$Q$2*($Q$3*$G20+$Q$4*$B20^$Q$5*$I20^$Q$6)*$L20^$Q$7</f>
        <v>0.150815632177574</v>
      </c>
      <c r="Q20" s="4" t="n">
        <f aca="false">P20/$K20</f>
        <v>0.942597701109839</v>
      </c>
      <c r="S20" s="4" t="n">
        <f aca="false">$T$2*$B20^$T$3*$L20^$T$4*($T$5*$I20^$T$6+$T$7)</f>
        <v>0.1456541860647</v>
      </c>
      <c r="T20" s="4" t="n">
        <f aca="false">S20/$K20</f>
        <v>0.910338662904377</v>
      </c>
      <c r="V20" s="4"/>
      <c r="W20" s="4"/>
    </row>
    <row r="21" customFormat="false" ht="14.25" hidden="false" customHeight="false" outlineLevel="0" collapsed="false">
      <c r="B21" s="2" t="n">
        <v>10</v>
      </c>
      <c r="C21" s="3" t="n">
        <v>628</v>
      </c>
      <c r="D21" s="3" t="n">
        <v>4</v>
      </c>
      <c r="E21" s="2" t="n">
        <v>32.4666666666667</v>
      </c>
      <c r="F21" s="4" t="n">
        <v>3.262</v>
      </c>
      <c r="G21" s="2" t="n">
        <v>25</v>
      </c>
      <c r="H21" s="2" t="n">
        <v>36</v>
      </c>
      <c r="I21" s="5" t="n">
        <v>0.0174444444444444</v>
      </c>
      <c r="J21" s="4" t="n">
        <v>238.739128185323</v>
      </c>
      <c r="K21" s="4" t="n">
        <v>0.2</v>
      </c>
      <c r="L21" s="6" t="n">
        <f aca="false">J21/200000</f>
        <v>0.00119369564092662</v>
      </c>
      <c r="P21" s="4" t="n">
        <f aca="false">$Q$2*($Q$3*$G21+$Q$4*$B21^$Q$5*$I21^$Q$6)*$L21^$Q$7</f>
        <v>0.196923811759979</v>
      </c>
      <c r="Q21" s="4" t="n">
        <f aca="false">P21/$K21</f>
        <v>0.984619058799897</v>
      </c>
      <c r="S21" s="4" t="n">
        <f aca="false">$T$2*$B21^$T$3*$L21^$T$4*($T$5*$I21^$T$6+$T$7)</f>
        <v>0.1911555070994</v>
      </c>
      <c r="T21" s="4" t="n">
        <f aca="false">S21/$K21</f>
        <v>0.955777535496999</v>
      </c>
      <c r="V21" s="4"/>
      <c r="W21" s="4"/>
    </row>
    <row r="22" customFormat="false" ht="14.25" hidden="false" customHeight="false" outlineLevel="0" collapsed="false">
      <c r="B22" s="2" t="n">
        <v>10</v>
      </c>
      <c r="C22" s="3" t="n">
        <v>628</v>
      </c>
      <c r="D22" s="3" t="n">
        <v>4</v>
      </c>
      <c r="E22" s="2" t="n">
        <v>32.4666666666667</v>
      </c>
      <c r="F22" s="4" t="n">
        <v>3.262</v>
      </c>
      <c r="G22" s="2" t="n">
        <v>25</v>
      </c>
      <c r="H22" s="2" t="n">
        <v>36</v>
      </c>
      <c r="I22" s="5" t="n">
        <v>0.0174444444444444</v>
      </c>
      <c r="J22" s="4" t="n">
        <v>305.648501686638</v>
      </c>
      <c r="K22" s="4" t="n">
        <v>0.2</v>
      </c>
      <c r="L22" s="6" t="n">
        <f aca="false">J22/200000</f>
        <v>0.00152824250843319</v>
      </c>
      <c r="P22" s="4" t="n">
        <f aca="false">$Q$2*($Q$3*$G22+$Q$4*$B22^$Q$5*$I22^$Q$6)*$L22^$Q$7</f>
        <v>0.242222519431396</v>
      </c>
      <c r="Q22" s="4" t="n">
        <f aca="false">P22/$K22</f>
        <v>1.21111259715698</v>
      </c>
      <c r="S22" s="4" t="n">
        <f aca="false">$T$2*$B22^$T$3*$L22^$T$4*($T$5*$I22^$T$6+$T$7)</f>
        <v>0.236058626828606</v>
      </c>
      <c r="T22" s="4" t="n">
        <f aca="false">S22/$K22</f>
        <v>1.18029313414303</v>
      </c>
      <c r="V22" s="4"/>
      <c r="W22" s="4"/>
    </row>
    <row r="23" customFormat="false" ht="14.25" hidden="false" customHeight="false" outlineLevel="0" collapsed="false">
      <c r="B23" s="2" t="n">
        <v>10</v>
      </c>
      <c r="C23" s="3" t="n">
        <v>628</v>
      </c>
      <c r="D23" s="3" t="n">
        <v>4</v>
      </c>
      <c r="E23" s="2" t="n">
        <v>32.4666666666667</v>
      </c>
      <c r="F23" s="4" t="n">
        <v>3.262</v>
      </c>
      <c r="G23" s="2" t="n">
        <v>25</v>
      </c>
      <c r="H23" s="2" t="n">
        <v>36</v>
      </c>
      <c r="I23" s="5" t="n">
        <v>0.0174444444444444</v>
      </c>
      <c r="J23" s="4" t="n">
        <v>366.547902709502</v>
      </c>
      <c r="K23" s="4" t="n">
        <v>0.24</v>
      </c>
      <c r="L23" s="6" t="n">
        <f aca="false">J23/200000</f>
        <v>0.00183273951354751</v>
      </c>
      <c r="P23" s="4" t="n">
        <f aca="false">$Q$2*($Q$3*$G23+$Q$4*$B23^$Q$5*$I23^$Q$6)*$L23^$Q$7</f>
        <v>0.282058903343015</v>
      </c>
      <c r="Q23" s="4" t="n">
        <f aca="false">P23/$K23</f>
        <v>1.1752454305959</v>
      </c>
      <c r="S23" s="4" t="n">
        <f aca="false">$T$2*$B23^$T$3*$L23^$T$4*($T$5*$I23^$T$6+$T$7)</f>
        <v>0.275681553824477</v>
      </c>
      <c r="T23" s="4" t="n">
        <f aca="false">S23/$K23</f>
        <v>1.14867314093532</v>
      </c>
      <c r="V23" s="4"/>
      <c r="W23" s="4"/>
    </row>
    <row r="24" customFormat="false" ht="14.25" hidden="false" customHeight="false" outlineLevel="0" collapsed="false">
      <c r="B24" s="2" t="n">
        <v>10</v>
      </c>
      <c r="C24" s="3" t="n">
        <v>628</v>
      </c>
      <c r="D24" s="3" t="n">
        <v>4</v>
      </c>
      <c r="E24" s="2" t="n">
        <v>32.4666666666667</v>
      </c>
      <c r="F24" s="4" t="n">
        <v>3.262</v>
      </c>
      <c r="G24" s="2" t="n">
        <v>25</v>
      </c>
      <c r="H24" s="2" t="n">
        <v>36</v>
      </c>
      <c r="I24" s="5" t="n">
        <v>0.0174444444444444</v>
      </c>
      <c r="J24" s="4" t="n">
        <v>399.441719349458</v>
      </c>
      <c r="K24" s="4" t="n">
        <v>0.3</v>
      </c>
      <c r="L24" s="6" t="n">
        <f aca="false">J24/200000</f>
        <v>0.00199720859674729</v>
      </c>
      <c r="P24" s="4" t="n">
        <f aca="false">$Q$2*($Q$3*$G24+$Q$4*$B24^$Q$5*$I24^$Q$6)*$L24^$Q$7</f>
        <v>0.303121137339186</v>
      </c>
      <c r="Q24" s="4" t="n">
        <f aca="false">P24/$K24</f>
        <v>1.01040379113062</v>
      </c>
      <c r="S24" s="4" t="n">
        <f aca="false">$T$2*$B24^$T$3*$L24^$T$4*($T$5*$I24^$T$6+$T$7)</f>
        <v>0.296675224465326</v>
      </c>
      <c r="T24" s="4" t="n">
        <f aca="false">S24/$K24</f>
        <v>0.98891741488442</v>
      </c>
      <c r="V24" s="4"/>
      <c r="W24" s="4"/>
    </row>
    <row r="25" customFormat="false" ht="14.25" hidden="false" customHeight="false" outlineLevel="0" collapsed="false">
      <c r="B25" s="2" t="n">
        <v>10</v>
      </c>
      <c r="C25" s="3" t="n">
        <v>628</v>
      </c>
      <c r="D25" s="3" t="n">
        <v>4</v>
      </c>
      <c r="E25" s="2" t="n">
        <v>32.4666666666667</v>
      </c>
      <c r="F25" s="4" t="n">
        <v>3.262</v>
      </c>
      <c r="G25" s="2" t="n">
        <v>25</v>
      </c>
      <c r="H25" s="2" t="n">
        <v>36</v>
      </c>
      <c r="I25" s="5" t="n">
        <v>0.0174444444444444</v>
      </c>
      <c r="J25" s="4" t="n">
        <v>498.048742565297</v>
      </c>
      <c r="K25" s="4" t="n">
        <v>0.32</v>
      </c>
      <c r="L25" s="6" t="n">
        <f aca="false">J25/200000</f>
        <v>0.00249024371282649</v>
      </c>
      <c r="P25" s="4" t="n">
        <f aca="false">$Q$2*($Q$3*$G25+$Q$4*$B25^$Q$5*$I25^$Q$6)*$L25^$Q$7</f>
        <v>0.364680097625478</v>
      </c>
      <c r="Q25" s="4" t="n">
        <f aca="false">P25/$K25</f>
        <v>1.13962530507962</v>
      </c>
      <c r="S25" s="4" t="n">
        <f aca="false">$T$2*$B25^$T$3*$L25^$T$4*($T$5*$I25^$T$6+$T$7)</f>
        <v>0.358187326172172</v>
      </c>
      <c r="T25" s="4" t="n">
        <f aca="false">S25/$K25</f>
        <v>1.11933539428804</v>
      </c>
      <c r="V25" s="4"/>
      <c r="W25" s="4"/>
    </row>
    <row r="26" customFormat="false" ht="14.25" hidden="false" customHeight="false" outlineLevel="0" collapsed="false">
      <c r="B26" s="2" t="n">
        <v>10</v>
      </c>
      <c r="C26" s="3" t="n">
        <v>628</v>
      </c>
      <c r="D26" s="3" t="n">
        <v>4</v>
      </c>
      <c r="E26" s="2" t="n">
        <v>32.4666666666667</v>
      </c>
      <c r="F26" s="4" t="n">
        <v>3.262</v>
      </c>
      <c r="G26" s="2" t="n">
        <v>25</v>
      </c>
      <c r="H26" s="2" t="n">
        <v>36</v>
      </c>
      <c r="I26" s="5" t="n">
        <v>0.0174444444444444</v>
      </c>
      <c r="J26" s="4" t="n">
        <v>502.761883538398</v>
      </c>
      <c r="K26" s="4" t="n">
        <v>0.38</v>
      </c>
      <c r="L26" s="6" t="n">
        <f aca="false">J26/200000</f>
        <v>0.00251380941769199</v>
      </c>
      <c r="P26" s="4" t="n">
        <f aca="false">$Q$2*($Q$3*$G26+$Q$4*$B26^$Q$5*$I26^$Q$6)*$L26^$Q$7</f>
        <v>0.367569864808681</v>
      </c>
      <c r="Q26" s="4" t="n">
        <f aca="false">P26/$K26</f>
        <v>0.967289117917581</v>
      </c>
      <c r="S26" s="4" t="n">
        <f aca="false">$T$2*$B26^$T$3*$L26^$T$4*($T$5*$I26^$T$6+$T$7)</f>
        <v>0.361080054356177</v>
      </c>
      <c r="T26" s="4" t="n">
        <f aca="false">S26/$K26</f>
        <v>0.950210669358361</v>
      </c>
      <c r="V26" s="4"/>
      <c r="W26" s="4"/>
    </row>
    <row r="27" customFormat="false" ht="14.25" hidden="false" customHeight="false" outlineLevel="0" collapsed="false">
      <c r="B27" s="2" t="n">
        <v>10</v>
      </c>
      <c r="C27" s="3" t="n">
        <v>628</v>
      </c>
      <c r="D27" s="3" t="n">
        <v>4</v>
      </c>
      <c r="E27" s="2" t="n">
        <v>32.4666666666667</v>
      </c>
      <c r="F27" s="4" t="n">
        <v>3.262</v>
      </c>
      <c r="G27" s="2" t="n">
        <v>25</v>
      </c>
      <c r="H27" s="2" t="n">
        <v>36</v>
      </c>
      <c r="I27" s="5" t="n">
        <v>0.0174444444444444</v>
      </c>
      <c r="J27" s="4" t="n">
        <v>538.673446648283</v>
      </c>
      <c r="K27" s="4" t="n">
        <v>0.42</v>
      </c>
      <c r="L27" s="6" t="n">
        <f aca="false">J27/200000</f>
        <v>0.00269336723324142</v>
      </c>
      <c r="P27" s="4" t="n">
        <f aca="false">$Q$2*($Q$3*$G27+$Q$4*$B27^$Q$5*$I27^$Q$6)*$L27^$Q$7</f>
        <v>0.389447642996397</v>
      </c>
      <c r="Q27" s="4" t="n">
        <f aca="false">P27/$K27</f>
        <v>0.927256292848564</v>
      </c>
      <c r="S27" s="4" t="n">
        <f aca="false">$T$2*$B27^$T$3*$L27^$T$4*($T$5*$I27^$T$6+$T$7)</f>
        <v>0.382994107221474</v>
      </c>
      <c r="T27" s="4" t="n">
        <f aca="false">S27/$K27</f>
        <v>0.9118907314797</v>
      </c>
      <c r="V27" s="4"/>
      <c r="W27" s="4"/>
    </row>
    <row r="28" customFormat="false" ht="14.25" hidden="false" customHeight="false" outlineLevel="0" collapsed="false">
      <c r="B28" s="2" t="n">
        <v>10</v>
      </c>
      <c r="C28" s="3" t="n">
        <v>628</v>
      </c>
      <c r="D28" s="3" t="n">
        <v>4</v>
      </c>
      <c r="E28" s="2" t="n">
        <v>32.4666666666667</v>
      </c>
      <c r="F28" s="4" t="n">
        <v>3.262</v>
      </c>
      <c r="G28" s="2" t="n">
        <v>25</v>
      </c>
      <c r="H28" s="2" t="n">
        <v>36</v>
      </c>
      <c r="I28" s="5" t="n">
        <v>0.0174444444444444</v>
      </c>
      <c r="J28" s="4" t="n">
        <v>628</v>
      </c>
      <c r="K28" s="4" t="n">
        <v>0.44</v>
      </c>
      <c r="L28" s="6" t="n">
        <f aca="false">J28/200000</f>
        <v>0.00314</v>
      </c>
      <c r="P28" s="4" t="n">
        <f aca="false">$Q$2*($Q$3*$G28+$Q$4*$B28^$Q$5*$I28^$Q$6)*$L28^$Q$7</f>
        <v>0.442882413602766</v>
      </c>
      <c r="Q28" s="4" t="n">
        <f aca="false">P28/$K28</f>
        <v>1.00655094000629</v>
      </c>
      <c r="S28" s="4" t="n">
        <f aca="false">$T$2*$B28^$T$3*$L28^$T$4*($T$5*$I28^$T$6+$T$7)</f>
        <v>0.436613935064325</v>
      </c>
      <c r="T28" s="4" t="n">
        <f aca="false">S28/$K28</f>
        <v>0.992304397873465</v>
      </c>
      <c r="V28" s="4"/>
      <c r="W28" s="4"/>
    </row>
    <row r="29" customFormat="false" ht="14.25" hidden="false" customHeight="false" outlineLevel="0" collapsed="false">
      <c r="B29" s="2" t="n">
        <v>10</v>
      </c>
      <c r="C29" s="3" t="n">
        <v>628</v>
      </c>
      <c r="D29" s="3" t="n">
        <v>4</v>
      </c>
      <c r="E29" s="2" t="n">
        <v>32.4666666666667</v>
      </c>
      <c r="F29" s="4" t="n">
        <v>3.262</v>
      </c>
      <c r="G29" s="2" t="n">
        <v>25</v>
      </c>
      <c r="H29" s="2" t="n">
        <v>36</v>
      </c>
      <c r="I29" s="5" t="n">
        <v>0.0174444444444444</v>
      </c>
      <c r="J29" s="4" t="n">
        <v>628</v>
      </c>
      <c r="K29" s="4" t="n">
        <v>0.5</v>
      </c>
      <c r="L29" s="6" t="n">
        <f aca="false">J29/200000</f>
        <v>0.00314</v>
      </c>
      <c r="P29" s="4" t="n">
        <f aca="false">$Q$2*($Q$3*$G29+$Q$4*$B29^$Q$5*$I29^$Q$6)*$L29^$Q$7</f>
        <v>0.442882413602766</v>
      </c>
      <c r="Q29" s="4" t="n">
        <f aca="false">P29/$K29</f>
        <v>0.885764827205532</v>
      </c>
      <c r="S29" s="4" t="n">
        <f aca="false">$T$2*$B29^$T$3*$L29^$T$4*($T$5*$I29^$T$6+$T$7)</f>
        <v>0.436613935064325</v>
      </c>
      <c r="T29" s="4" t="n">
        <f aca="false">S29/$K29</f>
        <v>0.873227870128649</v>
      </c>
      <c r="V29" s="4"/>
      <c r="W29" s="4"/>
    </row>
    <row r="30" customFormat="false" ht="14.25" hidden="false" customHeight="false" outlineLevel="0" collapsed="false">
      <c r="A30" s="1" t="s">
        <v>25</v>
      </c>
      <c r="B30" s="2" t="n">
        <v>10</v>
      </c>
      <c r="C30" s="3" t="n">
        <v>628</v>
      </c>
      <c r="D30" s="3" t="n">
        <v>4</v>
      </c>
      <c r="E30" s="2" t="n">
        <v>32.4666666666667</v>
      </c>
      <c r="F30" s="4" t="n">
        <v>3.514</v>
      </c>
      <c r="G30" s="2" t="n">
        <v>25</v>
      </c>
      <c r="H30" s="2" t="n">
        <v>36</v>
      </c>
      <c r="I30" s="5" t="n">
        <v>0.0174444444444444</v>
      </c>
      <c r="J30" s="4" t="n">
        <v>246.62969130956</v>
      </c>
      <c r="K30" s="4" t="n">
        <v>0.24</v>
      </c>
      <c r="L30" s="6" t="n">
        <f aca="false">J30/200000</f>
        <v>0.0012331484565478</v>
      </c>
      <c r="P30" s="4" t="n">
        <f aca="false">$Q$2*($Q$3*$G30+$Q$4*$B30^$Q$5*$I30^$Q$6)*$L30^$Q$7</f>
        <v>0.202363538553218</v>
      </c>
      <c r="Q30" s="4" t="n">
        <f aca="false">P30/$K30</f>
        <v>0.843181410638408</v>
      </c>
      <c r="S30" s="4" t="n">
        <f aca="false">$T$2*$B30^$T$3*$L30^$T$4*($T$5*$I30^$T$6+$T$7)</f>
        <v>0.196538118326208</v>
      </c>
      <c r="T30" s="4" t="n">
        <f aca="false">S30/$K30</f>
        <v>0.818908826359201</v>
      </c>
      <c r="V30" s="4"/>
      <c r="W30" s="4"/>
    </row>
    <row r="31" customFormat="false" ht="14.25" hidden="false" customHeight="false" outlineLevel="0" collapsed="false">
      <c r="B31" s="2" t="n">
        <v>10</v>
      </c>
      <c r="C31" s="3" t="n">
        <v>628</v>
      </c>
      <c r="D31" s="3" t="n">
        <v>4</v>
      </c>
      <c r="E31" s="2" t="n">
        <v>32.4666666666667</v>
      </c>
      <c r="F31" s="4" t="n">
        <v>3.514</v>
      </c>
      <c r="G31" s="2" t="n">
        <v>25</v>
      </c>
      <c r="H31" s="2" t="n">
        <v>36</v>
      </c>
      <c r="I31" s="5" t="n">
        <v>0.0174444444444444</v>
      </c>
      <c r="J31" s="4" t="n">
        <v>335.696077111432</v>
      </c>
      <c r="K31" s="4" t="n">
        <v>0.3</v>
      </c>
      <c r="L31" s="6" t="n">
        <f aca="false">J31/200000</f>
        <v>0.00167848038555716</v>
      </c>
      <c r="P31" s="4" t="n">
        <f aca="false">$Q$2*($Q$3*$G31+$Q$4*$B31^$Q$5*$I31^$Q$6)*$L31^$Q$7</f>
        <v>0.262024092104871</v>
      </c>
      <c r="Q31" s="4" t="n">
        <f aca="false">P31/$K31</f>
        <v>0.873413640349569</v>
      </c>
      <c r="S31" s="4" t="n">
        <f aca="false">$T$2*$B31^$T$3*$L31^$T$4*($T$5*$I31^$T$6+$T$7)</f>
        <v>0.255739709902471</v>
      </c>
      <c r="T31" s="4" t="n">
        <f aca="false">S31/$K31</f>
        <v>0.852465699674904</v>
      </c>
      <c r="V31" s="4"/>
      <c r="W31" s="4"/>
    </row>
    <row r="32" customFormat="false" ht="14.25" hidden="false" customHeight="false" outlineLevel="0" collapsed="false">
      <c r="B32" s="2" t="n">
        <v>10</v>
      </c>
      <c r="C32" s="3" t="n">
        <v>628</v>
      </c>
      <c r="D32" s="3" t="n">
        <v>4</v>
      </c>
      <c r="E32" s="2" t="n">
        <v>32.4666666666667</v>
      </c>
      <c r="F32" s="4" t="n">
        <v>3.514</v>
      </c>
      <c r="G32" s="2" t="n">
        <v>25</v>
      </c>
      <c r="H32" s="2" t="n">
        <v>36</v>
      </c>
      <c r="I32" s="5" t="n">
        <v>0.0174444444444444</v>
      </c>
      <c r="J32" s="4" t="n">
        <v>361.508718117534</v>
      </c>
      <c r="K32" s="4" t="n">
        <v>0.3</v>
      </c>
      <c r="L32" s="6" t="n">
        <f aca="false">J32/200000</f>
        <v>0.00180754359058767</v>
      </c>
      <c r="P32" s="4" t="n">
        <f aca="false">$Q$2*($Q$3*$G32+$Q$4*$B32^$Q$5*$I32^$Q$6)*$L32^$Q$7</f>
        <v>0.27880578923804</v>
      </c>
      <c r="Q32" s="4" t="n">
        <f aca="false">P32/$K32</f>
        <v>0.929352630793467</v>
      </c>
      <c r="S32" s="4" t="n">
        <f aca="false">$T$2*$B32^$T$3*$L32^$T$4*($T$5*$I32^$T$6+$T$7)</f>
        <v>0.272441643111866</v>
      </c>
      <c r="T32" s="4" t="n">
        <f aca="false">S32/$K32</f>
        <v>0.908138810372886</v>
      </c>
      <c r="V32" s="4"/>
      <c r="W32" s="4"/>
    </row>
    <row r="33" customFormat="false" ht="14.25" hidden="false" customHeight="false" outlineLevel="0" collapsed="false">
      <c r="B33" s="2" t="n">
        <v>10</v>
      </c>
      <c r="C33" s="3" t="n">
        <v>628</v>
      </c>
      <c r="D33" s="3" t="n">
        <v>4</v>
      </c>
      <c r="E33" s="2" t="n">
        <v>32.4666666666667</v>
      </c>
      <c r="F33" s="4" t="n">
        <v>3.514</v>
      </c>
      <c r="G33" s="2" t="n">
        <v>25</v>
      </c>
      <c r="H33" s="2" t="n">
        <v>36</v>
      </c>
      <c r="I33" s="5" t="n">
        <v>0.0174444444444444</v>
      </c>
      <c r="J33" s="4" t="n">
        <v>392.910071207614</v>
      </c>
      <c r="K33" s="4" t="n">
        <v>0.3</v>
      </c>
      <c r="L33" s="6" t="n">
        <f aca="false">J33/200000</f>
        <v>0.00196455035603807</v>
      </c>
      <c r="P33" s="4" t="n">
        <f aca="false">$Q$2*($Q$3*$G33+$Q$4*$B33^$Q$5*$I33^$Q$6)*$L33^$Q$7</f>
        <v>0.298961953509699</v>
      </c>
      <c r="Q33" s="4" t="n">
        <f aca="false">P33/$K33</f>
        <v>0.99653984503233</v>
      </c>
      <c r="S33" s="4" t="n">
        <f aca="false">$T$2*$B33^$T$3*$L33^$T$4*($T$5*$I33^$T$6+$T$7)</f>
        <v>0.292527309190688</v>
      </c>
      <c r="T33" s="4" t="n">
        <f aca="false">S33/$K33</f>
        <v>0.975091030635626</v>
      </c>
      <c r="V33" s="4"/>
      <c r="W33" s="4"/>
    </row>
    <row r="34" customFormat="false" ht="14.25" hidden="false" customHeight="false" outlineLevel="0" collapsed="false">
      <c r="B34" s="2" t="n">
        <v>10</v>
      </c>
      <c r="C34" s="3" t="n">
        <v>628</v>
      </c>
      <c r="D34" s="3" t="n">
        <v>4</v>
      </c>
      <c r="E34" s="2" t="n">
        <v>32.4666666666667</v>
      </c>
      <c r="F34" s="4" t="n">
        <v>3.514</v>
      </c>
      <c r="G34" s="2" t="n">
        <v>25</v>
      </c>
      <c r="H34" s="2" t="n">
        <v>36</v>
      </c>
      <c r="I34" s="5" t="n">
        <v>0.0174444444444444</v>
      </c>
      <c r="J34" s="4" t="n">
        <v>424.164281417311</v>
      </c>
      <c r="K34" s="4" t="n">
        <v>0.38</v>
      </c>
      <c r="L34" s="6" t="n">
        <f aca="false">J34/200000</f>
        <v>0.00212082140708655</v>
      </c>
      <c r="P34" s="4" t="n">
        <f aca="false">$Q$2*($Q$3*$G34+$Q$4*$B34^$Q$5*$I34^$Q$6)*$L34^$Q$7</f>
        <v>0.318765876588022</v>
      </c>
      <c r="Q34" s="4" t="n">
        <f aca="false">P34/$K34</f>
        <v>0.838857569968478</v>
      </c>
      <c r="S34" s="4" t="n">
        <f aca="false">$T$2*$B34^$T$3*$L34^$T$4*($T$5*$I34^$T$6+$T$7)</f>
        <v>0.312287192415409</v>
      </c>
      <c r="T34" s="4" t="n">
        <f aca="false">S34/$K34</f>
        <v>0.82180840109318</v>
      </c>
      <c r="V34" s="4"/>
      <c r="W34" s="4"/>
    </row>
    <row r="35" customFormat="false" ht="14.25" hidden="false" customHeight="false" outlineLevel="0" collapsed="false">
      <c r="B35" s="2" t="n">
        <v>10</v>
      </c>
      <c r="C35" s="3" t="n">
        <v>628</v>
      </c>
      <c r="D35" s="3" t="n">
        <v>4</v>
      </c>
      <c r="E35" s="2" t="n">
        <v>32.4666666666667</v>
      </c>
      <c r="F35" s="4" t="n">
        <v>3.514</v>
      </c>
      <c r="G35" s="2" t="n">
        <v>25</v>
      </c>
      <c r="H35" s="2" t="n">
        <v>36</v>
      </c>
      <c r="I35" s="5" t="n">
        <v>0.0174444444444444</v>
      </c>
      <c r="J35" s="4" t="n">
        <v>491.137589009518</v>
      </c>
      <c r="K35" s="4" t="n">
        <v>0.44</v>
      </c>
      <c r="L35" s="6" t="n">
        <f aca="false">J35/200000</f>
        <v>0.00245568794504759</v>
      </c>
      <c r="P35" s="4" t="n">
        <f aca="false">$Q$2*($Q$3*$G35+$Q$4*$B35^$Q$5*$I35^$Q$6)*$L35^$Q$7</f>
        <v>0.360434632418585</v>
      </c>
      <c r="Q35" s="4" t="n">
        <f aca="false">P35/$K35</f>
        <v>0.819169619133147</v>
      </c>
      <c r="S35" s="4" t="n">
        <f aca="false">$T$2*$B35^$T$3*$L35^$T$4*($T$5*$I35^$T$6+$T$7)</f>
        <v>0.353938305568504</v>
      </c>
      <c r="T35" s="4" t="n">
        <f aca="false">S35/$K35</f>
        <v>0.804405239928419</v>
      </c>
      <c r="V35" s="4"/>
      <c r="W35" s="4"/>
    </row>
    <row r="36" customFormat="false" ht="14.25" hidden="false" customHeight="false" outlineLevel="0" collapsed="false">
      <c r="A36" s="1" t="s">
        <v>26</v>
      </c>
      <c r="B36" s="2" t="n">
        <v>16</v>
      </c>
      <c r="C36" s="3" t="n">
        <v>571</v>
      </c>
      <c r="D36" s="3" t="n">
        <v>4</v>
      </c>
      <c r="E36" s="2" t="n">
        <v>37</v>
      </c>
      <c r="F36" s="4" t="n">
        <v>4.2588</v>
      </c>
      <c r="G36" s="2" t="n">
        <v>33</v>
      </c>
      <c r="H36" s="2" t="n">
        <v>59</v>
      </c>
      <c r="I36" s="5" t="n">
        <v>0.1168</v>
      </c>
      <c r="J36" s="4" t="n">
        <v>104.269215088094</v>
      </c>
      <c r="K36" s="4" t="n">
        <v>0.18</v>
      </c>
      <c r="L36" s="6" t="n">
        <f aca="false">J36/200000</f>
        <v>0.000521346075440468</v>
      </c>
      <c r="P36" s="4" t="n">
        <f aca="false">$Q$2*($Q$3*$G36+$Q$4*$B36^$Q$5*$I36^$Q$6)*$L36^$Q$7</f>
        <v>0.0649760280035904</v>
      </c>
      <c r="Q36" s="4" t="n">
        <f aca="false">P36/$K36</f>
        <v>0.36097793335328</v>
      </c>
      <c r="S36" s="4" t="n">
        <f aca="false">$T$2*$B36^$T$3*$L36^$T$4*($T$5*$I36^$T$6+$T$7)</f>
        <v>0.0649888603060876</v>
      </c>
      <c r="T36" s="4" t="n">
        <f aca="false">S36/$K36</f>
        <v>0.361049223922709</v>
      </c>
      <c r="V36" s="4"/>
      <c r="W36" s="4"/>
    </row>
    <row r="37" customFormat="false" ht="14.25" hidden="false" customHeight="false" outlineLevel="0" collapsed="false">
      <c r="B37" s="2" t="n">
        <v>16</v>
      </c>
      <c r="C37" s="3" t="n">
        <v>571</v>
      </c>
      <c r="D37" s="3" t="n">
        <v>4</v>
      </c>
      <c r="E37" s="2" t="n">
        <v>37</v>
      </c>
      <c r="F37" s="4" t="n">
        <v>4.2588</v>
      </c>
      <c r="G37" s="2" t="n">
        <v>33</v>
      </c>
      <c r="H37" s="2" t="n">
        <v>59</v>
      </c>
      <c r="I37" s="5" t="n">
        <v>0.1168</v>
      </c>
      <c r="J37" s="4" t="n">
        <v>166.904922809943</v>
      </c>
      <c r="K37" s="4" t="n">
        <v>0.2</v>
      </c>
      <c r="L37" s="6" t="n">
        <f aca="false">J37/200000</f>
        <v>0.000834524614049714</v>
      </c>
      <c r="P37" s="4" t="n">
        <f aca="false">$Q$2*($Q$3*$G37+$Q$4*$B37^$Q$5*$I37^$Q$6)*$L37^$Q$7</f>
        <v>0.0963756873559762</v>
      </c>
      <c r="Q37" s="4" t="n">
        <f aca="false">P37/$K37</f>
        <v>0.481878436779881</v>
      </c>
      <c r="S37" s="4" t="n">
        <f aca="false">$T$2*$B37^$T$3*$L37^$T$4*($T$5*$I37^$T$6+$T$7)</f>
        <v>0.097123038024751</v>
      </c>
      <c r="T37" s="4" t="n">
        <f aca="false">S37/$K37</f>
        <v>0.485615190123755</v>
      </c>
      <c r="V37" s="4"/>
      <c r="W37" s="4"/>
    </row>
    <row r="38" customFormat="false" ht="14.25" hidden="false" customHeight="false" outlineLevel="0" collapsed="false">
      <c r="B38" s="2" t="n">
        <v>16</v>
      </c>
      <c r="C38" s="3" t="n">
        <v>571</v>
      </c>
      <c r="D38" s="3" t="n">
        <v>4</v>
      </c>
      <c r="E38" s="2" t="n">
        <v>37</v>
      </c>
      <c r="F38" s="4" t="n">
        <v>4.2588</v>
      </c>
      <c r="G38" s="2" t="n">
        <v>33</v>
      </c>
      <c r="H38" s="2" t="n">
        <v>59</v>
      </c>
      <c r="I38" s="5" t="n">
        <v>0.1168</v>
      </c>
      <c r="J38" s="4" t="n">
        <v>214.45812720403</v>
      </c>
      <c r="K38" s="4" t="n">
        <v>0.26</v>
      </c>
      <c r="L38" s="6" t="n">
        <f aca="false">J38/200000</f>
        <v>0.00107229063602015</v>
      </c>
      <c r="P38" s="4" t="n">
        <f aca="false">$Q$2*($Q$3*$G38+$Q$4*$B38^$Q$5*$I38^$Q$6)*$L38^$Q$7</f>
        <v>0.118905889627085</v>
      </c>
      <c r="Q38" s="4" t="n">
        <f aca="false">P38/$K38</f>
        <v>0.457330344719558</v>
      </c>
      <c r="S38" s="4" t="n">
        <f aca="false">$T$2*$B38^$T$3*$L38^$T$4*($T$5*$I38^$T$6+$T$7)</f>
        <v>0.120309552284261</v>
      </c>
      <c r="T38" s="4" t="n">
        <f aca="false">S38/$K38</f>
        <v>0.462729047247157</v>
      </c>
      <c r="V38" s="4"/>
      <c r="W38" s="4"/>
    </row>
    <row r="39" customFormat="false" ht="14.25" hidden="false" customHeight="false" outlineLevel="0" collapsed="false">
      <c r="B39" s="2" t="n">
        <v>16</v>
      </c>
      <c r="C39" s="3" t="n">
        <v>571</v>
      </c>
      <c r="D39" s="3" t="n">
        <v>4</v>
      </c>
      <c r="E39" s="2" t="n">
        <v>37</v>
      </c>
      <c r="F39" s="4" t="n">
        <v>4.2588</v>
      </c>
      <c r="G39" s="2" t="n">
        <v>33</v>
      </c>
      <c r="H39" s="2" t="n">
        <v>59</v>
      </c>
      <c r="I39" s="5" t="n">
        <v>0.1168</v>
      </c>
      <c r="J39" s="4" t="n">
        <v>293.137065383337</v>
      </c>
      <c r="K39" s="4" t="n">
        <v>0.44</v>
      </c>
      <c r="L39" s="6" t="n">
        <f aca="false">J39/200000</f>
        <v>0.00146568532691669</v>
      </c>
      <c r="P39" s="4" t="n">
        <f aca="false">$Q$2*($Q$3*$G39+$Q$4*$B39^$Q$5*$I39^$Q$6)*$L39^$Q$7</f>
        <v>0.154505384981828</v>
      </c>
      <c r="Q39" s="4" t="n">
        <f aca="false">P39/$K39</f>
        <v>0.351148602231428</v>
      </c>
      <c r="S39" s="4" t="n">
        <f aca="false">$T$2*$B39^$T$3*$L39^$T$4*($T$5*$I39^$T$6+$T$7)</f>
        <v>0.157112961961898</v>
      </c>
      <c r="T39" s="4" t="n">
        <f aca="false">S39/$K39</f>
        <v>0.357074913549768</v>
      </c>
      <c r="V39" s="4"/>
      <c r="W39" s="4"/>
    </row>
    <row r="40" customFormat="false" ht="14.25" hidden="false" customHeight="false" outlineLevel="0" collapsed="false">
      <c r="B40" s="2" t="n">
        <v>16</v>
      </c>
      <c r="C40" s="3" t="n">
        <v>571</v>
      </c>
      <c r="D40" s="3" t="n">
        <v>4</v>
      </c>
      <c r="E40" s="2" t="n">
        <v>37</v>
      </c>
      <c r="F40" s="4" t="n">
        <v>4.2588</v>
      </c>
      <c r="G40" s="2" t="n">
        <v>33</v>
      </c>
      <c r="H40" s="2" t="n">
        <v>59</v>
      </c>
      <c r="I40" s="5" t="n">
        <v>0.1168</v>
      </c>
      <c r="J40" s="4" t="n">
        <v>408.129359645403</v>
      </c>
      <c r="K40" s="4" t="n">
        <v>0.6</v>
      </c>
      <c r="L40" s="6" t="n">
        <f aca="false">J40/200000</f>
        <v>0.00204064679822701</v>
      </c>
      <c r="P40" s="4" t="n">
        <f aca="false">$Q$2*($Q$3*$G40+$Q$4*$B40^$Q$5*$I40^$Q$6)*$L40^$Q$7</f>
        <v>0.203885777647649</v>
      </c>
      <c r="Q40" s="4" t="n">
        <f aca="false">P40/$K40</f>
        <v>0.339809629412749</v>
      </c>
      <c r="S40" s="4" t="n">
        <f aca="false">$T$2*$B40^$T$3*$L40^$T$4*($T$5*$I40^$T$6+$T$7)</f>
        <v>0.208427472134515</v>
      </c>
      <c r="T40" s="4" t="n">
        <f aca="false">S40/$K40</f>
        <v>0.347379120224191</v>
      </c>
      <c r="V40" s="4"/>
      <c r="W40" s="4"/>
    </row>
    <row r="41" customFormat="false" ht="14.25" hidden="false" customHeight="false" outlineLevel="0" collapsed="false">
      <c r="A41" s="1" t="s">
        <v>27</v>
      </c>
      <c r="B41" s="2" t="n">
        <v>12</v>
      </c>
      <c r="C41" s="3" t="n">
        <v>500</v>
      </c>
      <c r="D41" s="3" t="n">
        <v>4</v>
      </c>
      <c r="E41" s="2" t="n">
        <v>79.3</v>
      </c>
      <c r="F41" s="4" t="n">
        <v>2.69332921131829</v>
      </c>
      <c r="G41" s="2" t="n">
        <v>20</v>
      </c>
      <c r="H41" s="2" t="n">
        <v>38</v>
      </c>
      <c r="I41" s="5" t="n">
        <v>0.013593984962406</v>
      </c>
      <c r="J41" s="4" t="n">
        <v>220.981845886367</v>
      </c>
      <c r="K41" s="4" t="n">
        <v>0.36</v>
      </c>
      <c r="L41" s="6" t="n">
        <f aca="false">J41/200000</f>
        <v>0.00110490922943184</v>
      </c>
      <c r="P41" s="4" t="n">
        <f aca="false">$Q$2*($Q$3*$G41+$Q$4*$B41^$Q$5*$I41^$Q$6)*$L41^$Q$7</f>
        <v>0.254371396311852</v>
      </c>
      <c r="Q41" s="4" t="n">
        <f aca="false">P41/$K41</f>
        <v>0.706587211977365</v>
      </c>
      <c r="S41" s="4" t="n">
        <f aca="false">$T$2*$B41^$T$3*$L41^$T$4*($T$5*$I41^$T$6+$T$7)</f>
        <v>0.254382514629118</v>
      </c>
      <c r="T41" s="4" t="n">
        <f aca="false">S41/$K41</f>
        <v>0.706618096191995</v>
      </c>
      <c r="V41" s="4"/>
      <c r="W41" s="4"/>
    </row>
    <row r="42" customFormat="false" ht="14.25" hidden="false" customHeight="false" outlineLevel="0" collapsed="false">
      <c r="B42" s="2" t="n">
        <v>12</v>
      </c>
      <c r="C42" s="3" t="n">
        <v>500</v>
      </c>
      <c r="D42" s="3" t="n">
        <v>4</v>
      </c>
      <c r="E42" s="2" t="n">
        <v>79.3</v>
      </c>
      <c r="F42" s="4" t="n">
        <v>2.69332921131829</v>
      </c>
      <c r="G42" s="2" t="n">
        <v>20</v>
      </c>
      <c r="H42" s="2" t="n">
        <v>38</v>
      </c>
      <c r="I42" s="5" t="n">
        <v>0.013593984962406</v>
      </c>
      <c r="J42" s="4" t="n">
        <v>345.874193986727</v>
      </c>
      <c r="K42" s="4" t="n">
        <v>0.43</v>
      </c>
      <c r="L42" s="6" t="n">
        <f aca="false">J42/200000</f>
        <v>0.00172937096993364</v>
      </c>
      <c r="P42" s="4" t="n">
        <f aca="false">$Q$2*($Q$3*$G42+$Q$4*$B42^$Q$5*$I42^$Q$6)*$L42^$Q$7</f>
        <v>0.37026346739676</v>
      </c>
      <c r="Q42" s="4" t="n">
        <f aca="false">P42/$K42</f>
        <v>0.861077831155256</v>
      </c>
      <c r="S42" s="4" t="n">
        <f aca="false">$T$2*$B42^$T$3*$L42^$T$4*($T$5*$I42^$T$6+$T$7)</f>
        <v>0.372943318583435</v>
      </c>
      <c r="T42" s="4" t="n">
        <f aca="false">S42/$K42</f>
        <v>0.867310043217291</v>
      </c>
      <c r="V42" s="4"/>
      <c r="W42" s="4"/>
    </row>
    <row r="43" customFormat="false" ht="14.25" hidden="false" customHeight="false" outlineLevel="0" collapsed="false">
      <c r="B43" s="2" t="n">
        <v>12</v>
      </c>
      <c r="C43" s="3" t="n">
        <v>500</v>
      </c>
      <c r="D43" s="3" t="n">
        <v>4</v>
      </c>
      <c r="E43" s="2" t="n">
        <v>79.3</v>
      </c>
      <c r="F43" s="4" t="n">
        <v>2.69332921131829</v>
      </c>
      <c r="G43" s="2" t="n">
        <v>20</v>
      </c>
      <c r="H43" s="2" t="n">
        <v>38</v>
      </c>
      <c r="I43" s="5" t="n">
        <v>0.013593984962406</v>
      </c>
      <c r="J43" s="4" t="n">
        <v>500</v>
      </c>
      <c r="K43" s="4" t="n">
        <v>0.56</v>
      </c>
      <c r="L43" s="6" t="n">
        <f aca="false">J43/200000</f>
        <v>0.0025</v>
      </c>
      <c r="P43" s="4" t="n">
        <f aca="false">$Q$2*($Q$3*$G43+$Q$4*$B43^$Q$5*$I43^$Q$6)*$L43^$Q$7</f>
        <v>0.504236534502655</v>
      </c>
      <c r="Q43" s="4" t="n">
        <f aca="false">P43/$K43</f>
        <v>0.900422383040455</v>
      </c>
      <c r="S43" s="4" t="n">
        <f aca="false">$T$2*$B43^$T$3*$L43^$T$4*($T$5*$I43^$T$6+$T$7)</f>
        <v>0.510889651772369</v>
      </c>
      <c r="T43" s="4" t="n">
        <f aca="false">S43/$K43</f>
        <v>0.912302949593516</v>
      </c>
      <c r="V43" s="4"/>
      <c r="W43" s="4"/>
    </row>
    <row r="44" customFormat="false" ht="14.25" hidden="false" customHeight="false" outlineLevel="0" collapsed="false">
      <c r="B44" s="2" t="n">
        <v>12</v>
      </c>
      <c r="C44" s="3" t="n">
        <v>500</v>
      </c>
      <c r="D44" s="3" t="n">
        <v>4</v>
      </c>
      <c r="E44" s="2" t="n">
        <v>79.3</v>
      </c>
      <c r="F44" s="4" t="n">
        <v>2.69332921131829</v>
      </c>
      <c r="G44" s="2" t="n">
        <v>20</v>
      </c>
      <c r="H44" s="2" t="n">
        <v>38</v>
      </c>
      <c r="I44" s="5" t="n">
        <v>0.013593984962406</v>
      </c>
      <c r="J44" s="4" t="n">
        <v>500</v>
      </c>
      <c r="K44" s="4" t="n">
        <v>0.71</v>
      </c>
      <c r="L44" s="6" t="n">
        <f aca="false">J44/200000</f>
        <v>0.0025</v>
      </c>
      <c r="P44" s="4" t="n">
        <f aca="false">$Q$2*($Q$3*$G44+$Q$4*$B44^$Q$5*$I44^$Q$6)*$L44^$Q$7</f>
        <v>0.504236534502655</v>
      </c>
      <c r="Q44" s="4" t="n">
        <f aca="false">P44/$K44</f>
        <v>0.710192302116416</v>
      </c>
      <c r="S44" s="4" t="n">
        <f aca="false">$T$2*$B44^$T$3*$L44^$T$4*($T$5*$I44^$T$6+$T$7)</f>
        <v>0.510889651772369</v>
      </c>
      <c r="T44" s="4" t="n">
        <f aca="false">S44/$K44</f>
        <v>0.719562889820238</v>
      </c>
      <c r="V44" s="4"/>
      <c r="W44" s="4"/>
    </row>
    <row r="45" customFormat="false" ht="14.25" hidden="false" customHeight="false" outlineLevel="0" collapsed="false">
      <c r="B45" s="2" t="n">
        <v>12</v>
      </c>
      <c r="C45" s="3" t="n">
        <v>500</v>
      </c>
      <c r="D45" s="3" t="n">
        <v>4</v>
      </c>
      <c r="E45" s="2" t="n">
        <v>79.3</v>
      </c>
      <c r="F45" s="4" t="n">
        <v>2.69332921131829</v>
      </c>
      <c r="G45" s="2" t="n">
        <v>20</v>
      </c>
      <c r="H45" s="2" t="n">
        <v>38</v>
      </c>
      <c r="I45" s="5" t="n">
        <v>0.013593984962406</v>
      </c>
      <c r="J45" s="4" t="n">
        <v>500</v>
      </c>
      <c r="K45" s="4" t="n">
        <v>0.79</v>
      </c>
      <c r="L45" s="6" t="n">
        <f aca="false">J45/200000</f>
        <v>0.0025</v>
      </c>
      <c r="P45" s="4" t="n">
        <f aca="false">$Q$2*($Q$3*$G45+$Q$4*$B45^$Q$5*$I45^$Q$6)*$L45^$Q$7</f>
        <v>0.504236534502655</v>
      </c>
      <c r="Q45" s="4" t="n">
        <f aca="false">P45/$K45</f>
        <v>0.638274094307158</v>
      </c>
      <c r="S45" s="4" t="n">
        <f aca="false">$T$2*$B45^$T$3*$L45^$T$4*($T$5*$I45^$T$6+$T$7)</f>
        <v>0.510889651772369</v>
      </c>
      <c r="T45" s="4" t="n">
        <f aca="false">S45/$K45</f>
        <v>0.646695761737176</v>
      </c>
      <c r="V45" s="4"/>
      <c r="W45" s="4"/>
    </row>
    <row r="46" customFormat="false" ht="14.25" hidden="false" customHeight="false" outlineLevel="0" collapsed="false">
      <c r="A46" s="1" t="s">
        <v>28</v>
      </c>
      <c r="B46" s="2" t="n">
        <v>25</v>
      </c>
      <c r="C46" s="3" t="n">
        <v>500</v>
      </c>
      <c r="D46" s="3" t="n">
        <v>4</v>
      </c>
      <c r="E46" s="2" t="n">
        <v>62</v>
      </c>
      <c r="F46" s="4" t="n">
        <v>2.69332921131829</v>
      </c>
      <c r="G46" s="2" t="n">
        <v>20</v>
      </c>
      <c r="H46" s="2" t="n">
        <v>44.5</v>
      </c>
      <c r="I46" s="5" t="n">
        <v>0.0544670511994589</v>
      </c>
      <c r="J46" s="4" t="n">
        <v>66.0344882356234</v>
      </c>
      <c r="K46" s="4" t="n">
        <v>0.2</v>
      </c>
      <c r="L46" s="6" t="n">
        <f aca="false">J46/200000</f>
        <v>0.000330172441178117</v>
      </c>
      <c r="P46" s="4" t="n">
        <f aca="false">$Q$2*($Q$3*$G46+$Q$4*$B46^$Q$5*$I46^$Q$6)*$L46^$Q$7</f>
        <v>0.104354244142493</v>
      </c>
      <c r="Q46" s="4" t="n">
        <f aca="false">P46/$K46</f>
        <v>0.521771220712464</v>
      </c>
      <c r="S46" s="4" t="n">
        <f aca="false">$T$2*$B46^$T$3*$L46^$T$4*($T$5*$I46^$T$6+$T$7)</f>
        <v>0.101396639496071</v>
      </c>
      <c r="T46" s="4" t="n">
        <f aca="false">S46/$K46</f>
        <v>0.506983197480356</v>
      </c>
      <c r="V46" s="4"/>
      <c r="W46" s="4"/>
    </row>
    <row r="47" customFormat="false" ht="14.25" hidden="false" customHeight="false" outlineLevel="0" collapsed="false">
      <c r="B47" s="2" t="n">
        <v>25</v>
      </c>
      <c r="C47" s="3" t="n">
        <v>500</v>
      </c>
      <c r="D47" s="3" t="n">
        <v>4</v>
      </c>
      <c r="E47" s="2" t="n">
        <v>62</v>
      </c>
      <c r="F47" s="4" t="n">
        <v>2.69332921131829</v>
      </c>
      <c r="G47" s="2" t="n">
        <v>20</v>
      </c>
      <c r="H47" s="2" t="n">
        <v>44.5</v>
      </c>
      <c r="I47" s="5" t="n">
        <v>0.0544670511994589</v>
      </c>
      <c r="J47" s="4" t="n">
        <v>151.485892694246</v>
      </c>
      <c r="K47" s="4" t="n">
        <v>0.25</v>
      </c>
      <c r="L47" s="6" t="n">
        <f aca="false">J47/200000</f>
        <v>0.000757429463471228</v>
      </c>
      <c r="P47" s="4" t="n">
        <f aca="false">$Q$2*($Q$3*$G47+$Q$4*$B47^$Q$5*$I47^$Q$6)*$L47^$Q$7</f>
        <v>0.209263781149537</v>
      </c>
      <c r="Q47" s="4" t="n">
        <f aca="false">P47/$K47</f>
        <v>0.837055124598148</v>
      </c>
      <c r="S47" s="4" t="n">
        <f aca="false">$T$2*$B47^$T$3*$L47^$T$4*($T$5*$I47^$T$6+$T$7)</f>
        <v>0.206052142805407</v>
      </c>
      <c r="T47" s="4" t="n">
        <f aca="false">S47/$K47</f>
        <v>0.824208571221628</v>
      </c>
      <c r="V47" s="4"/>
      <c r="W47" s="4"/>
    </row>
    <row r="48" customFormat="false" ht="14.25" hidden="false" customHeight="false" outlineLevel="0" collapsed="false">
      <c r="B48" s="2" t="n">
        <v>25</v>
      </c>
      <c r="C48" s="3" t="n">
        <v>500</v>
      </c>
      <c r="D48" s="3" t="n">
        <v>4</v>
      </c>
      <c r="E48" s="2" t="n">
        <v>62</v>
      </c>
      <c r="F48" s="4" t="n">
        <v>2.69332921131829</v>
      </c>
      <c r="G48" s="2" t="n">
        <v>20</v>
      </c>
      <c r="H48" s="2" t="n">
        <v>44.5</v>
      </c>
      <c r="I48" s="5" t="n">
        <v>0.0544670511994589</v>
      </c>
      <c r="J48" s="4" t="n">
        <v>248.796783514185</v>
      </c>
      <c r="K48" s="4" t="n">
        <v>0.36</v>
      </c>
      <c r="L48" s="6" t="n">
        <f aca="false">J48/200000</f>
        <v>0.00124398391757093</v>
      </c>
      <c r="P48" s="4" t="n">
        <f aca="false">$Q$2*($Q$3*$G48+$Q$4*$B48^$Q$5*$I48^$Q$6)*$L48^$Q$7</f>
        <v>0.317146616644219</v>
      </c>
      <c r="Q48" s="4" t="n">
        <f aca="false">P48/$K48</f>
        <v>0.88096282401172</v>
      </c>
      <c r="S48" s="4" t="n">
        <f aca="false">$T$2*$B48^$T$3*$L48^$T$4*($T$5*$I48^$T$6+$T$7)</f>
        <v>0.31476809871263</v>
      </c>
      <c r="T48" s="4" t="n">
        <f aca="false">S48/$K48</f>
        <v>0.874355829757305</v>
      </c>
      <c r="V48" s="4"/>
      <c r="W48" s="4"/>
    </row>
    <row r="49" customFormat="false" ht="14.25" hidden="false" customHeight="false" outlineLevel="0" collapsed="false">
      <c r="B49" s="2" t="n">
        <v>25</v>
      </c>
      <c r="C49" s="3" t="n">
        <v>500</v>
      </c>
      <c r="D49" s="3" t="n">
        <v>4</v>
      </c>
      <c r="E49" s="2" t="n">
        <v>62</v>
      </c>
      <c r="F49" s="4" t="n">
        <v>2.69332921131829</v>
      </c>
      <c r="G49" s="2" t="n">
        <v>20</v>
      </c>
      <c r="H49" s="2" t="n">
        <v>44.5</v>
      </c>
      <c r="I49" s="5" t="n">
        <v>0.0544670511994589</v>
      </c>
      <c r="J49" s="4" t="n">
        <v>346.107674334125</v>
      </c>
      <c r="K49" s="4" t="n">
        <v>0.47</v>
      </c>
      <c r="L49" s="6" t="n">
        <f aca="false">J49/200000</f>
        <v>0.00173053837167062</v>
      </c>
      <c r="P49" s="4" t="n">
        <f aca="false">$Q$2*($Q$3*$G49+$Q$4*$B49^$Q$5*$I49^$Q$6)*$L49^$Q$7</f>
        <v>0.41821651871981</v>
      </c>
      <c r="Q49" s="4" t="n">
        <f aca="false">P49/$K49</f>
        <v>0.889822380254915</v>
      </c>
      <c r="S49" s="4" t="n">
        <f aca="false">$T$2*$B49^$T$3*$L49^$T$4*($T$5*$I49^$T$6+$T$7)</f>
        <v>0.417278178769153</v>
      </c>
      <c r="T49" s="4" t="n">
        <f aca="false">S49/$K49</f>
        <v>0.887825912274794</v>
      </c>
      <c r="V49" s="4"/>
      <c r="W49" s="4"/>
    </row>
    <row r="50" customFormat="false" ht="14.25" hidden="false" customHeight="false" outlineLevel="0" collapsed="false">
      <c r="B50" s="2" t="n">
        <v>25</v>
      </c>
      <c r="C50" s="3" t="n">
        <v>500</v>
      </c>
      <c r="D50" s="3" t="n">
        <v>4</v>
      </c>
      <c r="E50" s="2" t="n">
        <v>62</v>
      </c>
      <c r="F50" s="4" t="n">
        <v>2.69332921131829</v>
      </c>
      <c r="G50" s="2" t="n">
        <v>20</v>
      </c>
      <c r="H50" s="2" t="n">
        <v>44.5</v>
      </c>
      <c r="I50" s="5" t="n">
        <v>0.0544670511994589</v>
      </c>
      <c r="J50" s="4" t="n">
        <v>419.09084244908</v>
      </c>
      <c r="K50" s="4" t="n">
        <v>0.57</v>
      </c>
      <c r="L50" s="6" t="n">
        <f aca="false">J50/200000</f>
        <v>0.0020954542122454</v>
      </c>
      <c r="P50" s="4" t="n">
        <f aca="false">$Q$2*($Q$3*$G50+$Q$4*$B50^$Q$5*$I50^$Q$6)*$L50^$Q$7</f>
        <v>0.490949045513908</v>
      </c>
      <c r="Q50" s="4" t="n">
        <f aca="false">P50/$K50</f>
        <v>0.86131411493668</v>
      </c>
      <c r="S50" s="4" t="n">
        <f aca="false">$T$2*$B50^$T$3*$L50^$T$4*($T$5*$I50^$T$6+$T$7)</f>
        <v>0.491349436962208</v>
      </c>
      <c r="T50" s="4" t="n">
        <f aca="false">S50/$K50</f>
        <v>0.862016556074049</v>
      </c>
      <c r="V50" s="4"/>
      <c r="W50" s="4"/>
    </row>
    <row r="51" customFormat="false" ht="14.25" hidden="false" customHeight="false" outlineLevel="0" collapsed="false">
      <c r="B51" s="2" t="n">
        <v>25</v>
      </c>
      <c r="C51" s="3" t="n">
        <v>500</v>
      </c>
      <c r="D51" s="3" t="n">
        <v>4</v>
      </c>
      <c r="E51" s="2" t="n">
        <v>62</v>
      </c>
      <c r="F51" s="4" t="n">
        <v>2.69332921131829</v>
      </c>
      <c r="G51" s="2" t="n">
        <v>20</v>
      </c>
      <c r="H51" s="2" t="n">
        <v>44.5</v>
      </c>
      <c r="I51" s="5" t="n">
        <v>0.0544670511994589</v>
      </c>
      <c r="J51" s="4" t="n">
        <v>500</v>
      </c>
      <c r="K51" s="4" t="n">
        <v>0.78</v>
      </c>
      <c r="L51" s="6" t="n">
        <f aca="false">J51/200000</f>
        <v>0.0025</v>
      </c>
      <c r="P51" s="4" t="n">
        <f aca="false">$Q$2*($Q$3*$G51+$Q$4*$B51^$Q$5*$I51^$Q$6)*$L51^$Q$7</f>
        <v>0.569218538925957</v>
      </c>
      <c r="Q51" s="4" t="n">
        <f aca="false">P51/$K51</f>
        <v>0.729767357597381</v>
      </c>
      <c r="S51" s="4" t="n">
        <f aca="false">$T$2*$B51^$T$3*$L51^$T$4*($T$5*$I51^$T$6+$T$7)</f>
        <v>0.571294007016179</v>
      </c>
      <c r="T51" s="4" t="n">
        <f aca="false">S51/$K51</f>
        <v>0.732428214123306</v>
      </c>
      <c r="V51" s="4"/>
      <c r="W51" s="4"/>
    </row>
    <row r="52" customFormat="false" ht="14.25" hidden="false" customHeight="false" outlineLevel="0" collapsed="false">
      <c r="A52" s="1" t="s">
        <v>29</v>
      </c>
      <c r="B52" s="2" t="n">
        <v>12</v>
      </c>
      <c r="C52" s="3" t="n">
        <v>500</v>
      </c>
      <c r="D52" s="3" t="n">
        <v>4</v>
      </c>
      <c r="E52" s="2" t="n">
        <v>79.3</v>
      </c>
      <c r="F52" s="4" t="n">
        <v>2.69332921131829</v>
      </c>
      <c r="G52" s="2" t="n">
        <v>20</v>
      </c>
      <c r="H52" s="2" t="n">
        <v>34</v>
      </c>
      <c r="I52" s="5" t="n">
        <v>0.0151932773109244</v>
      </c>
      <c r="J52" s="4" t="n">
        <v>104.527156235258</v>
      </c>
      <c r="K52" s="4" t="n">
        <v>0.21</v>
      </c>
      <c r="L52" s="6" t="n">
        <f aca="false">J52/200000</f>
        <v>0.000522635781176292</v>
      </c>
      <c r="P52" s="4" t="n">
        <f aca="false">$Q$2*($Q$3*$G52+$Q$4*$B52^$Q$5*$I52^$Q$6)*$L52^$Q$7</f>
        <v>0.128594656541964</v>
      </c>
      <c r="Q52" s="4" t="n">
        <f aca="false">P52/$K52</f>
        <v>0.612355507342684</v>
      </c>
      <c r="S52" s="4" t="n">
        <f aca="false">$T$2*$B52^$T$3*$L52^$T$4*($T$5*$I52^$T$6+$T$7)</f>
        <v>0.125897936307243</v>
      </c>
      <c r="T52" s="4" t="n">
        <f aca="false">S52/$K52</f>
        <v>0.599513982415442</v>
      </c>
      <c r="V52" s="4"/>
      <c r="W52" s="4"/>
    </row>
    <row r="53" customFormat="false" ht="14.25" hidden="false" customHeight="false" outlineLevel="0" collapsed="false">
      <c r="B53" s="2" t="n">
        <v>12</v>
      </c>
      <c r="C53" s="3" t="n">
        <v>500</v>
      </c>
      <c r="D53" s="3" t="n">
        <v>4</v>
      </c>
      <c r="E53" s="2" t="n">
        <v>79.3</v>
      </c>
      <c r="F53" s="4" t="n">
        <v>2.69332921131829</v>
      </c>
      <c r="G53" s="2" t="n">
        <v>20</v>
      </c>
      <c r="H53" s="2" t="n">
        <v>34</v>
      </c>
      <c r="I53" s="5" t="n">
        <v>0.0151932773109244</v>
      </c>
      <c r="J53" s="4" t="n">
        <v>164.489776913513</v>
      </c>
      <c r="K53" s="4" t="n">
        <v>0.31</v>
      </c>
      <c r="L53" s="6" t="n">
        <f aca="false">J53/200000</f>
        <v>0.000822448884567563</v>
      </c>
      <c r="P53" s="4" t="n">
        <f aca="false">$Q$2*($Q$3*$G53+$Q$4*$B53^$Q$5*$I53^$Q$6)*$L53^$Q$7</f>
        <v>0.188032671121256</v>
      </c>
      <c r="Q53" s="4" t="n">
        <f aca="false">P53/$K53</f>
        <v>0.606557003616954</v>
      </c>
      <c r="S53" s="4" t="n">
        <f aca="false">$T$2*$B53^$T$3*$L53^$T$4*($T$5*$I53^$T$6+$T$7)</f>
        <v>0.185429813022709</v>
      </c>
      <c r="T53" s="4" t="n">
        <f aca="false">S53/$K53</f>
        <v>0.598160687170029</v>
      </c>
      <c r="V53" s="4"/>
      <c r="W53" s="4"/>
    </row>
    <row r="54" customFormat="false" ht="14.25" hidden="false" customHeight="false" outlineLevel="0" collapsed="false">
      <c r="B54" s="2" t="n">
        <v>12</v>
      </c>
      <c r="C54" s="3" t="n">
        <v>500</v>
      </c>
      <c r="D54" s="3" t="n">
        <v>4</v>
      </c>
      <c r="E54" s="2" t="n">
        <v>79.3</v>
      </c>
      <c r="F54" s="4" t="n">
        <v>2.69332921131829</v>
      </c>
      <c r="G54" s="2" t="n">
        <v>20</v>
      </c>
      <c r="H54" s="2" t="n">
        <v>34</v>
      </c>
      <c r="I54" s="5" t="n">
        <v>0.0151932773109244</v>
      </c>
      <c r="J54" s="4" t="n">
        <v>224.452397591767</v>
      </c>
      <c r="K54" s="4" t="n">
        <v>0.38</v>
      </c>
      <c r="L54" s="6" t="n">
        <f aca="false">J54/200000</f>
        <v>0.00112226198795883</v>
      </c>
      <c r="P54" s="4" t="n">
        <f aca="false">$Q$2*($Q$3*$G54+$Q$4*$B54^$Q$5*$I54^$Q$6)*$L54^$Q$7</f>
        <v>0.243978202960003</v>
      </c>
      <c r="Q54" s="4" t="n">
        <f aca="false">P54/$K54</f>
        <v>0.642047902526324</v>
      </c>
      <c r="S54" s="4" t="n">
        <f aca="false">$T$2*$B54^$T$3*$L54^$T$4*($T$5*$I54^$T$6+$T$7)</f>
        <v>0.241800413067388</v>
      </c>
      <c r="T54" s="4" t="n">
        <f aca="false">S54/$K54</f>
        <v>0.636316876493125</v>
      </c>
      <c r="V54" s="4"/>
      <c r="W54" s="4"/>
    </row>
    <row r="55" customFormat="false" ht="14.25" hidden="false" customHeight="false" outlineLevel="0" collapsed="false">
      <c r="B55" s="2" t="n">
        <v>12</v>
      </c>
      <c r="C55" s="3" t="n">
        <v>500</v>
      </c>
      <c r="D55" s="3" t="n">
        <v>4</v>
      </c>
      <c r="E55" s="2" t="n">
        <v>79.3</v>
      </c>
      <c r="F55" s="4" t="n">
        <v>2.69332921131829</v>
      </c>
      <c r="G55" s="2" t="n">
        <v>20</v>
      </c>
      <c r="H55" s="2" t="n">
        <v>34</v>
      </c>
      <c r="I55" s="5" t="n">
        <v>0.0151932773109244</v>
      </c>
      <c r="J55" s="4" t="n">
        <v>344.377638948275</v>
      </c>
      <c r="K55" s="4" t="n">
        <v>0.52</v>
      </c>
      <c r="L55" s="6" t="n">
        <f aca="false">J55/200000</f>
        <v>0.00172188819474137</v>
      </c>
      <c r="P55" s="4" t="n">
        <f aca="false">$Q$2*($Q$3*$G55+$Q$4*$B55^$Q$5*$I55^$Q$6)*$L55^$Q$7</f>
        <v>0.349256253370432</v>
      </c>
      <c r="Q55" s="4" t="n">
        <f aca="false">P55/$K55</f>
        <v>0.671646641096984</v>
      </c>
      <c r="S55" s="4" t="n">
        <f aca="false">$T$2*$B55^$T$3*$L55^$T$4*($T$5*$I55^$T$6+$T$7)</f>
        <v>0.348517646171521</v>
      </c>
      <c r="T55" s="4" t="n">
        <f aca="false">S55/$K55</f>
        <v>0.67022624263754</v>
      </c>
      <c r="V55" s="4"/>
      <c r="W55" s="4"/>
    </row>
    <row r="56" customFormat="false" ht="14.25" hidden="false" customHeight="false" outlineLevel="0" collapsed="false">
      <c r="B56" s="2" t="n">
        <v>12</v>
      </c>
      <c r="C56" s="3" t="n">
        <v>500</v>
      </c>
      <c r="D56" s="3" t="n">
        <v>4</v>
      </c>
      <c r="E56" s="2" t="n">
        <v>79.3</v>
      </c>
      <c r="F56" s="4" t="n">
        <v>2.69332921131829</v>
      </c>
      <c r="G56" s="2" t="n">
        <v>20</v>
      </c>
      <c r="H56" s="2" t="n">
        <v>34</v>
      </c>
      <c r="I56" s="5" t="n">
        <v>0.0151932773109244</v>
      </c>
      <c r="J56" s="4" t="n">
        <v>500</v>
      </c>
      <c r="K56" s="4" t="n">
        <v>0.74</v>
      </c>
      <c r="L56" s="6" t="n">
        <f aca="false">J56/200000</f>
        <v>0.0025</v>
      </c>
      <c r="P56" s="4" t="n">
        <f aca="false">$Q$2*($Q$3*$G56+$Q$4*$B56^$Q$5*$I56^$Q$6)*$L56^$Q$7</f>
        <v>0.47735972124261</v>
      </c>
      <c r="Q56" s="4" t="n">
        <f aca="false">P56/$K56</f>
        <v>0.645080704381906</v>
      </c>
      <c r="S56" s="4" t="n">
        <f aca="false">$T$2*$B56^$T$3*$L56^$T$4*($T$5*$I56^$T$6+$T$7)</f>
        <v>0.479200556343991</v>
      </c>
      <c r="T56" s="4" t="n">
        <f aca="false">S56/$K56</f>
        <v>0.647568319383772</v>
      </c>
      <c r="V56" s="4"/>
      <c r="W56" s="4"/>
    </row>
    <row r="57" customFormat="false" ht="14.25" hidden="false" customHeight="false" outlineLevel="0" collapsed="false">
      <c r="A57" s="1" t="s">
        <v>30</v>
      </c>
      <c r="B57" s="2" t="n">
        <v>12</v>
      </c>
      <c r="C57" s="3" t="n">
        <v>500</v>
      </c>
      <c r="D57" s="3" t="n">
        <v>4</v>
      </c>
      <c r="E57" s="2" t="n">
        <v>79.3</v>
      </c>
      <c r="F57" s="4" t="n">
        <v>2.69332921131829</v>
      </c>
      <c r="G57" s="2" t="n">
        <v>20</v>
      </c>
      <c r="H57" s="2" t="n">
        <v>34</v>
      </c>
      <c r="I57" s="5" t="n">
        <v>0.0151932773109244</v>
      </c>
      <c r="J57" s="4" t="n">
        <v>104.527156235258</v>
      </c>
      <c r="K57" s="4" t="n">
        <v>0.17</v>
      </c>
      <c r="L57" s="6" t="n">
        <f aca="false">J57/200000</f>
        <v>0.000522635781176292</v>
      </c>
      <c r="P57" s="4" t="n">
        <f aca="false">$Q$2*($Q$3*$G57+$Q$4*$B57^$Q$5*$I57^$Q$6)*$L57^$Q$7</f>
        <v>0.128594656541964</v>
      </c>
      <c r="Q57" s="4" t="n">
        <f aca="false">P57/$K57</f>
        <v>0.756439156129198</v>
      </c>
      <c r="S57" s="4" t="n">
        <f aca="false">$T$2*$B57^$T$3*$L57^$T$4*($T$5*$I57^$T$6+$T$7)</f>
        <v>0.125897936307243</v>
      </c>
      <c r="T57" s="4" t="n">
        <f aca="false">S57/$K57</f>
        <v>0.740576095924958</v>
      </c>
      <c r="V57" s="4"/>
      <c r="W57" s="4"/>
    </row>
    <row r="58" customFormat="false" ht="14.25" hidden="false" customHeight="false" outlineLevel="0" collapsed="false">
      <c r="B58" s="2" t="n">
        <v>12</v>
      </c>
      <c r="C58" s="3" t="n">
        <v>500</v>
      </c>
      <c r="D58" s="3" t="n">
        <v>4</v>
      </c>
      <c r="E58" s="2" t="n">
        <v>79.3</v>
      </c>
      <c r="F58" s="4" t="n">
        <v>2.69332921131829</v>
      </c>
      <c r="G58" s="2" t="n">
        <v>20</v>
      </c>
      <c r="H58" s="2" t="n">
        <v>34</v>
      </c>
      <c r="I58" s="5" t="n">
        <v>0.0151932773109244</v>
      </c>
      <c r="J58" s="4" t="n">
        <v>224.452397591767</v>
      </c>
      <c r="K58" s="4" t="n">
        <v>0.36</v>
      </c>
      <c r="L58" s="6" t="n">
        <f aca="false">J58/200000</f>
        <v>0.00112226198795883</v>
      </c>
      <c r="P58" s="4" t="n">
        <f aca="false">$Q$2*($Q$3*$G58+$Q$4*$B58^$Q$5*$I58^$Q$6)*$L58^$Q$7</f>
        <v>0.243978202960003</v>
      </c>
      <c r="Q58" s="4" t="n">
        <f aca="false">P58/$K58</f>
        <v>0.677717230444453</v>
      </c>
      <c r="S58" s="4" t="n">
        <f aca="false">$T$2*$B58^$T$3*$L58^$T$4*($T$5*$I58^$T$6+$T$7)</f>
        <v>0.241800413067388</v>
      </c>
      <c r="T58" s="4" t="n">
        <f aca="false">S58/$K58</f>
        <v>0.671667814076077</v>
      </c>
      <c r="V58" s="4"/>
      <c r="W58" s="4"/>
    </row>
    <row r="59" customFormat="false" ht="14.25" hidden="false" customHeight="false" outlineLevel="0" collapsed="false">
      <c r="B59" s="2" t="n">
        <v>12</v>
      </c>
      <c r="C59" s="3" t="n">
        <v>500</v>
      </c>
      <c r="D59" s="3" t="n">
        <v>4</v>
      </c>
      <c r="E59" s="2" t="n">
        <v>79.3</v>
      </c>
      <c r="F59" s="4" t="n">
        <v>2.69332921131829</v>
      </c>
      <c r="G59" s="2" t="n">
        <v>20</v>
      </c>
      <c r="H59" s="2" t="n">
        <v>34</v>
      </c>
      <c r="I59" s="5" t="n">
        <v>0.0151932773109244</v>
      </c>
      <c r="J59" s="4" t="n">
        <v>344.377638948275</v>
      </c>
      <c r="K59" s="4" t="n">
        <v>0.56</v>
      </c>
      <c r="L59" s="6" t="n">
        <f aca="false">J59/200000</f>
        <v>0.00172188819474137</v>
      </c>
      <c r="P59" s="4" t="n">
        <f aca="false">$Q$2*($Q$3*$G59+$Q$4*$B59^$Q$5*$I59^$Q$6)*$L59^$Q$7</f>
        <v>0.349256253370432</v>
      </c>
      <c r="Q59" s="4" t="n">
        <f aca="false">P59/$K59</f>
        <v>0.623671881018628</v>
      </c>
      <c r="S59" s="4" t="n">
        <f aca="false">$T$2*$B59^$T$3*$L59^$T$4*($T$5*$I59^$T$6+$T$7)</f>
        <v>0.348517646171521</v>
      </c>
      <c r="T59" s="4" t="n">
        <f aca="false">S59/$K59</f>
        <v>0.622352939592001</v>
      </c>
      <c r="V59" s="4"/>
      <c r="W59" s="4"/>
    </row>
    <row r="60" customFormat="false" ht="14.25" hidden="false" customHeight="false" outlineLevel="0" collapsed="false">
      <c r="B60" s="2" t="n">
        <v>12</v>
      </c>
      <c r="C60" s="3" t="n">
        <v>500</v>
      </c>
      <c r="D60" s="3" t="n">
        <v>4</v>
      </c>
      <c r="E60" s="2" t="n">
        <v>79.3</v>
      </c>
      <c r="F60" s="4" t="n">
        <v>2.69332921131829</v>
      </c>
      <c r="G60" s="2" t="n">
        <v>20</v>
      </c>
      <c r="H60" s="2" t="n">
        <v>34</v>
      </c>
      <c r="I60" s="5" t="n">
        <v>0.0151932773109244</v>
      </c>
      <c r="J60" s="4" t="n">
        <v>500</v>
      </c>
      <c r="K60" s="4" t="n">
        <v>0.78</v>
      </c>
      <c r="L60" s="6" t="n">
        <f aca="false">J60/200000</f>
        <v>0.0025</v>
      </c>
      <c r="P60" s="4" t="n">
        <f aca="false">$Q$2*($Q$3*$G60+$Q$4*$B60^$Q$5*$I60^$Q$6)*$L60^$Q$7</f>
        <v>0.47735972124261</v>
      </c>
      <c r="Q60" s="4" t="n">
        <f aca="false">P60/$K60</f>
        <v>0.611999642618731</v>
      </c>
      <c r="S60" s="4" t="n">
        <f aca="false">$T$2*$B60^$T$3*$L60^$T$4*($T$5*$I60^$T$6+$T$7)</f>
        <v>0.479200556343991</v>
      </c>
      <c r="T60" s="4" t="n">
        <f aca="false">S60/$K60</f>
        <v>0.614359687620502</v>
      </c>
      <c r="V60" s="4"/>
      <c r="W60" s="4"/>
    </row>
    <row r="61" customFormat="false" ht="14.25" hidden="false" customHeight="false" outlineLevel="0" collapsed="false">
      <c r="A61" s="1" t="s">
        <v>31</v>
      </c>
      <c r="B61" s="2" t="n">
        <v>12</v>
      </c>
      <c r="C61" s="3" t="n">
        <v>500</v>
      </c>
      <c r="D61" s="3" t="n">
        <v>4</v>
      </c>
      <c r="E61" s="2" t="n">
        <v>46</v>
      </c>
      <c r="F61" s="4" t="n">
        <v>2.69332921131829</v>
      </c>
      <c r="G61" s="2" t="n">
        <v>70</v>
      </c>
      <c r="H61" s="2" t="n">
        <v>88</v>
      </c>
      <c r="I61" s="5" t="n">
        <v>0.0102200677657071</v>
      </c>
      <c r="J61" s="4" t="n">
        <v>108.963432678732</v>
      </c>
      <c r="K61" s="4" t="n">
        <v>0.31</v>
      </c>
      <c r="L61" s="6" t="n">
        <f aca="false">J61/200000</f>
        <v>0.000544817163393661</v>
      </c>
      <c r="P61" s="4" t="n">
        <f aca="false">$Q$2*($Q$3*$G61+$Q$4*$B61^$Q$5*$I61^$Q$6)*$L61^$Q$7</f>
        <v>0.163624886281398</v>
      </c>
      <c r="Q61" s="4" t="n">
        <f aca="false">P61/$K61</f>
        <v>0.527822213810961</v>
      </c>
      <c r="S61" s="4" t="n">
        <f aca="false">$T$2*$B61^$T$3*$L61^$T$4*($T$5*$I61^$T$6+$T$7)</f>
        <v>0.164456138503124</v>
      </c>
      <c r="T61" s="4" t="n">
        <f aca="false">S61/$K61</f>
        <v>0.530503672590724</v>
      </c>
      <c r="V61" s="4"/>
      <c r="W61" s="4"/>
    </row>
    <row r="62" customFormat="false" ht="14.25" hidden="false" customHeight="false" outlineLevel="0" collapsed="false">
      <c r="B62" s="2" t="n">
        <v>12</v>
      </c>
      <c r="C62" s="3" t="n">
        <v>500</v>
      </c>
      <c r="D62" s="3" t="n">
        <v>4</v>
      </c>
      <c r="E62" s="2" t="n">
        <v>46</v>
      </c>
      <c r="F62" s="4" t="n">
        <v>2.69332921131829</v>
      </c>
      <c r="G62" s="2" t="n">
        <v>70</v>
      </c>
      <c r="H62" s="2" t="n">
        <v>88</v>
      </c>
      <c r="I62" s="5" t="n">
        <v>0.0102200677657071</v>
      </c>
      <c r="J62" s="4" t="n">
        <v>187.065765714343</v>
      </c>
      <c r="K62" s="4" t="n">
        <v>0.44</v>
      </c>
      <c r="L62" s="6" t="n">
        <f aca="false">J62/200000</f>
        <v>0.000935328828571715</v>
      </c>
      <c r="P62" s="4" t="n">
        <f aca="false">$Q$2*($Q$3*$G62+$Q$4*$B62^$Q$5*$I62^$Q$6)*$L62^$Q$7</f>
        <v>0.257358966529511</v>
      </c>
      <c r="Q62" s="4" t="n">
        <f aca="false">P62/$K62</f>
        <v>0.584906742112526</v>
      </c>
      <c r="S62" s="4" t="n">
        <f aca="false">$T$2*$B62^$T$3*$L62^$T$4*($T$5*$I62^$T$6+$T$7)</f>
        <v>0.26091283963689</v>
      </c>
      <c r="T62" s="4" t="n">
        <f aca="false">S62/$K62</f>
        <v>0.592983726447477</v>
      </c>
      <c r="V62" s="4"/>
      <c r="W62" s="4"/>
    </row>
    <row r="63" customFormat="false" ht="14.25" hidden="false" customHeight="false" outlineLevel="0" collapsed="false">
      <c r="A63" s="1" t="s">
        <v>32</v>
      </c>
      <c r="B63" s="2" t="n">
        <v>12</v>
      </c>
      <c r="C63" s="3" t="n">
        <v>500</v>
      </c>
      <c r="D63" s="3" t="n">
        <v>4</v>
      </c>
      <c r="E63" s="2" t="n">
        <v>46</v>
      </c>
      <c r="F63" s="4" t="n">
        <v>2.69332921131829</v>
      </c>
      <c r="G63" s="2" t="n">
        <v>70</v>
      </c>
      <c r="H63" s="2" t="n">
        <v>84</v>
      </c>
      <c r="I63" s="5" t="n">
        <v>0.0102317587896877</v>
      </c>
      <c r="J63" s="4" t="n">
        <v>27.5195061171193</v>
      </c>
      <c r="K63" s="4" t="n">
        <v>0.14</v>
      </c>
      <c r="L63" s="6" t="n">
        <f aca="false">J63/200000</f>
        <v>0.000137597530585597</v>
      </c>
      <c r="P63" s="4" t="n">
        <f aca="false">$Q$2*($Q$3*$G63+$Q$4*$B63^$Q$5*$I63^$Q$6)*$L63^$Q$7</f>
        <v>0.0516160567467552</v>
      </c>
      <c r="Q63" s="4" t="n">
        <f aca="false">P63/$K63</f>
        <v>0.36868611961968</v>
      </c>
      <c r="S63" s="4" t="n">
        <f aca="false">$T$2*$B63^$T$3*$L63^$T$4*($T$5*$I63^$T$6+$T$7)</f>
        <v>0.0507422416272636</v>
      </c>
      <c r="T63" s="4" t="n">
        <f aca="false">S63/$K63</f>
        <v>0.362444583051883</v>
      </c>
      <c r="V63" s="4"/>
      <c r="W63" s="4"/>
    </row>
    <row r="64" customFormat="false" ht="14.25" hidden="false" customHeight="false" outlineLevel="0" collapsed="false">
      <c r="B64" s="2" t="n">
        <v>12</v>
      </c>
      <c r="C64" s="3" t="n">
        <v>500</v>
      </c>
      <c r="D64" s="3" t="n">
        <v>4</v>
      </c>
      <c r="E64" s="2" t="n">
        <v>46</v>
      </c>
      <c r="F64" s="4" t="n">
        <v>2.69332921131829</v>
      </c>
      <c r="G64" s="2" t="n">
        <v>70</v>
      </c>
      <c r="H64" s="2" t="n">
        <v>84</v>
      </c>
      <c r="I64" s="5" t="n">
        <v>0.0102317587896877</v>
      </c>
      <c r="J64" s="4" t="n">
        <v>104.711161062044</v>
      </c>
      <c r="K64" s="4" t="n">
        <v>0.31</v>
      </c>
      <c r="L64" s="6" t="n">
        <f aca="false">J64/200000</f>
        <v>0.000523555805310218</v>
      </c>
      <c r="P64" s="4" t="n">
        <f aca="false">$Q$2*($Q$3*$G64+$Q$4*$B64^$Q$5*$I64^$Q$6)*$L64^$Q$7</f>
        <v>0.158168531988718</v>
      </c>
      <c r="Q64" s="4" t="n">
        <f aca="false">P64/$K64</f>
        <v>0.510221070931348</v>
      </c>
      <c r="S64" s="4" t="n">
        <f aca="false">$T$2*$B64^$T$3*$L64^$T$4*($T$5*$I64^$T$6+$T$7)</f>
        <v>0.158851217253112</v>
      </c>
      <c r="T64" s="4" t="n">
        <f aca="false">S64/$K64</f>
        <v>0.512423281461653</v>
      </c>
      <c r="V64" s="4"/>
      <c r="W64" s="4"/>
    </row>
    <row r="65" customFormat="false" ht="14.25" hidden="false" customHeight="false" outlineLevel="0" collapsed="false">
      <c r="B65" s="2" t="n">
        <v>12</v>
      </c>
      <c r="C65" s="3" t="n">
        <v>500</v>
      </c>
      <c r="D65" s="3" t="n">
        <v>4</v>
      </c>
      <c r="E65" s="2" t="n">
        <v>46</v>
      </c>
      <c r="F65" s="4" t="n">
        <v>2.69332921131829</v>
      </c>
      <c r="G65" s="2" t="n">
        <v>70</v>
      </c>
      <c r="H65" s="2" t="n">
        <v>84</v>
      </c>
      <c r="I65" s="5" t="n">
        <v>0.0102317587896877</v>
      </c>
      <c r="J65" s="4" t="n">
        <v>181.902816006968</v>
      </c>
      <c r="K65" s="4" t="n">
        <v>0.4</v>
      </c>
      <c r="L65" s="6" t="n">
        <f aca="false">J65/200000</f>
        <v>0.000909514080034839</v>
      </c>
      <c r="P65" s="4" t="n">
        <f aca="false">$Q$2*($Q$3*$G65+$Q$4*$B65^$Q$5*$I65^$Q$6)*$L65^$Q$7</f>
        <v>0.251253087098948</v>
      </c>
      <c r="Q65" s="4" t="n">
        <f aca="false">P65/$K65</f>
        <v>0.628132717747371</v>
      </c>
      <c r="S65" s="4" t="n">
        <f aca="false">$T$2*$B65^$T$3*$L65^$T$4*($T$5*$I65^$T$6+$T$7)</f>
        <v>0.254577145758227</v>
      </c>
      <c r="T65" s="4" t="n">
        <f aca="false">S65/$K65</f>
        <v>0.636442864395568</v>
      </c>
      <c r="V65" s="4"/>
      <c r="W65" s="4"/>
    </row>
    <row r="66" customFormat="false" ht="14.25" hidden="false" customHeight="false" outlineLevel="0" collapsed="false">
      <c r="A66" s="1" t="s">
        <v>33</v>
      </c>
      <c r="B66" s="2" t="n">
        <v>12</v>
      </c>
      <c r="C66" s="3" t="n">
        <v>500</v>
      </c>
      <c r="D66" s="3" t="n">
        <v>4</v>
      </c>
      <c r="E66" s="2" t="n">
        <v>46</v>
      </c>
      <c r="F66" s="4" t="n">
        <v>2.69332921131829</v>
      </c>
      <c r="G66" s="2" t="n">
        <v>70</v>
      </c>
      <c r="H66" s="2" t="n">
        <v>84</v>
      </c>
      <c r="I66" s="5" t="n">
        <v>0.0102317587896877</v>
      </c>
      <c r="J66" s="4" t="n">
        <v>27.5195061171193</v>
      </c>
      <c r="K66" s="4" t="n">
        <v>0.25</v>
      </c>
      <c r="L66" s="6" t="n">
        <f aca="false">J66/200000</f>
        <v>0.000137597530585597</v>
      </c>
      <c r="P66" s="4" t="n">
        <f aca="false">$Q$2*($Q$3*$G66+$Q$4*$B66^$Q$5*$I66^$Q$6)*$L66^$Q$7</f>
        <v>0.0516160567467552</v>
      </c>
      <c r="Q66" s="4" t="n">
        <f aca="false">P66/$K66</f>
        <v>0.206464226987021</v>
      </c>
      <c r="S66" s="4" t="n">
        <f aca="false">$T$2*$B66^$T$3*$L66^$T$4*($T$5*$I66^$T$6+$T$7)</f>
        <v>0.0507422416272636</v>
      </c>
      <c r="T66" s="4" t="n">
        <f aca="false">S66/$K66</f>
        <v>0.202968966509054</v>
      </c>
      <c r="V66" s="4"/>
      <c r="W66" s="4"/>
    </row>
    <row r="67" customFormat="false" ht="14.25" hidden="false" customHeight="false" outlineLevel="0" collapsed="false">
      <c r="B67" s="2" t="n">
        <v>12</v>
      </c>
      <c r="C67" s="3" t="n">
        <v>500</v>
      </c>
      <c r="D67" s="3" t="n">
        <v>4</v>
      </c>
      <c r="E67" s="2" t="n">
        <v>46</v>
      </c>
      <c r="F67" s="4" t="n">
        <v>2.69332921131829</v>
      </c>
      <c r="G67" s="2" t="n">
        <v>70</v>
      </c>
      <c r="H67" s="2" t="n">
        <v>84</v>
      </c>
      <c r="I67" s="5" t="n">
        <v>0.0102317587896877</v>
      </c>
      <c r="J67" s="4" t="n">
        <v>104.711161062044</v>
      </c>
      <c r="K67" s="4" t="n">
        <v>0.44</v>
      </c>
      <c r="L67" s="6" t="n">
        <f aca="false">J67/200000</f>
        <v>0.000523555805310218</v>
      </c>
      <c r="P67" s="4" t="n">
        <f aca="false">$Q$2*($Q$3*$G67+$Q$4*$B67^$Q$5*$I67^$Q$6)*$L67^$Q$7</f>
        <v>0.158168531988718</v>
      </c>
      <c r="Q67" s="4" t="n">
        <f aca="false">P67/$K67</f>
        <v>0.359473936337995</v>
      </c>
      <c r="S67" s="4" t="n">
        <f aca="false">$T$2*$B67^$T$3*$L67^$T$4*($T$5*$I67^$T$6+$T$7)</f>
        <v>0.158851217253112</v>
      </c>
      <c r="T67" s="4" t="n">
        <f aca="false">S67/$K67</f>
        <v>0.361025493757074</v>
      </c>
      <c r="V67" s="4"/>
      <c r="W67" s="4"/>
    </row>
    <row r="68" customFormat="false" ht="14.25" hidden="false" customHeight="false" outlineLevel="0" collapsed="false">
      <c r="B68" s="2" t="n">
        <v>12</v>
      </c>
      <c r="C68" s="3" t="n">
        <v>500</v>
      </c>
      <c r="D68" s="3" t="n">
        <v>4</v>
      </c>
      <c r="E68" s="2" t="n">
        <v>46</v>
      </c>
      <c r="F68" s="4" t="n">
        <v>2.69332921131829</v>
      </c>
      <c r="G68" s="2" t="n">
        <v>70</v>
      </c>
      <c r="H68" s="2" t="n">
        <v>84</v>
      </c>
      <c r="I68" s="5" t="n">
        <v>0.0102317587896877</v>
      </c>
      <c r="J68" s="4" t="n">
        <v>181.902816006968</v>
      </c>
      <c r="K68" s="4" t="n">
        <v>0.56</v>
      </c>
      <c r="L68" s="6" t="n">
        <f aca="false">J68/200000</f>
        <v>0.000909514080034839</v>
      </c>
      <c r="P68" s="4" t="n">
        <f aca="false">$Q$2*($Q$3*$G68+$Q$4*$B68^$Q$5*$I68^$Q$6)*$L68^$Q$7</f>
        <v>0.251253087098948</v>
      </c>
      <c r="Q68" s="4" t="n">
        <f aca="false">P68/$K68</f>
        <v>0.448666226962408</v>
      </c>
      <c r="S68" s="4" t="n">
        <f aca="false">$T$2*$B68^$T$3*$L68^$T$4*($T$5*$I68^$T$6+$T$7)</f>
        <v>0.254577145758227</v>
      </c>
      <c r="T68" s="4" t="n">
        <f aca="false">S68/$K68</f>
        <v>0.454602045996834</v>
      </c>
      <c r="V68" s="4"/>
      <c r="W68" s="4"/>
    </row>
    <row r="69" customFormat="false" ht="14.25" hidden="false" customHeight="false" outlineLevel="0" collapsed="false">
      <c r="A69" s="1" t="s">
        <v>34</v>
      </c>
      <c r="B69" s="2" t="n">
        <v>25</v>
      </c>
      <c r="C69" s="3" t="n">
        <v>500</v>
      </c>
      <c r="D69" s="3" t="n">
        <v>4</v>
      </c>
      <c r="E69" s="2" t="n">
        <v>62</v>
      </c>
      <c r="F69" s="4" t="n">
        <v>2.69332921131829</v>
      </c>
      <c r="G69" s="2" t="n">
        <v>20</v>
      </c>
      <c r="H69" s="2" t="n">
        <v>40.5</v>
      </c>
      <c r="I69" s="5" t="n">
        <v>0.0554215167548501</v>
      </c>
      <c r="J69" s="4" t="n">
        <v>173.788819028999</v>
      </c>
      <c r="K69" s="4" t="n">
        <v>0.23</v>
      </c>
      <c r="L69" s="6" t="n">
        <f aca="false">J69/200000</f>
        <v>0.000868944095144993</v>
      </c>
      <c r="P69" s="4" t="n">
        <f aca="false">$Q$2*($Q$3*$G69+$Q$4*$B69^$Q$5*$I69^$Q$6)*$L69^$Q$7</f>
        <v>0.232788996511658</v>
      </c>
      <c r="Q69" s="4" t="n">
        <f aca="false">P69/$K69</f>
        <v>1.01212607178982</v>
      </c>
      <c r="S69" s="4" t="n">
        <f aca="false">$T$2*$B69^$T$3*$L69^$T$4*($T$5*$I69^$T$6+$T$7)</f>
        <v>0.229838243997235</v>
      </c>
      <c r="T69" s="4" t="n">
        <f aca="false">S69/$K69</f>
        <v>0.999296713031454</v>
      </c>
      <c r="V69" s="4"/>
      <c r="W69" s="4"/>
    </row>
    <row r="70" customFormat="false" ht="14.25" hidden="false" customHeight="false" outlineLevel="0" collapsed="false">
      <c r="B70" s="2" t="n">
        <v>25</v>
      </c>
      <c r="C70" s="3" t="n">
        <v>500</v>
      </c>
      <c r="D70" s="3" t="n">
        <v>4</v>
      </c>
      <c r="E70" s="2" t="n">
        <v>62</v>
      </c>
      <c r="F70" s="4" t="n">
        <v>2.69332921131829</v>
      </c>
      <c r="G70" s="2" t="n">
        <v>20</v>
      </c>
      <c r="H70" s="2" t="n">
        <v>40.5</v>
      </c>
      <c r="I70" s="5" t="n">
        <v>0.0554215167548501</v>
      </c>
      <c r="J70" s="4" t="n">
        <v>293.989232625486</v>
      </c>
      <c r="K70" s="4" t="n">
        <v>0.35</v>
      </c>
      <c r="L70" s="6" t="n">
        <f aca="false">J70/200000</f>
        <v>0.00146994616312743</v>
      </c>
      <c r="P70" s="4" t="n">
        <f aca="false">$Q$2*($Q$3*$G70+$Q$4*$B70^$Q$5*$I70^$Q$6)*$L70^$Q$7</f>
        <v>0.361647849390213</v>
      </c>
      <c r="Q70" s="4" t="n">
        <f aca="false">P70/$K70</f>
        <v>1.03327956968632</v>
      </c>
      <c r="S70" s="4" t="n">
        <f aca="false">$T$2*$B70^$T$3*$L70^$T$4*($T$5*$I70^$T$6+$T$7)</f>
        <v>0.360079740562899</v>
      </c>
      <c r="T70" s="4" t="n">
        <f aca="false">S70/$K70</f>
        <v>1.02879925875114</v>
      </c>
      <c r="V70" s="4"/>
      <c r="W70" s="4"/>
    </row>
    <row r="71" customFormat="false" ht="14.25" hidden="false" customHeight="false" outlineLevel="0" collapsed="false">
      <c r="B71" s="2" t="n">
        <v>25</v>
      </c>
      <c r="C71" s="3" t="n">
        <v>500</v>
      </c>
      <c r="D71" s="3" t="n">
        <v>4</v>
      </c>
      <c r="E71" s="2" t="n">
        <v>62</v>
      </c>
      <c r="F71" s="4" t="n">
        <v>2.69332921131829</v>
      </c>
      <c r="G71" s="2" t="n">
        <v>20</v>
      </c>
      <c r="H71" s="2" t="n">
        <v>40.5</v>
      </c>
      <c r="I71" s="5" t="n">
        <v>0.0554215167548501</v>
      </c>
      <c r="J71" s="4" t="n">
        <v>414.189646221972</v>
      </c>
      <c r="K71" s="4" t="n">
        <v>0.49</v>
      </c>
      <c r="L71" s="6" t="n">
        <f aca="false">J71/200000</f>
        <v>0.00207094823110986</v>
      </c>
      <c r="P71" s="4" t="n">
        <f aca="false">$Q$2*($Q$3*$G71+$Q$4*$B71^$Q$5*$I71^$Q$6)*$L71^$Q$7</f>
        <v>0.481988986531181</v>
      </c>
      <c r="Q71" s="4" t="n">
        <f aca="false">P71/$K71</f>
        <v>0.983650992920778</v>
      </c>
      <c r="S71" s="4" t="n">
        <f aca="false">$T$2*$B71^$T$3*$L71^$T$4*($T$5*$I71^$T$6+$T$7)</f>
        <v>0.482538311199423</v>
      </c>
      <c r="T71" s="4" t="n">
        <f aca="false">S71/$K71</f>
        <v>0.984772063672292</v>
      </c>
      <c r="V71" s="4"/>
      <c r="W71" s="4"/>
    </row>
    <row r="72" customFormat="false" ht="14.25" hidden="false" customHeight="false" outlineLevel="0" collapsed="false">
      <c r="B72" s="2" t="n">
        <v>25</v>
      </c>
      <c r="C72" s="3" t="n">
        <v>500</v>
      </c>
      <c r="D72" s="3" t="n">
        <v>4</v>
      </c>
      <c r="E72" s="2" t="n">
        <v>62</v>
      </c>
      <c r="F72" s="4" t="n">
        <v>2.69332921131829</v>
      </c>
      <c r="G72" s="2" t="n">
        <v>20</v>
      </c>
      <c r="H72" s="2" t="n">
        <v>40.5</v>
      </c>
      <c r="I72" s="5" t="n">
        <v>0.0554215167548501</v>
      </c>
      <c r="J72" s="4" t="n">
        <v>500</v>
      </c>
      <c r="K72" s="4" t="n">
        <v>0.67</v>
      </c>
      <c r="L72" s="6" t="n">
        <f aca="false">J72/200000</f>
        <v>0.0025</v>
      </c>
      <c r="P72" s="4" t="n">
        <f aca="false">$Q$2*($Q$3*$G72+$Q$4*$B72^$Q$5*$I72^$Q$6)*$L72^$Q$7</f>
        <v>0.564366226935314</v>
      </c>
      <c r="Q72" s="4" t="n">
        <f aca="false">P72/$K72</f>
        <v>0.842337652142259</v>
      </c>
      <c r="S72" s="4" t="n">
        <f aca="false">$T$2*$B72^$T$3*$L72^$T$4*($T$5*$I72^$T$6+$T$7)</f>
        <v>0.566714120802871</v>
      </c>
      <c r="T72" s="4" t="n">
        <f aca="false">S72/$K72</f>
        <v>0.845841971347569</v>
      </c>
      <c r="V72" s="4"/>
      <c r="W72" s="4"/>
    </row>
    <row r="73" customFormat="false" ht="14.25" hidden="false" customHeight="false" outlineLevel="0" collapsed="false">
      <c r="A73" s="1" t="s">
        <v>35</v>
      </c>
      <c r="B73" s="2" t="n">
        <v>25</v>
      </c>
      <c r="C73" s="3" t="n">
        <v>500</v>
      </c>
      <c r="D73" s="3" t="n">
        <v>4</v>
      </c>
      <c r="E73" s="2" t="n">
        <v>62</v>
      </c>
      <c r="F73" s="4" t="n">
        <v>2.69332921131829</v>
      </c>
      <c r="G73" s="2" t="n">
        <v>20</v>
      </c>
      <c r="H73" s="2" t="n">
        <v>40.5</v>
      </c>
      <c r="I73" s="5" t="n">
        <v>0.0554215167548501</v>
      </c>
      <c r="J73" s="4" t="n">
        <v>173.788819028999</v>
      </c>
      <c r="K73" s="4" t="n">
        <v>0.27</v>
      </c>
      <c r="L73" s="6" t="n">
        <f aca="false">J73/200000</f>
        <v>0.000868944095144993</v>
      </c>
      <c r="P73" s="4" t="n">
        <f aca="false">$Q$2*($Q$3*$G73+$Q$4*$B73^$Q$5*$I73^$Q$6)*$L73^$Q$7</f>
        <v>0.232788996511658</v>
      </c>
      <c r="Q73" s="4" t="n">
        <f aca="false">P73/$K73</f>
        <v>0.862181468561697</v>
      </c>
      <c r="S73" s="4" t="n">
        <f aca="false">$T$2*$B73^$T$3*$L73^$T$4*($T$5*$I73^$T$6+$T$7)</f>
        <v>0.229838243997235</v>
      </c>
      <c r="T73" s="4" t="n">
        <f aca="false">S73/$K73</f>
        <v>0.851252755545313</v>
      </c>
      <c r="V73" s="4"/>
      <c r="W73" s="4"/>
    </row>
    <row r="74" customFormat="false" ht="14.25" hidden="false" customHeight="false" outlineLevel="0" collapsed="false">
      <c r="B74" s="2" t="n">
        <v>25</v>
      </c>
      <c r="C74" s="3" t="n">
        <v>500</v>
      </c>
      <c r="D74" s="3" t="n">
        <v>4</v>
      </c>
      <c r="E74" s="2" t="n">
        <v>62</v>
      </c>
      <c r="F74" s="4" t="n">
        <v>2.69332921131829</v>
      </c>
      <c r="G74" s="2" t="n">
        <v>20</v>
      </c>
      <c r="H74" s="2" t="n">
        <v>40.5</v>
      </c>
      <c r="I74" s="5" t="n">
        <v>0.0554215167548501</v>
      </c>
      <c r="J74" s="4" t="n">
        <v>293.989232625486</v>
      </c>
      <c r="K74" s="4" t="n">
        <v>0.4</v>
      </c>
      <c r="L74" s="6" t="n">
        <f aca="false">J74/200000</f>
        <v>0.00146994616312743</v>
      </c>
      <c r="P74" s="4" t="n">
        <f aca="false">$Q$2*($Q$3*$G74+$Q$4*$B74^$Q$5*$I74^$Q$6)*$L74^$Q$7</f>
        <v>0.361647849390213</v>
      </c>
      <c r="Q74" s="4" t="n">
        <f aca="false">P74/$K74</f>
        <v>0.904119623475533</v>
      </c>
      <c r="S74" s="4" t="n">
        <f aca="false">$T$2*$B74^$T$3*$L74^$T$4*($T$5*$I74^$T$6+$T$7)</f>
        <v>0.360079740562899</v>
      </c>
      <c r="T74" s="4" t="n">
        <f aca="false">S74/$K74</f>
        <v>0.900199351407248</v>
      </c>
      <c r="V74" s="4"/>
      <c r="W74" s="4"/>
    </row>
    <row r="75" customFormat="false" ht="14.25" hidden="false" customHeight="false" outlineLevel="0" collapsed="false">
      <c r="B75" s="2" t="n">
        <v>25</v>
      </c>
      <c r="C75" s="3" t="n">
        <v>500</v>
      </c>
      <c r="D75" s="3" t="n">
        <v>4</v>
      </c>
      <c r="E75" s="2" t="n">
        <v>62</v>
      </c>
      <c r="F75" s="4" t="n">
        <v>2.69332921131829</v>
      </c>
      <c r="G75" s="2" t="n">
        <v>20</v>
      </c>
      <c r="H75" s="2" t="n">
        <v>40.5</v>
      </c>
      <c r="I75" s="5" t="n">
        <v>0.0554215167548501</v>
      </c>
      <c r="J75" s="4" t="n">
        <v>414.189646221972</v>
      </c>
      <c r="K75" s="4" t="n">
        <v>0.53</v>
      </c>
      <c r="L75" s="6" t="n">
        <f aca="false">J75/200000</f>
        <v>0.00207094823110986</v>
      </c>
      <c r="P75" s="4" t="n">
        <f aca="false">$Q$2*($Q$3*$G75+$Q$4*$B75^$Q$5*$I75^$Q$6)*$L75^$Q$7</f>
        <v>0.481988986531181</v>
      </c>
      <c r="Q75" s="4" t="n">
        <f aca="false">P75/$K75</f>
        <v>0.909413182134304</v>
      </c>
      <c r="S75" s="4" t="n">
        <f aca="false">$T$2*$B75^$T$3*$L75^$T$4*($T$5*$I75^$T$6+$T$7)</f>
        <v>0.482538311199423</v>
      </c>
      <c r="T75" s="4" t="n">
        <f aca="false">S75/$K75</f>
        <v>0.910449643772497</v>
      </c>
      <c r="V75" s="4"/>
      <c r="W75" s="4"/>
    </row>
    <row r="76" customFormat="false" ht="14.25" hidden="false" customHeight="false" outlineLevel="0" collapsed="false">
      <c r="B76" s="2" t="n">
        <v>25</v>
      </c>
      <c r="C76" s="3" t="n">
        <v>500</v>
      </c>
      <c r="D76" s="3" t="n">
        <v>4</v>
      </c>
      <c r="E76" s="2" t="n">
        <v>62</v>
      </c>
      <c r="F76" s="4" t="n">
        <v>2.69332921131829</v>
      </c>
      <c r="G76" s="2" t="n">
        <v>20</v>
      </c>
      <c r="H76" s="2" t="n">
        <v>40.5</v>
      </c>
      <c r="I76" s="5" t="n">
        <v>0.0554215167548501</v>
      </c>
      <c r="J76" s="4" t="n">
        <v>500</v>
      </c>
      <c r="K76" s="4" t="n">
        <v>0.72</v>
      </c>
      <c r="L76" s="6" t="n">
        <f aca="false">J76/200000</f>
        <v>0.0025</v>
      </c>
      <c r="P76" s="4" t="n">
        <f aca="false">$Q$2*($Q$3*$G76+$Q$4*$B76^$Q$5*$I76^$Q$6)*$L76^$Q$7</f>
        <v>0.564366226935314</v>
      </c>
      <c r="Q76" s="4" t="n">
        <f aca="false">P76/$K76</f>
        <v>0.783841981854603</v>
      </c>
      <c r="S76" s="4" t="n">
        <f aca="false">$T$2*$B76^$T$3*$L76^$T$4*($T$5*$I76^$T$6+$T$7)</f>
        <v>0.566714120802871</v>
      </c>
      <c r="T76" s="4" t="n">
        <f aca="false">S76/$K76</f>
        <v>0.787102945559544</v>
      </c>
      <c r="V76" s="4"/>
      <c r="W76" s="4"/>
    </row>
    <row r="77" customFormat="false" ht="14.25" hidden="false" customHeight="false" outlineLevel="0" collapsed="false">
      <c r="A77" s="1" t="s">
        <v>36</v>
      </c>
      <c r="B77" s="2" t="n">
        <v>25</v>
      </c>
      <c r="C77" s="3" t="n">
        <v>500</v>
      </c>
      <c r="D77" s="3" t="n">
        <v>4</v>
      </c>
      <c r="E77" s="2" t="n">
        <v>28.7</v>
      </c>
      <c r="F77" s="4" t="n">
        <v>2.69332921131829</v>
      </c>
      <c r="G77" s="2" t="n">
        <v>70</v>
      </c>
      <c r="H77" s="2" t="n">
        <v>94.5</v>
      </c>
      <c r="I77" s="5" t="n">
        <v>0.0526205961457496</v>
      </c>
      <c r="J77" s="4" t="n">
        <v>80.8215051720388</v>
      </c>
      <c r="K77" s="4" t="n">
        <v>0.3</v>
      </c>
      <c r="L77" s="6" t="n">
        <f aca="false">J77/200000</f>
        <v>0.000404107525860194</v>
      </c>
      <c r="P77" s="4" t="n">
        <f aca="false">$Q$2*($Q$3*$G77+$Q$4*$B77^$Q$5*$I77^$Q$6)*$L77^$Q$7</f>
        <v>0.127089771845834</v>
      </c>
      <c r="Q77" s="4" t="n">
        <f aca="false">P77/$K77</f>
        <v>0.423632572819447</v>
      </c>
      <c r="S77" s="4" t="n">
        <f aca="false">$T$2*$B77^$T$3*$L77^$T$4*($T$5*$I77^$T$6+$T$7)</f>
        <v>0.122446692897195</v>
      </c>
      <c r="T77" s="4" t="n">
        <f aca="false">S77/$K77</f>
        <v>0.40815564299065</v>
      </c>
      <c r="V77" s="4"/>
      <c r="W77" s="4"/>
    </row>
    <row r="78" customFormat="false" ht="14.25" hidden="false" customHeight="false" outlineLevel="0" collapsed="false">
      <c r="B78" s="2" t="n">
        <v>25</v>
      </c>
      <c r="C78" s="3" t="n">
        <v>500</v>
      </c>
      <c r="D78" s="3" t="n">
        <v>4</v>
      </c>
      <c r="E78" s="2" t="n">
        <v>28.7</v>
      </c>
      <c r="F78" s="4" t="n">
        <v>2.69332921131829</v>
      </c>
      <c r="G78" s="2" t="n">
        <v>70</v>
      </c>
      <c r="H78" s="2" t="n">
        <v>94.5</v>
      </c>
      <c r="I78" s="5" t="n">
        <v>0.0526205961457496</v>
      </c>
      <c r="J78" s="4" t="n">
        <v>211.123909217879</v>
      </c>
      <c r="K78" s="4" t="n">
        <v>0.57</v>
      </c>
      <c r="L78" s="6" t="n">
        <f aca="false">J78/200000</f>
        <v>0.0010556195460894</v>
      </c>
      <c r="P78" s="4" t="n">
        <f aca="false">$Q$2*($Q$3*$G78+$Q$4*$B78^$Q$5*$I78^$Q$6)*$L78^$Q$7</f>
        <v>0.284161597813791</v>
      </c>
      <c r="Q78" s="4" t="n">
        <f aca="false">P78/$K78</f>
        <v>0.498529118971564</v>
      </c>
      <c r="S78" s="4" t="n">
        <f aca="false">$T$2*$B78^$T$3*$L78^$T$4*($T$5*$I78^$T$6+$T$7)</f>
        <v>0.27801870352877</v>
      </c>
      <c r="T78" s="4" t="n">
        <f aca="false">S78/$K78</f>
        <v>0.487752111453982</v>
      </c>
      <c r="V78" s="4"/>
      <c r="W78" s="4"/>
    </row>
    <row r="79" customFormat="false" ht="14.25" hidden="false" customHeight="false" outlineLevel="0" collapsed="false">
      <c r="A79" s="1" t="s">
        <v>37</v>
      </c>
      <c r="B79" s="2" t="n">
        <v>25</v>
      </c>
      <c r="C79" s="3" t="n">
        <v>500</v>
      </c>
      <c r="D79" s="3" t="n">
        <v>4</v>
      </c>
      <c r="E79" s="2" t="n">
        <v>28.7</v>
      </c>
      <c r="F79" s="4" t="n">
        <v>2.69332921131829</v>
      </c>
      <c r="G79" s="2" t="n">
        <v>70</v>
      </c>
      <c r="H79" s="2" t="n">
        <v>90.5</v>
      </c>
      <c r="I79" s="5" t="n">
        <v>0.0527679417075151</v>
      </c>
      <c r="J79" s="4" t="n">
        <v>79.4732065509</v>
      </c>
      <c r="K79" s="4" t="n">
        <v>0.26</v>
      </c>
      <c r="L79" s="6" t="n">
        <f aca="false">J79/200000</f>
        <v>0.0003973660327545</v>
      </c>
      <c r="P79" s="4" t="n">
        <f aca="false">$Q$2*($Q$3*$G79+$Q$4*$B79^$Q$5*$I79^$Q$6)*$L79^$Q$7</f>
        <v>0.125139929922852</v>
      </c>
      <c r="Q79" s="4" t="n">
        <f aca="false">P79/$K79</f>
        <v>0.481307422780199</v>
      </c>
      <c r="S79" s="4" t="n">
        <f aca="false">$T$2*$B79^$T$3*$L79^$T$4*($T$5*$I79^$T$6+$T$7)</f>
        <v>0.120542360616375</v>
      </c>
      <c r="T79" s="4" t="n">
        <f aca="false">S79/$K79</f>
        <v>0.463624463909135</v>
      </c>
      <c r="V79" s="4"/>
      <c r="W79" s="4"/>
    </row>
    <row r="80" customFormat="false" ht="14.25" hidden="false" customHeight="false" outlineLevel="0" collapsed="false">
      <c r="B80" s="2" t="n">
        <v>25</v>
      </c>
      <c r="C80" s="3" t="n">
        <v>500</v>
      </c>
      <c r="D80" s="3" t="n">
        <v>4</v>
      </c>
      <c r="E80" s="2" t="n">
        <v>28.7</v>
      </c>
      <c r="F80" s="4" t="n">
        <v>2.69332921131829</v>
      </c>
      <c r="G80" s="2" t="n">
        <v>70</v>
      </c>
      <c r="H80" s="2" t="n">
        <v>90.5</v>
      </c>
      <c r="I80" s="5" t="n">
        <v>0.0527679417075151</v>
      </c>
      <c r="J80" s="4" t="n">
        <v>207.908199628932</v>
      </c>
      <c r="K80" s="4" t="n">
        <v>0.6</v>
      </c>
      <c r="L80" s="6" t="n">
        <f aca="false">J80/200000</f>
        <v>0.00103954099814466</v>
      </c>
      <c r="P80" s="4" t="n">
        <f aca="false">$Q$2*($Q$3*$G80+$Q$4*$B80^$Q$5*$I80^$Q$6)*$L80^$Q$7</f>
        <v>0.280147883795045</v>
      </c>
      <c r="Q80" s="4" t="n">
        <f aca="false">P80/$K80</f>
        <v>0.466913139658408</v>
      </c>
      <c r="S80" s="4" t="n">
        <f aca="false">$T$2*$B80^$T$3*$L80^$T$4*($T$5*$I80^$T$6+$T$7)</f>
        <v>0.274039738862921</v>
      </c>
      <c r="T80" s="4" t="n">
        <f aca="false">S80/$K80</f>
        <v>0.456732898104869</v>
      </c>
      <c r="V80" s="4"/>
      <c r="W80" s="4"/>
    </row>
    <row r="81" customFormat="false" ht="14.25" hidden="false" customHeight="false" outlineLevel="0" collapsed="false">
      <c r="A81" s="1" t="s">
        <v>38</v>
      </c>
      <c r="B81" s="2" t="n">
        <v>25</v>
      </c>
      <c r="C81" s="3" t="n">
        <v>500</v>
      </c>
      <c r="D81" s="3" t="n">
        <v>4</v>
      </c>
      <c r="E81" s="2" t="n">
        <v>28.7</v>
      </c>
      <c r="F81" s="4" t="n">
        <v>2.69332921131829</v>
      </c>
      <c r="G81" s="2" t="n">
        <v>70</v>
      </c>
      <c r="H81" s="2" t="n">
        <v>90.5</v>
      </c>
      <c r="I81" s="5" t="n">
        <v>0.0527679417075151</v>
      </c>
      <c r="J81" s="4" t="n">
        <v>79.4732065509</v>
      </c>
      <c r="K81" s="4" t="n">
        <v>0.27</v>
      </c>
      <c r="L81" s="6" t="n">
        <f aca="false">J81/200000</f>
        <v>0.0003973660327545</v>
      </c>
      <c r="P81" s="4" t="n">
        <f aca="false">$Q$2*($Q$3*$G81+$Q$4*$B81^$Q$5*$I81^$Q$6)*$L81^$Q$7</f>
        <v>0.125139929922852</v>
      </c>
      <c r="Q81" s="4" t="n">
        <f aca="false">P81/$K81</f>
        <v>0.463481221936488</v>
      </c>
      <c r="S81" s="4" t="n">
        <f aca="false">$T$2*$B81^$T$3*$L81^$T$4*($T$5*$I81^$T$6+$T$7)</f>
        <v>0.120542360616375</v>
      </c>
      <c r="T81" s="4" t="n">
        <f aca="false">S81/$K81</f>
        <v>0.446453187468056</v>
      </c>
      <c r="V81" s="4"/>
      <c r="W81" s="4"/>
    </row>
    <row r="82" customFormat="false" ht="14.25" hidden="false" customHeight="false" outlineLevel="0" collapsed="false">
      <c r="B82" s="2" t="n">
        <v>25</v>
      </c>
      <c r="C82" s="3" t="n">
        <v>500</v>
      </c>
      <c r="D82" s="3" t="n">
        <v>4</v>
      </c>
      <c r="E82" s="2" t="n">
        <v>28.7</v>
      </c>
      <c r="F82" s="4" t="n">
        <v>2.69332921131829</v>
      </c>
      <c r="G82" s="2" t="n">
        <v>70</v>
      </c>
      <c r="H82" s="2" t="n">
        <v>90.5</v>
      </c>
      <c r="I82" s="5" t="n">
        <v>0.0527679417075151</v>
      </c>
      <c r="J82" s="4" t="n">
        <v>207.908199628932</v>
      </c>
      <c r="K82" s="4" t="n">
        <v>0.59</v>
      </c>
      <c r="L82" s="6" t="n">
        <f aca="false">J82/200000</f>
        <v>0.00103954099814466</v>
      </c>
      <c r="P82" s="4" t="n">
        <f aca="false">$Q$2*($Q$3*$G82+$Q$4*$B82^$Q$5*$I82^$Q$6)*$L82^$Q$7</f>
        <v>0.280147883795045</v>
      </c>
      <c r="Q82" s="4" t="n">
        <f aca="false">P82/$K82</f>
        <v>0.474826921686516</v>
      </c>
      <c r="S82" s="4" t="n">
        <f aca="false">$T$2*$B82^$T$3*$L82^$T$4*($T$5*$I82^$T$6+$T$7)</f>
        <v>0.274039738862921</v>
      </c>
      <c r="T82" s="4" t="n">
        <f aca="false">S82/$K82</f>
        <v>0.464474133665968</v>
      </c>
      <c r="V82" s="4"/>
      <c r="W82" s="4"/>
    </row>
    <row r="83" customFormat="false" ht="14.25" hidden="false" customHeight="false" outlineLevel="0" collapsed="false">
      <c r="A83" s="1" t="s">
        <v>39</v>
      </c>
      <c r="B83" s="2" t="n">
        <v>9.52</v>
      </c>
      <c r="C83" s="3" t="n">
        <v>434</v>
      </c>
      <c r="D83" s="3" t="n">
        <v>3</v>
      </c>
      <c r="E83" s="2" t="n">
        <v>22.2</v>
      </c>
      <c r="F83" s="4" t="n">
        <v>3.56416000199951</v>
      </c>
      <c r="G83" s="2" t="n">
        <v>20.64</v>
      </c>
      <c r="H83" s="2" t="n">
        <v>25.4</v>
      </c>
      <c r="I83" s="5" t="n">
        <v>0.0324485100999475</v>
      </c>
      <c r="J83" s="4" t="n">
        <v>246.112947502542</v>
      </c>
      <c r="K83" s="4" t="n">
        <v>0.15</v>
      </c>
      <c r="L83" s="6" t="n">
        <f aca="false">J83/200000</f>
        <v>0.00123056473751271</v>
      </c>
      <c r="P83" s="4" t="n">
        <f aca="false">$Q$2*($Q$3*$G83+$Q$4*$B83^$Q$5*$I83^$Q$6)*$L83^$Q$7</f>
        <v>0.140959365949466</v>
      </c>
      <c r="Q83" s="4" t="n">
        <f aca="false">P83/$K83</f>
        <v>0.93972910632977</v>
      </c>
      <c r="S83" s="4" t="n">
        <f aca="false">$T$2*$B83^$T$3*$L83^$T$4*($T$5*$I83^$T$6+$T$7)</f>
        <v>0.132666229996104</v>
      </c>
      <c r="T83" s="4" t="n">
        <f aca="false">S83/$K83</f>
        <v>0.884441533307357</v>
      </c>
      <c r="V83" s="4"/>
      <c r="W83" s="4"/>
    </row>
    <row r="84" customFormat="false" ht="14.25" hidden="false" customHeight="false" outlineLevel="0" collapsed="false">
      <c r="B84" s="2" t="n">
        <v>9.52</v>
      </c>
      <c r="C84" s="3" t="n">
        <v>434</v>
      </c>
      <c r="D84" s="3" t="n">
        <v>3</v>
      </c>
      <c r="E84" s="2" t="n">
        <v>22.2</v>
      </c>
      <c r="F84" s="4" t="n">
        <v>3.56416000199951</v>
      </c>
      <c r="G84" s="2" t="n">
        <v>20.64</v>
      </c>
      <c r="H84" s="2" t="n">
        <v>25.4</v>
      </c>
      <c r="I84" s="5" t="n">
        <v>0.0324485100999475</v>
      </c>
      <c r="J84" s="4" t="n">
        <v>307.810038560674</v>
      </c>
      <c r="K84" s="4" t="n">
        <v>0.17</v>
      </c>
      <c r="L84" s="6" t="n">
        <f aca="false">J84/200000</f>
        <v>0.00153905019280337</v>
      </c>
      <c r="P84" s="4" t="n">
        <f aca="false">$Q$2*($Q$3*$G84+$Q$4*$B84^$Q$5*$I84^$Q$6)*$L84^$Q$7</f>
        <v>0.170021650478674</v>
      </c>
      <c r="Q84" s="4" t="n">
        <f aca="false">P84/$K84</f>
        <v>1.0001273557569</v>
      </c>
      <c r="S84" s="4" t="n">
        <f aca="false">$T$2*$B84^$T$3*$L84^$T$4*($T$5*$I84^$T$6+$T$7)</f>
        <v>0.160592423152447</v>
      </c>
      <c r="T84" s="4" t="n">
        <f aca="false">S84/$K84</f>
        <v>0.944661312661452</v>
      </c>
      <c r="V84" s="4"/>
      <c r="W84" s="4"/>
    </row>
    <row r="85" customFormat="false" ht="14.25" hidden="false" customHeight="false" outlineLevel="0" collapsed="false">
      <c r="A85" s="1" t="s">
        <v>40</v>
      </c>
      <c r="B85" s="2" t="n">
        <v>12.7</v>
      </c>
      <c r="C85" s="3" t="n">
        <v>434</v>
      </c>
      <c r="D85" s="3" t="n">
        <v>3</v>
      </c>
      <c r="E85" s="2" t="n">
        <v>19.05</v>
      </c>
      <c r="F85" s="4" t="n">
        <v>3.97660816382294</v>
      </c>
      <c r="G85" s="2" t="n">
        <v>19.05</v>
      </c>
      <c r="H85" s="2" t="n">
        <v>25.4</v>
      </c>
      <c r="I85" s="5" t="n">
        <v>0.0642124745559393</v>
      </c>
      <c r="J85" s="4" t="n">
        <v>272.943318773327</v>
      </c>
      <c r="K85" s="4" t="n">
        <v>0.15</v>
      </c>
      <c r="L85" s="6" t="n">
        <f aca="false">J85/200000</f>
        <v>0.00136471659386664</v>
      </c>
      <c r="P85" s="4" t="n">
        <f aca="false">$Q$2*($Q$3*$G85+$Q$4*$B85^$Q$5*$I85^$Q$6)*$L85^$Q$7</f>
        <v>0.150556463154011</v>
      </c>
      <c r="Q85" s="4" t="n">
        <f aca="false">P85/$K85</f>
        <v>1.00370975436007</v>
      </c>
      <c r="S85" s="4" t="n">
        <f aca="false">$T$2*$B85^$T$3*$L85^$T$4*($T$5*$I85^$T$6+$T$7)</f>
        <v>0.145246159119859</v>
      </c>
      <c r="T85" s="4" t="n">
        <f aca="false">S85/$K85</f>
        <v>0.968307727465729</v>
      </c>
      <c r="V85" s="4"/>
      <c r="W85" s="4"/>
    </row>
    <row r="86" customFormat="false" ht="14.25" hidden="false" customHeight="false" outlineLevel="0" collapsed="false">
      <c r="B86" s="2" t="n">
        <v>12.7</v>
      </c>
      <c r="C86" s="3" t="n">
        <v>434</v>
      </c>
      <c r="D86" s="3" t="n">
        <v>3</v>
      </c>
      <c r="E86" s="2" t="n">
        <v>19.05</v>
      </c>
      <c r="F86" s="4" t="n">
        <v>3.97660816382294</v>
      </c>
      <c r="G86" s="2" t="n">
        <v>19.05</v>
      </c>
      <c r="H86" s="2" t="n">
        <v>25.4</v>
      </c>
      <c r="I86" s="5" t="n">
        <v>0.0642124745559393</v>
      </c>
      <c r="J86" s="4" t="n">
        <v>325.358593002644</v>
      </c>
      <c r="K86" s="4" t="n">
        <v>0.17</v>
      </c>
      <c r="L86" s="6" t="n">
        <f aca="false">J86/200000</f>
        <v>0.00162679296501322</v>
      </c>
      <c r="P86" s="4" t="n">
        <f aca="false">$Q$2*($Q$3*$G86+$Q$4*$B86^$Q$5*$I86^$Q$6)*$L86^$Q$7</f>
        <v>0.174433649606217</v>
      </c>
      <c r="Q86" s="4" t="n">
        <f aca="false">P86/$K86</f>
        <v>1.02608029180128</v>
      </c>
      <c r="S86" s="4" t="n">
        <f aca="false">$T$2*$B86^$T$3*$L86^$T$4*($T$5*$I86^$T$6+$T$7)</f>
        <v>0.168754808861436</v>
      </c>
      <c r="T86" s="4" t="n">
        <f aca="false">S86/$K86</f>
        <v>0.992675346243743</v>
      </c>
      <c r="V86" s="4"/>
      <c r="W86" s="4"/>
    </row>
    <row r="87" customFormat="false" ht="14.25" hidden="false" customHeight="false" outlineLevel="0" collapsed="false">
      <c r="B87" s="2" t="n">
        <v>12.7</v>
      </c>
      <c r="C87" s="3" t="n">
        <v>434</v>
      </c>
      <c r="D87" s="3" t="n">
        <v>3</v>
      </c>
      <c r="E87" s="2" t="n">
        <v>19.05</v>
      </c>
      <c r="F87" s="4" t="n">
        <v>3.97660816382294</v>
      </c>
      <c r="G87" s="2" t="n">
        <v>19.05</v>
      </c>
      <c r="H87" s="2" t="n">
        <v>25.4</v>
      </c>
      <c r="I87" s="5" t="n">
        <v>0.0642124745559393</v>
      </c>
      <c r="J87" s="4" t="n">
        <v>399.754466102319</v>
      </c>
      <c r="K87" s="4" t="n">
        <v>0.2</v>
      </c>
      <c r="L87" s="6" t="n">
        <f aca="false">J87/200000</f>
        <v>0.0019987723305116</v>
      </c>
      <c r="P87" s="4" t="n">
        <f aca="false">$Q$2*($Q$3*$G87+$Q$4*$B87^$Q$5*$I87^$Q$6)*$L87^$Q$7</f>
        <v>0.207287675571588</v>
      </c>
      <c r="Q87" s="4" t="n">
        <f aca="false">P87/$K87</f>
        <v>1.03643837785794</v>
      </c>
      <c r="S87" s="4" t="n">
        <f aca="false">$T$2*$B87^$T$3*$L87^$T$4*($T$5*$I87^$T$6+$T$7)</f>
        <v>0.201201061764908</v>
      </c>
      <c r="T87" s="4" t="n">
        <f aca="false">S87/$K87</f>
        <v>1.00600530882454</v>
      </c>
      <c r="V87" s="4"/>
      <c r="W87" s="4"/>
    </row>
    <row r="88" customFormat="false" ht="14.25" hidden="false" customHeight="false" outlineLevel="0" collapsed="false">
      <c r="A88" s="1" t="s">
        <v>41</v>
      </c>
      <c r="B88" s="2" t="n">
        <v>15.9</v>
      </c>
      <c r="C88" s="3" t="n">
        <v>540</v>
      </c>
      <c r="D88" s="3" t="n">
        <v>3</v>
      </c>
      <c r="E88" s="2" t="n">
        <v>15.9</v>
      </c>
      <c r="F88" s="4" t="n">
        <v>3.97660816382294</v>
      </c>
      <c r="G88" s="2" t="n">
        <v>17.46</v>
      </c>
      <c r="H88" s="2" t="n">
        <v>25.4</v>
      </c>
      <c r="I88" s="5" t="n">
        <v>0.108350675635655</v>
      </c>
      <c r="J88" s="4" t="n">
        <v>266.878073760297</v>
      </c>
      <c r="K88" s="4" t="n">
        <v>0.16</v>
      </c>
      <c r="L88" s="6" t="n">
        <f aca="false">J88/200000</f>
        <v>0.00133439036880149</v>
      </c>
      <c r="P88" s="4" t="n">
        <f aca="false">$Q$2*($Q$3*$G88+$Q$4*$B88^$Q$5*$I88^$Q$6)*$L88^$Q$7</f>
        <v>0.145980756805842</v>
      </c>
      <c r="Q88" s="4" t="n">
        <f aca="false">P88/$K88</f>
        <v>0.912379730036515</v>
      </c>
      <c r="S88" s="4" t="n">
        <f aca="false">$T$2*$B88^$T$3*$L88^$T$4*($T$5*$I88^$T$6+$T$7)</f>
        <v>0.148185872497074</v>
      </c>
      <c r="T88" s="4" t="n">
        <f aca="false">S88/$K88</f>
        <v>0.926161703106715</v>
      </c>
      <c r="V88" s="4"/>
      <c r="W88" s="4"/>
    </row>
    <row r="89" customFormat="false" ht="14.25" hidden="false" customHeight="false" outlineLevel="0" collapsed="false">
      <c r="B89" s="2" t="n">
        <v>15.9</v>
      </c>
      <c r="C89" s="3" t="n">
        <v>540</v>
      </c>
      <c r="D89" s="3" t="n">
        <v>3</v>
      </c>
      <c r="E89" s="2" t="n">
        <v>15.9</v>
      </c>
      <c r="F89" s="4" t="n">
        <v>3.97660816382294</v>
      </c>
      <c r="G89" s="2" t="n">
        <v>17.46</v>
      </c>
      <c r="H89" s="2" t="n">
        <v>25.4</v>
      </c>
      <c r="I89" s="5" t="n">
        <v>0.108350675635655</v>
      </c>
      <c r="J89" s="4" t="n">
        <v>368.253712507443</v>
      </c>
      <c r="K89" s="4" t="n">
        <v>0.21</v>
      </c>
      <c r="L89" s="6" t="n">
        <f aca="false">J89/200000</f>
        <v>0.00184126856253721</v>
      </c>
      <c r="P89" s="4" t="n">
        <f aca="false">$Q$2*($Q$3*$G89+$Q$4*$B89^$Q$5*$I89^$Q$6)*$L89^$Q$7</f>
        <v>0.191195076061432</v>
      </c>
      <c r="Q89" s="4" t="n">
        <f aca="false">P89/$K89</f>
        <v>0.910452743149675</v>
      </c>
      <c r="S89" s="4" t="n">
        <f aca="false">$T$2*$B89^$T$3*$L89^$T$4*($T$5*$I89^$T$6+$T$7)</f>
        <v>0.195085612748329</v>
      </c>
      <c r="T89" s="4" t="n">
        <f aca="false">S89/$K89</f>
        <v>0.928979108325374</v>
      </c>
      <c r="V89" s="4"/>
      <c r="W89" s="4"/>
    </row>
    <row r="90" customFormat="false" ht="14.25" hidden="false" customHeight="false" outlineLevel="0" collapsed="false">
      <c r="A90" s="1" t="s">
        <v>42</v>
      </c>
      <c r="B90" s="2" t="n">
        <v>16</v>
      </c>
      <c r="C90" s="3" t="n">
        <v>500</v>
      </c>
      <c r="D90" s="3" t="n">
        <v>2</v>
      </c>
      <c r="E90" s="2" t="n">
        <v>138</v>
      </c>
      <c r="F90" s="4" t="n">
        <v>3.269</v>
      </c>
      <c r="G90" s="2" t="n">
        <v>40</v>
      </c>
      <c r="H90" s="2" t="n">
        <v>48</v>
      </c>
      <c r="I90" s="5" t="n">
        <v>0.0174790978884179</v>
      </c>
      <c r="J90" s="4" t="n">
        <v>58.4932810293596</v>
      </c>
      <c r="K90" s="4" t="n">
        <v>0.15</v>
      </c>
      <c r="L90" s="6" t="n">
        <f aca="false">J90/200000</f>
        <v>0.000292466405146798</v>
      </c>
      <c r="P90" s="4" t="n">
        <f aca="false">$Q$2*($Q$3*$G90+$Q$4*$B90^$Q$5*$I90^$Q$6)*$L90^$Q$7</f>
        <v>0.101572439099965</v>
      </c>
      <c r="Q90" s="4" t="n">
        <f aca="false">P90/$K90</f>
        <v>0.677149593999764</v>
      </c>
      <c r="S90" s="4" t="n">
        <f aca="false">$T$2*$B90^$T$3*$L90^$T$4*($T$5*$I90^$T$6+$T$7)</f>
        <v>0.0985356181393677</v>
      </c>
      <c r="T90" s="4" t="n">
        <f aca="false">S90/$K90</f>
        <v>0.656904120929118</v>
      </c>
      <c r="V90" s="4"/>
      <c r="W90" s="4"/>
    </row>
    <row r="91" customFormat="false" ht="14.25" hidden="false" customHeight="false" outlineLevel="0" collapsed="false">
      <c r="B91" s="2" t="n">
        <v>16</v>
      </c>
      <c r="C91" s="3" t="n">
        <v>500</v>
      </c>
      <c r="D91" s="3" t="n">
        <v>2</v>
      </c>
      <c r="E91" s="2" t="n">
        <v>138</v>
      </c>
      <c r="F91" s="4" t="n">
        <v>3.269</v>
      </c>
      <c r="G91" s="2" t="n">
        <v>40</v>
      </c>
      <c r="H91" s="2" t="n">
        <v>48</v>
      </c>
      <c r="I91" s="5" t="n">
        <v>0.0174790978884179</v>
      </c>
      <c r="J91" s="4" t="n">
        <v>94.6583339778309</v>
      </c>
      <c r="K91" s="4" t="n">
        <v>0.2</v>
      </c>
      <c r="L91" s="6" t="n">
        <f aca="false">J91/200000</f>
        <v>0.000473291669889155</v>
      </c>
      <c r="P91" s="4" t="n">
        <f aca="false">$Q$2*($Q$3*$G91+$Q$4*$B91^$Q$5*$I91^$Q$6)*$L91^$Q$7</f>
        <v>0.15204151544277</v>
      </c>
      <c r="Q91" s="4" t="n">
        <f aca="false">P91/$K91</f>
        <v>0.760207577213849</v>
      </c>
      <c r="S91" s="4" t="n">
        <f aca="false">$T$2*$B91^$T$3*$L91^$T$4*($T$5*$I91^$T$6+$T$7)</f>
        <v>0.148636133558417</v>
      </c>
      <c r="T91" s="4" t="n">
        <f aca="false">S91/$K91</f>
        <v>0.743180667792086</v>
      </c>
      <c r="V91" s="4"/>
      <c r="W91" s="4"/>
    </row>
    <row r="92" customFormat="false" ht="14.25" hidden="false" customHeight="false" outlineLevel="0" collapsed="false">
      <c r="B92" s="2" t="n">
        <v>16</v>
      </c>
      <c r="C92" s="3" t="n">
        <v>500</v>
      </c>
      <c r="D92" s="3" t="n">
        <v>2</v>
      </c>
      <c r="E92" s="2" t="n">
        <v>138</v>
      </c>
      <c r="F92" s="4" t="n">
        <v>3.269</v>
      </c>
      <c r="G92" s="2" t="n">
        <v>40</v>
      </c>
      <c r="H92" s="2" t="n">
        <v>48</v>
      </c>
      <c r="I92" s="5" t="n">
        <v>0.0174790978884179</v>
      </c>
      <c r="J92" s="4" t="n">
        <v>132.936040117242</v>
      </c>
      <c r="K92" s="4" t="n">
        <v>0.25</v>
      </c>
      <c r="L92" s="6" t="n">
        <f aca="false">J92/200000</f>
        <v>0.000664680200586211</v>
      </c>
      <c r="P92" s="4" t="n">
        <f aca="false">$Q$2*($Q$3*$G92+$Q$4*$B92^$Q$5*$I92^$Q$6)*$L92^$Q$7</f>
        <v>0.202094122147539</v>
      </c>
      <c r="Q92" s="4" t="n">
        <f aca="false">P92/$K92</f>
        <v>0.808376488590158</v>
      </c>
      <c r="S92" s="4" t="n">
        <f aca="false">$T$2*$B92^$T$3*$L92^$T$4*($T$5*$I92^$T$6+$T$7)</f>
        <v>0.198644083491613</v>
      </c>
      <c r="T92" s="4" t="n">
        <f aca="false">S92/$K92</f>
        <v>0.794576333966452</v>
      </c>
      <c r="V92" s="4"/>
      <c r="W92" s="4"/>
    </row>
    <row r="93" customFormat="false" ht="14.25" hidden="false" customHeight="false" outlineLevel="0" collapsed="false">
      <c r="B93" s="2" t="n">
        <v>16</v>
      </c>
      <c r="C93" s="3" t="n">
        <v>500</v>
      </c>
      <c r="D93" s="3" t="n">
        <v>2</v>
      </c>
      <c r="E93" s="2" t="n">
        <v>138</v>
      </c>
      <c r="F93" s="4" t="n">
        <v>3.269</v>
      </c>
      <c r="G93" s="2" t="n">
        <v>40</v>
      </c>
      <c r="H93" s="2" t="n">
        <v>48</v>
      </c>
      <c r="I93" s="5" t="n">
        <v>0.0174790978884179</v>
      </c>
      <c r="J93" s="4" t="n">
        <v>171.148202239291</v>
      </c>
      <c r="K93" s="4" t="n">
        <v>0.28</v>
      </c>
      <c r="L93" s="6" t="n">
        <f aca="false">J93/200000</f>
        <v>0.000855741011196456</v>
      </c>
      <c r="P93" s="4" t="n">
        <f aca="false">$Q$2*($Q$3*$G93+$Q$4*$B93^$Q$5*$I93^$Q$6)*$L93^$Q$7</f>
        <v>0.249750916298487</v>
      </c>
      <c r="Q93" s="4" t="n">
        <f aca="false">P93/$K93</f>
        <v>0.891967558208884</v>
      </c>
      <c r="S93" s="4" t="n">
        <f aca="false">$T$2*$B93^$T$3*$L93^$T$4*($T$5*$I93^$T$6+$T$7)</f>
        <v>0.246481719998407</v>
      </c>
      <c r="T93" s="4" t="n">
        <f aca="false">S93/$K93</f>
        <v>0.880291857137167</v>
      </c>
      <c r="V93" s="4"/>
      <c r="W93" s="4"/>
    </row>
    <row r="94" customFormat="false" ht="14.25" hidden="false" customHeight="false" outlineLevel="0" collapsed="false">
      <c r="B94" s="2" t="n">
        <v>16</v>
      </c>
      <c r="C94" s="3" t="n">
        <v>500</v>
      </c>
      <c r="D94" s="3" t="n">
        <v>2</v>
      </c>
      <c r="E94" s="2" t="n">
        <v>138</v>
      </c>
      <c r="F94" s="4" t="n">
        <v>3.269</v>
      </c>
      <c r="G94" s="2" t="n">
        <v>40</v>
      </c>
      <c r="H94" s="2" t="n">
        <v>48</v>
      </c>
      <c r="I94" s="5" t="n">
        <v>0.0174790978884179</v>
      </c>
      <c r="J94" s="4" t="n">
        <v>209.360364361341</v>
      </c>
      <c r="K94" s="4" t="n">
        <v>0.28</v>
      </c>
      <c r="L94" s="6" t="n">
        <f aca="false">J94/200000</f>
        <v>0.0010468018218067</v>
      </c>
      <c r="P94" s="4" t="n">
        <f aca="false">$Q$2*($Q$3*$G94+$Q$4*$B94^$Q$5*$I94^$Q$6)*$L94^$Q$7</f>
        <v>0.295699527143125</v>
      </c>
      <c r="Q94" s="4" t="n">
        <f aca="false">P94/$K94</f>
        <v>1.05606973979688</v>
      </c>
      <c r="S94" s="4" t="n">
        <f aca="false">$T$2*$B94^$T$3*$L94^$T$4*($T$5*$I94^$T$6+$T$7)</f>
        <v>0.292771373169119</v>
      </c>
      <c r="T94" s="4" t="n">
        <f aca="false">S94/$K94</f>
        <v>1.04561204703257</v>
      </c>
      <c r="V94" s="4"/>
      <c r="W94" s="4"/>
    </row>
    <row r="95" customFormat="false" ht="14.25" hidden="false" customHeight="false" outlineLevel="0" collapsed="false">
      <c r="B95" s="2" t="n">
        <v>16</v>
      </c>
      <c r="C95" s="3" t="n">
        <v>500</v>
      </c>
      <c r="D95" s="3" t="n">
        <v>2</v>
      </c>
      <c r="E95" s="2" t="n">
        <v>138</v>
      </c>
      <c r="F95" s="4" t="n">
        <v>3.269</v>
      </c>
      <c r="G95" s="2" t="n">
        <v>40</v>
      </c>
      <c r="H95" s="2" t="n">
        <v>48</v>
      </c>
      <c r="I95" s="5" t="n">
        <v>0.0174790978884179</v>
      </c>
      <c r="J95" s="4" t="n">
        <v>247.638070500752</v>
      </c>
      <c r="K95" s="4" t="n">
        <v>0.3</v>
      </c>
      <c r="L95" s="6" t="n">
        <f aca="false">J95/200000</f>
        <v>0.00123819035250376</v>
      </c>
      <c r="P95" s="4" t="n">
        <f aca="false">$Q$2*($Q$3*$G95+$Q$4*$B95^$Q$5*$I95^$Q$6)*$L95^$Q$7</f>
        <v>0.340376884494914</v>
      </c>
      <c r="Q95" s="4" t="n">
        <f aca="false">P95/$K95</f>
        <v>1.13458961498305</v>
      </c>
      <c r="S95" s="4" t="n">
        <f aca="false">$T$2*$B95^$T$3*$L95^$T$4*($T$5*$I95^$T$6+$T$7)</f>
        <v>0.337912926520236</v>
      </c>
      <c r="T95" s="4" t="n">
        <f aca="false">S95/$K95</f>
        <v>1.12637642173412</v>
      </c>
      <c r="V95" s="4"/>
      <c r="W95" s="4"/>
    </row>
    <row r="96" customFormat="false" ht="14.25" hidden="false" customHeight="false" outlineLevel="0" collapsed="false">
      <c r="B96" s="2" t="n">
        <v>16</v>
      </c>
      <c r="C96" s="3" t="n">
        <v>500</v>
      </c>
      <c r="D96" s="3" t="n">
        <v>2</v>
      </c>
      <c r="E96" s="2" t="n">
        <v>138</v>
      </c>
      <c r="F96" s="4" t="n">
        <v>3.269</v>
      </c>
      <c r="G96" s="2" t="n">
        <v>40</v>
      </c>
      <c r="H96" s="2" t="n">
        <v>48</v>
      </c>
      <c r="I96" s="5" t="n">
        <v>0.0174790978884179</v>
      </c>
      <c r="J96" s="4" t="n">
        <v>285.915776640163</v>
      </c>
      <c r="K96" s="4" t="n">
        <v>0.33</v>
      </c>
      <c r="L96" s="6" t="n">
        <f aca="false">J96/200000</f>
        <v>0.00142957888320081</v>
      </c>
      <c r="P96" s="4" t="n">
        <f aca="false">$Q$2*($Q$3*$G96+$Q$4*$B96^$Q$5*$I96^$Q$6)*$L96^$Q$7</f>
        <v>0.383944643148079</v>
      </c>
      <c r="Q96" s="4" t="n">
        <f aca="false">P96/$K96</f>
        <v>1.16346861560024</v>
      </c>
      <c r="S96" s="4" t="n">
        <f aca="false">$T$2*$B96^$T$3*$L96^$T$4*($T$5*$I96^$T$6+$T$7)</f>
        <v>0.382042862787618</v>
      </c>
      <c r="T96" s="4" t="n">
        <f aca="false">S96/$K96</f>
        <v>1.15770564481096</v>
      </c>
      <c r="V96" s="4"/>
      <c r="W96" s="4"/>
    </row>
    <row r="97" customFormat="false" ht="14.25" hidden="false" customHeight="false" outlineLevel="0" collapsed="false">
      <c r="B97" s="2" t="n">
        <v>16</v>
      </c>
      <c r="C97" s="3" t="n">
        <v>500</v>
      </c>
      <c r="D97" s="3" t="n">
        <v>2</v>
      </c>
      <c r="E97" s="2" t="n">
        <v>138</v>
      </c>
      <c r="F97" s="4" t="n">
        <v>3.269</v>
      </c>
      <c r="G97" s="2" t="n">
        <v>40</v>
      </c>
      <c r="H97" s="2" t="n">
        <v>48</v>
      </c>
      <c r="I97" s="5" t="n">
        <v>0.0174790978884179</v>
      </c>
      <c r="J97" s="4" t="n">
        <v>324.06239474485</v>
      </c>
      <c r="K97" s="4" t="n">
        <v>0.33</v>
      </c>
      <c r="L97" s="6" t="n">
        <f aca="false">J97/200000</f>
        <v>0.00162031197372425</v>
      </c>
      <c r="P97" s="4" t="n">
        <f aca="false">$Q$2*($Q$3*$G97+$Q$4*$B97^$Q$5*$I97^$Q$6)*$L97^$Q$7</f>
        <v>0.426430113339339</v>
      </c>
      <c r="Q97" s="4" t="n">
        <f aca="false">P97/$K97</f>
        <v>1.29221246466466</v>
      </c>
      <c r="S97" s="4" t="n">
        <f aca="false">$T$2*$B97^$T$3*$L97^$T$4*($T$5*$I97^$T$6+$T$7)</f>
        <v>0.425169000520165</v>
      </c>
      <c r="T97" s="4" t="n">
        <f aca="false">S97/$K97</f>
        <v>1.28839091066717</v>
      </c>
      <c r="V97" s="4"/>
      <c r="W97" s="4"/>
    </row>
    <row r="98" customFormat="false" ht="14.25" hidden="false" customHeight="false" outlineLevel="0" collapsed="false">
      <c r="A98" s="1" t="s">
        <v>43</v>
      </c>
      <c r="B98" s="2" t="n">
        <v>16</v>
      </c>
      <c r="C98" s="3" t="n">
        <v>500</v>
      </c>
      <c r="D98" s="3" t="n">
        <v>2</v>
      </c>
      <c r="E98" s="2" t="n">
        <v>138</v>
      </c>
      <c r="F98" s="4" t="n">
        <v>3.269</v>
      </c>
      <c r="G98" s="2" t="n">
        <v>40</v>
      </c>
      <c r="H98" s="2" t="n">
        <v>48</v>
      </c>
      <c r="I98" s="5" t="n">
        <v>0.0174790978884179</v>
      </c>
      <c r="J98" s="4" t="n">
        <v>94.6583339778309</v>
      </c>
      <c r="K98" s="4" t="n">
        <v>0.15</v>
      </c>
      <c r="L98" s="6" t="n">
        <f aca="false">J98/200000</f>
        <v>0.000473291669889155</v>
      </c>
      <c r="P98" s="4" t="n">
        <f aca="false">$Q$2*($Q$3*$G98+$Q$4*$B98^$Q$5*$I98^$Q$6)*$L98^$Q$7</f>
        <v>0.15204151544277</v>
      </c>
      <c r="Q98" s="4" t="n">
        <f aca="false">P98/$K98</f>
        <v>1.0136101029518</v>
      </c>
      <c r="S98" s="4" t="n">
        <f aca="false">$T$2*$B98^$T$3*$L98^$T$4*($T$5*$I98^$T$6+$T$7)</f>
        <v>0.148636133558417</v>
      </c>
      <c r="T98" s="4" t="n">
        <f aca="false">S98/$K98</f>
        <v>0.990907557056114</v>
      </c>
      <c r="V98" s="4"/>
      <c r="W98" s="4"/>
    </row>
    <row r="99" customFormat="false" ht="14.25" hidden="false" customHeight="false" outlineLevel="0" collapsed="false">
      <c r="B99" s="2" t="n">
        <v>16</v>
      </c>
      <c r="C99" s="3" t="n">
        <v>500</v>
      </c>
      <c r="D99" s="3" t="n">
        <v>2</v>
      </c>
      <c r="E99" s="2" t="n">
        <v>138</v>
      </c>
      <c r="F99" s="4" t="n">
        <v>3.269</v>
      </c>
      <c r="G99" s="2" t="n">
        <v>40</v>
      </c>
      <c r="H99" s="2" t="n">
        <v>48</v>
      </c>
      <c r="I99" s="5" t="n">
        <v>0.0174790978884179</v>
      </c>
      <c r="J99" s="4" t="n">
        <v>132.936040117242</v>
      </c>
      <c r="K99" s="4" t="n">
        <v>0.18</v>
      </c>
      <c r="L99" s="6" t="n">
        <f aca="false">J99/200000</f>
        <v>0.000664680200586211</v>
      </c>
      <c r="P99" s="4" t="n">
        <f aca="false">$Q$2*($Q$3*$G99+$Q$4*$B99^$Q$5*$I99^$Q$6)*$L99^$Q$7</f>
        <v>0.202094122147539</v>
      </c>
      <c r="Q99" s="4" t="n">
        <f aca="false">P99/$K99</f>
        <v>1.12274512304189</v>
      </c>
      <c r="S99" s="4" t="n">
        <f aca="false">$T$2*$B99^$T$3*$L99^$T$4*($T$5*$I99^$T$6+$T$7)</f>
        <v>0.198644083491613</v>
      </c>
      <c r="T99" s="4" t="n">
        <f aca="false">S99/$K99</f>
        <v>1.10357824162007</v>
      </c>
      <c r="V99" s="4"/>
      <c r="W99" s="4"/>
    </row>
    <row r="100" customFormat="false" ht="14.25" hidden="false" customHeight="false" outlineLevel="0" collapsed="false">
      <c r="B100" s="2" t="n">
        <v>16</v>
      </c>
      <c r="C100" s="3" t="n">
        <v>500</v>
      </c>
      <c r="D100" s="3" t="n">
        <v>2</v>
      </c>
      <c r="E100" s="2" t="n">
        <v>138</v>
      </c>
      <c r="F100" s="4" t="n">
        <v>3.269</v>
      </c>
      <c r="G100" s="2" t="n">
        <v>40</v>
      </c>
      <c r="H100" s="2" t="n">
        <v>48</v>
      </c>
      <c r="I100" s="5" t="n">
        <v>0.0174790978884179</v>
      </c>
      <c r="J100" s="4" t="n">
        <v>171.148202239291</v>
      </c>
      <c r="K100" s="4" t="n">
        <v>0.2</v>
      </c>
      <c r="L100" s="6" t="n">
        <f aca="false">J100/200000</f>
        <v>0.000855741011196456</v>
      </c>
      <c r="P100" s="4" t="n">
        <f aca="false">$Q$2*($Q$3*$G100+$Q$4*$B100^$Q$5*$I100^$Q$6)*$L100^$Q$7</f>
        <v>0.249750916298487</v>
      </c>
      <c r="Q100" s="4" t="n">
        <f aca="false">P100/$K100</f>
        <v>1.24875458149244</v>
      </c>
      <c r="S100" s="4" t="n">
        <f aca="false">$T$2*$B100^$T$3*$L100^$T$4*($T$5*$I100^$T$6+$T$7)</f>
        <v>0.246481719998407</v>
      </c>
      <c r="T100" s="4" t="n">
        <f aca="false">S100/$K100</f>
        <v>1.23240859999203</v>
      </c>
      <c r="V100" s="4"/>
      <c r="W100" s="4"/>
    </row>
    <row r="101" customFormat="false" ht="14.25" hidden="false" customHeight="false" outlineLevel="0" collapsed="false">
      <c r="B101" s="2" t="n">
        <v>16</v>
      </c>
      <c r="C101" s="3" t="n">
        <v>500</v>
      </c>
      <c r="D101" s="3" t="n">
        <v>2</v>
      </c>
      <c r="E101" s="2" t="n">
        <v>138</v>
      </c>
      <c r="F101" s="4" t="n">
        <v>3.269</v>
      </c>
      <c r="G101" s="2" t="n">
        <v>40</v>
      </c>
      <c r="H101" s="2" t="n">
        <v>48</v>
      </c>
      <c r="I101" s="5" t="n">
        <v>0.0174790978884179</v>
      </c>
      <c r="J101" s="4" t="n">
        <v>209.360364361341</v>
      </c>
      <c r="K101" s="4" t="n">
        <v>0.25</v>
      </c>
      <c r="L101" s="6" t="n">
        <f aca="false">J101/200000</f>
        <v>0.0010468018218067</v>
      </c>
      <c r="P101" s="4" t="n">
        <f aca="false">$Q$2*($Q$3*$G101+$Q$4*$B101^$Q$5*$I101^$Q$6)*$L101^$Q$7</f>
        <v>0.295699527143125</v>
      </c>
      <c r="Q101" s="4" t="n">
        <f aca="false">P101/$K101</f>
        <v>1.1827981085725</v>
      </c>
      <c r="S101" s="4" t="n">
        <f aca="false">$T$2*$B101^$T$3*$L101^$T$4*($T$5*$I101^$T$6+$T$7)</f>
        <v>0.292771373169119</v>
      </c>
      <c r="T101" s="4" t="n">
        <f aca="false">S101/$K101</f>
        <v>1.17108549267647</v>
      </c>
      <c r="V101" s="4"/>
      <c r="W101" s="4"/>
    </row>
    <row r="102" customFormat="false" ht="14.25" hidden="false" customHeight="false" outlineLevel="0" collapsed="false">
      <c r="B102" s="2" t="n">
        <v>16</v>
      </c>
      <c r="C102" s="3" t="n">
        <v>500</v>
      </c>
      <c r="D102" s="3" t="n">
        <v>2</v>
      </c>
      <c r="E102" s="2" t="n">
        <v>138</v>
      </c>
      <c r="F102" s="4" t="n">
        <v>3.269</v>
      </c>
      <c r="G102" s="2" t="n">
        <v>40</v>
      </c>
      <c r="H102" s="2" t="n">
        <v>48</v>
      </c>
      <c r="I102" s="5" t="n">
        <v>0.0174790978884179</v>
      </c>
      <c r="J102" s="4" t="n">
        <v>247.638070500752</v>
      </c>
      <c r="K102" s="4" t="n">
        <v>0.3</v>
      </c>
      <c r="L102" s="6" t="n">
        <f aca="false">J102/200000</f>
        <v>0.00123819035250376</v>
      </c>
      <c r="P102" s="4" t="n">
        <f aca="false">$Q$2*($Q$3*$G102+$Q$4*$B102^$Q$5*$I102^$Q$6)*$L102^$Q$7</f>
        <v>0.340376884494914</v>
      </c>
      <c r="Q102" s="4" t="n">
        <f aca="false">P102/$K102</f>
        <v>1.13458961498305</v>
      </c>
      <c r="S102" s="4" t="n">
        <f aca="false">$T$2*$B102^$T$3*$L102^$T$4*($T$5*$I102^$T$6+$T$7)</f>
        <v>0.337912926520236</v>
      </c>
      <c r="T102" s="4" t="n">
        <f aca="false">S102/$K102</f>
        <v>1.12637642173412</v>
      </c>
      <c r="V102" s="4"/>
      <c r="W102" s="4"/>
    </row>
    <row r="103" customFormat="false" ht="14.25" hidden="false" customHeight="false" outlineLevel="0" collapsed="false">
      <c r="B103" s="2" t="n">
        <v>16</v>
      </c>
      <c r="C103" s="3" t="n">
        <v>500</v>
      </c>
      <c r="D103" s="3" t="n">
        <v>2</v>
      </c>
      <c r="E103" s="2" t="n">
        <v>138</v>
      </c>
      <c r="F103" s="4" t="n">
        <v>3.269</v>
      </c>
      <c r="G103" s="2" t="n">
        <v>40</v>
      </c>
      <c r="H103" s="2" t="n">
        <v>48</v>
      </c>
      <c r="I103" s="5" t="n">
        <v>0.0174790978884179</v>
      </c>
      <c r="J103" s="4" t="n">
        <v>285.915776640163</v>
      </c>
      <c r="K103" s="4" t="n">
        <v>0.33</v>
      </c>
      <c r="L103" s="6" t="n">
        <f aca="false">J103/200000</f>
        <v>0.00142957888320081</v>
      </c>
      <c r="P103" s="4" t="n">
        <f aca="false">$Q$2*($Q$3*$G103+$Q$4*$B103^$Q$5*$I103^$Q$6)*$L103^$Q$7</f>
        <v>0.383944643148079</v>
      </c>
      <c r="Q103" s="4" t="n">
        <f aca="false">P103/$K103</f>
        <v>1.16346861560024</v>
      </c>
      <c r="S103" s="4" t="n">
        <f aca="false">$T$2*$B103^$T$3*$L103^$T$4*($T$5*$I103^$T$6+$T$7)</f>
        <v>0.382042862787618</v>
      </c>
      <c r="T103" s="4" t="n">
        <f aca="false">S103/$K103</f>
        <v>1.15770564481096</v>
      </c>
      <c r="V103" s="4"/>
      <c r="W103" s="4"/>
    </row>
    <row r="104" customFormat="false" ht="14.25" hidden="false" customHeight="false" outlineLevel="0" collapsed="false">
      <c r="B104" s="2" t="n">
        <v>16</v>
      </c>
      <c r="C104" s="3" t="n">
        <v>500</v>
      </c>
      <c r="D104" s="3" t="n">
        <v>2</v>
      </c>
      <c r="E104" s="2" t="n">
        <v>138</v>
      </c>
      <c r="F104" s="4" t="n">
        <v>3.269</v>
      </c>
      <c r="G104" s="2" t="n">
        <v>40</v>
      </c>
      <c r="H104" s="2" t="n">
        <v>48</v>
      </c>
      <c r="I104" s="5" t="n">
        <v>0.0174790978884179</v>
      </c>
      <c r="J104" s="4" t="n">
        <v>324.06239474485</v>
      </c>
      <c r="K104" s="4" t="n">
        <v>0.38</v>
      </c>
      <c r="L104" s="6" t="n">
        <f aca="false">J104/200000</f>
        <v>0.00162031197372425</v>
      </c>
      <c r="P104" s="4" t="n">
        <f aca="false">$Q$2*($Q$3*$G104+$Q$4*$B104^$Q$5*$I104^$Q$6)*$L104^$Q$7</f>
        <v>0.426430113339339</v>
      </c>
      <c r="Q104" s="4" t="n">
        <f aca="false">P104/$K104</f>
        <v>1.12218450878773</v>
      </c>
      <c r="S104" s="4" t="n">
        <f aca="false">$T$2*$B104^$T$3*$L104^$T$4*($T$5*$I104^$T$6+$T$7)</f>
        <v>0.425169000520165</v>
      </c>
      <c r="T104" s="4" t="n">
        <f aca="false">S104/$K104</f>
        <v>1.11886579084254</v>
      </c>
      <c r="V104" s="4"/>
      <c r="W104" s="4"/>
    </row>
    <row r="105" customFormat="false" ht="14.25" hidden="false" customHeight="false" outlineLevel="0" collapsed="false">
      <c r="A105" s="1" t="s">
        <v>44</v>
      </c>
      <c r="B105" s="2" t="n">
        <v>16</v>
      </c>
      <c r="C105" s="3" t="n">
        <v>500</v>
      </c>
      <c r="D105" s="3" t="n">
        <v>2</v>
      </c>
      <c r="E105" s="2" t="n">
        <v>168</v>
      </c>
      <c r="F105" s="4" t="n">
        <v>3.269</v>
      </c>
      <c r="G105" s="2" t="n">
        <v>25</v>
      </c>
      <c r="H105" s="2" t="n">
        <v>33</v>
      </c>
      <c r="I105" s="5" t="n">
        <v>0.0193939393939394</v>
      </c>
      <c r="J105" s="4" t="n">
        <v>104.892491898491</v>
      </c>
      <c r="K105" s="4" t="n">
        <v>0.15</v>
      </c>
      <c r="L105" s="6" t="n">
        <f aca="false">J105/200000</f>
        <v>0.000524462459492457</v>
      </c>
      <c r="P105" s="4" t="n">
        <f aca="false">$Q$2*($Q$3*$G105+$Q$4*$B105^$Q$5*$I105^$Q$6)*$L105^$Q$7</f>
        <v>0.156949644576352</v>
      </c>
      <c r="Q105" s="4" t="n">
        <f aca="false">P105/$K105</f>
        <v>1.04633096384234</v>
      </c>
      <c r="S105" s="4" t="n">
        <f aca="false">$T$2*$B105^$T$3*$L105^$T$4*($T$5*$I105^$T$6+$T$7)</f>
        <v>0.153094685163422</v>
      </c>
      <c r="T105" s="4" t="n">
        <f aca="false">S105/$K105</f>
        <v>1.02063123442281</v>
      </c>
      <c r="V105" s="4"/>
      <c r="W105" s="4"/>
    </row>
    <row r="106" customFormat="false" ht="14.25" hidden="false" customHeight="false" outlineLevel="0" collapsed="false">
      <c r="B106" s="2" t="n">
        <v>16</v>
      </c>
      <c r="C106" s="3" t="n">
        <v>500</v>
      </c>
      <c r="D106" s="3" t="n">
        <v>2</v>
      </c>
      <c r="E106" s="2" t="n">
        <v>168</v>
      </c>
      <c r="F106" s="4" t="n">
        <v>3.269</v>
      </c>
      <c r="G106" s="2" t="n">
        <v>25</v>
      </c>
      <c r="H106" s="2" t="n">
        <v>33</v>
      </c>
      <c r="I106" s="5" t="n">
        <v>0.0193939393939394</v>
      </c>
      <c r="J106" s="4" t="n">
        <v>142.140389915468</v>
      </c>
      <c r="K106" s="4" t="n">
        <v>0.18</v>
      </c>
      <c r="L106" s="6" t="n">
        <f aca="false">J106/200000</f>
        <v>0.000710701949577338</v>
      </c>
      <c r="P106" s="4" t="n">
        <f aca="false">$Q$2*($Q$3*$G106+$Q$4*$B106^$Q$5*$I106^$Q$6)*$L106^$Q$7</f>
        <v>0.202466788381497</v>
      </c>
      <c r="Q106" s="4" t="n">
        <f aca="false">P106/$K106</f>
        <v>1.12481549100832</v>
      </c>
      <c r="S106" s="4" t="n">
        <f aca="false">$T$2*$B106^$T$3*$L106^$T$4*($T$5*$I106^$T$6+$T$7)</f>
        <v>0.198456414618374</v>
      </c>
      <c r="T106" s="4" t="n">
        <f aca="false">S106/$K106</f>
        <v>1.10253563676875</v>
      </c>
      <c r="V106" s="4"/>
      <c r="W106" s="4"/>
    </row>
    <row r="107" customFormat="false" ht="14.25" hidden="false" customHeight="false" outlineLevel="0" collapsed="false">
      <c r="B107" s="2" t="n">
        <v>16</v>
      </c>
      <c r="C107" s="3" t="n">
        <v>500</v>
      </c>
      <c r="D107" s="3" t="n">
        <v>2</v>
      </c>
      <c r="E107" s="2" t="n">
        <v>168</v>
      </c>
      <c r="F107" s="4" t="n">
        <v>3.269</v>
      </c>
      <c r="G107" s="2" t="n">
        <v>25</v>
      </c>
      <c r="H107" s="2" t="n">
        <v>33</v>
      </c>
      <c r="I107" s="5" t="n">
        <v>0.0193939393939394</v>
      </c>
      <c r="J107" s="4" t="n">
        <v>179.324507285155</v>
      </c>
      <c r="K107" s="4" t="n">
        <v>0.2</v>
      </c>
      <c r="L107" s="6" t="n">
        <f aca="false">J107/200000</f>
        <v>0.000896622536425773</v>
      </c>
      <c r="P107" s="4" t="n">
        <f aca="false">$Q$2*($Q$3*$G107+$Q$4*$B107^$Q$5*$I107^$Q$6)*$L107^$Q$7</f>
        <v>0.245995153241955</v>
      </c>
      <c r="Q107" s="4" t="n">
        <f aca="false">P107/$K107</f>
        <v>1.22997576620977</v>
      </c>
      <c r="S107" s="4" t="n">
        <f aca="false">$T$2*$B107^$T$3*$L107^$T$4*($T$5*$I107^$T$6+$T$7)</f>
        <v>0.242020777486712</v>
      </c>
      <c r="T107" s="4" t="n">
        <f aca="false">S107/$K107</f>
        <v>1.21010388743356</v>
      </c>
      <c r="V107" s="4"/>
      <c r="W107" s="4"/>
    </row>
    <row r="108" customFormat="false" ht="14.25" hidden="false" customHeight="false" outlineLevel="0" collapsed="false">
      <c r="B108" s="2" t="n">
        <v>16</v>
      </c>
      <c r="C108" s="3" t="n">
        <v>500</v>
      </c>
      <c r="D108" s="3" t="n">
        <v>2</v>
      </c>
      <c r="E108" s="2" t="n">
        <v>168</v>
      </c>
      <c r="F108" s="4" t="n">
        <v>3.269</v>
      </c>
      <c r="G108" s="2" t="n">
        <v>25</v>
      </c>
      <c r="H108" s="2" t="n">
        <v>33</v>
      </c>
      <c r="I108" s="5" t="n">
        <v>0.0193939393939394</v>
      </c>
      <c r="J108" s="4" t="n">
        <v>216.508624654842</v>
      </c>
      <c r="K108" s="4" t="n">
        <v>0.23</v>
      </c>
      <c r="L108" s="6" t="n">
        <f aca="false">J108/200000</f>
        <v>0.00108254312327421</v>
      </c>
      <c r="P108" s="4" t="n">
        <f aca="false">$Q$2*($Q$3*$G108+$Q$4*$B108^$Q$5*$I108^$Q$6)*$L108^$Q$7</f>
        <v>0.288074452734244</v>
      </c>
      <c r="Q108" s="4" t="n">
        <f aca="false">P108/$K108</f>
        <v>1.25249762058367</v>
      </c>
      <c r="S108" s="4" t="n">
        <f aca="false">$T$2*$B108^$T$3*$L108^$T$4*($T$5*$I108^$T$6+$T$7)</f>
        <v>0.284276012959543</v>
      </c>
      <c r="T108" s="4" t="n">
        <f aca="false">S108/$K108</f>
        <v>1.23598266504149</v>
      </c>
      <c r="V108" s="4"/>
      <c r="W108" s="4"/>
    </row>
    <row r="109" customFormat="false" ht="14.25" hidden="false" customHeight="false" outlineLevel="0" collapsed="false">
      <c r="B109" s="2" t="n">
        <v>16</v>
      </c>
      <c r="C109" s="3" t="n">
        <v>500</v>
      </c>
      <c r="D109" s="3" t="n">
        <v>2</v>
      </c>
      <c r="E109" s="2" t="n">
        <v>168</v>
      </c>
      <c r="F109" s="4" t="n">
        <v>3.269</v>
      </c>
      <c r="G109" s="2" t="n">
        <v>25</v>
      </c>
      <c r="H109" s="2" t="n">
        <v>33</v>
      </c>
      <c r="I109" s="5" t="n">
        <v>0.0193939393939394</v>
      </c>
      <c r="J109" s="4" t="n">
        <v>253.756522671818</v>
      </c>
      <c r="K109" s="4" t="n">
        <v>0.25</v>
      </c>
      <c r="L109" s="6" t="n">
        <f aca="false">J109/200000</f>
        <v>0.00126878261335909</v>
      </c>
      <c r="P109" s="4" t="n">
        <f aca="false">$Q$2*($Q$3*$G109+$Q$4*$B109^$Q$5*$I109^$Q$6)*$L109^$Q$7</f>
        <v>0.329062317896222</v>
      </c>
      <c r="Q109" s="4" t="n">
        <f aca="false">P109/$K109</f>
        <v>1.31624927158489</v>
      </c>
      <c r="S109" s="4" t="n">
        <f aca="false">$T$2*$B109^$T$3*$L109^$T$4*($T$5*$I109^$T$6+$T$7)</f>
        <v>0.325549246847364</v>
      </c>
      <c r="T109" s="4" t="n">
        <f aca="false">S109/$K109</f>
        <v>1.30219698738945</v>
      </c>
      <c r="V109" s="4"/>
      <c r="W109" s="4"/>
    </row>
    <row r="110" customFormat="false" ht="14.25" hidden="false" customHeight="false" outlineLevel="0" collapsed="false">
      <c r="B110" s="2" t="n">
        <v>16</v>
      </c>
      <c r="C110" s="3" t="n">
        <v>500</v>
      </c>
      <c r="D110" s="3" t="n">
        <v>2</v>
      </c>
      <c r="E110" s="2" t="n">
        <v>168</v>
      </c>
      <c r="F110" s="4" t="n">
        <v>3.269</v>
      </c>
      <c r="G110" s="2" t="n">
        <v>25</v>
      </c>
      <c r="H110" s="2" t="n">
        <v>33</v>
      </c>
      <c r="I110" s="5" t="n">
        <v>0.0193939393939394</v>
      </c>
      <c r="J110" s="4" t="n">
        <v>291.004420688794</v>
      </c>
      <c r="K110" s="4" t="n">
        <v>0.3</v>
      </c>
      <c r="L110" s="6" t="n">
        <f aca="false">J110/200000</f>
        <v>0.00145502210344397</v>
      </c>
      <c r="P110" s="4" t="n">
        <f aca="false">$Q$2*($Q$3*$G110+$Q$4*$B110^$Q$5*$I110^$Q$6)*$L110^$Q$7</f>
        <v>0.3690832875332</v>
      </c>
      <c r="Q110" s="4" t="n">
        <f aca="false">P110/$K110</f>
        <v>1.23027762511067</v>
      </c>
      <c r="S110" s="4" t="n">
        <f aca="false">$T$2*$B110^$T$3*$L110^$T$4*($T$5*$I110^$T$6+$T$7)</f>
        <v>0.365944008293074</v>
      </c>
      <c r="T110" s="4" t="n">
        <f aca="false">S110/$K110</f>
        <v>1.21981336097691</v>
      </c>
      <c r="V110" s="4"/>
      <c r="W110" s="4"/>
    </row>
    <row r="111" customFormat="false" ht="14.25" hidden="false" customHeight="false" outlineLevel="0" collapsed="false">
      <c r="B111" s="2" t="n">
        <v>16</v>
      </c>
      <c r="C111" s="3" t="n">
        <v>500</v>
      </c>
      <c r="D111" s="3" t="n">
        <v>2</v>
      </c>
      <c r="E111" s="2" t="n">
        <v>168</v>
      </c>
      <c r="F111" s="4" t="n">
        <v>3.269</v>
      </c>
      <c r="G111" s="2" t="n">
        <v>25</v>
      </c>
      <c r="H111" s="2" t="n">
        <v>33</v>
      </c>
      <c r="I111" s="5" t="n">
        <v>0.0193939393939394</v>
      </c>
      <c r="J111" s="4" t="n">
        <v>328.124757411192</v>
      </c>
      <c r="K111" s="4" t="n">
        <v>0.3</v>
      </c>
      <c r="L111" s="6" t="n">
        <f aca="false">J111/200000</f>
        <v>0.00164062378705596</v>
      </c>
      <c r="P111" s="4" t="n">
        <f aca="false">$Q$2*($Q$3*$G111+$Q$4*$B111^$Q$5*$I111^$Q$6)*$L111^$Q$7</f>
        <v>0.408147563833276</v>
      </c>
      <c r="Q111" s="4" t="n">
        <f aca="false">P111/$K111</f>
        <v>1.36049187944425</v>
      </c>
      <c r="S111" s="4" t="n">
        <f aca="false">$T$2*$B111^$T$3*$L111^$T$4*($T$5*$I111^$T$6+$T$7)</f>
        <v>0.405454102974071</v>
      </c>
      <c r="T111" s="4" t="n">
        <f aca="false">S111/$K111</f>
        <v>1.35151367658024</v>
      </c>
      <c r="V111" s="4"/>
      <c r="W111" s="4"/>
    </row>
    <row r="112" customFormat="false" ht="14.25" hidden="false" customHeight="false" outlineLevel="0" collapsed="false">
      <c r="A112" s="1" t="s">
        <v>45</v>
      </c>
      <c r="B112" s="2" t="n">
        <v>16</v>
      </c>
      <c r="C112" s="3" t="n">
        <v>500</v>
      </c>
      <c r="D112" s="3" t="n">
        <v>2</v>
      </c>
      <c r="E112" s="2" t="n">
        <v>168</v>
      </c>
      <c r="F112" s="4" t="n">
        <v>3.269</v>
      </c>
      <c r="G112" s="2" t="n">
        <v>25</v>
      </c>
      <c r="H112" s="2" t="n">
        <v>33</v>
      </c>
      <c r="I112" s="5" t="n">
        <v>0.0193939393939394</v>
      </c>
      <c r="J112" s="4" t="n">
        <v>69.5726226812686</v>
      </c>
      <c r="K112" s="4" t="n">
        <v>0.15</v>
      </c>
      <c r="L112" s="6" t="n">
        <f aca="false">J112/200000</f>
        <v>0.000347863113406343</v>
      </c>
      <c r="P112" s="4" t="n">
        <f aca="false">$Q$2*($Q$3*$G112+$Q$4*$B112^$Q$5*$I112^$Q$6)*$L112^$Q$7</f>
        <v>0.111260212574438</v>
      </c>
      <c r="Q112" s="4" t="n">
        <f aca="false">P112/$K112</f>
        <v>0.741734750496251</v>
      </c>
      <c r="S112" s="4" t="n">
        <f aca="false">$T$2*$B112^$T$3*$L112^$T$4*($T$5*$I112^$T$6+$T$7)</f>
        <v>0.107816881561674</v>
      </c>
      <c r="T112" s="4" t="n">
        <f aca="false">S112/$K112</f>
        <v>0.718779210411161</v>
      </c>
      <c r="V112" s="4"/>
      <c r="W112" s="4"/>
    </row>
    <row r="113" customFormat="false" ht="14.25" hidden="false" customHeight="false" outlineLevel="0" collapsed="false">
      <c r="B113" s="2" t="n">
        <v>16</v>
      </c>
      <c r="C113" s="3" t="n">
        <v>500</v>
      </c>
      <c r="D113" s="3" t="n">
        <v>2</v>
      </c>
      <c r="E113" s="2" t="n">
        <v>168</v>
      </c>
      <c r="F113" s="4" t="n">
        <v>3.269</v>
      </c>
      <c r="G113" s="2" t="n">
        <v>25</v>
      </c>
      <c r="H113" s="2" t="n">
        <v>33</v>
      </c>
      <c r="I113" s="5" t="n">
        <v>0.0193939393939394</v>
      </c>
      <c r="J113" s="4" t="n">
        <v>104.892491898491</v>
      </c>
      <c r="K113" s="4" t="n">
        <v>0.18</v>
      </c>
      <c r="L113" s="6" t="n">
        <f aca="false">J113/200000</f>
        <v>0.000524462459492457</v>
      </c>
      <c r="P113" s="4" t="n">
        <f aca="false">$Q$2*($Q$3*$G113+$Q$4*$B113^$Q$5*$I113^$Q$6)*$L113^$Q$7</f>
        <v>0.156949644576352</v>
      </c>
      <c r="Q113" s="4" t="n">
        <f aca="false">P113/$K113</f>
        <v>0.87194246986862</v>
      </c>
      <c r="S113" s="4" t="n">
        <f aca="false">$T$2*$B113^$T$3*$L113^$T$4*($T$5*$I113^$T$6+$T$7)</f>
        <v>0.153094685163422</v>
      </c>
      <c r="T113" s="4" t="n">
        <f aca="false">S113/$K113</f>
        <v>0.850526028685677</v>
      </c>
      <c r="V113" s="4"/>
      <c r="W113" s="4"/>
    </row>
    <row r="114" customFormat="false" ht="14.25" hidden="false" customHeight="false" outlineLevel="0" collapsed="false">
      <c r="B114" s="2" t="n">
        <v>16</v>
      </c>
      <c r="C114" s="3" t="n">
        <v>500</v>
      </c>
      <c r="D114" s="3" t="n">
        <v>2</v>
      </c>
      <c r="E114" s="2" t="n">
        <v>168</v>
      </c>
      <c r="F114" s="4" t="n">
        <v>3.269</v>
      </c>
      <c r="G114" s="2" t="n">
        <v>25</v>
      </c>
      <c r="H114" s="2" t="n">
        <v>33</v>
      </c>
      <c r="I114" s="5" t="n">
        <v>0.0193939393939394</v>
      </c>
      <c r="J114" s="4" t="n">
        <v>142.140389915468</v>
      </c>
      <c r="K114" s="4" t="n">
        <v>0.18</v>
      </c>
      <c r="L114" s="6" t="n">
        <f aca="false">J114/200000</f>
        <v>0.000710701949577338</v>
      </c>
      <c r="P114" s="4" t="n">
        <f aca="false">$Q$2*($Q$3*$G114+$Q$4*$B114^$Q$5*$I114^$Q$6)*$L114^$Q$7</f>
        <v>0.202466788381497</v>
      </c>
      <c r="Q114" s="4" t="n">
        <f aca="false">P114/$K114</f>
        <v>1.12481549100832</v>
      </c>
      <c r="S114" s="4" t="n">
        <f aca="false">$T$2*$B114^$T$3*$L114^$T$4*($T$5*$I114^$T$6+$T$7)</f>
        <v>0.198456414618374</v>
      </c>
      <c r="T114" s="4" t="n">
        <f aca="false">S114/$K114</f>
        <v>1.10253563676875</v>
      </c>
      <c r="V114" s="4"/>
      <c r="W114" s="4"/>
    </row>
    <row r="115" customFormat="false" ht="14.25" hidden="false" customHeight="false" outlineLevel="0" collapsed="false">
      <c r="B115" s="2" t="n">
        <v>16</v>
      </c>
      <c r="C115" s="3" t="n">
        <v>500</v>
      </c>
      <c r="D115" s="3" t="n">
        <v>2</v>
      </c>
      <c r="E115" s="2" t="n">
        <v>168</v>
      </c>
      <c r="F115" s="4" t="n">
        <v>3.269</v>
      </c>
      <c r="G115" s="2" t="n">
        <v>25</v>
      </c>
      <c r="H115" s="2" t="n">
        <v>33</v>
      </c>
      <c r="I115" s="5" t="n">
        <v>0.0193939393939394</v>
      </c>
      <c r="J115" s="4" t="n">
        <v>179.324507285155</v>
      </c>
      <c r="K115" s="4" t="n">
        <v>0.25</v>
      </c>
      <c r="L115" s="6" t="n">
        <f aca="false">J115/200000</f>
        <v>0.000896622536425773</v>
      </c>
      <c r="P115" s="4" t="n">
        <f aca="false">$Q$2*($Q$3*$G115+$Q$4*$B115^$Q$5*$I115^$Q$6)*$L115^$Q$7</f>
        <v>0.245995153241955</v>
      </c>
      <c r="Q115" s="4" t="n">
        <f aca="false">P115/$K115</f>
        <v>0.98398061296782</v>
      </c>
      <c r="S115" s="4" t="n">
        <f aca="false">$T$2*$B115^$T$3*$L115^$T$4*($T$5*$I115^$T$6+$T$7)</f>
        <v>0.242020777486712</v>
      </c>
      <c r="T115" s="4" t="n">
        <f aca="false">S115/$K115</f>
        <v>0.968083109946848</v>
      </c>
      <c r="V115" s="4"/>
      <c r="W115" s="4"/>
    </row>
    <row r="116" customFormat="false" ht="14.25" hidden="false" customHeight="false" outlineLevel="0" collapsed="false">
      <c r="B116" s="2" t="n">
        <v>16</v>
      </c>
      <c r="C116" s="3" t="n">
        <v>500</v>
      </c>
      <c r="D116" s="3" t="n">
        <v>2</v>
      </c>
      <c r="E116" s="2" t="n">
        <v>168</v>
      </c>
      <c r="F116" s="4" t="n">
        <v>3.269</v>
      </c>
      <c r="G116" s="2" t="n">
        <v>25</v>
      </c>
      <c r="H116" s="2" t="n">
        <v>33</v>
      </c>
      <c r="I116" s="5" t="n">
        <v>0.0193939393939394</v>
      </c>
      <c r="J116" s="4" t="n">
        <v>216.508624654842</v>
      </c>
      <c r="K116" s="4" t="n">
        <v>0.28</v>
      </c>
      <c r="L116" s="6" t="n">
        <f aca="false">J116/200000</f>
        <v>0.00108254312327421</v>
      </c>
      <c r="P116" s="4" t="n">
        <f aca="false">$Q$2*($Q$3*$G116+$Q$4*$B116^$Q$5*$I116^$Q$6)*$L116^$Q$7</f>
        <v>0.288074452734244</v>
      </c>
      <c r="Q116" s="4" t="n">
        <f aca="false">P116/$K116</f>
        <v>1.02883733119373</v>
      </c>
      <c r="S116" s="4" t="n">
        <f aca="false">$T$2*$B116^$T$3*$L116^$T$4*($T$5*$I116^$T$6+$T$7)</f>
        <v>0.284276012959543</v>
      </c>
      <c r="T116" s="4" t="n">
        <f aca="false">S116/$K116</f>
        <v>1.01527147485551</v>
      </c>
      <c r="V116" s="4"/>
      <c r="W116" s="4"/>
    </row>
    <row r="117" customFormat="false" ht="14.25" hidden="false" customHeight="false" outlineLevel="0" collapsed="false">
      <c r="B117" s="2" t="n">
        <v>16</v>
      </c>
      <c r="C117" s="3" t="n">
        <v>500</v>
      </c>
      <c r="D117" s="3" t="n">
        <v>2</v>
      </c>
      <c r="E117" s="2" t="n">
        <v>168</v>
      </c>
      <c r="F117" s="4" t="n">
        <v>3.269</v>
      </c>
      <c r="G117" s="2" t="n">
        <v>25</v>
      </c>
      <c r="H117" s="2" t="n">
        <v>33</v>
      </c>
      <c r="I117" s="5" t="n">
        <v>0.0193939393939394</v>
      </c>
      <c r="J117" s="4" t="n">
        <v>253.756522671818</v>
      </c>
      <c r="K117" s="4" t="n">
        <v>0.33</v>
      </c>
      <c r="L117" s="6" t="n">
        <f aca="false">J117/200000</f>
        <v>0.00126878261335909</v>
      </c>
      <c r="P117" s="4" t="n">
        <f aca="false">$Q$2*($Q$3*$G117+$Q$4*$B117^$Q$5*$I117^$Q$6)*$L117^$Q$7</f>
        <v>0.329062317896222</v>
      </c>
      <c r="Q117" s="4" t="n">
        <f aca="false">P117/$K117</f>
        <v>0.997158539079461</v>
      </c>
      <c r="S117" s="4" t="n">
        <f aca="false">$T$2*$B117^$T$3*$L117^$T$4*($T$5*$I117^$T$6+$T$7)</f>
        <v>0.325549246847364</v>
      </c>
      <c r="T117" s="4" t="n">
        <f aca="false">S117/$K117</f>
        <v>0.986512869234435</v>
      </c>
      <c r="V117" s="4"/>
      <c r="W117" s="4"/>
    </row>
    <row r="118" customFormat="false" ht="14.25" hidden="false" customHeight="false" outlineLevel="0" collapsed="false">
      <c r="B118" s="2" t="n">
        <v>16</v>
      </c>
      <c r="C118" s="3" t="n">
        <v>500</v>
      </c>
      <c r="D118" s="3" t="n">
        <v>2</v>
      </c>
      <c r="E118" s="2" t="n">
        <v>168</v>
      </c>
      <c r="F118" s="4" t="n">
        <v>3.269</v>
      </c>
      <c r="G118" s="2" t="n">
        <v>25</v>
      </c>
      <c r="H118" s="2" t="n">
        <v>33</v>
      </c>
      <c r="I118" s="5" t="n">
        <v>0.0193939393939394</v>
      </c>
      <c r="J118" s="4" t="n">
        <v>291.004420688794</v>
      </c>
      <c r="K118" s="4" t="n">
        <v>0.38</v>
      </c>
      <c r="L118" s="6" t="n">
        <f aca="false">J118/200000</f>
        <v>0.00145502210344397</v>
      </c>
      <c r="P118" s="4" t="n">
        <f aca="false">$Q$2*($Q$3*$G118+$Q$4*$B118^$Q$5*$I118^$Q$6)*$L118^$Q$7</f>
        <v>0.3690832875332</v>
      </c>
      <c r="Q118" s="4" t="n">
        <f aca="false">P118/$K118</f>
        <v>0.971271809297895</v>
      </c>
      <c r="S118" s="4" t="n">
        <f aca="false">$T$2*$B118^$T$3*$L118^$T$4*($T$5*$I118^$T$6+$T$7)</f>
        <v>0.365944008293074</v>
      </c>
      <c r="T118" s="4" t="n">
        <f aca="false">S118/$K118</f>
        <v>0.963010548139668</v>
      </c>
      <c r="V118" s="4"/>
      <c r="W118" s="4"/>
    </row>
    <row r="119" customFormat="false" ht="14.25" hidden="false" customHeight="false" outlineLevel="0" collapsed="false">
      <c r="B119" s="2" t="n">
        <v>16</v>
      </c>
      <c r="C119" s="3" t="n">
        <v>500</v>
      </c>
      <c r="D119" s="3" t="n">
        <v>2</v>
      </c>
      <c r="E119" s="2" t="n">
        <v>168</v>
      </c>
      <c r="F119" s="4" t="n">
        <v>3.269</v>
      </c>
      <c r="G119" s="2" t="n">
        <v>25</v>
      </c>
      <c r="H119" s="2" t="n">
        <v>33</v>
      </c>
      <c r="I119" s="5" t="n">
        <v>0.0193939393939394</v>
      </c>
      <c r="J119" s="4" t="n">
        <v>328.124757411192</v>
      </c>
      <c r="K119" s="4" t="n">
        <v>0.43</v>
      </c>
      <c r="L119" s="6" t="n">
        <f aca="false">J119/200000</f>
        <v>0.00164062378705596</v>
      </c>
      <c r="P119" s="4" t="n">
        <f aca="false">$Q$2*($Q$3*$G119+$Q$4*$B119^$Q$5*$I119^$Q$6)*$L119^$Q$7</f>
        <v>0.408147563833276</v>
      </c>
      <c r="Q119" s="4" t="n">
        <f aca="false">P119/$K119</f>
        <v>0.949180381007619</v>
      </c>
      <c r="S119" s="4" t="n">
        <f aca="false">$T$2*$B119^$T$3*$L119^$T$4*($T$5*$I119^$T$6+$T$7)</f>
        <v>0.405454102974071</v>
      </c>
      <c r="T119" s="4" t="n">
        <f aca="false">S119/$K119</f>
        <v>0.94291651854435</v>
      </c>
      <c r="V119" s="4"/>
      <c r="W119" s="4"/>
    </row>
    <row r="120" customFormat="false" ht="14.25" hidden="false" customHeight="false" outlineLevel="0" collapsed="false">
      <c r="A120" s="1" t="s">
        <v>46</v>
      </c>
      <c r="B120" s="2" t="n">
        <v>16</v>
      </c>
      <c r="C120" s="3" t="n">
        <v>500</v>
      </c>
      <c r="D120" s="3" t="n">
        <v>3</v>
      </c>
      <c r="E120" s="2" t="n">
        <v>76</v>
      </c>
      <c r="F120" s="4" t="n">
        <v>3.269</v>
      </c>
      <c r="G120" s="2" t="n">
        <v>25</v>
      </c>
      <c r="H120" s="2" t="n">
        <v>33</v>
      </c>
      <c r="I120" s="5" t="n">
        <v>0.0292819225138491</v>
      </c>
      <c r="J120" s="4" t="n">
        <v>164.137600096932</v>
      </c>
      <c r="K120" s="4" t="n">
        <v>0.15</v>
      </c>
      <c r="L120" s="6" t="n">
        <f aca="false">J120/200000</f>
        <v>0.000820688000484658</v>
      </c>
      <c r="P120" s="4" t="n">
        <f aca="false">$Q$2*($Q$3*$G120+$Q$4*$B120^$Q$5*$I120^$Q$6)*$L120^$Q$7</f>
        <v>0.186499995953445</v>
      </c>
      <c r="Q120" s="4" t="n">
        <f aca="false">P120/$K120</f>
        <v>1.2433333063563</v>
      </c>
      <c r="S120" s="4" t="n">
        <f aca="false">$T$2*$B120^$T$3*$L120^$T$4*($T$5*$I120^$T$6+$T$7)</f>
        <v>0.179676725868793</v>
      </c>
      <c r="T120" s="4" t="n">
        <f aca="false">S120/$K120</f>
        <v>1.19784483912529</v>
      </c>
      <c r="V120" s="4"/>
      <c r="W120" s="4"/>
    </row>
    <row r="121" customFormat="false" ht="14.25" hidden="false" customHeight="false" outlineLevel="0" collapsed="false">
      <c r="B121" s="2" t="n">
        <v>16</v>
      </c>
      <c r="C121" s="3" t="n">
        <v>500</v>
      </c>
      <c r="D121" s="3" t="n">
        <v>3</v>
      </c>
      <c r="E121" s="2" t="n">
        <v>76</v>
      </c>
      <c r="F121" s="4" t="n">
        <v>3.269</v>
      </c>
      <c r="G121" s="2" t="n">
        <v>25</v>
      </c>
      <c r="H121" s="2" t="n">
        <v>33</v>
      </c>
      <c r="I121" s="5" t="n">
        <v>0.0292819225138491</v>
      </c>
      <c r="J121" s="4" t="n">
        <v>187.157840741702</v>
      </c>
      <c r="K121" s="4" t="n">
        <v>0.18</v>
      </c>
      <c r="L121" s="6" t="n">
        <f aca="false">J121/200000</f>
        <v>0.00093578920370851</v>
      </c>
      <c r="P121" s="4" t="n">
        <f aca="false">$Q$2*($Q$3*$G121+$Q$4*$B121^$Q$5*$I121^$Q$6)*$L121^$Q$7</f>
        <v>0.208182769711345</v>
      </c>
      <c r="Q121" s="4" t="n">
        <f aca="false">P121/$K121</f>
        <v>1.15657094284081</v>
      </c>
      <c r="S121" s="4" t="n">
        <f aca="false">$T$2*$B121^$T$3*$L121^$T$4*($T$5*$I121^$T$6+$T$7)</f>
        <v>0.200987838545039</v>
      </c>
      <c r="T121" s="4" t="n">
        <f aca="false">S121/$K121</f>
        <v>1.116599103028</v>
      </c>
      <c r="V121" s="4"/>
      <c r="W121" s="4"/>
    </row>
    <row r="122" customFormat="false" ht="14.25" hidden="false" customHeight="false" outlineLevel="0" collapsed="false">
      <c r="B122" s="2" t="n">
        <v>16</v>
      </c>
      <c r="C122" s="3" t="n">
        <v>500</v>
      </c>
      <c r="D122" s="3" t="n">
        <v>3</v>
      </c>
      <c r="E122" s="2" t="n">
        <v>76</v>
      </c>
      <c r="F122" s="4" t="n">
        <v>3.269</v>
      </c>
      <c r="G122" s="2" t="n">
        <v>25</v>
      </c>
      <c r="H122" s="2" t="n">
        <v>33</v>
      </c>
      <c r="I122" s="5" t="n">
        <v>0.0292819225138491</v>
      </c>
      <c r="J122" s="4" t="n">
        <v>210.25718874264</v>
      </c>
      <c r="K122" s="4" t="n">
        <v>0.18</v>
      </c>
      <c r="L122" s="6" t="n">
        <f aca="false">J122/200000</f>
        <v>0.0010512859437132</v>
      </c>
      <c r="P122" s="4" t="n">
        <f aca="false">$Q$2*($Q$3*$G122+$Q$4*$B122^$Q$5*$I122^$Q$6)*$L122^$Q$7</f>
        <v>0.229508973987115</v>
      </c>
      <c r="Q122" s="4" t="n">
        <f aca="false">P122/$K122</f>
        <v>1.27504985548397</v>
      </c>
      <c r="S122" s="4" t="n">
        <f aca="false">$T$2*$B122^$T$3*$L122^$T$4*($T$5*$I122^$T$6+$T$7)</f>
        <v>0.221989970898739</v>
      </c>
      <c r="T122" s="4" t="n">
        <f aca="false">S122/$K122</f>
        <v>1.23327761610411</v>
      </c>
      <c r="V122" s="4"/>
      <c r="W122" s="4"/>
    </row>
    <row r="123" customFormat="false" ht="14.25" hidden="false" customHeight="false" outlineLevel="0" collapsed="false">
      <c r="B123" s="2" t="n">
        <v>16</v>
      </c>
      <c r="C123" s="3" t="n">
        <v>500</v>
      </c>
      <c r="D123" s="3" t="n">
        <v>3</v>
      </c>
      <c r="E123" s="2" t="n">
        <v>76</v>
      </c>
      <c r="F123" s="4" t="n">
        <v>3.269</v>
      </c>
      <c r="G123" s="2" t="n">
        <v>25</v>
      </c>
      <c r="H123" s="2" t="n">
        <v>33</v>
      </c>
      <c r="I123" s="5" t="n">
        <v>0.0292819225138491</v>
      </c>
      <c r="J123" s="4" t="n">
        <v>233.356536743578</v>
      </c>
      <c r="K123" s="4" t="n">
        <v>0.2</v>
      </c>
      <c r="L123" s="6" t="n">
        <f aca="false">J123/200000</f>
        <v>0.00116678268371789</v>
      </c>
      <c r="P123" s="4" t="n">
        <f aca="false">$Q$2*($Q$3*$G123+$Q$4*$B123^$Q$5*$I123^$Q$6)*$L123^$Q$7</f>
        <v>0.250458163560134</v>
      </c>
      <c r="Q123" s="4" t="n">
        <f aca="false">P123/$K123</f>
        <v>1.25229081780067</v>
      </c>
      <c r="S123" s="4" t="n">
        <f aca="false">$T$2*$B123^$T$3*$L123^$T$4*($T$5*$I123^$T$6+$T$7)</f>
        <v>0.242657199181016</v>
      </c>
      <c r="T123" s="4" t="n">
        <f aca="false">S123/$K123</f>
        <v>1.21328599590508</v>
      </c>
      <c r="V123" s="4"/>
      <c r="W123" s="4"/>
    </row>
    <row r="124" customFormat="false" ht="14.25" hidden="false" customHeight="false" outlineLevel="0" collapsed="false">
      <c r="B124" s="2" t="n">
        <v>16</v>
      </c>
      <c r="C124" s="3" t="n">
        <v>500</v>
      </c>
      <c r="D124" s="3" t="n">
        <v>3</v>
      </c>
      <c r="E124" s="2" t="n">
        <v>76</v>
      </c>
      <c r="F124" s="4" t="n">
        <v>3.269</v>
      </c>
      <c r="G124" s="2" t="n">
        <v>25</v>
      </c>
      <c r="H124" s="2" t="n">
        <v>33</v>
      </c>
      <c r="I124" s="5" t="n">
        <v>0.0292819225138491</v>
      </c>
      <c r="J124" s="4" t="n">
        <v>256.455884744516</v>
      </c>
      <c r="K124" s="4" t="n">
        <v>0.2</v>
      </c>
      <c r="L124" s="6" t="n">
        <f aca="false">J124/200000</f>
        <v>0.00128227942372258</v>
      </c>
      <c r="P124" s="4" t="n">
        <f aca="false">$Q$2*($Q$3*$G124+$Q$4*$B124^$Q$5*$I124^$Q$6)*$L124^$Q$7</f>
        <v>0.271073506079335</v>
      </c>
      <c r="Q124" s="4" t="n">
        <f aca="false">P124/$K124</f>
        <v>1.35536753039667</v>
      </c>
      <c r="S124" s="4" t="n">
        <f aca="false">$T$2*$B124^$T$3*$L124^$T$4*($T$5*$I124^$T$6+$T$7)</f>
        <v>0.263027371425308</v>
      </c>
      <c r="T124" s="4" t="n">
        <f aca="false">S124/$K124</f>
        <v>1.31513685712654</v>
      </c>
      <c r="V124" s="4"/>
      <c r="W124" s="4"/>
    </row>
    <row r="125" customFormat="false" ht="14.25" hidden="false" customHeight="false" outlineLevel="0" collapsed="false">
      <c r="A125" s="1" t="s">
        <v>47</v>
      </c>
      <c r="B125" s="2" t="n">
        <v>16</v>
      </c>
      <c r="C125" s="3" t="n">
        <v>500</v>
      </c>
      <c r="D125" s="3" t="n">
        <v>3</v>
      </c>
      <c r="E125" s="2" t="n">
        <v>76</v>
      </c>
      <c r="F125" s="4" t="n">
        <v>3.269</v>
      </c>
      <c r="G125" s="2" t="n">
        <v>25</v>
      </c>
      <c r="H125" s="2" t="n">
        <v>33</v>
      </c>
      <c r="I125" s="5" t="n">
        <v>0.0292819225138491</v>
      </c>
      <c r="J125" s="4" t="n">
        <v>187.157840741702</v>
      </c>
      <c r="K125" s="4" t="n">
        <v>0.15</v>
      </c>
      <c r="L125" s="6" t="n">
        <f aca="false">J125/200000</f>
        <v>0.00093578920370851</v>
      </c>
      <c r="P125" s="4" t="n">
        <f aca="false">$Q$2*($Q$3*$G125+$Q$4*$B125^$Q$5*$I125^$Q$6)*$L125^$Q$7</f>
        <v>0.208182769711345</v>
      </c>
      <c r="Q125" s="4" t="n">
        <f aca="false">P125/$K125</f>
        <v>1.38788513140897</v>
      </c>
      <c r="S125" s="4" t="n">
        <f aca="false">$T$2*$B125^$T$3*$L125^$T$4*($T$5*$I125^$T$6+$T$7)</f>
        <v>0.200987838545039</v>
      </c>
      <c r="T125" s="4" t="n">
        <f aca="false">S125/$K125</f>
        <v>1.3399189236336</v>
      </c>
      <c r="V125" s="4"/>
      <c r="W125" s="4"/>
    </row>
    <row r="126" customFormat="false" ht="14.25" hidden="false" customHeight="false" outlineLevel="0" collapsed="false">
      <c r="B126" s="2" t="n">
        <v>16</v>
      </c>
      <c r="C126" s="3" t="n">
        <v>500</v>
      </c>
      <c r="D126" s="3" t="n">
        <v>3</v>
      </c>
      <c r="E126" s="2" t="n">
        <v>76</v>
      </c>
      <c r="F126" s="4" t="n">
        <v>3.269</v>
      </c>
      <c r="G126" s="2" t="n">
        <v>25</v>
      </c>
      <c r="H126" s="2" t="n">
        <v>33</v>
      </c>
      <c r="I126" s="5" t="n">
        <v>0.0292819225138491</v>
      </c>
      <c r="J126" s="4" t="n">
        <v>210.25718874264</v>
      </c>
      <c r="K126" s="4" t="n">
        <v>0.18</v>
      </c>
      <c r="L126" s="6" t="n">
        <f aca="false">J126/200000</f>
        <v>0.0010512859437132</v>
      </c>
      <c r="P126" s="4" t="n">
        <f aca="false">$Q$2*($Q$3*$G126+$Q$4*$B126^$Q$5*$I126^$Q$6)*$L126^$Q$7</f>
        <v>0.229508973987115</v>
      </c>
      <c r="Q126" s="4" t="n">
        <f aca="false">P126/$K126</f>
        <v>1.27504985548397</v>
      </c>
      <c r="S126" s="4" t="n">
        <f aca="false">$T$2*$B126^$T$3*$L126^$T$4*($T$5*$I126^$T$6+$T$7)</f>
        <v>0.221989970898739</v>
      </c>
      <c r="T126" s="4" t="n">
        <f aca="false">S126/$K126</f>
        <v>1.23327761610411</v>
      </c>
      <c r="V126" s="4"/>
      <c r="W126" s="4"/>
    </row>
    <row r="127" customFormat="false" ht="14.25" hidden="false" customHeight="false" outlineLevel="0" collapsed="false">
      <c r="B127" s="2" t="n">
        <v>16</v>
      </c>
      <c r="C127" s="3" t="n">
        <v>500</v>
      </c>
      <c r="D127" s="3" t="n">
        <v>3</v>
      </c>
      <c r="E127" s="2" t="n">
        <v>76</v>
      </c>
      <c r="F127" s="4" t="n">
        <v>3.269</v>
      </c>
      <c r="G127" s="2" t="n">
        <v>25</v>
      </c>
      <c r="H127" s="2" t="n">
        <v>33</v>
      </c>
      <c r="I127" s="5" t="n">
        <v>0.0292819225138491</v>
      </c>
      <c r="J127" s="4" t="n">
        <v>233.356536743578</v>
      </c>
      <c r="K127" s="4" t="n">
        <v>0.2</v>
      </c>
      <c r="L127" s="6" t="n">
        <f aca="false">J127/200000</f>
        <v>0.00116678268371789</v>
      </c>
      <c r="P127" s="4" t="n">
        <f aca="false">$Q$2*($Q$3*$G127+$Q$4*$B127^$Q$5*$I127^$Q$6)*$L127^$Q$7</f>
        <v>0.250458163560134</v>
      </c>
      <c r="Q127" s="4" t="n">
        <f aca="false">P127/$K127</f>
        <v>1.25229081780067</v>
      </c>
      <c r="S127" s="4" t="n">
        <f aca="false">$T$2*$B127^$T$3*$L127^$T$4*($T$5*$I127^$T$6+$T$7)</f>
        <v>0.242657199181016</v>
      </c>
      <c r="T127" s="4" t="n">
        <f aca="false">S127/$K127</f>
        <v>1.21328599590508</v>
      </c>
      <c r="V127" s="4"/>
      <c r="W127" s="4"/>
    </row>
    <row r="128" customFormat="false" ht="14.25" hidden="false" customHeight="false" outlineLevel="0" collapsed="false">
      <c r="B128" s="2" t="n">
        <v>16</v>
      </c>
      <c r="C128" s="3" t="n">
        <v>500</v>
      </c>
      <c r="D128" s="3" t="n">
        <v>3</v>
      </c>
      <c r="E128" s="2" t="n">
        <v>76</v>
      </c>
      <c r="F128" s="4" t="n">
        <v>3.269</v>
      </c>
      <c r="G128" s="2" t="n">
        <v>25</v>
      </c>
      <c r="H128" s="2" t="n">
        <v>33</v>
      </c>
      <c r="I128" s="5" t="n">
        <v>0.0292819225138491</v>
      </c>
      <c r="J128" s="4" t="n">
        <v>256.455884744516</v>
      </c>
      <c r="K128" s="4" t="n">
        <v>0.2</v>
      </c>
      <c r="L128" s="6" t="n">
        <f aca="false">J128/200000</f>
        <v>0.00128227942372258</v>
      </c>
      <c r="P128" s="4" t="n">
        <f aca="false">$Q$2*($Q$3*$G128+$Q$4*$B128^$Q$5*$I128^$Q$6)*$L128^$Q$7</f>
        <v>0.271073506079335</v>
      </c>
      <c r="Q128" s="4" t="n">
        <f aca="false">P128/$K128</f>
        <v>1.35536753039667</v>
      </c>
      <c r="S128" s="4" t="n">
        <f aca="false">$T$2*$B128^$T$3*$L128^$T$4*($T$5*$I128^$T$6+$T$7)</f>
        <v>0.263027371425308</v>
      </c>
      <c r="T128" s="4" t="n">
        <f aca="false">S128/$K128</f>
        <v>1.31513685712654</v>
      </c>
      <c r="V128" s="4"/>
      <c r="W128" s="4"/>
    </row>
    <row r="129" customFormat="false" ht="14.25" hidden="false" customHeight="false" outlineLevel="0" collapsed="false">
      <c r="A129" s="1" t="s">
        <v>48</v>
      </c>
      <c r="B129" s="2" t="n">
        <v>12</v>
      </c>
      <c r="C129" s="3" t="n">
        <v>500</v>
      </c>
      <c r="D129" s="3" t="n">
        <v>2</v>
      </c>
      <c r="E129" s="2" t="n">
        <v>296</v>
      </c>
      <c r="F129" s="4" t="n">
        <v>3.269</v>
      </c>
      <c r="G129" s="2" t="n">
        <v>25</v>
      </c>
      <c r="H129" s="2" t="n">
        <v>31</v>
      </c>
      <c r="I129" s="5" t="n">
        <v>0.0124772064696725</v>
      </c>
      <c r="J129" s="4" t="n">
        <v>4.52087025754429</v>
      </c>
      <c r="K129" s="4" t="n">
        <v>0.2</v>
      </c>
      <c r="L129" s="6" t="n">
        <f aca="false">J129/200000</f>
        <v>2.26043512877214E-005</v>
      </c>
      <c r="P129" s="4" t="n">
        <f aca="false">$Q$2*($Q$3*$G129+$Q$4*$B129^$Q$5*$I129^$Q$6)*$L129^$Q$7</f>
        <v>0.0102053953404998</v>
      </c>
      <c r="Q129" s="4" t="n">
        <f aca="false">P129/$K129</f>
        <v>0.0510269767024992</v>
      </c>
      <c r="S129" s="4" t="n">
        <f aca="false">$T$2*$B129^$T$3*$L129^$T$4*($T$5*$I129^$T$6+$T$7)</f>
        <v>0.00965222902828745</v>
      </c>
      <c r="T129" s="4" t="n">
        <f aca="false">S129/$K129</f>
        <v>0.0482611451414372</v>
      </c>
      <c r="V129" s="4"/>
      <c r="W129" s="4"/>
    </row>
    <row r="130" customFormat="false" ht="14.25" hidden="false" customHeight="false" outlineLevel="0" collapsed="false">
      <c r="B130" s="2" t="n">
        <v>12</v>
      </c>
      <c r="C130" s="3" t="n">
        <v>500</v>
      </c>
      <c r="D130" s="3" t="n">
        <v>2</v>
      </c>
      <c r="E130" s="2" t="n">
        <v>296</v>
      </c>
      <c r="F130" s="4" t="n">
        <v>3.269</v>
      </c>
      <c r="G130" s="2" t="n">
        <v>25</v>
      </c>
      <c r="H130" s="2" t="n">
        <v>31</v>
      </c>
      <c r="I130" s="5" t="n">
        <v>0.0124772064696725</v>
      </c>
      <c r="J130" s="4" t="n">
        <v>102.11108807036</v>
      </c>
      <c r="K130" s="4" t="n">
        <v>0.25</v>
      </c>
      <c r="L130" s="6" t="n">
        <f aca="false">J130/200000</f>
        <v>0.000510555440351798</v>
      </c>
      <c r="P130" s="4" t="n">
        <f aca="false">$Q$2*($Q$3*$G130+$Q$4*$B130^$Q$5*$I130^$Q$6)*$L130^$Q$7</f>
        <v>0.139109520688893</v>
      </c>
      <c r="Q130" s="4" t="n">
        <f aca="false">P130/$K130</f>
        <v>0.556438082755573</v>
      </c>
      <c r="S130" s="4" t="n">
        <f aca="false">$T$2*$B130^$T$3*$L130^$T$4*($T$5*$I130^$T$6+$T$7)</f>
        <v>0.138298112557878</v>
      </c>
      <c r="T130" s="4" t="n">
        <f aca="false">S130/$K130</f>
        <v>0.55319245023151</v>
      </c>
      <c r="V130" s="4"/>
      <c r="W130" s="4"/>
    </row>
    <row r="131" customFormat="false" ht="14.25" hidden="false" customHeight="false" outlineLevel="0" collapsed="false">
      <c r="B131" s="2" t="n">
        <v>12</v>
      </c>
      <c r="C131" s="3" t="n">
        <v>500</v>
      </c>
      <c r="D131" s="3" t="n">
        <v>2</v>
      </c>
      <c r="E131" s="2" t="n">
        <v>296</v>
      </c>
      <c r="F131" s="4" t="n">
        <v>3.269</v>
      </c>
      <c r="G131" s="2" t="n">
        <v>25</v>
      </c>
      <c r="H131" s="2" t="n">
        <v>31</v>
      </c>
      <c r="I131" s="5" t="n">
        <v>0.0124772064696725</v>
      </c>
      <c r="J131" s="4" t="n">
        <v>207.979707796124</v>
      </c>
      <c r="K131" s="4" t="n">
        <v>0.33</v>
      </c>
      <c r="L131" s="6" t="n">
        <f aca="false">J131/200000</f>
        <v>0.00103989853898062</v>
      </c>
      <c r="P131" s="4" t="n">
        <f aca="false">$Q$2*($Q$3*$G131+$Q$4*$B131^$Q$5*$I131^$Q$6)*$L131^$Q$7</f>
        <v>0.252496480122213</v>
      </c>
      <c r="Q131" s="4" t="n">
        <f aca="false">P131/$K131</f>
        <v>0.765140848855191</v>
      </c>
      <c r="S131" s="4" t="n">
        <f aca="false">$T$2*$B131^$T$3*$L131^$T$4*($T$5*$I131^$T$6+$T$7)</f>
        <v>0.253897191009672</v>
      </c>
      <c r="T131" s="4" t="n">
        <f aca="false">S131/$K131</f>
        <v>0.769385427302036</v>
      </c>
      <c r="V131" s="4"/>
      <c r="W131" s="4"/>
    </row>
    <row r="132" customFormat="false" ht="14.25" hidden="false" customHeight="false" outlineLevel="0" collapsed="false">
      <c r="A132" s="1" t="s">
        <v>49</v>
      </c>
      <c r="B132" s="2" t="n">
        <v>12</v>
      </c>
      <c r="C132" s="3" t="n">
        <v>500</v>
      </c>
      <c r="D132" s="3" t="n">
        <v>2</v>
      </c>
      <c r="E132" s="2" t="n">
        <v>296</v>
      </c>
      <c r="F132" s="4" t="n">
        <v>3.269</v>
      </c>
      <c r="G132" s="2" t="n">
        <v>25</v>
      </c>
      <c r="H132" s="2" t="n">
        <v>31</v>
      </c>
      <c r="I132" s="5" t="n">
        <v>0.0124772064696725</v>
      </c>
      <c r="J132" s="4" t="n">
        <v>102.11108807036</v>
      </c>
      <c r="K132" s="4" t="n">
        <v>0.23</v>
      </c>
      <c r="L132" s="6" t="n">
        <f aca="false">J132/200000</f>
        <v>0.000510555440351798</v>
      </c>
      <c r="P132" s="4" t="n">
        <f aca="false">$Q$2*($Q$3*$G132+$Q$4*$B132^$Q$5*$I132^$Q$6)*$L132^$Q$7</f>
        <v>0.139109520688893</v>
      </c>
      <c r="Q132" s="4" t="n">
        <f aca="false">P132/$K132</f>
        <v>0.604824002995188</v>
      </c>
      <c r="S132" s="4" t="n">
        <f aca="false">$T$2*$B132^$T$3*$L132^$T$4*($T$5*$I132^$T$6+$T$7)</f>
        <v>0.138298112557878</v>
      </c>
      <c r="T132" s="4" t="n">
        <f aca="false">S132/$K132</f>
        <v>0.601296141555989</v>
      </c>
      <c r="V132" s="4"/>
      <c r="W132" s="4"/>
    </row>
    <row r="133" customFormat="false" ht="14.25" hidden="false" customHeight="false" outlineLevel="0" collapsed="false">
      <c r="B133" s="2" t="n">
        <v>12</v>
      </c>
      <c r="C133" s="3" t="n">
        <v>500</v>
      </c>
      <c r="D133" s="3" t="n">
        <v>2</v>
      </c>
      <c r="E133" s="2" t="n">
        <v>296</v>
      </c>
      <c r="F133" s="4" t="n">
        <v>3.269</v>
      </c>
      <c r="G133" s="2" t="n">
        <v>25</v>
      </c>
      <c r="H133" s="2" t="n">
        <v>31</v>
      </c>
      <c r="I133" s="5" t="n">
        <v>0.0124772064696725</v>
      </c>
      <c r="J133" s="4" t="n">
        <v>207.979707796124</v>
      </c>
      <c r="K133" s="4" t="n">
        <v>0.28</v>
      </c>
      <c r="L133" s="6" t="n">
        <f aca="false">J133/200000</f>
        <v>0.00103989853898062</v>
      </c>
      <c r="P133" s="4" t="n">
        <f aca="false">$Q$2*($Q$3*$G133+$Q$4*$B133^$Q$5*$I133^$Q$6)*$L133^$Q$7</f>
        <v>0.252496480122213</v>
      </c>
      <c r="Q133" s="4" t="n">
        <f aca="false">P133/$K133</f>
        <v>0.901773143293618</v>
      </c>
      <c r="S133" s="4" t="n">
        <f aca="false">$T$2*$B133^$T$3*$L133^$T$4*($T$5*$I133^$T$6+$T$7)</f>
        <v>0.253897191009672</v>
      </c>
      <c r="T133" s="4" t="n">
        <f aca="false">S133/$K133</f>
        <v>0.906775682177399</v>
      </c>
      <c r="V133" s="4"/>
      <c r="W133" s="4"/>
    </row>
    <row r="134" customFormat="false" ht="14.25" hidden="false" customHeight="false" outlineLevel="0" collapsed="false">
      <c r="A134" s="1" t="s">
        <v>50</v>
      </c>
      <c r="B134" s="2" t="n">
        <v>12</v>
      </c>
      <c r="C134" s="3" t="n">
        <v>500</v>
      </c>
      <c r="D134" s="3" t="n">
        <v>3</v>
      </c>
      <c r="E134" s="2" t="n">
        <v>142</v>
      </c>
      <c r="F134" s="4" t="n">
        <v>3.269</v>
      </c>
      <c r="G134" s="2" t="n">
        <v>25</v>
      </c>
      <c r="H134" s="2" t="n">
        <v>31</v>
      </c>
      <c r="I134" s="5" t="n">
        <v>0.0195271179121459</v>
      </c>
      <c r="J134" s="4" t="n">
        <v>101.336175860561</v>
      </c>
      <c r="K134" s="4" t="n">
        <v>0.18</v>
      </c>
      <c r="L134" s="6" t="n">
        <f aca="false">J134/200000</f>
        <v>0.000506680879302803</v>
      </c>
      <c r="P134" s="4" t="n">
        <f aca="false">$Q$2*($Q$3*$G134+$Q$4*$B134^$Q$5*$I134^$Q$6)*$L134^$Q$7</f>
        <v>0.110901661418895</v>
      </c>
      <c r="Q134" s="4" t="n">
        <f aca="false">P134/$K134</f>
        <v>0.616120341216084</v>
      </c>
      <c r="S134" s="4" t="n">
        <f aca="false">$T$2*$B134^$T$3*$L134^$T$4*($T$5*$I134^$T$6+$T$7)</f>
        <v>0.106435812393634</v>
      </c>
      <c r="T134" s="4" t="n">
        <f aca="false">S134/$K134</f>
        <v>0.591310068853525</v>
      </c>
      <c r="V134" s="4"/>
      <c r="W134" s="4"/>
    </row>
    <row r="135" customFormat="false" ht="14.25" hidden="false" customHeight="false" outlineLevel="0" collapsed="false">
      <c r="B135" s="2" t="n">
        <v>12</v>
      </c>
      <c r="C135" s="3" t="n">
        <v>500</v>
      </c>
      <c r="D135" s="3" t="n">
        <v>3</v>
      </c>
      <c r="E135" s="2" t="n">
        <v>142</v>
      </c>
      <c r="F135" s="4" t="n">
        <v>3.269</v>
      </c>
      <c r="G135" s="2" t="n">
        <v>25</v>
      </c>
      <c r="H135" s="2" t="n">
        <v>31</v>
      </c>
      <c r="I135" s="5" t="n">
        <v>0.0195271179121459</v>
      </c>
      <c r="J135" s="4" t="n">
        <v>164.101018352437</v>
      </c>
      <c r="K135" s="4" t="n">
        <v>0.23</v>
      </c>
      <c r="L135" s="6" t="n">
        <f aca="false">J135/200000</f>
        <v>0.000820505091762185</v>
      </c>
      <c r="P135" s="4" t="n">
        <f aca="false">$Q$2*($Q$3*$G135+$Q$4*$B135^$Q$5*$I135^$Q$6)*$L135^$Q$7</f>
        <v>0.166100385869393</v>
      </c>
      <c r="Q135" s="4" t="n">
        <f aca="false">P135/$K135</f>
        <v>0.72217559073649</v>
      </c>
      <c r="S135" s="4" t="n">
        <f aca="false">$T$2*$B135^$T$3*$L135^$T$4*($T$5*$I135^$T$6+$T$7)</f>
        <v>0.16064600009885</v>
      </c>
      <c r="T135" s="4" t="n">
        <f aca="false">S135/$K135</f>
        <v>0.698460869994998</v>
      </c>
      <c r="V135" s="4"/>
      <c r="W135" s="4"/>
    </row>
    <row r="136" customFormat="false" ht="14.25" hidden="false" customHeight="false" outlineLevel="0" collapsed="false">
      <c r="B136" s="2" t="n">
        <v>12</v>
      </c>
      <c r="C136" s="3" t="n">
        <v>500</v>
      </c>
      <c r="D136" s="3" t="n">
        <v>3</v>
      </c>
      <c r="E136" s="2" t="n">
        <v>142</v>
      </c>
      <c r="F136" s="4" t="n">
        <v>3.269</v>
      </c>
      <c r="G136" s="2" t="n">
        <v>25</v>
      </c>
      <c r="H136" s="2" t="n">
        <v>31</v>
      </c>
      <c r="I136" s="5" t="n">
        <v>0.0195271179121459</v>
      </c>
      <c r="J136" s="4" t="n">
        <v>226.865860844313</v>
      </c>
      <c r="K136" s="4" t="n">
        <v>0.25</v>
      </c>
      <c r="L136" s="6" t="n">
        <f aca="false">J136/200000</f>
        <v>0.00113432930422157</v>
      </c>
      <c r="P136" s="4" t="n">
        <f aca="false">$Q$2*($Q$3*$G136+$Q$4*$B136^$Q$5*$I136^$Q$6)*$L136^$Q$7</f>
        <v>0.217892327263245</v>
      </c>
      <c r="Q136" s="4" t="n">
        <f aca="false">P136/$K136</f>
        <v>0.87156930905298</v>
      </c>
      <c r="S136" s="4" t="n">
        <f aca="false">$T$2*$B136^$T$3*$L136^$T$4*($T$5*$I136^$T$6+$T$7)</f>
        <v>0.211832083932718</v>
      </c>
      <c r="T136" s="4" t="n">
        <f aca="false">S136/$K136</f>
        <v>0.847328335730873</v>
      </c>
      <c r="V136" s="4"/>
      <c r="W136" s="4"/>
    </row>
    <row r="137" customFormat="false" ht="14.25" hidden="false" customHeight="false" outlineLevel="0" collapsed="false">
      <c r="A137" s="1" t="s">
        <v>51</v>
      </c>
      <c r="B137" s="2" t="n">
        <v>12</v>
      </c>
      <c r="C137" s="3" t="n">
        <v>500</v>
      </c>
      <c r="D137" s="3" t="n">
        <v>3</v>
      </c>
      <c r="E137" s="2" t="n">
        <v>142</v>
      </c>
      <c r="F137" s="4" t="n">
        <v>3.269</v>
      </c>
      <c r="G137" s="2" t="n">
        <v>25</v>
      </c>
      <c r="H137" s="2" t="n">
        <v>31</v>
      </c>
      <c r="I137" s="5" t="n">
        <v>0.0195271179121459</v>
      </c>
      <c r="J137" s="4" t="n">
        <v>101.336175860561</v>
      </c>
      <c r="K137" s="4" t="n">
        <v>0.18</v>
      </c>
      <c r="L137" s="6" t="n">
        <f aca="false">J137/200000</f>
        <v>0.000506680879302803</v>
      </c>
      <c r="P137" s="4" t="n">
        <f aca="false">$Q$2*($Q$3*$G137+$Q$4*$B137^$Q$5*$I137^$Q$6)*$L137^$Q$7</f>
        <v>0.110901661418895</v>
      </c>
      <c r="Q137" s="4" t="n">
        <f aca="false">P137/$K137</f>
        <v>0.616120341216084</v>
      </c>
      <c r="S137" s="4" t="n">
        <f aca="false">$T$2*$B137^$T$3*$L137^$T$4*($T$5*$I137^$T$6+$T$7)</f>
        <v>0.106435812393634</v>
      </c>
      <c r="T137" s="4" t="n">
        <f aca="false">S137/$K137</f>
        <v>0.591310068853525</v>
      </c>
      <c r="V137" s="4"/>
      <c r="W137" s="4"/>
    </row>
    <row r="138" customFormat="false" ht="14.25" hidden="false" customHeight="false" outlineLevel="0" collapsed="false">
      <c r="B138" s="2" t="n">
        <v>12</v>
      </c>
      <c r="C138" s="3" t="n">
        <v>500</v>
      </c>
      <c r="D138" s="3" t="n">
        <v>3</v>
      </c>
      <c r="E138" s="2" t="n">
        <v>142</v>
      </c>
      <c r="F138" s="4" t="n">
        <v>3.269</v>
      </c>
      <c r="G138" s="2" t="n">
        <v>25</v>
      </c>
      <c r="H138" s="2" t="n">
        <v>31</v>
      </c>
      <c r="I138" s="5" t="n">
        <v>0.0195271179121459</v>
      </c>
      <c r="J138" s="4" t="n">
        <v>164.101018352437</v>
      </c>
      <c r="K138" s="4" t="n">
        <v>0.23</v>
      </c>
      <c r="L138" s="6" t="n">
        <f aca="false">J138/200000</f>
        <v>0.000820505091762185</v>
      </c>
      <c r="P138" s="4" t="n">
        <f aca="false">$Q$2*($Q$3*$G138+$Q$4*$B138^$Q$5*$I138^$Q$6)*$L138^$Q$7</f>
        <v>0.166100385869393</v>
      </c>
      <c r="Q138" s="4" t="n">
        <f aca="false">P138/$K138</f>
        <v>0.72217559073649</v>
      </c>
      <c r="S138" s="4" t="n">
        <f aca="false">$T$2*$B138^$T$3*$L138^$T$4*($T$5*$I138^$T$6+$T$7)</f>
        <v>0.16064600009885</v>
      </c>
      <c r="T138" s="4" t="n">
        <f aca="false">S138/$K138</f>
        <v>0.698460869994998</v>
      </c>
      <c r="V138" s="4"/>
      <c r="W138" s="4"/>
    </row>
    <row r="139" customFormat="false" ht="14.25" hidden="false" customHeight="false" outlineLevel="0" collapsed="false">
      <c r="B139" s="2" t="n">
        <v>12</v>
      </c>
      <c r="C139" s="3" t="n">
        <v>500</v>
      </c>
      <c r="D139" s="3" t="n">
        <v>3</v>
      </c>
      <c r="E139" s="2" t="n">
        <v>142</v>
      </c>
      <c r="F139" s="4" t="n">
        <v>3.269</v>
      </c>
      <c r="G139" s="2" t="n">
        <v>25</v>
      </c>
      <c r="H139" s="2" t="n">
        <v>31</v>
      </c>
      <c r="I139" s="5" t="n">
        <v>0.0195271179121459</v>
      </c>
      <c r="J139" s="4" t="n">
        <v>226.865860844313</v>
      </c>
      <c r="K139" s="4" t="n">
        <v>0.25</v>
      </c>
      <c r="L139" s="6" t="n">
        <f aca="false">J139/200000</f>
        <v>0.00113432930422157</v>
      </c>
      <c r="P139" s="4" t="n">
        <f aca="false">$Q$2*($Q$3*$G139+$Q$4*$B139^$Q$5*$I139^$Q$6)*$L139^$Q$7</f>
        <v>0.217892327263245</v>
      </c>
      <c r="Q139" s="4" t="n">
        <f aca="false">P139/$K139</f>
        <v>0.87156930905298</v>
      </c>
      <c r="S139" s="4" t="n">
        <f aca="false">$T$2*$B139^$T$3*$L139^$T$4*($T$5*$I139^$T$6+$T$7)</f>
        <v>0.211832083932718</v>
      </c>
      <c r="T139" s="4" t="n">
        <f aca="false">S139/$K139</f>
        <v>0.847328335730873</v>
      </c>
      <c r="V139" s="4"/>
      <c r="W139" s="4"/>
    </row>
    <row r="140" customFormat="false" ht="14.25" hidden="false" customHeight="false" outlineLevel="0" collapsed="false">
      <c r="A140" s="1" t="s">
        <v>52</v>
      </c>
      <c r="B140" s="2" t="n">
        <v>12</v>
      </c>
      <c r="C140" s="3" t="n">
        <v>500</v>
      </c>
      <c r="D140" s="3" t="n">
        <v>4</v>
      </c>
      <c r="E140" s="2" t="n">
        <v>90.67</v>
      </c>
      <c r="F140" s="4" t="n">
        <v>3.269</v>
      </c>
      <c r="G140" s="2" t="n">
        <v>25</v>
      </c>
      <c r="H140" s="2" t="n">
        <v>31</v>
      </c>
      <c r="I140" s="5" t="n">
        <v>0.026968773854658</v>
      </c>
      <c r="J140" s="4" t="n">
        <v>150.317643485149</v>
      </c>
      <c r="K140" s="4" t="n">
        <v>0.15</v>
      </c>
      <c r="L140" s="6" t="n">
        <f aca="false">J140/200000</f>
        <v>0.000751588217425745</v>
      </c>
      <c r="P140" s="4" t="n">
        <f aca="false">$Q$2*($Q$3*$G140+$Q$4*$B140^$Q$5*$I140^$Q$6)*$L140^$Q$7</f>
        <v>0.131701148837012</v>
      </c>
      <c r="Q140" s="4" t="n">
        <f aca="false">P140/$K140</f>
        <v>0.878007658913414</v>
      </c>
      <c r="S140" s="4" t="n">
        <f aca="false">$T$2*$B140^$T$3*$L140^$T$4*($T$5*$I140^$T$6+$T$7)</f>
        <v>0.125097987610724</v>
      </c>
      <c r="T140" s="4" t="n">
        <f aca="false">S140/$K140</f>
        <v>0.833986584071494</v>
      </c>
      <c r="V140" s="4"/>
      <c r="W140" s="4"/>
    </row>
    <row r="141" customFormat="false" ht="14.25" hidden="false" customHeight="false" outlineLevel="0" collapsed="false">
      <c r="B141" s="2" t="n">
        <v>12</v>
      </c>
      <c r="C141" s="3" t="n">
        <v>500</v>
      </c>
      <c r="D141" s="3" t="n">
        <v>4</v>
      </c>
      <c r="E141" s="2" t="n">
        <v>90.67</v>
      </c>
      <c r="F141" s="4" t="n">
        <v>3.269</v>
      </c>
      <c r="G141" s="2" t="n">
        <v>25</v>
      </c>
      <c r="H141" s="2" t="n">
        <v>31</v>
      </c>
      <c r="I141" s="5" t="n">
        <v>0.026968773854658</v>
      </c>
      <c r="J141" s="4" t="n">
        <v>194.676418833997</v>
      </c>
      <c r="K141" s="4" t="n">
        <v>0.15</v>
      </c>
      <c r="L141" s="6" t="n">
        <f aca="false">J141/200000</f>
        <v>0.000973382094169985</v>
      </c>
      <c r="P141" s="4" t="n">
        <f aca="false">$Q$2*($Q$3*$G141+$Q$4*$B141^$Q$5*$I141^$Q$6)*$L141^$Q$7</f>
        <v>0.163568550100682</v>
      </c>
      <c r="Q141" s="4" t="n">
        <f aca="false">P141/$K141</f>
        <v>1.09045700067121</v>
      </c>
      <c r="S141" s="4" t="n">
        <f aca="false">$T$2*$B141^$T$3*$L141^$T$4*($T$5*$I141^$T$6+$T$7)</f>
        <v>0.15601178950949</v>
      </c>
      <c r="T141" s="4" t="n">
        <f aca="false">S141/$K141</f>
        <v>1.04007859672993</v>
      </c>
      <c r="V141" s="4"/>
      <c r="W141" s="4"/>
    </row>
    <row r="142" customFormat="false" ht="14.25" hidden="false" customHeight="false" outlineLevel="0" collapsed="false">
      <c r="B142" s="2" t="n">
        <v>12</v>
      </c>
      <c r="C142" s="3" t="n">
        <v>500</v>
      </c>
      <c r="D142" s="3" t="n">
        <v>4</v>
      </c>
      <c r="E142" s="2" t="n">
        <v>90.67</v>
      </c>
      <c r="F142" s="4" t="n">
        <v>3.269</v>
      </c>
      <c r="G142" s="2" t="n">
        <v>25</v>
      </c>
      <c r="H142" s="2" t="n">
        <v>31</v>
      </c>
      <c r="I142" s="5" t="n">
        <v>0.026968773854658</v>
      </c>
      <c r="J142" s="4" t="n">
        <v>239.035194182845</v>
      </c>
      <c r="K142" s="4" t="n">
        <v>0.18</v>
      </c>
      <c r="L142" s="6" t="n">
        <f aca="false">J142/200000</f>
        <v>0.00119517597091423</v>
      </c>
      <c r="P142" s="4" t="n">
        <f aca="false">$Q$2*($Q$3*$G142+$Q$4*$B142^$Q$5*$I142^$Q$6)*$L142^$Q$7</f>
        <v>0.194270226774673</v>
      </c>
      <c r="Q142" s="4" t="n">
        <f aca="false">P142/$K142</f>
        <v>1.07927903763707</v>
      </c>
      <c r="S142" s="4" t="n">
        <f aca="false">$T$2*$B142^$T$3*$L142^$T$4*($T$5*$I142^$T$6+$T$7)</f>
        <v>0.185904643429305</v>
      </c>
      <c r="T142" s="4" t="n">
        <f aca="false">S142/$K142</f>
        <v>1.03280357460725</v>
      </c>
      <c r="V142" s="4"/>
      <c r="W142" s="4"/>
    </row>
    <row r="143" customFormat="false" ht="14.25" hidden="false" customHeight="false" outlineLevel="0" collapsed="false">
      <c r="A143" s="1" t="s">
        <v>53</v>
      </c>
      <c r="B143" s="2" t="n">
        <v>12</v>
      </c>
      <c r="C143" s="3" t="n">
        <v>500</v>
      </c>
      <c r="D143" s="3" t="n">
        <v>4</v>
      </c>
      <c r="E143" s="2" t="n">
        <v>90.67</v>
      </c>
      <c r="F143" s="4" t="n">
        <v>3.269</v>
      </c>
      <c r="G143" s="2" t="n">
        <v>25</v>
      </c>
      <c r="H143" s="2" t="n">
        <v>31</v>
      </c>
      <c r="I143" s="5" t="n">
        <v>0.026968773854658</v>
      </c>
      <c r="J143" s="4" t="n">
        <v>150.317643485149</v>
      </c>
      <c r="K143" s="4" t="n">
        <v>0.18</v>
      </c>
      <c r="L143" s="6" t="n">
        <f aca="false">J143/200000</f>
        <v>0.000751588217425745</v>
      </c>
      <c r="P143" s="4" t="n">
        <f aca="false">$Q$2*($Q$3*$G143+$Q$4*$B143^$Q$5*$I143^$Q$6)*$L143^$Q$7</f>
        <v>0.131701148837012</v>
      </c>
      <c r="Q143" s="4" t="n">
        <f aca="false">P143/$K143</f>
        <v>0.731673049094512</v>
      </c>
      <c r="S143" s="4" t="n">
        <f aca="false">$T$2*$B143^$T$3*$L143^$T$4*($T$5*$I143^$T$6+$T$7)</f>
        <v>0.125097987610724</v>
      </c>
      <c r="T143" s="4" t="n">
        <f aca="false">S143/$K143</f>
        <v>0.694988820059578</v>
      </c>
      <c r="V143" s="4"/>
      <c r="W143" s="4"/>
    </row>
    <row r="144" customFormat="false" ht="14.25" hidden="false" customHeight="false" outlineLevel="0" collapsed="false">
      <c r="B144" s="2" t="n">
        <v>12</v>
      </c>
      <c r="C144" s="3" t="n">
        <v>500</v>
      </c>
      <c r="D144" s="3" t="n">
        <v>4</v>
      </c>
      <c r="E144" s="2" t="n">
        <v>90.67</v>
      </c>
      <c r="F144" s="4" t="n">
        <v>3.269</v>
      </c>
      <c r="G144" s="2" t="n">
        <v>25</v>
      </c>
      <c r="H144" s="2" t="n">
        <v>31</v>
      </c>
      <c r="I144" s="5" t="n">
        <v>0.026968773854658</v>
      </c>
      <c r="J144" s="4" t="n">
        <v>194.676418833997</v>
      </c>
      <c r="K144" s="4" t="n">
        <v>0.2</v>
      </c>
      <c r="L144" s="6" t="n">
        <f aca="false">J144/200000</f>
        <v>0.000973382094169985</v>
      </c>
      <c r="P144" s="4" t="n">
        <f aca="false">$Q$2*($Q$3*$G144+$Q$4*$B144^$Q$5*$I144^$Q$6)*$L144^$Q$7</f>
        <v>0.163568550100682</v>
      </c>
      <c r="Q144" s="4" t="n">
        <f aca="false">P144/$K144</f>
        <v>0.81784275050341</v>
      </c>
      <c r="S144" s="4" t="n">
        <f aca="false">$T$2*$B144^$T$3*$L144^$T$4*($T$5*$I144^$T$6+$T$7)</f>
        <v>0.15601178950949</v>
      </c>
      <c r="T144" s="4" t="n">
        <f aca="false">S144/$K144</f>
        <v>0.780058947547448</v>
      </c>
      <c r="V144" s="4"/>
      <c r="W144" s="4"/>
    </row>
    <row r="145" customFormat="false" ht="14.25" hidden="false" customHeight="false" outlineLevel="0" collapsed="false">
      <c r="B145" s="2" t="n">
        <v>12</v>
      </c>
      <c r="C145" s="3" t="n">
        <v>500</v>
      </c>
      <c r="D145" s="3" t="n">
        <v>4</v>
      </c>
      <c r="E145" s="2" t="n">
        <v>90.67</v>
      </c>
      <c r="F145" s="4" t="n">
        <v>3.269</v>
      </c>
      <c r="G145" s="2" t="n">
        <v>25</v>
      </c>
      <c r="H145" s="2" t="n">
        <v>31</v>
      </c>
      <c r="I145" s="5" t="n">
        <v>0.026968773854658</v>
      </c>
      <c r="J145" s="4" t="n">
        <v>239.035194182845</v>
      </c>
      <c r="K145" s="4" t="n">
        <v>0.23</v>
      </c>
      <c r="L145" s="6" t="n">
        <f aca="false">J145/200000</f>
        <v>0.00119517597091423</v>
      </c>
      <c r="P145" s="4" t="n">
        <f aca="false">$Q$2*($Q$3*$G145+$Q$4*$B145^$Q$5*$I145^$Q$6)*$L145^$Q$7</f>
        <v>0.194270226774673</v>
      </c>
      <c r="Q145" s="4" t="n">
        <f aca="false">P145/$K145</f>
        <v>0.844653159889884</v>
      </c>
      <c r="S145" s="4" t="n">
        <f aca="false">$T$2*$B145^$T$3*$L145^$T$4*($T$5*$I145^$T$6+$T$7)</f>
        <v>0.185904643429305</v>
      </c>
      <c r="T145" s="4" t="n">
        <f aca="false">S145/$K145</f>
        <v>0.808281058388281</v>
      </c>
      <c r="V145" s="4"/>
      <c r="W145" s="4"/>
    </row>
    <row r="146" customFormat="false" ht="14.25" hidden="false" customHeight="false" outlineLevel="0" collapsed="false">
      <c r="A146" s="1" t="s">
        <v>54</v>
      </c>
      <c r="B146" s="2" t="n">
        <v>10</v>
      </c>
      <c r="C146" s="3" t="n">
        <v>528</v>
      </c>
      <c r="D146" s="3" t="n">
        <v>1</v>
      </c>
      <c r="E146" s="2" t="n">
        <v>45</v>
      </c>
      <c r="F146" s="4" t="n">
        <v>2.8</v>
      </c>
      <c r="G146" s="2" t="n">
        <v>40</v>
      </c>
      <c r="H146" s="2" t="n">
        <v>45</v>
      </c>
      <c r="I146" s="5" t="n">
        <v>0.0114013751634802</v>
      </c>
      <c r="J146" s="4" t="n">
        <v>144.993931194023</v>
      </c>
      <c r="K146" s="4" t="n">
        <v>0.16</v>
      </c>
      <c r="L146" s="6" t="n">
        <f aca="false">J146/200000</f>
        <v>0.000724969655970115</v>
      </c>
      <c r="P146" s="4" t="n">
        <f aca="false">$Q$2*($Q$3*$G146+$Q$4*$B146^$Q$5*$I146^$Q$6)*$L146^$Q$7</f>
        <v>0.160449074709197</v>
      </c>
      <c r="Q146" s="4" t="n">
        <f aca="false">P146/$K146</f>
        <v>1.00280671693248</v>
      </c>
      <c r="S146" s="4" t="n">
        <f aca="false">$T$2*$B146^$T$3*$L146^$T$4*($T$5*$I146^$T$6+$T$7)</f>
        <v>0.159569404728959</v>
      </c>
      <c r="T146" s="4" t="n">
        <f aca="false">S146/$K146</f>
        <v>0.997308779555994</v>
      </c>
      <c r="V146" s="4"/>
      <c r="W146" s="4"/>
    </row>
    <row r="147" customFormat="false" ht="14.25" hidden="false" customHeight="false" outlineLevel="0" collapsed="false">
      <c r="B147" s="2" t="n">
        <v>10</v>
      </c>
      <c r="C147" s="3" t="n">
        <v>528</v>
      </c>
      <c r="D147" s="3" t="n">
        <v>1</v>
      </c>
      <c r="E147" s="2" t="n">
        <v>45</v>
      </c>
      <c r="F147" s="4" t="n">
        <v>2.8</v>
      </c>
      <c r="G147" s="2" t="n">
        <v>40</v>
      </c>
      <c r="H147" s="2" t="n">
        <v>45</v>
      </c>
      <c r="I147" s="5" t="n">
        <v>0.0114013751634802</v>
      </c>
      <c r="J147" s="4" t="n">
        <v>175.097508106382</v>
      </c>
      <c r="K147" s="4" t="n">
        <v>0.18</v>
      </c>
      <c r="L147" s="6" t="n">
        <f aca="false">J147/200000</f>
        <v>0.000875487540531911</v>
      </c>
      <c r="P147" s="4" t="n">
        <f aca="false">$Q$2*($Q$3*$G147+$Q$4*$B147^$Q$5*$I147^$Q$6)*$L147^$Q$7</f>
        <v>0.187929377269987</v>
      </c>
      <c r="Q147" s="4" t="n">
        <f aca="false">P147/$K147</f>
        <v>1.04405209594437</v>
      </c>
      <c r="S147" s="4" t="n">
        <f aca="false">$T$2*$B147^$T$3*$L147^$T$4*($T$5*$I147^$T$6+$T$7)</f>
        <v>0.187464036862495</v>
      </c>
      <c r="T147" s="4" t="n">
        <f aca="false">S147/$K147</f>
        <v>1.04146687145831</v>
      </c>
      <c r="V147" s="4"/>
      <c r="W147" s="4"/>
    </row>
    <row r="148" customFormat="false" ht="14.25" hidden="false" customHeight="false" outlineLevel="0" collapsed="false">
      <c r="B148" s="2" t="n">
        <v>10</v>
      </c>
      <c r="C148" s="3" t="n">
        <v>528</v>
      </c>
      <c r="D148" s="3" t="n">
        <v>1</v>
      </c>
      <c r="E148" s="2" t="n">
        <v>45</v>
      </c>
      <c r="F148" s="4" t="n">
        <v>2.8</v>
      </c>
      <c r="G148" s="2" t="n">
        <v>40</v>
      </c>
      <c r="H148" s="2" t="n">
        <v>45</v>
      </c>
      <c r="I148" s="5" t="n">
        <v>0.0114013751634802</v>
      </c>
      <c r="J148" s="4" t="n">
        <v>209.214895273723</v>
      </c>
      <c r="K148" s="4" t="n">
        <v>0.2</v>
      </c>
      <c r="L148" s="6" t="n">
        <f aca="false">J148/200000</f>
        <v>0.00104607447636861</v>
      </c>
      <c r="P148" s="4" t="n">
        <f aca="false">$Q$2*($Q$3*$G148+$Q$4*$B148^$Q$5*$I148^$Q$6)*$L148^$Q$7</f>
        <v>0.218163786906593</v>
      </c>
      <c r="Q148" s="4" t="n">
        <f aca="false">P148/$K148</f>
        <v>1.09081893453296</v>
      </c>
      <c r="S148" s="4" t="n">
        <f aca="false">$T$2*$B148^$T$3*$L148^$T$4*($T$5*$I148^$T$6+$T$7)</f>
        <v>0.21824432317347</v>
      </c>
      <c r="T148" s="4" t="n">
        <f aca="false">S148/$K148</f>
        <v>1.09122161586735</v>
      </c>
      <c r="V148" s="4"/>
      <c r="W148" s="4"/>
    </row>
    <row r="149" customFormat="false" ht="14.25" hidden="false" customHeight="false" outlineLevel="0" collapsed="false">
      <c r="B149" s="2" t="n">
        <v>10</v>
      </c>
      <c r="C149" s="3" t="n">
        <v>528</v>
      </c>
      <c r="D149" s="3" t="n">
        <v>1</v>
      </c>
      <c r="E149" s="2" t="n">
        <v>45</v>
      </c>
      <c r="F149" s="4" t="n">
        <v>2.8</v>
      </c>
      <c r="G149" s="2" t="n">
        <v>40</v>
      </c>
      <c r="H149" s="2" t="n">
        <v>45</v>
      </c>
      <c r="I149" s="5" t="n">
        <v>0.0114013751634802</v>
      </c>
      <c r="J149" s="4" t="n">
        <v>239.318472186082</v>
      </c>
      <c r="K149" s="4" t="n">
        <v>0.22</v>
      </c>
      <c r="L149" s="6" t="n">
        <f aca="false">J149/200000</f>
        <v>0.00119659236093041</v>
      </c>
      <c r="P149" s="4" t="n">
        <f aca="false">$Q$2*($Q$3*$G149+$Q$4*$B149^$Q$5*$I149^$Q$6)*$L149^$Q$7</f>
        <v>0.244178902456973</v>
      </c>
      <c r="Q149" s="4" t="n">
        <f aca="false">P149/$K149</f>
        <v>1.10990410207715</v>
      </c>
      <c r="S149" s="4" t="n">
        <f aca="false">$T$2*$B149^$T$3*$L149^$T$4*($T$5*$I149^$T$6+$T$7)</f>
        <v>0.244795013911715</v>
      </c>
      <c r="T149" s="4" t="n">
        <f aca="false">S149/$K149</f>
        <v>1.11270460868961</v>
      </c>
      <c r="V149" s="4"/>
      <c r="W149" s="4"/>
    </row>
    <row r="150" customFormat="false" ht="14.25" hidden="false" customHeight="false" outlineLevel="0" collapsed="false">
      <c r="B150" s="2" t="n">
        <v>10</v>
      </c>
      <c r="C150" s="3" t="n">
        <v>528</v>
      </c>
      <c r="D150" s="3" t="n">
        <v>1</v>
      </c>
      <c r="E150" s="2" t="n">
        <v>45</v>
      </c>
      <c r="F150" s="4" t="n">
        <v>2.8</v>
      </c>
      <c r="G150" s="2" t="n">
        <v>40</v>
      </c>
      <c r="H150" s="2" t="n">
        <v>45</v>
      </c>
      <c r="I150" s="5" t="n">
        <v>0.0114013751634802</v>
      </c>
      <c r="J150" s="4" t="n">
        <v>273.435859353422</v>
      </c>
      <c r="K150" s="4" t="n">
        <v>0.24</v>
      </c>
      <c r="L150" s="6" t="n">
        <f aca="false">J150/200000</f>
        <v>0.00136717929676711</v>
      </c>
      <c r="P150" s="4" t="n">
        <f aca="false">$Q$2*($Q$3*$G150+$Q$4*$B150^$Q$5*$I150^$Q$6)*$L150^$Q$7</f>
        <v>0.273030363021376</v>
      </c>
      <c r="Q150" s="4" t="n">
        <f aca="false">P150/$K150</f>
        <v>1.13762651258906</v>
      </c>
      <c r="S150" s="4" t="n">
        <f aca="false">$T$2*$B150^$T$3*$L150^$T$4*($T$5*$I150^$T$6+$T$7)</f>
        <v>0.274303560489258</v>
      </c>
      <c r="T150" s="4" t="n">
        <f aca="false">S150/$K150</f>
        <v>1.14293150203858</v>
      </c>
      <c r="V150" s="4"/>
      <c r="W150" s="4"/>
    </row>
    <row r="151" customFormat="false" ht="14.25" hidden="false" customHeight="false" outlineLevel="0" collapsed="false">
      <c r="B151" s="2" t="n">
        <v>10</v>
      </c>
      <c r="C151" s="3" t="n">
        <v>528</v>
      </c>
      <c r="D151" s="3" t="n">
        <v>1</v>
      </c>
      <c r="E151" s="2" t="n">
        <v>45</v>
      </c>
      <c r="F151" s="4" t="n">
        <v>2.8</v>
      </c>
      <c r="G151" s="2" t="n">
        <v>40</v>
      </c>
      <c r="H151" s="2" t="n">
        <v>45</v>
      </c>
      <c r="I151" s="5" t="n">
        <v>0.0114013751634802</v>
      </c>
      <c r="J151" s="4" t="n">
        <v>303.539436265782</v>
      </c>
      <c r="K151" s="4" t="n">
        <v>0.26</v>
      </c>
      <c r="L151" s="6" t="n">
        <f aca="false">J151/200000</f>
        <v>0.00151769718132891</v>
      </c>
      <c r="P151" s="4" t="n">
        <f aca="false">$Q$2*($Q$3*$G151+$Q$4*$B151^$Q$5*$I151^$Q$6)*$L151^$Q$7</f>
        <v>0.298004166987488</v>
      </c>
      <c r="Q151" s="4" t="n">
        <f aca="false">P151/$K151</f>
        <v>1.1461698730288</v>
      </c>
      <c r="S151" s="4" t="n">
        <f aca="false">$T$2*$B151^$T$3*$L151^$T$4*($T$5*$I151^$T$6+$T$7)</f>
        <v>0.299894561221522</v>
      </c>
      <c r="T151" s="4" t="n">
        <f aca="false">S151/$K151</f>
        <v>1.15344062008278</v>
      </c>
      <c r="V151" s="4"/>
      <c r="W151" s="4"/>
    </row>
    <row r="152" customFormat="false" ht="14.25" hidden="false" customHeight="false" outlineLevel="0" collapsed="false">
      <c r="B152" s="2" t="n">
        <v>10</v>
      </c>
      <c r="C152" s="3" t="n">
        <v>528</v>
      </c>
      <c r="D152" s="3" t="n">
        <v>1</v>
      </c>
      <c r="E152" s="2" t="n">
        <v>45</v>
      </c>
      <c r="F152" s="4" t="n">
        <v>2.8</v>
      </c>
      <c r="G152" s="2" t="n">
        <v>40</v>
      </c>
      <c r="H152" s="2" t="n">
        <v>45</v>
      </c>
      <c r="I152" s="5" t="n">
        <v>0.0114013751634802</v>
      </c>
      <c r="J152" s="4" t="n">
        <v>339.663728560613</v>
      </c>
      <c r="K152" s="4" t="n">
        <v>0.28</v>
      </c>
      <c r="L152" s="6" t="n">
        <f aca="false">J152/200000</f>
        <v>0.00169831864280306</v>
      </c>
      <c r="P152" s="4" t="n">
        <f aca="false">$Q$2*($Q$3*$G152+$Q$4*$B152^$Q$5*$I152^$Q$6)*$L152^$Q$7</f>
        <v>0.327450207720344</v>
      </c>
      <c r="Q152" s="4" t="n">
        <f aca="false">P152/$K152</f>
        <v>1.16946502757266</v>
      </c>
      <c r="S152" s="4" t="n">
        <f aca="false">$T$2*$B152^$T$3*$L152^$T$4*($T$5*$I152^$T$6+$T$7)</f>
        <v>0.330120783990039</v>
      </c>
      <c r="T152" s="4" t="n">
        <f aca="false">S152/$K152</f>
        <v>1.17900279996442</v>
      </c>
      <c r="V152" s="4"/>
      <c r="W152" s="4"/>
    </row>
    <row r="153" customFormat="false" ht="14.25" hidden="false" customHeight="false" outlineLevel="0" collapsed="false">
      <c r="A153" s="1" t="s">
        <v>55</v>
      </c>
      <c r="B153" s="2" t="n">
        <v>10</v>
      </c>
      <c r="C153" s="3" t="n">
        <v>528</v>
      </c>
      <c r="D153" s="3" t="n">
        <v>1</v>
      </c>
      <c r="E153" s="2" t="n">
        <v>45</v>
      </c>
      <c r="F153" s="4" t="n">
        <v>2.8</v>
      </c>
      <c r="G153" s="2" t="n">
        <v>40</v>
      </c>
      <c r="H153" s="2" t="n">
        <v>45</v>
      </c>
      <c r="I153" s="5" t="n">
        <v>0.0114013751634802</v>
      </c>
      <c r="J153" s="4" t="n">
        <v>110.876544026683</v>
      </c>
      <c r="K153" s="4" t="n">
        <v>0.15</v>
      </c>
      <c r="L153" s="6" t="n">
        <f aca="false">J153/200000</f>
        <v>0.000554382720133413</v>
      </c>
      <c r="P153" s="4" t="n">
        <f aca="false">$Q$2*($Q$3*$G153+$Q$4*$B153^$Q$5*$I153^$Q$6)*$L153^$Q$7</f>
        <v>0.128145014933013</v>
      </c>
      <c r="Q153" s="4" t="n">
        <f aca="false">P153/$K153</f>
        <v>0.854300099553418</v>
      </c>
      <c r="S153" s="4" t="n">
        <f aca="false">$T$2*$B153^$T$3*$L153^$T$4*($T$5*$I153^$T$6+$T$7)</f>
        <v>0.126896592907224</v>
      </c>
      <c r="T153" s="4" t="n">
        <f aca="false">S153/$K153</f>
        <v>0.84597728604816</v>
      </c>
      <c r="V153" s="4"/>
      <c r="W153" s="4"/>
    </row>
    <row r="154" customFormat="false" ht="14.25" hidden="false" customHeight="false" outlineLevel="0" collapsed="false">
      <c r="B154" s="2" t="n">
        <v>10</v>
      </c>
      <c r="C154" s="3" t="n">
        <v>528</v>
      </c>
      <c r="D154" s="3" t="n">
        <v>1</v>
      </c>
      <c r="E154" s="2" t="n">
        <v>45</v>
      </c>
      <c r="F154" s="4" t="n">
        <v>2.8</v>
      </c>
      <c r="G154" s="2" t="n">
        <v>40</v>
      </c>
      <c r="H154" s="2" t="n">
        <v>45</v>
      </c>
      <c r="I154" s="5" t="n">
        <v>0.0114013751634802</v>
      </c>
      <c r="J154" s="4" t="n">
        <v>144.993931194023</v>
      </c>
      <c r="K154" s="4" t="n">
        <v>0.17</v>
      </c>
      <c r="L154" s="6" t="n">
        <f aca="false">J154/200000</f>
        <v>0.000724969655970115</v>
      </c>
      <c r="P154" s="4" t="n">
        <f aca="false">$Q$2*($Q$3*$G154+$Q$4*$B154^$Q$5*$I154^$Q$6)*$L154^$Q$7</f>
        <v>0.160449074709197</v>
      </c>
      <c r="Q154" s="4" t="n">
        <f aca="false">P154/$K154</f>
        <v>0.943818086524687</v>
      </c>
      <c r="S154" s="4" t="n">
        <f aca="false">$T$2*$B154^$T$3*$L154^$T$4*($T$5*$I154^$T$6+$T$7)</f>
        <v>0.159569404728959</v>
      </c>
      <c r="T154" s="4" t="n">
        <f aca="false">S154/$K154</f>
        <v>0.93864355722917</v>
      </c>
      <c r="V154" s="4"/>
      <c r="W154" s="4"/>
    </row>
    <row r="155" customFormat="false" ht="14.25" hidden="false" customHeight="false" outlineLevel="0" collapsed="false">
      <c r="B155" s="2" t="n">
        <v>10</v>
      </c>
      <c r="C155" s="3" t="n">
        <v>528</v>
      </c>
      <c r="D155" s="3" t="n">
        <v>1</v>
      </c>
      <c r="E155" s="2" t="n">
        <v>45</v>
      </c>
      <c r="F155" s="4" t="n">
        <v>2.8</v>
      </c>
      <c r="G155" s="2" t="n">
        <v>40</v>
      </c>
      <c r="H155" s="2" t="n">
        <v>45</v>
      </c>
      <c r="I155" s="5" t="n">
        <v>0.0114013751634802</v>
      </c>
      <c r="J155" s="4" t="n">
        <v>177.104413233873</v>
      </c>
      <c r="K155" s="4" t="n">
        <v>0.19</v>
      </c>
      <c r="L155" s="6" t="n">
        <f aca="false">J155/200000</f>
        <v>0.000885522066169364</v>
      </c>
      <c r="P155" s="4" t="n">
        <f aca="false">$Q$2*($Q$3*$G155+$Q$4*$B155^$Q$5*$I155^$Q$6)*$L155^$Q$7</f>
        <v>0.189732743645064</v>
      </c>
      <c r="Q155" s="4" t="n">
        <f aca="false">P155/$K155</f>
        <v>0.998593387605598</v>
      </c>
      <c r="S155" s="4" t="n">
        <f aca="false">$T$2*$B155^$T$3*$L155^$T$4*($T$5*$I155^$T$6+$T$7)</f>
        <v>0.189297451815229</v>
      </c>
      <c r="T155" s="4" t="n">
        <f aca="false">S155/$K155</f>
        <v>0.996302377974887</v>
      </c>
      <c r="V155" s="4"/>
      <c r="W155" s="4"/>
    </row>
    <row r="156" customFormat="false" ht="14.25" hidden="false" customHeight="false" outlineLevel="0" collapsed="false">
      <c r="B156" s="2" t="n">
        <v>10</v>
      </c>
      <c r="C156" s="3" t="n">
        <v>528</v>
      </c>
      <c r="D156" s="3" t="n">
        <v>1</v>
      </c>
      <c r="E156" s="2" t="n">
        <v>45</v>
      </c>
      <c r="F156" s="4" t="n">
        <v>2.8</v>
      </c>
      <c r="G156" s="2" t="n">
        <v>40</v>
      </c>
      <c r="H156" s="2" t="n">
        <v>45</v>
      </c>
      <c r="I156" s="5" t="n">
        <v>0.0114013751634802</v>
      </c>
      <c r="J156" s="4" t="n">
        <v>206.204537582487</v>
      </c>
      <c r="K156" s="4" t="n">
        <v>0.2</v>
      </c>
      <c r="L156" s="6" t="n">
        <f aca="false">J156/200000</f>
        <v>0.00103102268791243</v>
      </c>
      <c r="P156" s="4" t="n">
        <f aca="false">$Q$2*($Q$3*$G156+$Q$4*$B156^$Q$5*$I156^$Q$6)*$L156^$Q$7</f>
        <v>0.215530119702628</v>
      </c>
      <c r="Q156" s="4" t="n">
        <f aca="false">P156/$K156</f>
        <v>1.07765059851314</v>
      </c>
      <c r="S156" s="4" t="n">
        <f aca="false">$T$2*$B156^$T$3*$L156^$T$4*($T$5*$I156^$T$6+$T$7)</f>
        <v>0.215559691016126</v>
      </c>
      <c r="T156" s="4" t="n">
        <f aca="false">S156/$K156</f>
        <v>1.07779845508063</v>
      </c>
      <c r="V156" s="4"/>
      <c r="W156" s="4"/>
    </row>
    <row r="157" customFormat="false" ht="14.25" hidden="false" customHeight="false" outlineLevel="0" collapsed="false">
      <c r="B157" s="2" t="n">
        <v>10</v>
      </c>
      <c r="C157" s="3" t="n">
        <v>528</v>
      </c>
      <c r="D157" s="3" t="n">
        <v>1</v>
      </c>
      <c r="E157" s="2" t="n">
        <v>45</v>
      </c>
      <c r="F157" s="4" t="n">
        <v>2.8</v>
      </c>
      <c r="G157" s="2" t="n">
        <v>40</v>
      </c>
      <c r="H157" s="2" t="n">
        <v>45</v>
      </c>
      <c r="I157" s="5" t="n">
        <v>0.0114013751634802</v>
      </c>
      <c r="J157" s="4" t="n">
        <v>239.318472186082</v>
      </c>
      <c r="K157" s="4" t="n">
        <v>0.22</v>
      </c>
      <c r="L157" s="6" t="n">
        <f aca="false">J157/200000</f>
        <v>0.00119659236093041</v>
      </c>
      <c r="P157" s="4" t="n">
        <f aca="false">$Q$2*($Q$3*$G157+$Q$4*$B157^$Q$5*$I157^$Q$6)*$L157^$Q$7</f>
        <v>0.244178902456973</v>
      </c>
      <c r="Q157" s="4" t="n">
        <f aca="false">P157/$K157</f>
        <v>1.10990410207715</v>
      </c>
      <c r="S157" s="4" t="n">
        <f aca="false">$T$2*$B157^$T$3*$L157^$T$4*($T$5*$I157^$T$6+$T$7)</f>
        <v>0.244795013911715</v>
      </c>
      <c r="T157" s="4" t="n">
        <f aca="false">S157/$K157</f>
        <v>1.11270460868961</v>
      </c>
      <c r="V157" s="4"/>
      <c r="W157" s="4"/>
    </row>
    <row r="158" customFormat="false" ht="14.25" hidden="false" customHeight="false" outlineLevel="0" collapsed="false">
      <c r="B158" s="2" t="n">
        <v>10</v>
      </c>
      <c r="C158" s="3" t="n">
        <v>528</v>
      </c>
      <c r="D158" s="3" t="n">
        <v>1</v>
      </c>
      <c r="E158" s="2" t="n">
        <v>45</v>
      </c>
      <c r="F158" s="4" t="n">
        <v>2.8</v>
      </c>
      <c r="G158" s="2" t="n">
        <v>40</v>
      </c>
      <c r="H158" s="2" t="n">
        <v>45</v>
      </c>
      <c r="I158" s="5" t="n">
        <v>0.0114013751634802</v>
      </c>
      <c r="J158" s="4" t="n">
        <v>272.432406789677</v>
      </c>
      <c r="K158" s="4" t="n">
        <v>0.24</v>
      </c>
      <c r="L158" s="6" t="n">
        <f aca="false">J158/200000</f>
        <v>0.00136216203394839</v>
      </c>
      <c r="P158" s="4" t="n">
        <f aca="false">$Q$2*($Q$3*$G158+$Q$4*$B158^$Q$5*$I158^$Q$6)*$L158^$Q$7</f>
        <v>0.272190466846896</v>
      </c>
      <c r="Q158" s="4" t="n">
        <f aca="false">P158/$K158</f>
        <v>1.1341269451954</v>
      </c>
      <c r="S158" s="4" t="n">
        <f aca="false">$T$2*$B158^$T$3*$L158^$T$4*($T$5*$I158^$T$6+$T$7)</f>
        <v>0.27344366199884</v>
      </c>
      <c r="T158" s="4" t="n">
        <f aca="false">S158/$K158</f>
        <v>1.13934859166184</v>
      </c>
      <c r="V158" s="4"/>
      <c r="W158" s="4"/>
    </row>
    <row r="159" customFormat="false" ht="14.25" hidden="false" customHeight="false" outlineLevel="0" collapsed="false">
      <c r="B159" s="2" t="n">
        <v>10</v>
      </c>
      <c r="C159" s="3" t="n">
        <v>528</v>
      </c>
      <c r="D159" s="3" t="n">
        <v>1</v>
      </c>
      <c r="E159" s="2" t="n">
        <v>45</v>
      </c>
      <c r="F159" s="4" t="n">
        <v>2.8</v>
      </c>
      <c r="G159" s="2" t="n">
        <v>40</v>
      </c>
      <c r="H159" s="2" t="n">
        <v>45</v>
      </c>
      <c r="I159" s="5" t="n">
        <v>0.0114013751634802</v>
      </c>
      <c r="J159" s="4" t="n">
        <v>300.529078574546</v>
      </c>
      <c r="K159" s="4" t="n">
        <v>0.26</v>
      </c>
      <c r="L159" s="6" t="n">
        <f aca="false">J159/200000</f>
        <v>0.00150264539287273</v>
      </c>
      <c r="P159" s="4" t="n">
        <f aca="false">$Q$2*($Q$3*$G159+$Q$4*$B159^$Q$5*$I159^$Q$6)*$L159^$Q$7</f>
        <v>0.295525492954198</v>
      </c>
      <c r="Q159" s="4" t="n">
        <f aca="false">P159/$K159</f>
        <v>1.1366365113623</v>
      </c>
      <c r="S159" s="4" t="n">
        <f aca="false">$T$2*$B159^$T$3*$L159^$T$4*($T$5*$I159^$T$6+$T$7)</f>
        <v>0.297352740349186</v>
      </c>
      <c r="T159" s="4" t="n">
        <f aca="false">S159/$K159</f>
        <v>1.14366438595841</v>
      </c>
      <c r="V159" s="4"/>
      <c r="W159" s="4"/>
    </row>
    <row r="160" customFormat="false" ht="14.25" hidden="false" customHeight="false" outlineLevel="0" collapsed="false">
      <c r="B160" s="2" t="n">
        <v>10</v>
      </c>
      <c r="C160" s="3" t="n">
        <v>528</v>
      </c>
      <c r="D160" s="3" t="n">
        <v>1</v>
      </c>
      <c r="E160" s="2" t="n">
        <v>45</v>
      </c>
      <c r="F160" s="4" t="n">
        <v>2.8</v>
      </c>
      <c r="G160" s="2" t="n">
        <v>40</v>
      </c>
      <c r="H160" s="2" t="n">
        <v>45</v>
      </c>
      <c r="I160" s="5" t="n">
        <v>0.0114013751634802</v>
      </c>
      <c r="J160" s="4" t="n">
        <v>327.622297795669</v>
      </c>
      <c r="K160" s="4" t="n">
        <v>0.29</v>
      </c>
      <c r="L160" s="6" t="n">
        <f aca="false">J160/200000</f>
        <v>0.00163811148897834</v>
      </c>
      <c r="P160" s="4" t="n">
        <f aca="false">$Q$2*($Q$3*$G160+$Q$4*$B160^$Q$5*$I160^$Q$6)*$L160^$Q$7</f>
        <v>0.317694002591752</v>
      </c>
      <c r="Q160" s="4" t="n">
        <f aca="false">P160/$K160</f>
        <v>1.09549656066121</v>
      </c>
      <c r="S160" s="4" t="n">
        <f aca="false">$T$2*$B160^$T$3*$L160^$T$4*($T$5*$I160^$T$6+$T$7)</f>
        <v>0.32010009449657</v>
      </c>
      <c r="T160" s="4" t="n">
        <f aca="false">S160/$K160</f>
        <v>1.10379342929852</v>
      </c>
      <c r="V160" s="4"/>
      <c r="W160" s="4"/>
    </row>
    <row r="161" customFormat="false" ht="14.25" hidden="false" customHeight="false" outlineLevel="0" collapsed="false">
      <c r="A161" s="1" t="s">
        <v>56</v>
      </c>
      <c r="B161" s="2" t="n">
        <v>20</v>
      </c>
      <c r="C161" s="3" t="n">
        <v>598</v>
      </c>
      <c r="D161" s="3" t="n">
        <v>1</v>
      </c>
      <c r="E161" s="2" t="n">
        <v>40</v>
      </c>
      <c r="F161" s="4" t="n">
        <v>2.8</v>
      </c>
      <c r="G161" s="2" t="n">
        <v>40</v>
      </c>
      <c r="H161" s="2" t="n">
        <v>50</v>
      </c>
      <c r="I161" s="5" t="n">
        <v>0.0541238331858136</v>
      </c>
      <c r="J161" s="4" t="n">
        <v>158.125313408909</v>
      </c>
      <c r="K161" s="4" t="n">
        <v>0.17</v>
      </c>
      <c r="L161" s="6" t="n">
        <f aca="false">J161/200000</f>
        <v>0.000790626567044546</v>
      </c>
      <c r="P161" s="4" t="n">
        <f aca="false">$Q$2*($Q$3*$G161+$Q$4*$B161^$Q$5*$I161^$Q$6)*$L161^$Q$7</f>
        <v>0.17132677907286</v>
      </c>
      <c r="Q161" s="4" t="n">
        <f aca="false">P161/$K161</f>
        <v>1.00780458278153</v>
      </c>
      <c r="S161" s="4" t="n">
        <f aca="false">$T$2*$B161^$T$3*$L161^$T$4*($T$5*$I161^$T$6+$T$7)</f>
        <v>0.165923970266547</v>
      </c>
      <c r="T161" s="4" t="n">
        <f aca="false">S161/$K161</f>
        <v>0.976023354509103</v>
      </c>
      <c r="V161" s="4"/>
      <c r="W161" s="4"/>
    </row>
    <row r="162" customFormat="false" ht="14.25" hidden="false" customHeight="false" outlineLevel="0" collapsed="false">
      <c r="B162" s="2" t="n">
        <v>20</v>
      </c>
      <c r="C162" s="3" t="n">
        <v>598</v>
      </c>
      <c r="D162" s="3" t="n">
        <v>1</v>
      </c>
      <c r="E162" s="2" t="n">
        <v>40</v>
      </c>
      <c r="F162" s="4" t="n">
        <v>2.8</v>
      </c>
      <c r="G162" s="2" t="n">
        <v>40</v>
      </c>
      <c r="H162" s="2" t="n">
        <v>50</v>
      </c>
      <c r="I162" s="5" t="n">
        <v>0.0541238331858136</v>
      </c>
      <c r="J162" s="4" t="n">
        <v>195.989693456471</v>
      </c>
      <c r="K162" s="4" t="n">
        <v>0.2</v>
      </c>
      <c r="L162" s="6" t="n">
        <f aca="false">J162/200000</f>
        <v>0.000979948467282353</v>
      </c>
      <c r="P162" s="4" t="n">
        <f aca="false">$Q$2*($Q$3*$G162+$Q$4*$B162^$Q$5*$I162^$Q$6)*$L162^$Q$7</f>
        <v>0.20509427017991</v>
      </c>
      <c r="Q162" s="4" t="n">
        <f aca="false">P162/$K162</f>
        <v>1.02547135089955</v>
      </c>
      <c r="S162" s="4" t="n">
        <f aca="false">$T$2*$B162^$T$3*$L162^$T$4*($T$5*$I162^$T$6+$T$7)</f>
        <v>0.199310013052524</v>
      </c>
      <c r="T162" s="4" t="n">
        <f aca="false">S162/$K162</f>
        <v>0.996550065262621</v>
      </c>
      <c r="V162" s="4"/>
      <c r="W162" s="4"/>
    </row>
    <row r="163" customFormat="false" ht="14.25" hidden="false" customHeight="false" outlineLevel="0" collapsed="false">
      <c r="B163" s="2" t="n">
        <v>20</v>
      </c>
      <c r="C163" s="3" t="n">
        <v>598</v>
      </c>
      <c r="D163" s="3" t="n">
        <v>1</v>
      </c>
      <c r="E163" s="2" t="n">
        <v>40</v>
      </c>
      <c r="F163" s="4" t="n">
        <v>2.8</v>
      </c>
      <c r="G163" s="2" t="n">
        <v>40</v>
      </c>
      <c r="H163" s="2" t="n">
        <v>50</v>
      </c>
      <c r="I163" s="5" t="n">
        <v>0.0541238331858136</v>
      </c>
      <c r="J163" s="4" t="n">
        <v>233.418982342947</v>
      </c>
      <c r="K163" s="4" t="n">
        <v>0.24</v>
      </c>
      <c r="L163" s="6" t="n">
        <f aca="false">J163/200000</f>
        <v>0.00116709491171473</v>
      </c>
      <c r="P163" s="4" t="n">
        <f aca="false">$Q$2*($Q$3*$G163+$Q$4*$B163^$Q$5*$I163^$Q$6)*$L163^$Q$7</f>
        <v>0.237443447457113</v>
      </c>
      <c r="Q163" s="4" t="n">
        <f aca="false">P163/$K163</f>
        <v>0.989347697737971</v>
      </c>
      <c r="S163" s="4" t="n">
        <f aca="false">$T$2*$B163^$T$3*$L163^$T$4*($T$5*$I163^$T$6+$T$7)</f>
        <v>0.231393005125429</v>
      </c>
      <c r="T163" s="4" t="n">
        <f aca="false">S163/$K163</f>
        <v>0.964137521355955</v>
      </c>
      <c r="V163" s="4"/>
      <c r="W163" s="4"/>
    </row>
    <row r="164" customFormat="false" ht="14.25" hidden="false" customHeight="false" outlineLevel="0" collapsed="false">
      <c r="B164" s="2" t="n">
        <v>20</v>
      </c>
      <c r="C164" s="3" t="n">
        <v>598</v>
      </c>
      <c r="D164" s="3" t="n">
        <v>1</v>
      </c>
      <c r="E164" s="2" t="n">
        <v>40</v>
      </c>
      <c r="F164" s="4" t="n">
        <v>2.8</v>
      </c>
      <c r="G164" s="2" t="n">
        <v>40</v>
      </c>
      <c r="H164" s="2" t="n">
        <v>50</v>
      </c>
      <c r="I164" s="5" t="n">
        <v>0.0541238331858136</v>
      </c>
      <c r="J164" s="4" t="n">
        <v>270.641479578116</v>
      </c>
      <c r="K164" s="4" t="n">
        <v>0.27</v>
      </c>
      <c r="L164" s="6" t="n">
        <f aca="false">J164/200000</f>
        <v>0.00135320739789058</v>
      </c>
      <c r="P164" s="4" t="n">
        <f aca="false">$Q$2*($Q$3*$G164+$Q$4*$B164^$Q$5*$I164^$Q$6)*$L164^$Q$7</f>
        <v>0.268787179779101</v>
      </c>
      <c r="Q164" s="4" t="n">
        <f aca="false">P164/$K164</f>
        <v>0.995508073255929</v>
      </c>
      <c r="S164" s="4" t="n">
        <f aca="false">$T$2*$B164^$T$3*$L164^$T$4*($T$5*$I164^$T$6+$T$7)</f>
        <v>0.262558884561521</v>
      </c>
      <c r="T164" s="4" t="n">
        <f aca="false">S164/$K164</f>
        <v>0.972440313190818</v>
      </c>
      <c r="V164" s="4"/>
      <c r="W164" s="4"/>
    </row>
    <row r="165" customFormat="false" ht="14.25" hidden="false" customHeight="false" outlineLevel="0" collapsed="false">
      <c r="B165" s="2" t="n">
        <v>20</v>
      </c>
      <c r="C165" s="3" t="n">
        <v>598</v>
      </c>
      <c r="D165" s="3" t="n">
        <v>1</v>
      </c>
      <c r="E165" s="2" t="n">
        <v>40</v>
      </c>
      <c r="F165" s="4" t="n">
        <v>2.8</v>
      </c>
      <c r="G165" s="2" t="n">
        <v>40</v>
      </c>
      <c r="H165" s="2" t="n">
        <v>50</v>
      </c>
      <c r="I165" s="5" t="n">
        <v>0.0541238331858136</v>
      </c>
      <c r="J165" s="4" t="n">
        <v>307.450393510673</v>
      </c>
      <c r="K165" s="4" t="n">
        <v>0.32</v>
      </c>
      <c r="L165" s="6" t="n">
        <f aca="false">J165/200000</f>
        <v>0.00153725196755337</v>
      </c>
      <c r="P165" s="4" t="n">
        <f aca="false">$Q$2*($Q$3*$G165+$Q$4*$B165^$Q$5*$I165^$Q$6)*$L165^$Q$7</f>
        <v>0.2991007983691</v>
      </c>
      <c r="Q165" s="4" t="n">
        <f aca="false">P165/$K165</f>
        <v>0.934689994903438</v>
      </c>
      <c r="S165" s="4" t="n">
        <f aca="false">$T$2*$B165^$T$3*$L165^$T$4*($T$5*$I165^$T$6+$T$7)</f>
        <v>0.292766803847425</v>
      </c>
      <c r="T165" s="4" t="n">
        <f aca="false">S165/$K165</f>
        <v>0.914896262023202</v>
      </c>
      <c r="V165" s="4"/>
      <c r="W165" s="4"/>
    </row>
    <row r="166" customFormat="false" ht="14.25" hidden="false" customHeight="false" outlineLevel="0" collapsed="false">
      <c r="B166" s="2" t="n">
        <v>20</v>
      </c>
      <c r="C166" s="3" t="n">
        <v>598</v>
      </c>
      <c r="D166" s="3" t="n">
        <v>1</v>
      </c>
      <c r="E166" s="2" t="n">
        <v>40</v>
      </c>
      <c r="F166" s="4" t="n">
        <v>2.8</v>
      </c>
      <c r="G166" s="2" t="n">
        <v>40</v>
      </c>
      <c r="H166" s="2" t="n">
        <v>50</v>
      </c>
      <c r="I166" s="5" t="n">
        <v>0.0541238331858136</v>
      </c>
      <c r="J166" s="4" t="n">
        <v>345.293265699762</v>
      </c>
      <c r="K166" s="4" t="n">
        <v>0.34</v>
      </c>
      <c r="L166" s="6" t="n">
        <f aca="false">J166/200000</f>
        <v>0.00172646632849881</v>
      </c>
      <c r="P166" s="4" t="n">
        <f aca="false">$Q$2*($Q$3*$G166+$Q$4*$B166^$Q$5*$I166^$Q$6)*$L166^$Q$7</f>
        <v>0.329658070553288</v>
      </c>
      <c r="Q166" s="4" t="n">
        <f aca="false">P166/$K166</f>
        <v>0.969582560450846</v>
      </c>
      <c r="S166" s="4" t="n">
        <f aca="false">$T$2*$B166^$T$3*$L166^$T$4*($T$5*$I166^$T$6+$T$7)</f>
        <v>0.323276831294466</v>
      </c>
      <c r="T166" s="4" t="n">
        <f aca="false">S166/$K166</f>
        <v>0.950814209689607</v>
      </c>
      <c r="V166" s="4"/>
      <c r="W166" s="4"/>
    </row>
    <row r="167" customFormat="false" ht="14.25" hidden="false" customHeight="false" outlineLevel="0" collapsed="false">
      <c r="A167" s="1" t="s">
        <v>57</v>
      </c>
      <c r="B167" s="2" t="n">
        <v>20</v>
      </c>
      <c r="C167" s="3" t="n">
        <v>598</v>
      </c>
      <c r="D167" s="3" t="n">
        <v>1</v>
      </c>
      <c r="E167" s="2" t="n">
        <v>40</v>
      </c>
      <c r="F167" s="4" t="n">
        <v>2.8</v>
      </c>
      <c r="G167" s="2" t="n">
        <v>40</v>
      </c>
      <c r="H167" s="2" t="n">
        <v>50</v>
      </c>
      <c r="I167" s="5" t="n">
        <v>0.0541238331858136</v>
      </c>
      <c r="J167" s="4" t="n">
        <v>126.536596314205</v>
      </c>
      <c r="K167" s="4" t="n">
        <v>0.16</v>
      </c>
      <c r="L167" s="6" t="n">
        <f aca="false">J167/200000</f>
        <v>0.000632682981571025</v>
      </c>
      <c r="P167" s="4" t="n">
        <f aca="false">$Q$2*($Q$3*$G167+$Q$4*$B167^$Q$5*$I167^$Q$6)*$L167^$Q$7</f>
        <v>0.142140948747082</v>
      </c>
      <c r="Q167" s="4" t="n">
        <f aca="false">P167/$K167</f>
        <v>0.888380929669263</v>
      </c>
      <c r="S167" s="4" t="n">
        <f aca="false">$T$2*$B167^$T$3*$L167^$T$4*($T$5*$I167^$T$6+$T$7)</f>
        <v>0.137168543342066</v>
      </c>
      <c r="T167" s="4" t="n">
        <f aca="false">S167/$K167</f>
        <v>0.857303395887911</v>
      </c>
      <c r="V167" s="4"/>
      <c r="W167" s="4"/>
    </row>
    <row r="168" customFormat="false" ht="14.25" hidden="false" customHeight="false" outlineLevel="0" collapsed="false">
      <c r="B168" s="2" t="n">
        <v>20</v>
      </c>
      <c r="C168" s="3" t="n">
        <v>598</v>
      </c>
      <c r="D168" s="3" t="n">
        <v>1</v>
      </c>
      <c r="E168" s="2" t="n">
        <v>40</v>
      </c>
      <c r="F168" s="4" t="n">
        <v>2.8</v>
      </c>
      <c r="G168" s="2" t="n">
        <v>40</v>
      </c>
      <c r="H168" s="2" t="n">
        <v>50</v>
      </c>
      <c r="I168" s="5" t="n">
        <v>0.0541238331858136</v>
      </c>
      <c r="J168" s="4" t="n">
        <v>158.669946462266</v>
      </c>
      <c r="K168" s="4" t="n">
        <v>0.2</v>
      </c>
      <c r="L168" s="6" t="n">
        <f aca="false">J168/200000</f>
        <v>0.000793349732311331</v>
      </c>
      <c r="P168" s="4" t="n">
        <f aca="false">$Q$2*($Q$3*$G168+$Q$4*$B168^$Q$5*$I168^$Q$6)*$L168^$Q$7</f>
        <v>0.171821147635017</v>
      </c>
      <c r="Q168" s="4" t="n">
        <f aca="false">P168/$K168</f>
        <v>0.859105738175085</v>
      </c>
      <c r="S168" s="4" t="n">
        <f aca="false">$T$2*$B168^$T$3*$L168^$T$4*($T$5*$I168^$T$6+$T$7)</f>
        <v>0.166411903647177</v>
      </c>
      <c r="T168" s="4" t="n">
        <f aca="false">S168/$K168</f>
        <v>0.832059518235887</v>
      </c>
      <c r="V168" s="4"/>
      <c r="W168" s="4"/>
    </row>
    <row r="169" customFormat="false" ht="14.25" hidden="false" customHeight="false" outlineLevel="0" collapsed="false">
      <c r="B169" s="2" t="n">
        <v>20</v>
      </c>
      <c r="C169" s="3" t="n">
        <v>598</v>
      </c>
      <c r="D169" s="3" t="n">
        <v>1</v>
      </c>
      <c r="E169" s="2" t="n">
        <v>40</v>
      </c>
      <c r="F169" s="4" t="n">
        <v>2.8</v>
      </c>
      <c r="G169" s="2" t="n">
        <v>40</v>
      </c>
      <c r="H169" s="2" t="n">
        <v>50</v>
      </c>
      <c r="I169" s="5" t="n">
        <v>0.0541238331858136</v>
      </c>
      <c r="J169" s="4" t="n">
        <v>195.369318502551</v>
      </c>
      <c r="K169" s="4" t="n">
        <v>0.24</v>
      </c>
      <c r="L169" s="6" t="n">
        <f aca="false">J169/200000</f>
        <v>0.000976846592512755</v>
      </c>
      <c r="P169" s="4" t="n">
        <f aca="false">$Q$2*($Q$3*$G169+$Q$4*$B169^$Q$5*$I169^$Q$6)*$L169^$Q$7</f>
        <v>0.204550105886866</v>
      </c>
      <c r="Q169" s="4" t="n">
        <f aca="false">P169/$K169</f>
        <v>0.852292107861943</v>
      </c>
      <c r="S169" s="4" t="n">
        <f aca="false">$T$2*$B169^$T$3*$L169^$T$4*($T$5*$I169^$T$6+$T$7)</f>
        <v>0.198771112693398</v>
      </c>
      <c r="T169" s="4" t="n">
        <f aca="false">S169/$K169</f>
        <v>0.828212969555825</v>
      </c>
      <c r="V169" s="4"/>
      <c r="W169" s="4"/>
    </row>
    <row r="170" customFormat="false" ht="14.25" hidden="false" customHeight="false" outlineLevel="0" collapsed="false">
      <c r="B170" s="2" t="n">
        <v>20</v>
      </c>
      <c r="C170" s="3" t="n">
        <v>598</v>
      </c>
      <c r="D170" s="3" t="n">
        <v>1</v>
      </c>
      <c r="E170" s="2" t="n">
        <v>40</v>
      </c>
      <c r="F170" s="4" t="n">
        <v>2.8</v>
      </c>
      <c r="G170" s="2" t="n">
        <v>40</v>
      </c>
      <c r="H170" s="2" t="n">
        <v>50</v>
      </c>
      <c r="I170" s="5" t="n">
        <v>0.0541238331858136</v>
      </c>
      <c r="J170" s="4" t="n">
        <v>232.385024086414</v>
      </c>
      <c r="K170" s="4" t="n">
        <v>0.27</v>
      </c>
      <c r="L170" s="6" t="n">
        <f aca="false">J170/200000</f>
        <v>0.00116192512043207</v>
      </c>
      <c r="P170" s="4" t="n">
        <f aca="false">$Q$2*($Q$3*$G170+$Q$4*$B170^$Q$5*$I170^$Q$6)*$L170^$Q$7</f>
        <v>0.236561734736051</v>
      </c>
      <c r="Q170" s="4" t="n">
        <f aca="false">P170/$K170</f>
        <v>0.876154573096485</v>
      </c>
      <c r="S170" s="4" t="n">
        <f aca="false">$T$2*$B170^$T$3*$L170^$T$4*($T$5*$I170^$T$6+$T$7)</f>
        <v>0.230517385309761</v>
      </c>
      <c r="T170" s="4" t="n">
        <f aca="false">S170/$K170</f>
        <v>0.853768093739855</v>
      </c>
      <c r="V170" s="4"/>
      <c r="W170" s="4"/>
    </row>
    <row r="171" customFormat="false" ht="14.25" hidden="false" customHeight="false" outlineLevel="0" collapsed="false">
      <c r="B171" s="2" t="n">
        <v>20</v>
      </c>
      <c r="C171" s="3" t="n">
        <v>598</v>
      </c>
      <c r="D171" s="3" t="n">
        <v>1</v>
      </c>
      <c r="E171" s="2" t="n">
        <v>40</v>
      </c>
      <c r="F171" s="4" t="n">
        <v>2.8</v>
      </c>
      <c r="G171" s="2" t="n">
        <v>40</v>
      </c>
      <c r="H171" s="2" t="n">
        <v>50</v>
      </c>
      <c r="I171" s="5" t="n">
        <v>0.0541238331858136</v>
      </c>
      <c r="J171" s="4" t="n">
        <v>270.848271229423</v>
      </c>
      <c r="K171" s="4" t="n">
        <v>0.29</v>
      </c>
      <c r="L171" s="6" t="n">
        <f aca="false">J171/200000</f>
        <v>0.00135424135614711</v>
      </c>
      <c r="P171" s="4" t="n">
        <f aca="false">$Q$2*($Q$3*$G171+$Q$4*$B171^$Q$5*$I171^$Q$6)*$L171^$Q$7</f>
        <v>0.268959273228584</v>
      </c>
      <c r="Q171" s="4" t="n">
        <f aca="false">P171/$K171</f>
        <v>0.927445769753738</v>
      </c>
      <c r="S171" s="4" t="n">
        <f aca="false">$T$2*$B171^$T$3*$L171^$T$4*($T$5*$I171^$T$6+$T$7)</f>
        <v>0.262730200990824</v>
      </c>
      <c r="T171" s="4" t="n">
        <f aca="false">S171/$K171</f>
        <v>0.905966210313187</v>
      </c>
      <c r="V171" s="4"/>
      <c r="W171" s="4"/>
    </row>
    <row r="172" customFormat="false" ht="14.25" hidden="false" customHeight="false" outlineLevel="0" collapsed="false">
      <c r="B172" s="2" t="n">
        <v>20</v>
      </c>
      <c r="C172" s="3" t="n">
        <v>598</v>
      </c>
      <c r="D172" s="3" t="n">
        <v>1</v>
      </c>
      <c r="E172" s="2" t="n">
        <v>40</v>
      </c>
      <c r="F172" s="4" t="n">
        <v>2.8</v>
      </c>
      <c r="G172" s="2" t="n">
        <v>40</v>
      </c>
      <c r="H172" s="2" t="n">
        <v>50</v>
      </c>
      <c r="I172" s="5" t="n">
        <v>0.0541238331858136</v>
      </c>
      <c r="J172" s="4" t="n">
        <v>307.450393510673</v>
      </c>
      <c r="K172" s="4" t="n">
        <v>0.32</v>
      </c>
      <c r="L172" s="6" t="n">
        <f aca="false">J172/200000</f>
        <v>0.00153725196755337</v>
      </c>
      <c r="P172" s="4" t="n">
        <f aca="false">$Q$2*($Q$3*$G172+$Q$4*$B172^$Q$5*$I172^$Q$6)*$L172^$Q$7</f>
        <v>0.2991007983691</v>
      </c>
      <c r="Q172" s="4" t="n">
        <f aca="false">P172/$K172</f>
        <v>0.934689994903438</v>
      </c>
      <c r="S172" s="4" t="n">
        <f aca="false">$T$2*$B172^$T$3*$L172^$T$4*($T$5*$I172^$T$6+$T$7)</f>
        <v>0.292766803847425</v>
      </c>
      <c r="T172" s="4" t="n">
        <f aca="false">S172/$K172</f>
        <v>0.914896262023202</v>
      </c>
      <c r="V172" s="4"/>
      <c r="W172" s="4"/>
    </row>
    <row r="173" customFormat="false" ht="14.25" hidden="false" customHeight="false" outlineLevel="0" collapsed="false">
      <c r="B173" s="2" t="n">
        <v>20</v>
      </c>
      <c r="C173" s="3" t="n">
        <v>598</v>
      </c>
      <c r="D173" s="3" t="n">
        <v>1</v>
      </c>
      <c r="E173" s="2" t="n">
        <v>40</v>
      </c>
      <c r="F173" s="4" t="n">
        <v>2.8</v>
      </c>
      <c r="G173" s="2" t="n">
        <v>40</v>
      </c>
      <c r="H173" s="2" t="n">
        <v>50</v>
      </c>
      <c r="I173" s="5" t="n">
        <v>0.0541238331858136</v>
      </c>
      <c r="J173" s="4" t="n">
        <v>325.234475523032</v>
      </c>
      <c r="K173" s="4" t="n">
        <v>0.33</v>
      </c>
      <c r="L173" s="6" t="n">
        <f aca="false">J173/200000</f>
        <v>0.00162617237761516</v>
      </c>
      <c r="P173" s="4" t="n">
        <f aca="false">$Q$2*($Q$3*$G173+$Q$4*$B173^$Q$5*$I173^$Q$6)*$L173^$Q$7</f>
        <v>0.313532675073366</v>
      </c>
      <c r="Q173" s="4" t="n">
        <f aca="false">P173/$K173</f>
        <v>0.950099015373836</v>
      </c>
      <c r="S173" s="4" t="n">
        <f aca="false">$T$2*$B173^$T$3*$L173^$T$4*($T$5*$I173^$T$6+$T$7)</f>
        <v>0.307169302471799</v>
      </c>
      <c r="T173" s="4" t="n">
        <f aca="false">S173/$K173</f>
        <v>0.930816068096361</v>
      </c>
      <c r="V173" s="4"/>
      <c r="W173" s="4"/>
    </row>
    <row r="174" customFormat="false" ht="14.25" hidden="false" customHeight="false" outlineLevel="0" collapsed="false">
      <c r="A174" s="1" t="s">
        <v>58</v>
      </c>
      <c r="B174" s="2" t="n">
        <v>10</v>
      </c>
      <c r="C174" s="3" t="n">
        <v>528</v>
      </c>
      <c r="D174" s="3" t="n">
        <v>1</v>
      </c>
      <c r="E174" s="2" t="n">
        <v>45</v>
      </c>
      <c r="F174" s="4" t="n">
        <v>2.8</v>
      </c>
      <c r="G174" s="2" t="n">
        <v>40</v>
      </c>
      <c r="H174" s="2" t="n">
        <v>45</v>
      </c>
      <c r="I174" s="5" t="n">
        <v>0.00795980968315605</v>
      </c>
      <c r="J174" s="4" t="n">
        <v>155.014402652605</v>
      </c>
      <c r="K174" s="4" t="n">
        <v>0.15</v>
      </c>
      <c r="L174" s="6" t="n">
        <f aca="false">J174/200000</f>
        <v>0.000775072013263026</v>
      </c>
      <c r="P174" s="4" t="n">
        <f aca="false">$Q$2*($Q$3*$G174+$Q$4*$B174^$Q$5*$I174^$Q$6)*$L174^$Q$7</f>
        <v>0.202357785165298</v>
      </c>
      <c r="Q174" s="4" t="n">
        <f aca="false">P174/$K174</f>
        <v>1.34905190110199</v>
      </c>
      <c r="S174" s="4" t="n">
        <f aca="false">$T$2*$B174^$T$3*$L174^$T$4*($T$5*$I174^$T$6+$T$7)</f>
        <v>0.209533382091592</v>
      </c>
      <c r="T174" s="4" t="n">
        <f aca="false">S174/$K174</f>
        <v>1.39688921394394</v>
      </c>
      <c r="V174" s="4"/>
      <c r="W174" s="4"/>
    </row>
    <row r="175" customFormat="false" ht="14.25" hidden="false" customHeight="false" outlineLevel="0" collapsed="false">
      <c r="B175" s="2" t="n">
        <v>10</v>
      </c>
      <c r="C175" s="3" t="n">
        <v>528</v>
      </c>
      <c r="D175" s="3" t="n">
        <v>1</v>
      </c>
      <c r="E175" s="2" t="n">
        <v>45</v>
      </c>
      <c r="F175" s="4" t="n">
        <v>2.8</v>
      </c>
      <c r="G175" s="2" t="n">
        <v>40</v>
      </c>
      <c r="H175" s="2" t="n">
        <v>45</v>
      </c>
      <c r="I175" s="5" t="n">
        <v>0.00795980968315605</v>
      </c>
      <c r="J175" s="4" t="n">
        <v>188.981279243597</v>
      </c>
      <c r="K175" s="4" t="n">
        <v>0.19</v>
      </c>
      <c r="L175" s="6" t="n">
        <f aca="false">J175/200000</f>
        <v>0.000944906396217986</v>
      </c>
      <c r="P175" s="4" t="n">
        <f aca="false">$Q$2*($Q$3*$G175+$Q$4*$B175^$Q$5*$I175^$Q$6)*$L175^$Q$7</f>
        <v>0.238906012628405</v>
      </c>
      <c r="Q175" s="4" t="n">
        <f aca="false">P175/$K175</f>
        <v>1.25740006646529</v>
      </c>
      <c r="S175" s="4" t="n">
        <f aca="false">$T$2*$B175^$T$3*$L175^$T$4*($T$5*$I175^$T$6+$T$7)</f>
        <v>0.248163058695293</v>
      </c>
      <c r="T175" s="4" t="n">
        <f aca="false">S175/$K175</f>
        <v>1.30612136155417</v>
      </c>
      <c r="V175" s="4"/>
      <c r="W175" s="4"/>
    </row>
    <row r="176" customFormat="false" ht="14.25" hidden="false" customHeight="false" outlineLevel="0" collapsed="false">
      <c r="B176" s="2" t="n">
        <v>10</v>
      </c>
      <c r="C176" s="3" t="n">
        <v>528</v>
      </c>
      <c r="D176" s="3" t="n">
        <v>1</v>
      </c>
      <c r="E176" s="2" t="n">
        <v>45</v>
      </c>
      <c r="F176" s="4" t="n">
        <v>2.8</v>
      </c>
      <c r="G176" s="2" t="n">
        <v>40</v>
      </c>
      <c r="H176" s="2" t="n">
        <v>45</v>
      </c>
      <c r="I176" s="5" t="n">
        <v>0.00795980968315605</v>
      </c>
      <c r="J176" s="4" t="n">
        <v>195.774654561796</v>
      </c>
      <c r="K176" s="4" t="n">
        <v>0.2</v>
      </c>
      <c r="L176" s="6" t="n">
        <f aca="false">J176/200000</f>
        <v>0.000978873272808978</v>
      </c>
      <c r="P176" s="4" t="n">
        <f aca="false">$Q$2*($Q$3*$G176+$Q$4*$B176^$Q$5*$I176^$Q$6)*$L176^$Q$7</f>
        <v>0.246082118720914</v>
      </c>
      <c r="Q176" s="4" t="n">
        <f aca="false">P176/$K176</f>
        <v>1.23041059360457</v>
      </c>
      <c r="S176" s="4" t="n">
        <f aca="false">$T$2*$B176^$T$3*$L176^$T$4*($T$5*$I176^$T$6+$T$7)</f>
        <v>0.255761702180536</v>
      </c>
      <c r="T176" s="4" t="n">
        <f aca="false">S176/$K176</f>
        <v>1.27880851090268</v>
      </c>
      <c r="V176" s="4"/>
      <c r="W176" s="4"/>
    </row>
    <row r="177" customFormat="false" ht="14.25" hidden="false" customHeight="false" outlineLevel="0" collapsed="false">
      <c r="B177" s="2" t="n">
        <v>10</v>
      </c>
      <c r="C177" s="3" t="n">
        <v>528</v>
      </c>
      <c r="D177" s="3" t="n">
        <v>1</v>
      </c>
      <c r="E177" s="2" t="n">
        <v>45</v>
      </c>
      <c r="F177" s="4" t="n">
        <v>2.8</v>
      </c>
      <c r="G177" s="2" t="n">
        <v>40</v>
      </c>
      <c r="H177" s="2" t="n">
        <v>45</v>
      </c>
      <c r="I177" s="5" t="n">
        <v>0.00795980968315605</v>
      </c>
      <c r="J177" s="4" t="n">
        <v>224.457794794189</v>
      </c>
      <c r="K177" s="4" t="n">
        <v>0.23</v>
      </c>
      <c r="L177" s="6" t="n">
        <f aca="false">J177/200000</f>
        <v>0.00112228897397094</v>
      </c>
      <c r="P177" s="4" t="n">
        <f aca="false">$Q$2*($Q$3*$G177+$Q$4*$B177^$Q$5*$I177^$Q$6)*$L177^$Q$7</f>
        <v>0.27595547203891</v>
      </c>
      <c r="Q177" s="4" t="n">
        <f aca="false">P177/$K177</f>
        <v>1.19980640016917</v>
      </c>
      <c r="S177" s="4" t="n">
        <f aca="false">$T$2*$B177^$T$3*$L177^$T$4*($T$5*$I177^$T$6+$T$7)</f>
        <v>0.287438222280686</v>
      </c>
      <c r="T177" s="4" t="n">
        <f aca="false">S177/$K177</f>
        <v>1.24973140122038</v>
      </c>
      <c r="V177" s="4"/>
      <c r="W177" s="4"/>
    </row>
    <row r="178" customFormat="false" ht="14.25" hidden="false" customHeight="false" outlineLevel="0" collapsed="false">
      <c r="B178" s="2" t="n">
        <v>10</v>
      </c>
      <c r="C178" s="3" t="n">
        <v>528</v>
      </c>
      <c r="D178" s="3" t="n">
        <v>1</v>
      </c>
      <c r="E178" s="2" t="n">
        <v>45</v>
      </c>
      <c r="F178" s="4" t="n">
        <v>2.8</v>
      </c>
      <c r="G178" s="2" t="n">
        <v>40</v>
      </c>
      <c r="H178" s="2" t="n">
        <v>45</v>
      </c>
      <c r="I178" s="5" t="n">
        <v>0.00795980968315605</v>
      </c>
      <c r="J178" s="4" t="n">
        <v>244.083101268984</v>
      </c>
      <c r="K178" s="4" t="n">
        <v>0.25</v>
      </c>
      <c r="L178" s="6" t="n">
        <f aca="false">J178/200000</f>
        <v>0.00122041550634492</v>
      </c>
      <c r="P178" s="4" t="n">
        <f aca="false">$Q$2*($Q$3*$G178+$Q$4*$B178^$Q$5*$I178^$Q$6)*$L178^$Q$7</f>
        <v>0.296036146114265</v>
      </c>
      <c r="Q178" s="4" t="n">
        <f aca="false">P178/$K178</f>
        <v>1.18414458445706</v>
      </c>
      <c r="S178" s="4" t="n">
        <f aca="false">$T$2*$B178^$T$3*$L178^$T$4*($T$5*$I178^$T$6+$T$7)</f>
        <v>0.308768293869458</v>
      </c>
      <c r="T178" s="4" t="n">
        <f aca="false">S178/$K178</f>
        <v>1.23507317547783</v>
      </c>
      <c r="V178" s="4"/>
      <c r="W178" s="4"/>
    </row>
    <row r="179" customFormat="false" ht="14.25" hidden="false" customHeight="false" outlineLevel="0" collapsed="false">
      <c r="B179" s="2" t="n">
        <v>10</v>
      </c>
      <c r="C179" s="3" t="n">
        <v>528</v>
      </c>
      <c r="D179" s="3" t="n">
        <v>1</v>
      </c>
      <c r="E179" s="2" t="n">
        <v>45</v>
      </c>
      <c r="F179" s="4" t="n">
        <v>2.8</v>
      </c>
      <c r="G179" s="2" t="n">
        <v>40</v>
      </c>
      <c r="H179" s="2" t="n">
        <v>45</v>
      </c>
      <c r="I179" s="5" t="n">
        <v>0.00795980968315605</v>
      </c>
      <c r="J179" s="4" t="n">
        <v>265.972866183179</v>
      </c>
      <c r="K179" s="4" t="n">
        <v>0.28</v>
      </c>
      <c r="L179" s="6" t="n">
        <f aca="false">J179/200000</f>
        <v>0.0013298643309159</v>
      </c>
      <c r="P179" s="4" t="n">
        <f aca="false">$Q$2*($Q$3*$G179+$Q$4*$B179^$Q$5*$I179^$Q$6)*$L179^$Q$7</f>
        <v>0.318127947793885</v>
      </c>
      <c r="Q179" s="4" t="n">
        <f aca="false">P179/$K179</f>
        <v>1.13617124212102</v>
      </c>
      <c r="S179" s="4" t="n">
        <f aca="false">$T$2*$B179^$T$3*$L179^$T$4*($T$5*$I179^$T$6+$T$7)</f>
        <v>0.332266513265978</v>
      </c>
      <c r="T179" s="4" t="n">
        <f aca="false">S179/$K179</f>
        <v>1.18666611880707</v>
      </c>
      <c r="V179" s="4"/>
      <c r="W179" s="4"/>
    </row>
    <row r="180" customFormat="false" ht="14.25" hidden="false" customHeight="false" outlineLevel="0" collapsed="false">
      <c r="B180" s="2" t="n">
        <v>10</v>
      </c>
      <c r="C180" s="3" t="n">
        <v>528</v>
      </c>
      <c r="D180" s="3" t="n">
        <v>1</v>
      </c>
      <c r="E180" s="2" t="n">
        <v>45</v>
      </c>
      <c r="F180" s="4" t="n">
        <v>2.8</v>
      </c>
      <c r="G180" s="2" t="n">
        <v>40</v>
      </c>
      <c r="H180" s="2" t="n">
        <v>45</v>
      </c>
      <c r="I180" s="5" t="n">
        <v>0.00795980968315605</v>
      </c>
      <c r="J180" s="4" t="n">
        <v>285.598172657974</v>
      </c>
      <c r="K180" s="4" t="n">
        <v>0.31</v>
      </c>
      <c r="L180" s="6" t="n">
        <f aca="false">J180/200000</f>
        <v>0.00142799086328987</v>
      </c>
      <c r="P180" s="4" t="n">
        <f aca="false">$Q$2*($Q$3*$G180+$Q$4*$B180^$Q$5*$I180^$Q$6)*$L180^$Q$7</f>
        <v>0.337684544742832</v>
      </c>
      <c r="Q180" s="4" t="n">
        <f aca="false">P180/$K180</f>
        <v>1.08930498304139</v>
      </c>
      <c r="S180" s="4" t="n">
        <f aca="false">$T$2*$B180^$T$3*$L180^$T$4*($T$5*$I180^$T$6+$T$7)</f>
        <v>0.353094232517711</v>
      </c>
      <c r="T180" s="4" t="n">
        <f aca="false">S180/$K180</f>
        <v>1.13901365328294</v>
      </c>
      <c r="V180" s="4"/>
      <c r="W180" s="4"/>
    </row>
    <row r="181" customFormat="false" ht="14.25" hidden="false" customHeight="false" outlineLevel="0" collapsed="false">
      <c r="B181" s="2" t="n">
        <v>10</v>
      </c>
      <c r="C181" s="3" t="n">
        <v>528</v>
      </c>
      <c r="D181" s="3" t="n">
        <v>1</v>
      </c>
      <c r="E181" s="2" t="n">
        <v>45</v>
      </c>
      <c r="F181" s="4" t="n">
        <v>2.8</v>
      </c>
      <c r="G181" s="2" t="n">
        <v>40</v>
      </c>
      <c r="H181" s="2" t="n">
        <v>45</v>
      </c>
      <c r="I181" s="5" t="n">
        <v>0.00795980968315605</v>
      </c>
      <c r="J181" s="4" t="n">
        <v>308.997576531769</v>
      </c>
      <c r="K181" s="4" t="n">
        <v>0.36</v>
      </c>
      <c r="L181" s="6" t="n">
        <f aca="false">J181/200000</f>
        <v>0.00154498788265884</v>
      </c>
      <c r="P181" s="4" t="n">
        <f aca="false">$Q$2*($Q$3*$G181+$Q$4*$B181^$Q$5*$I181^$Q$6)*$L181^$Q$7</f>
        <v>0.360720222295559</v>
      </c>
      <c r="Q181" s="4" t="n">
        <f aca="false">P181/$K181</f>
        <v>1.00200061748766</v>
      </c>
      <c r="S181" s="4" t="n">
        <f aca="false">$T$2*$B181^$T$3*$L181^$T$4*($T$5*$I181^$T$6+$T$7)</f>
        <v>0.377656639174491</v>
      </c>
      <c r="T181" s="4" t="n">
        <f aca="false">S181/$K181</f>
        <v>1.04904621992914</v>
      </c>
      <c r="V181" s="4"/>
      <c r="W181" s="4"/>
    </row>
    <row r="182" customFormat="false" ht="14.25" hidden="false" customHeight="false" outlineLevel="0" collapsed="false">
      <c r="A182" s="1" t="s">
        <v>59</v>
      </c>
      <c r="B182" s="2" t="n">
        <v>10</v>
      </c>
      <c r="C182" s="3" t="n">
        <v>528</v>
      </c>
      <c r="D182" s="3" t="n">
        <v>1</v>
      </c>
      <c r="E182" s="2" t="n">
        <v>45</v>
      </c>
      <c r="F182" s="4" t="n">
        <v>2.8</v>
      </c>
      <c r="G182" s="2" t="n">
        <v>40</v>
      </c>
      <c r="H182" s="2" t="n">
        <v>45</v>
      </c>
      <c r="I182" s="5" t="n">
        <v>0.00795980968315605</v>
      </c>
      <c r="J182" s="4" t="n">
        <v>152.749944213206</v>
      </c>
      <c r="K182" s="4" t="n">
        <v>0.16</v>
      </c>
      <c r="L182" s="6" t="n">
        <f aca="false">J182/200000</f>
        <v>0.000763749721066029</v>
      </c>
      <c r="P182" s="4" t="n">
        <f aca="false">$Q$2*($Q$3*$G182+$Q$4*$B182^$Q$5*$I182^$Q$6)*$L182^$Q$7</f>
        <v>0.199877664890823</v>
      </c>
      <c r="Q182" s="4" t="n">
        <f aca="false">P182/$K182</f>
        <v>1.24923540556764</v>
      </c>
      <c r="S182" s="4" t="n">
        <f aca="false">$T$2*$B182^$T$3*$L182^$T$4*($T$5*$I182^$T$6+$T$7)</f>
        <v>0.206916592049117</v>
      </c>
      <c r="T182" s="4" t="n">
        <f aca="false">S182/$K182</f>
        <v>1.29322870030698</v>
      </c>
      <c r="V182" s="4"/>
      <c r="W182" s="4"/>
    </row>
    <row r="183" customFormat="false" ht="14.25" hidden="false" customHeight="false" outlineLevel="0" collapsed="false">
      <c r="B183" s="2" t="n">
        <v>10</v>
      </c>
      <c r="C183" s="3" t="n">
        <v>528</v>
      </c>
      <c r="D183" s="3" t="n">
        <v>1</v>
      </c>
      <c r="E183" s="2" t="n">
        <v>45</v>
      </c>
      <c r="F183" s="4" t="n">
        <v>2.8</v>
      </c>
      <c r="G183" s="2" t="n">
        <v>40</v>
      </c>
      <c r="H183" s="2" t="n">
        <v>45</v>
      </c>
      <c r="I183" s="5" t="n">
        <v>0.00795980968315605</v>
      </c>
      <c r="J183" s="4" t="n">
        <v>175.3945286072</v>
      </c>
      <c r="K183" s="4" t="n">
        <v>0.18</v>
      </c>
      <c r="L183" s="6" t="n">
        <f aca="false">J183/200000</f>
        <v>0.000876972643036002</v>
      </c>
      <c r="P183" s="4" t="n">
        <f aca="false">$Q$2*($Q$3*$G183+$Q$4*$B183^$Q$5*$I183^$Q$6)*$L183^$Q$7</f>
        <v>0.224426213080609</v>
      </c>
      <c r="Q183" s="4" t="n">
        <f aca="false">P183/$K183</f>
        <v>1.24681229489227</v>
      </c>
      <c r="S183" s="4" t="n">
        <f aca="false">$T$2*$B183^$T$3*$L183^$T$4*($T$5*$I183^$T$6+$T$7)</f>
        <v>0.232844074783117</v>
      </c>
      <c r="T183" s="4" t="n">
        <f aca="false">S183/$K183</f>
        <v>1.29357819323954</v>
      </c>
      <c r="V183" s="4"/>
      <c r="W183" s="4"/>
    </row>
    <row r="184" customFormat="false" ht="14.25" hidden="false" customHeight="false" outlineLevel="0" collapsed="false">
      <c r="B184" s="2" t="n">
        <v>10</v>
      </c>
      <c r="C184" s="3" t="n">
        <v>528</v>
      </c>
      <c r="D184" s="3" t="n">
        <v>1</v>
      </c>
      <c r="E184" s="2" t="n">
        <v>45</v>
      </c>
      <c r="F184" s="4" t="n">
        <v>2.8</v>
      </c>
      <c r="G184" s="2" t="n">
        <v>40</v>
      </c>
      <c r="H184" s="2" t="n">
        <v>45</v>
      </c>
      <c r="I184" s="5" t="n">
        <v>0.00795980968315605</v>
      </c>
      <c r="J184" s="4" t="n">
        <v>196.529474041595</v>
      </c>
      <c r="K184" s="4" t="n">
        <v>0.2</v>
      </c>
      <c r="L184" s="6" t="n">
        <f aca="false">J184/200000</f>
        <v>0.000982647370207978</v>
      </c>
      <c r="P184" s="4" t="n">
        <f aca="false">$Q$2*($Q$3*$G184+$Q$4*$B184^$Q$5*$I184^$Q$6)*$L184^$Q$7</f>
        <v>0.246876950568313</v>
      </c>
      <c r="Q184" s="4" t="n">
        <f aca="false">P184/$K184</f>
        <v>1.23438475284156</v>
      </c>
      <c r="S184" s="4" t="n">
        <f aca="false">$T$2*$B184^$T$3*$L184^$T$4*($T$5*$I184^$T$6+$T$7)</f>
        <v>0.256603597210225</v>
      </c>
      <c r="T184" s="4" t="n">
        <f aca="false">S184/$K184</f>
        <v>1.28301798605113</v>
      </c>
      <c r="V184" s="4"/>
      <c r="W184" s="4"/>
    </row>
    <row r="185" customFormat="false" ht="14.25" hidden="false" customHeight="false" outlineLevel="0" collapsed="false">
      <c r="B185" s="2" t="n">
        <v>10</v>
      </c>
      <c r="C185" s="3" t="n">
        <v>528</v>
      </c>
      <c r="D185" s="3" t="n">
        <v>1</v>
      </c>
      <c r="E185" s="2" t="n">
        <v>45</v>
      </c>
      <c r="F185" s="4" t="n">
        <v>2.8</v>
      </c>
      <c r="G185" s="2" t="n">
        <v>40</v>
      </c>
      <c r="H185" s="2" t="n">
        <v>45</v>
      </c>
      <c r="I185" s="5" t="n">
        <v>0.00795980968315605</v>
      </c>
      <c r="J185" s="4" t="n">
        <v>218.41923895579</v>
      </c>
      <c r="K185" s="4" t="n">
        <v>0.23</v>
      </c>
      <c r="L185" s="6" t="n">
        <f aca="false">J185/200000</f>
        <v>0.00109209619477895</v>
      </c>
      <c r="P185" s="4" t="n">
        <f aca="false">$Q$2*($Q$3*$G185+$Q$4*$B185^$Q$5*$I185^$Q$6)*$L185^$Q$7</f>
        <v>0.269720467636987</v>
      </c>
      <c r="Q185" s="4" t="n">
        <f aca="false">P185/$K185</f>
        <v>1.1726976853782</v>
      </c>
      <c r="S185" s="4" t="n">
        <f aca="false">$T$2*$B185^$T$3*$L185^$T$4*($T$5*$I185^$T$6+$T$7)</f>
        <v>0.280821213082777</v>
      </c>
      <c r="T185" s="4" t="n">
        <f aca="false">S185/$K185</f>
        <v>1.22096179601208</v>
      </c>
      <c r="V185" s="4"/>
      <c r="W185" s="4"/>
    </row>
    <row r="186" customFormat="false" ht="14.25" hidden="false" customHeight="false" outlineLevel="0" collapsed="false">
      <c r="B186" s="2" t="n">
        <v>10</v>
      </c>
      <c r="C186" s="3" t="n">
        <v>528</v>
      </c>
      <c r="D186" s="3" t="n">
        <v>1</v>
      </c>
      <c r="E186" s="2" t="n">
        <v>45</v>
      </c>
      <c r="F186" s="4" t="n">
        <v>2.8</v>
      </c>
      <c r="G186" s="2" t="n">
        <v>40</v>
      </c>
      <c r="H186" s="2" t="n">
        <v>45</v>
      </c>
      <c r="I186" s="5" t="n">
        <v>0.00795980968315605</v>
      </c>
      <c r="J186" s="4" t="n">
        <v>241.818642829585</v>
      </c>
      <c r="K186" s="4" t="n">
        <v>0.24</v>
      </c>
      <c r="L186" s="6" t="n">
        <f aca="false">J186/200000</f>
        <v>0.00120909321414792</v>
      </c>
      <c r="P186" s="4" t="n">
        <f aca="false">$Q$2*($Q$3*$G186+$Q$4*$B186^$Q$5*$I186^$Q$6)*$L186^$Q$7</f>
        <v>0.293732886903932</v>
      </c>
      <c r="Q186" s="4" t="n">
        <f aca="false">P186/$K186</f>
        <v>1.22388702876638</v>
      </c>
      <c r="S186" s="4" t="n">
        <f aca="false">$T$2*$B186^$T$3*$L186^$T$4*($T$5*$I186^$T$6+$T$7)</f>
        <v>0.306320288962995</v>
      </c>
      <c r="T186" s="4" t="n">
        <f aca="false">S186/$K186</f>
        <v>1.27633453734581</v>
      </c>
      <c r="V186" s="4"/>
      <c r="W186" s="4"/>
    </row>
    <row r="187" customFormat="false" ht="14.25" hidden="false" customHeight="false" outlineLevel="0" collapsed="false">
      <c r="B187" s="2" t="n">
        <v>10</v>
      </c>
      <c r="C187" s="3" t="n">
        <v>528</v>
      </c>
      <c r="D187" s="3" t="n">
        <v>1</v>
      </c>
      <c r="E187" s="2" t="n">
        <v>45</v>
      </c>
      <c r="F187" s="4" t="n">
        <v>2.8</v>
      </c>
      <c r="G187" s="2" t="n">
        <v>40</v>
      </c>
      <c r="H187" s="2" t="n">
        <v>45</v>
      </c>
      <c r="I187" s="5" t="n">
        <v>0.00795980968315605</v>
      </c>
      <c r="J187" s="4" t="n">
        <v>265.972866183179</v>
      </c>
      <c r="K187" s="4" t="n">
        <v>0.25</v>
      </c>
      <c r="L187" s="6" t="n">
        <f aca="false">J187/200000</f>
        <v>0.0013298643309159</v>
      </c>
      <c r="P187" s="4" t="n">
        <f aca="false">$Q$2*($Q$3*$G187+$Q$4*$B187^$Q$5*$I187^$Q$6)*$L187^$Q$7</f>
        <v>0.318127947793885</v>
      </c>
      <c r="Q187" s="4" t="n">
        <f aca="false">P187/$K187</f>
        <v>1.27251179117554</v>
      </c>
      <c r="S187" s="4" t="n">
        <f aca="false">$T$2*$B187^$T$3*$L187^$T$4*($T$5*$I187^$T$6+$T$7)</f>
        <v>0.332266513265978</v>
      </c>
      <c r="T187" s="4" t="n">
        <f aca="false">S187/$K187</f>
        <v>1.32906605306391</v>
      </c>
      <c r="V187" s="4"/>
      <c r="W187" s="4"/>
    </row>
    <row r="188" customFormat="false" ht="14.25" hidden="false" customHeight="false" outlineLevel="0" collapsed="false">
      <c r="B188" s="2" t="n">
        <v>10</v>
      </c>
      <c r="C188" s="3" t="n">
        <v>528</v>
      </c>
      <c r="D188" s="3" t="n">
        <v>1</v>
      </c>
      <c r="E188" s="2" t="n">
        <v>45</v>
      </c>
      <c r="F188" s="4" t="n">
        <v>2.8</v>
      </c>
      <c r="G188" s="2" t="n">
        <v>40</v>
      </c>
      <c r="H188" s="2" t="n">
        <v>45</v>
      </c>
      <c r="I188" s="5" t="n">
        <v>0.00795980968315605</v>
      </c>
      <c r="J188" s="4" t="n">
        <v>287.862631097374</v>
      </c>
      <c r="K188" s="4" t="n">
        <v>0.27</v>
      </c>
      <c r="L188" s="6" t="n">
        <f aca="false">J188/200000</f>
        <v>0.00143931315548687</v>
      </c>
      <c r="P188" s="4" t="n">
        <f aca="false">$Q$2*($Q$3*$G188+$Q$4*$B188^$Q$5*$I188^$Q$6)*$L188^$Q$7</f>
        <v>0.33992680478382</v>
      </c>
      <c r="Q188" s="4" t="n">
        <f aca="false">P188/$K188</f>
        <v>1.258988165866</v>
      </c>
      <c r="S188" s="4" t="n">
        <f aca="false">$T$2*$B188^$T$3*$L188^$T$4*($T$5*$I188^$T$6+$T$7)</f>
        <v>0.35548373088814</v>
      </c>
      <c r="T188" s="4" t="n">
        <f aca="false">S188/$K188</f>
        <v>1.31660641069682</v>
      </c>
      <c r="V188" s="4"/>
      <c r="W188" s="4"/>
    </row>
    <row r="189" customFormat="false" ht="14.25" hidden="false" customHeight="false" outlineLevel="0" collapsed="false">
      <c r="B189" s="2" t="n">
        <v>10</v>
      </c>
      <c r="C189" s="3" t="n">
        <v>528</v>
      </c>
      <c r="D189" s="3" t="n">
        <v>1</v>
      </c>
      <c r="E189" s="2" t="n">
        <v>45</v>
      </c>
      <c r="F189" s="4" t="n">
        <v>2.8</v>
      </c>
      <c r="G189" s="2" t="n">
        <v>40</v>
      </c>
      <c r="H189" s="2" t="n">
        <v>45</v>
      </c>
      <c r="I189" s="5" t="n">
        <v>0.00795980968315605</v>
      </c>
      <c r="J189" s="4" t="n">
        <v>307.487937572169</v>
      </c>
      <c r="K189" s="4" t="n">
        <v>0.29</v>
      </c>
      <c r="L189" s="6" t="n">
        <f aca="false">J189/200000</f>
        <v>0.00153743968786085</v>
      </c>
      <c r="P189" s="4" t="n">
        <f aca="false">$Q$2*($Q$3*$G189+$Q$4*$B189^$Q$5*$I189^$Q$6)*$L189^$Q$7</f>
        <v>0.359242799867806</v>
      </c>
      <c r="Q189" s="4" t="n">
        <f aca="false">P189/$K189</f>
        <v>1.23876827540623</v>
      </c>
      <c r="S189" s="4" t="n">
        <f aca="false">$T$2*$B189^$T$3*$L189^$T$4*($T$5*$I189^$T$6+$T$7)</f>
        <v>0.376080378032746</v>
      </c>
      <c r="T189" s="4" t="n">
        <f aca="false">S189/$K189</f>
        <v>1.29682888976809</v>
      </c>
      <c r="V189" s="4"/>
      <c r="W189" s="4"/>
    </row>
    <row r="190" customFormat="false" ht="14.25" hidden="false" customHeight="false" outlineLevel="0" collapsed="false">
      <c r="A190" s="1" t="s">
        <v>60</v>
      </c>
      <c r="B190" s="2" t="n">
        <v>10</v>
      </c>
      <c r="C190" s="3" t="n">
        <v>528</v>
      </c>
      <c r="D190" s="3" t="n">
        <v>1</v>
      </c>
      <c r="E190" s="2" t="n">
        <v>45</v>
      </c>
      <c r="F190" s="4" t="n">
        <v>2.8</v>
      </c>
      <c r="G190" s="2" t="n">
        <v>40</v>
      </c>
      <c r="H190" s="2" t="n">
        <v>45</v>
      </c>
      <c r="I190" s="5" t="n">
        <v>0.00795980968315605</v>
      </c>
      <c r="J190" s="4" t="n">
        <v>177.6589870466</v>
      </c>
      <c r="K190" s="4" t="n">
        <v>0.15</v>
      </c>
      <c r="L190" s="6" t="n">
        <f aca="false">J190/200000</f>
        <v>0.000888294935233</v>
      </c>
      <c r="P190" s="4" t="n">
        <f aca="false">$Q$2*($Q$3*$G190+$Q$4*$B190^$Q$5*$I190^$Q$6)*$L190^$Q$7</f>
        <v>0.226851782808109</v>
      </c>
      <c r="Q190" s="4" t="n">
        <f aca="false">P190/$K190</f>
        <v>1.51234521872072</v>
      </c>
      <c r="S190" s="4" t="n">
        <f aca="false">$T$2*$B190^$T$3*$L190^$T$4*($T$5*$I190^$T$6+$T$7)</f>
        <v>0.235408936025923</v>
      </c>
      <c r="T190" s="4" t="n">
        <f aca="false">S190/$K190</f>
        <v>1.56939290683949</v>
      </c>
      <c r="V190" s="4"/>
      <c r="W190" s="4"/>
    </row>
    <row r="191" customFormat="false" ht="14.25" hidden="false" customHeight="false" outlineLevel="0" collapsed="false">
      <c r="B191" s="2" t="n">
        <v>10</v>
      </c>
      <c r="C191" s="3" t="n">
        <v>528</v>
      </c>
      <c r="D191" s="3" t="n">
        <v>1</v>
      </c>
      <c r="E191" s="2" t="n">
        <v>45</v>
      </c>
      <c r="F191" s="4" t="n">
        <v>2.8</v>
      </c>
      <c r="G191" s="2" t="n">
        <v>40</v>
      </c>
      <c r="H191" s="2" t="n">
        <v>45</v>
      </c>
      <c r="I191" s="5" t="n">
        <v>0.00795980968315605</v>
      </c>
      <c r="J191" s="4" t="n">
        <v>199.548751960795</v>
      </c>
      <c r="K191" s="4" t="n">
        <v>0.16</v>
      </c>
      <c r="L191" s="6" t="n">
        <f aca="false">J191/200000</f>
        <v>0.000997743759803974</v>
      </c>
      <c r="P191" s="4" t="n">
        <f aca="false">$Q$2*($Q$3*$G191+$Q$4*$B191^$Q$5*$I191^$Q$6)*$L191^$Q$7</f>
        <v>0.250051355917544</v>
      </c>
      <c r="Q191" s="4" t="n">
        <f aca="false">P191/$K191</f>
        <v>1.56282097448465</v>
      </c>
      <c r="S191" s="4" t="n">
        <f aca="false">$T$2*$B191^$T$3*$L191^$T$4*($T$5*$I191^$T$6+$T$7)</f>
        <v>0.259966478328372</v>
      </c>
      <c r="T191" s="4" t="n">
        <f aca="false">S191/$K191</f>
        <v>1.62479048955233</v>
      </c>
      <c r="V191" s="4"/>
      <c r="W191" s="4"/>
    </row>
    <row r="192" customFormat="false" ht="14.25" hidden="false" customHeight="false" outlineLevel="0" collapsed="false">
      <c r="B192" s="2" t="n">
        <v>10</v>
      </c>
      <c r="C192" s="3" t="n">
        <v>528</v>
      </c>
      <c r="D192" s="3" t="n">
        <v>1</v>
      </c>
      <c r="E192" s="2" t="n">
        <v>45</v>
      </c>
      <c r="F192" s="4" t="n">
        <v>2.8</v>
      </c>
      <c r="G192" s="2" t="n">
        <v>40</v>
      </c>
      <c r="H192" s="2" t="n">
        <v>45</v>
      </c>
      <c r="I192" s="5" t="n">
        <v>0.00795980968315605</v>
      </c>
      <c r="J192" s="4" t="n">
        <v>230.496350632587</v>
      </c>
      <c r="K192" s="4" t="n">
        <v>0.18</v>
      </c>
      <c r="L192" s="6" t="n">
        <f aca="false">J192/200000</f>
        <v>0.00115248175316294</v>
      </c>
      <c r="P192" s="4" t="n">
        <f aca="false">$Q$2*($Q$3*$G192+$Q$4*$B192^$Q$5*$I192^$Q$6)*$L192^$Q$7</f>
        <v>0.282163358253641</v>
      </c>
      <c r="Q192" s="4" t="n">
        <f aca="false">P192/$K192</f>
        <v>1.56757421252023</v>
      </c>
      <c r="S192" s="4" t="n">
        <f aca="false">$T$2*$B192^$T$3*$L192^$T$4*($T$5*$I192^$T$6+$T$7)</f>
        <v>0.294029288701228</v>
      </c>
      <c r="T192" s="4" t="n">
        <f aca="false">S192/$K192</f>
        <v>1.63349604834016</v>
      </c>
      <c r="V192" s="4"/>
      <c r="W192" s="4"/>
    </row>
    <row r="193" customFormat="false" ht="14.25" hidden="false" customHeight="false" outlineLevel="0" collapsed="false">
      <c r="B193" s="2" t="n">
        <v>10</v>
      </c>
      <c r="C193" s="3" t="n">
        <v>528</v>
      </c>
      <c r="D193" s="3" t="n">
        <v>1</v>
      </c>
      <c r="E193" s="2" t="n">
        <v>45</v>
      </c>
      <c r="F193" s="4" t="n">
        <v>2.8</v>
      </c>
      <c r="G193" s="2" t="n">
        <v>40</v>
      </c>
      <c r="H193" s="2" t="n">
        <v>45</v>
      </c>
      <c r="I193" s="5" t="n">
        <v>0.00795980968315605</v>
      </c>
      <c r="J193" s="4" t="n">
        <v>248.612018147783</v>
      </c>
      <c r="K193" s="4" t="n">
        <v>0.18</v>
      </c>
      <c r="L193" s="6" t="n">
        <f aca="false">J193/200000</f>
        <v>0.00124306009073892</v>
      </c>
      <c r="P193" s="4" t="n">
        <f aca="false">$Q$2*($Q$3*$G193+$Q$4*$B193^$Q$5*$I193^$Q$6)*$L193^$Q$7</f>
        <v>0.300632324113939</v>
      </c>
      <c r="Q193" s="4" t="n">
        <f aca="false">P193/$K193</f>
        <v>1.67017957841077</v>
      </c>
      <c r="S193" s="4" t="n">
        <f aca="false">$T$2*$B193^$T$3*$L193^$T$4*($T$5*$I193^$T$6+$T$7)</f>
        <v>0.313654397668231</v>
      </c>
      <c r="T193" s="4" t="n">
        <f aca="false">S193/$K193</f>
        <v>1.74252443149017</v>
      </c>
      <c r="V193" s="4"/>
      <c r="W193" s="4"/>
    </row>
    <row r="194" customFormat="false" ht="14.25" hidden="false" customHeight="false" outlineLevel="0" collapsed="false">
      <c r="B194" s="2" t="n">
        <v>10</v>
      </c>
      <c r="C194" s="3" t="n">
        <v>528</v>
      </c>
      <c r="D194" s="3" t="n">
        <v>1</v>
      </c>
      <c r="E194" s="2" t="n">
        <v>45</v>
      </c>
      <c r="F194" s="4" t="n">
        <v>2.8</v>
      </c>
      <c r="G194" s="2" t="n">
        <v>40</v>
      </c>
      <c r="H194" s="2" t="n">
        <v>45</v>
      </c>
      <c r="I194" s="5" t="n">
        <v>0.00795980968315605</v>
      </c>
      <c r="J194" s="4" t="n">
        <v>265.972866183179</v>
      </c>
      <c r="K194" s="4" t="n">
        <v>0.19</v>
      </c>
      <c r="L194" s="6" t="n">
        <f aca="false">J194/200000</f>
        <v>0.0013298643309159</v>
      </c>
      <c r="P194" s="4" t="n">
        <f aca="false">$Q$2*($Q$3*$G194+$Q$4*$B194^$Q$5*$I194^$Q$6)*$L194^$Q$7</f>
        <v>0.318127947793885</v>
      </c>
      <c r="Q194" s="4" t="n">
        <f aca="false">P194/$K194</f>
        <v>1.67435761996782</v>
      </c>
      <c r="S194" s="4" t="n">
        <f aca="false">$T$2*$B194^$T$3*$L194^$T$4*($T$5*$I194^$T$6+$T$7)</f>
        <v>0.332266513265978</v>
      </c>
      <c r="T194" s="4" t="n">
        <f aca="false">S194/$K194</f>
        <v>1.74877112245252</v>
      </c>
      <c r="V194" s="4"/>
      <c r="W194" s="4"/>
    </row>
    <row r="195" customFormat="false" ht="14.25" hidden="false" customHeight="false" outlineLevel="0" collapsed="false">
      <c r="B195" s="2" t="n">
        <v>10</v>
      </c>
      <c r="C195" s="3" t="n">
        <v>528</v>
      </c>
      <c r="D195" s="3" t="n">
        <v>1</v>
      </c>
      <c r="E195" s="2" t="n">
        <v>45</v>
      </c>
      <c r="F195" s="4" t="n">
        <v>2.8</v>
      </c>
      <c r="G195" s="2" t="n">
        <v>40</v>
      </c>
      <c r="H195" s="2" t="n">
        <v>45</v>
      </c>
      <c r="I195" s="5" t="n">
        <v>0.00795980968315605</v>
      </c>
      <c r="J195" s="4" t="n">
        <v>284.843353178175</v>
      </c>
      <c r="K195" s="4" t="n">
        <v>0.2</v>
      </c>
      <c r="L195" s="6" t="n">
        <f aca="false">J195/200000</f>
        <v>0.00142421676589087</v>
      </c>
      <c r="P195" s="4" t="n">
        <f aca="false">$Q$2*($Q$3*$G195+$Q$4*$B195^$Q$5*$I195^$Q$6)*$L195^$Q$7</f>
        <v>0.336936485598128</v>
      </c>
      <c r="Q195" s="4" t="n">
        <f aca="false">P195/$K195</f>
        <v>1.68468242799064</v>
      </c>
      <c r="S195" s="4" t="n">
        <f aca="false">$T$2*$B195^$T$3*$L195^$T$4*($T$5*$I195^$T$6+$T$7)</f>
        <v>0.352297119251948</v>
      </c>
      <c r="T195" s="4" t="n">
        <f aca="false">S195/$K195</f>
        <v>1.76148559625974</v>
      </c>
      <c r="V195" s="4"/>
      <c r="W195" s="4"/>
    </row>
    <row r="196" customFormat="false" ht="14.25" hidden="false" customHeight="false" outlineLevel="0" collapsed="false">
      <c r="B196" s="2" t="n">
        <v>10</v>
      </c>
      <c r="C196" s="3" t="n">
        <v>528</v>
      </c>
      <c r="D196" s="3" t="n">
        <v>1</v>
      </c>
      <c r="E196" s="2" t="n">
        <v>45</v>
      </c>
      <c r="F196" s="4" t="n">
        <v>2.8</v>
      </c>
      <c r="G196" s="2" t="n">
        <v>40</v>
      </c>
      <c r="H196" s="2" t="n">
        <v>45</v>
      </c>
      <c r="I196" s="5" t="n">
        <v>0.00795980968315605</v>
      </c>
      <c r="J196" s="4" t="n">
        <v>309.752396011569</v>
      </c>
      <c r="K196" s="4" t="n">
        <v>0.22</v>
      </c>
      <c r="L196" s="6" t="n">
        <f aca="false">J196/200000</f>
        <v>0.00154876198005784</v>
      </c>
      <c r="P196" s="4" t="n">
        <f aca="false">$Q$2*($Q$3*$G196+$Q$4*$B196^$Q$5*$I196^$Q$6)*$L196^$Q$7</f>
        <v>0.361458494767456</v>
      </c>
      <c r="Q196" s="4" t="n">
        <f aca="false">P196/$K196</f>
        <v>1.64299315803389</v>
      </c>
      <c r="S196" s="4" t="n">
        <f aca="false">$T$2*$B196^$T$3*$L196^$T$4*($T$5*$I196^$T$6+$T$7)</f>
        <v>0.378444347872268</v>
      </c>
      <c r="T196" s="4" t="n">
        <f aca="false">S196/$K196</f>
        <v>1.72020158123758</v>
      </c>
      <c r="V196" s="4"/>
      <c r="W196" s="4"/>
    </row>
    <row r="197" customFormat="false" ht="14.25" hidden="false" customHeight="false" outlineLevel="0" collapsed="false">
      <c r="A197" s="1" t="s">
        <v>61</v>
      </c>
      <c r="B197" s="2" t="n">
        <v>20</v>
      </c>
      <c r="C197" s="3" t="n">
        <v>598</v>
      </c>
      <c r="D197" s="3" t="n">
        <v>1</v>
      </c>
      <c r="E197" s="2" t="n">
        <v>40</v>
      </c>
      <c r="F197" s="4" t="n">
        <v>2.8</v>
      </c>
      <c r="G197" s="2" t="n">
        <v>40</v>
      </c>
      <c r="H197" s="2" t="n">
        <v>50</v>
      </c>
      <c r="I197" s="5" t="n">
        <v>0.0372614852949054</v>
      </c>
      <c r="J197" s="4" t="n">
        <v>170.964442251315</v>
      </c>
      <c r="K197" s="4" t="n">
        <v>0.16</v>
      </c>
      <c r="L197" s="6" t="n">
        <f aca="false">J197/200000</f>
        <v>0.000854822211256574</v>
      </c>
      <c r="P197" s="4" t="n">
        <f aca="false">$Q$2*($Q$3*$G197+$Q$4*$B197^$Q$5*$I197^$Q$6)*$L197^$Q$7</f>
        <v>0.219620133479885</v>
      </c>
      <c r="Q197" s="4" t="n">
        <f aca="false">P197/$K197</f>
        <v>1.37262583424928</v>
      </c>
      <c r="S197" s="4" t="n">
        <f aca="false">$T$2*$B197^$T$3*$L197^$T$4*($T$5*$I197^$T$6+$T$7)</f>
        <v>0.212444343537323</v>
      </c>
      <c r="T197" s="4" t="n">
        <f aca="false">S197/$K197</f>
        <v>1.32777714710827</v>
      </c>
      <c r="V197" s="4"/>
      <c r="W197" s="4"/>
    </row>
    <row r="198" customFormat="false" ht="14.25" hidden="false" customHeight="false" outlineLevel="0" collapsed="false">
      <c r="B198" s="2" t="n">
        <v>20</v>
      </c>
      <c r="C198" s="3" t="n">
        <v>598</v>
      </c>
      <c r="D198" s="3" t="n">
        <v>1</v>
      </c>
      <c r="E198" s="2" t="n">
        <v>40</v>
      </c>
      <c r="F198" s="4" t="n">
        <v>2.8</v>
      </c>
      <c r="G198" s="2" t="n">
        <v>40</v>
      </c>
      <c r="H198" s="2" t="n">
        <v>50</v>
      </c>
      <c r="I198" s="5" t="n">
        <v>0.0372614852949054</v>
      </c>
      <c r="J198" s="4" t="n">
        <v>212.368287210888</v>
      </c>
      <c r="K198" s="4" t="n">
        <v>0.2</v>
      </c>
      <c r="L198" s="6" t="n">
        <f aca="false">J198/200000</f>
        <v>0.00106184143605444</v>
      </c>
      <c r="P198" s="4" t="n">
        <f aca="false">$Q$2*($Q$3*$G198+$Q$4*$B198^$Q$5*$I198^$Q$6)*$L198^$Q$7</f>
        <v>0.263389364681715</v>
      </c>
      <c r="Q198" s="4" t="n">
        <f aca="false">P198/$K198</f>
        <v>1.31694682340857</v>
      </c>
      <c r="S198" s="4" t="n">
        <f aca="false">$T$2*$B198^$T$3*$L198^$T$4*($T$5*$I198^$T$6+$T$7)</f>
        <v>0.255669073550516</v>
      </c>
      <c r="T198" s="4" t="n">
        <f aca="false">S198/$K198</f>
        <v>1.27834536775258</v>
      </c>
      <c r="V198" s="4"/>
      <c r="W198" s="4"/>
    </row>
    <row r="199" customFormat="false" ht="14.25" hidden="false" customHeight="false" outlineLevel="0" collapsed="false">
      <c r="B199" s="2" t="n">
        <v>20</v>
      </c>
      <c r="C199" s="3" t="n">
        <v>598</v>
      </c>
      <c r="D199" s="3" t="n">
        <v>1</v>
      </c>
      <c r="E199" s="2" t="n">
        <v>40</v>
      </c>
      <c r="F199" s="4" t="n">
        <v>2.8</v>
      </c>
      <c r="G199" s="2" t="n">
        <v>40</v>
      </c>
      <c r="H199" s="2" t="n">
        <v>50</v>
      </c>
      <c r="I199" s="5" t="n">
        <v>0.0372614852949054</v>
      </c>
      <c r="J199" s="4" t="n">
        <v>253.631780153648</v>
      </c>
      <c r="K199" s="4" t="n">
        <v>0.23</v>
      </c>
      <c r="L199" s="6" t="n">
        <f aca="false">J199/200000</f>
        <v>0.00126815890076824</v>
      </c>
      <c r="P199" s="4" t="n">
        <f aca="false">$Q$2*($Q$3*$G199+$Q$4*$B199^$Q$5*$I199^$Q$6)*$L199^$Q$7</f>
        <v>0.305646742336579</v>
      </c>
      <c r="Q199" s="4" t="n">
        <f aca="false">P199/$K199</f>
        <v>1.32889887972426</v>
      </c>
      <c r="S199" s="4" t="n">
        <f aca="false">$T$2*$B199^$T$3*$L199^$T$4*($T$5*$I199^$T$6+$T$7)</f>
        <v>0.297531915609505</v>
      </c>
      <c r="T199" s="4" t="n">
        <f aca="false">S199/$K199</f>
        <v>1.29361702438915</v>
      </c>
      <c r="V199" s="4"/>
      <c r="W199" s="4"/>
    </row>
    <row r="200" customFormat="false" ht="14.25" hidden="false" customHeight="false" outlineLevel="0" collapsed="false">
      <c r="A200" s="1" t="s">
        <v>62</v>
      </c>
      <c r="B200" s="2" t="n">
        <v>20</v>
      </c>
      <c r="C200" s="3" t="n">
        <v>598</v>
      </c>
      <c r="D200" s="3" t="n">
        <v>1</v>
      </c>
      <c r="E200" s="2" t="n">
        <v>40</v>
      </c>
      <c r="F200" s="4" t="n">
        <v>2.8</v>
      </c>
      <c r="G200" s="2" t="n">
        <v>40</v>
      </c>
      <c r="H200" s="2" t="n">
        <v>50</v>
      </c>
      <c r="I200" s="5" t="n">
        <v>0.0372614852949054</v>
      </c>
      <c r="J200" s="4" t="n">
        <v>179.908223573754</v>
      </c>
      <c r="K200" s="4" t="n">
        <v>0.14</v>
      </c>
      <c r="L200" s="6" t="n">
        <f aca="false">J200/200000</f>
        <v>0.000899541117868771</v>
      </c>
      <c r="P200" s="4" t="n">
        <f aca="false">$Q$2*($Q$3*$G200+$Q$4*$B200^$Q$5*$I200^$Q$6)*$L200^$Q$7</f>
        <v>0.229208039667994</v>
      </c>
      <c r="Q200" s="4" t="n">
        <f aca="false">P200/$K200</f>
        <v>1.63720028334281</v>
      </c>
      <c r="S200" s="4" t="n">
        <f aca="false">$T$2*$B200^$T$3*$L200^$T$4*($T$5*$I200^$T$6+$T$7)</f>
        <v>0.221899943378269</v>
      </c>
      <c r="T200" s="4" t="n">
        <f aca="false">S200/$K200</f>
        <v>1.58499959555906</v>
      </c>
      <c r="V200" s="4"/>
      <c r="W200" s="4"/>
    </row>
    <row r="201" customFormat="false" ht="14.25" hidden="false" customHeight="false" outlineLevel="0" collapsed="false">
      <c r="B201" s="2" t="n">
        <v>20</v>
      </c>
      <c r="C201" s="3" t="n">
        <v>598</v>
      </c>
      <c r="D201" s="3" t="n">
        <v>1</v>
      </c>
      <c r="E201" s="2" t="n">
        <v>40</v>
      </c>
      <c r="F201" s="4" t="n">
        <v>2.8</v>
      </c>
      <c r="G201" s="2" t="n">
        <v>40</v>
      </c>
      <c r="H201" s="2" t="n">
        <v>50</v>
      </c>
      <c r="I201" s="5" t="n">
        <v>0.0372614852949054</v>
      </c>
      <c r="J201" s="4" t="n">
        <v>219.748154934931</v>
      </c>
      <c r="K201" s="4" t="n">
        <v>0.17</v>
      </c>
      <c r="L201" s="6" t="n">
        <f aca="false">J201/200000</f>
        <v>0.00109874077467466</v>
      </c>
      <c r="P201" s="4" t="n">
        <f aca="false">$Q$2*($Q$3*$G201+$Q$4*$B201^$Q$5*$I201^$Q$6)*$L201^$Q$7</f>
        <v>0.271038162791773</v>
      </c>
      <c r="Q201" s="4" t="n">
        <f aca="false">P201/$K201</f>
        <v>1.59434213406925</v>
      </c>
      <c r="S201" s="4" t="n">
        <f aca="false">$T$2*$B201^$T$3*$L201^$T$4*($T$5*$I201^$T$6+$T$7)</f>
        <v>0.263237511752247</v>
      </c>
      <c r="T201" s="4" t="n">
        <f aca="false">S201/$K201</f>
        <v>1.54845595148381</v>
      </c>
      <c r="V201" s="4"/>
      <c r="W201" s="4"/>
    </row>
    <row r="202" customFormat="false" ht="14.25" hidden="false" customHeight="false" outlineLevel="0" collapsed="false">
      <c r="B202" s="2" t="n">
        <v>20</v>
      </c>
      <c r="C202" s="3" t="n">
        <v>598</v>
      </c>
      <c r="D202" s="3" t="n">
        <v>1</v>
      </c>
      <c r="E202" s="2" t="n">
        <v>40</v>
      </c>
      <c r="F202" s="4" t="n">
        <v>2.8</v>
      </c>
      <c r="G202" s="2" t="n">
        <v>40</v>
      </c>
      <c r="H202" s="2" t="n">
        <v>50</v>
      </c>
      <c r="I202" s="5" t="n">
        <v>0.0372614852949054</v>
      </c>
      <c r="J202" s="4" t="n">
        <v>259.219176711577</v>
      </c>
      <c r="K202" s="4" t="n">
        <v>0.21</v>
      </c>
      <c r="L202" s="6" t="n">
        <f aca="false">J202/200000</f>
        <v>0.00129609588355789</v>
      </c>
      <c r="P202" s="4" t="n">
        <f aca="false">$Q$2*($Q$3*$G202+$Q$4*$B202^$Q$5*$I202^$Q$6)*$L202^$Q$7</f>
        <v>0.311279233481409</v>
      </c>
      <c r="Q202" s="4" t="n">
        <f aca="false">P202/$K202</f>
        <v>1.48228206419719</v>
      </c>
      <c r="S202" s="4" t="n">
        <f aca="false">$T$2*$B202^$T$3*$L202^$T$4*($T$5*$I202^$T$6+$T$7)</f>
        <v>0.303120529386212</v>
      </c>
      <c r="T202" s="4" t="n">
        <f aca="false">S202/$K202</f>
        <v>1.4434310923153</v>
      </c>
      <c r="V202" s="4"/>
      <c r="W202" s="4"/>
    </row>
    <row r="203" customFormat="false" ht="14.25" hidden="false" customHeight="false" outlineLevel="0" collapsed="false">
      <c r="A203" s="1" t="s">
        <v>63</v>
      </c>
      <c r="B203" s="2" t="n">
        <v>20</v>
      </c>
      <c r="C203" s="3" t="n">
        <v>598</v>
      </c>
      <c r="D203" s="3" t="n">
        <v>1</v>
      </c>
      <c r="E203" s="2" t="n">
        <v>40</v>
      </c>
      <c r="F203" s="4" t="n">
        <v>2.8</v>
      </c>
      <c r="G203" s="2" t="n">
        <v>40</v>
      </c>
      <c r="H203" s="2" t="n">
        <v>50</v>
      </c>
      <c r="I203" s="5" t="n">
        <v>0.0372614852949054</v>
      </c>
      <c r="J203" s="4" t="n">
        <v>97.0489020030382</v>
      </c>
      <c r="K203" s="4" t="n">
        <v>0.21</v>
      </c>
      <c r="L203" s="6" t="n">
        <f aca="false">J203/200000</f>
        <v>0.000485244510015191</v>
      </c>
      <c r="P203" s="4" t="n">
        <f aca="false">$Q$2*($Q$3*$G203+$Q$4*$B203^$Q$5*$I203^$Q$6)*$L203^$Q$7</f>
        <v>0.136645470620531</v>
      </c>
      <c r="Q203" s="4" t="n">
        <f aca="false">P203/$K203</f>
        <v>0.650692717240623</v>
      </c>
      <c r="S203" s="4" t="n">
        <f aca="false">$T$2*$B203^$T$3*$L203^$T$4*($T$5*$I203^$T$6+$T$7)</f>
        <v>0.130988635790245</v>
      </c>
      <c r="T203" s="4" t="n">
        <f aca="false">S203/$K203</f>
        <v>0.623755408524976</v>
      </c>
      <c r="V203" s="4"/>
      <c r="W203" s="4"/>
    </row>
    <row r="204" customFormat="false" ht="14.25" hidden="false" customHeight="false" outlineLevel="0" collapsed="false">
      <c r="B204" s="2" t="n">
        <v>20</v>
      </c>
      <c r="C204" s="3" t="n">
        <v>598</v>
      </c>
      <c r="D204" s="3" t="n">
        <v>1</v>
      </c>
      <c r="E204" s="2" t="n">
        <v>40</v>
      </c>
      <c r="F204" s="4" t="n">
        <v>2.8</v>
      </c>
      <c r="G204" s="2" t="n">
        <v>40</v>
      </c>
      <c r="H204" s="2" t="n">
        <v>50</v>
      </c>
      <c r="I204" s="5" t="n">
        <v>0.0372614852949054</v>
      </c>
      <c r="J204" s="4" t="n">
        <v>133.076664271053</v>
      </c>
      <c r="K204" s="4" t="n">
        <v>0.25</v>
      </c>
      <c r="L204" s="6" t="n">
        <f aca="false">J204/200000</f>
        <v>0.000665383321355267</v>
      </c>
      <c r="P204" s="4" t="n">
        <f aca="false">$Q$2*($Q$3*$G204+$Q$4*$B204^$Q$5*$I204^$Q$6)*$L204^$Q$7</f>
        <v>0.178030533538369</v>
      </c>
      <c r="Q204" s="4" t="n">
        <f aca="false">P204/$K204</f>
        <v>0.712122134153477</v>
      </c>
      <c r="S204" s="4" t="n">
        <f aca="false">$T$2*$B204^$T$3*$L204^$T$4*($T$5*$I204^$T$6+$T$7)</f>
        <v>0.171524693610536</v>
      </c>
      <c r="T204" s="4" t="n">
        <f aca="false">S204/$K204</f>
        <v>0.686098774442143</v>
      </c>
      <c r="V204" s="4"/>
      <c r="W204" s="4"/>
    </row>
    <row r="205" customFormat="false" ht="14.25" hidden="false" customHeight="false" outlineLevel="0" collapsed="false">
      <c r="B205" s="2" t="n">
        <v>20</v>
      </c>
      <c r="C205" s="3" t="n">
        <v>598</v>
      </c>
      <c r="D205" s="3" t="n">
        <v>1</v>
      </c>
      <c r="E205" s="2" t="n">
        <v>40</v>
      </c>
      <c r="F205" s="4" t="n">
        <v>2.8</v>
      </c>
      <c r="G205" s="2" t="n">
        <v>40</v>
      </c>
      <c r="H205" s="2" t="n">
        <v>50</v>
      </c>
      <c r="I205" s="5" t="n">
        <v>0.0372614852949054</v>
      </c>
      <c r="J205" s="4" t="n">
        <v>170.262682167254</v>
      </c>
      <c r="K205" s="4" t="n">
        <v>0.29</v>
      </c>
      <c r="L205" s="6" t="n">
        <f aca="false">J205/200000</f>
        <v>0.000851313410836272</v>
      </c>
      <c r="P205" s="4" t="n">
        <f aca="false">$Q$2*($Q$3*$G205+$Q$4*$B205^$Q$5*$I205^$Q$6)*$L205^$Q$7</f>
        <v>0.218864443542899</v>
      </c>
      <c r="Q205" s="4" t="n">
        <f aca="false">P205/$K205</f>
        <v>0.754704977734133</v>
      </c>
      <c r="S205" s="4" t="n">
        <f aca="false">$T$2*$B205^$T$3*$L205^$T$4*($T$5*$I205^$T$6+$T$7)</f>
        <v>0.211699412224752</v>
      </c>
      <c r="T205" s="4" t="n">
        <f aca="false">S205/$K205</f>
        <v>0.7299979731888</v>
      </c>
      <c r="V205" s="4"/>
      <c r="W205" s="4"/>
    </row>
    <row r="206" customFormat="false" ht="14.25" hidden="false" customHeight="false" outlineLevel="0" collapsed="false">
      <c r="B206" s="2" t="n">
        <v>20</v>
      </c>
      <c r="C206" s="3" t="n">
        <v>598</v>
      </c>
      <c r="D206" s="3" t="n">
        <v>1</v>
      </c>
      <c r="E206" s="2" t="n">
        <v>40</v>
      </c>
      <c r="F206" s="4" t="n">
        <v>2.8</v>
      </c>
      <c r="G206" s="2" t="n">
        <v>40</v>
      </c>
      <c r="H206" s="2" t="n">
        <v>50</v>
      </c>
      <c r="I206" s="5" t="n">
        <v>0.0372614852949054</v>
      </c>
      <c r="J206" s="4" t="n">
        <v>210.684063009142</v>
      </c>
      <c r="K206" s="4" t="n">
        <v>0.33</v>
      </c>
      <c r="L206" s="6" t="n">
        <f aca="false">J206/200000</f>
        <v>0.00105342031504571</v>
      </c>
      <c r="P206" s="4" t="n">
        <f aca="false">$Q$2*($Q$3*$G206+$Q$4*$B206^$Q$5*$I206^$Q$6)*$L206^$Q$7</f>
        <v>0.261637775527333</v>
      </c>
      <c r="Q206" s="4" t="n">
        <f aca="false">P206/$K206</f>
        <v>0.79284174402222</v>
      </c>
      <c r="S206" s="4" t="n">
        <f aca="false">$T$2*$B206^$T$3*$L206^$T$4*($T$5*$I206^$T$6+$T$7)</f>
        <v>0.253936473073228</v>
      </c>
      <c r="T206" s="4" t="n">
        <f aca="false">S206/$K206</f>
        <v>0.769504463858266</v>
      </c>
      <c r="V206" s="4"/>
      <c r="W206" s="4"/>
    </row>
    <row r="207" customFormat="false" ht="14.25" hidden="false" customHeight="false" outlineLevel="0" collapsed="false">
      <c r="B207" s="2" t="n">
        <v>20</v>
      </c>
      <c r="C207" s="3" t="n">
        <v>598</v>
      </c>
      <c r="D207" s="3" t="n">
        <v>1</v>
      </c>
      <c r="E207" s="2" t="n">
        <v>40</v>
      </c>
      <c r="F207" s="4" t="n">
        <v>2.8</v>
      </c>
      <c r="G207" s="2" t="n">
        <v>40</v>
      </c>
      <c r="H207" s="2" t="n">
        <v>50</v>
      </c>
      <c r="I207" s="5" t="n">
        <v>0.0372614852949054</v>
      </c>
      <c r="J207" s="4" t="n">
        <v>267.807333851671</v>
      </c>
      <c r="K207" s="4" t="n">
        <v>0.37</v>
      </c>
      <c r="L207" s="6" t="n">
        <f aca="false">J207/200000</f>
        <v>0.00133903666925836</v>
      </c>
      <c r="P207" s="4" t="n">
        <f aca="false">$Q$2*($Q$3*$G207+$Q$4*$B207^$Q$5*$I207^$Q$6)*$L207^$Q$7</f>
        <v>0.319898587444325</v>
      </c>
      <c r="Q207" s="4" t="n">
        <f aca="false">P207/$K207</f>
        <v>0.864590776876554</v>
      </c>
      <c r="S207" s="4" t="n">
        <f aca="false">$T$2*$B207^$T$3*$L207^$T$4*($T$5*$I207^$T$6+$T$7)</f>
        <v>0.311676465506749</v>
      </c>
      <c r="T207" s="4" t="n">
        <f aca="false">S207/$K207</f>
        <v>0.842368825693915</v>
      </c>
      <c r="V207" s="4"/>
      <c r="W207" s="4"/>
    </row>
    <row r="208" customFormat="false" ht="14.25" hidden="false" customHeight="false" outlineLevel="0" collapsed="false">
      <c r="A208" s="1" t="s">
        <v>64</v>
      </c>
      <c r="B208" s="2" t="n">
        <v>20</v>
      </c>
      <c r="C208" s="3" t="n">
        <v>430</v>
      </c>
      <c r="D208" s="3" t="n">
        <v>6</v>
      </c>
      <c r="E208" s="2" t="n">
        <v>84</v>
      </c>
      <c r="F208" s="4" t="n">
        <v>3.50882128585544</v>
      </c>
      <c r="G208" s="2" t="n">
        <v>50</v>
      </c>
      <c r="H208" s="2" t="n">
        <v>64</v>
      </c>
      <c r="I208" s="5" t="n">
        <v>0.0310124488946994</v>
      </c>
      <c r="J208" s="4" t="n">
        <v>99.0485485987829</v>
      </c>
      <c r="K208" s="4" t="n">
        <v>0.15</v>
      </c>
      <c r="L208" s="6" t="n">
        <f aca="false">J208/200000</f>
        <v>0.000495242742993915</v>
      </c>
      <c r="P208" s="4" t="n">
        <f aca="false">$Q$2*($Q$3*$G208+$Q$4*$B208^$Q$5*$I208^$Q$6)*$L208^$Q$7</f>
        <v>0.152423435565229</v>
      </c>
      <c r="Q208" s="4" t="n">
        <f aca="false">P208/$K208</f>
        <v>1.01615623710152</v>
      </c>
      <c r="S208" s="4" t="n">
        <f aca="false">$T$2*$B208^$T$3*$L208^$T$4*($T$5*$I208^$T$6+$T$7)</f>
        <v>0.146364255287695</v>
      </c>
      <c r="T208" s="4" t="n">
        <f aca="false">S208/$K208</f>
        <v>0.975761701917967</v>
      </c>
      <c r="V208" s="4"/>
      <c r="W208" s="4"/>
    </row>
    <row r="209" customFormat="false" ht="14.25" hidden="false" customHeight="false" outlineLevel="0" collapsed="false">
      <c r="B209" s="2" t="n">
        <v>20</v>
      </c>
      <c r="C209" s="3" t="n">
        <v>430</v>
      </c>
      <c r="D209" s="3" t="n">
        <v>6</v>
      </c>
      <c r="E209" s="2" t="n">
        <v>84</v>
      </c>
      <c r="F209" s="4" t="n">
        <v>3.50882128585544</v>
      </c>
      <c r="G209" s="2" t="n">
        <v>50</v>
      </c>
      <c r="H209" s="2" t="n">
        <v>64</v>
      </c>
      <c r="I209" s="5" t="n">
        <v>0.0310124488946994</v>
      </c>
      <c r="J209" s="4" t="n">
        <v>151.418293656062</v>
      </c>
      <c r="K209" s="4" t="n">
        <v>0.23</v>
      </c>
      <c r="L209" s="6" t="n">
        <f aca="false">J209/200000</f>
        <v>0.000757091468280308</v>
      </c>
      <c r="P209" s="4" t="n">
        <f aca="false">$Q$2*($Q$3*$G209+$Q$4*$B209^$Q$5*$I209^$Q$6)*$L209^$Q$7</f>
        <v>0.217530661465276</v>
      </c>
      <c r="Q209" s="4" t="n">
        <f aca="false">P209/$K209</f>
        <v>0.945785484631634</v>
      </c>
      <c r="S209" s="4" t="n">
        <f aca="false">$T$2*$B209^$T$3*$L209^$T$4*($T$5*$I209^$T$6+$T$7)</f>
        <v>0.210306669261351</v>
      </c>
      <c r="T209" s="4" t="n">
        <f aca="false">S209/$K209</f>
        <v>0.914376822875439</v>
      </c>
      <c r="V209" s="4"/>
      <c r="W209" s="4"/>
    </row>
    <row r="210" customFormat="false" ht="14.25" hidden="false" customHeight="false" outlineLevel="0" collapsed="false">
      <c r="B210" s="2" t="n">
        <v>20</v>
      </c>
      <c r="C210" s="3" t="n">
        <v>430</v>
      </c>
      <c r="D210" s="3" t="n">
        <v>6</v>
      </c>
      <c r="E210" s="2" t="n">
        <v>84</v>
      </c>
      <c r="F210" s="4" t="n">
        <v>3.50882128585544</v>
      </c>
      <c r="G210" s="2" t="n">
        <v>50</v>
      </c>
      <c r="H210" s="2" t="n">
        <v>64</v>
      </c>
      <c r="I210" s="5" t="n">
        <v>0.0310124488946994</v>
      </c>
      <c r="J210" s="4" t="n">
        <v>209.092094228452</v>
      </c>
      <c r="K210" s="4" t="n">
        <v>0.28</v>
      </c>
      <c r="L210" s="6" t="n">
        <f aca="false">J210/200000</f>
        <v>0.00104546047114226</v>
      </c>
      <c r="P210" s="4" t="n">
        <f aca="false">$Q$2*($Q$3*$G210+$Q$4*$B210^$Q$5*$I210^$Q$6)*$L210^$Q$7</f>
        <v>0.28508472241092</v>
      </c>
      <c r="Q210" s="4" t="n">
        <f aca="false">P210/$K210</f>
        <v>1.01815972289614</v>
      </c>
      <c r="S210" s="4" t="n">
        <f aca="false">$T$2*$B210^$T$3*$L210^$T$4*($T$5*$I210^$T$6+$T$7)</f>
        <v>0.277044196687078</v>
      </c>
      <c r="T210" s="4" t="n">
        <f aca="false">S210/$K210</f>
        <v>0.989443559596706</v>
      </c>
      <c r="V210" s="4"/>
      <c r="W210" s="4"/>
    </row>
    <row r="211" customFormat="false" ht="14.25" hidden="false" customHeight="false" outlineLevel="0" collapsed="false">
      <c r="A211" s="1" t="s">
        <v>65</v>
      </c>
      <c r="B211" s="2" t="n">
        <v>20</v>
      </c>
      <c r="C211" s="3" t="n">
        <v>430</v>
      </c>
      <c r="D211" s="3" t="n">
        <v>9</v>
      </c>
      <c r="E211" s="2" t="n">
        <v>45</v>
      </c>
      <c r="F211" s="4" t="n">
        <v>3.50882128585544</v>
      </c>
      <c r="G211" s="2" t="n">
        <v>50</v>
      </c>
      <c r="H211" s="2" t="n">
        <v>64</v>
      </c>
      <c r="I211" s="5" t="n">
        <v>0.0493280379637779</v>
      </c>
      <c r="J211" s="4" t="n">
        <v>121.206056256298</v>
      </c>
      <c r="K211" s="4" t="n">
        <v>0.18</v>
      </c>
      <c r="L211" s="6" t="n">
        <f aca="false">J211/200000</f>
        <v>0.000606030281281491</v>
      </c>
      <c r="P211" s="4" t="n">
        <f aca="false">$Q$2*($Q$3*$G211+$Q$4*$B211^$Q$5*$I211^$Q$6)*$L211^$Q$7</f>
        <v>0.143860003544479</v>
      </c>
      <c r="Q211" s="4" t="n">
        <f aca="false">P211/$K211</f>
        <v>0.799222241913771</v>
      </c>
      <c r="S211" s="4" t="n">
        <f aca="false">$T$2*$B211^$T$3*$L211^$T$4*($T$5*$I211^$T$6+$T$7)</f>
        <v>0.138106632787361</v>
      </c>
      <c r="T211" s="4" t="n">
        <f aca="false">S211/$K211</f>
        <v>0.767259071040897</v>
      </c>
      <c r="V211" s="4"/>
      <c r="W211" s="4"/>
    </row>
    <row r="212" customFormat="false" ht="14.25" hidden="false" customHeight="false" outlineLevel="0" collapsed="false">
      <c r="B212" s="2" t="n">
        <v>20</v>
      </c>
      <c r="C212" s="3" t="n">
        <v>430</v>
      </c>
      <c r="D212" s="3" t="n">
        <v>9</v>
      </c>
      <c r="E212" s="2" t="n">
        <v>45</v>
      </c>
      <c r="F212" s="4" t="n">
        <v>3.50882128585544</v>
      </c>
      <c r="G212" s="2" t="n">
        <v>50</v>
      </c>
      <c r="H212" s="2" t="n">
        <v>64</v>
      </c>
      <c r="I212" s="5" t="n">
        <v>0.0493280379637779</v>
      </c>
      <c r="J212" s="4" t="n">
        <v>169.06520538521</v>
      </c>
      <c r="K212" s="4" t="n">
        <v>0.26</v>
      </c>
      <c r="L212" s="6" t="n">
        <f aca="false">J212/200000</f>
        <v>0.000845326026926048</v>
      </c>
      <c r="P212" s="4" t="n">
        <f aca="false">$Q$2*($Q$3*$G212+$Q$4*$B212^$Q$5*$I212^$Q$6)*$L212^$Q$7</f>
        <v>0.190132402581312</v>
      </c>
      <c r="Q212" s="4" t="n">
        <f aca="false">P212/$K212</f>
        <v>0.731278471466586</v>
      </c>
      <c r="S212" s="4" t="n">
        <f aca="false">$T$2*$B212^$T$3*$L212^$T$4*($T$5*$I212^$T$6+$T$7)</f>
        <v>0.183502964576213</v>
      </c>
      <c r="T212" s="4" t="n">
        <f aca="false">S212/$K212</f>
        <v>0.705780632985435</v>
      </c>
      <c r="V212" s="4"/>
      <c r="W212" s="4"/>
    </row>
    <row r="213" customFormat="false" ht="14.25" hidden="false" customHeight="false" outlineLevel="0" collapsed="false">
      <c r="B213" s="2" t="n">
        <v>20</v>
      </c>
      <c r="C213" s="3" t="n">
        <v>430</v>
      </c>
      <c r="D213" s="3" t="n">
        <v>9</v>
      </c>
      <c r="E213" s="2" t="n">
        <v>45</v>
      </c>
      <c r="F213" s="4" t="n">
        <v>3.50882128585544</v>
      </c>
      <c r="G213" s="2" t="n">
        <v>50</v>
      </c>
      <c r="H213" s="2" t="n">
        <v>64</v>
      </c>
      <c r="I213" s="5" t="n">
        <v>0.0493280379637779</v>
      </c>
      <c r="J213" s="4" t="n">
        <v>221.141260100343</v>
      </c>
      <c r="K213" s="4" t="n">
        <v>0.34</v>
      </c>
      <c r="L213" s="6" t="n">
        <f aca="false">J213/200000</f>
        <v>0.00110570630050172</v>
      </c>
      <c r="P213" s="4" t="n">
        <f aca="false">$Q$2*($Q$3*$G213+$Q$4*$B213^$Q$5*$I213^$Q$6)*$L213^$Q$7</f>
        <v>0.238111275591184</v>
      </c>
      <c r="Q213" s="4" t="n">
        <f aca="false">P213/$K213</f>
        <v>0.70032728115054</v>
      </c>
      <c r="S213" s="4" t="n">
        <f aca="false">$T$2*$B213^$T$3*$L213^$T$4*($T$5*$I213^$T$6+$T$7)</f>
        <v>0.230798381543651</v>
      </c>
      <c r="T213" s="4" t="n">
        <f aca="false">S213/$K213</f>
        <v>0.678818769246033</v>
      </c>
      <c r="V213" s="4"/>
      <c r="W213" s="4"/>
    </row>
    <row r="214" customFormat="false" ht="14.25" hidden="false" customHeight="false" outlineLevel="0" collapsed="false">
      <c r="A214" s="1" t="s">
        <v>66</v>
      </c>
      <c r="B214" s="2" t="n">
        <v>16</v>
      </c>
      <c r="C214" s="3" t="n">
        <v>528</v>
      </c>
      <c r="D214" s="3" t="n">
        <v>2</v>
      </c>
      <c r="E214" s="2" t="n">
        <v>52</v>
      </c>
      <c r="F214" s="4" t="n">
        <v>3.42</v>
      </c>
      <c r="G214" s="2" t="n">
        <v>27</v>
      </c>
      <c r="H214" s="2" t="n">
        <v>35</v>
      </c>
      <c r="I214" s="5" t="n">
        <v>0.0486801935635287</v>
      </c>
      <c r="J214" s="4" t="n">
        <v>187.083121323035</v>
      </c>
      <c r="K214" s="4" t="n">
        <v>0.15</v>
      </c>
      <c r="L214" s="6" t="n">
        <f aca="false">J214/200000</f>
        <v>0.000935415606615177</v>
      </c>
      <c r="P214" s="4" t="n">
        <f aca="false">$Q$2*($Q$3*$G214+$Q$4*$B214^$Q$5*$I214^$Q$6)*$L214^$Q$7</f>
        <v>0.162234148720283</v>
      </c>
      <c r="Q214" s="4" t="n">
        <f aca="false">P214/$K214</f>
        <v>1.08156099146855</v>
      </c>
      <c r="S214" s="4" t="n">
        <f aca="false">$T$2*$B214^$T$3*$L214^$T$4*($T$5*$I214^$T$6+$T$7)</f>
        <v>0.15583919049189</v>
      </c>
      <c r="T214" s="4" t="n">
        <f aca="false">S214/$K214</f>
        <v>1.0389279366126</v>
      </c>
      <c r="V214" s="4"/>
      <c r="W214" s="4"/>
    </row>
    <row r="215" customFormat="false" ht="14.25" hidden="false" customHeight="false" outlineLevel="0" collapsed="false">
      <c r="B215" s="2" t="n">
        <v>16</v>
      </c>
      <c r="C215" s="3" t="n">
        <v>528</v>
      </c>
      <c r="D215" s="3" t="n">
        <v>2</v>
      </c>
      <c r="E215" s="2" t="n">
        <v>52</v>
      </c>
      <c r="F215" s="4" t="n">
        <v>3.42</v>
      </c>
      <c r="G215" s="2" t="n">
        <v>27</v>
      </c>
      <c r="H215" s="2" t="n">
        <v>35</v>
      </c>
      <c r="I215" s="5" t="n">
        <v>0.0486801935635287</v>
      </c>
      <c r="J215" s="4" t="n">
        <v>284.065409018002</v>
      </c>
      <c r="K215" s="4" t="n">
        <v>0.19</v>
      </c>
      <c r="L215" s="6" t="n">
        <f aca="false">J215/200000</f>
        <v>0.00142032704509001</v>
      </c>
      <c r="P215" s="4" t="n">
        <f aca="false">$Q$2*($Q$3*$G215+$Q$4*$B215^$Q$5*$I215^$Q$6)*$L215^$Q$7</f>
        <v>0.230219365592436</v>
      </c>
      <c r="Q215" s="4" t="n">
        <f aca="false">P215/$K215</f>
        <v>1.21168087153913</v>
      </c>
      <c r="S215" s="4" t="n">
        <f aca="false">$T$2*$B215^$T$3*$L215^$T$4*($T$5*$I215^$T$6+$T$7)</f>
        <v>0.222627291172246</v>
      </c>
      <c r="T215" s="4" t="n">
        <f aca="false">S215/$K215</f>
        <v>1.17172258511708</v>
      </c>
      <c r="V215" s="4"/>
      <c r="W215" s="4"/>
    </row>
    <row r="216" customFormat="false" ht="14.25" hidden="false" customHeight="false" outlineLevel="0" collapsed="false">
      <c r="B216" s="2" t="n">
        <v>16</v>
      </c>
      <c r="C216" s="3" t="n">
        <v>528</v>
      </c>
      <c r="D216" s="3" t="n">
        <v>2</v>
      </c>
      <c r="E216" s="2" t="n">
        <v>52</v>
      </c>
      <c r="F216" s="4" t="n">
        <v>3.42</v>
      </c>
      <c r="G216" s="2" t="n">
        <v>27</v>
      </c>
      <c r="H216" s="2" t="n">
        <v>35</v>
      </c>
      <c r="I216" s="5" t="n">
        <v>0.0486801935635287</v>
      </c>
      <c r="J216" s="4" t="n">
        <v>342.254781634983</v>
      </c>
      <c r="K216" s="4" t="n">
        <v>0.22</v>
      </c>
      <c r="L216" s="6" t="n">
        <f aca="false">J216/200000</f>
        <v>0.00171127390817491</v>
      </c>
      <c r="P216" s="4" t="n">
        <f aca="false">$Q$2*($Q$3*$G216+$Q$4*$B216^$Q$5*$I216^$Q$6)*$L216^$Q$7</f>
        <v>0.269130039373751</v>
      </c>
      <c r="Q216" s="4" t="n">
        <f aca="false">P216/$K216</f>
        <v>1.22331836078978</v>
      </c>
      <c r="S216" s="4" t="n">
        <f aca="false">$T$2*$B216^$T$3*$L216^$T$4*($T$5*$I216^$T$6+$T$7)</f>
        <v>0.261031923069683</v>
      </c>
      <c r="T216" s="4" t="n">
        <f aca="false">S216/$K216</f>
        <v>1.18650874122583</v>
      </c>
      <c r="V216" s="4"/>
      <c r="W216" s="4"/>
    </row>
    <row r="217" customFormat="false" ht="14.25" hidden="false" customHeight="false" outlineLevel="0" collapsed="false">
      <c r="B217" s="2" t="n">
        <v>16</v>
      </c>
      <c r="C217" s="3" t="n">
        <v>528</v>
      </c>
      <c r="D217" s="3" t="n">
        <v>2</v>
      </c>
      <c r="E217" s="2" t="n">
        <v>52</v>
      </c>
      <c r="F217" s="4" t="n">
        <v>3.42</v>
      </c>
      <c r="G217" s="2" t="n">
        <v>27</v>
      </c>
      <c r="H217" s="2" t="n">
        <v>35</v>
      </c>
      <c r="I217" s="5" t="n">
        <v>0.0486801935635287</v>
      </c>
      <c r="J217" s="4" t="n">
        <v>390.745925482466</v>
      </c>
      <c r="K217" s="4" t="n">
        <v>0.22</v>
      </c>
      <c r="L217" s="6" t="n">
        <f aca="false">J217/200000</f>
        <v>0.00195372962741233</v>
      </c>
      <c r="P217" s="4" t="n">
        <f aca="false">$Q$2*($Q$3*$G217+$Q$4*$B217^$Q$5*$I217^$Q$6)*$L217^$Q$7</f>
        <v>0.300735591711017</v>
      </c>
      <c r="Q217" s="4" t="n">
        <f aca="false">P217/$K217</f>
        <v>1.3669799623228</v>
      </c>
      <c r="S217" s="4" t="n">
        <f aca="false">$T$2*$B217^$T$3*$L217^$T$4*($T$5*$I217^$T$6+$T$7)</f>
        <v>0.29230550620944</v>
      </c>
      <c r="T217" s="4" t="n">
        <f aca="false">S217/$K217</f>
        <v>1.32866139186109</v>
      </c>
      <c r="V217" s="4"/>
      <c r="W217" s="4"/>
    </row>
    <row r="218" customFormat="false" ht="14.25" hidden="false" customHeight="false" outlineLevel="0" collapsed="false">
      <c r="B218" s="2" t="n">
        <v>16</v>
      </c>
      <c r="C218" s="3" t="n">
        <v>528</v>
      </c>
      <c r="D218" s="3" t="n">
        <v>2</v>
      </c>
      <c r="E218" s="2" t="n">
        <v>52</v>
      </c>
      <c r="F218" s="4" t="n">
        <v>3.42</v>
      </c>
      <c r="G218" s="2" t="n">
        <v>27</v>
      </c>
      <c r="H218" s="2" t="n">
        <v>35</v>
      </c>
      <c r="I218" s="5" t="n">
        <v>0.0486801935635287</v>
      </c>
      <c r="J218" s="4" t="n">
        <v>468.33175563844</v>
      </c>
      <c r="K218" s="4" t="n">
        <v>0.25</v>
      </c>
      <c r="L218" s="6" t="n">
        <f aca="false">J218/200000</f>
        <v>0.0023416587781922</v>
      </c>
      <c r="P218" s="4" t="n">
        <f aca="false">$Q$2*($Q$3*$G218+$Q$4*$B218^$Q$5*$I218^$Q$6)*$L218^$Q$7</f>
        <v>0.350026717893386</v>
      </c>
      <c r="Q218" s="4" t="n">
        <f aca="false">P218/$K218</f>
        <v>1.40010687157354</v>
      </c>
      <c r="S218" s="4" t="n">
        <f aca="false">$T$2*$B218^$T$3*$L218^$T$4*($T$5*$I218^$T$6+$T$7)</f>
        <v>0.341202267804287</v>
      </c>
      <c r="T218" s="4" t="n">
        <f aca="false">S218/$K218</f>
        <v>1.36480907121715</v>
      </c>
      <c r="V218" s="4"/>
      <c r="W218" s="4"/>
    </row>
    <row r="219" customFormat="false" ht="14.25" hidden="false" customHeight="false" outlineLevel="0" collapsed="false">
      <c r="B219" s="2" t="n">
        <v>16</v>
      </c>
      <c r="C219" s="3" t="n">
        <v>528</v>
      </c>
      <c r="D219" s="3" t="n">
        <v>2</v>
      </c>
      <c r="E219" s="2" t="n">
        <v>52</v>
      </c>
      <c r="F219" s="4" t="n">
        <v>3.42</v>
      </c>
      <c r="G219" s="2" t="n">
        <v>27</v>
      </c>
      <c r="H219" s="2" t="n">
        <v>35</v>
      </c>
      <c r="I219" s="5" t="n">
        <v>0.0486801935635287</v>
      </c>
      <c r="J219" s="4" t="n">
        <v>526.101808707204</v>
      </c>
      <c r="K219" s="4" t="n">
        <v>0.29</v>
      </c>
      <c r="L219" s="6" t="n">
        <f aca="false">J219/200000</f>
        <v>0.00263050904353602</v>
      </c>
      <c r="P219" s="4" t="n">
        <f aca="false">$Q$2*($Q$3*$G219+$Q$4*$B219^$Q$5*$I219^$Q$6)*$L219^$Q$7</f>
        <v>0.385863555387879</v>
      </c>
      <c r="Q219" s="4" t="n">
        <f aca="false">P219/$K219</f>
        <v>1.33056398409613</v>
      </c>
      <c r="S219" s="4" t="n">
        <f aca="false">$T$2*$B219^$T$3*$L219^$T$4*($T$5*$I219^$T$6+$T$7)</f>
        <v>0.376836302555266</v>
      </c>
      <c r="T219" s="4" t="n">
        <f aca="false">S219/$K219</f>
        <v>1.29943552605264</v>
      </c>
      <c r="V219" s="4"/>
      <c r="W219" s="4"/>
    </row>
    <row r="220" customFormat="false" ht="14.25" hidden="false" customHeight="false" outlineLevel="0" collapsed="false">
      <c r="A220" s="1" t="s">
        <v>67</v>
      </c>
      <c r="B220" s="2" t="n">
        <v>20</v>
      </c>
      <c r="C220" s="3" t="n">
        <v>528</v>
      </c>
      <c r="D220" s="3" t="n">
        <v>2</v>
      </c>
      <c r="E220" s="2" t="n">
        <v>44</v>
      </c>
      <c r="F220" s="4" t="n">
        <v>3.42</v>
      </c>
      <c r="G220" s="2" t="n">
        <v>25</v>
      </c>
      <c r="H220" s="2" t="n">
        <v>35</v>
      </c>
      <c r="I220" s="5" t="n">
        <v>0.0825359157184491</v>
      </c>
      <c r="J220" s="4" t="n">
        <v>242.78254560699</v>
      </c>
      <c r="K220" s="4" t="n">
        <v>0.17</v>
      </c>
      <c r="L220" s="6" t="n">
        <f aca="false">J220/200000</f>
        <v>0.00121391272803495</v>
      </c>
      <c r="P220" s="4" t="n">
        <f aca="false">$Q$2*($Q$3*$G220+$Q$4*$B220^$Q$5*$I220^$Q$6)*$L220^$Q$7</f>
        <v>0.198631459500368</v>
      </c>
      <c r="Q220" s="4" t="n">
        <f aca="false">P220/$K220</f>
        <v>1.16842035000216</v>
      </c>
      <c r="S220" s="4" t="n">
        <f aca="false">$T$2*$B220^$T$3*$L220^$T$4*($T$5*$I220^$T$6+$T$7)</f>
        <v>0.198539841457915</v>
      </c>
      <c r="T220" s="4" t="n">
        <f aca="false">S220/$K220</f>
        <v>1.16788142034067</v>
      </c>
      <c r="V220" s="4"/>
      <c r="W220" s="4"/>
    </row>
    <row r="221" customFormat="false" ht="14.25" hidden="false" customHeight="false" outlineLevel="0" collapsed="false">
      <c r="B221" s="2" t="n">
        <v>20</v>
      </c>
      <c r="C221" s="3" t="n">
        <v>528</v>
      </c>
      <c r="D221" s="3" t="n">
        <v>2</v>
      </c>
      <c r="E221" s="2" t="n">
        <v>44</v>
      </c>
      <c r="F221" s="4" t="n">
        <v>3.42</v>
      </c>
      <c r="G221" s="2" t="n">
        <v>25</v>
      </c>
      <c r="H221" s="2" t="n">
        <v>35</v>
      </c>
      <c r="I221" s="5" t="n">
        <v>0.0825359157184491</v>
      </c>
      <c r="J221" s="4" t="n">
        <v>285.074914966108</v>
      </c>
      <c r="K221" s="4" t="n">
        <v>0.19</v>
      </c>
      <c r="L221" s="6" t="n">
        <f aca="false">J221/200000</f>
        <v>0.00142537457483054</v>
      </c>
      <c r="P221" s="4" t="n">
        <f aca="false">$Q$2*($Q$3*$G221+$Q$4*$B221^$Q$5*$I221^$Q$6)*$L221^$Q$7</f>
        <v>0.227243487886946</v>
      </c>
      <c r="Q221" s="4" t="n">
        <f aca="false">P221/$K221</f>
        <v>1.19601835729971</v>
      </c>
      <c r="S221" s="4" t="n">
        <f aca="false">$T$2*$B221^$T$3*$L221^$T$4*($T$5*$I221^$T$6+$T$7)</f>
        <v>0.22772302710112</v>
      </c>
      <c r="T221" s="4" t="n">
        <f aca="false">S221/$K221</f>
        <v>1.19854224790063</v>
      </c>
      <c r="V221" s="4"/>
      <c r="W221" s="4"/>
    </row>
    <row r="222" customFormat="false" ht="14.25" hidden="false" customHeight="false" outlineLevel="0" collapsed="false">
      <c r="B222" s="2" t="n">
        <v>20</v>
      </c>
      <c r="C222" s="3" t="n">
        <v>528</v>
      </c>
      <c r="D222" s="3" t="n">
        <v>2</v>
      </c>
      <c r="E222" s="2" t="n">
        <v>44</v>
      </c>
      <c r="F222" s="4" t="n">
        <v>3.42</v>
      </c>
      <c r="G222" s="2" t="n">
        <v>25</v>
      </c>
      <c r="H222" s="2" t="n">
        <v>35</v>
      </c>
      <c r="I222" s="5" t="n">
        <v>0.0825359157184491</v>
      </c>
      <c r="J222" s="4" t="n">
        <v>339.450818427831</v>
      </c>
      <c r="K222" s="4" t="n">
        <v>0.21</v>
      </c>
      <c r="L222" s="6" t="n">
        <f aca="false">J222/200000</f>
        <v>0.00169725409213915</v>
      </c>
      <c r="P222" s="4" t="n">
        <f aca="false">$Q$2*($Q$3*$G222+$Q$4*$B222^$Q$5*$I222^$Q$6)*$L222^$Q$7</f>
        <v>0.263043037173867</v>
      </c>
      <c r="Q222" s="4" t="n">
        <f aca="false">P222/$K222</f>
        <v>1.25258589130413</v>
      </c>
      <c r="S222" s="4" t="n">
        <f aca="false">$T$2*$B222^$T$3*$L222^$T$4*($T$5*$I222^$T$6+$T$7)</f>
        <v>0.264335442438143</v>
      </c>
      <c r="T222" s="4" t="n">
        <f aca="false">S222/$K222</f>
        <v>1.2587402020864</v>
      </c>
      <c r="V222" s="4"/>
      <c r="W222" s="4"/>
    </row>
    <row r="223" customFormat="false" ht="14.25" hidden="false" customHeight="false" outlineLevel="0" collapsed="false">
      <c r="B223" s="2" t="n">
        <v>20</v>
      </c>
      <c r="C223" s="3" t="n">
        <v>528</v>
      </c>
      <c r="D223" s="3" t="n">
        <v>2</v>
      </c>
      <c r="E223" s="2" t="n">
        <v>44</v>
      </c>
      <c r="F223" s="4" t="n">
        <v>3.42</v>
      </c>
      <c r="G223" s="2" t="n">
        <v>25</v>
      </c>
      <c r="H223" s="2" t="n">
        <v>35</v>
      </c>
      <c r="I223" s="5" t="n">
        <v>0.0825359157184491</v>
      </c>
      <c r="J223" s="4" t="n">
        <v>363.617886633041</v>
      </c>
      <c r="K223" s="4" t="n">
        <v>0.23</v>
      </c>
      <c r="L223" s="6" t="n">
        <f aca="false">J223/200000</f>
        <v>0.0018180894331652</v>
      </c>
      <c r="P223" s="4" t="n">
        <f aca="false">$Q$2*($Q$3*$G223+$Q$4*$B223^$Q$5*$I223^$Q$6)*$L223^$Q$7</f>
        <v>0.278648372835661</v>
      </c>
      <c r="Q223" s="4" t="n">
        <f aca="false">P223/$K223</f>
        <v>1.21151466450287</v>
      </c>
      <c r="S223" s="4" t="n">
        <f aca="false">$T$2*$B223^$T$3*$L223^$T$4*($T$5*$I223^$T$6+$T$7)</f>
        <v>0.280325750031422</v>
      </c>
      <c r="T223" s="4" t="n">
        <f aca="false">S223/$K223</f>
        <v>1.21880760883227</v>
      </c>
      <c r="V223" s="4"/>
      <c r="W223" s="4"/>
    </row>
    <row r="224" customFormat="false" ht="14.25" hidden="false" customHeight="false" outlineLevel="0" collapsed="false">
      <c r="B224" s="2" t="n">
        <v>20</v>
      </c>
      <c r="C224" s="3" t="n">
        <v>528</v>
      </c>
      <c r="D224" s="3" t="n">
        <v>2</v>
      </c>
      <c r="E224" s="2" t="n">
        <v>44</v>
      </c>
      <c r="F224" s="4" t="n">
        <v>3.42</v>
      </c>
      <c r="G224" s="2" t="n">
        <v>25</v>
      </c>
      <c r="H224" s="2" t="n">
        <v>35</v>
      </c>
      <c r="I224" s="5" t="n">
        <v>0.0825359157184491</v>
      </c>
      <c r="J224" s="4" t="n">
        <v>417.993790094763</v>
      </c>
      <c r="K224" s="4" t="n">
        <v>0.25</v>
      </c>
      <c r="L224" s="6" t="n">
        <f aca="false">J224/200000</f>
        <v>0.00208996895047382</v>
      </c>
      <c r="P224" s="4" t="n">
        <f aca="false">$Q$2*($Q$3*$G224+$Q$4*$B224^$Q$5*$I224^$Q$6)*$L224^$Q$7</f>
        <v>0.31316709155057</v>
      </c>
      <c r="Q224" s="4" t="n">
        <f aca="false">P224/$K224</f>
        <v>1.25266836620228</v>
      </c>
      <c r="S224" s="4" t="n">
        <f aca="false">$T$2*$B224^$T$3*$L224^$T$4*($T$5*$I224^$T$6+$T$7)</f>
        <v>0.315755550749876</v>
      </c>
      <c r="T224" s="4" t="n">
        <f aca="false">S224/$K224</f>
        <v>1.2630222029995</v>
      </c>
      <c r="V224" s="4"/>
      <c r="W224" s="4"/>
    </row>
    <row r="225" customFormat="false" ht="14.25" hidden="false" customHeight="false" outlineLevel="0" collapsed="false">
      <c r="B225" s="2" t="n">
        <v>20</v>
      </c>
      <c r="C225" s="3" t="n">
        <v>528</v>
      </c>
      <c r="D225" s="3" t="n">
        <v>2</v>
      </c>
      <c r="E225" s="2" t="n">
        <v>44</v>
      </c>
      <c r="F225" s="4" t="n">
        <v>3.42</v>
      </c>
      <c r="G225" s="2" t="n">
        <v>25</v>
      </c>
      <c r="H225" s="2" t="n">
        <v>35</v>
      </c>
      <c r="I225" s="5" t="n">
        <v>0.0825359157184491</v>
      </c>
      <c r="J225" s="4" t="n">
        <v>525.80672936788</v>
      </c>
      <c r="K225" s="4" t="n">
        <v>0.25</v>
      </c>
      <c r="L225" s="6" t="n">
        <f aca="false">J225/200000</f>
        <v>0.0026290336468394</v>
      </c>
      <c r="P225" s="4" t="n">
        <f aca="false">$Q$2*($Q$3*$G225+$Q$4*$B225^$Q$5*$I225^$Q$6)*$L225^$Q$7</f>
        <v>0.379566702488317</v>
      </c>
      <c r="Q225" s="4" t="n">
        <f aca="false">P225/$K225</f>
        <v>1.51826680995327</v>
      </c>
      <c r="S225" s="4" t="n">
        <f aca="false">$T$2*$B225^$T$3*$L225^$T$4*($T$5*$I225^$T$6+$T$7)</f>
        <v>0.384111653022231</v>
      </c>
      <c r="T225" s="4" t="n">
        <f aca="false">S225/$K225</f>
        <v>1.53644661208893</v>
      </c>
      <c r="V225" s="4"/>
      <c r="W225" s="4"/>
    </row>
    <row r="226" customFormat="false" ht="14.25" hidden="false" customHeight="false" outlineLevel="0" collapsed="false">
      <c r="A226" s="1" t="s">
        <v>68</v>
      </c>
      <c r="B226" s="2" t="n">
        <v>20</v>
      </c>
      <c r="C226" s="3" t="n">
        <v>528</v>
      </c>
      <c r="D226" s="3" t="n">
        <v>3</v>
      </c>
      <c r="E226" s="2" t="n">
        <v>12</v>
      </c>
      <c r="F226" s="4" t="n">
        <v>3.42</v>
      </c>
      <c r="G226" s="2" t="n">
        <v>25</v>
      </c>
      <c r="H226" s="2" t="n">
        <v>35</v>
      </c>
      <c r="I226" s="5" t="n">
        <v>0.135249348683273</v>
      </c>
      <c r="J226" s="4" t="n">
        <v>223.295734302368</v>
      </c>
      <c r="K226" s="4" t="n">
        <v>0.18</v>
      </c>
      <c r="L226" s="6" t="n">
        <f aca="false">J226/200000</f>
        <v>0.00111647867151184</v>
      </c>
      <c r="P226" s="4" t="n">
        <f aca="false">$Q$2*($Q$3*$G226+$Q$4*$B226^$Q$5*$I226^$Q$6)*$L226^$Q$7</f>
        <v>0.145364782829435</v>
      </c>
      <c r="Q226" s="4" t="n">
        <f aca="false">P226/$K226</f>
        <v>0.807582126830192</v>
      </c>
      <c r="S226" s="4" t="n">
        <f aca="false">$T$2*$B226^$T$3*$L226^$T$4*($T$5*$I226^$T$6+$T$7)</f>
        <v>0.152364846421673</v>
      </c>
      <c r="T226" s="4" t="n">
        <f aca="false">S226/$K226</f>
        <v>0.846471369009295</v>
      </c>
      <c r="V226" s="4"/>
      <c r="W226" s="4"/>
    </row>
    <row r="227" customFormat="false" ht="14.25" hidden="false" customHeight="false" outlineLevel="0" collapsed="false">
      <c r="B227" s="2" t="n">
        <v>20</v>
      </c>
      <c r="C227" s="3" t="n">
        <v>528</v>
      </c>
      <c r="D227" s="3" t="n">
        <v>3</v>
      </c>
      <c r="E227" s="2" t="n">
        <v>12</v>
      </c>
      <c r="F227" s="4" t="n">
        <v>3.42</v>
      </c>
      <c r="G227" s="2" t="n">
        <v>25</v>
      </c>
      <c r="H227" s="2" t="n">
        <v>35</v>
      </c>
      <c r="I227" s="5" t="n">
        <v>0.135249348683273</v>
      </c>
      <c r="J227" s="4" t="n">
        <v>263.36829755996</v>
      </c>
      <c r="K227" s="4" t="n">
        <v>0.19</v>
      </c>
      <c r="L227" s="6" t="n">
        <f aca="false">J227/200000</f>
        <v>0.0013168414877998</v>
      </c>
      <c r="P227" s="4" t="n">
        <f aca="false">$Q$2*($Q$3*$G227+$Q$4*$B227^$Q$5*$I227^$Q$6)*$L227^$Q$7</f>
        <v>0.166928163826281</v>
      </c>
      <c r="Q227" s="4" t="n">
        <f aca="false">P227/$K227</f>
        <v>0.878569283296217</v>
      </c>
      <c r="S227" s="4" t="n">
        <f aca="false">$T$2*$B227^$T$3*$L227^$T$4*($T$5*$I227^$T$6+$T$7)</f>
        <v>0.175429295706589</v>
      </c>
      <c r="T227" s="4" t="n">
        <f aca="false">S227/$K227</f>
        <v>0.92331208266626</v>
      </c>
      <c r="V227" s="4"/>
      <c r="W227" s="4"/>
    </row>
    <row r="228" customFormat="false" ht="14.25" hidden="false" customHeight="false" outlineLevel="0" collapsed="false">
      <c r="B228" s="2" t="n">
        <v>20</v>
      </c>
      <c r="C228" s="3" t="n">
        <v>528</v>
      </c>
      <c r="D228" s="3" t="n">
        <v>3</v>
      </c>
      <c r="E228" s="2" t="n">
        <v>12</v>
      </c>
      <c r="F228" s="4" t="n">
        <v>3.42</v>
      </c>
      <c r="G228" s="2" t="n">
        <v>25</v>
      </c>
      <c r="H228" s="2" t="n">
        <v>35</v>
      </c>
      <c r="I228" s="5" t="n">
        <v>0.135249348683273</v>
      </c>
      <c r="J228" s="4" t="n">
        <v>299.433604491793</v>
      </c>
      <c r="K228" s="4" t="n">
        <v>0.21</v>
      </c>
      <c r="L228" s="6" t="n">
        <f aca="false">J228/200000</f>
        <v>0.00149716802245896</v>
      </c>
      <c r="P228" s="4" t="n">
        <f aca="false">$Q$2*($Q$3*$G228+$Q$4*$B228^$Q$5*$I228^$Q$6)*$L228^$Q$7</f>
        <v>0.185881966048464</v>
      </c>
      <c r="Q228" s="4" t="n">
        <f aca="false">P228/$K228</f>
        <v>0.885152219278398</v>
      </c>
      <c r="S228" s="4" t="n">
        <f aca="false">$T$2*$B228^$T$3*$L228^$T$4*($T$5*$I228^$T$6+$T$7)</f>
        <v>0.195749902103998</v>
      </c>
      <c r="T228" s="4" t="n">
        <f aca="false">S228/$K228</f>
        <v>0.932142390971418</v>
      </c>
      <c r="V228" s="4"/>
      <c r="W228" s="4"/>
    </row>
    <row r="229" customFormat="false" ht="14.25" hidden="false" customHeight="false" outlineLevel="0" collapsed="false">
      <c r="B229" s="2" t="n">
        <v>20</v>
      </c>
      <c r="C229" s="3" t="n">
        <v>528</v>
      </c>
      <c r="D229" s="3" t="n">
        <v>3</v>
      </c>
      <c r="E229" s="2" t="n">
        <v>12</v>
      </c>
      <c r="F229" s="4" t="n">
        <v>3.42</v>
      </c>
      <c r="G229" s="2" t="n">
        <v>25</v>
      </c>
      <c r="H229" s="2" t="n">
        <v>35</v>
      </c>
      <c r="I229" s="5" t="n">
        <v>0.135249348683273</v>
      </c>
      <c r="J229" s="4" t="n">
        <v>343.513424075144</v>
      </c>
      <c r="K229" s="4" t="n">
        <v>0.23</v>
      </c>
      <c r="L229" s="6" t="n">
        <f aca="false">J229/200000</f>
        <v>0.00171756712037572</v>
      </c>
      <c r="P229" s="4" t="n">
        <f aca="false">$Q$2*($Q$3*$G229+$Q$4*$B229^$Q$5*$I229^$Q$6)*$L229^$Q$7</f>
        <v>0.208553862755879</v>
      </c>
      <c r="Q229" s="4" t="n">
        <f aca="false">P229/$K229</f>
        <v>0.906755925025559</v>
      </c>
      <c r="S229" s="4" t="n">
        <f aca="false">$T$2*$B229^$T$3*$L229^$T$4*($T$5*$I229^$T$6+$T$7)</f>
        <v>0.220108505556155</v>
      </c>
      <c r="T229" s="4" t="n">
        <f aca="false">S229/$K229</f>
        <v>0.956993502418064</v>
      </c>
      <c r="V229" s="4"/>
      <c r="W229" s="4"/>
    </row>
    <row r="230" customFormat="false" ht="14.25" hidden="false" customHeight="false" outlineLevel="0" collapsed="false">
      <c r="B230" s="2" t="n">
        <v>20</v>
      </c>
      <c r="C230" s="3" t="n">
        <v>528</v>
      </c>
      <c r="D230" s="3" t="n">
        <v>3</v>
      </c>
      <c r="E230" s="2" t="n">
        <v>12</v>
      </c>
      <c r="F230" s="4" t="n">
        <v>3.42</v>
      </c>
      <c r="G230" s="2" t="n">
        <v>25</v>
      </c>
      <c r="H230" s="2" t="n">
        <v>35</v>
      </c>
      <c r="I230" s="5" t="n">
        <v>0.135249348683273</v>
      </c>
      <c r="J230" s="4" t="n">
        <v>387.593243658496</v>
      </c>
      <c r="K230" s="4" t="n">
        <v>0.25</v>
      </c>
      <c r="L230" s="6" t="n">
        <f aca="false">J230/200000</f>
        <v>0.00193796621829248</v>
      </c>
      <c r="P230" s="4" t="n">
        <f aca="false">$Q$2*($Q$3*$G230+$Q$4*$B230^$Q$5*$I230^$Q$6)*$L230^$Q$7</f>
        <v>0.230757943661963</v>
      </c>
      <c r="Q230" s="4" t="n">
        <f aca="false">P230/$K230</f>
        <v>0.923031774647853</v>
      </c>
      <c r="S230" s="4" t="n">
        <f aca="false">$T$2*$B230^$T$3*$L230^$T$4*($T$5*$I230^$T$6+$T$7)</f>
        <v>0.244013675710449</v>
      </c>
      <c r="T230" s="4" t="n">
        <f aca="false">S230/$K230</f>
        <v>0.976054702841797</v>
      </c>
      <c r="V230" s="4"/>
      <c r="W230" s="4"/>
    </row>
    <row r="231" customFormat="false" ht="14.25" hidden="false" customHeight="false" outlineLevel="0" collapsed="false">
      <c r="B231" s="2" t="n">
        <v>20</v>
      </c>
      <c r="C231" s="3" t="n">
        <v>528</v>
      </c>
      <c r="D231" s="3" t="n">
        <v>3</v>
      </c>
      <c r="E231" s="2" t="n">
        <v>12</v>
      </c>
      <c r="F231" s="4" t="n">
        <v>3.42</v>
      </c>
      <c r="G231" s="2" t="n">
        <v>25</v>
      </c>
      <c r="H231" s="2" t="n">
        <v>35</v>
      </c>
      <c r="I231" s="5" t="n">
        <v>0.135249348683273</v>
      </c>
      <c r="J231" s="4" t="n">
        <v>427.665806916088</v>
      </c>
      <c r="K231" s="4" t="n">
        <v>0.29</v>
      </c>
      <c r="L231" s="6" t="n">
        <f aca="false">J231/200000</f>
        <v>0.00213832903458044</v>
      </c>
      <c r="P231" s="4" t="n">
        <f aca="false">$Q$2*($Q$3*$G231+$Q$4*$B231^$Q$5*$I231^$Q$6)*$L231^$Q$7</f>
        <v>0.250589575947562</v>
      </c>
      <c r="Q231" s="4" t="n">
        <f aca="false">P231/$K231</f>
        <v>0.864101986026077</v>
      </c>
      <c r="S231" s="4" t="n">
        <f aca="false">$T$2*$B231^$T$3*$L231^$T$4*($T$5*$I231^$T$6+$T$7)</f>
        <v>0.26540198167321</v>
      </c>
      <c r="T231" s="4" t="n">
        <f aca="false">S231/$K231</f>
        <v>0.915179247149</v>
      </c>
      <c r="V231" s="4"/>
      <c r="W231" s="4"/>
    </row>
    <row r="232" customFormat="false" ht="14.25" hidden="false" customHeight="false" outlineLevel="0" collapsed="false">
      <c r="B232" s="2" t="n">
        <v>20</v>
      </c>
      <c r="C232" s="3" t="n">
        <v>528</v>
      </c>
      <c r="D232" s="3" t="n">
        <v>3</v>
      </c>
      <c r="E232" s="2" t="n">
        <v>12</v>
      </c>
      <c r="F232" s="4" t="n">
        <v>3.42</v>
      </c>
      <c r="G232" s="2" t="n">
        <v>25</v>
      </c>
      <c r="H232" s="2" t="n">
        <v>35</v>
      </c>
      <c r="I232" s="5" t="n">
        <v>0.135249348683273</v>
      </c>
      <c r="J232" s="4" t="n">
        <v>467.73837017368</v>
      </c>
      <c r="K232" s="4" t="n">
        <v>0.31</v>
      </c>
      <c r="L232" s="6" t="n">
        <f aca="false">J232/200000</f>
        <v>0.0023386918508684</v>
      </c>
      <c r="P232" s="4" t="n">
        <f aca="false">$Q$2*($Q$3*$G232+$Q$4*$B232^$Q$5*$I232^$Q$6)*$L232^$Q$7</f>
        <v>0.270121976363943</v>
      </c>
      <c r="Q232" s="4" t="n">
        <f aca="false">P232/$K232</f>
        <v>0.871361214077236</v>
      </c>
      <c r="S232" s="4" t="n">
        <f aca="false">$T$2*$B232^$T$3*$L232^$T$4*($T$5*$I232^$T$6+$T$7)</f>
        <v>0.286499226768305</v>
      </c>
      <c r="T232" s="4" t="n">
        <f aca="false">S232/$K232</f>
        <v>0.924191054091308</v>
      </c>
      <c r="V232" s="4"/>
      <c r="W232" s="4"/>
    </row>
    <row r="233" customFormat="false" ht="14.25" hidden="false" customHeight="false" outlineLevel="0" collapsed="false">
      <c r="B233" s="2" t="n">
        <v>20</v>
      </c>
      <c r="C233" s="3" t="n">
        <v>528</v>
      </c>
      <c r="D233" s="3" t="n">
        <v>3</v>
      </c>
      <c r="E233" s="2" t="n">
        <v>12</v>
      </c>
      <c r="F233" s="4" t="n">
        <v>3.42</v>
      </c>
      <c r="G233" s="2" t="n">
        <v>25</v>
      </c>
      <c r="H233" s="2" t="n">
        <v>35</v>
      </c>
      <c r="I233" s="5" t="n">
        <v>0.135249348683273</v>
      </c>
      <c r="J233" s="4" t="n">
        <v>501.106235095073</v>
      </c>
      <c r="K233" s="4" t="n">
        <v>0.37</v>
      </c>
      <c r="L233" s="6" t="n">
        <f aca="false">J233/200000</f>
        <v>0.00250553117547537</v>
      </c>
      <c r="P233" s="4" t="n">
        <f aca="false">$Q$2*($Q$3*$G233+$Q$4*$B233^$Q$5*$I233^$Q$6)*$L233^$Q$7</f>
        <v>0.286179541899175</v>
      </c>
      <c r="Q233" s="4" t="n">
        <f aca="false">P233/$K233</f>
        <v>0.773458221349123</v>
      </c>
      <c r="S233" s="4" t="n">
        <f aca="false">$T$2*$B233^$T$3*$L233^$T$4*($T$5*$I233^$T$6+$T$7)</f>
        <v>0.3038651881672</v>
      </c>
      <c r="T233" s="4" t="n">
        <f aca="false">S233/$K233</f>
        <v>0.821257265316757</v>
      </c>
      <c r="V233" s="4"/>
      <c r="W233" s="4"/>
    </row>
    <row r="234" customFormat="false" ht="14.25" hidden="false" customHeight="false" outlineLevel="0" collapsed="false">
      <c r="A234" s="1" t="s">
        <v>69</v>
      </c>
      <c r="B234" s="2" t="n">
        <v>16</v>
      </c>
      <c r="C234" s="3" t="n">
        <v>528</v>
      </c>
      <c r="D234" s="3" t="n">
        <v>2</v>
      </c>
      <c r="E234" s="2" t="n">
        <v>52</v>
      </c>
      <c r="F234" s="4" t="n">
        <v>2.98</v>
      </c>
      <c r="G234" s="2" t="n">
        <v>27</v>
      </c>
      <c r="H234" s="2" t="n">
        <v>35</v>
      </c>
      <c r="I234" s="5" t="n">
        <v>0.04802696699422</v>
      </c>
      <c r="J234" s="4" t="n">
        <v>352.91029281373</v>
      </c>
      <c r="K234" s="4" t="n">
        <v>0.16</v>
      </c>
      <c r="L234" s="6" t="n">
        <f aca="false">J234/200000</f>
        <v>0.00176455146406865</v>
      </c>
      <c r="P234" s="4" t="n">
        <f aca="false">$Q$2*($Q$3*$G234+$Q$4*$B234^$Q$5*$I234^$Q$6)*$L234^$Q$7</f>
        <v>0.277969852920326</v>
      </c>
      <c r="Q234" s="4" t="n">
        <f aca="false">P234/$K234</f>
        <v>1.73731158075204</v>
      </c>
      <c r="S234" s="4" t="n">
        <f aca="false">$T$2*$B234^$T$3*$L234^$T$4*($T$5*$I234^$T$6+$T$7)</f>
        <v>0.269686381986233</v>
      </c>
      <c r="T234" s="4" t="n">
        <f aca="false">S234/$K234</f>
        <v>1.68553988741395</v>
      </c>
      <c r="V234" s="4"/>
      <c r="W234" s="4"/>
    </row>
    <row r="235" customFormat="false" ht="14.25" hidden="false" customHeight="false" outlineLevel="0" collapsed="false">
      <c r="B235" s="2" t="n">
        <v>16</v>
      </c>
      <c r="C235" s="3" t="n">
        <v>528</v>
      </c>
      <c r="D235" s="3" t="n">
        <v>2</v>
      </c>
      <c r="E235" s="2" t="n">
        <v>52</v>
      </c>
      <c r="F235" s="4" t="n">
        <v>2.98</v>
      </c>
      <c r="G235" s="2" t="n">
        <v>27</v>
      </c>
      <c r="H235" s="2" t="n">
        <v>35</v>
      </c>
      <c r="I235" s="5" t="n">
        <v>0.04802696699422</v>
      </c>
      <c r="J235" s="4" t="n">
        <v>437.851456908805</v>
      </c>
      <c r="K235" s="4" t="n">
        <v>0.2</v>
      </c>
      <c r="L235" s="6" t="n">
        <f aca="false">J235/200000</f>
        <v>0.00218925728454402</v>
      </c>
      <c r="P235" s="4" t="n">
        <f aca="false">$Q$2*($Q$3*$G235+$Q$4*$B235^$Q$5*$I235^$Q$6)*$L235^$Q$7</f>
        <v>0.333032678737283</v>
      </c>
      <c r="Q235" s="4" t="n">
        <f aca="false">P235/$K235</f>
        <v>1.66516339368642</v>
      </c>
      <c r="S235" s="4" t="n">
        <f aca="false">$T$2*$B235^$T$3*$L235^$T$4*($T$5*$I235^$T$6+$T$7)</f>
        <v>0.324225202303351</v>
      </c>
      <c r="T235" s="4" t="n">
        <f aca="false">S235/$K235</f>
        <v>1.62112601151675</v>
      </c>
      <c r="V235" s="4"/>
      <c r="W235" s="4"/>
    </row>
    <row r="236" customFormat="false" ht="14.25" hidden="false" customHeight="false" outlineLevel="0" collapsed="false">
      <c r="B236" s="2" t="n">
        <v>16</v>
      </c>
      <c r="C236" s="3" t="n">
        <v>528</v>
      </c>
      <c r="D236" s="3" t="n">
        <v>2</v>
      </c>
      <c r="E236" s="2" t="n">
        <v>52</v>
      </c>
      <c r="F236" s="4" t="n">
        <v>2.98</v>
      </c>
      <c r="G236" s="2" t="n">
        <v>27</v>
      </c>
      <c r="H236" s="2" t="n">
        <v>35</v>
      </c>
      <c r="I236" s="5" t="n">
        <v>0.04802696699422</v>
      </c>
      <c r="J236" s="4" t="n">
        <v>523.882031807992</v>
      </c>
      <c r="K236" s="4" t="n">
        <v>0.26</v>
      </c>
      <c r="L236" s="6" t="n">
        <f aca="false">J236/200000</f>
        <v>0.00261941015903996</v>
      </c>
      <c r="P236" s="4" t="n">
        <f aca="false">$Q$2*($Q$3*$G236+$Q$4*$B236^$Q$5*$I236^$Q$6)*$L236^$Q$7</f>
        <v>0.3870549880293</v>
      </c>
      <c r="Q236" s="4" t="n">
        <f aca="false">P236/$K236</f>
        <v>1.48867303088192</v>
      </c>
      <c r="S236" s="4" t="n">
        <f aca="false">$T$2*$B236^$T$3*$L236^$T$4*($T$5*$I236^$T$6+$T$7)</f>
        <v>0.37790191717801</v>
      </c>
      <c r="T236" s="4" t="n">
        <f aca="false">S236/$K236</f>
        <v>1.45346891222312</v>
      </c>
      <c r="V236" s="4"/>
      <c r="W236" s="4"/>
    </row>
    <row r="237" customFormat="false" ht="14.25" hidden="false" customHeight="false" outlineLevel="0" collapsed="false">
      <c r="A237" s="1" t="s">
        <v>70</v>
      </c>
      <c r="B237" s="2" t="n">
        <v>20</v>
      </c>
      <c r="C237" s="3" t="n">
        <v>528</v>
      </c>
      <c r="D237" s="3" t="n">
        <v>2</v>
      </c>
      <c r="E237" s="2" t="n">
        <v>44</v>
      </c>
      <c r="F237" s="4" t="n">
        <v>2.98</v>
      </c>
      <c r="G237" s="2" t="n">
        <v>25</v>
      </c>
      <c r="H237" s="2" t="n">
        <v>35</v>
      </c>
      <c r="I237" s="5" t="n">
        <v>0.0812005224252669</v>
      </c>
      <c r="J237" s="4" t="n">
        <v>239.484796833433</v>
      </c>
      <c r="K237" s="4" t="n">
        <v>0.17</v>
      </c>
      <c r="L237" s="6" t="n">
        <f aca="false">J237/200000</f>
        <v>0.00119742398416717</v>
      </c>
      <c r="P237" s="4" t="n">
        <f aca="false">$Q$2*($Q$3*$G237+$Q$4*$B237^$Q$5*$I237^$Q$6)*$L237^$Q$7</f>
        <v>0.197946250262019</v>
      </c>
      <c r="Q237" s="4" t="n">
        <f aca="false">P237/$K237</f>
        <v>1.16438970742364</v>
      </c>
      <c r="S237" s="4" t="n">
        <f aca="false">$T$2*$B237^$T$3*$L237^$T$4*($T$5*$I237^$T$6+$T$7)</f>
        <v>0.197584776351239</v>
      </c>
      <c r="T237" s="4" t="n">
        <f aca="false">S237/$K237</f>
        <v>1.16226339030141</v>
      </c>
      <c r="V237" s="4"/>
      <c r="W237" s="4"/>
    </row>
    <row r="238" customFormat="false" ht="14.25" hidden="false" customHeight="false" outlineLevel="0" collapsed="false">
      <c r="B238" s="2" t="n">
        <v>20</v>
      </c>
      <c r="C238" s="3" t="n">
        <v>528</v>
      </c>
      <c r="D238" s="3" t="n">
        <v>2</v>
      </c>
      <c r="E238" s="2" t="n">
        <v>44</v>
      </c>
      <c r="F238" s="4" t="n">
        <v>2.98</v>
      </c>
      <c r="G238" s="2" t="n">
        <v>25</v>
      </c>
      <c r="H238" s="2" t="n">
        <v>35</v>
      </c>
      <c r="I238" s="5" t="n">
        <v>0.0812005224252669</v>
      </c>
      <c r="J238" s="4" t="n">
        <v>280.836460915437</v>
      </c>
      <c r="K238" s="4" t="n">
        <v>0.19</v>
      </c>
      <c r="L238" s="6" t="n">
        <f aca="false">J238/200000</f>
        <v>0.00140418230457719</v>
      </c>
      <c r="P238" s="4" t="n">
        <f aca="false">$Q$2*($Q$3*$G238+$Q$4*$B238^$Q$5*$I238^$Q$6)*$L238^$Q$7</f>
        <v>0.226212387964579</v>
      </c>
      <c r="Q238" s="4" t="n">
        <f aca="false">P238/$K238</f>
        <v>1.19059151560305</v>
      </c>
      <c r="S238" s="4" t="n">
        <f aca="false">$T$2*$B238^$T$3*$L238^$T$4*($T$5*$I238^$T$6+$T$7)</f>
        <v>0.226375484844684</v>
      </c>
      <c r="T238" s="4" t="n">
        <f aca="false">S238/$K238</f>
        <v>1.19144992023518</v>
      </c>
      <c r="V238" s="4"/>
      <c r="W238" s="4"/>
    </row>
    <row r="239" customFormat="false" ht="14.25" hidden="false" customHeight="false" outlineLevel="0" collapsed="false">
      <c r="B239" s="2" t="n">
        <v>20</v>
      </c>
      <c r="C239" s="3" t="n">
        <v>528</v>
      </c>
      <c r="D239" s="3" t="n">
        <v>2</v>
      </c>
      <c r="E239" s="2" t="n">
        <v>44</v>
      </c>
      <c r="F239" s="4" t="n">
        <v>2.98</v>
      </c>
      <c r="G239" s="2" t="n">
        <v>25</v>
      </c>
      <c r="H239" s="2" t="n">
        <v>35</v>
      </c>
      <c r="I239" s="5" t="n">
        <v>0.0812005224252669</v>
      </c>
      <c r="J239" s="4" t="n">
        <v>334.002886163728</v>
      </c>
      <c r="K239" s="4" t="n">
        <v>0.23</v>
      </c>
      <c r="L239" s="6" t="n">
        <f aca="false">J239/200000</f>
        <v>0.00167001443081864</v>
      </c>
      <c r="P239" s="4" t="n">
        <f aca="false">$Q$2*($Q$3*$G239+$Q$4*$B239^$Q$5*$I239^$Q$6)*$L239^$Q$7</f>
        <v>0.261586328600337</v>
      </c>
      <c r="Q239" s="4" t="n">
        <f aca="false">P239/$K239</f>
        <v>1.13733186347973</v>
      </c>
      <c r="S239" s="4" t="n">
        <f aca="false">$T$2*$B239^$T$3*$L239^$T$4*($T$5*$I239^$T$6+$T$7)</f>
        <v>0.262502110435879</v>
      </c>
      <c r="T239" s="4" t="n">
        <f aca="false">S239/$K239</f>
        <v>1.14131352363426</v>
      </c>
      <c r="V239" s="4"/>
      <c r="W239" s="4"/>
    </row>
    <row r="240" customFormat="false" ht="14.25" hidden="false" customHeight="false" outlineLevel="0" collapsed="false">
      <c r="B240" s="2" t="n">
        <v>20</v>
      </c>
      <c r="C240" s="3" t="n">
        <v>528</v>
      </c>
      <c r="D240" s="3" t="n">
        <v>2</v>
      </c>
      <c r="E240" s="2" t="n">
        <v>44</v>
      </c>
      <c r="F240" s="4" t="n">
        <v>2.98</v>
      </c>
      <c r="G240" s="2" t="n">
        <v>25</v>
      </c>
      <c r="H240" s="2" t="n">
        <v>35</v>
      </c>
      <c r="I240" s="5" t="n">
        <v>0.0812005224252669</v>
      </c>
      <c r="J240" s="4" t="n">
        <v>357.632408496302</v>
      </c>
      <c r="K240" s="4" t="n">
        <v>0.25</v>
      </c>
      <c r="L240" s="6" t="n">
        <f aca="false">J240/200000</f>
        <v>0.00178816204248151</v>
      </c>
      <c r="P240" s="4" t="n">
        <f aca="false">$Q$2*($Q$3*$G240+$Q$4*$B240^$Q$5*$I240^$Q$6)*$L240^$Q$7</f>
        <v>0.277008090412896</v>
      </c>
      <c r="Q240" s="4" t="n">
        <f aca="false">P240/$K240</f>
        <v>1.10803236165158</v>
      </c>
      <c r="S240" s="4" t="n">
        <f aca="false">$T$2*$B240^$T$3*$L240^$T$4*($T$5*$I240^$T$6+$T$7)</f>
        <v>0.278282051692872</v>
      </c>
      <c r="T240" s="4" t="n">
        <f aca="false">S240/$K240</f>
        <v>1.11312820677149</v>
      </c>
      <c r="V240" s="4"/>
      <c r="W240" s="4"/>
    </row>
    <row r="241" customFormat="false" ht="14.25" hidden="false" customHeight="false" outlineLevel="0" collapsed="false">
      <c r="B241" s="2" t="n">
        <v>20</v>
      </c>
      <c r="C241" s="3" t="n">
        <v>528</v>
      </c>
      <c r="D241" s="3" t="n">
        <v>2</v>
      </c>
      <c r="E241" s="2" t="n">
        <v>44</v>
      </c>
      <c r="F241" s="4" t="n">
        <v>2.98</v>
      </c>
      <c r="G241" s="2" t="n">
        <v>25</v>
      </c>
      <c r="H241" s="2" t="n">
        <v>35</v>
      </c>
      <c r="I241" s="5" t="n">
        <v>0.0812005224252669</v>
      </c>
      <c r="J241" s="4" t="n">
        <v>393.076691995162</v>
      </c>
      <c r="K241" s="4" t="n">
        <v>0.3</v>
      </c>
      <c r="L241" s="6" t="n">
        <f aca="false">J241/200000</f>
        <v>0.00196538345997581</v>
      </c>
      <c r="P241" s="4" t="n">
        <f aca="false">$Q$2*($Q$3*$G241+$Q$4*$B241^$Q$5*$I241^$Q$6)*$L241^$Q$7</f>
        <v>0.299836382564104</v>
      </c>
      <c r="Q241" s="4" t="n">
        <f aca="false">P241/$K241</f>
        <v>0.999454608547013</v>
      </c>
      <c r="S241" s="4" t="n">
        <f aca="false">$T$2*$B241^$T$3*$L241^$T$4*($T$5*$I241^$T$6+$T$7)</f>
        <v>0.301671108828668</v>
      </c>
      <c r="T241" s="4" t="n">
        <f aca="false">S241/$K241</f>
        <v>1.00557036276223</v>
      </c>
      <c r="V241" s="4"/>
      <c r="W241" s="4"/>
    </row>
    <row r="242" customFormat="false" ht="14.25" hidden="false" customHeight="false" outlineLevel="0" collapsed="false">
      <c r="B242" s="2" t="n">
        <v>20</v>
      </c>
      <c r="C242" s="3" t="n">
        <v>528</v>
      </c>
      <c r="D242" s="3" t="n">
        <v>2</v>
      </c>
      <c r="E242" s="2" t="n">
        <v>44</v>
      </c>
      <c r="F242" s="4" t="n">
        <v>2.98</v>
      </c>
      <c r="G242" s="2" t="n">
        <v>25</v>
      </c>
      <c r="H242" s="2" t="n">
        <v>35</v>
      </c>
      <c r="I242" s="5" t="n">
        <v>0.0812005224252669</v>
      </c>
      <c r="J242" s="4" t="n">
        <v>416.706214327736</v>
      </c>
      <c r="K242" s="4" t="n">
        <v>0.32</v>
      </c>
      <c r="L242" s="6" t="n">
        <f aca="false">J242/200000</f>
        <v>0.00208353107163868</v>
      </c>
      <c r="P242" s="4" t="n">
        <f aca="false">$Q$2*($Q$3*$G242+$Q$4*$B242^$Q$5*$I242^$Q$6)*$L242^$Q$7</f>
        <v>0.314868981471403</v>
      </c>
      <c r="Q242" s="4" t="n">
        <f aca="false">P242/$K242</f>
        <v>0.983965567098133</v>
      </c>
      <c r="S242" s="4" t="n">
        <f aca="false">$T$2*$B242^$T$3*$L242^$T$4*($T$5*$I242^$T$6+$T$7)</f>
        <v>0.317091727678712</v>
      </c>
      <c r="T242" s="4" t="n">
        <f aca="false">S242/$K242</f>
        <v>0.990911648995975</v>
      </c>
      <c r="V242" s="4"/>
      <c r="W242" s="4"/>
    </row>
    <row r="243" customFormat="false" ht="14.25" hidden="false" customHeight="false" outlineLevel="0" collapsed="false">
      <c r="B243" s="2" t="n">
        <v>20</v>
      </c>
      <c r="C243" s="3" t="n">
        <v>528</v>
      </c>
      <c r="D243" s="3" t="n">
        <v>2</v>
      </c>
      <c r="E243" s="2" t="n">
        <v>44</v>
      </c>
      <c r="F243" s="4" t="n">
        <v>2.98</v>
      </c>
      <c r="G243" s="2" t="n">
        <v>25</v>
      </c>
      <c r="H243" s="2" t="n">
        <v>35</v>
      </c>
      <c r="I243" s="5" t="n">
        <v>0.0812005224252669</v>
      </c>
      <c r="J243" s="4" t="n">
        <v>474.598544042541</v>
      </c>
      <c r="K243" s="4" t="n">
        <v>0.36</v>
      </c>
      <c r="L243" s="6" t="n">
        <f aca="false">J243/200000</f>
        <v>0.00237299272021271</v>
      </c>
      <c r="P243" s="4" t="n">
        <f aca="false">$Q$2*($Q$3*$G243+$Q$4*$B243^$Q$5*$I243^$Q$6)*$L243^$Q$7</f>
        <v>0.351134807818024</v>
      </c>
      <c r="Q243" s="4" t="n">
        <f aca="false">P243/$K243</f>
        <v>0.975374466161178</v>
      </c>
      <c r="S243" s="4" t="n">
        <f aca="false">$T$2*$B243^$T$3*$L243^$T$4*($T$5*$I243^$T$6+$T$7)</f>
        <v>0.354350344019188</v>
      </c>
      <c r="T243" s="4" t="n">
        <f aca="false">S243/$K243</f>
        <v>0.984306511164411</v>
      </c>
      <c r="V243" s="4"/>
      <c r="W243" s="4"/>
    </row>
    <row r="244" customFormat="false" ht="14.25" hidden="false" customHeight="false" outlineLevel="0" collapsed="false">
      <c r="B244" s="2" t="n">
        <v>20</v>
      </c>
      <c r="C244" s="3" t="n">
        <v>528</v>
      </c>
      <c r="D244" s="3" t="n">
        <v>2</v>
      </c>
      <c r="E244" s="2" t="n">
        <v>44</v>
      </c>
      <c r="F244" s="4" t="n">
        <v>2.98</v>
      </c>
      <c r="G244" s="2" t="n">
        <v>25</v>
      </c>
      <c r="H244" s="2" t="n">
        <v>35</v>
      </c>
      <c r="I244" s="5" t="n">
        <v>0.0812005224252669</v>
      </c>
      <c r="J244" s="4" t="n">
        <v>526.445947864471</v>
      </c>
      <c r="K244" s="4" t="n">
        <v>0.47</v>
      </c>
      <c r="L244" s="6" t="n">
        <f aca="false">J244/200000</f>
        <v>0.00263222973932236</v>
      </c>
      <c r="P244" s="4" t="n">
        <f aca="false">$Q$2*($Q$3*$G244+$Q$4*$B244^$Q$5*$I244^$Q$6)*$L244^$Q$7</f>
        <v>0.383007106501494</v>
      </c>
      <c r="Q244" s="4" t="n">
        <f aca="false">P244/$K244</f>
        <v>0.814908737237221</v>
      </c>
      <c r="S244" s="4" t="n">
        <f aca="false">$T$2*$B244^$T$3*$L244^$T$4*($T$5*$I244^$T$6+$T$7)</f>
        <v>0.387156224537093</v>
      </c>
      <c r="T244" s="4" t="n">
        <f aca="false">S244/$K244</f>
        <v>0.823736647951262</v>
      </c>
      <c r="V244" s="4"/>
      <c r="W244" s="4"/>
    </row>
    <row r="245" customFormat="false" ht="14.25" hidden="false" customHeight="false" outlineLevel="0" collapsed="false">
      <c r="A245" s="1" t="s">
        <v>71</v>
      </c>
      <c r="B245" s="2" t="n">
        <v>20</v>
      </c>
      <c r="C245" s="3" t="n">
        <v>528</v>
      </c>
      <c r="D245" s="3" t="n">
        <v>3</v>
      </c>
      <c r="E245" s="2" t="n">
        <v>12</v>
      </c>
      <c r="F245" s="4" t="n">
        <v>2.98</v>
      </c>
      <c r="G245" s="2" t="n">
        <v>25</v>
      </c>
      <c r="H245" s="2" t="n">
        <v>35</v>
      </c>
      <c r="I245" s="5" t="n">
        <v>0.132686669519698</v>
      </c>
      <c r="J245" s="4" t="n">
        <v>288.355066625391</v>
      </c>
      <c r="K245" s="4" t="n">
        <v>0.16</v>
      </c>
      <c r="L245" s="6" t="n">
        <f aca="false">J245/200000</f>
        <v>0.00144177533312695</v>
      </c>
      <c r="P245" s="4" t="n">
        <f aca="false">$Q$2*($Q$3*$G245+$Q$4*$B245^$Q$5*$I245^$Q$6)*$L245^$Q$7</f>
        <v>0.181795946079686</v>
      </c>
      <c r="Q245" s="4" t="n">
        <f aca="false">P245/$K245</f>
        <v>1.13622466299804</v>
      </c>
      <c r="S245" s="4" t="n">
        <f aca="false">$T$2*$B245^$T$3*$L245^$T$4*($T$5*$I245^$T$6+$T$7)</f>
        <v>0.190871617608128</v>
      </c>
      <c r="T245" s="4" t="n">
        <f aca="false">S245/$K245</f>
        <v>1.1929476100508</v>
      </c>
      <c r="V245" s="4"/>
      <c r="W245" s="4"/>
    </row>
    <row r="246" customFormat="false" ht="14.25" hidden="false" customHeight="false" outlineLevel="0" collapsed="false">
      <c r="B246" s="2" t="n">
        <v>20</v>
      </c>
      <c r="C246" s="3" t="n">
        <v>528</v>
      </c>
      <c r="D246" s="3" t="n">
        <v>3</v>
      </c>
      <c r="E246" s="2" t="n">
        <v>12</v>
      </c>
      <c r="F246" s="4" t="n">
        <v>2.98</v>
      </c>
      <c r="G246" s="2" t="n">
        <v>25</v>
      </c>
      <c r="H246" s="2" t="n">
        <v>35</v>
      </c>
      <c r="I246" s="5" t="n">
        <v>0.132686669519698</v>
      </c>
      <c r="J246" s="4" t="n">
        <v>304.069302481735</v>
      </c>
      <c r="K246" s="4" t="n">
        <v>0.18</v>
      </c>
      <c r="L246" s="6" t="n">
        <f aca="false">J246/200000</f>
        <v>0.00152034651240868</v>
      </c>
      <c r="P246" s="4" t="n">
        <f aca="false">$Q$2*($Q$3*$G246+$Q$4*$B246^$Q$5*$I246^$Q$6)*$L246^$Q$7</f>
        <v>0.190062263519438</v>
      </c>
      <c r="Q246" s="4" t="n">
        <f aca="false">P246/$K246</f>
        <v>1.05590146399688</v>
      </c>
      <c r="S246" s="4" t="n">
        <f aca="false">$T$2*$B246^$T$3*$L246^$T$4*($T$5*$I246^$T$6+$T$7)</f>
        <v>0.199720100789216</v>
      </c>
      <c r="T246" s="4" t="n">
        <f aca="false">S246/$K246</f>
        <v>1.10955611549565</v>
      </c>
      <c r="V246" s="4"/>
      <c r="W246" s="4"/>
    </row>
    <row r="247" customFormat="false" ht="14.25" hidden="false" customHeight="false" outlineLevel="0" collapsed="false">
      <c r="B247" s="2" t="n">
        <v>20</v>
      </c>
      <c r="C247" s="3" t="n">
        <v>528</v>
      </c>
      <c r="D247" s="3" t="n">
        <v>3</v>
      </c>
      <c r="E247" s="2" t="n">
        <v>12</v>
      </c>
      <c r="F247" s="4" t="n">
        <v>2.98</v>
      </c>
      <c r="G247" s="2" t="n">
        <v>25</v>
      </c>
      <c r="H247" s="2" t="n">
        <v>35</v>
      </c>
      <c r="I247" s="5" t="n">
        <v>0.132686669519698</v>
      </c>
      <c r="J247" s="4" t="n">
        <v>343.354892122596</v>
      </c>
      <c r="K247" s="4" t="n">
        <v>0.18</v>
      </c>
      <c r="L247" s="6" t="n">
        <f aca="false">J247/200000</f>
        <v>0.00171677446061298</v>
      </c>
      <c r="P247" s="4" t="n">
        <f aca="false">$Q$2*($Q$3*$G247+$Q$4*$B247^$Q$5*$I247^$Q$6)*$L247^$Q$7</f>
        <v>0.210434872750879</v>
      </c>
      <c r="Q247" s="4" t="n">
        <f aca="false">P247/$K247</f>
        <v>1.16908262639377</v>
      </c>
      <c r="S247" s="4" t="n">
        <f aca="false">$T$2*$B247^$T$3*$L247^$T$4*($T$5*$I247^$T$6+$T$7)</f>
        <v>0.221558247705818</v>
      </c>
      <c r="T247" s="4" t="n">
        <f aca="false">S247/$K247</f>
        <v>1.23087915392121</v>
      </c>
      <c r="V247" s="4"/>
      <c r="W247" s="4"/>
    </row>
    <row r="248" customFormat="false" ht="14.25" hidden="false" customHeight="false" outlineLevel="0" collapsed="false">
      <c r="B248" s="2" t="n">
        <v>20</v>
      </c>
      <c r="C248" s="3" t="n">
        <v>528</v>
      </c>
      <c r="D248" s="3" t="n">
        <v>3</v>
      </c>
      <c r="E248" s="2" t="n">
        <v>12</v>
      </c>
      <c r="F248" s="4" t="n">
        <v>2.98</v>
      </c>
      <c r="G248" s="2" t="n">
        <v>25</v>
      </c>
      <c r="H248" s="2" t="n">
        <v>35</v>
      </c>
      <c r="I248" s="5" t="n">
        <v>0.132686669519698</v>
      </c>
      <c r="J248" s="4" t="n">
        <v>386.569040727542</v>
      </c>
      <c r="K248" s="4" t="n">
        <v>0.2</v>
      </c>
      <c r="L248" s="6" t="n">
        <f aca="false">J248/200000</f>
        <v>0.00193284520363771</v>
      </c>
      <c r="P248" s="4" t="n">
        <f aca="false">$Q$2*($Q$3*$G248+$Q$4*$B248^$Q$5*$I248^$Q$6)*$L248^$Q$7</f>
        <v>0.232413398466581</v>
      </c>
      <c r="Q248" s="4" t="n">
        <f aca="false">P248/$K248</f>
        <v>1.16206699233291</v>
      </c>
      <c r="S248" s="4" t="n">
        <f aca="false">$T$2*$B248^$T$3*$L248^$T$4*($T$5*$I248^$T$6+$T$7)</f>
        <v>0.24516310467656</v>
      </c>
      <c r="T248" s="4" t="n">
        <f aca="false">S248/$K248</f>
        <v>1.2258155233828</v>
      </c>
      <c r="V248" s="4"/>
      <c r="W248" s="4"/>
    </row>
    <row r="249" customFormat="false" ht="14.25" hidden="false" customHeight="false" outlineLevel="0" collapsed="false">
      <c r="B249" s="2" t="n">
        <v>20</v>
      </c>
      <c r="C249" s="3" t="n">
        <v>528</v>
      </c>
      <c r="D249" s="3" t="n">
        <v>3</v>
      </c>
      <c r="E249" s="2" t="n">
        <v>12</v>
      </c>
      <c r="F249" s="4" t="n">
        <v>2.98</v>
      </c>
      <c r="G249" s="2" t="n">
        <v>25</v>
      </c>
      <c r="H249" s="2" t="n">
        <v>35</v>
      </c>
      <c r="I249" s="5" t="n">
        <v>0.132686669519698</v>
      </c>
      <c r="J249" s="4" t="n">
        <v>425.854630368402</v>
      </c>
      <c r="K249" s="4" t="n">
        <v>0.2</v>
      </c>
      <c r="L249" s="6" t="n">
        <f aca="false">J249/200000</f>
        <v>0.00212927315184201</v>
      </c>
      <c r="P249" s="4" t="n">
        <f aca="false">$Q$2*($Q$3*$G249+$Q$4*$B249^$Q$5*$I249^$Q$6)*$L249^$Q$7</f>
        <v>0.252049539360961</v>
      </c>
      <c r="Q249" s="4" t="n">
        <f aca="false">P249/$K249</f>
        <v>1.2602476968048</v>
      </c>
      <c r="S249" s="4" t="n">
        <f aca="false">$T$2*$B249^$T$3*$L249^$T$4*($T$5*$I249^$T$6+$T$7)</f>
        <v>0.266288498117799</v>
      </c>
      <c r="T249" s="4" t="n">
        <f aca="false">S249/$K249</f>
        <v>1.331442490589</v>
      </c>
      <c r="V249" s="4"/>
      <c r="W249" s="4"/>
    </row>
    <row r="250" customFormat="false" ht="14.25" hidden="false" customHeight="false" outlineLevel="0" collapsed="false">
      <c r="B250" s="2" t="n">
        <v>20</v>
      </c>
      <c r="C250" s="3" t="n">
        <v>528</v>
      </c>
      <c r="D250" s="3" t="n">
        <v>3</v>
      </c>
      <c r="E250" s="2" t="n">
        <v>12</v>
      </c>
      <c r="F250" s="4" t="n">
        <v>2.98</v>
      </c>
      <c r="G250" s="2" t="n">
        <v>25</v>
      </c>
      <c r="H250" s="2" t="n">
        <v>35</v>
      </c>
      <c r="I250" s="5" t="n">
        <v>0.132686669519698</v>
      </c>
      <c r="J250" s="4" t="n">
        <v>461.211661045177</v>
      </c>
      <c r="K250" s="4" t="n">
        <v>0.2</v>
      </c>
      <c r="L250" s="6" t="n">
        <f aca="false">J250/200000</f>
        <v>0.00230605830522588</v>
      </c>
      <c r="P250" s="4" t="n">
        <f aca="false">$Q$2*($Q$3*$G250+$Q$4*$B250^$Q$5*$I250^$Q$6)*$L250^$Q$7</f>
        <v>0.269471792267204</v>
      </c>
      <c r="Q250" s="4" t="n">
        <f aca="false">P250/$K250</f>
        <v>1.34735896133602</v>
      </c>
      <c r="S250" s="4" t="n">
        <f aca="false">$T$2*$B250^$T$3*$L250^$T$4*($T$5*$I250^$T$6+$T$7)</f>
        <v>0.285058524948039</v>
      </c>
      <c r="T250" s="4" t="n">
        <f aca="false">S250/$K250</f>
        <v>1.42529262474019</v>
      </c>
      <c r="V250" s="4"/>
      <c r="W250" s="4"/>
    </row>
    <row r="251" customFormat="false" ht="14.25" hidden="false" customHeight="false" outlineLevel="0" collapsed="false">
      <c r="B251" s="2" t="n">
        <v>20</v>
      </c>
      <c r="C251" s="3" t="n">
        <v>528</v>
      </c>
      <c r="D251" s="3" t="n">
        <v>3</v>
      </c>
      <c r="E251" s="2" t="n">
        <v>12</v>
      </c>
      <c r="F251" s="4" t="n">
        <v>2.98</v>
      </c>
      <c r="G251" s="2" t="n">
        <v>25</v>
      </c>
      <c r="H251" s="2" t="n">
        <v>35</v>
      </c>
      <c r="I251" s="5" t="n">
        <v>0.132686669519698</v>
      </c>
      <c r="J251" s="4" t="n">
        <v>502.059011853244</v>
      </c>
      <c r="K251" s="4" t="n">
        <v>0.22</v>
      </c>
      <c r="L251" s="6" t="n">
        <f aca="false">J251/200000</f>
        <v>0.00251029505926622</v>
      </c>
      <c r="P251" s="4" t="n">
        <f aca="false">$Q$2*($Q$3*$G251+$Q$4*$B251^$Q$5*$I251^$Q$6)*$L251^$Q$7</f>
        <v>0.289332601260029</v>
      </c>
      <c r="Q251" s="4" t="n">
        <f aca="false">P251/$K251</f>
        <v>1.31514818754559</v>
      </c>
      <c r="S251" s="4" t="n">
        <f aca="false">$T$2*$B251^$T$3*$L251^$T$4*($T$5*$I251^$T$6+$T$7)</f>
        <v>0.306483971031077</v>
      </c>
      <c r="T251" s="4" t="n">
        <f aca="false">S251/$K251</f>
        <v>1.39310895923217</v>
      </c>
      <c r="V251" s="4"/>
      <c r="W251" s="4"/>
    </row>
    <row r="252" customFormat="false" ht="14.25" hidden="false" customHeight="false" outlineLevel="0" collapsed="false">
      <c r="A252" s="1" t="s">
        <v>72</v>
      </c>
      <c r="B252" s="2" t="n">
        <v>28</v>
      </c>
      <c r="C252" s="3" t="n">
        <v>400</v>
      </c>
      <c r="D252" s="3" t="n">
        <v>4</v>
      </c>
      <c r="E252" s="2" t="n">
        <v>16</v>
      </c>
      <c r="F252" s="4" t="n">
        <v>5.30847435710111</v>
      </c>
      <c r="G252" s="2" t="n">
        <v>30</v>
      </c>
      <c r="H252" s="2" t="n">
        <v>44</v>
      </c>
      <c r="I252" s="5" t="n">
        <v>0.221883118160293</v>
      </c>
      <c r="J252" s="4" t="n">
        <v>118.005970112131</v>
      </c>
      <c r="K252" s="4" t="n">
        <v>0.22</v>
      </c>
      <c r="L252" s="6" t="n">
        <f aca="false">J252/200000</f>
        <v>0.000590029850560654</v>
      </c>
      <c r="P252" s="4" t="n">
        <f aca="false">$Q$2*($Q$3*$G252+$Q$4*$B252^$Q$5*$I252^$Q$6)*$L252^$Q$7</f>
        <v>0.0966593407039567</v>
      </c>
      <c r="Q252" s="4" t="n">
        <f aca="false">P252/$K252</f>
        <v>0.43936063956344</v>
      </c>
      <c r="S252" s="4" t="n">
        <f aca="false">$T$2*$B252^$T$3*$L252^$T$4*($T$5*$I252^$T$6+$T$7)</f>
        <v>0.110251167342885</v>
      </c>
      <c r="T252" s="4" t="n">
        <f aca="false">S252/$K252</f>
        <v>0.501141669740385</v>
      </c>
      <c r="V252" s="4"/>
      <c r="W252" s="4"/>
    </row>
    <row r="253" customFormat="false" ht="14.25" hidden="false" customHeight="false" outlineLevel="0" collapsed="false">
      <c r="B253" s="2" t="n">
        <v>28</v>
      </c>
      <c r="C253" s="3" t="n">
        <v>400</v>
      </c>
      <c r="D253" s="3" t="n">
        <v>4</v>
      </c>
      <c r="E253" s="2" t="n">
        <v>16</v>
      </c>
      <c r="F253" s="4" t="n">
        <v>5.30847435710111</v>
      </c>
      <c r="G253" s="2" t="n">
        <v>30</v>
      </c>
      <c r="H253" s="2" t="n">
        <v>44</v>
      </c>
      <c r="I253" s="5" t="n">
        <v>0.221883118160293</v>
      </c>
      <c r="J253" s="4" t="n">
        <v>169.899985574077</v>
      </c>
      <c r="K253" s="4" t="n">
        <v>0.25</v>
      </c>
      <c r="L253" s="6" t="n">
        <f aca="false">J253/200000</f>
        <v>0.000849499927870385</v>
      </c>
      <c r="P253" s="4" t="n">
        <f aca="false">$Q$2*($Q$3*$G253+$Q$4*$B253^$Q$5*$I253^$Q$6)*$L253^$Q$7</f>
        <v>0.131186853086219</v>
      </c>
      <c r="Q253" s="4" t="n">
        <f aca="false">P253/$K253</f>
        <v>0.524747412344877</v>
      </c>
      <c r="S253" s="4" t="n">
        <f aca="false">$T$2*$B253^$T$3*$L253^$T$4*($T$5*$I253^$T$6+$T$7)</f>
        <v>0.150508945170546</v>
      </c>
      <c r="T253" s="4" t="n">
        <f aca="false">S253/$K253</f>
        <v>0.602035780682184</v>
      </c>
      <c r="V253" s="4"/>
      <c r="W253" s="4"/>
    </row>
    <row r="254" customFormat="false" ht="14.25" hidden="false" customHeight="false" outlineLevel="0" collapsed="false">
      <c r="B254" s="2" t="n">
        <v>28</v>
      </c>
      <c r="C254" s="3" t="n">
        <v>400</v>
      </c>
      <c r="D254" s="3" t="n">
        <v>4</v>
      </c>
      <c r="E254" s="2" t="n">
        <v>16</v>
      </c>
      <c r="F254" s="4" t="n">
        <v>5.30847435710111</v>
      </c>
      <c r="G254" s="2" t="n">
        <v>30</v>
      </c>
      <c r="H254" s="2" t="n">
        <v>44</v>
      </c>
      <c r="I254" s="5" t="n">
        <v>0.221883118160293</v>
      </c>
      <c r="J254" s="4" t="n">
        <v>202.205843572131</v>
      </c>
      <c r="K254" s="4" t="n">
        <v>0.29</v>
      </c>
      <c r="L254" s="6" t="n">
        <f aca="false">J254/200000</f>
        <v>0.00101102921786066</v>
      </c>
      <c r="P254" s="4" t="n">
        <f aca="false">$Q$2*($Q$3*$G254+$Q$4*$B254^$Q$5*$I254^$Q$6)*$L254^$Q$7</f>
        <v>0.151790089187695</v>
      </c>
      <c r="Q254" s="4" t="n">
        <f aca="false">P254/$K254</f>
        <v>0.523414100647223</v>
      </c>
      <c r="S254" s="4" t="n">
        <f aca="false">$T$2*$B254^$T$3*$L254^$T$4*($T$5*$I254^$T$6+$T$7)</f>
        <v>0.174632479218009</v>
      </c>
      <c r="T254" s="4" t="n">
        <f aca="false">S254/$K254</f>
        <v>0.602180962820722</v>
      </c>
      <c r="V254" s="4"/>
      <c r="W254" s="4"/>
    </row>
    <row r="255" customFormat="false" ht="14.25" hidden="false" customHeight="false" outlineLevel="0" collapsed="false">
      <c r="B255" s="2" t="n">
        <v>28</v>
      </c>
      <c r="C255" s="3" t="n">
        <v>400</v>
      </c>
      <c r="D255" s="3" t="n">
        <v>4</v>
      </c>
      <c r="E255" s="2" t="n">
        <v>16</v>
      </c>
      <c r="F255" s="4" t="n">
        <v>5.30847435710111</v>
      </c>
      <c r="G255" s="2" t="n">
        <v>30</v>
      </c>
      <c r="H255" s="2" t="n">
        <v>44</v>
      </c>
      <c r="I255" s="5" t="n">
        <v>0.221883118160293</v>
      </c>
      <c r="J255" s="4" t="n">
        <v>239.333471420642</v>
      </c>
      <c r="K255" s="4" t="n">
        <v>0.31</v>
      </c>
      <c r="L255" s="6" t="n">
        <f aca="false">J255/200000</f>
        <v>0.00119666735710321</v>
      </c>
      <c r="P255" s="4" t="n">
        <f aca="false">$Q$2*($Q$3*$G255+$Q$4*$B255^$Q$5*$I255^$Q$6)*$L255^$Q$7</f>
        <v>0.174820829484172</v>
      </c>
      <c r="Q255" s="4" t="n">
        <f aca="false">P255/$K255</f>
        <v>0.563938159626363</v>
      </c>
      <c r="S255" s="4" t="n">
        <f aca="false">$T$2*$B255^$T$3*$L255^$T$4*($T$5*$I255^$T$6+$T$7)</f>
        <v>0.201672246377269</v>
      </c>
      <c r="T255" s="4" t="n">
        <f aca="false">S255/$K255</f>
        <v>0.65055563347506</v>
      </c>
      <c r="V255" s="4"/>
      <c r="W255" s="4"/>
    </row>
    <row r="256" customFormat="false" ht="14.25" hidden="false" customHeight="false" outlineLevel="0" collapsed="false">
      <c r="B256" s="2" t="n">
        <v>28</v>
      </c>
      <c r="C256" s="3" t="n">
        <v>400</v>
      </c>
      <c r="D256" s="3" t="n">
        <v>4</v>
      </c>
      <c r="E256" s="2" t="n">
        <v>16</v>
      </c>
      <c r="F256" s="4" t="n">
        <v>5.30847435710111</v>
      </c>
      <c r="G256" s="2" t="n">
        <v>30</v>
      </c>
      <c r="H256" s="2" t="n">
        <v>44</v>
      </c>
      <c r="I256" s="5" t="n">
        <v>0.221883118160293</v>
      </c>
      <c r="J256" s="4" t="n">
        <v>297.194709626112</v>
      </c>
      <c r="K256" s="4" t="n">
        <v>0.33</v>
      </c>
      <c r="L256" s="6" t="n">
        <f aca="false">J256/200000</f>
        <v>0.00148597354813056</v>
      </c>
      <c r="P256" s="4" t="n">
        <f aca="false">$Q$2*($Q$3*$G256+$Q$4*$B256^$Q$5*$I256^$Q$6)*$L256^$Q$7</f>
        <v>0.209602623381523</v>
      </c>
      <c r="Q256" s="4" t="n">
        <f aca="false">P256/$K256</f>
        <v>0.635159464792495</v>
      </c>
      <c r="S256" s="4" t="n">
        <f aca="false">$T$2*$B256^$T$3*$L256^$T$4*($T$5*$I256^$T$6+$T$7)</f>
        <v>0.242635462342208</v>
      </c>
      <c r="T256" s="4" t="n">
        <f aca="false">S256/$K256</f>
        <v>0.73525897679457</v>
      </c>
      <c r="V256" s="4"/>
      <c r="W256" s="4"/>
    </row>
    <row r="257" customFormat="false" ht="14.25" hidden="false" customHeight="false" outlineLevel="0" collapsed="false">
      <c r="B257" s="2" t="n">
        <v>28</v>
      </c>
      <c r="C257" s="3" t="n">
        <v>400</v>
      </c>
      <c r="D257" s="3" t="n">
        <v>4</v>
      </c>
      <c r="E257" s="2" t="n">
        <v>16</v>
      </c>
      <c r="F257" s="4" t="n">
        <v>5.30847435710111</v>
      </c>
      <c r="G257" s="2" t="n">
        <v>30</v>
      </c>
      <c r="H257" s="2" t="n">
        <v>44</v>
      </c>
      <c r="I257" s="5" t="n">
        <v>0.221883118160293</v>
      </c>
      <c r="J257" s="4" t="n">
        <v>326.607505713894</v>
      </c>
      <c r="K257" s="4" t="n">
        <v>0.34</v>
      </c>
      <c r="L257" s="6" t="n">
        <f aca="false">J257/200000</f>
        <v>0.00163303752856947</v>
      </c>
      <c r="P257" s="4" t="n">
        <f aca="false">$Q$2*($Q$3*$G257+$Q$4*$B257^$Q$5*$I257^$Q$6)*$L257^$Q$7</f>
        <v>0.226851793214824</v>
      </c>
      <c r="Q257" s="4" t="n">
        <f aca="false">P257/$K257</f>
        <v>0.667211156514187</v>
      </c>
      <c r="S257" s="4" t="n">
        <f aca="false">$T$2*$B257^$T$3*$L257^$T$4*($T$5*$I257^$T$6+$T$7)</f>
        <v>0.262999873405849</v>
      </c>
      <c r="T257" s="4" t="n">
        <f aca="false">S257/$K257</f>
        <v>0.773529039428968</v>
      </c>
      <c r="V257" s="4"/>
      <c r="W257" s="4"/>
    </row>
    <row r="258" customFormat="false" ht="14.25" hidden="false" customHeight="false" outlineLevel="0" collapsed="false">
      <c r="B258" s="2" t="n">
        <v>28</v>
      </c>
      <c r="C258" s="3" t="n">
        <v>400</v>
      </c>
      <c r="D258" s="3" t="n">
        <v>4</v>
      </c>
      <c r="E258" s="2" t="n">
        <v>16</v>
      </c>
      <c r="F258" s="4" t="n">
        <v>5.30847435710111</v>
      </c>
      <c r="G258" s="2" t="n">
        <v>30</v>
      </c>
      <c r="H258" s="2" t="n">
        <v>44</v>
      </c>
      <c r="I258" s="5" t="n">
        <v>0.221883118160293</v>
      </c>
      <c r="J258" s="4" t="n">
        <v>369.521257382951</v>
      </c>
      <c r="K258" s="4" t="n">
        <v>0.37</v>
      </c>
      <c r="L258" s="6" t="n">
        <f aca="false">J258/200000</f>
        <v>0.00184760628691475</v>
      </c>
      <c r="P258" s="4" t="n">
        <f aca="false">$Q$2*($Q$3*$G258+$Q$4*$B258^$Q$5*$I258^$Q$6)*$L258^$Q$7</f>
        <v>0.251576536363831</v>
      </c>
      <c r="Q258" s="4" t="n">
        <f aca="false">P258/$K258</f>
        <v>0.67993658476711</v>
      </c>
      <c r="S258" s="4" t="n">
        <f aca="false">$T$2*$B258^$T$3*$L258^$T$4*($T$5*$I258^$T$6+$T$7)</f>
        <v>0.292241083018539</v>
      </c>
      <c r="T258" s="4" t="n">
        <f aca="false">S258/$K258</f>
        <v>0.789840764914971</v>
      </c>
      <c r="V258" s="4"/>
      <c r="W258" s="4"/>
    </row>
    <row r="259" customFormat="false" ht="14.25" hidden="false" customHeight="false" outlineLevel="0" collapsed="false">
      <c r="A259" s="1" t="s">
        <v>73</v>
      </c>
      <c r="B259" s="2" t="n">
        <v>15.9</v>
      </c>
      <c r="C259" s="3" t="n">
        <v>392</v>
      </c>
      <c r="D259" s="3" t="n">
        <v>2</v>
      </c>
      <c r="E259" s="2" t="n">
        <v>46</v>
      </c>
      <c r="F259" s="4" t="n">
        <v>2.82587739786632</v>
      </c>
      <c r="G259" s="2" t="n">
        <v>30</v>
      </c>
      <c r="H259" s="2" t="n">
        <v>38</v>
      </c>
      <c r="I259" s="5" t="n">
        <v>0.0441483882303684</v>
      </c>
      <c r="J259" s="4" t="n">
        <v>341.987226744007</v>
      </c>
      <c r="K259" s="4" t="n">
        <v>0.2</v>
      </c>
      <c r="L259" s="6" t="n">
        <f aca="false">J259/200000</f>
        <v>0.00170993613372003</v>
      </c>
      <c r="P259" s="4" t="n">
        <f aca="false">$Q$2*($Q$3*$G259+$Q$4*$B259^$Q$5*$I259^$Q$6)*$L259^$Q$7</f>
        <v>0.280508420704612</v>
      </c>
      <c r="Q259" s="4" t="n">
        <f aca="false">P259/$K259</f>
        <v>1.40254210352306</v>
      </c>
      <c r="S259" s="4" t="n">
        <f aca="false">$T$2*$B259^$T$3*$L259^$T$4*($T$5*$I259^$T$6+$T$7)</f>
        <v>0.271436318483236</v>
      </c>
      <c r="T259" s="4" t="n">
        <f aca="false">S259/$K259</f>
        <v>1.35718159241618</v>
      </c>
      <c r="V259" s="4"/>
      <c r="W259" s="4"/>
    </row>
    <row r="260" customFormat="false" ht="14.25" hidden="false" customHeight="false" outlineLevel="0" collapsed="false">
      <c r="B260" s="2" t="n">
        <v>15.9</v>
      </c>
      <c r="C260" s="3" t="n">
        <v>392</v>
      </c>
      <c r="D260" s="3" t="n">
        <v>2</v>
      </c>
      <c r="E260" s="2" t="n">
        <v>46</v>
      </c>
      <c r="F260" s="4" t="n">
        <v>2.82587739786632</v>
      </c>
      <c r="G260" s="2" t="n">
        <v>30</v>
      </c>
      <c r="H260" s="2" t="n">
        <v>38</v>
      </c>
      <c r="I260" s="5" t="n">
        <v>0.0441483882303684</v>
      </c>
      <c r="J260" s="4" t="n">
        <v>377.934520636081</v>
      </c>
      <c r="K260" s="4" t="n">
        <v>0.35</v>
      </c>
      <c r="L260" s="6" t="n">
        <f aca="false">J260/200000</f>
        <v>0.00188967260318041</v>
      </c>
      <c r="P260" s="4" t="n">
        <f aca="false">$Q$2*($Q$3*$G260+$Q$4*$B260^$Q$5*$I260^$Q$6)*$L260^$Q$7</f>
        <v>0.305014649345921</v>
      </c>
      <c r="Q260" s="4" t="n">
        <f aca="false">P260/$K260</f>
        <v>0.871470426702632</v>
      </c>
      <c r="S260" s="4" t="n">
        <f aca="false">$T$2*$B260^$T$3*$L260^$T$4*($T$5*$I260^$T$6+$T$7)</f>
        <v>0.295622345461089</v>
      </c>
      <c r="T260" s="4" t="n">
        <f aca="false">S260/$K260</f>
        <v>0.844635272745968</v>
      </c>
      <c r="V260" s="4"/>
      <c r="W260" s="4"/>
    </row>
    <row r="261" customFormat="false" ht="14.25" hidden="false" customHeight="false" outlineLevel="0" collapsed="false">
      <c r="A261" s="1" t="s">
        <v>74</v>
      </c>
      <c r="B261" s="2" t="n">
        <v>15.9</v>
      </c>
      <c r="C261" s="3" t="n">
        <v>392</v>
      </c>
      <c r="D261" s="3" t="n">
        <v>2</v>
      </c>
      <c r="E261" s="2" t="n">
        <v>46</v>
      </c>
      <c r="F261" s="4" t="n">
        <v>2.82587739786632</v>
      </c>
      <c r="G261" s="2" t="n">
        <v>30</v>
      </c>
      <c r="H261" s="2" t="n">
        <v>38</v>
      </c>
      <c r="I261" s="5" t="n">
        <v>0.0441483882303684</v>
      </c>
      <c r="J261" s="4" t="n">
        <v>343.553457893271</v>
      </c>
      <c r="K261" s="4" t="n">
        <v>0.2</v>
      </c>
      <c r="L261" s="6" t="n">
        <f aca="false">J261/200000</f>
        <v>0.00171776728946635</v>
      </c>
      <c r="P261" s="4" t="n">
        <f aca="false">$Q$2*($Q$3*$G261+$Q$4*$B261^$Q$5*$I261^$Q$6)*$L261^$Q$7</f>
        <v>0.28158457623339</v>
      </c>
      <c r="Q261" s="4" t="n">
        <f aca="false">P261/$K261</f>
        <v>1.40792288116695</v>
      </c>
      <c r="S261" s="4" t="n">
        <f aca="false">$T$2*$B261^$T$3*$L261^$T$4*($T$5*$I261^$T$6+$T$7)</f>
        <v>0.272497590791282</v>
      </c>
      <c r="T261" s="4" t="n">
        <f aca="false">S261/$K261</f>
        <v>1.36248795395641</v>
      </c>
      <c r="V261" s="4"/>
      <c r="W261" s="4"/>
    </row>
    <row r="262" customFormat="false" ht="14.25" hidden="false" customHeight="false" outlineLevel="0" collapsed="false">
      <c r="B262" s="2" t="n">
        <v>15.9</v>
      </c>
      <c r="C262" s="3" t="n">
        <v>392</v>
      </c>
      <c r="D262" s="3" t="n">
        <v>2</v>
      </c>
      <c r="E262" s="2" t="n">
        <v>46</v>
      </c>
      <c r="F262" s="4" t="n">
        <v>2.82587739786632</v>
      </c>
      <c r="G262" s="2" t="n">
        <v>30</v>
      </c>
      <c r="H262" s="2" t="n">
        <v>38</v>
      </c>
      <c r="I262" s="5" t="n">
        <v>0.0441483882303684</v>
      </c>
      <c r="J262" s="4" t="n">
        <v>377.934520636081</v>
      </c>
      <c r="K262" s="4" t="n">
        <v>0.25</v>
      </c>
      <c r="L262" s="6" t="n">
        <f aca="false">J262/200000</f>
        <v>0.00188967260318041</v>
      </c>
      <c r="P262" s="4" t="n">
        <f aca="false">$Q$2*($Q$3*$G262+$Q$4*$B262^$Q$5*$I262^$Q$6)*$L262^$Q$7</f>
        <v>0.305014649345921</v>
      </c>
      <c r="Q262" s="4" t="n">
        <f aca="false">P262/$K262</f>
        <v>1.22005859738368</v>
      </c>
      <c r="S262" s="4" t="n">
        <f aca="false">$T$2*$B262^$T$3*$L262^$T$4*($T$5*$I262^$T$6+$T$7)</f>
        <v>0.295622345461089</v>
      </c>
      <c r="T262" s="4" t="n">
        <f aca="false">S262/$K262</f>
        <v>1.18248938184435</v>
      </c>
      <c r="V262" s="4"/>
      <c r="W262" s="4"/>
    </row>
    <row r="263" customFormat="false" ht="14.25" hidden="false" customHeight="false" outlineLevel="0" collapsed="false">
      <c r="A263" s="1" t="s">
        <v>75</v>
      </c>
      <c r="B263" s="2" t="n">
        <v>15.9</v>
      </c>
      <c r="C263" s="3" t="n">
        <v>392</v>
      </c>
      <c r="D263" s="3" t="n">
        <v>2</v>
      </c>
      <c r="E263" s="2" t="n">
        <v>46</v>
      </c>
      <c r="F263" s="4" t="n">
        <v>2.82587739786632</v>
      </c>
      <c r="G263" s="2" t="n">
        <v>30</v>
      </c>
      <c r="H263" s="2" t="n">
        <v>38</v>
      </c>
      <c r="I263" s="5" t="n">
        <v>0.0441483882303684</v>
      </c>
      <c r="J263" s="4" t="n">
        <v>343.553457893271</v>
      </c>
      <c r="K263" s="4" t="n">
        <v>0.2</v>
      </c>
      <c r="L263" s="6" t="n">
        <f aca="false">J263/200000</f>
        <v>0.00171776728946635</v>
      </c>
      <c r="P263" s="4" t="n">
        <f aca="false">$Q$2*($Q$3*$G263+$Q$4*$B263^$Q$5*$I263^$Q$6)*$L263^$Q$7</f>
        <v>0.28158457623339</v>
      </c>
      <c r="Q263" s="4" t="n">
        <f aca="false">P263/$K263</f>
        <v>1.40792288116695</v>
      </c>
      <c r="S263" s="4" t="n">
        <f aca="false">$T$2*$B263^$T$3*$L263^$T$4*($T$5*$I263^$T$6+$T$7)</f>
        <v>0.272497590791282</v>
      </c>
      <c r="T263" s="4" t="n">
        <f aca="false">S263/$K263</f>
        <v>1.36248795395641</v>
      </c>
      <c r="V263" s="4"/>
      <c r="W263" s="4"/>
    </row>
    <row r="264" customFormat="false" ht="14.25" hidden="false" customHeight="false" outlineLevel="0" collapsed="false">
      <c r="B264" s="2" t="n">
        <v>15.9</v>
      </c>
      <c r="C264" s="3" t="n">
        <v>392</v>
      </c>
      <c r="D264" s="3" t="n">
        <v>2</v>
      </c>
      <c r="E264" s="2" t="n">
        <v>46</v>
      </c>
      <c r="F264" s="4" t="n">
        <v>2.82587739786632</v>
      </c>
      <c r="G264" s="2" t="n">
        <v>30</v>
      </c>
      <c r="H264" s="2" t="n">
        <v>38</v>
      </c>
      <c r="I264" s="5" t="n">
        <v>0.0441483882303684</v>
      </c>
      <c r="J264" s="4" t="n">
        <v>377.934520636081</v>
      </c>
      <c r="K264" s="4" t="n">
        <v>0.25</v>
      </c>
      <c r="L264" s="6" t="n">
        <f aca="false">J264/200000</f>
        <v>0.00188967260318041</v>
      </c>
      <c r="P264" s="4" t="n">
        <f aca="false">$Q$2*($Q$3*$G264+$Q$4*$B264^$Q$5*$I264^$Q$6)*$L264^$Q$7</f>
        <v>0.305014649345921</v>
      </c>
      <c r="Q264" s="4" t="n">
        <f aca="false">P264/$K264</f>
        <v>1.22005859738368</v>
      </c>
      <c r="S264" s="4" t="n">
        <f aca="false">$T$2*$B264^$T$3*$L264^$T$4*($T$5*$I264^$T$6+$T$7)</f>
        <v>0.295622345461089</v>
      </c>
      <c r="T264" s="4" t="n">
        <f aca="false">S264/$K264</f>
        <v>1.18248938184435</v>
      </c>
      <c r="V264" s="4"/>
      <c r="W264" s="4"/>
    </row>
    <row r="265" customFormat="false" ht="14.25" hidden="false" customHeight="false" outlineLevel="0" collapsed="false">
      <c r="A265" s="1" t="s">
        <v>76</v>
      </c>
      <c r="B265" s="2" t="n">
        <v>15.9</v>
      </c>
      <c r="C265" s="3" t="n">
        <v>392</v>
      </c>
      <c r="D265" s="3" t="n">
        <v>2</v>
      </c>
      <c r="E265" s="2" t="n">
        <v>46</v>
      </c>
      <c r="F265" s="4" t="n">
        <v>2.82587739786632</v>
      </c>
      <c r="G265" s="2" t="n">
        <v>30</v>
      </c>
      <c r="H265" s="2" t="n">
        <v>38</v>
      </c>
      <c r="I265" s="5" t="n">
        <v>0.0441483882303684</v>
      </c>
      <c r="J265" s="4" t="n">
        <v>345.119689042535</v>
      </c>
      <c r="K265" s="4" t="n">
        <v>0.2</v>
      </c>
      <c r="L265" s="6" t="n">
        <f aca="false">J265/200000</f>
        <v>0.00172559844521268</v>
      </c>
      <c r="P265" s="4" t="n">
        <f aca="false">$Q$2*($Q$3*$G265+$Q$4*$B265^$Q$5*$I265^$Q$6)*$L265^$Q$7</f>
        <v>0.28265993726409</v>
      </c>
      <c r="Q265" s="4" t="n">
        <f aca="false">P265/$K265</f>
        <v>1.41329968632045</v>
      </c>
      <c r="S265" s="4" t="n">
        <f aca="false">$T$2*$B265^$T$3*$L265^$T$4*($T$5*$I265^$T$6+$T$7)</f>
        <v>0.27355815694714</v>
      </c>
      <c r="T265" s="4" t="n">
        <f aca="false">S265/$K265</f>
        <v>1.3677907847357</v>
      </c>
      <c r="V265" s="4"/>
      <c r="W265" s="4"/>
    </row>
    <row r="266" customFormat="false" ht="14.25" hidden="false" customHeight="false" outlineLevel="0" collapsed="false">
      <c r="B266" s="2" t="n">
        <v>15.9</v>
      </c>
      <c r="C266" s="3" t="n">
        <v>392</v>
      </c>
      <c r="D266" s="3" t="n">
        <v>2</v>
      </c>
      <c r="E266" s="2" t="n">
        <v>46</v>
      </c>
      <c r="F266" s="4" t="n">
        <v>2.82587739786632</v>
      </c>
      <c r="G266" s="2" t="n">
        <v>30</v>
      </c>
      <c r="H266" s="2" t="n">
        <v>38</v>
      </c>
      <c r="I266" s="5" t="n">
        <v>0.0441483882303684</v>
      </c>
      <c r="J266" s="4" t="n">
        <v>377.934520636081</v>
      </c>
      <c r="K266" s="4" t="n">
        <v>0.3</v>
      </c>
      <c r="L266" s="6" t="n">
        <f aca="false">J266/200000</f>
        <v>0.00188967260318041</v>
      </c>
      <c r="P266" s="4" t="n">
        <f aca="false">$Q$2*($Q$3*$G266+$Q$4*$B266^$Q$5*$I266^$Q$6)*$L266^$Q$7</f>
        <v>0.305014649345921</v>
      </c>
      <c r="Q266" s="4" t="n">
        <f aca="false">P266/$K266</f>
        <v>1.01671549781974</v>
      </c>
      <c r="S266" s="4" t="n">
        <f aca="false">$T$2*$B266^$T$3*$L266^$T$4*($T$5*$I266^$T$6+$T$7)</f>
        <v>0.295622345461089</v>
      </c>
      <c r="T266" s="4" t="n">
        <f aca="false">S266/$K266</f>
        <v>0.985407818203629</v>
      </c>
      <c r="V266" s="4"/>
      <c r="W266" s="4"/>
    </row>
    <row r="267" customFormat="false" ht="14.25" hidden="false" customHeight="false" outlineLevel="0" collapsed="false">
      <c r="A267" s="1" t="s">
        <v>77</v>
      </c>
      <c r="B267" s="2" t="n">
        <v>12.7</v>
      </c>
      <c r="C267" s="3" t="n">
        <v>392</v>
      </c>
      <c r="D267" s="3" t="n">
        <v>2</v>
      </c>
      <c r="E267" s="2" t="n">
        <v>52</v>
      </c>
      <c r="F267" s="4" t="n">
        <v>2.92087587098479</v>
      </c>
      <c r="G267" s="2" t="n">
        <v>30</v>
      </c>
      <c r="H267" s="2" t="n">
        <v>36.5</v>
      </c>
      <c r="I267" s="5" t="n">
        <v>0.0264062779284379</v>
      </c>
      <c r="J267" s="4" t="n">
        <v>274.08621769744</v>
      </c>
      <c r="K267" s="4" t="n">
        <v>0.15</v>
      </c>
      <c r="L267" s="6" t="n">
        <f aca="false">J267/200000</f>
        <v>0.0013704310884872</v>
      </c>
      <c r="P267" s="4" t="n">
        <f aca="false">$Q$2*($Q$3*$G267+$Q$4*$B267^$Q$5*$I267^$Q$6)*$L267^$Q$7</f>
        <v>0.234588308102655</v>
      </c>
      <c r="Q267" s="4" t="n">
        <f aca="false">P267/$K267</f>
        <v>1.5639220540177</v>
      </c>
      <c r="S267" s="4" t="n">
        <f aca="false">$T$2*$B267^$T$3*$L267^$T$4*($T$5*$I267^$T$6+$T$7)</f>
        <v>0.225508734207478</v>
      </c>
      <c r="T267" s="4" t="n">
        <f aca="false">S267/$K267</f>
        <v>1.50339156138318</v>
      </c>
      <c r="V267" s="4"/>
      <c r="W267" s="4"/>
    </row>
    <row r="268" customFormat="false" ht="14.25" hidden="false" customHeight="false" outlineLevel="0" collapsed="false">
      <c r="B268" s="2" t="n">
        <v>12.7</v>
      </c>
      <c r="C268" s="3" t="n">
        <v>392</v>
      </c>
      <c r="D268" s="3" t="n">
        <v>2</v>
      </c>
      <c r="E268" s="2" t="n">
        <v>52</v>
      </c>
      <c r="F268" s="4" t="n">
        <v>2.92087587098479</v>
      </c>
      <c r="G268" s="2" t="n">
        <v>30</v>
      </c>
      <c r="H268" s="2" t="n">
        <v>36.5</v>
      </c>
      <c r="I268" s="5" t="n">
        <v>0.0264062779284379</v>
      </c>
      <c r="J268" s="4" t="n">
        <v>369.762065941581</v>
      </c>
      <c r="K268" s="4" t="n">
        <v>0.2</v>
      </c>
      <c r="L268" s="6" t="n">
        <f aca="false">J268/200000</f>
        <v>0.0018488103297079</v>
      </c>
      <c r="P268" s="4" t="n">
        <f aca="false">$Q$2*($Q$3*$G268+$Q$4*$B268^$Q$5*$I268^$Q$6)*$L268^$Q$7</f>
        <v>0.301492022035372</v>
      </c>
      <c r="Q268" s="4" t="n">
        <f aca="false">P268/$K268</f>
        <v>1.50746011017686</v>
      </c>
      <c r="S268" s="4" t="n">
        <f aca="false">$T$2*$B268^$T$3*$L268^$T$4*($T$5*$I268^$T$6+$T$7)</f>
        <v>0.291214765446328</v>
      </c>
      <c r="T268" s="4" t="n">
        <f aca="false">S268/$K268</f>
        <v>1.45607382723164</v>
      </c>
      <c r="V268" s="4"/>
      <c r="W268" s="4"/>
    </row>
    <row r="269" customFormat="false" ht="14.25" hidden="false" customHeight="false" outlineLevel="0" collapsed="false">
      <c r="A269" s="1" t="s">
        <v>78</v>
      </c>
      <c r="B269" s="2" t="n">
        <v>12.7</v>
      </c>
      <c r="C269" s="3" t="n">
        <v>392</v>
      </c>
      <c r="D269" s="3" t="n">
        <v>2</v>
      </c>
      <c r="E269" s="2" t="n">
        <v>52</v>
      </c>
      <c r="F269" s="4" t="n">
        <v>2.92087587098479</v>
      </c>
      <c r="G269" s="2" t="n">
        <v>30</v>
      </c>
      <c r="H269" s="2" t="n">
        <v>36.5</v>
      </c>
      <c r="I269" s="5" t="n">
        <v>0.0264062779284379</v>
      </c>
      <c r="J269" s="4" t="n">
        <v>276.672496860353</v>
      </c>
      <c r="K269" s="4" t="n">
        <v>0.15</v>
      </c>
      <c r="L269" s="6" t="n">
        <f aca="false">J269/200000</f>
        <v>0.00138336248430176</v>
      </c>
      <c r="P269" s="4" t="n">
        <f aca="false">$Q$2*($Q$3*$G269+$Q$4*$B269^$Q$5*$I269^$Q$6)*$L269^$Q$7</f>
        <v>0.236441872705937</v>
      </c>
      <c r="Q269" s="4" t="n">
        <f aca="false">P269/$K269</f>
        <v>1.57627915137291</v>
      </c>
      <c r="S269" s="4" t="n">
        <f aca="false">$T$2*$B269^$T$3*$L269^$T$4*($T$5*$I269^$T$6+$T$7)</f>
        <v>0.227324715026844</v>
      </c>
      <c r="T269" s="4" t="n">
        <f aca="false">S269/$K269</f>
        <v>1.51549810017896</v>
      </c>
      <c r="V269" s="4"/>
      <c r="W269" s="4"/>
    </row>
    <row r="270" customFormat="false" ht="14.25" hidden="false" customHeight="false" outlineLevel="0" collapsed="false">
      <c r="B270" s="2" t="n">
        <v>12.7</v>
      </c>
      <c r="C270" s="3" t="n">
        <v>392</v>
      </c>
      <c r="D270" s="3" t="n">
        <v>2</v>
      </c>
      <c r="E270" s="2" t="n">
        <v>52</v>
      </c>
      <c r="F270" s="4" t="n">
        <v>2.92087587098479</v>
      </c>
      <c r="G270" s="2" t="n">
        <v>30</v>
      </c>
      <c r="H270" s="2" t="n">
        <v>36.5</v>
      </c>
      <c r="I270" s="5" t="n">
        <v>0.0264062779284379</v>
      </c>
      <c r="J270" s="4" t="n">
        <v>369.762065941581</v>
      </c>
      <c r="K270" s="4" t="n">
        <v>0.2</v>
      </c>
      <c r="L270" s="6" t="n">
        <f aca="false">J270/200000</f>
        <v>0.0018488103297079</v>
      </c>
      <c r="P270" s="4" t="n">
        <f aca="false">$Q$2*($Q$3*$G270+$Q$4*$B270^$Q$5*$I270^$Q$6)*$L270^$Q$7</f>
        <v>0.301492022035372</v>
      </c>
      <c r="Q270" s="4" t="n">
        <f aca="false">P270/$K270</f>
        <v>1.50746011017686</v>
      </c>
      <c r="S270" s="4" t="n">
        <f aca="false">$T$2*$B270^$T$3*$L270^$T$4*($T$5*$I270^$T$6+$T$7)</f>
        <v>0.291214765446328</v>
      </c>
      <c r="T270" s="4" t="n">
        <f aca="false">S270/$K270</f>
        <v>1.45607382723164</v>
      </c>
      <c r="V270" s="4"/>
      <c r="W270" s="4"/>
    </row>
    <row r="271" customFormat="false" ht="14.25" hidden="false" customHeight="false" outlineLevel="0" collapsed="false">
      <c r="A271" s="1" t="s">
        <v>79</v>
      </c>
      <c r="B271" s="2" t="n">
        <v>15.9</v>
      </c>
      <c r="C271" s="3" t="n">
        <v>392</v>
      </c>
      <c r="D271" s="3" t="n">
        <v>2</v>
      </c>
      <c r="E271" s="2" t="n">
        <v>46</v>
      </c>
      <c r="F271" s="4" t="n">
        <v>2.92087587098479</v>
      </c>
      <c r="G271" s="2" t="n">
        <v>30</v>
      </c>
      <c r="H271" s="2" t="n">
        <v>38</v>
      </c>
      <c r="I271" s="5" t="n">
        <v>0.0440349805383329</v>
      </c>
      <c r="J271" s="4" t="n">
        <v>221.513431356377</v>
      </c>
      <c r="K271" s="4" t="n">
        <v>0.15</v>
      </c>
      <c r="L271" s="6" t="n">
        <f aca="false">J271/200000</f>
        <v>0.00110756715678188</v>
      </c>
      <c r="P271" s="4" t="n">
        <f aca="false">$Q$2*($Q$3*$G271+$Q$4*$B271^$Q$5*$I271^$Q$6)*$L271^$Q$7</f>
        <v>0.1951813951927</v>
      </c>
      <c r="Q271" s="4" t="n">
        <f aca="false">P271/$K271</f>
        <v>1.30120930128466</v>
      </c>
      <c r="S271" s="4" t="n">
        <f aca="false">$T$2*$B271^$T$3*$L271^$T$4*($T$5*$I271^$T$6+$T$7)</f>
        <v>0.187558775344769</v>
      </c>
      <c r="T271" s="4" t="n">
        <f aca="false">S271/$K271</f>
        <v>1.25039183563179</v>
      </c>
      <c r="V271" s="4"/>
      <c r="W271" s="4"/>
    </row>
    <row r="272" customFormat="false" ht="14.25" hidden="false" customHeight="false" outlineLevel="0" collapsed="false">
      <c r="B272" s="2" t="n">
        <v>15.9</v>
      </c>
      <c r="C272" s="3" t="n">
        <v>392</v>
      </c>
      <c r="D272" s="3" t="n">
        <v>2</v>
      </c>
      <c r="E272" s="2" t="n">
        <v>46</v>
      </c>
      <c r="F272" s="4" t="n">
        <v>2.92087587098479</v>
      </c>
      <c r="G272" s="2" t="n">
        <v>30</v>
      </c>
      <c r="H272" s="2" t="n">
        <v>38</v>
      </c>
      <c r="I272" s="5" t="n">
        <v>0.0440349805383329</v>
      </c>
      <c r="J272" s="4" t="n">
        <v>345.727618051518</v>
      </c>
      <c r="K272" s="4" t="n">
        <v>0.25</v>
      </c>
      <c r="L272" s="6" t="n">
        <f aca="false">J272/200000</f>
        <v>0.00172863809025759</v>
      </c>
      <c r="P272" s="4" t="n">
        <f aca="false">$Q$2*($Q$3*$G272+$Q$4*$B272^$Q$5*$I272^$Q$6)*$L272^$Q$7</f>
        <v>0.283434242878223</v>
      </c>
      <c r="Q272" s="4" t="n">
        <f aca="false">P272/$K272</f>
        <v>1.13373697151289</v>
      </c>
      <c r="S272" s="4" t="n">
        <f aca="false">$T$2*$B272^$T$3*$L272^$T$4*($T$5*$I272^$T$6+$T$7)</f>
        <v>0.27431189001122</v>
      </c>
      <c r="T272" s="4" t="n">
        <f aca="false">S272/$K272</f>
        <v>1.09724756004488</v>
      </c>
      <c r="V272" s="4"/>
      <c r="W272" s="4"/>
    </row>
    <row r="273" customFormat="false" ht="14.25" hidden="false" customHeight="false" outlineLevel="0" collapsed="false">
      <c r="B273" s="2" t="n">
        <v>15.9</v>
      </c>
      <c r="C273" s="3" t="n">
        <v>392</v>
      </c>
      <c r="D273" s="3" t="n">
        <v>2</v>
      </c>
      <c r="E273" s="2" t="n">
        <v>46</v>
      </c>
      <c r="F273" s="4" t="n">
        <v>2.92087587098479</v>
      </c>
      <c r="G273" s="2" t="n">
        <v>30</v>
      </c>
      <c r="H273" s="2" t="n">
        <v>38</v>
      </c>
      <c r="I273" s="5" t="n">
        <v>0.0440349805383329</v>
      </c>
      <c r="J273" s="4" t="n">
        <v>377.476388519591</v>
      </c>
      <c r="K273" s="4" t="n">
        <v>0.3</v>
      </c>
      <c r="L273" s="6" t="n">
        <f aca="false">J273/200000</f>
        <v>0.00188738194259795</v>
      </c>
      <c r="P273" s="4" t="n">
        <f aca="false">$Q$2*($Q$3*$G273+$Q$4*$B273^$Q$5*$I273^$Q$6)*$L273^$Q$7</f>
        <v>0.305089182420706</v>
      </c>
      <c r="Q273" s="4" t="n">
        <f aca="false">P273/$K273</f>
        <v>1.01696394140235</v>
      </c>
      <c r="S273" s="4" t="n">
        <f aca="false">$T$2*$B273^$T$3*$L273^$T$4*($T$5*$I273^$T$6+$T$7)</f>
        <v>0.295685218906487</v>
      </c>
      <c r="T273" s="4" t="n">
        <f aca="false">S273/$K273</f>
        <v>0.985617396354956</v>
      </c>
      <c r="V273" s="4"/>
      <c r="W273" s="4"/>
    </row>
    <row r="274" customFormat="false" ht="14.25" hidden="false" customHeight="false" outlineLevel="0" collapsed="false">
      <c r="A274" s="1" t="s">
        <v>80</v>
      </c>
      <c r="B274" s="2" t="n">
        <v>15.9</v>
      </c>
      <c r="C274" s="3" t="n">
        <v>392</v>
      </c>
      <c r="D274" s="3" t="n">
        <v>2</v>
      </c>
      <c r="E274" s="2" t="n">
        <v>46</v>
      </c>
      <c r="F274" s="4" t="n">
        <v>2.92087587098479</v>
      </c>
      <c r="G274" s="2" t="n">
        <v>30</v>
      </c>
      <c r="H274" s="2" t="n">
        <v>38</v>
      </c>
      <c r="I274" s="5" t="n">
        <v>0.0440349805383329</v>
      </c>
      <c r="J274" s="4" t="n">
        <v>223.08576283353</v>
      </c>
      <c r="K274" s="4" t="n">
        <v>0.15</v>
      </c>
      <c r="L274" s="6" t="n">
        <f aca="false">J274/200000</f>
        <v>0.00111542881416765</v>
      </c>
      <c r="P274" s="4" t="n">
        <f aca="false">$Q$2*($Q$3*$G274+$Q$4*$B274^$Q$5*$I274^$Q$6)*$L274^$Q$7</f>
        <v>0.196341714172963</v>
      </c>
      <c r="Q274" s="4" t="n">
        <f aca="false">P274/$K274</f>
        <v>1.30894476115309</v>
      </c>
      <c r="S274" s="4" t="n">
        <f aca="false">$T$2*$B274^$T$3*$L274^$T$4*($T$5*$I274^$T$6+$T$7)</f>
        <v>0.188695132412821</v>
      </c>
      <c r="T274" s="4" t="n">
        <f aca="false">S274/$K274</f>
        <v>1.25796754941881</v>
      </c>
      <c r="V274" s="4"/>
      <c r="W274" s="4"/>
    </row>
    <row r="275" customFormat="false" ht="14.25" hidden="false" customHeight="false" outlineLevel="0" collapsed="false">
      <c r="B275" s="2" t="n">
        <v>15.9</v>
      </c>
      <c r="C275" s="3" t="n">
        <v>392</v>
      </c>
      <c r="D275" s="3" t="n">
        <v>2</v>
      </c>
      <c r="E275" s="2" t="n">
        <v>46</v>
      </c>
      <c r="F275" s="4" t="n">
        <v>2.92087587098479</v>
      </c>
      <c r="G275" s="2" t="n">
        <v>30</v>
      </c>
      <c r="H275" s="2" t="n">
        <v>38</v>
      </c>
      <c r="I275" s="5" t="n">
        <v>0.0440349805383329</v>
      </c>
      <c r="J275" s="4" t="n">
        <v>347.299949528671</v>
      </c>
      <c r="K275" s="4" t="n">
        <v>0.25</v>
      </c>
      <c r="L275" s="6" t="n">
        <f aca="false">J275/200000</f>
        <v>0.00173649974764336</v>
      </c>
      <c r="P275" s="4" t="n">
        <f aca="false">$Q$2*($Q$3*$G275+$Q$4*$B275^$Q$5*$I275^$Q$6)*$L275^$Q$7</f>
        <v>0.284514051120501</v>
      </c>
      <c r="Q275" s="4" t="n">
        <f aca="false">P275/$K275</f>
        <v>1.13805620448201</v>
      </c>
      <c r="S275" s="4" t="n">
        <f aca="false">$T$2*$B275^$T$3*$L275^$T$4*($T$5*$I275^$T$6+$T$7)</f>
        <v>0.275376936536698</v>
      </c>
      <c r="T275" s="4" t="n">
        <f aca="false">S275/$K275</f>
        <v>1.10150774614679</v>
      </c>
      <c r="V275" s="4"/>
      <c r="W275" s="4"/>
    </row>
    <row r="276" customFormat="false" ht="14.25" hidden="false" customHeight="false" outlineLevel="0" collapsed="false">
      <c r="A276" s="1" t="s">
        <v>81</v>
      </c>
      <c r="B276" s="2" t="n">
        <v>19.1</v>
      </c>
      <c r="C276" s="3" t="n">
        <v>392</v>
      </c>
      <c r="D276" s="3" t="n">
        <v>2</v>
      </c>
      <c r="E276" s="2" t="n">
        <v>40</v>
      </c>
      <c r="F276" s="4" t="n">
        <v>2.92087587098479</v>
      </c>
      <c r="G276" s="2" t="n">
        <v>30</v>
      </c>
      <c r="H276" s="2" t="n">
        <v>39.5</v>
      </c>
      <c r="I276" s="5" t="n">
        <v>0.0674188339618365</v>
      </c>
      <c r="J276" s="4" t="n">
        <v>149.774901723156</v>
      </c>
      <c r="K276" s="4" t="n">
        <v>0.15</v>
      </c>
      <c r="L276" s="6" t="n">
        <f aca="false">J276/200000</f>
        <v>0.000748874508615779</v>
      </c>
      <c r="P276" s="4" t="n">
        <f aca="false">$Q$2*($Q$3*$G276+$Q$4*$B276^$Q$5*$I276^$Q$6)*$L276^$Q$7</f>
        <v>0.139392912956523</v>
      </c>
      <c r="Q276" s="4" t="n">
        <f aca="false">P276/$K276</f>
        <v>0.929286086376822</v>
      </c>
      <c r="S276" s="4" t="n">
        <f aca="false">$T$2*$B276^$T$3*$L276^$T$4*($T$5*$I276^$T$6+$T$7)</f>
        <v>0.136012935370665</v>
      </c>
      <c r="T276" s="4" t="n">
        <f aca="false">S276/$K276</f>
        <v>0.906752902471099</v>
      </c>
      <c r="V276" s="4"/>
      <c r="W276" s="4"/>
    </row>
    <row r="277" customFormat="false" ht="14.25" hidden="false" customHeight="false" outlineLevel="0" collapsed="false">
      <c r="B277" s="2" t="n">
        <v>19.1</v>
      </c>
      <c r="C277" s="3" t="n">
        <v>392</v>
      </c>
      <c r="D277" s="3" t="n">
        <v>2</v>
      </c>
      <c r="E277" s="2" t="n">
        <v>40</v>
      </c>
      <c r="F277" s="4" t="n">
        <v>2.92087587098479</v>
      </c>
      <c r="G277" s="2" t="n">
        <v>30</v>
      </c>
      <c r="H277" s="2" t="n">
        <v>39.5</v>
      </c>
      <c r="I277" s="5" t="n">
        <v>0.0674188339618365</v>
      </c>
      <c r="J277" s="4" t="n">
        <v>233.111473659983</v>
      </c>
      <c r="K277" s="4" t="n">
        <v>0.2</v>
      </c>
      <c r="L277" s="6" t="n">
        <f aca="false">J277/200000</f>
        <v>0.00116555736829991</v>
      </c>
      <c r="P277" s="4" t="n">
        <f aca="false">$Q$2*($Q$3*$G277+$Q$4*$B277^$Q$5*$I277^$Q$6)*$L277^$Q$7</f>
        <v>0.201948724316917</v>
      </c>
      <c r="Q277" s="4" t="n">
        <f aca="false">P277/$K277</f>
        <v>1.00974362158458</v>
      </c>
      <c r="S277" s="4" t="n">
        <f aca="false">$T$2*$B277^$T$3*$L277^$T$4*($T$5*$I277^$T$6+$T$7)</f>
        <v>0.198451610395955</v>
      </c>
      <c r="T277" s="4" t="n">
        <f aca="false">S277/$K277</f>
        <v>0.992258051979773</v>
      </c>
      <c r="V277" s="4"/>
      <c r="W277" s="4"/>
    </row>
    <row r="278" customFormat="false" ht="14.25" hidden="false" customHeight="false" outlineLevel="0" collapsed="false">
      <c r="B278" s="2" t="n">
        <v>19.1</v>
      </c>
      <c r="C278" s="3" t="n">
        <v>392</v>
      </c>
      <c r="D278" s="3" t="n">
        <v>2</v>
      </c>
      <c r="E278" s="2" t="n">
        <v>40</v>
      </c>
      <c r="F278" s="4" t="n">
        <v>2.92087587098479</v>
      </c>
      <c r="G278" s="2" t="n">
        <v>30</v>
      </c>
      <c r="H278" s="2" t="n">
        <v>39.5</v>
      </c>
      <c r="I278" s="5" t="n">
        <v>0.0674188339618365</v>
      </c>
      <c r="J278" s="4" t="n">
        <v>317.913291839518</v>
      </c>
      <c r="K278" s="4" t="n">
        <v>0.3</v>
      </c>
      <c r="L278" s="6" t="n">
        <f aca="false">J278/200000</f>
        <v>0.00158956645919759</v>
      </c>
      <c r="P278" s="4" t="n">
        <f aca="false">$Q$2*($Q$3*$G278+$Q$4*$B278^$Q$5*$I278^$Q$6)*$L278^$Q$7</f>
        <v>0.261913240827022</v>
      </c>
      <c r="Q278" s="4" t="n">
        <f aca="false">P278/$K278</f>
        <v>0.873044136090073</v>
      </c>
      <c r="S278" s="4" t="n">
        <f aca="false">$T$2*$B278^$T$3*$L278^$T$4*($T$5*$I278^$T$6+$T$7)</f>
        <v>0.258658579583021</v>
      </c>
      <c r="T278" s="4" t="n">
        <f aca="false">S278/$K278</f>
        <v>0.862195265276736</v>
      </c>
      <c r="V278" s="4"/>
      <c r="W278" s="4"/>
    </row>
    <row r="279" customFormat="false" ht="14.25" hidden="false" customHeight="false" outlineLevel="0" collapsed="false">
      <c r="B279" s="2" t="n">
        <v>19.1</v>
      </c>
      <c r="C279" s="3" t="n">
        <v>392</v>
      </c>
      <c r="D279" s="3" t="n">
        <v>2</v>
      </c>
      <c r="E279" s="2" t="n">
        <v>40</v>
      </c>
      <c r="F279" s="4" t="n">
        <v>2.92087587098479</v>
      </c>
      <c r="G279" s="2" t="n">
        <v>30</v>
      </c>
      <c r="H279" s="2" t="n">
        <v>39.5</v>
      </c>
      <c r="I279" s="5" t="n">
        <v>0.0674188339618365</v>
      </c>
      <c r="J279" s="4" t="n">
        <v>381.484312511745</v>
      </c>
      <c r="K279" s="4" t="n">
        <v>0.33</v>
      </c>
      <c r="L279" s="6" t="n">
        <f aca="false">J279/200000</f>
        <v>0.00190742156255873</v>
      </c>
      <c r="P279" s="4" t="n">
        <f aca="false">$Q$2*($Q$3*$G279+$Q$4*$B279^$Q$5*$I279^$Q$6)*$L279^$Q$7</f>
        <v>0.305140768957751</v>
      </c>
      <c r="Q279" s="4" t="n">
        <f aca="false">P279/$K279</f>
        <v>0.924668996841671</v>
      </c>
      <c r="S279" s="4" t="n">
        <f aca="false">$T$2*$B279^$T$3*$L279^$T$4*($T$5*$I279^$T$6+$T$7)</f>
        <v>0.302229155898056</v>
      </c>
      <c r="T279" s="4" t="n">
        <f aca="false">S279/$K279</f>
        <v>0.915845926963805</v>
      </c>
      <c r="V279" s="4"/>
      <c r="W279" s="4"/>
    </row>
    <row r="280" customFormat="false" ht="14.25" hidden="false" customHeight="false" outlineLevel="0" collapsed="false">
      <c r="A280" s="1" t="s">
        <v>82</v>
      </c>
      <c r="B280" s="2" t="n">
        <v>19.1</v>
      </c>
      <c r="C280" s="3" t="n">
        <v>392</v>
      </c>
      <c r="D280" s="3" t="n">
        <v>2</v>
      </c>
      <c r="E280" s="2" t="n">
        <v>40</v>
      </c>
      <c r="F280" s="4" t="n">
        <v>2.92087587098479</v>
      </c>
      <c r="G280" s="2" t="n">
        <v>30</v>
      </c>
      <c r="H280" s="2" t="n">
        <v>39.5</v>
      </c>
      <c r="I280" s="5" t="n">
        <v>0.0674188339618365</v>
      </c>
      <c r="J280" s="4" t="n">
        <v>148.825532489443</v>
      </c>
      <c r="K280" s="4" t="n">
        <v>0.15</v>
      </c>
      <c r="L280" s="6" t="n">
        <f aca="false">J280/200000</f>
        <v>0.000744127662447216</v>
      </c>
      <c r="P280" s="4" t="n">
        <f aca="false">$Q$2*($Q$3*$G280+$Q$4*$B280^$Q$5*$I280^$Q$6)*$L280^$Q$7</f>
        <v>0.138652107292581</v>
      </c>
      <c r="Q280" s="4" t="n">
        <f aca="false">P280/$K280</f>
        <v>0.92434738195054</v>
      </c>
      <c r="S280" s="4" t="n">
        <f aca="false">$T$2*$B280^$T$3*$L280^$T$4*($T$5*$I280^$T$6+$T$7)</f>
        <v>0.135276328792634</v>
      </c>
      <c r="T280" s="4" t="n">
        <f aca="false">S280/$K280</f>
        <v>0.901842191950892</v>
      </c>
      <c r="V280" s="4"/>
      <c r="W280" s="4"/>
    </row>
    <row r="281" customFormat="false" ht="14.25" hidden="false" customHeight="false" outlineLevel="0" collapsed="false">
      <c r="B281" s="2" t="n">
        <v>19.1</v>
      </c>
      <c r="C281" s="3" t="n">
        <v>392</v>
      </c>
      <c r="D281" s="3" t="n">
        <v>2</v>
      </c>
      <c r="E281" s="2" t="n">
        <v>40</v>
      </c>
      <c r="F281" s="4" t="n">
        <v>2.92087587098479</v>
      </c>
      <c r="G281" s="2" t="n">
        <v>30</v>
      </c>
      <c r="H281" s="2" t="n">
        <v>39.5</v>
      </c>
      <c r="I281" s="5" t="n">
        <v>0.0674188339618365</v>
      </c>
      <c r="J281" s="4" t="n">
        <v>230.964592187083</v>
      </c>
      <c r="K281" s="4" t="n">
        <v>0.25</v>
      </c>
      <c r="L281" s="6" t="n">
        <f aca="false">J281/200000</f>
        <v>0.00115482296093542</v>
      </c>
      <c r="P281" s="4" t="n">
        <f aca="false">$Q$2*($Q$3*$G281+$Q$4*$B281^$Q$5*$I281^$Q$6)*$L281^$Q$7</f>
        <v>0.200388975849519</v>
      </c>
      <c r="Q281" s="4" t="n">
        <f aca="false">P281/$K281</f>
        <v>0.801555903398075</v>
      </c>
      <c r="S281" s="4" t="n">
        <f aca="false">$T$2*$B281^$T$3*$L281^$T$4*($T$5*$I281^$T$6+$T$7)</f>
        <v>0.196889722609159</v>
      </c>
      <c r="T281" s="4" t="n">
        <f aca="false">S281/$K281</f>
        <v>0.787558890436637</v>
      </c>
      <c r="V281" s="4"/>
      <c r="W281" s="4"/>
    </row>
    <row r="282" customFormat="false" ht="14.25" hidden="false" customHeight="false" outlineLevel="0" collapsed="false">
      <c r="B282" s="2" t="n">
        <v>19.1</v>
      </c>
      <c r="C282" s="3" t="n">
        <v>392</v>
      </c>
      <c r="D282" s="3" t="n">
        <v>2</v>
      </c>
      <c r="E282" s="2" t="n">
        <v>40</v>
      </c>
      <c r="F282" s="4" t="n">
        <v>2.92087587098479</v>
      </c>
      <c r="G282" s="2" t="n">
        <v>30</v>
      </c>
      <c r="H282" s="2" t="n">
        <v>39.5</v>
      </c>
      <c r="I282" s="5" t="n">
        <v>0.0674188339618365</v>
      </c>
      <c r="J282" s="4" t="n">
        <v>314.692969630169</v>
      </c>
      <c r="K282" s="4" t="n">
        <v>0.28</v>
      </c>
      <c r="L282" s="6" t="n">
        <f aca="false">J282/200000</f>
        <v>0.00157346484815084</v>
      </c>
      <c r="P282" s="4" t="n">
        <f aca="false">$Q$2*($Q$3*$G282+$Q$4*$B282^$Q$5*$I282^$Q$6)*$L282^$Q$7</f>
        <v>0.259688139928962</v>
      </c>
      <c r="Q282" s="4" t="n">
        <f aca="false">P282/$K282</f>
        <v>0.927457642603436</v>
      </c>
      <c r="S282" s="4" t="n">
        <f aca="false">$T$2*$B282^$T$3*$L282^$T$4*($T$5*$I282^$T$6+$T$7)</f>
        <v>0.256419354900593</v>
      </c>
      <c r="T282" s="4" t="n">
        <f aca="false">S282/$K282</f>
        <v>0.915783410359262</v>
      </c>
      <c r="V282" s="4"/>
      <c r="W282" s="4"/>
    </row>
    <row r="283" customFormat="false" ht="14.25" hidden="false" customHeight="false" outlineLevel="0" collapsed="false">
      <c r="A283" s="1" t="s">
        <v>83</v>
      </c>
      <c r="B283" s="2" t="n">
        <v>15.9</v>
      </c>
      <c r="C283" s="3" t="n">
        <v>392</v>
      </c>
      <c r="D283" s="3" t="n">
        <v>2</v>
      </c>
      <c r="E283" s="2" t="n">
        <v>46</v>
      </c>
      <c r="F283" s="4" t="n">
        <v>3.35387948274239</v>
      </c>
      <c r="G283" s="2" t="n">
        <v>30</v>
      </c>
      <c r="H283" s="2" t="n">
        <v>38</v>
      </c>
      <c r="I283" s="5" t="n">
        <v>0.0435727310809325</v>
      </c>
      <c r="J283" s="4" t="n">
        <v>343.07945374925</v>
      </c>
      <c r="K283" s="4" t="n">
        <v>0.2</v>
      </c>
      <c r="L283" s="6" t="n">
        <f aca="false">J283/200000</f>
        <v>0.00171539726874625</v>
      </c>
      <c r="P283" s="4" t="n">
        <f aca="false">$Q$2*($Q$3*$G283+$Q$4*$B283^$Q$5*$I283^$Q$6)*$L283^$Q$7</f>
        <v>0.283074323321407</v>
      </c>
      <c r="Q283" s="4" t="n">
        <f aca="false">P283/$K283</f>
        <v>1.41537161660703</v>
      </c>
      <c r="S283" s="4" t="n">
        <f aca="false">$T$2*$B283^$T$3*$L283^$T$4*($T$5*$I283^$T$6+$T$7)</f>
        <v>0.273917869873985</v>
      </c>
      <c r="T283" s="4" t="n">
        <f aca="false">S283/$K283</f>
        <v>1.36958934936993</v>
      </c>
      <c r="V283" s="4"/>
      <c r="W283" s="4"/>
    </row>
    <row r="284" customFormat="false" ht="14.25" hidden="false" customHeight="false" outlineLevel="0" collapsed="false">
      <c r="B284" s="2" t="n">
        <v>15.9</v>
      </c>
      <c r="C284" s="3" t="n">
        <v>392</v>
      </c>
      <c r="D284" s="3" t="n">
        <v>2</v>
      </c>
      <c r="E284" s="2" t="n">
        <v>46</v>
      </c>
      <c r="F284" s="4" t="n">
        <v>3.35387948274239</v>
      </c>
      <c r="G284" s="2" t="n">
        <v>30</v>
      </c>
      <c r="H284" s="2" t="n">
        <v>38</v>
      </c>
      <c r="I284" s="5" t="n">
        <v>0.0435727310809325</v>
      </c>
      <c r="J284" s="4" t="n">
        <v>375.388726261255</v>
      </c>
      <c r="K284" s="4" t="n">
        <v>0.22</v>
      </c>
      <c r="L284" s="6" t="n">
        <f aca="false">J284/200000</f>
        <v>0.00187694363130628</v>
      </c>
      <c r="P284" s="4" t="n">
        <f aca="false">$Q$2*($Q$3*$G284+$Q$4*$B284^$Q$5*$I284^$Q$6)*$L284^$Q$7</f>
        <v>0.305249511795247</v>
      </c>
      <c r="Q284" s="4" t="n">
        <f aca="false">P284/$K284</f>
        <v>1.38749778088748</v>
      </c>
      <c r="S284" s="4" t="n">
        <f aca="false">$T$2*$B284^$T$3*$L284^$T$4*($T$5*$I284^$T$6+$T$7)</f>
        <v>0.295801417044641</v>
      </c>
      <c r="T284" s="4" t="n">
        <f aca="false">S284/$K284</f>
        <v>1.34455189565746</v>
      </c>
      <c r="V284" s="4"/>
      <c r="W284" s="4"/>
    </row>
    <row r="285" customFormat="false" ht="14.25" hidden="false" customHeight="false" outlineLevel="0" collapsed="false">
      <c r="A285" s="1" t="s">
        <v>84</v>
      </c>
      <c r="B285" s="2" t="n">
        <v>15.9</v>
      </c>
      <c r="C285" s="3" t="n">
        <v>392</v>
      </c>
      <c r="D285" s="3" t="n">
        <v>2</v>
      </c>
      <c r="E285" s="2" t="n">
        <v>46</v>
      </c>
      <c r="F285" s="4" t="n">
        <v>3.35387948274239</v>
      </c>
      <c r="G285" s="2" t="n">
        <v>30</v>
      </c>
      <c r="H285" s="2" t="n">
        <v>38</v>
      </c>
      <c r="I285" s="5" t="n">
        <v>0.0435727310809325</v>
      </c>
      <c r="J285" s="4" t="n">
        <v>343.07945374925</v>
      </c>
      <c r="K285" s="4" t="n">
        <v>0.17</v>
      </c>
      <c r="L285" s="6" t="n">
        <f aca="false">J285/200000</f>
        <v>0.00171539726874625</v>
      </c>
      <c r="P285" s="4" t="n">
        <f aca="false">$Q$2*($Q$3*$G285+$Q$4*$B285^$Q$5*$I285^$Q$6)*$L285^$Q$7</f>
        <v>0.283074323321407</v>
      </c>
      <c r="Q285" s="4" t="n">
        <f aca="false">P285/$K285</f>
        <v>1.66514307836122</v>
      </c>
      <c r="S285" s="4" t="n">
        <f aca="false">$T$2*$B285^$T$3*$L285^$T$4*($T$5*$I285^$T$6+$T$7)</f>
        <v>0.273917869873985</v>
      </c>
      <c r="T285" s="4" t="n">
        <f aca="false">S285/$K285</f>
        <v>1.61128158749403</v>
      </c>
      <c r="V285" s="4"/>
      <c r="W285" s="4"/>
    </row>
    <row r="286" customFormat="false" ht="14.25" hidden="false" customHeight="false" outlineLevel="0" collapsed="false">
      <c r="B286" s="2" t="n">
        <v>15.9</v>
      </c>
      <c r="C286" s="3" t="n">
        <v>392</v>
      </c>
      <c r="D286" s="3" t="n">
        <v>2</v>
      </c>
      <c r="E286" s="2" t="n">
        <v>46</v>
      </c>
      <c r="F286" s="4" t="n">
        <v>3.35387948274239</v>
      </c>
      <c r="G286" s="2" t="n">
        <v>30</v>
      </c>
      <c r="H286" s="2" t="n">
        <v>38</v>
      </c>
      <c r="I286" s="5" t="n">
        <v>0.0435727310809325</v>
      </c>
      <c r="J286" s="4" t="n">
        <v>375.388726261255</v>
      </c>
      <c r="K286" s="4" t="n">
        <v>0.21</v>
      </c>
      <c r="L286" s="6" t="n">
        <f aca="false">J286/200000</f>
        <v>0.00187694363130628</v>
      </c>
      <c r="P286" s="4" t="n">
        <f aca="false">$Q$2*($Q$3*$G286+$Q$4*$B286^$Q$5*$I286^$Q$6)*$L286^$Q$7</f>
        <v>0.305249511795247</v>
      </c>
      <c r="Q286" s="4" t="n">
        <f aca="false">P286/$K286</f>
        <v>1.45356910378689</v>
      </c>
      <c r="S286" s="4" t="n">
        <f aca="false">$T$2*$B286^$T$3*$L286^$T$4*($T$5*$I286^$T$6+$T$7)</f>
        <v>0.295801417044641</v>
      </c>
      <c r="T286" s="4" t="n">
        <f aca="false">S286/$K286</f>
        <v>1.40857817640305</v>
      </c>
      <c r="V286" s="4"/>
      <c r="W286" s="4"/>
    </row>
    <row r="287" customFormat="false" ht="14.25" hidden="false" customHeight="false" outlineLevel="0" collapsed="false">
      <c r="A287" s="1" t="s">
        <v>85</v>
      </c>
      <c r="B287" s="2" t="n">
        <v>19.1</v>
      </c>
      <c r="C287" s="3" t="n">
        <v>392</v>
      </c>
      <c r="D287" s="3" t="n">
        <v>2</v>
      </c>
      <c r="E287" s="2" t="n">
        <v>40</v>
      </c>
      <c r="F287" s="4" t="n">
        <v>3.35387948274239</v>
      </c>
      <c r="G287" s="2" t="n">
        <v>30</v>
      </c>
      <c r="H287" s="2" t="n">
        <v>39.5</v>
      </c>
      <c r="I287" s="5" t="n">
        <v>0.0665965360251012</v>
      </c>
      <c r="J287" s="4" t="n">
        <v>183.672287657371</v>
      </c>
      <c r="K287" s="4" t="n">
        <v>0.17</v>
      </c>
      <c r="L287" s="6" t="n">
        <f aca="false">J287/200000</f>
        <v>0.000918361438286856</v>
      </c>
      <c r="P287" s="4" t="n">
        <f aca="false">$Q$2*($Q$3*$G287+$Q$4*$B287^$Q$5*$I287^$Q$6)*$L287^$Q$7</f>
        <v>0.166380963894834</v>
      </c>
      <c r="Q287" s="4" t="n">
        <f aca="false">P287/$K287</f>
        <v>0.978711552322551</v>
      </c>
      <c r="S287" s="4" t="n">
        <f aca="false">$T$2*$B287^$T$3*$L287^$T$4*($T$5*$I287^$T$6+$T$7)</f>
        <v>0.162781958617387</v>
      </c>
      <c r="T287" s="4" t="n">
        <f aca="false">S287/$K287</f>
        <v>0.95754093304345</v>
      </c>
      <c r="V287" s="4"/>
      <c r="W287" s="4"/>
    </row>
    <row r="288" customFormat="false" ht="14.25" hidden="false" customHeight="false" outlineLevel="0" collapsed="false">
      <c r="B288" s="2" t="n">
        <v>19.1</v>
      </c>
      <c r="C288" s="3" t="n">
        <v>392</v>
      </c>
      <c r="D288" s="3" t="n">
        <v>2</v>
      </c>
      <c r="E288" s="2" t="n">
        <v>40</v>
      </c>
      <c r="F288" s="4" t="n">
        <v>3.35387948274239</v>
      </c>
      <c r="G288" s="2" t="n">
        <v>30</v>
      </c>
      <c r="H288" s="2" t="n">
        <v>39.5</v>
      </c>
      <c r="I288" s="5" t="n">
        <v>0.0665965360251012</v>
      </c>
      <c r="J288" s="4" t="n">
        <v>227.114404144043</v>
      </c>
      <c r="K288" s="4" t="n">
        <v>0.18</v>
      </c>
      <c r="L288" s="6" t="n">
        <f aca="false">J288/200000</f>
        <v>0.00113557202072021</v>
      </c>
      <c r="P288" s="4" t="n">
        <f aca="false">$Q$2*($Q$3*$G288+$Q$4*$B288^$Q$5*$I288^$Q$6)*$L288^$Q$7</f>
        <v>0.198777905759569</v>
      </c>
      <c r="Q288" s="4" t="n">
        <f aca="false">P288/$K288</f>
        <v>1.10432169866427</v>
      </c>
      <c r="S288" s="4" t="n">
        <f aca="false">$T$2*$B288^$T$3*$L288^$T$4*($T$5*$I288^$T$6+$T$7)</f>
        <v>0.195139847454246</v>
      </c>
      <c r="T288" s="4" t="n">
        <f aca="false">S288/$K288</f>
        <v>1.0841102636347</v>
      </c>
      <c r="V288" s="4"/>
      <c r="W288" s="4"/>
    </row>
    <row r="289" customFormat="false" ht="14.25" hidden="false" customHeight="false" outlineLevel="0" collapsed="false">
      <c r="B289" s="2" t="n">
        <v>19.1</v>
      </c>
      <c r="C289" s="3" t="n">
        <v>392</v>
      </c>
      <c r="D289" s="3" t="n">
        <v>2</v>
      </c>
      <c r="E289" s="2" t="n">
        <v>40</v>
      </c>
      <c r="F289" s="4" t="n">
        <v>3.35387948274239</v>
      </c>
      <c r="G289" s="2" t="n">
        <v>30</v>
      </c>
      <c r="H289" s="2" t="n">
        <v>39.5</v>
      </c>
      <c r="I289" s="5" t="n">
        <v>0.0665965360251012</v>
      </c>
      <c r="J289" s="4" t="n">
        <v>269.470467718547</v>
      </c>
      <c r="K289" s="4" t="n">
        <v>0.2</v>
      </c>
      <c r="L289" s="6" t="n">
        <f aca="false">J289/200000</f>
        <v>0.00134735233859274</v>
      </c>
      <c r="P289" s="4" t="n">
        <f aca="false">$Q$2*($Q$3*$G289+$Q$4*$B289^$Q$5*$I289^$Q$6)*$L289^$Q$7</f>
        <v>0.229405293665764</v>
      </c>
      <c r="Q289" s="4" t="n">
        <f aca="false">P289/$K289</f>
        <v>1.14702646832882</v>
      </c>
      <c r="S289" s="4" t="n">
        <f aca="false">$T$2*$B289^$T$3*$L289^$T$4*($T$5*$I289^$T$6+$T$7)</f>
        <v>0.225823716038063</v>
      </c>
      <c r="T289" s="4" t="n">
        <f aca="false">S289/$K289</f>
        <v>1.12911858019031</v>
      </c>
      <c r="V289" s="4"/>
      <c r="W289" s="4"/>
    </row>
    <row r="290" customFormat="false" ht="14.25" hidden="false" customHeight="false" outlineLevel="0" collapsed="false">
      <c r="B290" s="2" t="n">
        <v>19.1</v>
      </c>
      <c r="C290" s="3" t="n">
        <v>392</v>
      </c>
      <c r="D290" s="3" t="n">
        <v>2</v>
      </c>
      <c r="E290" s="2" t="n">
        <v>40</v>
      </c>
      <c r="F290" s="4" t="n">
        <v>3.35387948274239</v>
      </c>
      <c r="G290" s="2" t="n">
        <v>30</v>
      </c>
      <c r="H290" s="2" t="n">
        <v>39.5</v>
      </c>
      <c r="I290" s="5" t="n">
        <v>0.0665965360251012</v>
      </c>
      <c r="J290" s="4" t="n">
        <v>312.912584205218</v>
      </c>
      <c r="K290" s="4" t="n">
        <v>0.2</v>
      </c>
      <c r="L290" s="6" t="n">
        <f aca="false">J290/200000</f>
        <v>0.00156456292102609</v>
      </c>
      <c r="P290" s="4" t="n">
        <f aca="false">$Q$2*($Q$3*$G290+$Q$4*$B290^$Q$5*$I290^$Q$6)*$L290^$Q$7</f>
        <v>0.260015697773293</v>
      </c>
      <c r="Q290" s="4" t="n">
        <f aca="false">P290/$K290</f>
        <v>1.30007848886646</v>
      </c>
      <c r="S290" s="4" t="n">
        <f aca="false">$T$2*$B290^$T$3*$L290^$T$4*($T$5*$I290^$T$6+$T$7)</f>
        <v>0.256569053573862</v>
      </c>
      <c r="T290" s="4" t="n">
        <f aca="false">S290/$K290</f>
        <v>1.28284526786931</v>
      </c>
      <c r="V290" s="4"/>
      <c r="W290" s="4"/>
    </row>
    <row r="291" customFormat="false" ht="14.25" hidden="false" customHeight="false" outlineLevel="0" collapsed="false">
      <c r="B291" s="2" t="n">
        <v>19.1</v>
      </c>
      <c r="C291" s="3" t="n">
        <v>392</v>
      </c>
      <c r="D291" s="3" t="n">
        <v>2</v>
      </c>
      <c r="E291" s="2" t="n">
        <v>40</v>
      </c>
      <c r="F291" s="4" t="n">
        <v>3.35387948274239</v>
      </c>
      <c r="G291" s="2" t="n">
        <v>30</v>
      </c>
      <c r="H291" s="2" t="n">
        <v>39.5</v>
      </c>
      <c r="I291" s="5" t="n">
        <v>0.0665965360251012</v>
      </c>
      <c r="J291" s="4" t="n">
        <v>354.182594867556</v>
      </c>
      <c r="K291" s="4" t="n">
        <v>0.25</v>
      </c>
      <c r="L291" s="6" t="n">
        <f aca="false">J291/200000</f>
        <v>0.00177091297433778</v>
      </c>
      <c r="P291" s="4" t="n">
        <f aca="false">$Q$2*($Q$3*$G291+$Q$4*$B291^$Q$5*$I291^$Q$6)*$L291^$Q$7</f>
        <v>0.288461246712594</v>
      </c>
      <c r="Q291" s="4" t="n">
        <f aca="false">P291/$K291</f>
        <v>1.15384498685037</v>
      </c>
      <c r="S291" s="4" t="n">
        <f aca="false">$T$2*$B291^$T$3*$L291^$T$4*($T$5*$I291^$T$6+$T$7)</f>
        <v>0.285202315515714</v>
      </c>
      <c r="T291" s="4" t="n">
        <f aca="false">S291/$K291</f>
        <v>1.14080926206285</v>
      </c>
      <c r="V291" s="4"/>
      <c r="W291" s="4"/>
    </row>
    <row r="292" customFormat="false" ht="14.25" hidden="false" customHeight="false" outlineLevel="0" collapsed="false">
      <c r="B292" s="2" t="n">
        <v>19.1</v>
      </c>
      <c r="C292" s="3" t="n">
        <v>392</v>
      </c>
      <c r="D292" s="3" t="n">
        <v>2</v>
      </c>
      <c r="E292" s="2" t="n">
        <v>40</v>
      </c>
      <c r="F292" s="4" t="n">
        <v>3.35387948274239</v>
      </c>
      <c r="G292" s="2" t="n">
        <v>30</v>
      </c>
      <c r="H292" s="2" t="n">
        <v>39.5</v>
      </c>
      <c r="I292" s="5" t="n">
        <v>0.0665965360251012</v>
      </c>
      <c r="J292" s="4" t="n">
        <v>380.024555917045</v>
      </c>
      <c r="K292" s="4" t="n">
        <v>0.27</v>
      </c>
      <c r="L292" s="6" t="n">
        <f aca="false">J292/200000</f>
        <v>0.00190012277958522</v>
      </c>
      <c r="P292" s="4" t="n">
        <f aca="false">$Q$2*($Q$3*$G292+$Q$4*$B292^$Q$5*$I292^$Q$6)*$L292^$Q$7</f>
        <v>0.305997050886545</v>
      </c>
      <c r="Q292" s="4" t="n">
        <f aca="false">P292/$K292</f>
        <v>1.13332241069091</v>
      </c>
      <c r="S292" s="4" t="n">
        <f aca="false">$T$2*$B292^$T$3*$L292^$T$4*($T$5*$I292^$T$6+$T$7)</f>
        <v>0.302881092406865</v>
      </c>
      <c r="T292" s="4" t="n">
        <f aca="false">S292/$K292</f>
        <v>1.12178182372913</v>
      </c>
      <c r="V292" s="4"/>
      <c r="W292" s="4"/>
    </row>
    <row r="293" customFormat="false" ht="14.25" hidden="false" customHeight="false" outlineLevel="0" collapsed="false">
      <c r="A293" s="1" t="s">
        <v>86</v>
      </c>
      <c r="B293" s="2" t="n">
        <v>19.1</v>
      </c>
      <c r="C293" s="3" t="n">
        <v>392</v>
      </c>
      <c r="D293" s="3" t="n">
        <v>2</v>
      </c>
      <c r="E293" s="2" t="n">
        <v>40</v>
      </c>
      <c r="F293" s="4" t="n">
        <v>3.35387948274239</v>
      </c>
      <c r="G293" s="2" t="n">
        <v>30</v>
      </c>
      <c r="H293" s="2" t="n">
        <v>39.5</v>
      </c>
      <c r="I293" s="5" t="n">
        <v>0.0665965360251012</v>
      </c>
      <c r="J293" s="4" t="n">
        <v>269.470467718547</v>
      </c>
      <c r="K293" s="4" t="n">
        <v>0.18</v>
      </c>
      <c r="L293" s="6" t="n">
        <f aca="false">J293/200000</f>
        <v>0.00134735233859274</v>
      </c>
      <c r="P293" s="4" t="n">
        <f aca="false">$Q$2*($Q$3*$G293+$Q$4*$B293^$Q$5*$I293^$Q$6)*$L293^$Q$7</f>
        <v>0.229405293665764</v>
      </c>
      <c r="Q293" s="4" t="n">
        <f aca="false">P293/$K293</f>
        <v>1.27447385369869</v>
      </c>
      <c r="S293" s="4" t="n">
        <f aca="false">$T$2*$B293^$T$3*$L293^$T$4*($T$5*$I293^$T$6+$T$7)</f>
        <v>0.225823716038063</v>
      </c>
      <c r="T293" s="4" t="n">
        <f aca="false">S293/$K293</f>
        <v>1.25457620021146</v>
      </c>
      <c r="V293" s="4"/>
      <c r="W293" s="4"/>
    </row>
    <row r="294" customFormat="false" ht="14.25" hidden="false" customHeight="false" outlineLevel="0" collapsed="false">
      <c r="B294" s="2" t="n">
        <v>19.1</v>
      </c>
      <c r="C294" s="3" t="n">
        <v>392</v>
      </c>
      <c r="D294" s="3" t="n">
        <v>2</v>
      </c>
      <c r="E294" s="2" t="n">
        <v>40</v>
      </c>
      <c r="F294" s="4" t="n">
        <v>3.35387948274239</v>
      </c>
      <c r="G294" s="2" t="n">
        <v>30</v>
      </c>
      <c r="H294" s="2" t="n">
        <v>39.5</v>
      </c>
      <c r="I294" s="5" t="n">
        <v>0.0665965360251012</v>
      </c>
      <c r="J294" s="4" t="n">
        <v>310.740478380885</v>
      </c>
      <c r="K294" s="4" t="n">
        <v>0.19</v>
      </c>
      <c r="L294" s="6" t="n">
        <f aca="false">J294/200000</f>
        <v>0.00155370239190442</v>
      </c>
      <c r="P294" s="4" t="n">
        <f aca="false">$Q$2*($Q$3*$G294+$Q$4*$B294^$Q$5*$I294^$Q$6)*$L294^$Q$7</f>
        <v>0.258502323602783</v>
      </c>
      <c r="Q294" s="4" t="n">
        <f aca="false">P294/$K294</f>
        <v>1.36053854527781</v>
      </c>
      <c r="S294" s="4" t="n">
        <f aca="false">$T$2*$B294^$T$3*$L294^$T$4*($T$5*$I294^$T$6+$T$7)</f>
        <v>0.255047312735979</v>
      </c>
      <c r="T294" s="4" t="n">
        <f aca="false">S294/$K294</f>
        <v>1.34235427755779</v>
      </c>
      <c r="V294" s="4"/>
      <c r="W294" s="4"/>
    </row>
    <row r="295" customFormat="false" ht="14.25" hidden="false" customHeight="false" outlineLevel="0" collapsed="false">
      <c r="B295" s="2" t="n">
        <v>19.1</v>
      </c>
      <c r="C295" s="3" t="n">
        <v>392</v>
      </c>
      <c r="D295" s="3" t="n">
        <v>2</v>
      </c>
      <c r="E295" s="2" t="n">
        <v>40</v>
      </c>
      <c r="F295" s="4" t="n">
        <v>3.35387948274239</v>
      </c>
      <c r="G295" s="2" t="n">
        <v>30</v>
      </c>
      <c r="H295" s="2" t="n">
        <v>39.5</v>
      </c>
      <c r="I295" s="5" t="n">
        <v>0.0665965360251012</v>
      </c>
      <c r="J295" s="4" t="n">
        <v>354.182594867556</v>
      </c>
      <c r="K295" s="4" t="n">
        <v>0.21</v>
      </c>
      <c r="L295" s="6" t="n">
        <f aca="false">J295/200000</f>
        <v>0.00177091297433778</v>
      </c>
      <c r="P295" s="4" t="n">
        <f aca="false">$Q$2*($Q$3*$G295+$Q$4*$B295^$Q$5*$I295^$Q$6)*$L295^$Q$7</f>
        <v>0.288461246712594</v>
      </c>
      <c r="Q295" s="4" t="n">
        <f aca="false">P295/$K295</f>
        <v>1.37362498434568</v>
      </c>
      <c r="S295" s="4" t="n">
        <f aca="false">$T$2*$B295^$T$3*$L295^$T$4*($T$5*$I295^$T$6+$T$7)</f>
        <v>0.285202315515714</v>
      </c>
      <c r="T295" s="4" t="n">
        <f aca="false">S295/$K295</f>
        <v>1.35810626436054</v>
      </c>
      <c r="V295" s="4"/>
      <c r="W295" s="4"/>
    </row>
    <row r="296" customFormat="false" ht="14.25" hidden="false" customHeight="false" outlineLevel="0" collapsed="false">
      <c r="B296" s="2" t="n">
        <v>19.1</v>
      </c>
      <c r="C296" s="3" t="n">
        <v>392</v>
      </c>
      <c r="D296" s="3" t="n">
        <v>2</v>
      </c>
      <c r="E296" s="2" t="n">
        <v>40</v>
      </c>
      <c r="F296" s="4" t="n">
        <v>3.35387948274239</v>
      </c>
      <c r="G296" s="2" t="n">
        <v>30</v>
      </c>
      <c r="H296" s="2" t="n">
        <v>39.5</v>
      </c>
      <c r="I296" s="5" t="n">
        <v>0.0665965360251012</v>
      </c>
      <c r="J296" s="4" t="n">
        <v>380.024555917045</v>
      </c>
      <c r="K296" s="4" t="n">
        <v>0.26</v>
      </c>
      <c r="L296" s="6" t="n">
        <f aca="false">J296/200000</f>
        <v>0.00190012277958522</v>
      </c>
      <c r="P296" s="4" t="n">
        <f aca="false">$Q$2*($Q$3*$G296+$Q$4*$B296^$Q$5*$I296^$Q$6)*$L296^$Q$7</f>
        <v>0.305997050886545</v>
      </c>
      <c r="Q296" s="4" t="n">
        <f aca="false">P296/$K296</f>
        <v>1.17691173417902</v>
      </c>
      <c r="S296" s="4" t="n">
        <f aca="false">$T$2*$B296^$T$3*$L296^$T$4*($T$5*$I296^$T$6+$T$7)</f>
        <v>0.302881092406865</v>
      </c>
      <c r="T296" s="4" t="n">
        <f aca="false">S296/$K296</f>
        <v>1.16492727848794</v>
      </c>
      <c r="V296" s="4"/>
      <c r="W296" s="4"/>
    </row>
    <row r="297" customFormat="false" ht="14.25" hidden="false" customHeight="false" outlineLevel="0" collapsed="false">
      <c r="A297" s="1" t="s">
        <v>87</v>
      </c>
      <c r="B297" s="2" t="n">
        <v>19.1</v>
      </c>
      <c r="C297" s="3" t="n">
        <v>276</v>
      </c>
      <c r="D297" s="3" t="n">
        <v>2</v>
      </c>
      <c r="E297" s="2" t="n">
        <v>69.8</v>
      </c>
      <c r="F297" s="4" t="n">
        <v>2.90032882517908</v>
      </c>
      <c r="G297" s="2" t="n">
        <v>31.8</v>
      </c>
      <c r="H297" s="2" t="n">
        <v>41.4</v>
      </c>
      <c r="I297" s="5" t="n">
        <v>0.0406514436897205</v>
      </c>
      <c r="J297" s="4" t="n">
        <v>151.461875554264</v>
      </c>
      <c r="K297" s="4" t="n">
        <v>0.17</v>
      </c>
      <c r="L297" s="6" t="n">
        <f aca="false">J297/200000</f>
        <v>0.000757309377771321</v>
      </c>
      <c r="P297" s="4" t="n">
        <f aca="false">$Q$2*($Q$3*$G297+$Q$4*$B297^$Q$5*$I297^$Q$6)*$L297^$Q$7</f>
        <v>0.180436376301844</v>
      </c>
      <c r="Q297" s="4" t="n">
        <f aca="false">P297/$K297</f>
        <v>1.06139044883438</v>
      </c>
      <c r="S297" s="4" t="n">
        <f aca="false">$T$2*$B297^$T$3*$L297^$T$4*($T$5*$I297^$T$6+$T$7)</f>
        <v>0.174004210088776</v>
      </c>
      <c r="T297" s="4" t="n">
        <f aca="false">S297/$K297</f>
        <v>1.0235541769928</v>
      </c>
      <c r="V297" s="4"/>
      <c r="W297" s="4"/>
    </row>
    <row r="298" customFormat="false" ht="14.25" hidden="false" customHeight="false" outlineLevel="0" collapsed="false">
      <c r="B298" s="2" t="n">
        <v>19.1</v>
      </c>
      <c r="C298" s="3" t="n">
        <v>276</v>
      </c>
      <c r="D298" s="3" t="n">
        <v>2</v>
      </c>
      <c r="E298" s="2" t="n">
        <v>69.8</v>
      </c>
      <c r="F298" s="4" t="n">
        <v>2.90032882517908</v>
      </c>
      <c r="G298" s="2" t="n">
        <v>31.8</v>
      </c>
      <c r="H298" s="2" t="n">
        <v>41.4</v>
      </c>
      <c r="I298" s="5" t="n">
        <v>0.0406514436897205</v>
      </c>
      <c r="J298" s="4" t="n">
        <v>200.801083790183</v>
      </c>
      <c r="K298" s="4" t="n">
        <v>0.23</v>
      </c>
      <c r="L298" s="6" t="n">
        <f aca="false">J298/200000</f>
        <v>0.00100400541895091</v>
      </c>
      <c r="P298" s="4" t="n">
        <f aca="false">$Q$2*($Q$3*$G298+$Q$4*$B298^$Q$5*$I298^$Q$6)*$L298^$Q$7</f>
        <v>0.228532440621733</v>
      </c>
      <c r="Q298" s="4" t="n">
        <f aca="false">P298/$K298</f>
        <v>0.993619307051011</v>
      </c>
      <c r="S298" s="4" t="n">
        <f aca="false">$T$2*$B298^$T$3*$L298^$T$4*($T$5*$I298^$T$6+$T$7)</f>
        <v>0.221382313181105</v>
      </c>
      <c r="T298" s="4" t="n">
        <f aca="false">S298/$K298</f>
        <v>0.962531796439589</v>
      </c>
      <c r="V298" s="4"/>
      <c r="W298" s="4"/>
    </row>
    <row r="299" customFormat="false" ht="14.25" hidden="false" customHeight="false" outlineLevel="0" collapsed="false">
      <c r="B299" s="2" t="n">
        <v>19.1</v>
      </c>
      <c r="C299" s="3" t="n">
        <v>276</v>
      </c>
      <c r="D299" s="3" t="n">
        <v>2</v>
      </c>
      <c r="E299" s="2" t="n">
        <v>69.8</v>
      </c>
      <c r="F299" s="4" t="n">
        <v>2.90032882517908</v>
      </c>
      <c r="G299" s="2" t="n">
        <v>31.8</v>
      </c>
      <c r="H299" s="2" t="n">
        <v>41.4</v>
      </c>
      <c r="I299" s="5" t="n">
        <v>0.0406514436897205</v>
      </c>
      <c r="J299" s="4" t="n">
        <v>238.033295477176</v>
      </c>
      <c r="K299" s="4" t="n">
        <v>0.27</v>
      </c>
      <c r="L299" s="6" t="n">
        <f aca="false">J299/200000</f>
        <v>0.00119016647738588</v>
      </c>
      <c r="P299" s="4" t="n">
        <f aca="false">$Q$2*($Q$3*$G299+$Q$4*$B299^$Q$5*$I299^$Q$6)*$L299^$Q$7</f>
        <v>0.263543498055697</v>
      </c>
      <c r="Q299" s="4" t="n">
        <f aca="false">P299/$K299</f>
        <v>0.976087029835913</v>
      </c>
      <c r="S299" s="4" t="n">
        <f aca="false">$T$2*$B299^$T$3*$L299^$T$4*($T$5*$I299^$T$6+$T$7)</f>
        <v>0.255993722643339</v>
      </c>
      <c r="T299" s="4" t="n">
        <f aca="false">S299/$K299</f>
        <v>0.948124898679032</v>
      </c>
      <c r="V299" s="4"/>
      <c r="W299" s="4"/>
    </row>
    <row r="300" customFormat="false" ht="14.25" hidden="false" customHeight="false" outlineLevel="0" collapsed="false">
      <c r="A300" s="1" t="s">
        <v>88</v>
      </c>
      <c r="B300" s="2" t="n">
        <v>19.1</v>
      </c>
      <c r="C300" s="3" t="n">
        <v>276</v>
      </c>
      <c r="D300" s="3" t="n">
        <v>2</v>
      </c>
      <c r="E300" s="2" t="n">
        <v>69.8</v>
      </c>
      <c r="F300" s="4" t="n">
        <v>2.84669189571421</v>
      </c>
      <c r="G300" s="2" t="n">
        <v>31.8</v>
      </c>
      <c r="H300" s="2" t="n">
        <v>41.4</v>
      </c>
      <c r="I300" s="5" t="n">
        <v>0.040711184462322</v>
      </c>
      <c r="J300" s="4" t="n">
        <v>238.702665173241</v>
      </c>
      <c r="K300" s="4" t="n">
        <v>0.16</v>
      </c>
      <c r="L300" s="6" t="n">
        <f aca="false">J300/200000</f>
        <v>0.00119351332586621</v>
      </c>
      <c r="P300" s="4" t="n">
        <f aca="false">$Q$2*($Q$3*$G300+$Q$4*$B300^$Q$5*$I300^$Q$6)*$L300^$Q$7</f>
        <v>0.263974009632055</v>
      </c>
      <c r="Q300" s="4" t="n">
        <f aca="false">P300/$K300</f>
        <v>1.64983756020034</v>
      </c>
      <c r="S300" s="4" t="n">
        <f aca="false">$T$2*$B300^$T$3*$L300^$T$4*($T$5*$I300^$T$6+$T$7)</f>
        <v>0.25642260256059</v>
      </c>
      <c r="T300" s="4" t="n">
        <f aca="false">S300/$K300</f>
        <v>1.60264126600369</v>
      </c>
      <c r="V300" s="4"/>
      <c r="W300" s="4"/>
    </row>
    <row r="301" customFormat="false" ht="14.25" hidden="false" customHeight="false" outlineLevel="0" collapsed="false">
      <c r="A301" s="1" t="s">
        <v>89</v>
      </c>
      <c r="B301" s="2" t="n">
        <v>19.1</v>
      </c>
      <c r="C301" s="3" t="n">
        <v>276</v>
      </c>
      <c r="D301" s="3" t="n">
        <v>2</v>
      </c>
      <c r="E301" s="2" t="n">
        <v>69.8</v>
      </c>
      <c r="F301" s="4" t="n">
        <v>2.71132147348833</v>
      </c>
      <c r="G301" s="2" t="n">
        <v>38.2</v>
      </c>
      <c r="H301" s="2" t="n">
        <v>47.7</v>
      </c>
      <c r="I301" s="5" t="n">
        <v>0.0406919089819377</v>
      </c>
      <c r="J301" s="4" t="n">
        <v>209.57139801392</v>
      </c>
      <c r="K301" s="4" t="n">
        <v>0.16</v>
      </c>
      <c r="L301" s="6" t="n">
        <f aca="false">J301/200000</f>
        <v>0.0010478569900696</v>
      </c>
      <c r="P301" s="4" t="n">
        <f aca="false">$Q$2*($Q$3*$G301+$Q$4*$B301^$Q$5*$I301^$Q$6)*$L301^$Q$7</f>
        <v>0.237139551697724</v>
      </c>
      <c r="Q301" s="4" t="n">
        <f aca="false">P301/$K301</f>
        <v>1.48212219811078</v>
      </c>
      <c r="S301" s="4" t="n">
        <f aca="false">$T$2*$B301^$T$3*$L301^$T$4*($T$5*$I301^$T$6+$T$7)</f>
        <v>0.229501301423245</v>
      </c>
      <c r="T301" s="4" t="n">
        <f aca="false">S301/$K301</f>
        <v>1.43438313389528</v>
      </c>
      <c r="V301" s="4"/>
      <c r="W301" s="4"/>
    </row>
    <row r="302" customFormat="false" ht="14.25" hidden="false" customHeight="false" outlineLevel="0" collapsed="false">
      <c r="B302" s="2" t="n">
        <v>19.1</v>
      </c>
      <c r="C302" s="3" t="n">
        <v>276</v>
      </c>
      <c r="D302" s="3" t="n">
        <v>2</v>
      </c>
      <c r="E302" s="2" t="n">
        <v>69.8</v>
      </c>
      <c r="F302" s="4" t="n">
        <v>2.71132147348833</v>
      </c>
      <c r="G302" s="2" t="n">
        <v>38.2</v>
      </c>
      <c r="H302" s="2" t="n">
        <v>47.7</v>
      </c>
      <c r="I302" s="5" t="n">
        <v>0.0406919089819377</v>
      </c>
      <c r="J302" s="4" t="n">
        <v>240.271088487698</v>
      </c>
      <c r="K302" s="4" t="n">
        <v>0.2</v>
      </c>
      <c r="L302" s="6" t="n">
        <f aca="false">J302/200000</f>
        <v>0.00120135544243849</v>
      </c>
      <c r="P302" s="4" t="n">
        <f aca="false">$Q$2*($Q$3*$G302+$Q$4*$B302^$Q$5*$I302^$Q$6)*$L302^$Q$7</f>
        <v>0.265922839811465</v>
      </c>
      <c r="Q302" s="4" t="n">
        <f aca="false">P302/$K302</f>
        <v>1.32961419905732</v>
      </c>
      <c r="S302" s="4" t="n">
        <f aca="false">$T$2*$B302^$T$3*$L302^$T$4*($T$5*$I302^$T$6+$T$7)</f>
        <v>0.257921003696149</v>
      </c>
      <c r="T302" s="4" t="n">
        <f aca="false">S302/$K302</f>
        <v>1.28960501848074</v>
      </c>
      <c r="V302" s="4"/>
      <c r="W302" s="4"/>
    </row>
    <row r="303" customFormat="false" ht="14.25" hidden="false" customHeight="false" outlineLevel="0" collapsed="false">
      <c r="A303" s="1" t="s">
        <v>90</v>
      </c>
      <c r="B303" s="2" t="n">
        <v>22.2</v>
      </c>
      <c r="C303" s="3" t="n">
        <v>276</v>
      </c>
      <c r="D303" s="3" t="n">
        <v>2</v>
      </c>
      <c r="E303" s="2" t="n">
        <v>63.6</v>
      </c>
      <c r="F303" s="4" t="n">
        <v>2.68798662700617</v>
      </c>
      <c r="G303" s="2" t="n">
        <v>12.8</v>
      </c>
      <c r="H303" s="2" t="n">
        <v>23.9</v>
      </c>
      <c r="I303" s="5" t="n">
        <v>0.0849998352716371</v>
      </c>
      <c r="J303" s="4" t="n">
        <v>250.005479545304</v>
      </c>
      <c r="K303" s="4" t="n">
        <v>0.17</v>
      </c>
      <c r="L303" s="6" t="n">
        <f aca="false">J303/200000</f>
        <v>0.00125002739772652</v>
      </c>
      <c r="P303" s="4" t="n">
        <f aca="false">$Q$2*($Q$3*$G303+$Q$4*$B303^$Q$5*$I303^$Q$6)*$L303^$Q$7</f>
        <v>0.224040033736978</v>
      </c>
      <c r="Q303" s="4" t="n">
        <f aca="false">P303/$K303</f>
        <v>1.31788255139399</v>
      </c>
      <c r="S303" s="4" t="n">
        <f aca="false">$T$2*$B303^$T$3*$L303^$T$4*($T$5*$I303^$T$6+$T$7)</f>
        <v>0.226680258781117</v>
      </c>
      <c r="T303" s="4" t="n">
        <f aca="false">S303/$K303</f>
        <v>1.33341328694774</v>
      </c>
      <c r="V303" s="4"/>
      <c r="W303" s="4"/>
    </row>
    <row r="304" customFormat="false" ht="14.25" hidden="false" customHeight="false" outlineLevel="0" collapsed="false">
      <c r="A304" s="1" t="s">
        <v>91</v>
      </c>
      <c r="B304" s="2" t="n">
        <v>22.2</v>
      </c>
      <c r="C304" s="3" t="n">
        <v>276</v>
      </c>
      <c r="D304" s="3" t="n">
        <v>2</v>
      </c>
      <c r="E304" s="2" t="n">
        <v>63.6</v>
      </c>
      <c r="F304" s="4" t="n">
        <v>2.38460157103714</v>
      </c>
      <c r="G304" s="2" t="n">
        <v>38</v>
      </c>
      <c r="H304" s="2" t="n">
        <v>49.1</v>
      </c>
      <c r="I304" s="5" t="n">
        <v>0.0590223888904023</v>
      </c>
      <c r="J304" s="4" t="n">
        <v>161.316457978418</v>
      </c>
      <c r="K304" s="4" t="n">
        <v>0.15</v>
      </c>
      <c r="L304" s="6" t="n">
        <f aca="false">J304/200000</f>
        <v>0.000806582289892089</v>
      </c>
      <c r="P304" s="4" t="n">
        <f aca="false">$Q$2*($Q$3*$G304+$Q$4*$B304^$Q$5*$I304^$Q$6)*$L304^$Q$7</f>
        <v>0.187005199311751</v>
      </c>
      <c r="Q304" s="4" t="n">
        <f aca="false">P304/$K304</f>
        <v>1.246701328745</v>
      </c>
      <c r="S304" s="4" t="n">
        <f aca="false">$T$2*$B304^$T$3*$L304^$T$4*($T$5*$I304^$T$6+$T$7)</f>
        <v>0.182821166514755</v>
      </c>
      <c r="T304" s="4" t="n">
        <f aca="false">S304/$K304</f>
        <v>1.21880777676503</v>
      </c>
      <c r="V304" s="4"/>
      <c r="W304" s="4"/>
    </row>
    <row r="305" customFormat="false" ht="14.25" hidden="false" customHeight="false" outlineLevel="0" collapsed="false">
      <c r="B305" s="2" t="n">
        <v>22.2</v>
      </c>
      <c r="C305" s="3" t="n">
        <v>276</v>
      </c>
      <c r="D305" s="3" t="n">
        <v>2</v>
      </c>
      <c r="E305" s="2" t="n">
        <v>63.6</v>
      </c>
      <c r="F305" s="4" t="n">
        <v>2.38460157103714</v>
      </c>
      <c r="G305" s="2" t="n">
        <v>38</v>
      </c>
      <c r="H305" s="2" t="n">
        <v>49.1</v>
      </c>
      <c r="I305" s="5" t="n">
        <v>0.0590223888904023</v>
      </c>
      <c r="J305" s="4" t="n">
        <v>196.993137753028</v>
      </c>
      <c r="K305" s="4" t="n">
        <v>0.19</v>
      </c>
      <c r="L305" s="6" t="n">
        <f aca="false">J305/200000</f>
        <v>0.000984965688765138</v>
      </c>
      <c r="P305" s="4" t="n">
        <f aca="false">$Q$2*($Q$3*$G305+$Q$4*$B305^$Q$5*$I305^$Q$6)*$L305^$Q$7</f>
        <v>0.221089933720688</v>
      </c>
      <c r="Q305" s="4" t="n">
        <f aca="false">P305/$K305</f>
        <v>1.16363123010889</v>
      </c>
      <c r="S305" s="4" t="n">
        <f aca="false">$T$2*$B305^$T$3*$L305^$T$4*($T$5*$I305^$T$6+$T$7)</f>
        <v>0.216835368555943</v>
      </c>
      <c r="T305" s="4" t="n">
        <f aca="false">S305/$K305</f>
        <v>1.14123878187338</v>
      </c>
      <c r="V305" s="4"/>
      <c r="W305" s="4"/>
    </row>
    <row r="306" customFormat="false" ht="14.25" hidden="false" customHeight="false" outlineLevel="0" collapsed="false">
      <c r="B306" s="2" t="n">
        <v>22.2</v>
      </c>
      <c r="C306" s="3" t="n">
        <v>276</v>
      </c>
      <c r="D306" s="3" t="n">
        <v>2</v>
      </c>
      <c r="E306" s="2" t="n">
        <v>63.6</v>
      </c>
      <c r="F306" s="4" t="n">
        <v>2.38460157103714</v>
      </c>
      <c r="G306" s="2" t="n">
        <v>38</v>
      </c>
      <c r="H306" s="2" t="n">
        <v>49.1</v>
      </c>
      <c r="I306" s="5" t="n">
        <v>0.0590223888904023</v>
      </c>
      <c r="J306" s="4" t="n">
        <v>235.059642967085</v>
      </c>
      <c r="K306" s="4" t="n">
        <v>0.22</v>
      </c>
      <c r="L306" s="6" t="n">
        <f aca="false">J306/200000</f>
        <v>0.00117529821483542</v>
      </c>
      <c r="P306" s="4" t="n">
        <f aca="false">$Q$2*($Q$3*$G306+$Q$4*$B306^$Q$5*$I306^$Q$6)*$L306^$Q$7</f>
        <v>0.256369392348274</v>
      </c>
      <c r="Q306" s="4" t="n">
        <f aca="false">P306/$K306</f>
        <v>1.16531541976488</v>
      </c>
      <c r="S306" s="4" t="n">
        <f aca="false">$T$2*$B306^$T$3*$L306^$T$4*($T$5*$I306^$T$6+$T$7)</f>
        <v>0.252147669560436</v>
      </c>
      <c r="T306" s="4" t="n">
        <f aca="false">S306/$K306</f>
        <v>1.14612577072925</v>
      </c>
      <c r="V306" s="4"/>
      <c r="W306" s="4"/>
    </row>
    <row r="307" customFormat="false" ht="14.25" hidden="false" customHeight="false" outlineLevel="0" collapsed="false">
      <c r="B307" s="2" t="n">
        <v>22.2</v>
      </c>
      <c r="C307" s="3" t="n">
        <v>276</v>
      </c>
      <c r="D307" s="3" t="n">
        <v>2</v>
      </c>
      <c r="E307" s="2" t="n">
        <v>63.6</v>
      </c>
      <c r="F307" s="4" t="n">
        <v>2.38460157103714</v>
      </c>
      <c r="G307" s="2" t="n">
        <v>38</v>
      </c>
      <c r="H307" s="2" t="n">
        <v>49.1</v>
      </c>
      <c r="I307" s="5" t="n">
        <v>0.0590223888904023</v>
      </c>
      <c r="J307" s="4" t="n">
        <v>251.743980799446</v>
      </c>
      <c r="K307" s="4" t="n">
        <v>0.27</v>
      </c>
      <c r="L307" s="6" t="n">
        <f aca="false">J307/200000</f>
        <v>0.00125871990399723</v>
      </c>
      <c r="P307" s="4" t="n">
        <f aca="false">$Q$2*($Q$3*$G307+$Q$4*$B307^$Q$5*$I307^$Q$6)*$L307^$Q$7</f>
        <v>0.271533033490142</v>
      </c>
      <c r="Q307" s="4" t="n">
        <f aca="false">P307/$K307</f>
        <v>1.00567790181534</v>
      </c>
      <c r="S307" s="4" t="n">
        <f aca="false">$T$2*$B307^$T$3*$L307^$T$4*($T$5*$I307^$T$6+$T$7)</f>
        <v>0.267354779521246</v>
      </c>
      <c r="T307" s="4" t="n">
        <f aca="false">S307/$K307</f>
        <v>0.990202887115727</v>
      </c>
      <c r="V307" s="4"/>
      <c r="W307" s="4"/>
    </row>
    <row r="308" customFormat="false" ht="14.25" hidden="false" customHeight="false" outlineLevel="0" collapsed="false">
      <c r="A308" s="1" t="s">
        <v>92</v>
      </c>
      <c r="B308" s="2" t="n">
        <v>22.2</v>
      </c>
      <c r="C308" s="3" t="n">
        <v>276</v>
      </c>
      <c r="D308" s="3" t="n">
        <v>2</v>
      </c>
      <c r="E308" s="2" t="n">
        <v>63.6</v>
      </c>
      <c r="F308" s="4" t="n">
        <v>2.86484234762008</v>
      </c>
      <c r="G308" s="2" t="n">
        <v>38</v>
      </c>
      <c r="H308" s="2" t="n">
        <v>49.1</v>
      </c>
      <c r="I308" s="5" t="n">
        <v>0.0580540542064325</v>
      </c>
      <c r="J308" s="4" t="n">
        <v>228.828810435366</v>
      </c>
      <c r="K308" s="4" t="n">
        <v>0.17</v>
      </c>
      <c r="L308" s="6" t="n">
        <f aca="false">J308/200000</f>
        <v>0.00114414405217683</v>
      </c>
      <c r="P308" s="4" t="n">
        <f aca="false">$Q$2*($Q$3*$G308+$Q$4*$B308^$Q$5*$I308^$Q$6)*$L308^$Q$7</f>
        <v>0.252702843329005</v>
      </c>
      <c r="Q308" s="4" t="n">
        <f aca="false">P308/$K308</f>
        <v>1.48648731370003</v>
      </c>
      <c r="S308" s="4" t="n">
        <f aca="false">$T$2*$B308^$T$3*$L308^$T$4*($T$5*$I308^$T$6+$T$7)</f>
        <v>0.24829752830452</v>
      </c>
      <c r="T308" s="4" t="n">
        <f aca="false">S308/$K308</f>
        <v>1.46057369590894</v>
      </c>
      <c r="V308" s="4"/>
      <c r="W308" s="4"/>
    </row>
    <row r="309" customFormat="false" ht="14.25" hidden="false" customHeight="false" outlineLevel="0" collapsed="false">
      <c r="B309" s="2" t="n">
        <v>22.2</v>
      </c>
      <c r="C309" s="3" t="n">
        <v>276</v>
      </c>
      <c r="D309" s="3" t="n">
        <v>2</v>
      </c>
      <c r="E309" s="2" t="n">
        <v>63.6</v>
      </c>
      <c r="F309" s="4" t="n">
        <v>2.86484234762008</v>
      </c>
      <c r="G309" s="2" t="n">
        <v>38</v>
      </c>
      <c r="H309" s="2" t="n">
        <v>49.1</v>
      </c>
      <c r="I309" s="5" t="n">
        <v>0.0580540542064325</v>
      </c>
      <c r="J309" s="4" t="n">
        <v>247.308454379583</v>
      </c>
      <c r="K309" s="4" t="n">
        <v>0.2</v>
      </c>
      <c r="L309" s="6" t="n">
        <f aca="false">J309/200000</f>
        <v>0.00123654227189791</v>
      </c>
      <c r="P309" s="4" t="n">
        <f aca="false">$Q$2*($Q$3*$G309+$Q$4*$B309^$Q$5*$I309^$Q$6)*$L309^$Q$7</f>
        <v>0.269695941226072</v>
      </c>
      <c r="Q309" s="4" t="n">
        <f aca="false">P309/$K309</f>
        <v>1.34847970613036</v>
      </c>
      <c r="S309" s="4" t="n">
        <f aca="false">$T$2*$B309^$T$3*$L309^$T$4*($T$5*$I309^$T$6+$T$7)</f>
        <v>0.265323874510133</v>
      </c>
      <c r="T309" s="4" t="n">
        <f aca="false">S309/$K309</f>
        <v>1.32661937255066</v>
      </c>
      <c r="V309" s="4"/>
      <c r="W309" s="4"/>
    </row>
    <row r="310" customFormat="false" ht="14.25" hidden="false" customHeight="false" outlineLevel="0" collapsed="false">
      <c r="A310" s="1" t="s">
        <v>93</v>
      </c>
      <c r="B310" s="2" t="n">
        <v>22.2</v>
      </c>
      <c r="C310" s="3" t="n">
        <v>276</v>
      </c>
      <c r="D310" s="3" t="n">
        <v>2</v>
      </c>
      <c r="E310" s="2" t="n">
        <v>63.6</v>
      </c>
      <c r="F310" s="4" t="n">
        <v>2.83369179024989</v>
      </c>
      <c r="G310" s="2" t="n">
        <v>38</v>
      </c>
      <c r="H310" s="2" t="n">
        <v>49.1</v>
      </c>
      <c r="I310" s="5" t="n">
        <v>0.0581102395943944</v>
      </c>
      <c r="J310" s="4" t="n">
        <v>154.459326102517</v>
      </c>
      <c r="K310" s="4" t="n">
        <v>0.15</v>
      </c>
      <c r="L310" s="6" t="n">
        <f aca="false">J310/200000</f>
        <v>0.000772296630512587</v>
      </c>
      <c r="P310" s="4" t="n">
        <f aca="false">$Q$2*($Q$3*$G310+$Q$4*$B310^$Q$5*$I310^$Q$6)*$L310^$Q$7</f>
        <v>0.181702326352033</v>
      </c>
      <c r="Q310" s="4" t="n">
        <f aca="false">P310/$K310</f>
        <v>1.21134884234688</v>
      </c>
      <c r="S310" s="4" t="n">
        <f aca="false">$T$2*$B310^$T$3*$L310^$T$4*($T$5*$I310^$T$6+$T$7)</f>
        <v>0.177421113646172</v>
      </c>
      <c r="T310" s="4" t="n">
        <f aca="false">S310/$K310</f>
        <v>1.18280742430781</v>
      </c>
      <c r="V310" s="4"/>
      <c r="W310" s="4"/>
    </row>
    <row r="311" customFormat="false" ht="14.25" hidden="false" customHeight="false" outlineLevel="0" collapsed="false">
      <c r="B311" s="2" t="n">
        <v>22.2</v>
      </c>
      <c r="C311" s="3" t="n">
        <v>276</v>
      </c>
      <c r="D311" s="3" t="n">
        <v>2</v>
      </c>
      <c r="E311" s="2" t="n">
        <v>63.6</v>
      </c>
      <c r="F311" s="4" t="n">
        <v>2.83369179024989</v>
      </c>
      <c r="G311" s="2" t="n">
        <v>38</v>
      </c>
      <c r="H311" s="2" t="n">
        <v>49.1</v>
      </c>
      <c r="I311" s="5" t="n">
        <v>0.0581102395943944</v>
      </c>
      <c r="J311" s="4" t="n">
        <v>190.630795737687</v>
      </c>
      <c r="K311" s="4" t="n">
        <v>0.18</v>
      </c>
      <c r="L311" s="6" t="n">
        <f aca="false">J311/200000</f>
        <v>0.000953153978688434</v>
      </c>
      <c r="P311" s="4" t="n">
        <f aca="false">$Q$2*($Q$3*$G311+$Q$4*$B311^$Q$5*$I311^$Q$6)*$L311^$Q$7</f>
        <v>0.216738481753678</v>
      </c>
      <c r="Q311" s="4" t="n">
        <f aca="false">P311/$K311</f>
        <v>1.20410267640932</v>
      </c>
      <c r="S311" s="4" t="n">
        <f aca="false">$T$2*$B311^$T$3*$L311^$T$4*($T$5*$I311^$T$6+$T$7)</f>
        <v>0.21234542224764</v>
      </c>
      <c r="T311" s="4" t="n">
        <f aca="false">S311/$K311</f>
        <v>1.17969679026467</v>
      </c>
      <c r="V311" s="4"/>
      <c r="W311" s="4"/>
    </row>
    <row r="312" customFormat="false" ht="14.25" hidden="false" customHeight="false" outlineLevel="0" collapsed="false">
      <c r="B312" s="2" t="n">
        <v>22.2</v>
      </c>
      <c r="C312" s="3" t="n">
        <v>276</v>
      </c>
      <c r="D312" s="3" t="n">
        <v>2</v>
      </c>
      <c r="E312" s="2" t="n">
        <v>63.6</v>
      </c>
      <c r="F312" s="4" t="n">
        <v>2.83369179024989</v>
      </c>
      <c r="G312" s="2" t="n">
        <v>38</v>
      </c>
      <c r="H312" s="2" t="n">
        <v>49.1</v>
      </c>
      <c r="I312" s="5" t="n">
        <v>0.0581102395943944</v>
      </c>
      <c r="J312" s="4" t="n">
        <v>229.225234630714</v>
      </c>
      <c r="K312" s="4" t="n">
        <v>0.22</v>
      </c>
      <c r="L312" s="6" t="n">
        <f aca="false">J312/200000</f>
        <v>0.00114612617315357</v>
      </c>
      <c r="P312" s="4" t="n">
        <f aca="false">$Q$2*($Q$3*$G312+$Q$4*$B312^$Q$5*$I312^$Q$6)*$L312^$Q$7</f>
        <v>0.252949691964748</v>
      </c>
      <c r="Q312" s="4" t="n">
        <f aca="false">P312/$K312</f>
        <v>1.14977132711249</v>
      </c>
      <c r="S312" s="4" t="n">
        <f aca="false">$T$2*$B312^$T$3*$L312^$T$4*($T$5*$I312^$T$6+$T$7)</f>
        <v>0.248554792151948</v>
      </c>
      <c r="T312" s="4" t="n">
        <f aca="false">S312/$K312</f>
        <v>1.12979450978158</v>
      </c>
      <c r="V312" s="4"/>
      <c r="W312" s="4"/>
    </row>
    <row r="313" customFormat="false" ht="14.25" hidden="false" customHeight="false" outlineLevel="0" collapsed="false">
      <c r="B313" s="2" t="n">
        <v>22.2</v>
      </c>
      <c r="C313" s="3" t="n">
        <v>276</v>
      </c>
      <c r="D313" s="3" t="n">
        <v>2</v>
      </c>
      <c r="E313" s="2" t="n">
        <v>63.6</v>
      </c>
      <c r="F313" s="4" t="n">
        <v>2.83369179024989</v>
      </c>
      <c r="G313" s="2" t="n">
        <v>38</v>
      </c>
      <c r="H313" s="2" t="n">
        <v>49.1</v>
      </c>
      <c r="I313" s="5" t="n">
        <v>0.0581102395943944</v>
      </c>
      <c r="J313" s="4" t="n">
        <v>247.59579686336</v>
      </c>
      <c r="K313" s="4" t="n">
        <v>0.25</v>
      </c>
      <c r="L313" s="6" t="n">
        <f aca="false">J313/200000</f>
        <v>0.0012379789843168</v>
      </c>
      <c r="P313" s="4" t="n">
        <f aca="false">$Q$2*($Q$3*$G313+$Q$4*$B313^$Q$5*$I313^$Q$6)*$L313^$Q$7</f>
        <v>0.26983053872607</v>
      </c>
      <c r="Q313" s="4" t="n">
        <f aca="false">P313/$K313</f>
        <v>1.07932215490428</v>
      </c>
      <c r="S313" s="4" t="n">
        <f aca="false">$T$2*$B313^$T$3*$L313^$T$4*($T$5*$I313^$T$6+$T$7)</f>
        <v>0.265469590455407</v>
      </c>
      <c r="T313" s="4" t="n">
        <f aca="false">S313/$K313</f>
        <v>1.06187836182163</v>
      </c>
      <c r="V313" s="4"/>
      <c r="W313" s="4"/>
    </row>
    <row r="314" customFormat="false" ht="14.25" hidden="false" customHeight="false" outlineLevel="0" collapsed="false">
      <c r="A314" s="1" t="s">
        <v>94</v>
      </c>
      <c r="B314" s="2" t="n">
        <v>22.2</v>
      </c>
      <c r="C314" s="3" t="n">
        <v>276</v>
      </c>
      <c r="D314" s="3" t="n">
        <v>2</v>
      </c>
      <c r="E314" s="2" t="n">
        <v>63.6</v>
      </c>
      <c r="F314" s="4" t="n">
        <v>2.75637342683892</v>
      </c>
      <c r="G314" s="2" t="n">
        <v>38</v>
      </c>
      <c r="H314" s="2" t="n">
        <v>49.1</v>
      </c>
      <c r="I314" s="5" t="n">
        <v>0.0582532535562727</v>
      </c>
      <c r="J314" s="4" t="n">
        <v>155.627184524337</v>
      </c>
      <c r="K314" s="4" t="n">
        <v>0.2</v>
      </c>
      <c r="L314" s="6" t="n">
        <f aca="false">J314/200000</f>
        <v>0.000778135922621683</v>
      </c>
      <c r="P314" s="4" t="n">
        <f aca="false">$Q$2*($Q$3*$G314+$Q$4*$B314^$Q$5*$I314^$Q$6)*$L314^$Q$7</f>
        <v>0.182632732992895</v>
      </c>
      <c r="Q314" s="4" t="n">
        <f aca="false">P314/$K314</f>
        <v>0.913163664964475</v>
      </c>
      <c r="S314" s="4" t="n">
        <f aca="false">$T$2*$B314^$T$3*$L314^$T$4*($T$5*$I314^$T$6+$T$7)</f>
        <v>0.178365455555104</v>
      </c>
      <c r="T314" s="4" t="n">
        <f aca="false">S314/$K314</f>
        <v>0.891827277775521</v>
      </c>
      <c r="V314" s="4"/>
      <c r="W314" s="4"/>
    </row>
    <row r="315" customFormat="false" ht="14.25" hidden="false" customHeight="false" outlineLevel="0" collapsed="false">
      <c r="B315" s="2" t="n">
        <v>22.2</v>
      </c>
      <c r="C315" s="3" t="n">
        <v>276</v>
      </c>
      <c r="D315" s="3" t="n">
        <v>2</v>
      </c>
      <c r="E315" s="2" t="n">
        <v>63.6</v>
      </c>
      <c r="F315" s="4" t="n">
        <v>2.75637342683892</v>
      </c>
      <c r="G315" s="2" t="n">
        <v>38</v>
      </c>
      <c r="H315" s="2" t="n">
        <v>49.1</v>
      </c>
      <c r="I315" s="5" t="n">
        <v>0.0582532535562727</v>
      </c>
      <c r="J315" s="4" t="n">
        <v>191.711697094685</v>
      </c>
      <c r="K315" s="4" t="n">
        <v>0.25</v>
      </c>
      <c r="L315" s="6" t="n">
        <f aca="false">J315/200000</f>
        <v>0.000958558485473427</v>
      </c>
      <c r="P315" s="4" t="n">
        <f aca="false">$Q$2*($Q$3*$G315+$Q$4*$B315^$Q$5*$I315^$Q$6)*$L315^$Q$7</f>
        <v>0.217505647958834</v>
      </c>
      <c r="Q315" s="4" t="n">
        <f aca="false">P315/$K315</f>
        <v>0.870022591835335</v>
      </c>
      <c r="S315" s="4" t="n">
        <f aca="false">$T$2*$B315^$T$3*$L315^$T$4*($T$5*$I315^$T$6+$T$7)</f>
        <v>0.213133481147161</v>
      </c>
      <c r="T315" s="4" t="n">
        <f aca="false">S315/$K315</f>
        <v>0.852533924588642</v>
      </c>
      <c r="V315" s="4"/>
      <c r="W315" s="4"/>
    </row>
    <row r="316" customFormat="false" ht="14.25" hidden="false" customHeight="false" outlineLevel="0" collapsed="false">
      <c r="B316" s="2" t="n">
        <v>22.2</v>
      </c>
      <c r="C316" s="3" t="n">
        <v>276</v>
      </c>
      <c r="D316" s="3" t="n">
        <v>2</v>
      </c>
      <c r="E316" s="2" t="n">
        <v>63.6</v>
      </c>
      <c r="F316" s="4" t="n">
        <v>2.75637342683892</v>
      </c>
      <c r="G316" s="2" t="n">
        <v>38</v>
      </c>
      <c r="H316" s="2" t="n">
        <v>49.1</v>
      </c>
      <c r="I316" s="5" t="n">
        <v>0.0582532535562727</v>
      </c>
      <c r="J316" s="4" t="n">
        <v>230.213354047737</v>
      </c>
      <c r="K316" s="4" t="n">
        <v>0.3</v>
      </c>
      <c r="L316" s="6" t="n">
        <f aca="false">J316/200000</f>
        <v>0.00115106677023869</v>
      </c>
      <c r="P316" s="4" t="n">
        <f aca="false">$Q$2*($Q$3*$G316+$Q$4*$B316^$Q$5*$I316^$Q$6)*$L316^$Q$7</f>
        <v>0.253557447619385</v>
      </c>
      <c r="Q316" s="4" t="n">
        <f aca="false">P316/$K316</f>
        <v>0.845191492064618</v>
      </c>
      <c r="S316" s="4" t="n">
        <f aca="false">$T$2*$B316^$T$3*$L316^$T$4*($T$5*$I316^$T$6+$T$7)</f>
        <v>0.249189203237168</v>
      </c>
      <c r="T316" s="4" t="n">
        <f aca="false">S316/$K316</f>
        <v>0.830630677457226</v>
      </c>
      <c r="V316" s="4"/>
      <c r="W316" s="4"/>
    </row>
    <row r="317" customFormat="false" ht="14.25" hidden="false" customHeight="false" outlineLevel="0" collapsed="false">
      <c r="B317" s="2" t="n">
        <v>22.2</v>
      </c>
      <c r="C317" s="3" t="n">
        <v>276</v>
      </c>
      <c r="D317" s="3" t="n">
        <v>2</v>
      </c>
      <c r="E317" s="2" t="n">
        <v>63.6</v>
      </c>
      <c r="F317" s="4" t="n">
        <v>2.75637342683892</v>
      </c>
      <c r="G317" s="2" t="n">
        <v>38</v>
      </c>
      <c r="H317" s="2" t="n">
        <v>49.1</v>
      </c>
      <c r="I317" s="5" t="n">
        <v>0.0582532535562727</v>
      </c>
      <c r="J317" s="4" t="n">
        <v>248.309196586263</v>
      </c>
      <c r="K317" s="4" t="n">
        <v>0.35</v>
      </c>
      <c r="L317" s="6" t="n">
        <f aca="false">J317/200000</f>
        <v>0.00124154598293131</v>
      </c>
      <c r="P317" s="4" t="n">
        <f aca="false">$Q$2*($Q$3*$G317+$Q$4*$B317^$Q$5*$I317^$Q$6)*$L317^$Q$7</f>
        <v>0.270156220889472</v>
      </c>
      <c r="Q317" s="4" t="n">
        <f aca="false">P317/$K317</f>
        <v>0.771874916827061</v>
      </c>
      <c r="S317" s="4" t="n">
        <f aca="false">$T$2*$B317^$T$3*$L317^$T$4*($T$5*$I317^$T$6+$T$7)</f>
        <v>0.265823651398427</v>
      </c>
      <c r="T317" s="4" t="n">
        <f aca="false">S317/$K317</f>
        <v>0.759496146852649</v>
      </c>
      <c r="V317" s="4"/>
      <c r="W317" s="4"/>
    </row>
    <row r="318" customFormat="false" ht="14.25" hidden="false" customHeight="false" outlineLevel="0" collapsed="false">
      <c r="A318" s="1" t="s">
        <v>95</v>
      </c>
      <c r="B318" s="2" t="n">
        <v>28.7</v>
      </c>
      <c r="C318" s="3" t="n">
        <v>276</v>
      </c>
      <c r="D318" s="3" t="n">
        <v>2</v>
      </c>
      <c r="E318" s="2" t="n">
        <v>50.6</v>
      </c>
      <c r="F318" s="4" t="n">
        <v>2.77481740215607</v>
      </c>
      <c r="G318" s="2" t="n">
        <v>22.2</v>
      </c>
      <c r="H318" s="2" t="n">
        <v>36.6</v>
      </c>
      <c r="I318" s="5" t="n">
        <v>0.108992850321706</v>
      </c>
      <c r="J318" s="4" t="n">
        <v>211.929446768129</v>
      </c>
      <c r="K318" s="4" t="n">
        <v>0.17</v>
      </c>
      <c r="L318" s="6" t="n">
        <f aca="false">J318/200000</f>
        <v>0.00105964723384065</v>
      </c>
      <c r="P318" s="4" t="n">
        <f aca="false">$Q$2*($Q$3*$G318+$Q$4*$B318^$Q$5*$I318^$Q$6)*$L318^$Q$7</f>
        <v>0.229339350390638</v>
      </c>
      <c r="Q318" s="4" t="n">
        <f aca="false">P318/$K318</f>
        <v>1.34905500229787</v>
      </c>
      <c r="S318" s="4" t="n">
        <f aca="false">$T$2*$B318^$T$3*$L318^$T$4*($T$5*$I318^$T$6+$T$7)</f>
        <v>0.239194562803801</v>
      </c>
      <c r="T318" s="4" t="n">
        <f aca="false">S318/$K318</f>
        <v>1.40702684002236</v>
      </c>
      <c r="V318" s="4"/>
      <c r="W318" s="4"/>
    </row>
    <row r="319" customFormat="false" ht="14.25" hidden="false" customHeight="false" outlineLevel="0" collapsed="false">
      <c r="B319" s="2" t="n">
        <v>28.7</v>
      </c>
      <c r="C319" s="3" t="n">
        <v>276</v>
      </c>
      <c r="D319" s="3" t="n">
        <v>2</v>
      </c>
      <c r="E319" s="2" t="n">
        <v>50.6</v>
      </c>
      <c r="F319" s="4" t="n">
        <v>2.77481740215607</v>
      </c>
      <c r="G319" s="2" t="n">
        <v>22.2</v>
      </c>
      <c r="H319" s="2" t="n">
        <v>36.6</v>
      </c>
      <c r="I319" s="5" t="n">
        <v>0.108992850321706</v>
      </c>
      <c r="J319" s="4" t="n">
        <v>256.411515370833</v>
      </c>
      <c r="K319" s="4" t="n">
        <v>0.2</v>
      </c>
      <c r="L319" s="6" t="n">
        <f aca="false">J319/200000</f>
        <v>0.00128205757685416</v>
      </c>
      <c r="P319" s="4" t="n">
        <f aca="false">$Q$2*($Q$3*$G319+$Q$4*$B319^$Q$5*$I319^$Q$6)*$L319^$Q$7</f>
        <v>0.269041893679135</v>
      </c>
      <c r="Q319" s="4" t="n">
        <f aca="false">P319/$K319</f>
        <v>1.34520946839568</v>
      </c>
      <c r="S319" s="4" t="n">
        <f aca="false">$T$2*$B319^$T$3*$L319^$T$4*($T$5*$I319^$T$6+$T$7)</f>
        <v>0.281459930452093</v>
      </c>
      <c r="T319" s="4" t="n">
        <f aca="false">S319/$K319</f>
        <v>1.40729965226047</v>
      </c>
      <c r="V319" s="4"/>
      <c r="W319" s="4"/>
    </row>
    <row r="320" customFormat="false" ht="14.25" hidden="false" customHeight="false" outlineLevel="0" collapsed="false">
      <c r="A320" s="1" t="s">
        <v>96</v>
      </c>
      <c r="B320" s="2" t="n">
        <v>28.7</v>
      </c>
      <c r="C320" s="3" t="n">
        <v>276</v>
      </c>
      <c r="D320" s="3" t="n">
        <v>2</v>
      </c>
      <c r="E320" s="2" t="n">
        <v>50.6</v>
      </c>
      <c r="F320" s="4" t="n">
        <v>2.80171464705939</v>
      </c>
      <c r="G320" s="2" t="n">
        <v>38.2</v>
      </c>
      <c r="H320" s="2" t="n">
        <v>52.5</v>
      </c>
      <c r="I320" s="5" t="n">
        <v>0.106860667703036</v>
      </c>
      <c r="J320" s="4" t="n">
        <v>152.74032544508</v>
      </c>
      <c r="K320" s="4" t="n">
        <v>0.17</v>
      </c>
      <c r="L320" s="6" t="n">
        <f aca="false">J320/200000</f>
        <v>0.0007637016272254</v>
      </c>
      <c r="P320" s="4" t="n">
        <f aca="false">$Q$2*($Q$3*$G320+$Q$4*$B320^$Q$5*$I320^$Q$6)*$L320^$Q$7</f>
        <v>0.176740079990011</v>
      </c>
      <c r="Q320" s="4" t="n">
        <f aca="false">P320/$K320</f>
        <v>1.03964752935301</v>
      </c>
      <c r="S320" s="4" t="n">
        <f aca="false">$T$2*$B320^$T$3*$L320^$T$4*($T$5*$I320^$T$6+$T$7)</f>
        <v>0.182229112761469</v>
      </c>
      <c r="T320" s="4" t="n">
        <f aca="false">S320/$K320</f>
        <v>1.07193595742041</v>
      </c>
      <c r="V320" s="4"/>
      <c r="W320" s="4"/>
    </row>
    <row r="321" customFormat="false" ht="14.25" hidden="false" customHeight="false" outlineLevel="0" collapsed="false">
      <c r="B321" s="2" t="n">
        <v>28.7</v>
      </c>
      <c r="C321" s="3" t="n">
        <v>276</v>
      </c>
      <c r="D321" s="3" t="n">
        <v>2</v>
      </c>
      <c r="E321" s="2" t="n">
        <v>50.6</v>
      </c>
      <c r="F321" s="4" t="n">
        <v>2.80171464705939</v>
      </c>
      <c r="G321" s="2" t="n">
        <v>38.2</v>
      </c>
      <c r="H321" s="2" t="n">
        <v>52.5</v>
      </c>
      <c r="I321" s="5" t="n">
        <v>0.106860667703036</v>
      </c>
      <c r="J321" s="4" t="n">
        <v>188.119799289414</v>
      </c>
      <c r="K321" s="4" t="n">
        <v>0.2</v>
      </c>
      <c r="L321" s="6" t="n">
        <f aca="false">J321/200000</f>
        <v>0.000940598996447072</v>
      </c>
      <c r="P321" s="4" t="n">
        <f aca="false">$Q$2*($Q$3*$G321+$Q$4*$B321^$Q$5*$I321^$Q$6)*$L321^$Q$7</f>
        <v>0.210454372602887</v>
      </c>
      <c r="Q321" s="4" t="n">
        <f aca="false">P321/$K321</f>
        <v>1.05227186301444</v>
      </c>
      <c r="S321" s="4" t="n">
        <f aca="false">$T$2*$B321^$T$3*$L321^$T$4*($T$5*$I321^$T$6+$T$7)</f>
        <v>0.217715003935534</v>
      </c>
      <c r="T321" s="4" t="n">
        <f aca="false">S321/$K321</f>
        <v>1.08857501967767</v>
      </c>
      <c r="V321" s="4"/>
      <c r="W321" s="4"/>
    </row>
    <row r="322" customFormat="false" ht="14.25" hidden="false" customHeight="false" outlineLevel="0" collapsed="false">
      <c r="B322" s="2" t="n">
        <v>28.7</v>
      </c>
      <c r="C322" s="3" t="n">
        <v>276</v>
      </c>
      <c r="D322" s="3" t="n">
        <v>2</v>
      </c>
      <c r="E322" s="2" t="n">
        <v>50.6</v>
      </c>
      <c r="F322" s="4" t="n">
        <v>2.80171464705939</v>
      </c>
      <c r="G322" s="2" t="n">
        <v>38.2</v>
      </c>
      <c r="H322" s="2" t="n">
        <v>52.5</v>
      </c>
      <c r="I322" s="5" t="n">
        <v>0.106860667703036</v>
      </c>
      <c r="J322" s="4" t="n">
        <v>223.658619396829</v>
      </c>
      <c r="K322" s="4" t="n">
        <v>0.25</v>
      </c>
      <c r="L322" s="6" t="n">
        <f aca="false">J322/200000</f>
        <v>0.00111829309698415</v>
      </c>
      <c r="P322" s="4" t="n">
        <f aca="false">$Q$2*($Q$3*$G322+$Q$4*$B322^$Q$5*$I322^$Q$6)*$L322^$Q$7</f>
        <v>0.243295795063256</v>
      </c>
      <c r="Q322" s="4" t="n">
        <f aca="false">P322/$K322</f>
        <v>0.973183180253025</v>
      </c>
      <c r="S322" s="4" t="n">
        <f aca="false">$T$2*$B322^$T$3*$L322^$T$4*($T$5*$I322^$T$6+$T$7)</f>
        <v>0.252387259121166</v>
      </c>
      <c r="T322" s="4" t="n">
        <f aca="false">S322/$K322</f>
        <v>1.00954903648466</v>
      </c>
      <c r="V322" s="4"/>
      <c r="W322" s="4"/>
    </row>
    <row r="323" customFormat="false" ht="14.25" hidden="false" customHeight="false" outlineLevel="0" collapsed="false">
      <c r="B323" s="2" t="n">
        <v>28.7</v>
      </c>
      <c r="C323" s="3" t="n">
        <v>276</v>
      </c>
      <c r="D323" s="3" t="n">
        <v>2</v>
      </c>
      <c r="E323" s="2" t="n">
        <v>50.6</v>
      </c>
      <c r="F323" s="4" t="n">
        <v>2.80171464705939</v>
      </c>
      <c r="G323" s="2" t="n">
        <v>38.2</v>
      </c>
      <c r="H323" s="2" t="n">
        <v>52.5</v>
      </c>
      <c r="I323" s="5" t="n">
        <v>0.106860667703036</v>
      </c>
      <c r="J323" s="4" t="n">
        <v>257.096234583494</v>
      </c>
      <c r="K323" s="4" t="n">
        <v>0.29</v>
      </c>
      <c r="L323" s="6" t="n">
        <f aca="false">J323/200000</f>
        <v>0.00128548117291747</v>
      </c>
      <c r="P323" s="4" t="n">
        <f aca="false">$Q$2*($Q$3*$G323+$Q$4*$B323^$Q$5*$I323^$Q$6)*$L323^$Q$7</f>
        <v>0.273427408879804</v>
      </c>
      <c r="Q323" s="4" t="n">
        <f aca="false">P323/$K323</f>
        <v>0.94285313406829</v>
      </c>
      <c r="S323" s="4" t="n">
        <f aca="false">$T$2*$B323^$T$3*$L323^$T$4*($T$5*$I323^$T$6+$T$7)</f>
        <v>0.284277856708246</v>
      </c>
      <c r="T323" s="4" t="n">
        <f aca="false">S323/$K323</f>
        <v>0.980268471407746</v>
      </c>
      <c r="V323" s="4"/>
      <c r="W323" s="4"/>
    </row>
    <row r="324" customFormat="false" ht="14.25" hidden="false" customHeight="false" outlineLevel="0" collapsed="false">
      <c r="A324" s="1" t="s">
        <v>97</v>
      </c>
      <c r="B324" s="2" t="n">
        <v>28.7</v>
      </c>
      <c r="C324" s="3" t="n">
        <v>276</v>
      </c>
      <c r="D324" s="3" t="n">
        <v>2</v>
      </c>
      <c r="E324" s="2" t="n">
        <v>50.6</v>
      </c>
      <c r="F324" s="4" t="n">
        <v>2.71531164579845</v>
      </c>
      <c r="G324" s="2" t="n">
        <v>38.2</v>
      </c>
      <c r="H324" s="2" t="n">
        <v>52.5</v>
      </c>
      <c r="I324" s="5" t="n">
        <v>0.107226386910195</v>
      </c>
      <c r="J324" s="4" t="n">
        <v>188.995464493697</v>
      </c>
      <c r="K324" s="4" t="n">
        <v>0.17</v>
      </c>
      <c r="L324" s="6" t="n">
        <f aca="false">J324/200000</f>
        <v>0.000944977322468485</v>
      </c>
      <c r="P324" s="4" t="n">
        <f aca="false">$Q$2*($Q$3*$G324+$Q$4*$B324^$Q$5*$I324^$Q$6)*$L324^$Q$7</f>
        <v>0.210921570748644</v>
      </c>
      <c r="Q324" s="4" t="n">
        <f aca="false">P324/$K324</f>
        <v>1.24071512205084</v>
      </c>
      <c r="S324" s="4" t="n">
        <f aca="false">$T$2*$B324^$T$3*$L324^$T$4*($T$5*$I324^$T$6+$T$7)</f>
        <v>0.218289190501028</v>
      </c>
      <c r="T324" s="4" t="n">
        <f aca="false">S324/$K324</f>
        <v>1.28405406177075</v>
      </c>
      <c r="V324" s="4"/>
      <c r="W324" s="4"/>
    </row>
    <row r="325" customFormat="false" ht="14.25" hidden="false" customHeight="false" outlineLevel="0" collapsed="false">
      <c r="A325" s="1" t="s">
        <v>98</v>
      </c>
      <c r="B325" s="2" t="n">
        <v>28.7</v>
      </c>
      <c r="C325" s="3" t="n">
        <v>276</v>
      </c>
      <c r="D325" s="3" t="n">
        <v>2</v>
      </c>
      <c r="E325" s="2" t="n">
        <v>50.6</v>
      </c>
      <c r="F325" s="4" t="n">
        <v>2.80171464705939</v>
      </c>
      <c r="G325" s="2" t="n">
        <v>38.2</v>
      </c>
      <c r="H325" s="2" t="n">
        <v>52.5</v>
      </c>
      <c r="I325" s="5" t="n">
        <v>0.106860667703036</v>
      </c>
      <c r="J325" s="4" t="n">
        <v>152.74032544508</v>
      </c>
      <c r="K325" s="4" t="n">
        <v>0.15</v>
      </c>
      <c r="L325" s="6" t="n">
        <f aca="false">J325/200000</f>
        <v>0.0007637016272254</v>
      </c>
      <c r="P325" s="4" t="n">
        <f aca="false">$Q$2*($Q$3*$G325+$Q$4*$B325^$Q$5*$I325^$Q$6)*$L325^$Q$7</f>
        <v>0.176740079990011</v>
      </c>
      <c r="Q325" s="4" t="n">
        <f aca="false">P325/$K325</f>
        <v>1.17826719993341</v>
      </c>
      <c r="S325" s="4" t="n">
        <f aca="false">$T$2*$B325^$T$3*$L325^$T$4*($T$5*$I325^$T$6+$T$7)</f>
        <v>0.182229112761469</v>
      </c>
      <c r="T325" s="4" t="n">
        <f aca="false">S325/$K325</f>
        <v>1.21486075174313</v>
      </c>
      <c r="V325" s="4"/>
      <c r="W325" s="4"/>
    </row>
    <row r="326" customFormat="false" ht="14.25" hidden="false" customHeight="false" outlineLevel="0" collapsed="false">
      <c r="B326" s="2" t="n">
        <v>28.7</v>
      </c>
      <c r="C326" s="3" t="n">
        <v>276</v>
      </c>
      <c r="D326" s="3" t="n">
        <v>2</v>
      </c>
      <c r="E326" s="2" t="n">
        <v>50.6</v>
      </c>
      <c r="F326" s="4" t="n">
        <v>2.80171464705939</v>
      </c>
      <c r="G326" s="2" t="n">
        <v>38.2</v>
      </c>
      <c r="H326" s="2" t="n">
        <v>52.5</v>
      </c>
      <c r="I326" s="5" t="n">
        <v>0.106860667703036</v>
      </c>
      <c r="J326" s="4" t="n">
        <v>188.119799289414</v>
      </c>
      <c r="K326" s="4" t="n">
        <v>0.16</v>
      </c>
      <c r="L326" s="6" t="n">
        <f aca="false">J326/200000</f>
        <v>0.000940598996447072</v>
      </c>
      <c r="P326" s="4" t="n">
        <f aca="false">$Q$2*($Q$3*$G326+$Q$4*$B326^$Q$5*$I326^$Q$6)*$L326^$Q$7</f>
        <v>0.210454372602887</v>
      </c>
      <c r="Q326" s="4" t="n">
        <f aca="false">P326/$K326</f>
        <v>1.31533982876805</v>
      </c>
      <c r="S326" s="4" t="n">
        <f aca="false">$T$2*$B326^$T$3*$L326^$T$4*($T$5*$I326^$T$6+$T$7)</f>
        <v>0.217715003935534</v>
      </c>
      <c r="T326" s="4" t="n">
        <f aca="false">S326/$K326</f>
        <v>1.36071877459709</v>
      </c>
      <c r="V326" s="4"/>
      <c r="W326" s="4"/>
    </row>
    <row r="327" customFormat="false" ht="14.25" hidden="false" customHeight="false" outlineLevel="0" collapsed="false">
      <c r="B327" s="2" t="n">
        <v>28.7</v>
      </c>
      <c r="C327" s="3" t="n">
        <v>276</v>
      </c>
      <c r="D327" s="3" t="n">
        <v>2</v>
      </c>
      <c r="E327" s="2" t="n">
        <v>50.6</v>
      </c>
      <c r="F327" s="4" t="n">
        <v>2.80171464705939</v>
      </c>
      <c r="G327" s="2" t="n">
        <v>38.2</v>
      </c>
      <c r="H327" s="2" t="n">
        <v>52.5</v>
      </c>
      <c r="I327" s="5" t="n">
        <v>0.106860667703036</v>
      </c>
      <c r="J327" s="4" t="n">
        <v>223.658619396829</v>
      </c>
      <c r="K327" s="4" t="n">
        <v>0.22</v>
      </c>
      <c r="L327" s="6" t="n">
        <f aca="false">J327/200000</f>
        <v>0.00111829309698415</v>
      </c>
      <c r="P327" s="4" t="n">
        <f aca="false">$Q$2*($Q$3*$G327+$Q$4*$B327^$Q$5*$I327^$Q$6)*$L327^$Q$7</f>
        <v>0.243295795063256</v>
      </c>
      <c r="Q327" s="4" t="n">
        <f aca="false">P327/$K327</f>
        <v>1.10588997756026</v>
      </c>
      <c r="S327" s="4" t="n">
        <f aca="false">$T$2*$B327^$T$3*$L327^$T$4*($T$5*$I327^$T$6+$T$7)</f>
        <v>0.252387259121166</v>
      </c>
      <c r="T327" s="4" t="n">
        <f aca="false">S327/$K327</f>
        <v>1.14721481418712</v>
      </c>
      <c r="V327" s="4"/>
      <c r="W327" s="4"/>
    </row>
    <row r="328" customFormat="false" ht="14.25" hidden="false" customHeight="false" outlineLevel="0" collapsed="false">
      <c r="B328" s="2" t="n">
        <v>28.7</v>
      </c>
      <c r="C328" s="3" t="n">
        <v>276</v>
      </c>
      <c r="D328" s="3" t="n">
        <v>2</v>
      </c>
      <c r="E328" s="2" t="n">
        <v>50.6</v>
      </c>
      <c r="F328" s="4" t="n">
        <v>2.80171464705939</v>
      </c>
      <c r="G328" s="2" t="n">
        <v>38.2</v>
      </c>
      <c r="H328" s="2" t="n">
        <v>52.5</v>
      </c>
      <c r="I328" s="5" t="n">
        <v>0.106860667703036</v>
      </c>
      <c r="J328" s="4" t="n">
        <v>257.096234583494</v>
      </c>
      <c r="K328" s="4" t="n">
        <v>0.26</v>
      </c>
      <c r="L328" s="6" t="n">
        <f aca="false">J328/200000</f>
        <v>0.00128548117291747</v>
      </c>
      <c r="P328" s="4" t="n">
        <f aca="false">$Q$2*($Q$3*$G328+$Q$4*$B328^$Q$5*$I328^$Q$6)*$L328^$Q$7</f>
        <v>0.273427408879804</v>
      </c>
      <c r="Q328" s="4" t="n">
        <f aca="false">P328/$K328</f>
        <v>1.05164388030694</v>
      </c>
      <c r="S328" s="4" t="n">
        <f aca="false">$T$2*$B328^$T$3*$L328^$T$4*($T$5*$I328^$T$6+$T$7)</f>
        <v>0.284277856708246</v>
      </c>
      <c r="T328" s="4" t="n">
        <f aca="false">S328/$K328</f>
        <v>1.09337637195479</v>
      </c>
      <c r="V328" s="4"/>
      <c r="W328" s="4"/>
    </row>
    <row r="329" customFormat="false" ht="14.25" hidden="false" customHeight="false" outlineLevel="0" collapsed="false">
      <c r="A329" s="1" t="s">
        <v>99</v>
      </c>
      <c r="B329" s="2" t="n">
        <v>28.7</v>
      </c>
      <c r="C329" s="3" t="n">
        <v>276</v>
      </c>
      <c r="D329" s="3" t="n">
        <v>2</v>
      </c>
      <c r="E329" s="2" t="n">
        <v>50.6</v>
      </c>
      <c r="F329" s="4" t="n">
        <v>2.52444806810338</v>
      </c>
      <c r="G329" s="2" t="n">
        <v>38.2</v>
      </c>
      <c r="H329" s="2" t="n">
        <v>52.5</v>
      </c>
      <c r="I329" s="5" t="n">
        <v>0.108091118039397</v>
      </c>
      <c r="J329" s="4" t="n">
        <v>190.960538050344</v>
      </c>
      <c r="K329" s="4" t="n">
        <v>0.17</v>
      </c>
      <c r="L329" s="6" t="n">
        <f aca="false">J329/200000</f>
        <v>0.000954802690251718</v>
      </c>
      <c r="P329" s="4" t="n">
        <f aca="false">$Q$2*($Q$3*$G329+$Q$4*$B329^$Q$5*$I329^$Q$6)*$L329^$Q$7</f>
        <v>0.211922059621931</v>
      </c>
      <c r="Q329" s="4" t="n">
        <f aca="false">P329/$K329</f>
        <v>1.24660035071724</v>
      </c>
      <c r="S329" s="4" t="n">
        <f aca="false">$T$2*$B329^$T$3*$L329^$T$4*($T$5*$I329^$T$6+$T$7)</f>
        <v>0.219538547156628</v>
      </c>
      <c r="T329" s="4" t="n">
        <f aca="false">S329/$K329</f>
        <v>1.2914032185684</v>
      </c>
      <c r="V329" s="4"/>
      <c r="W329" s="4"/>
    </row>
    <row r="330" customFormat="false" ht="14.25" hidden="false" customHeight="false" outlineLevel="0" collapsed="false">
      <c r="B330" s="2" t="n">
        <v>28.7</v>
      </c>
      <c r="C330" s="3" t="n">
        <v>276</v>
      </c>
      <c r="D330" s="3" t="n">
        <v>2</v>
      </c>
      <c r="E330" s="2" t="n">
        <v>50.6</v>
      </c>
      <c r="F330" s="4" t="n">
        <v>2.52444806810338</v>
      </c>
      <c r="G330" s="2" t="n">
        <v>38.2</v>
      </c>
      <c r="H330" s="2" t="n">
        <v>52.5</v>
      </c>
      <c r="I330" s="5" t="n">
        <v>0.108091118039397</v>
      </c>
      <c r="J330" s="4" t="n">
        <v>226.353410888649</v>
      </c>
      <c r="K330" s="4" t="n">
        <v>0.2</v>
      </c>
      <c r="L330" s="6" t="n">
        <f aca="false">J330/200000</f>
        <v>0.00113176705444324</v>
      </c>
      <c r="P330" s="4" t="n">
        <f aca="false">$Q$2*($Q$3*$G330+$Q$4*$B330^$Q$5*$I330^$Q$6)*$L330^$Q$7</f>
        <v>0.244375096739438</v>
      </c>
      <c r="Q330" s="4" t="n">
        <f aca="false">P330/$K330</f>
        <v>1.22187548369719</v>
      </c>
      <c r="S330" s="4" t="n">
        <f aca="false">$T$2*$B330^$T$3*$L330^$T$4*($T$5*$I330^$T$6+$T$7)</f>
        <v>0.253847599577166</v>
      </c>
      <c r="T330" s="4" t="n">
        <f aca="false">S330/$K330</f>
        <v>1.26923799788583</v>
      </c>
      <c r="V330" s="4"/>
      <c r="W330" s="4"/>
    </row>
    <row r="331" customFormat="false" ht="14.25" hidden="false" customHeight="false" outlineLevel="0" collapsed="false">
      <c r="B331" s="2" t="n">
        <v>28.7</v>
      </c>
      <c r="C331" s="3" t="n">
        <v>276</v>
      </c>
      <c r="D331" s="3" t="n">
        <v>2</v>
      </c>
      <c r="E331" s="2" t="n">
        <v>50.6</v>
      </c>
      <c r="F331" s="4" t="n">
        <v>2.52444806810338</v>
      </c>
      <c r="G331" s="2" t="n">
        <v>38.2</v>
      </c>
      <c r="H331" s="2" t="n">
        <v>52.5</v>
      </c>
      <c r="I331" s="5" t="n">
        <v>0.108091118039397</v>
      </c>
      <c r="J331" s="4" t="n">
        <v>258.688607441303</v>
      </c>
      <c r="K331" s="4" t="n">
        <v>0.24</v>
      </c>
      <c r="L331" s="6" t="n">
        <f aca="false">J331/200000</f>
        <v>0.00129344303720652</v>
      </c>
      <c r="P331" s="4" t="n">
        <f aca="false">$Q$2*($Q$3*$G331+$Q$4*$B331^$Q$5*$I331^$Q$6)*$L331^$Q$7</f>
        <v>0.273308277035949</v>
      </c>
      <c r="Q331" s="4" t="n">
        <f aca="false">P331/$K331</f>
        <v>1.13878448764979</v>
      </c>
      <c r="S331" s="4" t="n">
        <f aca="false">$T$2*$B331^$T$3*$L331^$T$4*($T$5*$I331^$T$6+$T$7)</f>
        <v>0.284509480619753</v>
      </c>
      <c r="T331" s="4" t="n">
        <f aca="false">S331/$K331</f>
        <v>1.18545616924897</v>
      </c>
      <c r="V331" s="4"/>
      <c r="W331" s="4"/>
    </row>
    <row r="332" customFormat="false" ht="14.25" hidden="false" customHeight="false" outlineLevel="0" collapsed="false">
      <c r="A332" s="1" t="s">
        <v>100</v>
      </c>
      <c r="B332" s="2" t="n">
        <v>32.3</v>
      </c>
      <c r="C332" s="3" t="n">
        <v>276</v>
      </c>
      <c r="D332" s="3" t="n">
        <v>1</v>
      </c>
      <c r="E332" s="2" t="n">
        <v>60</v>
      </c>
      <c r="F332" s="4" t="n">
        <v>2.53821845332793</v>
      </c>
      <c r="G332" s="2" t="n">
        <v>38.3</v>
      </c>
      <c r="H332" s="2" t="n">
        <v>54.4</v>
      </c>
      <c r="I332" s="5" t="n">
        <v>0.0624495439088793</v>
      </c>
      <c r="J332" s="4" t="n">
        <v>135.923676780504</v>
      </c>
      <c r="K332" s="4" t="n">
        <v>0.17</v>
      </c>
      <c r="L332" s="6" t="n">
        <f aca="false">J332/200000</f>
        <v>0.000679618383902522</v>
      </c>
      <c r="P332" s="4" t="n">
        <f aca="false">$Q$2*($Q$3*$G332+$Q$4*$B332^$Q$5*$I332^$Q$6)*$L332^$Q$7</f>
        <v>0.237408427245011</v>
      </c>
      <c r="Q332" s="4" t="n">
        <f aca="false">P332/$K332</f>
        <v>1.39652016026477</v>
      </c>
      <c r="S332" s="4" t="n">
        <f aca="false">$T$2*$B332^$T$3*$L332^$T$4*($T$5*$I332^$T$6+$T$7)</f>
        <v>0.23678398281449</v>
      </c>
      <c r="T332" s="4" t="n">
        <f aca="false">S332/$K332</f>
        <v>1.39284695773229</v>
      </c>
      <c r="V332" s="4"/>
      <c r="W332" s="4"/>
    </row>
    <row r="333" customFormat="false" ht="14.25" hidden="false" customHeight="false" outlineLevel="0" collapsed="false">
      <c r="B333" s="2" t="n">
        <v>32.3</v>
      </c>
      <c r="C333" s="3" t="n">
        <v>276</v>
      </c>
      <c r="D333" s="3" t="n">
        <v>1</v>
      </c>
      <c r="E333" s="2" t="n">
        <v>60</v>
      </c>
      <c r="F333" s="4" t="n">
        <v>2.53821845332793</v>
      </c>
      <c r="G333" s="2" t="n">
        <v>38.3</v>
      </c>
      <c r="H333" s="2" t="n">
        <v>54.4</v>
      </c>
      <c r="I333" s="5" t="n">
        <v>0.0624495439088793</v>
      </c>
      <c r="J333" s="4" t="n">
        <v>177.836472159602</v>
      </c>
      <c r="K333" s="4" t="n">
        <v>0.23</v>
      </c>
      <c r="L333" s="6" t="n">
        <f aca="false">J333/200000</f>
        <v>0.000889182360798012</v>
      </c>
      <c r="P333" s="4" t="n">
        <f aca="false">$Q$2*($Q$3*$G333+$Q$4*$B333^$Q$5*$I333^$Q$6)*$L333^$Q$7</f>
        <v>0.297380361350277</v>
      </c>
      <c r="Q333" s="4" t="n">
        <f aca="false">P333/$K333</f>
        <v>1.29295809282729</v>
      </c>
      <c r="S333" s="4" t="n">
        <f aca="false">$T$2*$B333^$T$3*$L333^$T$4*($T$5*$I333^$T$6+$T$7)</f>
        <v>0.297876393278372</v>
      </c>
      <c r="T333" s="4" t="n">
        <f aca="false">S333/$K333</f>
        <v>1.29511475338422</v>
      </c>
      <c r="V333" s="4"/>
      <c r="W333" s="4"/>
    </row>
    <row r="334" customFormat="false" ht="14.25" hidden="false" customHeight="false" outlineLevel="0" collapsed="false">
      <c r="B334" s="2" t="n">
        <v>32.3</v>
      </c>
      <c r="C334" s="3" t="n">
        <v>276</v>
      </c>
      <c r="D334" s="3" t="n">
        <v>1</v>
      </c>
      <c r="E334" s="2" t="n">
        <v>60</v>
      </c>
      <c r="F334" s="4" t="n">
        <v>2.53821845332793</v>
      </c>
      <c r="G334" s="2" t="n">
        <v>38.3</v>
      </c>
      <c r="H334" s="2" t="n">
        <v>54.4</v>
      </c>
      <c r="I334" s="5" t="n">
        <v>0.0624495439088793</v>
      </c>
      <c r="J334" s="4" t="n">
        <v>217.00011505761</v>
      </c>
      <c r="K334" s="4" t="n">
        <v>0.27</v>
      </c>
      <c r="L334" s="6" t="n">
        <f aca="false">J334/200000</f>
        <v>0.00108500057528805</v>
      </c>
      <c r="P334" s="4" t="n">
        <f aca="false">$Q$2*($Q$3*$G334+$Q$4*$B334^$Q$5*$I334^$Q$6)*$L334^$Q$7</f>
        <v>0.351356729142942</v>
      </c>
      <c r="Q334" s="4" t="n">
        <f aca="false">P334/$K334</f>
        <v>1.30132121904793</v>
      </c>
      <c r="S334" s="4" t="n">
        <f aca="false">$T$2*$B334^$T$3*$L334^$T$4*($T$5*$I334^$T$6+$T$7)</f>
        <v>0.353065354614319</v>
      </c>
      <c r="T334" s="4" t="n">
        <f aca="false">S334/$K334</f>
        <v>1.30764946153452</v>
      </c>
      <c r="V334" s="4"/>
      <c r="W334" s="4"/>
    </row>
    <row r="335" customFormat="false" ht="14.25" hidden="false" customHeight="false" outlineLevel="0" collapsed="false">
      <c r="B335" s="2" t="n">
        <v>32.3</v>
      </c>
      <c r="C335" s="3" t="n">
        <v>276</v>
      </c>
      <c r="D335" s="3" t="n">
        <v>1</v>
      </c>
      <c r="E335" s="2" t="n">
        <v>60</v>
      </c>
      <c r="F335" s="4" t="n">
        <v>2.53821845332793</v>
      </c>
      <c r="G335" s="2" t="n">
        <v>38.3</v>
      </c>
      <c r="H335" s="2" t="n">
        <v>54.4</v>
      </c>
      <c r="I335" s="5" t="n">
        <v>0.0624495439088793</v>
      </c>
      <c r="J335" s="4" t="n">
        <v>244.974145699043</v>
      </c>
      <c r="K335" s="4" t="n">
        <v>0.31</v>
      </c>
      <c r="L335" s="6" t="n">
        <f aca="false">J335/200000</f>
        <v>0.00122487072849522</v>
      </c>
      <c r="P335" s="4" t="n">
        <f aca="false">$Q$2*($Q$3*$G335+$Q$4*$B335^$Q$5*$I335^$Q$6)*$L335^$Q$7</f>
        <v>0.388935510314615</v>
      </c>
      <c r="Q335" s="4" t="n">
        <f aca="false">P335/$K335</f>
        <v>1.25463067843424</v>
      </c>
      <c r="S335" s="4" t="n">
        <f aca="false">$T$2*$B335^$T$3*$L335^$T$4*($T$5*$I335^$T$6+$T$7)</f>
        <v>0.391585849125444</v>
      </c>
      <c r="T335" s="4" t="n">
        <f aca="false">S335/$K335</f>
        <v>1.26318015846917</v>
      </c>
      <c r="V335" s="4"/>
      <c r="W335" s="4"/>
    </row>
    <row r="336" customFormat="false" ht="14.25" hidden="false" customHeight="false" outlineLevel="0" collapsed="false">
      <c r="B336" s="2" t="n">
        <v>32.3</v>
      </c>
      <c r="C336" s="3" t="n">
        <v>276</v>
      </c>
      <c r="D336" s="3" t="n">
        <v>1</v>
      </c>
      <c r="E336" s="2" t="n">
        <v>60</v>
      </c>
      <c r="F336" s="4" t="n">
        <v>2.53821845332793</v>
      </c>
      <c r="G336" s="2" t="n">
        <v>38.3</v>
      </c>
      <c r="H336" s="2" t="n">
        <v>54.4</v>
      </c>
      <c r="I336" s="5" t="n">
        <v>0.0624495439088793</v>
      </c>
      <c r="J336" s="4" t="n">
        <v>251.416760519588</v>
      </c>
      <c r="K336" s="4" t="n">
        <v>0.35</v>
      </c>
      <c r="L336" s="6" t="n">
        <f aca="false">J336/200000</f>
        <v>0.00125708380259794</v>
      </c>
      <c r="P336" s="4" t="n">
        <f aca="false">$Q$2*($Q$3*$G336+$Q$4*$B336^$Q$5*$I336^$Q$6)*$L336^$Q$7</f>
        <v>0.397489066409925</v>
      </c>
      <c r="Q336" s="4" t="n">
        <f aca="false">P336/$K336</f>
        <v>1.1356830468855</v>
      </c>
      <c r="S336" s="4" t="n">
        <f aca="false">$T$2*$B336^$T$3*$L336^$T$4*($T$5*$I336^$T$6+$T$7)</f>
        <v>0.400363948123029</v>
      </c>
      <c r="T336" s="4" t="n">
        <f aca="false">S336/$K336</f>
        <v>1.14389699463723</v>
      </c>
      <c r="V336" s="4"/>
      <c r="W336" s="4"/>
    </row>
    <row r="337" customFormat="false" ht="14.25" hidden="false" customHeight="false" outlineLevel="0" collapsed="false">
      <c r="A337" s="1" t="s">
        <v>101</v>
      </c>
      <c r="B337" s="2" t="n">
        <v>32.3</v>
      </c>
      <c r="C337" s="3" t="n">
        <v>276</v>
      </c>
      <c r="D337" s="3" t="n">
        <v>1</v>
      </c>
      <c r="E337" s="2" t="n">
        <v>60</v>
      </c>
      <c r="F337" s="4" t="n">
        <v>2.81086951894943</v>
      </c>
      <c r="G337" s="2" t="n">
        <v>38.3</v>
      </c>
      <c r="H337" s="2" t="n">
        <v>54.4</v>
      </c>
      <c r="I337" s="5" t="n">
        <v>0.061876058158272</v>
      </c>
      <c r="J337" s="4" t="n">
        <v>132.029040346747</v>
      </c>
      <c r="K337" s="4" t="n">
        <v>0.19</v>
      </c>
      <c r="L337" s="6" t="n">
        <f aca="false">J337/200000</f>
        <v>0.000660145201733733</v>
      </c>
      <c r="P337" s="4" t="n">
        <f aca="false">$Q$2*($Q$3*$G337+$Q$4*$B337^$Q$5*$I337^$Q$6)*$L337^$Q$7</f>
        <v>0.232747850592355</v>
      </c>
      <c r="Q337" s="4" t="n">
        <f aca="false">P337/$K337</f>
        <v>1.22498868732818</v>
      </c>
      <c r="S337" s="4" t="n">
        <f aca="false">$T$2*$B337^$T$3*$L337^$T$4*($T$5*$I337^$T$6+$T$7)</f>
        <v>0.231939464388692</v>
      </c>
      <c r="T337" s="4" t="n">
        <f aca="false">S337/$K337</f>
        <v>1.22073402309838</v>
      </c>
      <c r="V337" s="4"/>
      <c r="W337" s="4"/>
    </row>
    <row r="338" customFormat="false" ht="14.25" hidden="false" customHeight="false" outlineLevel="0" collapsed="false">
      <c r="B338" s="2" t="n">
        <v>32.3</v>
      </c>
      <c r="C338" s="3" t="n">
        <v>276</v>
      </c>
      <c r="D338" s="3" t="n">
        <v>1</v>
      </c>
      <c r="E338" s="2" t="n">
        <v>60</v>
      </c>
      <c r="F338" s="4" t="n">
        <v>2.81086951894943</v>
      </c>
      <c r="G338" s="2" t="n">
        <v>38.3</v>
      </c>
      <c r="H338" s="2" t="n">
        <v>54.4</v>
      </c>
      <c r="I338" s="5" t="n">
        <v>0.061876058158272</v>
      </c>
      <c r="J338" s="4" t="n">
        <v>173.995893792453</v>
      </c>
      <c r="K338" s="4" t="n">
        <v>0.24</v>
      </c>
      <c r="L338" s="6" t="n">
        <f aca="false">J338/200000</f>
        <v>0.000869979468962264</v>
      </c>
      <c r="P338" s="4" t="n">
        <f aca="false">$Q$2*($Q$3*$G338+$Q$4*$B338^$Q$5*$I338^$Q$6)*$L338^$Q$7</f>
        <v>0.29331640087965</v>
      </c>
      <c r="Q338" s="4" t="n">
        <f aca="false">P338/$K338</f>
        <v>1.22215167033188</v>
      </c>
      <c r="S338" s="4" t="n">
        <f aca="false">$T$2*$B338^$T$3*$L338^$T$4*($T$5*$I338^$T$6+$T$7)</f>
        <v>0.29359133302275</v>
      </c>
      <c r="T338" s="4" t="n">
        <f aca="false">S338/$K338</f>
        <v>1.22329722092812</v>
      </c>
      <c r="V338" s="4"/>
      <c r="W338" s="4"/>
    </row>
    <row r="339" customFormat="false" ht="14.25" hidden="false" customHeight="false" outlineLevel="0" collapsed="false">
      <c r="B339" s="2" t="n">
        <v>32.3</v>
      </c>
      <c r="C339" s="3" t="n">
        <v>276</v>
      </c>
      <c r="D339" s="3" t="n">
        <v>1</v>
      </c>
      <c r="E339" s="2" t="n">
        <v>60</v>
      </c>
      <c r="F339" s="4" t="n">
        <v>2.81086951894943</v>
      </c>
      <c r="G339" s="2" t="n">
        <v>38.3</v>
      </c>
      <c r="H339" s="2" t="n">
        <v>54.4</v>
      </c>
      <c r="I339" s="5" t="n">
        <v>0.061876058158272</v>
      </c>
      <c r="J339" s="4" t="n">
        <v>213.467885185766</v>
      </c>
      <c r="K339" s="4" t="n">
        <v>0.29</v>
      </c>
      <c r="L339" s="6" t="n">
        <f aca="false">J339/200000</f>
        <v>0.00106733942592883</v>
      </c>
      <c r="P339" s="4" t="n">
        <f aca="false">$Q$2*($Q$3*$G339+$Q$4*$B339^$Q$5*$I339^$Q$6)*$L339^$Q$7</f>
        <v>0.348133118827834</v>
      </c>
      <c r="Q339" s="4" t="n">
        <f aca="false">P339/$K339</f>
        <v>1.20045903044081</v>
      </c>
      <c r="S339" s="4" t="n">
        <f aca="false">$T$2*$B339^$T$3*$L339^$T$4*($T$5*$I339^$T$6+$T$7)</f>
        <v>0.349601205139594</v>
      </c>
      <c r="T339" s="4" t="n">
        <f aca="false">S339/$K339</f>
        <v>1.20552139703308</v>
      </c>
      <c r="V339" s="4"/>
      <c r="W339" s="4"/>
    </row>
    <row r="340" customFormat="false" ht="14.25" hidden="false" customHeight="false" outlineLevel="0" collapsed="false">
      <c r="B340" s="2" t="n">
        <v>32.3</v>
      </c>
      <c r="C340" s="3" t="n">
        <v>276</v>
      </c>
      <c r="D340" s="3" t="n">
        <v>1</v>
      </c>
      <c r="E340" s="2" t="n">
        <v>60</v>
      </c>
      <c r="F340" s="4" t="n">
        <v>2.81086951894943</v>
      </c>
      <c r="G340" s="2" t="n">
        <v>38.3</v>
      </c>
      <c r="H340" s="2" t="n">
        <v>54.4</v>
      </c>
      <c r="I340" s="5" t="n">
        <v>0.061876058158272</v>
      </c>
      <c r="J340" s="4" t="n">
        <v>241.662164752418</v>
      </c>
      <c r="K340" s="4" t="n">
        <v>0.36</v>
      </c>
      <c r="L340" s="6" t="n">
        <f aca="false">J340/200000</f>
        <v>0.00120831082376209</v>
      </c>
      <c r="P340" s="4" t="n">
        <f aca="false">$Q$2*($Q$3*$G340+$Q$4*$B340^$Q$5*$I340^$Q$6)*$L340^$Q$7</f>
        <v>0.386272263303666</v>
      </c>
      <c r="Q340" s="4" t="n">
        <f aca="false">P340/$K340</f>
        <v>1.07297850917685</v>
      </c>
      <c r="S340" s="4" t="n">
        <f aca="false">$T$2*$B340^$T$3*$L340^$T$4*($T$5*$I340^$T$6+$T$7)</f>
        <v>0.388671881166626</v>
      </c>
      <c r="T340" s="4" t="n">
        <f aca="false">S340/$K340</f>
        <v>1.07964411435174</v>
      </c>
      <c r="V340" s="4"/>
      <c r="W340" s="4"/>
    </row>
    <row r="341" customFormat="false" ht="14.25" hidden="false" customHeight="false" outlineLevel="0" collapsed="false">
      <c r="B341" s="2" t="n">
        <v>32.3</v>
      </c>
      <c r="C341" s="3" t="n">
        <v>276</v>
      </c>
      <c r="D341" s="3" t="n">
        <v>1</v>
      </c>
      <c r="E341" s="2" t="n">
        <v>60</v>
      </c>
      <c r="F341" s="4" t="n">
        <v>2.81086951894943</v>
      </c>
      <c r="G341" s="2" t="n">
        <v>38.3</v>
      </c>
      <c r="H341" s="2" t="n">
        <v>54.4</v>
      </c>
      <c r="I341" s="5" t="n">
        <v>0.061876058158272</v>
      </c>
      <c r="J341" s="4" t="n">
        <v>249.026599960336</v>
      </c>
      <c r="K341" s="4" t="n">
        <v>0.42</v>
      </c>
      <c r="L341" s="6" t="n">
        <f aca="false">J341/200000</f>
        <v>0.00124513299980168</v>
      </c>
      <c r="P341" s="4" t="n">
        <f aca="false">$Q$2*($Q$3*$G341+$Q$4*$B341^$Q$5*$I341^$Q$6)*$L341^$Q$7</f>
        <v>0.396112543579981</v>
      </c>
      <c r="Q341" s="4" t="n">
        <f aca="false">P341/$K341</f>
        <v>0.943125103761861</v>
      </c>
      <c r="S341" s="4" t="n">
        <f aca="false">$T$2*$B341^$T$3*$L341^$T$4*($T$5*$I341^$T$6+$T$7)</f>
        <v>0.398764773876111</v>
      </c>
      <c r="T341" s="4" t="n">
        <f aca="false">S341/$K341</f>
        <v>0.949439937800264</v>
      </c>
      <c r="V341" s="4"/>
      <c r="W341" s="4"/>
    </row>
    <row r="342" customFormat="false" ht="14.25" hidden="false" customHeight="false" outlineLevel="0" collapsed="false">
      <c r="A342" s="1" t="s">
        <v>102</v>
      </c>
      <c r="B342" s="2" t="n">
        <v>28.7</v>
      </c>
      <c r="C342" s="3" t="n">
        <v>276</v>
      </c>
      <c r="D342" s="3" t="n">
        <v>2</v>
      </c>
      <c r="E342" s="2" t="n">
        <v>50.6</v>
      </c>
      <c r="F342" s="4" t="n">
        <v>2.57657861790804</v>
      </c>
      <c r="G342" s="2" t="n">
        <v>38</v>
      </c>
      <c r="H342" s="2" t="n">
        <v>52.3</v>
      </c>
      <c r="I342" s="5" t="n">
        <v>0.0655704777184944</v>
      </c>
      <c r="J342" s="4" t="n">
        <v>149.081395774833</v>
      </c>
      <c r="K342" s="4" t="n">
        <v>0.18</v>
      </c>
      <c r="L342" s="6" t="n">
        <f aca="false">J342/200000</f>
        <v>0.000745406978874166</v>
      </c>
      <c r="P342" s="4" t="n">
        <f aca="false">$Q$2*($Q$3*$G342+$Q$4*$B342^$Q$5*$I342^$Q$6)*$L342^$Q$7</f>
        <v>0.220064470304231</v>
      </c>
      <c r="Q342" s="4" t="n">
        <f aca="false">P342/$K342</f>
        <v>1.22258039057906</v>
      </c>
      <c r="S342" s="4" t="n">
        <f aca="false">$T$2*$B342^$T$3*$L342^$T$4*($T$5*$I342^$T$6+$T$7)</f>
        <v>0.218893045099192</v>
      </c>
      <c r="T342" s="4" t="n">
        <f aca="false">S342/$K342</f>
        <v>1.21607247277329</v>
      </c>
      <c r="V342" s="4"/>
      <c r="W342" s="4"/>
    </row>
    <row r="343" customFormat="false" ht="14.25" hidden="false" customHeight="false" outlineLevel="0" collapsed="false">
      <c r="B343" s="2" t="n">
        <v>28.7</v>
      </c>
      <c r="C343" s="3" t="n">
        <v>276</v>
      </c>
      <c r="D343" s="3" t="n">
        <v>2</v>
      </c>
      <c r="E343" s="2" t="n">
        <v>50.6</v>
      </c>
      <c r="F343" s="4" t="n">
        <v>2.57657861790804</v>
      </c>
      <c r="G343" s="2" t="n">
        <v>38</v>
      </c>
      <c r="H343" s="2" t="n">
        <v>52.3</v>
      </c>
      <c r="I343" s="5" t="n">
        <v>0.0655704777184944</v>
      </c>
      <c r="J343" s="4" t="n">
        <v>189.319610776324</v>
      </c>
      <c r="K343" s="4" t="n">
        <v>0.22</v>
      </c>
      <c r="L343" s="6" t="n">
        <f aca="false">J343/200000</f>
        <v>0.00094659805388162</v>
      </c>
      <c r="P343" s="4" t="n">
        <f aca="false">$Q$2*($Q$3*$G343+$Q$4*$B343^$Q$5*$I343^$Q$6)*$L343^$Q$7</f>
        <v>0.268850590567268</v>
      </c>
      <c r="Q343" s="4" t="n">
        <f aca="false">P343/$K343</f>
        <v>1.22204813894213</v>
      </c>
      <c r="S343" s="4" t="n">
        <f aca="false">$T$2*$B343^$T$3*$L343^$T$4*($T$5*$I343^$T$6+$T$7)</f>
        <v>0.268443802134718</v>
      </c>
      <c r="T343" s="4" t="n">
        <f aca="false">S343/$K343</f>
        <v>1.22019910061235</v>
      </c>
      <c r="V343" s="4"/>
      <c r="W343" s="4"/>
    </row>
    <row r="344" customFormat="false" ht="14.25" hidden="false" customHeight="false" outlineLevel="0" collapsed="false">
      <c r="B344" s="2" t="n">
        <v>28.7</v>
      </c>
      <c r="C344" s="3" t="n">
        <v>276</v>
      </c>
      <c r="D344" s="3" t="n">
        <v>2</v>
      </c>
      <c r="E344" s="2" t="n">
        <v>50.6</v>
      </c>
      <c r="F344" s="4" t="n">
        <v>2.57657861790804</v>
      </c>
      <c r="G344" s="2" t="n">
        <v>38</v>
      </c>
      <c r="H344" s="2" t="n">
        <v>52.3</v>
      </c>
      <c r="I344" s="5" t="n">
        <v>0.0655704777184944</v>
      </c>
      <c r="J344" s="4" t="n">
        <v>220.988380675886</v>
      </c>
      <c r="K344" s="4" t="n">
        <v>0.27</v>
      </c>
      <c r="L344" s="6" t="n">
        <f aca="false">J344/200000</f>
        <v>0.00110494190337943</v>
      </c>
      <c r="P344" s="4" t="n">
        <f aca="false">$Q$2*($Q$3*$G344+$Q$4*$B344^$Q$5*$I344^$Q$6)*$L344^$Q$7</f>
        <v>0.306057248740712</v>
      </c>
      <c r="Q344" s="4" t="n">
        <f aca="false">P344/$K344</f>
        <v>1.13354536570634</v>
      </c>
      <c r="S344" s="4" t="n">
        <f aca="false">$T$2*$B344^$T$3*$L344^$T$4*($T$5*$I344^$T$6+$T$7)</f>
        <v>0.306351377774863</v>
      </c>
      <c r="T344" s="4" t="n">
        <f aca="false">S344/$K344</f>
        <v>1.13463473249949</v>
      </c>
      <c r="V344" s="4"/>
      <c r="W344" s="4"/>
    </row>
    <row r="345" customFormat="false" ht="14.25" hidden="false" customHeight="false" outlineLevel="0" collapsed="false">
      <c r="B345" s="2" t="n">
        <v>28.7</v>
      </c>
      <c r="C345" s="3" t="n">
        <v>276</v>
      </c>
      <c r="D345" s="3" t="n">
        <v>2</v>
      </c>
      <c r="E345" s="2" t="n">
        <v>50.6</v>
      </c>
      <c r="F345" s="4" t="n">
        <v>2.57657861790804</v>
      </c>
      <c r="G345" s="2" t="n">
        <v>38</v>
      </c>
      <c r="H345" s="2" t="n">
        <v>52.3</v>
      </c>
      <c r="I345" s="5" t="n">
        <v>0.0655704777184944</v>
      </c>
      <c r="J345" s="4" t="n">
        <v>251.927578608997</v>
      </c>
      <c r="K345" s="4" t="n">
        <v>0.32</v>
      </c>
      <c r="L345" s="6" t="n">
        <f aca="false">J345/200000</f>
        <v>0.00125963789304498</v>
      </c>
      <c r="P345" s="4" t="n">
        <f aca="false">$Q$2*($Q$3*$G345+$Q$4*$B345^$Q$5*$I345^$Q$6)*$L345^$Q$7</f>
        <v>0.3415781850503</v>
      </c>
      <c r="Q345" s="4" t="n">
        <f aca="false">P345/$K345</f>
        <v>1.06743182828219</v>
      </c>
      <c r="S345" s="4" t="n">
        <f aca="false">$T$2*$B345^$T$3*$L345^$T$4*($T$5*$I345^$T$6+$T$7)</f>
        <v>0.342624010993113</v>
      </c>
      <c r="T345" s="4" t="n">
        <f aca="false">S345/$K345</f>
        <v>1.07070003435348</v>
      </c>
      <c r="V345" s="4"/>
      <c r="W345" s="4"/>
    </row>
    <row r="346" customFormat="false" ht="14.25" hidden="false" customHeight="false" outlineLevel="0" collapsed="false">
      <c r="A346" s="1" t="s">
        <v>103</v>
      </c>
      <c r="B346" s="2" t="n">
        <v>28.7</v>
      </c>
      <c r="C346" s="3" t="n">
        <v>276</v>
      </c>
      <c r="D346" s="3" t="n">
        <v>2</v>
      </c>
      <c r="E346" s="2" t="n">
        <v>50.6</v>
      </c>
      <c r="F346" s="4" t="n">
        <v>2.57657861790804</v>
      </c>
      <c r="G346" s="2" t="n">
        <v>38</v>
      </c>
      <c r="H346" s="2" t="n">
        <v>52.3</v>
      </c>
      <c r="I346" s="5" t="n">
        <v>0.0655704777184944</v>
      </c>
      <c r="J346" s="4" t="n">
        <v>189.319610776324</v>
      </c>
      <c r="K346" s="4" t="n">
        <v>0.16</v>
      </c>
      <c r="L346" s="6" t="n">
        <f aca="false">J346/200000</f>
        <v>0.00094659805388162</v>
      </c>
      <c r="P346" s="4" t="n">
        <f aca="false">$Q$2*($Q$3*$G346+$Q$4*$B346^$Q$5*$I346^$Q$6)*$L346^$Q$7</f>
        <v>0.268850590567268</v>
      </c>
      <c r="Q346" s="4" t="n">
        <f aca="false">P346/$K346</f>
        <v>1.68031619104542</v>
      </c>
      <c r="S346" s="4" t="n">
        <f aca="false">$T$2*$B346^$T$3*$L346^$T$4*($T$5*$I346^$T$6+$T$7)</f>
        <v>0.268443802134718</v>
      </c>
      <c r="T346" s="4" t="n">
        <f aca="false">S346/$K346</f>
        <v>1.67777376334199</v>
      </c>
      <c r="V346" s="4"/>
      <c r="W346" s="4"/>
    </row>
    <row r="347" customFormat="false" ht="14.25" hidden="false" customHeight="false" outlineLevel="0" collapsed="false">
      <c r="B347" s="2" t="n">
        <v>28.7</v>
      </c>
      <c r="C347" s="3" t="n">
        <v>276</v>
      </c>
      <c r="D347" s="3" t="n">
        <v>2</v>
      </c>
      <c r="E347" s="2" t="n">
        <v>50.6</v>
      </c>
      <c r="F347" s="4" t="n">
        <v>2.57657861790804</v>
      </c>
      <c r="G347" s="2" t="n">
        <v>38</v>
      </c>
      <c r="H347" s="2" t="n">
        <v>52.3</v>
      </c>
      <c r="I347" s="5" t="n">
        <v>0.0655704777184944</v>
      </c>
      <c r="J347" s="4" t="n">
        <v>220.988380675886</v>
      </c>
      <c r="K347" s="4" t="n">
        <v>0.19</v>
      </c>
      <c r="L347" s="6" t="n">
        <f aca="false">J347/200000</f>
        <v>0.00110494190337943</v>
      </c>
      <c r="P347" s="4" t="n">
        <f aca="false">$Q$2*($Q$3*$G347+$Q$4*$B347^$Q$5*$I347^$Q$6)*$L347^$Q$7</f>
        <v>0.306057248740712</v>
      </c>
      <c r="Q347" s="4" t="n">
        <f aca="false">P347/$K347</f>
        <v>1.61082762495111</v>
      </c>
      <c r="S347" s="4" t="n">
        <f aca="false">$T$2*$B347^$T$3*$L347^$T$4*($T$5*$I347^$T$6+$T$7)</f>
        <v>0.306351377774863</v>
      </c>
      <c r="T347" s="4" t="n">
        <f aca="false">S347/$K347</f>
        <v>1.61237567249928</v>
      </c>
      <c r="V347" s="4"/>
      <c r="W347" s="4"/>
    </row>
    <row r="348" customFormat="false" ht="14.25" hidden="false" customHeight="false" outlineLevel="0" collapsed="false">
      <c r="B348" s="2" t="n">
        <v>28.7</v>
      </c>
      <c r="C348" s="3" t="n">
        <v>276</v>
      </c>
      <c r="D348" s="3" t="n">
        <v>2</v>
      </c>
      <c r="E348" s="2" t="n">
        <v>50.6</v>
      </c>
      <c r="F348" s="4" t="n">
        <v>2.57657861790804</v>
      </c>
      <c r="G348" s="2" t="n">
        <v>38</v>
      </c>
      <c r="H348" s="2" t="n">
        <v>52.3</v>
      </c>
      <c r="I348" s="5" t="n">
        <v>0.0655704777184944</v>
      </c>
      <c r="J348" s="4" t="n">
        <v>251.927578608997</v>
      </c>
      <c r="K348" s="4" t="n">
        <v>0.22</v>
      </c>
      <c r="L348" s="6" t="n">
        <f aca="false">J348/200000</f>
        <v>0.00125963789304498</v>
      </c>
      <c r="P348" s="4" t="n">
        <f aca="false">$Q$2*($Q$3*$G348+$Q$4*$B348^$Q$5*$I348^$Q$6)*$L348^$Q$7</f>
        <v>0.3415781850503</v>
      </c>
      <c r="Q348" s="4" t="n">
        <f aca="false">P348/$K348</f>
        <v>1.552628113865</v>
      </c>
      <c r="S348" s="4" t="n">
        <f aca="false">$T$2*$B348^$T$3*$L348^$T$4*($T$5*$I348^$T$6+$T$7)</f>
        <v>0.342624010993113</v>
      </c>
      <c r="T348" s="4" t="n">
        <f aca="false">S348/$K348</f>
        <v>1.55738186815051</v>
      </c>
      <c r="V348" s="4"/>
      <c r="W348" s="4"/>
    </row>
    <row r="349" customFormat="false" ht="14.25" hidden="false" customHeight="false" outlineLevel="0" collapsed="false">
      <c r="A349" s="1" t="s">
        <v>104</v>
      </c>
      <c r="B349" s="2" t="n">
        <v>35.8</v>
      </c>
      <c r="C349" s="3" t="n">
        <v>276</v>
      </c>
      <c r="D349" s="3" t="n">
        <v>2</v>
      </c>
      <c r="E349" s="2" t="n">
        <v>36.4</v>
      </c>
      <c r="F349" s="4" t="n">
        <v>2.54783553354044</v>
      </c>
      <c r="G349" s="2" t="n">
        <v>38</v>
      </c>
      <c r="H349" s="2" t="n">
        <v>55.9</v>
      </c>
      <c r="I349" s="5" t="n">
        <v>0.112443490851356</v>
      </c>
      <c r="J349" s="4" t="n">
        <v>159.978297787888</v>
      </c>
      <c r="K349" s="4" t="n">
        <v>0.17</v>
      </c>
      <c r="L349" s="6" t="n">
        <f aca="false">J349/200000</f>
        <v>0.000799891488939438</v>
      </c>
      <c r="P349" s="4" t="n">
        <f aca="false">$Q$2*($Q$3*$G349+$Q$4*$B349^$Q$5*$I349^$Q$6)*$L349^$Q$7</f>
        <v>0.228116296195375</v>
      </c>
      <c r="Q349" s="4" t="n">
        <f aca="false">P349/$K349</f>
        <v>1.34186056585515</v>
      </c>
      <c r="S349" s="4" t="n">
        <f aca="false">$T$2*$B349^$T$3*$L349^$T$4*($T$5*$I349^$T$6+$T$7)</f>
        <v>0.239572030039298</v>
      </c>
      <c r="T349" s="4" t="n">
        <f aca="false">S349/$K349</f>
        <v>1.40924723552528</v>
      </c>
      <c r="V349" s="4"/>
      <c r="W349" s="4"/>
    </row>
    <row r="350" customFormat="false" ht="14.25" hidden="false" customHeight="false" outlineLevel="0" collapsed="false">
      <c r="A350" s="1" t="s">
        <v>105</v>
      </c>
      <c r="B350" s="2" t="n">
        <v>35.8</v>
      </c>
      <c r="C350" s="3" t="n">
        <v>276</v>
      </c>
      <c r="D350" s="3" t="n">
        <v>2</v>
      </c>
      <c r="E350" s="2" t="n">
        <v>36.4</v>
      </c>
      <c r="F350" s="4" t="n">
        <v>2.75637342683892</v>
      </c>
      <c r="G350" s="2" t="n">
        <v>38</v>
      </c>
      <c r="H350" s="2" t="n">
        <v>55.9</v>
      </c>
      <c r="I350" s="5" t="n">
        <v>0.111410061904879</v>
      </c>
      <c r="J350" s="4" t="n">
        <v>118.013728049833</v>
      </c>
      <c r="K350" s="4" t="n">
        <v>0.19</v>
      </c>
      <c r="L350" s="6" t="n">
        <f aca="false">J350/200000</f>
        <v>0.000590068640249167</v>
      </c>
      <c r="P350" s="4" t="n">
        <f aca="false">$Q$2*($Q$3*$G350+$Q$4*$B350^$Q$5*$I350^$Q$6)*$L350^$Q$7</f>
        <v>0.177583075126987</v>
      </c>
      <c r="Q350" s="4" t="n">
        <f aca="false">P350/$K350</f>
        <v>0.934647763826245</v>
      </c>
      <c r="S350" s="4" t="n">
        <f aca="false">$T$2*$B350^$T$3*$L350^$T$4*($T$5*$I350^$T$6+$T$7)</f>
        <v>0.185413410706826</v>
      </c>
      <c r="T350" s="4" t="n">
        <f aca="false">S350/$K350</f>
        <v>0.975860056351718</v>
      </c>
      <c r="V350" s="4"/>
      <c r="W350" s="4"/>
    </row>
    <row r="351" customFormat="false" ht="14.25" hidden="false" customHeight="false" outlineLevel="0" collapsed="false">
      <c r="B351" s="2" t="n">
        <v>35.8</v>
      </c>
      <c r="C351" s="3" t="n">
        <v>276</v>
      </c>
      <c r="D351" s="3" t="n">
        <v>2</v>
      </c>
      <c r="E351" s="2" t="n">
        <v>36.4</v>
      </c>
      <c r="F351" s="4" t="n">
        <v>2.75637342683892</v>
      </c>
      <c r="G351" s="2" t="n">
        <v>38</v>
      </c>
      <c r="H351" s="2" t="n">
        <v>55.9</v>
      </c>
      <c r="I351" s="5" t="n">
        <v>0.111410061904879</v>
      </c>
      <c r="J351" s="4" t="n">
        <v>157.863841357394</v>
      </c>
      <c r="K351" s="4" t="n">
        <v>0.25</v>
      </c>
      <c r="L351" s="6" t="n">
        <f aca="false">J351/200000</f>
        <v>0.00078931920678697</v>
      </c>
      <c r="P351" s="4" t="n">
        <f aca="false">$Q$2*($Q$3*$G351+$Q$4*$B351^$Q$5*$I351^$Q$6)*$L351^$Q$7</f>
        <v>0.22661204323319</v>
      </c>
      <c r="Q351" s="4" t="n">
        <f aca="false">P351/$K351</f>
        <v>0.906448172932759</v>
      </c>
      <c r="S351" s="4" t="n">
        <f aca="false">$T$2*$B351^$T$3*$L351^$T$4*($T$5*$I351^$T$6+$T$7)</f>
        <v>0.237708197826835</v>
      </c>
      <c r="T351" s="4" t="n">
        <f aca="false">S351/$K351</f>
        <v>0.950832791307341</v>
      </c>
      <c r="V351" s="4"/>
      <c r="W351" s="4"/>
    </row>
    <row r="352" customFormat="false" ht="14.25" hidden="false" customHeight="false" outlineLevel="0" collapsed="false">
      <c r="S352" s="1"/>
      <c r="T352" s="1"/>
      <c r="V352" s="1"/>
      <c r="W352" s="1"/>
    </row>
    <row r="353" customFormat="false" ht="14.25" hidden="false" customHeight="false" outlineLevel="0" collapsed="false">
      <c r="P353" s="1" t="s">
        <v>106</v>
      </c>
      <c r="Q353" s="4" t="n">
        <f aca="false">AVERAGE(Q11:Q351)</f>
        <v>1.04317151828654</v>
      </c>
      <c r="S353" s="1" t="s">
        <v>106</v>
      </c>
      <c r="T353" s="4" t="n">
        <f aca="false">AVERAGE(T11:T351)</f>
        <v>1.03955796971727</v>
      </c>
      <c r="V353" s="1"/>
      <c r="W353" s="4"/>
    </row>
    <row r="354" customFormat="false" ht="14.25" hidden="false" customHeight="false" outlineLevel="0" collapsed="false">
      <c r="P354" s="1" t="s">
        <v>107</v>
      </c>
      <c r="Q354" s="4" t="n">
        <f aca="false">_xlfn.STDEV.S(Q11:Q351)</f>
        <v>0.295094716672572</v>
      </c>
      <c r="S354" s="1" t="s">
        <v>107</v>
      </c>
      <c r="T354" s="4" t="n">
        <f aca="false">_xlfn.STDEV.S(T11:T351)</f>
        <v>0.294566374077218</v>
      </c>
      <c r="V354" s="1"/>
      <c r="W354" s="4"/>
    </row>
    <row r="355" customFormat="false" ht="14.25" hidden="false" customHeight="false" outlineLevel="0" collapsed="false">
      <c r="P355" s="1" t="s">
        <v>108</v>
      </c>
      <c r="Q355" s="10" t="n">
        <f aca="false">Q354/Q353</f>
        <v>0.282882260011546</v>
      </c>
      <c r="S355" s="1" t="s">
        <v>108</v>
      </c>
      <c r="T355" s="10" t="n">
        <f aca="false">T354/T353</f>
        <v>0.283357333268613</v>
      </c>
      <c r="V355" s="1"/>
      <c r="W355" s="10"/>
    </row>
  </sheetData>
  <mergeCells count="1">
    <mergeCell ref="B9:J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3"/>
  <sheetViews>
    <sheetView showFormulas="false" showGridLines="true" showRowColHeaders="true" showZeros="true" rightToLeft="false" tabSelected="false" showOutlineSymbols="true" defaultGridColor="true" view="normal" topLeftCell="F1" colorId="64" zoomScale="120" zoomScaleNormal="120" zoomScalePageLayoutView="100" workbookViewId="0">
      <selection pane="topLeft" activeCell="F34" activeCellId="0" sqref="F3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3.11"/>
    <col collapsed="false" customWidth="true" hidden="false" outlineLevel="0" max="2" min="2" style="1" width="24.78"/>
    <col collapsed="false" customWidth="true" hidden="false" outlineLevel="0" max="3" min="3" style="3" width="24.78"/>
    <col collapsed="false" customWidth="true" hidden="false" outlineLevel="0" max="4" min="4" style="1" width="29.66"/>
    <col collapsed="false" customWidth="true" hidden="false" outlineLevel="0" max="5" min="5" style="2" width="29.33"/>
    <col collapsed="false" customWidth="true" hidden="false" outlineLevel="0" max="6" min="6" style="4" width="36.78"/>
    <col collapsed="false" customWidth="true" hidden="false" outlineLevel="0" max="7" min="7" style="1" width="16.45"/>
    <col collapsed="false" customWidth="true" hidden="false" outlineLevel="0" max="8" min="8" style="1" width="44.55"/>
    <col collapsed="false" customWidth="true" hidden="false" outlineLevel="0" max="9" min="9" style="5" width="16.33"/>
    <col collapsed="false" customWidth="true" hidden="false" outlineLevel="0" max="10" min="10" style="4" width="22.67"/>
    <col collapsed="false" customWidth="true" hidden="false" outlineLevel="0" max="11" min="11" style="4" width="9.66"/>
  </cols>
  <sheetData>
    <row r="1" customFormat="false" ht="14.25" hidden="false" customHeight="false" outlineLevel="0" collapsed="false">
      <c r="A1" s="0" t="s">
        <v>8</v>
      </c>
      <c r="B1" s="11" t="s">
        <v>9</v>
      </c>
      <c r="C1" s="11"/>
      <c r="D1" s="11"/>
      <c r="E1" s="11"/>
      <c r="F1" s="11"/>
      <c r="G1" s="11"/>
      <c r="H1" s="11"/>
      <c r="I1" s="11"/>
      <c r="J1" s="11"/>
      <c r="K1" s="4" t="s">
        <v>10</v>
      </c>
    </row>
    <row r="2" customFormat="false" ht="16.4" hidden="false" customHeight="false" outlineLevel="0" collapsed="false">
      <c r="B2" s="1" t="s">
        <v>109</v>
      </c>
      <c r="C2" s="3" t="s">
        <v>12</v>
      </c>
      <c r="D2" s="1" t="s">
        <v>13</v>
      </c>
      <c r="E2" s="2" t="s">
        <v>14</v>
      </c>
      <c r="F2" s="4" t="s">
        <v>110</v>
      </c>
      <c r="G2" s="1" t="s">
        <v>111</v>
      </c>
      <c r="H2" s="1" t="s">
        <v>112</v>
      </c>
      <c r="I2" s="5" t="s">
        <v>113</v>
      </c>
      <c r="J2" s="4" t="s">
        <v>114</v>
      </c>
      <c r="K2" s="4" t="s">
        <v>115</v>
      </c>
    </row>
    <row r="3" customFormat="false" ht="14.25" hidden="false" customHeight="false" outlineLevel="0" collapsed="false">
      <c r="A3" s="0" t="s">
        <v>22</v>
      </c>
      <c r="B3" s="1" t="n">
        <v>20</v>
      </c>
      <c r="C3" s="3" t="n">
        <v>500</v>
      </c>
      <c r="D3" s="1" t="n">
        <v>2</v>
      </c>
      <c r="E3" s="2" t="n">
        <v>126</v>
      </c>
      <c r="F3" s="4" t="n">
        <v>4.12034052390144</v>
      </c>
      <c r="G3" s="1" t="n">
        <v>25</v>
      </c>
      <c r="H3" s="1" t="n">
        <v>39</v>
      </c>
      <c r="I3" s="5" t="n">
        <v>0.0607235456892252</v>
      </c>
      <c r="J3" s="4" t="n">
        <v>231.811004938734</v>
      </c>
      <c r="K3" s="4" t="n">
        <v>0.16</v>
      </c>
    </row>
    <row r="4" customFormat="false" ht="14.25" hidden="false" customHeight="false" outlineLevel="0" collapsed="false">
      <c r="B4" s="1" t="n">
        <v>20</v>
      </c>
      <c r="C4" s="3" t="n">
        <v>500</v>
      </c>
      <c r="D4" s="1" t="n">
        <v>2</v>
      </c>
      <c r="E4" s="2" t="n">
        <v>126</v>
      </c>
      <c r="F4" s="4" t="n">
        <v>4.12034052390144</v>
      </c>
      <c r="G4" s="1" t="n">
        <v>25</v>
      </c>
      <c r="H4" s="1" t="n">
        <v>39</v>
      </c>
      <c r="I4" s="5" t="n">
        <v>0.0607235456892252</v>
      </c>
      <c r="J4" s="4" t="n">
        <v>304.251943982088</v>
      </c>
      <c r="K4" s="4" t="n">
        <v>0.23</v>
      </c>
    </row>
    <row r="5" customFormat="false" ht="14.25" hidden="false" customHeight="false" outlineLevel="0" collapsed="false">
      <c r="B5" s="1" t="n">
        <v>20</v>
      </c>
      <c r="C5" s="3" t="n">
        <v>500</v>
      </c>
      <c r="D5" s="1" t="n">
        <v>2</v>
      </c>
      <c r="E5" s="2" t="n">
        <v>126</v>
      </c>
      <c r="F5" s="4" t="n">
        <v>4.12034052390144</v>
      </c>
      <c r="G5" s="1" t="n">
        <v>25</v>
      </c>
      <c r="H5" s="1" t="n">
        <v>39</v>
      </c>
      <c r="I5" s="5" t="n">
        <v>0.0607235456892252</v>
      </c>
      <c r="J5" s="4" t="n">
        <v>314.282227849629</v>
      </c>
      <c r="K5" s="4" t="n">
        <v>0.24</v>
      </c>
    </row>
    <row r="6" customFormat="false" ht="14.25" hidden="false" customHeight="false" outlineLevel="0" collapsed="false">
      <c r="B6" s="1" t="n">
        <v>20</v>
      </c>
      <c r="C6" s="3" t="n">
        <v>500</v>
      </c>
      <c r="D6" s="1" t="n">
        <v>2</v>
      </c>
      <c r="E6" s="2" t="n">
        <v>126</v>
      </c>
      <c r="F6" s="4" t="n">
        <v>4.12034052390144</v>
      </c>
      <c r="G6" s="1" t="n">
        <v>25</v>
      </c>
      <c r="H6" s="1" t="n">
        <v>39</v>
      </c>
      <c r="I6" s="5" t="n">
        <v>0.0607235456892252</v>
      </c>
      <c r="J6" s="4" t="n">
        <v>363.319171202054</v>
      </c>
      <c r="K6" s="4" t="n">
        <v>0.27</v>
      </c>
    </row>
    <row r="7" customFormat="false" ht="14.25" hidden="false" customHeight="false" outlineLevel="0" collapsed="false">
      <c r="B7" s="1" t="n">
        <v>20</v>
      </c>
      <c r="C7" s="3" t="n">
        <v>500</v>
      </c>
      <c r="D7" s="1" t="n">
        <v>2</v>
      </c>
      <c r="E7" s="2" t="n">
        <v>126</v>
      </c>
      <c r="F7" s="4" t="n">
        <v>4.12034052390144</v>
      </c>
      <c r="G7" s="1" t="n">
        <v>25</v>
      </c>
      <c r="H7" s="1" t="n">
        <v>39</v>
      </c>
      <c r="I7" s="5" t="n">
        <v>0.0607235456892252</v>
      </c>
      <c r="J7" s="4" t="n">
        <v>459.164105936338</v>
      </c>
      <c r="K7" s="4" t="n">
        <v>0.35</v>
      </c>
    </row>
    <row r="8" customFormat="false" ht="14.25" hidden="false" customHeight="false" outlineLevel="0" collapsed="false">
      <c r="B8" s="1" t="n">
        <v>20</v>
      </c>
      <c r="C8" s="3" t="n">
        <v>500</v>
      </c>
      <c r="D8" s="1" t="n">
        <v>2</v>
      </c>
      <c r="E8" s="2" t="n">
        <v>126</v>
      </c>
      <c r="F8" s="4" t="n">
        <v>4.12034052390144</v>
      </c>
      <c r="G8" s="1" t="n">
        <v>25</v>
      </c>
      <c r="H8" s="1" t="n">
        <v>39</v>
      </c>
      <c r="I8" s="5" t="n">
        <v>0.0607235456892252</v>
      </c>
      <c r="J8" s="4" t="n">
        <v>500</v>
      </c>
      <c r="K8" s="4" t="n">
        <v>0.4</v>
      </c>
    </row>
    <row r="9" customFormat="false" ht="14.25" hidden="false" customHeight="false" outlineLevel="0" collapsed="false">
      <c r="A9" s="0" t="s">
        <v>23</v>
      </c>
      <c r="B9" s="1" t="n">
        <v>10</v>
      </c>
      <c r="C9" s="3" t="n">
        <v>500</v>
      </c>
      <c r="D9" s="1" t="n">
        <v>8</v>
      </c>
      <c r="E9" s="2" t="n">
        <v>87.7</v>
      </c>
      <c r="F9" s="4" t="n">
        <v>4.13112676332901</v>
      </c>
      <c r="G9" s="1" t="n">
        <v>25</v>
      </c>
      <c r="H9" s="1" t="n">
        <v>53</v>
      </c>
      <c r="I9" s="5" t="n">
        <v>0.015388385199706</v>
      </c>
      <c r="J9" s="4" t="n">
        <v>322.919715637812</v>
      </c>
      <c r="K9" s="4" t="n">
        <v>0.16</v>
      </c>
    </row>
    <row r="10" customFormat="false" ht="14.25" hidden="false" customHeight="false" outlineLevel="0" collapsed="false">
      <c r="B10" s="1" t="n">
        <v>10</v>
      </c>
      <c r="C10" s="3" t="n">
        <v>500</v>
      </c>
      <c r="D10" s="1" t="n">
        <v>8</v>
      </c>
      <c r="E10" s="2" t="n">
        <v>87.7</v>
      </c>
      <c r="F10" s="4" t="n">
        <v>4.13112676332901</v>
      </c>
      <c r="G10" s="1" t="n">
        <v>25</v>
      </c>
      <c r="H10" s="1" t="n">
        <v>53</v>
      </c>
      <c r="I10" s="5" t="n">
        <v>0.015388385199706</v>
      </c>
      <c r="J10" s="4" t="n">
        <v>367.820933240784</v>
      </c>
      <c r="K10" s="4" t="n">
        <v>0.18</v>
      </c>
    </row>
    <row r="11" customFormat="false" ht="14.25" hidden="false" customHeight="false" outlineLevel="0" collapsed="false">
      <c r="B11" s="1" t="n">
        <v>10</v>
      </c>
      <c r="C11" s="3" t="n">
        <v>500</v>
      </c>
      <c r="D11" s="1" t="n">
        <v>8</v>
      </c>
      <c r="E11" s="2" t="n">
        <v>87.7</v>
      </c>
      <c r="F11" s="4" t="n">
        <v>4.13112676332901</v>
      </c>
      <c r="G11" s="1" t="n">
        <v>25</v>
      </c>
      <c r="H11" s="1" t="n">
        <v>53</v>
      </c>
      <c r="I11" s="5" t="n">
        <v>0.015388385199706</v>
      </c>
      <c r="J11" s="4" t="n">
        <v>500</v>
      </c>
      <c r="K11" s="4" t="n">
        <v>0.26</v>
      </c>
    </row>
    <row r="12" customFormat="false" ht="14.25" hidden="false" customHeight="false" outlineLevel="0" collapsed="false">
      <c r="A12" s="0" t="s">
        <v>24</v>
      </c>
      <c r="B12" s="1" t="n">
        <v>10</v>
      </c>
      <c r="C12" s="3" t="n">
        <v>628</v>
      </c>
      <c r="D12" s="1" t="n">
        <v>4</v>
      </c>
      <c r="E12" s="2" t="n">
        <v>32.4666666666667</v>
      </c>
      <c r="F12" s="4" t="n">
        <v>3.262</v>
      </c>
      <c r="G12" s="1" t="n">
        <v>25</v>
      </c>
      <c r="H12" s="1" t="n">
        <v>36</v>
      </c>
      <c r="I12" s="5" t="n">
        <v>0.0174444444444444</v>
      </c>
      <c r="J12" s="4" t="n">
        <v>285.048032184717</v>
      </c>
      <c r="K12" s="4" t="n">
        <v>0.16</v>
      </c>
    </row>
    <row r="13" customFormat="false" ht="14.25" hidden="false" customHeight="false" outlineLevel="0" collapsed="false">
      <c r="B13" s="1" t="n">
        <v>10</v>
      </c>
      <c r="C13" s="3" t="n">
        <v>628</v>
      </c>
      <c r="D13" s="1" t="n">
        <v>4</v>
      </c>
      <c r="E13" s="2" t="n">
        <v>32.4666666666667</v>
      </c>
      <c r="F13" s="4" t="n">
        <v>3.262</v>
      </c>
      <c r="G13" s="1" t="n">
        <v>25</v>
      </c>
      <c r="H13" s="1" t="n">
        <v>36</v>
      </c>
      <c r="I13" s="5" t="n">
        <v>0.0174444444444444</v>
      </c>
      <c r="J13" s="4" t="n">
        <v>324.999646144464</v>
      </c>
      <c r="K13" s="4" t="n">
        <v>0.2</v>
      </c>
    </row>
    <row r="14" customFormat="false" ht="14.25" hidden="false" customHeight="false" outlineLevel="0" collapsed="false">
      <c r="B14" s="1" t="n">
        <v>10</v>
      </c>
      <c r="C14" s="3" t="n">
        <v>628</v>
      </c>
      <c r="D14" s="1" t="n">
        <v>4</v>
      </c>
      <c r="E14" s="2" t="n">
        <v>32.4666666666667</v>
      </c>
      <c r="F14" s="4" t="n">
        <v>3.262</v>
      </c>
      <c r="G14" s="1" t="n">
        <v>25</v>
      </c>
      <c r="H14" s="1" t="n">
        <v>36</v>
      </c>
      <c r="I14" s="5" t="n">
        <v>0.0174444444444444</v>
      </c>
      <c r="J14" s="4" t="n">
        <v>367.644627337453</v>
      </c>
      <c r="K14" s="4" t="n">
        <v>0.2</v>
      </c>
    </row>
    <row r="15" customFormat="false" ht="14.25" hidden="false" customHeight="false" outlineLevel="0" collapsed="false">
      <c r="B15" s="1" t="n">
        <v>10</v>
      </c>
      <c r="C15" s="3" t="n">
        <v>628</v>
      </c>
      <c r="D15" s="1" t="n">
        <v>4</v>
      </c>
      <c r="E15" s="2" t="n">
        <v>32.4666666666667</v>
      </c>
      <c r="F15" s="4" t="n">
        <v>3.262</v>
      </c>
      <c r="G15" s="1" t="n">
        <v>25</v>
      </c>
      <c r="H15" s="1" t="n">
        <v>36</v>
      </c>
      <c r="I15" s="5" t="n">
        <v>0.0174444444444444</v>
      </c>
      <c r="J15" s="4" t="n">
        <v>410.738503069316</v>
      </c>
      <c r="K15" s="4" t="n">
        <v>0.24</v>
      </c>
    </row>
    <row r="16" customFormat="false" ht="14.25" hidden="false" customHeight="false" outlineLevel="0" collapsed="false">
      <c r="B16" s="1" t="n">
        <v>10</v>
      </c>
      <c r="C16" s="3" t="n">
        <v>628</v>
      </c>
      <c r="D16" s="1" t="n">
        <v>4</v>
      </c>
      <c r="E16" s="2" t="n">
        <v>32.4666666666667</v>
      </c>
      <c r="F16" s="4" t="n">
        <v>3.262</v>
      </c>
      <c r="G16" s="1" t="n">
        <v>25</v>
      </c>
      <c r="H16" s="1" t="n">
        <v>36</v>
      </c>
      <c r="I16" s="5" t="n">
        <v>0.0174444444444444</v>
      </c>
      <c r="J16" s="4" t="n">
        <v>438.569964479477</v>
      </c>
      <c r="K16" s="4" t="n">
        <v>0.3</v>
      </c>
    </row>
    <row r="17" customFormat="false" ht="14.25" hidden="false" customHeight="false" outlineLevel="0" collapsed="false">
      <c r="B17" s="1" t="n">
        <v>10</v>
      </c>
      <c r="C17" s="3" t="n">
        <v>628</v>
      </c>
      <c r="D17" s="1" t="n">
        <v>4</v>
      </c>
      <c r="E17" s="2" t="n">
        <v>32.4666666666667</v>
      </c>
      <c r="F17" s="4" t="n">
        <v>3.262</v>
      </c>
      <c r="G17" s="1" t="n">
        <v>25</v>
      </c>
      <c r="H17" s="1" t="n">
        <v>36</v>
      </c>
      <c r="I17" s="5" t="n">
        <v>0.0174444444444444</v>
      </c>
      <c r="J17" s="4" t="n">
        <v>498.272938149662</v>
      </c>
      <c r="K17" s="4" t="n">
        <v>0.32</v>
      </c>
    </row>
    <row r="18" customFormat="false" ht="14.25" hidden="false" customHeight="false" outlineLevel="0" collapsed="false">
      <c r="B18" s="1" t="n">
        <v>10</v>
      </c>
      <c r="C18" s="3" t="n">
        <v>628</v>
      </c>
      <c r="D18" s="1" t="n">
        <v>4</v>
      </c>
      <c r="E18" s="2" t="n">
        <v>32.4666666666667</v>
      </c>
      <c r="F18" s="4" t="n">
        <v>3.262</v>
      </c>
      <c r="G18" s="1" t="n">
        <v>25</v>
      </c>
      <c r="H18" s="1" t="n">
        <v>36</v>
      </c>
      <c r="I18" s="5" t="n">
        <v>0.0174444444444444</v>
      </c>
      <c r="J18" s="4" t="n">
        <v>502.761883538398</v>
      </c>
      <c r="K18" s="4" t="n">
        <v>0.38</v>
      </c>
    </row>
    <row r="19" customFormat="false" ht="14.25" hidden="false" customHeight="false" outlineLevel="0" collapsed="false">
      <c r="B19" s="1" t="n">
        <v>10</v>
      </c>
      <c r="C19" s="3" t="n">
        <v>628</v>
      </c>
      <c r="D19" s="1" t="n">
        <v>4</v>
      </c>
      <c r="E19" s="2" t="n">
        <v>32.4666666666667</v>
      </c>
      <c r="F19" s="4" t="n">
        <v>3.262</v>
      </c>
      <c r="G19" s="1" t="n">
        <v>25</v>
      </c>
      <c r="H19" s="1" t="n">
        <v>36</v>
      </c>
      <c r="I19" s="5" t="n">
        <v>0.0174444444444444</v>
      </c>
      <c r="J19" s="4" t="n">
        <v>538.673446648283</v>
      </c>
      <c r="K19" s="4" t="n">
        <v>0.42</v>
      </c>
    </row>
    <row r="20" customFormat="false" ht="14.25" hidden="false" customHeight="false" outlineLevel="0" collapsed="false">
      <c r="B20" s="1" t="n">
        <v>10</v>
      </c>
      <c r="C20" s="3" t="n">
        <v>628</v>
      </c>
      <c r="D20" s="1" t="n">
        <v>4</v>
      </c>
      <c r="E20" s="2" t="n">
        <v>32.4666666666667</v>
      </c>
      <c r="F20" s="4" t="n">
        <v>3.262</v>
      </c>
      <c r="G20" s="1" t="n">
        <v>25</v>
      </c>
      <c r="H20" s="1" t="n">
        <v>36</v>
      </c>
      <c r="I20" s="5" t="n">
        <v>0.0174444444444444</v>
      </c>
      <c r="J20" s="4" t="n">
        <v>628</v>
      </c>
      <c r="K20" s="4" t="n">
        <v>0.44</v>
      </c>
    </row>
    <row r="21" customFormat="false" ht="14.25" hidden="false" customHeight="false" outlineLevel="0" collapsed="false">
      <c r="B21" s="1" t="n">
        <v>10</v>
      </c>
      <c r="C21" s="3" t="n">
        <v>628</v>
      </c>
      <c r="D21" s="1" t="n">
        <v>4</v>
      </c>
      <c r="E21" s="2" t="n">
        <v>32.4666666666667</v>
      </c>
      <c r="F21" s="4" t="n">
        <v>3.262</v>
      </c>
      <c r="G21" s="1" t="n">
        <v>25</v>
      </c>
      <c r="H21" s="1" t="n">
        <v>36</v>
      </c>
      <c r="I21" s="5" t="n">
        <v>0.0174444444444444</v>
      </c>
      <c r="J21" s="4" t="n">
        <v>628</v>
      </c>
      <c r="K21" s="4" t="n">
        <v>0.5</v>
      </c>
    </row>
    <row r="22" customFormat="false" ht="14.25" hidden="false" customHeight="false" outlineLevel="0" collapsed="false">
      <c r="A22" s="0" t="s">
        <v>25</v>
      </c>
      <c r="B22" s="1" t="n">
        <v>10</v>
      </c>
      <c r="C22" s="3" t="n">
        <v>628</v>
      </c>
      <c r="D22" s="1" t="n">
        <v>4</v>
      </c>
      <c r="E22" s="2" t="n">
        <v>32.4666666666667</v>
      </c>
      <c r="F22" s="4" t="n">
        <v>3.514</v>
      </c>
      <c r="G22" s="1" t="n">
        <v>25</v>
      </c>
      <c r="H22" s="1" t="n">
        <v>36</v>
      </c>
      <c r="I22" s="5" t="n">
        <v>0.0174444444444444</v>
      </c>
      <c r="J22" s="4" t="n">
        <v>321.471876442594</v>
      </c>
      <c r="K22" s="4" t="n">
        <v>0.24</v>
      </c>
    </row>
    <row r="23" customFormat="false" ht="14.25" hidden="false" customHeight="false" outlineLevel="0" collapsed="false">
      <c r="B23" s="1" t="n">
        <v>10</v>
      </c>
      <c r="C23" s="3" t="n">
        <v>628</v>
      </c>
      <c r="D23" s="1" t="n">
        <v>4</v>
      </c>
      <c r="E23" s="2" t="n">
        <v>32.4666666666667</v>
      </c>
      <c r="F23" s="4" t="n">
        <v>3.514</v>
      </c>
      <c r="G23" s="1" t="n">
        <v>25</v>
      </c>
      <c r="H23" s="1" t="n">
        <v>36</v>
      </c>
      <c r="I23" s="5" t="n">
        <v>0.0174444444444444</v>
      </c>
      <c r="J23" s="4" t="n">
        <v>357.190973825104</v>
      </c>
      <c r="K23" s="4" t="n">
        <v>0.3</v>
      </c>
    </row>
    <row r="24" customFormat="false" ht="14.25" hidden="false" customHeight="false" outlineLevel="0" collapsed="false">
      <c r="B24" s="1" t="n">
        <v>10</v>
      </c>
      <c r="C24" s="3" t="n">
        <v>628</v>
      </c>
      <c r="D24" s="1" t="n">
        <v>4</v>
      </c>
      <c r="E24" s="2" t="n">
        <v>32.4666666666667</v>
      </c>
      <c r="F24" s="4" t="n">
        <v>3.514</v>
      </c>
      <c r="G24" s="1" t="n">
        <v>25</v>
      </c>
      <c r="H24" s="1" t="n">
        <v>36</v>
      </c>
      <c r="I24" s="5" t="n">
        <v>0.0174444444444444</v>
      </c>
      <c r="J24" s="4" t="n">
        <v>370.585635343545</v>
      </c>
      <c r="K24" s="4" t="n">
        <v>0.3</v>
      </c>
    </row>
    <row r="25" customFormat="false" ht="14.25" hidden="false" customHeight="false" outlineLevel="0" collapsed="false">
      <c r="B25" s="1" t="n">
        <v>10</v>
      </c>
      <c r="C25" s="3" t="n">
        <v>628</v>
      </c>
      <c r="D25" s="1" t="n">
        <v>4</v>
      </c>
      <c r="E25" s="2" t="n">
        <v>32.4666666666667</v>
      </c>
      <c r="F25" s="4" t="n">
        <v>3.514</v>
      </c>
      <c r="G25" s="1" t="n">
        <v>25</v>
      </c>
      <c r="H25" s="1" t="n">
        <v>36</v>
      </c>
      <c r="I25" s="5" t="n">
        <v>0.0174444444444444</v>
      </c>
      <c r="J25" s="4" t="n">
        <v>392.910071207614</v>
      </c>
      <c r="K25" s="4" t="n">
        <v>0.3</v>
      </c>
    </row>
    <row r="26" customFormat="false" ht="14.25" hidden="false" customHeight="false" outlineLevel="0" collapsed="false">
      <c r="B26" s="1" t="n">
        <v>10</v>
      </c>
      <c r="C26" s="3" t="n">
        <v>628</v>
      </c>
      <c r="D26" s="1" t="n">
        <v>4</v>
      </c>
      <c r="E26" s="2" t="n">
        <v>32.4666666666667</v>
      </c>
      <c r="F26" s="4" t="n">
        <v>3.514</v>
      </c>
      <c r="G26" s="1" t="n">
        <v>25</v>
      </c>
      <c r="H26" s="1" t="n">
        <v>36</v>
      </c>
      <c r="I26" s="5" t="n">
        <v>0.0174444444444444</v>
      </c>
      <c r="J26" s="4" t="n">
        <v>424.164281417311</v>
      </c>
      <c r="K26" s="4" t="n">
        <v>0.38</v>
      </c>
    </row>
    <row r="27" customFormat="false" ht="14.25" hidden="false" customHeight="false" outlineLevel="0" collapsed="false">
      <c r="B27" s="1" t="n">
        <v>10</v>
      </c>
      <c r="C27" s="3" t="n">
        <v>628</v>
      </c>
      <c r="D27" s="1" t="n">
        <v>4</v>
      </c>
      <c r="E27" s="2" t="n">
        <v>32.4666666666667</v>
      </c>
      <c r="F27" s="4" t="n">
        <v>3.514</v>
      </c>
      <c r="G27" s="1" t="n">
        <v>25</v>
      </c>
      <c r="H27" s="1" t="n">
        <v>36</v>
      </c>
      <c r="I27" s="5" t="n">
        <v>0.0174444444444444</v>
      </c>
      <c r="J27" s="4" t="n">
        <v>491.137589009518</v>
      </c>
      <c r="K27" s="4" t="n">
        <v>0.44</v>
      </c>
    </row>
    <row r="28" customFormat="false" ht="14.25" hidden="false" customHeight="false" outlineLevel="0" collapsed="false">
      <c r="A28" s="0" t="s">
        <v>26</v>
      </c>
      <c r="B28" s="1" t="n">
        <v>16</v>
      </c>
      <c r="C28" s="3" t="n">
        <v>571</v>
      </c>
      <c r="D28" s="1" t="n">
        <v>4</v>
      </c>
      <c r="E28" s="2" t="n">
        <v>37</v>
      </c>
      <c r="F28" s="4" t="n">
        <v>4.2588</v>
      </c>
      <c r="G28" s="1" t="n">
        <v>33</v>
      </c>
      <c r="H28" s="1" t="n">
        <v>59</v>
      </c>
      <c r="I28" s="5" t="n">
        <v>0.1168</v>
      </c>
      <c r="J28" s="4" t="n">
        <v>140.041965597591</v>
      </c>
      <c r="K28" s="4" t="n">
        <v>0.18</v>
      </c>
    </row>
    <row r="29" customFormat="false" ht="14.25" hidden="false" customHeight="false" outlineLevel="0" collapsed="false">
      <c r="B29" s="1" t="n">
        <v>16</v>
      </c>
      <c r="C29" s="3" t="n">
        <v>571</v>
      </c>
      <c r="D29" s="1" t="n">
        <v>4</v>
      </c>
      <c r="E29" s="2" t="n">
        <v>37</v>
      </c>
      <c r="F29" s="4" t="n">
        <v>4.2588</v>
      </c>
      <c r="G29" s="1" t="n">
        <v>33</v>
      </c>
      <c r="H29" s="1" t="n">
        <v>59</v>
      </c>
      <c r="I29" s="5" t="n">
        <v>0.1168</v>
      </c>
      <c r="J29" s="4" t="n">
        <v>201.598873552576</v>
      </c>
      <c r="K29" s="4" t="n">
        <v>0.2</v>
      </c>
    </row>
    <row r="30" customFormat="false" ht="14.25" hidden="false" customHeight="false" outlineLevel="0" collapsed="false">
      <c r="B30" s="1" t="n">
        <v>16</v>
      </c>
      <c r="C30" s="3" t="n">
        <v>571</v>
      </c>
      <c r="D30" s="1" t="n">
        <v>4</v>
      </c>
      <c r="E30" s="2" t="n">
        <v>37</v>
      </c>
      <c r="F30" s="4" t="n">
        <v>4.2588</v>
      </c>
      <c r="G30" s="1" t="n">
        <v>33</v>
      </c>
      <c r="H30" s="1" t="n">
        <v>59</v>
      </c>
      <c r="I30" s="5" t="n">
        <v>0.1168</v>
      </c>
      <c r="J30" s="4" t="n">
        <v>243.919247771628</v>
      </c>
      <c r="K30" s="4" t="n">
        <v>0.26</v>
      </c>
    </row>
    <row r="31" customFormat="false" ht="14.25" hidden="false" customHeight="false" outlineLevel="0" collapsed="false">
      <c r="B31" s="1" t="n">
        <v>16</v>
      </c>
      <c r="C31" s="3" t="n">
        <v>571</v>
      </c>
      <c r="D31" s="1" t="n">
        <v>4</v>
      </c>
      <c r="E31" s="2" t="n">
        <v>37</v>
      </c>
      <c r="F31" s="4" t="n">
        <v>4.2588</v>
      </c>
      <c r="G31" s="1" t="n">
        <v>33</v>
      </c>
      <c r="H31" s="1" t="n">
        <v>59</v>
      </c>
      <c r="I31" s="5" t="n">
        <v>0.1168</v>
      </c>
      <c r="J31" s="4" t="n">
        <v>313.940230570424</v>
      </c>
      <c r="K31" s="4" t="n">
        <v>0.44</v>
      </c>
    </row>
    <row r="32" customFormat="false" ht="14.25" hidden="false" customHeight="false" outlineLevel="0" collapsed="false">
      <c r="B32" s="1" t="n">
        <v>16</v>
      </c>
      <c r="C32" s="3" t="n">
        <v>571</v>
      </c>
      <c r="D32" s="1" t="n">
        <v>4</v>
      </c>
      <c r="E32" s="2" t="n">
        <v>37</v>
      </c>
      <c r="F32" s="4" t="n">
        <v>4.2588</v>
      </c>
      <c r="G32" s="1" t="n">
        <v>33</v>
      </c>
      <c r="H32" s="1" t="n">
        <v>59</v>
      </c>
      <c r="I32" s="5" t="n">
        <v>0.1168</v>
      </c>
      <c r="J32" s="4" t="n">
        <v>416.278590045587</v>
      </c>
      <c r="K32" s="4" t="n">
        <v>0.6</v>
      </c>
    </row>
    <row r="33" customFormat="false" ht="14.25" hidden="false" customHeight="false" outlineLevel="0" collapsed="false">
      <c r="A33" s="0" t="s">
        <v>27</v>
      </c>
      <c r="B33" s="1" t="n">
        <v>12</v>
      </c>
      <c r="C33" s="3" t="n">
        <v>500</v>
      </c>
      <c r="D33" s="1" t="n">
        <v>4</v>
      </c>
      <c r="E33" s="2" t="n">
        <v>79.3</v>
      </c>
      <c r="F33" s="4" t="n">
        <v>2.69332921131829</v>
      </c>
      <c r="G33" s="1" t="n">
        <v>20</v>
      </c>
      <c r="H33" s="1" t="n">
        <v>38</v>
      </c>
      <c r="I33" s="5" t="n">
        <v>0.013593984962406</v>
      </c>
      <c r="J33" s="4" t="n">
        <v>300.432956249241</v>
      </c>
      <c r="K33" s="4" t="n">
        <v>0.36</v>
      </c>
    </row>
    <row r="34" customFormat="false" ht="14.25" hidden="false" customHeight="false" outlineLevel="0" collapsed="false">
      <c r="B34" s="1" t="n">
        <v>12</v>
      </c>
      <c r="C34" s="3" t="n">
        <v>500</v>
      </c>
      <c r="D34" s="1" t="n">
        <v>4</v>
      </c>
      <c r="E34" s="2" t="n">
        <v>79.3</v>
      </c>
      <c r="F34" s="4" t="n">
        <v>2.69332921131829</v>
      </c>
      <c r="G34" s="1" t="n">
        <v>20</v>
      </c>
      <c r="H34" s="1" t="n">
        <v>38</v>
      </c>
      <c r="I34" s="5" t="n">
        <v>0.013593984962406</v>
      </c>
      <c r="J34" s="4" t="n">
        <v>386.270943749024</v>
      </c>
      <c r="K34" s="4" t="n">
        <v>0.43</v>
      </c>
    </row>
    <row r="35" customFormat="false" ht="14.25" hidden="false" customHeight="false" outlineLevel="0" collapsed="false">
      <c r="B35" s="1" t="n">
        <v>12</v>
      </c>
      <c r="C35" s="3" t="n">
        <v>500</v>
      </c>
      <c r="D35" s="1" t="n">
        <v>4</v>
      </c>
      <c r="E35" s="2" t="n">
        <v>79.3</v>
      </c>
      <c r="F35" s="4" t="n">
        <v>2.69332921131829</v>
      </c>
      <c r="G35" s="1" t="n">
        <v>20</v>
      </c>
      <c r="H35" s="1" t="n">
        <v>38</v>
      </c>
      <c r="I35" s="5" t="n">
        <v>0.013593984962406</v>
      </c>
      <c r="J35" s="4" t="n">
        <v>500</v>
      </c>
      <c r="K35" s="4" t="n">
        <v>0.56</v>
      </c>
    </row>
    <row r="36" customFormat="false" ht="14.25" hidden="false" customHeight="false" outlineLevel="0" collapsed="false">
      <c r="B36" s="1" t="n">
        <v>12</v>
      </c>
      <c r="C36" s="3" t="n">
        <v>500</v>
      </c>
      <c r="D36" s="1" t="n">
        <v>4</v>
      </c>
      <c r="E36" s="2" t="n">
        <v>79.3</v>
      </c>
      <c r="F36" s="4" t="n">
        <v>2.69332921131829</v>
      </c>
      <c r="G36" s="1" t="n">
        <v>20</v>
      </c>
      <c r="H36" s="1" t="n">
        <v>38</v>
      </c>
      <c r="I36" s="5" t="n">
        <v>0.013593984962406</v>
      </c>
      <c r="J36" s="4" t="n">
        <v>500</v>
      </c>
      <c r="K36" s="4" t="n">
        <v>0.71</v>
      </c>
    </row>
    <row r="37" customFormat="false" ht="14.25" hidden="false" customHeight="false" outlineLevel="0" collapsed="false">
      <c r="B37" s="1" t="n">
        <v>12</v>
      </c>
      <c r="C37" s="3" t="n">
        <v>500</v>
      </c>
      <c r="D37" s="1" t="n">
        <v>4</v>
      </c>
      <c r="E37" s="2" t="n">
        <v>79.3</v>
      </c>
      <c r="F37" s="4" t="n">
        <v>2.69332921131829</v>
      </c>
      <c r="G37" s="1" t="n">
        <v>20</v>
      </c>
      <c r="H37" s="1" t="n">
        <v>38</v>
      </c>
      <c r="I37" s="5" t="n">
        <v>0.013593984962406</v>
      </c>
      <c r="J37" s="4" t="n">
        <v>500</v>
      </c>
      <c r="K37" s="4" t="n">
        <v>0.79</v>
      </c>
    </row>
    <row r="38" customFormat="false" ht="14.25" hidden="false" customHeight="false" outlineLevel="0" collapsed="false">
      <c r="A38" s="0" t="s">
        <v>28</v>
      </c>
      <c r="B38" s="1" t="n">
        <v>25</v>
      </c>
      <c r="C38" s="3" t="n">
        <v>500</v>
      </c>
      <c r="D38" s="1" t="n">
        <v>4</v>
      </c>
      <c r="E38" s="2" t="n">
        <v>62</v>
      </c>
      <c r="F38" s="4" t="n">
        <v>2.69332921131829</v>
      </c>
      <c r="G38" s="1" t="n">
        <v>20</v>
      </c>
      <c r="H38" s="1" t="n">
        <v>44.5</v>
      </c>
      <c r="I38" s="5" t="n">
        <v>0.0544670511994589</v>
      </c>
      <c r="J38" s="4" t="n">
        <v>106.512655225995</v>
      </c>
      <c r="K38" s="4" t="n">
        <v>0.2</v>
      </c>
    </row>
    <row r="39" customFormat="false" ht="14.25" hidden="false" customHeight="false" outlineLevel="0" collapsed="false">
      <c r="B39" s="1" t="n">
        <v>25</v>
      </c>
      <c r="C39" s="3" t="n">
        <v>500</v>
      </c>
      <c r="D39" s="1" t="n">
        <v>4</v>
      </c>
      <c r="E39" s="2" t="n">
        <v>62</v>
      </c>
      <c r="F39" s="4" t="n">
        <v>2.69332921131829</v>
      </c>
      <c r="G39" s="1" t="n">
        <v>20</v>
      </c>
      <c r="H39" s="1" t="n">
        <v>44.5</v>
      </c>
      <c r="I39" s="5" t="n">
        <v>0.0544670511994589</v>
      </c>
      <c r="J39" s="4" t="n">
        <v>191.72277940679</v>
      </c>
      <c r="K39" s="4" t="n">
        <v>0.25</v>
      </c>
    </row>
    <row r="40" customFormat="false" ht="14.25" hidden="false" customHeight="false" outlineLevel="0" collapsed="false">
      <c r="B40" s="1" t="n">
        <v>25</v>
      </c>
      <c r="C40" s="3" t="n">
        <v>500</v>
      </c>
      <c r="D40" s="1" t="n">
        <v>4</v>
      </c>
      <c r="E40" s="2" t="n">
        <v>62</v>
      </c>
      <c r="F40" s="4" t="n">
        <v>2.69332921131829</v>
      </c>
      <c r="G40" s="1" t="n">
        <v>20</v>
      </c>
      <c r="H40" s="1" t="n">
        <v>44.5</v>
      </c>
      <c r="I40" s="5" t="n">
        <v>0.0544670511994589</v>
      </c>
      <c r="J40" s="4" t="n">
        <v>276.932903587586</v>
      </c>
      <c r="K40" s="4" t="n">
        <v>0.36</v>
      </c>
    </row>
    <row r="41" customFormat="false" ht="14.25" hidden="false" customHeight="false" outlineLevel="0" collapsed="false">
      <c r="B41" s="1" t="n">
        <v>25</v>
      </c>
      <c r="C41" s="3" t="n">
        <v>500</v>
      </c>
      <c r="D41" s="1" t="n">
        <v>4</v>
      </c>
      <c r="E41" s="2" t="n">
        <v>62</v>
      </c>
      <c r="F41" s="4" t="n">
        <v>2.69332921131829</v>
      </c>
      <c r="G41" s="1" t="n">
        <v>20</v>
      </c>
      <c r="H41" s="1" t="n">
        <v>44.5</v>
      </c>
      <c r="I41" s="5" t="n">
        <v>0.0544670511994589</v>
      </c>
      <c r="J41" s="4" t="n">
        <v>362.143027768382</v>
      </c>
      <c r="K41" s="4" t="n">
        <v>0.47</v>
      </c>
    </row>
    <row r="42" customFormat="false" ht="14.25" hidden="false" customHeight="false" outlineLevel="0" collapsed="false">
      <c r="B42" s="1" t="n">
        <v>25</v>
      </c>
      <c r="C42" s="3" t="n">
        <v>500</v>
      </c>
      <c r="D42" s="1" t="n">
        <v>4</v>
      </c>
      <c r="E42" s="2" t="n">
        <v>62</v>
      </c>
      <c r="F42" s="4" t="n">
        <v>2.69332921131829</v>
      </c>
      <c r="G42" s="1" t="n">
        <v>20</v>
      </c>
      <c r="H42" s="1" t="n">
        <v>44.5</v>
      </c>
      <c r="I42" s="5" t="n">
        <v>0.0544670511994589</v>
      </c>
      <c r="J42" s="4" t="n">
        <v>426.050620903978</v>
      </c>
      <c r="K42" s="4" t="n">
        <v>0.57</v>
      </c>
    </row>
    <row r="43" customFormat="false" ht="14.25" hidden="false" customHeight="false" outlineLevel="0" collapsed="false">
      <c r="B43" s="1" t="n">
        <v>25</v>
      </c>
      <c r="C43" s="3" t="n">
        <v>500</v>
      </c>
      <c r="D43" s="1" t="n">
        <v>4</v>
      </c>
      <c r="E43" s="2" t="n">
        <v>62</v>
      </c>
      <c r="F43" s="4" t="n">
        <v>2.69332921131829</v>
      </c>
      <c r="G43" s="1" t="n">
        <v>20</v>
      </c>
      <c r="H43" s="1" t="n">
        <v>44.5</v>
      </c>
      <c r="I43" s="5" t="n">
        <v>0.0544670511994589</v>
      </c>
      <c r="J43" s="4" t="n">
        <v>500</v>
      </c>
      <c r="K43" s="4" t="n">
        <v>0.78</v>
      </c>
    </row>
    <row r="44" customFormat="false" ht="14.25" hidden="false" customHeight="false" outlineLevel="0" collapsed="false">
      <c r="A44" s="0" t="s">
        <v>29</v>
      </c>
      <c r="B44" s="1" t="n">
        <v>12</v>
      </c>
      <c r="C44" s="3" t="n">
        <v>500</v>
      </c>
      <c r="D44" s="1" t="n">
        <v>4</v>
      </c>
      <c r="E44" s="2" t="n">
        <v>79.3</v>
      </c>
      <c r="F44" s="4" t="n">
        <v>2.69332921131829</v>
      </c>
      <c r="G44" s="1" t="n">
        <v>20</v>
      </c>
      <c r="H44" s="1" t="n">
        <v>34</v>
      </c>
      <c r="I44" s="5" t="n">
        <v>0.0151932773109244</v>
      </c>
      <c r="J44" s="4" t="n">
        <v>212.47112712609</v>
      </c>
      <c r="K44" s="4" t="n">
        <v>0.21</v>
      </c>
    </row>
    <row r="45" customFormat="false" ht="14.25" hidden="false" customHeight="false" outlineLevel="0" collapsed="false">
      <c r="B45" s="1" t="n">
        <v>12</v>
      </c>
      <c r="C45" s="3" t="n">
        <v>500</v>
      </c>
      <c r="D45" s="1" t="n">
        <v>4</v>
      </c>
      <c r="E45" s="2" t="n">
        <v>79.3</v>
      </c>
      <c r="F45" s="4" t="n">
        <v>2.69332921131829</v>
      </c>
      <c r="G45" s="1" t="n">
        <v>20</v>
      </c>
      <c r="H45" s="1" t="n">
        <v>34</v>
      </c>
      <c r="I45" s="5" t="n">
        <v>0.0151932773109244</v>
      </c>
      <c r="J45" s="4" t="n">
        <v>254.965352551308</v>
      </c>
      <c r="K45" s="4" t="n">
        <v>0.31</v>
      </c>
    </row>
    <row r="46" customFormat="false" ht="14.25" hidden="false" customHeight="false" outlineLevel="0" collapsed="false">
      <c r="B46" s="1" t="n">
        <v>12</v>
      </c>
      <c r="C46" s="3" t="n">
        <v>500</v>
      </c>
      <c r="D46" s="1" t="n">
        <v>4</v>
      </c>
      <c r="E46" s="2" t="n">
        <v>79.3</v>
      </c>
      <c r="F46" s="4" t="n">
        <v>2.69332921131829</v>
      </c>
      <c r="G46" s="1" t="n">
        <v>20</v>
      </c>
      <c r="H46" s="1" t="n">
        <v>34</v>
      </c>
      <c r="I46" s="5" t="n">
        <v>0.0151932773109244</v>
      </c>
      <c r="J46" s="4" t="n">
        <v>297.459577976525</v>
      </c>
      <c r="K46" s="4" t="n">
        <v>0.38</v>
      </c>
    </row>
    <row r="47" customFormat="false" ht="14.25" hidden="false" customHeight="false" outlineLevel="0" collapsed="false">
      <c r="B47" s="1" t="n">
        <v>12</v>
      </c>
      <c r="C47" s="3" t="n">
        <v>500</v>
      </c>
      <c r="D47" s="1" t="n">
        <v>4</v>
      </c>
      <c r="E47" s="2" t="n">
        <v>79.3</v>
      </c>
      <c r="F47" s="4" t="n">
        <v>2.69332921131829</v>
      </c>
      <c r="G47" s="1" t="n">
        <v>20</v>
      </c>
      <c r="H47" s="1" t="n">
        <v>34</v>
      </c>
      <c r="I47" s="5" t="n">
        <v>0.0151932773109244</v>
      </c>
      <c r="J47" s="4" t="n">
        <v>382.448028826961</v>
      </c>
      <c r="K47" s="4" t="n">
        <v>0.52</v>
      </c>
    </row>
    <row r="48" customFormat="false" ht="14.25" hidden="false" customHeight="false" outlineLevel="0" collapsed="false">
      <c r="B48" s="1" t="n">
        <v>12</v>
      </c>
      <c r="C48" s="3" t="n">
        <v>500</v>
      </c>
      <c r="D48" s="1" t="n">
        <v>4</v>
      </c>
      <c r="E48" s="2" t="n">
        <v>79.3</v>
      </c>
      <c r="F48" s="4" t="n">
        <v>2.69332921131829</v>
      </c>
      <c r="G48" s="1" t="n">
        <v>20</v>
      </c>
      <c r="H48" s="1" t="n">
        <v>34</v>
      </c>
      <c r="I48" s="5" t="n">
        <v>0.0151932773109244</v>
      </c>
      <c r="J48" s="4" t="n">
        <v>500</v>
      </c>
      <c r="K48" s="4" t="n">
        <v>0.74</v>
      </c>
    </row>
    <row r="49" customFormat="false" ht="14.25" hidden="false" customHeight="false" outlineLevel="0" collapsed="false">
      <c r="A49" s="0" t="s">
        <v>30</v>
      </c>
      <c r="B49" s="1" t="n">
        <v>12</v>
      </c>
      <c r="C49" s="3" t="n">
        <v>500</v>
      </c>
      <c r="D49" s="1" t="n">
        <v>4</v>
      </c>
      <c r="E49" s="2" t="n">
        <v>79.3</v>
      </c>
      <c r="F49" s="4" t="n">
        <v>2.69332921131829</v>
      </c>
      <c r="G49" s="1" t="n">
        <v>20</v>
      </c>
      <c r="H49" s="1" t="n">
        <v>34</v>
      </c>
      <c r="I49" s="5" t="n">
        <v>0.0151932773109244</v>
      </c>
      <c r="J49" s="4" t="n">
        <v>212.47112712609</v>
      </c>
      <c r="K49" s="4" t="n">
        <v>0.17</v>
      </c>
    </row>
    <row r="50" customFormat="false" ht="14.25" hidden="false" customHeight="false" outlineLevel="0" collapsed="false">
      <c r="B50" s="1" t="n">
        <v>12</v>
      </c>
      <c r="C50" s="3" t="n">
        <v>500</v>
      </c>
      <c r="D50" s="1" t="n">
        <v>4</v>
      </c>
      <c r="E50" s="2" t="n">
        <v>79.3</v>
      </c>
      <c r="F50" s="4" t="n">
        <v>2.69332921131829</v>
      </c>
      <c r="G50" s="1" t="n">
        <v>20</v>
      </c>
      <c r="H50" s="1" t="n">
        <v>34</v>
      </c>
      <c r="I50" s="5" t="n">
        <v>0.0151932773109244</v>
      </c>
      <c r="J50" s="4" t="n">
        <v>297.459577976525</v>
      </c>
      <c r="K50" s="4" t="n">
        <v>0.36</v>
      </c>
    </row>
    <row r="51" customFormat="false" ht="14.25" hidden="false" customHeight="false" outlineLevel="0" collapsed="false">
      <c r="B51" s="1" t="n">
        <v>12</v>
      </c>
      <c r="C51" s="3" t="n">
        <v>500</v>
      </c>
      <c r="D51" s="1" t="n">
        <v>4</v>
      </c>
      <c r="E51" s="2" t="n">
        <v>79.3</v>
      </c>
      <c r="F51" s="4" t="n">
        <v>2.69332921131829</v>
      </c>
      <c r="G51" s="1" t="n">
        <v>20</v>
      </c>
      <c r="H51" s="1" t="n">
        <v>34</v>
      </c>
      <c r="I51" s="5" t="n">
        <v>0.0151932773109244</v>
      </c>
      <c r="J51" s="4" t="n">
        <v>382.448028826961</v>
      </c>
      <c r="K51" s="4" t="n">
        <v>0.56</v>
      </c>
    </row>
    <row r="52" customFormat="false" ht="14.25" hidden="false" customHeight="false" outlineLevel="0" collapsed="false">
      <c r="B52" s="1" t="n">
        <v>12</v>
      </c>
      <c r="C52" s="3" t="n">
        <v>500</v>
      </c>
      <c r="D52" s="1" t="n">
        <v>4</v>
      </c>
      <c r="E52" s="2" t="n">
        <v>79.3</v>
      </c>
      <c r="F52" s="4" t="n">
        <v>2.69332921131829</v>
      </c>
      <c r="G52" s="1" t="n">
        <v>20</v>
      </c>
      <c r="H52" s="1" t="n">
        <v>34</v>
      </c>
      <c r="I52" s="5" t="n">
        <v>0.0151932773109244</v>
      </c>
      <c r="J52" s="4" t="n">
        <v>500</v>
      </c>
      <c r="K52" s="4" t="n">
        <v>0.78</v>
      </c>
    </row>
    <row r="53" customFormat="false" ht="14.25" hidden="false" customHeight="false" outlineLevel="0" collapsed="false">
      <c r="A53" s="0" t="s">
        <v>31</v>
      </c>
      <c r="B53" s="1" t="n">
        <v>12</v>
      </c>
      <c r="C53" s="3" t="n">
        <v>500</v>
      </c>
      <c r="D53" s="1" t="n">
        <v>4</v>
      </c>
      <c r="E53" s="2" t="n">
        <v>46</v>
      </c>
      <c r="F53" s="4" t="n">
        <v>2.69332921131829</v>
      </c>
      <c r="G53" s="1" t="n">
        <v>70</v>
      </c>
      <c r="H53" s="1" t="n">
        <v>88</v>
      </c>
      <c r="I53" s="5" t="n">
        <v>0.0102200677657071</v>
      </c>
      <c r="J53" s="4" t="n">
        <v>245.194770485466</v>
      </c>
      <c r="K53" s="4" t="n">
        <v>0.31</v>
      </c>
    </row>
    <row r="54" customFormat="false" ht="14.25" hidden="false" customHeight="false" outlineLevel="0" collapsed="false">
      <c r="B54" s="1" t="n">
        <v>12</v>
      </c>
      <c r="C54" s="3" t="n">
        <v>500</v>
      </c>
      <c r="D54" s="1" t="n">
        <v>4</v>
      </c>
      <c r="E54" s="2" t="n">
        <v>46</v>
      </c>
      <c r="F54" s="4" t="n">
        <v>2.69332921131829</v>
      </c>
      <c r="G54" s="1" t="n">
        <v>70</v>
      </c>
      <c r="H54" s="1" t="n">
        <v>88</v>
      </c>
      <c r="I54" s="5" t="n">
        <v>0.0102200677657071</v>
      </c>
      <c r="J54" s="4" t="n">
        <v>294.23372458256</v>
      </c>
      <c r="K54" s="4" t="n">
        <v>0.44</v>
      </c>
    </row>
    <row r="55" customFormat="false" ht="14.25" hidden="false" customHeight="false" outlineLevel="0" collapsed="false">
      <c r="A55" s="0" t="s">
        <v>32</v>
      </c>
      <c r="B55" s="1" t="n">
        <v>12</v>
      </c>
      <c r="C55" s="3" t="n">
        <v>500</v>
      </c>
      <c r="D55" s="1" t="n">
        <v>4</v>
      </c>
      <c r="E55" s="2" t="n">
        <v>46</v>
      </c>
      <c r="F55" s="4" t="n">
        <v>2.69332921131829</v>
      </c>
      <c r="G55" s="1" t="n">
        <v>70</v>
      </c>
      <c r="H55" s="1" t="n">
        <v>84</v>
      </c>
      <c r="I55" s="5" t="n">
        <v>0.0102317587896877</v>
      </c>
      <c r="J55" s="4" t="n">
        <v>193.945814910414</v>
      </c>
      <c r="K55" s="4" t="n">
        <v>0.14</v>
      </c>
    </row>
    <row r="56" customFormat="false" ht="14.25" hidden="false" customHeight="false" outlineLevel="0" collapsed="false">
      <c r="B56" s="1" t="n">
        <v>12</v>
      </c>
      <c r="C56" s="3" t="n">
        <v>500</v>
      </c>
      <c r="D56" s="1" t="n">
        <v>4</v>
      </c>
      <c r="E56" s="2" t="n">
        <v>46</v>
      </c>
      <c r="F56" s="4" t="n">
        <v>2.69332921131829</v>
      </c>
      <c r="G56" s="1" t="n">
        <v>70</v>
      </c>
      <c r="H56" s="1" t="n">
        <v>84</v>
      </c>
      <c r="I56" s="5" t="n">
        <v>0.0102317587896877</v>
      </c>
      <c r="J56" s="4" t="n">
        <v>242.432268638018</v>
      </c>
      <c r="K56" s="4" t="n">
        <v>0.31</v>
      </c>
    </row>
    <row r="57" customFormat="false" ht="14.25" hidden="false" customHeight="false" outlineLevel="0" collapsed="false">
      <c r="B57" s="1" t="n">
        <v>12</v>
      </c>
      <c r="C57" s="3" t="n">
        <v>500</v>
      </c>
      <c r="D57" s="1" t="n">
        <v>4</v>
      </c>
      <c r="E57" s="2" t="n">
        <v>46</v>
      </c>
      <c r="F57" s="4" t="n">
        <v>2.69332921131829</v>
      </c>
      <c r="G57" s="1" t="n">
        <v>70</v>
      </c>
      <c r="H57" s="1" t="n">
        <v>84</v>
      </c>
      <c r="I57" s="5" t="n">
        <v>0.0102317587896877</v>
      </c>
      <c r="J57" s="4" t="n">
        <v>290.918722365622</v>
      </c>
      <c r="K57" s="4" t="n">
        <v>0.4</v>
      </c>
    </row>
    <row r="58" customFormat="false" ht="14.25" hidden="false" customHeight="false" outlineLevel="0" collapsed="false">
      <c r="A58" s="0" t="s">
        <v>33</v>
      </c>
      <c r="B58" s="1" t="n">
        <v>12</v>
      </c>
      <c r="C58" s="3" t="n">
        <v>500</v>
      </c>
      <c r="D58" s="1" t="n">
        <v>4</v>
      </c>
      <c r="E58" s="2" t="n">
        <v>46</v>
      </c>
      <c r="F58" s="4" t="n">
        <v>2.69332921131829</v>
      </c>
      <c r="G58" s="1" t="n">
        <v>70</v>
      </c>
      <c r="H58" s="1" t="n">
        <v>84</v>
      </c>
      <c r="I58" s="5" t="n">
        <v>0.0102317587896877</v>
      </c>
      <c r="J58" s="4" t="n">
        <v>193.945814910414</v>
      </c>
      <c r="K58" s="4" t="n">
        <v>0.25</v>
      </c>
    </row>
    <row r="59" customFormat="false" ht="14.25" hidden="false" customHeight="false" outlineLevel="0" collapsed="false">
      <c r="B59" s="1" t="n">
        <v>12</v>
      </c>
      <c r="C59" s="3" t="n">
        <v>500</v>
      </c>
      <c r="D59" s="1" t="n">
        <v>4</v>
      </c>
      <c r="E59" s="2" t="n">
        <v>46</v>
      </c>
      <c r="F59" s="4" t="n">
        <v>2.69332921131829</v>
      </c>
      <c r="G59" s="1" t="n">
        <v>70</v>
      </c>
      <c r="H59" s="1" t="n">
        <v>84</v>
      </c>
      <c r="I59" s="5" t="n">
        <v>0.0102317587896877</v>
      </c>
      <c r="J59" s="4" t="n">
        <v>242.432268638018</v>
      </c>
      <c r="K59" s="4" t="n">
        <v>0.44</v>
      </c>
    </row>
    <row r="60" customFormat="false" ht="14.25" hidden="false" customHeight="false" outlineLevel="0" collapsed="false">
      <c r="B60" s="1" t="n">
        <v>12</v>
      </c>
      <c r="C60" s="3" t="n">
        <v>500</v>
      </c>
      <c r="D60" s="1" t="n">
        <v>4</v>
      </c>
      <c r="E60" s="2" t="n">
        <v>46</v>
      </c>
      <c r="F60" s="4" t="n">
        <v>2.69332921131829</v>
      </c>
      <c r="G60" s="1" t="n">
        <v>70</v>
      </c>
      <c r="H60" s="1" t="n">
        <v>84</v>
      </c>
      <c r="I60" s="5" t="n">
        <v>0.0102317587896877</v>
      </c>
      <c r="J60" s="4" t="n">
        <v>290.918722365622</v>
      </c>
      <c r="K60" s="4" t="n">
        <v>0.56</v>
      </c>
    </row>
    <row r="61" customFormat="false" ht="14.25" hidden="false" customHeight="false" outlineLevel="0" collapsed="false">
      <c r="A61" s="0" t="s">
        <v>34</v>
      </c>
      <c r="B61" s="1" t="n">
        <v>25</v>
      </c>
      <c r="C61" s="3" t="n">
        <v>500</v>
      </c>
      <c r="D61" s="1" t="n">
        <v>4</v>
      </c>
      <c r="E61" s="2" t="n">
        <v>62</v>
      </c>
      <c r="F61" s="4" t="n">
        <v>2.69332921131829</v>
      </c>
      <c r="G61" s="1" t="n">
        <v>20</v>
      </c>
      <c r="H61" s="1" t="n">
        <v>40.5</v>
      </c>
      <c r="I61" s="5" t="n">
        <v>0.0554215167548501</v>
      </c>
      <c r="J61" s="4" t="n">
        <v>210.837549268589</v>
      </c>
      <c r="K61" s="4" t="n">
        <v>0.23</v>
      </c>
    </row>
    <row r="62" customFormat="false" ht="14.25" hidden="false" customHeight="false" outlineLevel="0" collapsed="false">
      <c r="B62" s="1" t="n">
        <v>25</v>
      </c>
      <c r="C62" s="3" t="n">
        <v>500</v>
      </c>
      <c r="D62" s="1" t="n">
        <v>4</v>
      </c>
      <c r="E62" s="2" t="n">
        <v>62</v>
      </c>
      <c r="F62" s="4" t="n">
        <v>2.69332921131829</v>
      </c>
      <c r="G62" s="1" t="n">
        <v>20</v>
      </c>
      <c r="H62" s="1" t="n">
        <v>40.5</v>
      </c>
      <c r="I62" s="5" t="n">
        <v>0.0554215167548501</v>
      </c>
      <c r="J62" s="4" t="n">
        <v>316.256323902884</v>
      </c>
      <c r="K62" s="4" t="n">
        <v>0.35</v>
      </c>
    </row>
    <row r="63" customFormat="false" ht="14.25" hidden="false" customHeight="false" outlineLevel="0" collapsed="false">
      <c r="B63" s="1" t="n">
        <v>25</v>
      </c>
      <c r="C63" s="3" t="n">
        <v>500</v>
      </c>
      <c r="D63" s="1" t="n">
        <v>4</v>
      </c>
      <c r="E63" s="2" t="n">
        <v>62</v>
      </c>
      <c r="F63" s="4" t="n">
        <v>2.69332921131829</v>
      </c>
      <c r="G63" s="1" t="n">
        <v>20</v>
      </c>
      <c r="H63" s="1" t="n">
        <v>40.5</v>
      </c>
      <c r="I63" s="5" t="n">
        <v>0.0554215167548501</v>
      </c>
      <c r="J63" s="4" t="n">
        <v>421.675098537179</v>
      </c>
      <c r="K63" s="4" t="n">
        <v>0.49</v>
      </c>
    </row>
    <row r="64" customFormat="false" ht="14.25" hidden="false" customHeight="false" outlineLevel="0" collapsed="false">
      <c r="B64" s="1" t="n">
        <v>25</v>
      </c>
      <c r="C64" s="3" t="n">
        <v>500</v>
      </c>
      <c r="D64" s="1" t="n">
        <v>4</v>
      </c>
      <c r="E64" s="2" t="n">
        <v>62</v>
      </c>
      <c r="F64" s="4" t="n">
        <v>2.69332921131829</v>
      </c>
      <c r="G64" s="1" t="n">
        <v>20</v>
      </c>
      <c r="H64" s="1" t="n">
        <v>40.5</v>
      </c>
      <c r="I64" s="5" t="n">
        <v>0.0554215167548501</v>
      </c>
      <c r="J64" s="4" t="n">
        <v>500</v>
      </c>
      <c r="K64" s="4" t="n">
        <v>0.67</v>
      </c>
    </row>
    <row r="65" customFormat="false" ht="14.25" hidden="false" customHeight="false" outlineLevel="0" collapsed="false">
      <c r="A65" s="0" t="s">
        <v>35</v>
      </c>
      <c r="B65" s="1" t="n">
        <v>25</v>
      </c>
      <c r="C65" s="3" t="n">
        <v>500</v>
      </c>
      <c r="D65" s="1" t="n">
        <v>4</v>
      </c>
      <c r="E65" s="2" t="n">
        <v>62</v>
      </c>
      <c r="F65" s="4" t="n">
        <v>2.69332921131829</v>
      </c>
      <c r="G65" s="1" t="n">
        <v>20</v>
      </c>
      <c r="H65" s="1" t="n">
        <v>40.5</v>
      </c>
      <c r="I65" s="5" t="n">
        <v>0.0554215167548501</v>
      </c>
      <c r="J65" s="4" t="n">
        <v>210.837549268589</v>
      </c>
      <c r="K65" s="4" t="n">
        <v>0.27</v>
      </c>
    </row>
    <row r="66" customFormat="false" ht="14.25" hidden="false" customHeight="false" outlineLevel="0" collapsed="false">
      <c r="B66" s="1" t="n">
        <v>25</v>
      </c>
      <c r="C66" s="3" t="n">
        <v>500</v>
      </c>
      <c r="D66" s="1" t="n">
        <v>4</v>
      </c>
      <c r="E66" s="2" t="n">
        <v>62</v>
      </c>
      <c r="F66" s="4" t="n">
        <v>2.69332921131829</v>
      </c>
      <c r="G66" s="1" t="n">
        <v>20</v>
      </c>
      <c r="H66" s="1" t="n">
        <v>40.5</v>
      </c>
      <c r="I66" s="5" t="n">
        <v>0.0554215167548501</v>
      </c>
      <c r="J66" s="4" t="n">
        <v>316.256323902884</v>
      </c>
      <c r="K66" s="4" t="n">
        <v>0.4</v>
      </c>
    </row>
    <row r="67" customFormat="false" ht="14.25" hidden="false" customHeight="false" outlineLevel="0" collapsed="false">
      <c r="B67" s="1" t="n">
        <v>25</v>
      </c>
      <c r="C67" s="3" t="n">
        <v>500</v>
      </c>
      <c r="D67" s="1" t="n">
        <v>4</v>
      </c>
      <c r="E67" s="2" t="n">
        <v>62</v>
      </c>
      <c r="F67" s="4" t="n">
        <v>2.69332921131829</v>
      </c>
      <c r="G67" s="1" t="n">
        <v>20</v>
      </c>
      <c r="H67" s="1" t="n">
        <v>40.5</v>
      </c>
      <c r="I67" s="5" t="n">
        <v>0.0554215167548501</v>
      </c>
      <c r="J67" s="4" t="n">
        <v>421.675098537179</v>
      </c>
      <c r="K67" s="4" t="n">
        <v>0.53</v>
      </c>
    </row>
    <row r="68" customFormat="false" ht="14.25" hidden="false" customHeight="false" outlineLevel="0" collapsed="false">
      <c r="B68" s="1" t="n">
        <v>25</v>
      </c>
      <c r="C68" s="3" t="n">
        <v>500</v>
      </c>
      <c r="D68" s="1" t="n">
        <v>4</v>
      </c>
      <c r="E68" s="2" t="n">
        <v>62</v>
      </c>
      <c r="F68" s="4" t="n">
        <v>2.69332921131829</v>
      </c>
      <c r="G68" s="1" t="n">
        <v>20</v>
      </c>
      <c r="H68" s="1" t="n">
        <v>40.5</v>
      </c>
      <c r="I68" s="5" t="n">
        <v>0.0554215167548501</v>
      </c>
      <c r="J68" s="4" t="n">
        <v>500</v>
      </c>
      <c r="K68" s="4" t="n">
        <v>0.72</v>
      </c>
    </row>
    <row r="69" customFormat="false" ht="14.25" hidden="false" customHeight="false" outlineLevel="0" collapsed="false">
      <c r="A69" s="0" t="s">
        <v>36</v>
      </c>
      <c r="B69" s="1" t="n">
        <v>25</v>
      </c>
      <c r="C69" s="3" t="n">
        <v>500</v>
      </c>
      <c r="D69" s="1" t="n">
        <v>4</v>
      </c>
      <c r="E69" s="2" t="n">
        <v>28.7</v>
      </c>
      <c r="F69" s="4" t="n">
        <v>2.69332921131829</v>
      </c>
      <c r="G69" s="1" t="n">
        <v>70</v>
      </c>
      <c r="H69" s="1" t="n">
        <v>94.5</v>
      </c>
      <c r="I69" s="5" t="n">
        <v>0.0526205961457496</v>
      </c>
      <c r="J69" s="4" t="n">
        <v>122.340765829723</v>
      </c>
      <c r="K69" s="4" t="n">
        <v>0.3</v>
      </c>
    </row>
    <row r="70" customFormat="false" ht="14.25" hidden="false" customHeight="false" outlineLevel="0" collapsed="false">
      <c r="B70" s="1" t="n">
        <v>25</v>
      </c>
      <c r="C70" s="3" t="n">
        <v>500</v>
      </c>
      <c r="D70" s="1" t="n">
        <v>4</v>
      </c>
      <c r="E70" s="2" t="n">
        <v>28.7</v>
      </c>
      <c r="F70" s="4" t="n">
        <v>2.69332921131829</v>
      </c>
      <c r="G70" s="1" t="n">
        <v>70</v>
      </c>
      <c r="H70" s="1" t="n">
        <v>94.5</v>
      </c>
      <c r="I70" s="5" t="n">
        <v>0.0526205961457496</v>
      </c>
      <c r="J70" s="4" t="n">
        <v>244.681531659446</v>
      </c>
      <c r="K70" s="4" t="n">
        <v>0.57</v>
      </c>
    </row>
    <row r="71" customFormat="false" ht="14.25" hidden="false" customHeight="false" outlineLevel="0" collapsed="false">
      <c r="A71" s="0" t="s">
        <v>37</v>
      </c>
      <c r="B71" s="1" t="n">
        <v>25</v>
      </c>
      <c r="C71" s="3" t="n">
        <v>500</v>
      </c>
      <c r="D71" s="1" t="n">
        <v>4</v>
      </c>
      <c r="E71" s="2" t="n">
        <v>28.7</v>
      </c>
      <c r="F71" s="4" t="n">
        <v>2.69332921131829</v>
      </c>
      <c r="G71" s="1" t="n">
        <v>70</v>
      </c>
      <c r="H71" s="1" t="n">
        <v>90.5</v>
      </c>
      <c r="I71" s="5" t="n">
        <v>0.0527679417075151</v>
      </c>
      <c r="J71" s="4" t="n">
        <v>120.90671371296</v>
      </c>
      <c r="K71" s="4" t="n">
        <v>0.26</v>
      </c>
    </row>
    <row r="72" customFormat="false" ht="14.25" hidden="false" customHeight="false" outlineLevel="0" collapsed="false">
      <c r="B72" s="1" t="n">
        <v>25</v>
      </c>
      <c r="C72" s="3" t="n">
        <v>500</v>
      </c>
      <c r="D72" s="1" t="n">
        <v>4</v>
      </c>
      <c r="E72" s="2" t="n">
        <v>28.7</v>
      </c>
      <c r="F72" s="4" t="n">
        <v>2.69332921131829</v>
      </c>
      <c r="G72" s="1" t="n">
        <v>70</v>
      </c>
      <c r="H72" s="1" t="n">
        <v>90.5</v>
      </c>
      <c r="I72" s="5" t="n">
        <v>0.0527679417075151</v>
      </c>
      <c r="J72" s="4" t="n">
        <v>241.81342742592</v>
      </c>
      <c r="K72" s="4" t="n">
        <v>0.6</v>
      </c>
    </row>
    <row r="73" customFormat="false" ht="14.25" hidden="false" customHeight="false" outlineLevel="0" collapsed="false">
      <c r="A73" s="0" t="s">
        <v>38</v>
      </c>
      <c r="B73" s="1" t="n">
        <v>25</v>
      </c>
      <c r="C73" s="3" t="n">
        <v>500</v>
      </c>
      <c r="D73" s="1" t="n">
        <v>4</v>
      </c>
      <c r="E73" s="2" t="n">
        <v>28.7</v>
      </c>
      <c r="F73" s="4" t="n">
        <v>2.69332921131829</v>
      </c>
      <c r="G73" s="1" t="n">
        <v>70</v>
      </c>
      <c r="H73" s="1" t="n">
        <v>90.5</v>
      </c>
      <c r="I73" s="5" t="n">
        <v>0.0527679417075151</v>
      </c>
      <c r="J73" s="4" t="n">
        <v>120.90671371296</v>
      </c>
      <c r="K73" s="4" t="n">
        <v>0.27</v>
      </c>
    </row>
    <row r="74" customFormat="false" ht="14.25" hidden="false" customHeight="false" outlineLevel="0" collapsed="false">
      <c r="B74" s="1" t="n">
        <v>25</v>
      </c>
      <c r="C74" s="3" t="n">
        <v>500</v>
      </c>
      <c r="D74" s="1" t="n">
        <v>4</v>
      </c>
      <c r="E74" s="2" t="n">
        <v>28.7</v>
      </c>
      <c r="F74" s="4" t="n">
        <v>2.69332921131829</v>
      </c>
      <c r="G74" s="1" t="n">
        <v>70</v>
      </c>
      <c r="H74" s="1" t="n">
        <v>90.5</v>
      </c>
      <c r="I74" s="5" t="n">
        <v>0.0527679417075151</v>
      </c>
      <c r="J74" s="4" t="n">
        <v>241.81342742592</v>
      </c>
      <c r="K74" s="4" t="n">
        <v>0.59</v>
      </c>
    </row>
    <row r="75" customFormat="false" ht="14.25" hidden="false" customHeight="false" outlineLevel="0" collapsed="false">
      <c r="A75" s="0" t="s">
        <v>39</v>
      </c>
      <c r="B75" s="1" t="n">
        <v>9.52</v>
      </c>
      <c r="C75" s="3" t="n">
        <v>434</v>
      </c>
      <c r="D75" s="1" t="n">
        <v>3</v>
      </c>
      <c r="E75" s="2" t="n">
        <v>22.2</v>
      </c>
      <c r="F75" s="4" t="n">
        <v>3.56416000199951</v>
      </c>
      <c r="G75" s="1" t="n">
        <v>20.64</v>
      </c>
      <c r="H75" s="1" t="n">
        <v>25.4</v>
      </c>
      <c r="I75" s="5" t="n">
        <v>0.0324485100999475</v>
      </c>
      <c r="J75" s="4" t="n">
        <v>295.47063165326</v>
      </c>
      <c r="K75" s="4" t="n">
        <v>0.15</v>
      </c>
    </row>
    <row r="76" customFormat="false" ht="14.25" hidden="false" customHeight="false" outlineLevel="0" collapsed="false">
      <c r="B76" s="1" t="n">
        <v>9.52</v>
      </c>
      <c r="C76" s="3" t="n">
        <v>434</v>
      </c>
      <c r="D76" s="1" t="n">
        <v>3</v>
      </c>
      <c r="E76" s="2" t="n">
        <v>22.2</v>
      </c>
      <c r="F76" s="4" t="n">
        <v>3.56416000199951</v>
      </c>
      <c r="G76" s="1" t="n">
        <v>20.64</v>
      </c>
      <c r="H76" s="1" t="n">
        <v>25.4</v>
      </c>
      <c r="I76" s="5" t="n">
        <v>0.0324485100999475</v>
      </c>
      <c r="J76" s="4" t="n">
        <v>343.866683389569</v>
      </c>
      <c r="K76" s="4" t="n">
        <v>0.17</v>
      </c>
    </row>
    <row r="77" customFormat="false" ht="14.25" hidden="false" customHeight="false" outlineLevel="0" collapsed="false">
      <c r="A77" s="0" t="s">
        <v>40</v>
      </c>
      <c r="B77" s="1" t="n">
        <v>12.7</v>
      </c>
      <c r="C77" s="3" t="n">
        <v>434</v>
      </c>
      <c r="D77" s="1" t="n">
        <v>3</v>
      </c>
      <c r="E77" s="2" t="n">
        <v>19.05</v>
      </c>
      <c r="F77" s="4" t="n">
        <v>3.97660816382294</v>
      </c>
      <c r="G77" s="1" t="n">
        <v>19.05</v>
      </c>
      <c r="H77" s="1" t="n">
        <v>25.4</v>
      </c>
      <c r="I77" s="5" t="n">
        <v>0.0642124745559393</v>
      </c>
      <c r="J77" s="4" t="n">
        <v>303.256025231297</v>
      </c>
      <c r="K77" s="4" t="n">
        <v>0.15</v>
      </c>
    </row>
    <row r="78" customFormat="false" ht="14.25" hidden="false" customHeight="false" outlineLevel="0" collapsed="false">
      <c r="B78" s="1" t="n">
        <v>12.7</v>
      </c>
      <c r="C78" s="3" t="n">
        <v>434</v>
      </c>
      <c r="D78" s="1" t="n">
        <v>3</v>
      </c>
      <c r="E78" s="2" t="n">
        <v>19.05</v>
      </c>
      <c r="F78" s="4" t="n">
        <v>3.97660816382294</v>
      </c>
      <c r="G78" s="1" t="n">
        <v>19.05</v>
      </c>
      <c r="H78" s="1" t="n">
        <v>25.4</v>
      </c>
      <c r="I78" s="5" t="n">
        <v>0.0642124745559393</v>
      </c>
      <c r="J78" s="4" t="n">
        <v>347.810227990398</v>
      </c>
      <c r="K78" s="4" t="n">
        <v>0.17</v>
      </c>
    </row>
    <row r="79" customFormat="false" ht="14.25" hidden="false" customHeight="false" outlineLevel="0" collapsed="false">
      <c r="B79" s="1" t="n">
        <v>12.7</v>
      </c>
      <c r="C79" s="3" t="n">
        <v>434</v>
      </c>
      <c r="D79" s="1" t="n">
        <v>3</v>
      </c>
      <c r="E79" s="2" t="n">
        <v>19.05</v>
      </c>
      <c r="F79" s="4" t="n">
        <v>3.97660816382294</v>
      </c>
      <c r="G79" s="1" t="n">
        <v>19.05</v>
      </c>
      <c r="H79" s="1" t="n">
        <v>25.4</v>
      </c>
      <c r="I79" s="5" t="n">
        <v>0.0642124745559393</v>
      </c>
      <c r="J79" s="4" t="n">
        <v>411.048451261379</v>
      </c>
      <c r="K79" s="4" t="n">
        <v>0.2</v>
      </c>
    </row>
    <row r="80" customFormat="false" ht="14.25" hidden="false" customHeight="false" outlineLevel="0" collapsed="false">
      <c r="A80" s="0" t="s">
        <v>41</v>
      </c>
      <c r="B80" s="1" t="n">
        <v>15.9</v>
      </c>
      <c r="C80" s="3" t="n">
        <v>540</v>
      </c>
      <c r="D80" s="1" t="n">
        <v>3</v>
      </c>
      <c r="E80" s="2" t="n">
        <v>15.9</v>
      </c>
      <c r="F80" s="4" t="n">
        <v>3.97660816382294</v>
      </c>
      <c r="G80" s="1" t="n">
        <v>17.46</v>
      </c>
      <c r="H80" s="1" t="n">
        <v>25.4</v>
      </c>
      <c r="I80" s="5" t="n">
        <v>0.108350675635655</v>
      </c>
      <c r="J80" s="4" t="n">
        <v>289.734922915654</v>
      </c>
      <c r="K80" s="4" t="n">
        <v>0.16</v>
      </c>
    </row>
    <row r="81" customFormat="false" ht="14.25" hidden="false" customHeight="false" outlineLevel="0" collapsed="false">
      <c r="B81" s="1" t="n">
        <v>15.9</v>
      </c>
      <c r="C81" s="3" t="n">
        <v>540</v>
      </c>
      <c r="D81" s="1" t="n">
        <v>3</v>
      </c>
      <c r="E81" s="2" t="n">
        <v>15.9</v>
      </c>
      <c r="F81" s="4" t="n">
        <v>3.97660816382294</v>
      </c>
      <c r="G81" s="1" t="n">
        <v>17.46</v>
      </c>
      <c r="H81" s="1" t="n">
        <v>25.4</v>
      </c>
      <c r="I81" s="5" t="n">
        <v>0.108350675635655</v>
      </c>
      <c r="J81" s="4" t="n">
        <v>379.980226774629</v>
      </c>
      <c r="K81" s="4" t="n">
        <v>0.21</v>
      </c>
    </row>
    <row r="82" customFormat="false" ht="14.25" hidden="false" customHeight="false" outlineLevel="0" collapsed="false">
      <c r="A82" s="0" t="s">
        <v>42</v>
      </c>
      <c r="B82" s="1" t="n">
        <v>16</v>
      </c>
      <c r="C82" s="3" t="n">
        <v>500</v>
      </c>
      <c r="D82" s="1" t="n">
        <v>2</v>
      </c>
      <c r="E82" s="2" t="n">
        <v>138</v>
      </c>
      <c r="F82" s="4" t="n">
        <v>3.269</v>
      </c>
      <c r="G82" s="1" t="n">
        <v>40</v>
      </c>
      <c r="H82" s="1" t="n">
        <v>48</v>
      </c>
      <c r="I82" s="5" t="n">
        <v>0.0174790978884179</v>
      </c>
      <c r="J82" s="4" t="n">
        <v>185.273964470166</v>
      </c>
      <c r="K82" s="4" t="n">
        <v>0.15</v>
      </c>
    </row>
    <row r="83" customFormat="false" ht="14.25" hidden="false" customHeight="false" outlineLevel="0" collapsed="false">
      <c r="B83" s="1" t="n">
        <v>16</v>
      </c>
      <c r="C83" s="3" t="n">
        <v>500</v>
      </c>
      <c r="D83" s="1" t="n">
        <v>2</v>
      </c>
      <c r="E83" s="2" t="n">
        <v>138</v>
      </c>
      <c r="F83" s="4" t="n">
        <v>3.269</v>
      </c>
      <c r="G83" s="1" t="n">
        <v>40</v>
      </c>
      <c r="H83" s="1" t="n">
        <v>48</v>
      </c>
      <c r="I83" s="5" t="n">
        <v>0.0174790978884179</v>
      </c>
      <c r="J83" s="4" t="n">
        <v>211.76759699969</v>
      </c>
      <c r="K83" s="4" t="n">
        <v>0.2</v>
      </c>
    </row>
    <row r="84" customFormat="false" ht="14.25" hidden="false" customHeight="false" outlineLevel="0" collapsed="false">
      <c r="B84" s="1" t="n">
        <v>16</v>
      </c>
      <c r="C84" s="3" t="n">
        <v>500</v>
      </c>
      <c r="D84" s="1" t="n">
        <v>2</v>
      </c>
      <c r="E84" s="2" t="n">
        <v>138</v>
      </c>
      <c r="F84" s="4" t="n">
        <v>3.269</v>
      </c>
      <c r="G84" s="1" t="n">
        <v>40</v>
      </c>
      <c r="H84" s="1" t="n">
        <v>48</v>
      </c>
      <c r="I84" s="5" t="n">
        <v>0.0174790978884179</v>
      </c>
      <c r="J84" s="4" t="n">
        <v>238.261229529214</v>
      </c>
      <c r="K84" s="4" t="n">
        <v>0.25</v>
      </c>
    </row>
    <row r="85" customFormat="false" ht="14.25" hidden="false" customHeight="false" outlineLevel="0" collapsed="false">
      <c r="B85" s="1" t="n">
        <v>16</v>
      </c>
      <c r="C85" s="3" t="n">
        <v>500</v>
      </c>
      <c r="D85" s="1" t="n">
        <v>2</v>
      </c>
      <c r="E85" s="2" t="n">
        <v>138</v>
      </c>
      <c r="F85" s="4" t="n">
        <v>3.269</v>
      </c>
      <c r="G85" s="1" t="n">
        <v>40</v>
      </c>
      <c r="H85" s="1" t="n">
        <v>48</v>
      </c>
      <c r="I85" s="5" t="n">
        <v>0.0174790978884179</v>
      </c>
      <c r="J85" s="4" t="n">
        <v>264.709496249612</v>
      </c>
      <c r="K85" s="4" t="n">
        <v>0.28</v>
      </c>
    </row>
    <row r="86" customFormat="false" ht="14.25" hidden="false" customHeight="false" outlineLevel="0" collapsed="false">
      <c r="B86" s="1" t="n">
        <v>16</v>
      </c>
      <c r="C86" s="3" t="n">
        <v>500</v>
      </c>
      <c r="D86" s="1" t="n">
        <v>2</v>
      </c>
      <c r="E86" s="2" t="n">
        <v>138</v>
      </c>
      <c r="F86" s="4" t="n">
        <v>3.269</v>
      </c>
      <c r="G86" s="1" t="n">
        <v>40</v>
      </c>
      <c r="H86" s="1" t="n">
        <v>48</v>
      </c>
      <c r="I86" s="5" t="n">
        <v>0.0174790978884179</v>
      </c>
      <c r="J86" s="4" t="n">
        <v>291.157762970011</v>
      </c>
      <c r="K86" s="4" t="n">
        <v>0.28</v>
      </c>
    </row>
    <row r="87" customFormat="false" ht="14.25" hidden="false" customHeight="false" outlineLevel="0" collapsed="false">
      <c r="B87" s="1" t="n">
        <v>16</v>
      </c>
      <c r="C87" s="3" t="n">
        <v>500</v>
      </c>
      <c r="D87" s="1" t="n">
        <v>2</v>
      </c>
      <c r="E87" s="2" t="n">
        <v>138</v>
      </c>
      <c r="F87" s="4" t="n">
        <v>3.269</v>
      </c>
      <c r="G87" s="1" t="n">
        <v>40</v>
      </c>
      <c r="H87" s="1" t="n">
        <v>48</v>
      </c>
      <c r="I87" s="5" t="n">
        <v>0.0174790978884179</v>
      </c>
      <c r="J87" s="4" t="n">
        <v>317.651395499535</v>
      </c>
      <c r="K87" s="4" t="n">
        <v>0.3</v>
      </c>
    </row>
    <row r="88" customFormat="false" ht="14.25" hidden="false" customHeight="false" outlineLevel="0" collapsed="false">
      <c r="B88" s="1" t="n">
        <v>16</v>
      </c>
      <c r="C88" s="3" t="n">
        <v>500</v>
      </c>
      <c r="D88" s="1" t="n">
        <v>2</v>
      </c>
      <c r="E88" s="2" t="n">
        <v>138</v>
      </c>
      <c r="F88" s="4" t="n">
        <v>3.269</v>
      </c>
      <c r="G88" s="1" t="n">
        <v>40</v>
      </c>
      <c r="H88" s="1" t="n">
        <v>48</v>
      </c>
      <c r="I88" s="5" t="n">
        <v>0.0174790978884179</v>
      </c>
      <c r="J88" s="4" t="n">
        <v>344.145028029059</v>
      </c>
      <c r="K88" s="4" t="n">
        <v>0.33</v>
      </c>
    </row>
    <row r="89" customFormat="false" ht="14.25" hidden="false" customHeight="false" outlineLevel="0" collapsed="false">
      <c r="B89" s="1" t="n">
        <v>16</v>
      </c>
      <c r="C89" s="3" t="n">
        <v>500</v>
      </c>
      <c r="D89" s="1" t="n">
        <v>2</v>
      </c>
      <c r="E89" s="2" t="n">
        <v>138</v>
      </c>
      <c r="F89" s="4" t="n">
        <v>3.269</v>
      </c>
      <c r="G89" s="1" t="n">
        <v>40</v>
      </c>
      <c r="H89" s="1" t="n">
        <v>48</v>
      </c>
      <c r="I89" s="5" t="n">
        <v>0.0174790978884179</v>
      </c>
      <c r="J89" s="4" t="n">
        <v>370.547928940332</v>
      </c>
      <c r="K89" s="4" t="n">
        <v>0.33</v>
      </c>
    </row>
    <row r="90" customFormat="false" ht="14.25" hidden="false" customHeight="false" outlineLevel="0" collapsed="false">
      <c r="A90" s="0" t="s">
        <v>43</v>
      </c>
      <c r="B90" s="1" t="n">
        <v>16</v>
      </c>
      <c r="C90" s="3" t="n">
        <v>500</v>
      </c>
      <c r="D90" s="1" t="n">
        <v>2</v>
      </c>
      <c r="E90" s="2" t="n">
        <v>138</v>
      </c>
      <c r="F90" s="4" t="n">
        <v>3.269</v>
      </c>
      <c r="G90" s="1" t="n">
        <v>40</v>
      </c>
      <c r="H90" s="1" t="n">
        <v>48</v>
      </c>
      <c r="I90" s="5" t="n">
        <v>0.0174790978884179</v>
      </c>
      <c r="J90" s="4" t="n">
        <v>211.76759699969</v>
      </c>
      <c r="K90" s="4" t="n">
        <v>0.15</v>
      </c>
    </row>
    <row r="91" customFormat="false" ht="14.25" hidden="false" customHeight="false" outlineLevel="0" collapsed="false">
      <c r="B91" s="1" t="n">
        <v>16</v>
      </c>
      <c r="C91" s="3" t="n">
        <v>500</v>
      </c>
      <c r="D91" s="1" t="n">
        <v>2</v>
      </c>
      <c r="E91" s="2" t="n">
        <v>138</v>
      </c>
      <c r="F91" s="4" t="n">
        <v>3.269</v>
      </c>
      <c r="G91" s="1" t="n">
        <v>40</v>
      </c>
      <c r="H91" s="1" t="n">
        <v>48</v>
      </c>
      <c r="I91" s="5" t="n">
        <v>0.0174790978884179</v>
      </c>
      <c r="J91" s="4" t="n">
        <v>238.261229529214</v>
      </c>
      <c r="K91" s="4" t="n">
        <v>0.18</v>
      </c>
    </row>
    <row r="92" customFormat="false" ht="14.25" hidden="false" customHeight="false" outlineLevel="0" collapsed="false">
      <c r="B92" s="1" t="n">
        <v>16</v>
      </c>
      <c r="C92" s="3" t="n">
        <v>500</v>
      </c>
      <c r="D92" s="1" t="n">
        <v>2</v>
      </c>
      <c r="E92" s="2" t="n">
        <v>138</v>
      </c>
      <c r="F92" s="4" t="n">
        <v>3.269</v>
      </c>
      <c r="G92" s="1" t="n">
        <v>40</v>
      </c>
      <c r="H92" s="1" t="n">
        <v>48</v>
      </c>
      <c r="I92" s="5" t="n">
        <v>0.0174790978884179</v>
      </c>
      <c r="J92" s="4" t="n">
        <v>264.709496249612</v>
      </c>
      <c r="K92" s="4" t="n">
        <v>0.2</v>
      </c>
    </row>
    <row r="93" customFormat="false" ht="14.25" hidden="false" customHeight="false" outlineLevel="0" collapsed="false">
      <c r="B93" s="1" t="n">
        <v>16</v>
      </c>
      <c r="C93" s="3" t="n">
        <v>500</v>
      </c>
      <c r="D93" s="1" t="n">
        <v>2</v>
      </c>
      <c r="E93" s="2" t="n">
        <v>138</v>
      </c>
      <c r="F93" s="4" t="n">
        <v>3.269</v>
      </c>
      <c r="G93" s="1" t="n">
        <v>40</v>
      </c>
      <c r="H93" s="1" t="n">
        <v>48</v>
      </c>
      <c r="I93" s="5" t="n">
        <v>0.0174790978884179</v>
      </c>
      <c r="J93" s="4" t="n">
        <v>291.157762970011</v>
      </c>
      <c r="K93" s="4" t="n">
        <v>0.25</v>
      </c>
    </row>
    <row r="94" customFormat="false" ht="14.25" hidden="false" customHeight="false" outlineLevel="0" collapsed="false">
      <c r="B94" s="1" t="n">
        <v>16</v>
      </c>
      <c r="C94" s="3" t="n">
        <v>500</v>
      </c>
      <c r="D94" s="1" t="n">
        <v>2</v>
      </c>
      <c r="E94" s="2" t="n">
        <v>138</v>
      </c>
      <c r="F94" s="4" t="n">
        <v>3.269</v>
      </c>
      <c r="G94" s="1" t="n">
        <v>40</v>
      </c>
      <c r="H94" s="1" t="n">
        <v>48</v>
      </c>
      <c r="I94" s="5" t="n">
        <v>0.0174790978884179</v>
      </c>
      <c r="J94" s="4" t="n">
        <v>317.651395499535</v>
      </c>
      <c r="K94" s="4" t="n">
        <v>0.3</v>
      </c>
    </row>
    <row r="95" customFormat="false" ht="14.25" hidden="false" customHeight="false" outlineLevel="0" collapsed="false">
      <c r="B95" s="1" t="n">
        <v>16</v>
      </c>
      <c r="C95" s="3" t="n">
        <v>500</v>
      </c>
      <c r="D95" s="1" t="n">
        <v>2</v>
      </c>
      <c r="E95" s="2" t="n">
        <v>138</v>
      </c>
      <c r="F95" s="4" t="n">
        <v>3.269</v>
      </c>
      <c r="G95" s="1" t="n">
        <v>40</v>
      </c>
      <c r="H95" s="1" t="n">
        <v>48</v>
      </c>
      <c r="I95" s="5" t="n">
        <v>0.0174790978884179</v>
      </c>
      <c r="J95" s="4" t="n">
        <v>344.145028029059</v>
      </c>
      <c r="K95" s="4" t="n">
        <v>0.33</v>
      </c>
    </row>
    <row r="96" customFormat="false" ht="14.25" hidden="false" customHeight="false" outlineLevel="0" collapsed="false">
      <c r="B96" s="1" t="n">
        <v>16</v>
      </c>
      <c r="C96" s="3" t="n">
        <v>500</v>
      </c>
      <c r="D96" s="1" t="n">
        <v>2</v>
      </c>
      <c r="E96" s="2" t="n">
        <v>138</v>
      </c>
      <c r="F96" s="4" t="n">
        <v>3.269</v>
      </c>
      <c r="G96" s="1" t="n">
        <v>40</v>
      </c>
      <c r="H96" s="1" t="n">
        <v>48</v>
      </c>
      <c r="I96" s="5" t="n">
        <v>0.0174790978884179</v>
      </c>
      <c r="J96" s="4" t="n">
        <v>370.547928940332</v>
      </c>
      <c r="K96" s="4" t="n">
        <v>0.38</v>
      </c>
    </row>
    <row r="97" customFormat="false" ht="14.25" hidden="false" customHeight="false" outlineLevel="0" collapsed="false">
      <c r="A97" s="0" t="s">
        <v>44</v>
      </c>
      <c r="B97" s="1" t="n">
        <v>16</v>
      </c>
      <c r="C97" s="3" t="n">
        <v>500</v>
      </c>
      <c r="D97" s="1" t="n">
        <v>2</v>
      </c>
      <c r="E97" s="2" t="n">
        <v>168</v>
      </c>
      <c r="F97" s="4" t="n">
        <v>3.269</v>
      </c>
      <c r="G97" s="1" t="n">
        <v>25</v>
      </c>
      <c r="H97" s="1" t="n">
        <v>33</v>
      </c>
      <c r="I97" s="5" t="n">
        <v>0.0193939393939394</v>
      </c>
      <c r="J97" s="4" t="n">
        <v>211.76759699969</v>
      </c>
      <c r="K97" s="4" t="n">
        <v>0.15</v>
      </c>
    </row>
    <row r="98" customFormat="false" ht="14.25" hidden="false" customHeight="false" outlineLevel="0" collapsed="false">
      <c r="B98" s="1" t="n">
        <v>16</v>
      </c>
      <c r="C98" s="3" t="n">
        <v>500</v>
      </c>
      <c r="D98" s="1" t="n">
        <v>2</v>
      </c>
      <c r="E98" s="2" t="n">
        <v>168</v>
      </c>
      <c r="F98" s="4" t="n">
        <v>3.269</v>
      </c>
      <c r="G98" s="1" t="n">
        <v>25</v>
      </c>
      <c r="H98" s="1" t="n">
        <v>33</v>
      </c>
      <c r="I98" s="5" t="n">
        <v>0.0193939393939394</v>
      </c>
      <c r="J98" s="4" t="n">
        <v>238.261229529214</v>
      </c>
      <c r="K98" s="4" t="n">
        <v>0.18</v>
      </c>
    </row>
    <row r="99" customFormat="false" ht="14.25" hidden="false" customHeight="false" outlineLevel="0" collapsed="false">
      <c r="B99" s="1" t="n">
        <v>16</v>
      </c>
      <c r="C99" s="3" t="n">
        <v>500</v>
      </c>
      <c r="D99" s="1" t="n">
        <v>2</v>
      </c>
      <c r="E99" s="2" t="n">
        <v>168</v>
      </c>
      <c r="F99" s="4" t="n">
        <v>3.269</v>
      </c>
      <c r="G99" s="1" t="n">
        <v>25</v>
      </c>
      <c r="H99" s="1" t="n">
        <v>33</v>
      </c>
      <c r="I99" s="5" t="n">
        <v>0.0193939393939394</v>
      </c>
      <c r="J99" s="4" t="n">
        <v>264.709496249612</v>
      </c>
      <c r="K99" s="4" t="n">
        <v>0.2</v>
      </c>
    </row>
    <row r="100" customFormat="false" ht="14.25" hidden="false" customHeight="false" outlineLevel="0" collapsed="false">
      <c r="B100" s="1" t="n">
        <v>16</v>
      </c>
      <c r="C100" s="3" t="n">
        <v>500</v>
      </c>
      <c r="D100" s="1" t="n">
        <v>2</v>
      </c>
      <c r="E100" s="2" t="n">
        <v>168</v>
      </c>
      <c r="F100" s="4" t="n">
        <v>3.269</v>
      </c>
      <c r="G100" s="1" t="n">
        <v>25</v>
      </c>
      <c r="H100" s="1" t="n">
        <v>33</v>
      </c>
      <c r="I100" s="5" t="n">
        <v>0.0193939393939394</v>
      </c>
      <c r="J100" s="4" t="n">
        <v>291.157762970011</v>
      </c>
      <c r="K100" s="4" t="n">
        <v>0.23</v>
      </c>
    </row>
    <row r="101" customFormat="false" ht="14.25" hidden="false" customHeight="false" outlineLevel="0" collapsed="false">
      <c r="B101" s="1" t="n">
        <v>16</v>
      </c>
      <c r="C101" s="3" t="n">
        <v>500</v>
      </c>
      <c r="D101" s="1" t="n">
        <v>2</v>
      </c>
      <c r="E101" s="2" t="n">
        <v>168</v>
      </c>
      <c r="F101" s="4" t="n">
        <v>3.269</v>
      </c>
      <c r="G101" s="1" t="n">
        <v>25</v>
      </c>
      <c r="H101" s="1" t="n">
        <v>33</v>
      </c>
      <c r="I101" s="5" t="n">
        <v>0.0193939393939394</v>
      </c>
      <c r="J101" s="4" t="n">
        <v>317.651395499535</v>
      </c>
      <c r="K101" s="4" t="n">
        <v>0.25</v>
      </c>
    </row>
    <row r="102" customFormat="false" ht="14.25" hidden="false" customHeight="false" outlineLevel="0" collapsed="false">
      <c r="B102" s="1" t="n">
        <v>16</v>
      </c>
      <c r="C102" s="3" t="n">
        <v>500</v>
      </c>
      <c r="D102" s="1" t="n">
        <v>2</v>
      </c>
      <c r="E102" s="2" t="n">
        <v>168</v>
      </c>
      <c r="F102" s="4" t="n">
        <v>3.269</v>
      </c>
      <c r="G102" s="1" t="n">
        <v>25</v>
      </c>
      <c r="H102" s="1" t="n">
        <v>33</v>
      </c>
      <c r="I102" s="5" t="n">
        <v>0.0193939393939394</v>
      </c>
      <c r="J102" s="4" t="n">
        <v>344.145028029059</v>
      </c>
      <c r="K102" s="4" t="n">
        <v>0.3</v>
      </c>
    </row>
    <row r="103" customFormat="false" ht="14.25" hidden="false" customHeight="false" outlineLevel="0" collapsed="false">
      <c r="B103" s="1" t="n">
        <v>16</v>
      </c>
      <c r="C103" s="3" t="n">
        <v>500</v>
      </c>
      <c r="D103" s="1" t="n">
        <v>2</v>
      </c>
      <c r="E103" s="2" t="n">
        <v>168</v>
      </c>
      <c r="F103" s="4" t="n">
        <v>3.269</v>
      </c>
      <c r="G103" s="1" t="n">
        <v>25</v>
      </c>
      <c r="H103" s="1" t="n">
        <v>33</v>
      </c>
      <c r="I103" s="5" t="n">
        <v>0.0193939393939394</v>
      </c>
      <c r="J103" s="4" t="n">
        <v>370.547928940332</v>
      </c>
      <c r="K103" s="4" t="n">
        <v>0.3</v>
      </c>
    </row>
    <row r="104" customFormat="false" ht="14.25" hidden="false" customHeight="false" outlineLevel="0" collapsed="false">
      <c r="A104" s="0" t="s">
        <v>45</v>
      </c>
      <c r="B104" s="1" t="n">
        <v>16</v>
      </c>
      <c r="C104" s="3" t="n">
        <v>500</v>
      </c>
      <c r="D104" s="1" t="n">
        <v>2</v>
      </c>
      <c r="E104" s="2" t="n">
        <v>168</v>
      </c>
      <c r="F104" s="4" t="n">
        <v>3.269</v>
      </c>
      <c r="G104" s="1" t="n">
        <v>25</v>
      </c>
      <c r="H104" s="1" t="n">
        <v>33</v>
      </c>
      <c r="I104" s="5" t="n">
        <v>0.0193939393939394</v>
      </c>
      <c r="J104" s="4" t="n">
        <v>185.273964470166</v>
      </c>
      <c r="K104" s="4" t="n">
        <v>0.15</v>
      </c>
    </row>
    <row r="105" customFormat="false" ht="14.25" hidden="false" customHeight="false" outlineLevel="0" collapsed="false">
      <c r="B105" s="1" t="n">
        <v>16</v>
      </c>
      <c r="C105" s="3" t="n">
        <v>500</v>
      </c>
      <c r="D105" s="1" t="n">
        <v>2</v>
      </c>
      <c r="E105" s="2" t="n">
        <v>168</v>
      </c>
      <c r="F105" s="4" t="n">
        <v>3.269</v>
      </c>
      <c r="G105" s="1" t="n">
        <v>25</v>
      </c>
      <c r="H105" s="1" t="n">
        <v>33</v>
      </c>
      <c r="I105" s="5" t="n">
        <v>0.0193939393939394</v>
      </c>
      <c r="J105" s="4" t="n">
        <v>211.76759699969</v>
      </c>
      <c r="K105" s="4" t="n">
        <v>0.18</v>
      </c>
    </row>
    <row r="106" customFormat="false" ht="14.25" hidden="false" customHeight="false" outlineLevel="0" collapsed="false">
      <c r="B106" s="1" t="n">
        <v>16</v>
      </c>
      <c r="C106" s="3" t="n">
        <v>500</v>
      </c>
      <c r="D106" s="1" t="n">
        <v>2</v>
      </c>
      <c r="E106" s="2" t="n">
        <v>168</v>
      </c>
      <c r="F106" s="4" t="n">
        <v>3.269</v>
      </c>
      <c r="G106" s="1" t="n">
        <v>25</v>
      </c>
      <c r="H106" s="1" t="n">
        <v>33</v>
      </c>
      <c r="I106" s="5" t="n">
        <v>0.0193939393939394</v>
      </c>
      <c r="J106" s="4" t="n">
        <v>238.261229529214</v>
      </c>
      <c r="K106" s="4" t="n">
        <v>0.18</v>
      </c>
    </row>
    <row r="107" customFormat="false" ht="14.25" hidden="false" customHeight="false" outlineLevel="0" collapsed="false">
      <c r="B107" s="1" t="n">
        <v>16</v>
      </c>
      <c r="C107" s="3" t="n">
        <v>500</v>
      </c>
      <c r="D107" s="1" t="n">
        <v>2</v>
      </c>
      <c r="E107" s="2" t="n">
        <v>168</v>
      </c>
      <c r="F107" s="4" t="n">
        <v>3.269</v>
      </c>
      <c r="G107" s="1" t="n">
        <v>25</v>
      </c>
      <c r="H107" s="1" t="n">
        <v>33</v>
      </c>
      <c r="I107" s="5" t="n">
        <v>0.0193939393939394</v>
      </c>
      <c r="J107" s="4" t="n">
        <v>264.709496249612</v>
      </c>
      <c r="K107" s="4" t="n">
        <v>0.25</v>
      </c>
    </row>
    <row r="108" customFormat="false" ht="14.25" hidden="false" customHeight="false" outlineLevel="0" collapsed="false">
      <c r="B108" s="1" t="n">
        <v>16</v>
      </c>
      <c r="C108" s="3" t="n">
        <v>500</v>
      </c>
      <c r="D108" s="1" t="n">
        <v>2</v>
      </c>
      <c r="E108" s="2" t="n">
        <v>168</v>
      </c>
      <c r="F108" s="4" t="n">
        <v>3.269</v>
      </c>
      <c r="G108" s="1" t="n">
        <v>25</v>
      </c>
      <c r="H108" s="1" t="n">
        <v>33</v>
      </c>
      <c r="I108" s="5" t="n">
        <v>0.0193939393939394</v>
      </c>
      <c r="J108" s="4" t="n">
        <v>291.157762970011</v>
      </c>
      <c r="K108" s="4" t="n">
        <v>0.28</v>
      </c>
    </row>
    <row r="109" customFormat="false" ht="14.25" hidden="false" customHeight="false" outlineLevel="0" collapsed="false">
      <c r="B109" s="1" t="n">
        <v>16</v>
      </c>
      <c r="C109" s="3" t="n">
        <v>500</v>
      </c>
      <c r="D109" s="1" t="n">
        <v>2</v>
      </c>
      <c r="E109" s="2" t="n">
        <v>168</v>
      </c>
      <c r="F109" s="4" t="n">
        <v>3.269</v>
      </c>
      <c r="G109" s="1" t="n">
        <v>25</v>
      </c>
      <c r="H109" s="1" t="n">
        <v>33</v>
      </c>
      <c r="I109" s="5" t="n">
        <v>0.0193939393939394</v>
      </c>
      <c r="J109" s="4" t="n">
        <v>317.651395499535</v>
      </c>
      <c r="K109" s="4" t="n">
        <v>0.33</v>
      </c>
    </row>
    <row r="110" customFormat="false" ht="14.25" hidden="false" customHeight="false" outlineLevel="0" collapsed="false">
      <c r="B110" s="1" t="n">
        <v>16</v>
      </c>
      <c r="C110" s="3" t="n">
        <v>500</v>
      </c>
      <c r="D110" s="1" t="n">
        <v>2</v>
      </c>
      <c r="E110" s="2" t="n">
        <v>168</v>
      </c>
      <c r="F110" s="4" t="n">
        <v>3.269</v>
      </c>
      <c r="G110" s="1" t="n">
        <v>25</v>
      </c>
      <c r="H110" s="1" t="n">
        <v>33</v>
      </c>
      <c r="I110" s="5" t="n">
        <v>0.0193939393939394</v>
      </c>
      <c r="J110" s="4" t="n">
        <v>344.145028029059</v>
      </c>
      <c r="K110" s="4" t="n">
        <v>0.38</v>
      </c>
    </row>
    <row r="111" customFormat="false" ht="14.25" hidden="false" customHeight="false" outlineLevel="0" collapsed="false">
      <c r="B111" s="1" t="n">
        <v>16</v>
      </c>
      <c r="C111" s="3" t="n">
        <v>500</v>
      </c>
      <c r="D111" s="1" t="n">
        <v>2</v>
      </c>
      <c r="E111" s="2" t="n">
        <v>168</v>
      </c>
      <c r="F111" s="4" t="n">
        <v>3.269</v>
      </c>
      <c r="G111" s="1" t="n">
        <v>25</v>
      </c>
      <c r="H111" s="1" t="n">
        <v>33</v>
      </c>
      <c r="I111" s="5" t="n">
        <v>0.0193939393939394</v>
      </c>
      <c r="J111" s="4" t="n">
        <v>370.547928940332</v>
      </c>
      <c r="K111" s="4" t="n">
        <v>0.43</v>
      </c>
    </row>
    <row r="112" customFormat="false" ht="14.25" hidden="false" customHeight="false" outlineLevel="0" collapsed="false">
      <c r="A112" s="0" t="s">
        <v>46</v>
      </c>
      <c r="B112" s="1" t="n">
        <v>16</v>
      </c>
      <c r="C112" s="3" t="n">
        <v>500</v>
      </c>
      <c r="D112" s="1" t="n">
        <v>3</v>
      </c>
      <c r="E112" s="2" t="n">
        <v>76</v>
      </c>
      <c r="F112" s="4" t="n">
        <v>3.269</v>
      </c>
      <c r="G112" s="1" t="n">
        <v>25</v>
      </c>
      <c r="H112" s="1" t="n">
        <v>33</v>
      </c>
      <c r="I112" s="5" t="n">
        <v>0.0292819225138491</v>
      </c>
      <c r="J112" s="4" t="n">
        <v>233.304692064372</v>
      </c>
      <c r="K112" s="4" t="n">
        <v>0.15</v>
      </c>
    </row>
    <row r="113" customFormat="false" ht="14.25" hidden="false" customHeight="false" outlineLevel="0" collapsed="false">
      <c r="B113" s="1" t="n">
        <v>16</v>
      </c>
      <c r="C113" s="3" t="n">
        <v>500</v>
      </c>
      <c r="D113" s="1" t="n">
        <v>3</v>
      </c>
      <c r="E113" s="2" t="n">
        <v>76</v>
      </c>
      <c r="F113" s="4" t="n">
        <v>3.269</v>
      </c>
      <c r="G113" s="1" t="n">
        <v>25</v>
      </c>
      <c r="H113" s="1" t="n">
        <v>33</v>
      </c>
      <c r="I113" s="5" t="n">
        <v>0.0292819225138491</v>
      </c>
      <c r="J113" s="4" t="n">
        <v>251.2038920092</v>
      </c>
      <c r="K113" s="4" t="n">
        <v>0.18</v>
      </c>
    </row>
    <row r="114" customFormat="false" ht="14.25" hidden="false" customHeight="false" outlineLevel="0" collapsed="false">
      <c r="B114" s="1" t="n">
        <v>16</v>
      </c>
      <c r="C114" s="3" t="n">
        <v>500</v>
      </c>
      <c r="D114" s="1" t="n">
        <v>3</v>
      </c>
      <c r="E114" s="2" t="n">
        <v>76</v>
      </c>
      <c r="F114" s="4" t="n">
        <v>3.269</v>
      </c>
      <c r="G114" s="1" t="n">
        <v>25</v>
      </c>
      <c r="H114" s="1" t="n">
        <v>33</v>
      </c>
      <c r="I114" s="5" t="n">
        <v>0.0292819225138491</v>
      </c>
      <c r="J114" s="4" t="n">
        <v>269.164601232189</v>
      </c>
      <c r="K114" s="4" t="n">
        <v>0.18</v>
      </c>
    </row>
    <row r="115" customFormat="false" ht="14.25" hidden="false" customHeight="false" outlineLevel="0" collapsed="false">
      <c r="B115" s="1" t="n">
        <v>16</v>
      </c>
      <c r="C115" s="3" t="n">
        <v>500</v>
      </c>
      <c r="D115" s="1" t="n">
        <v>3</v>
      </c>
      <c r="E115" s="2" t="n">
        <v>76</v>
      </c>
      <c r="F115" s="4" t="n">
        <v>3.269</v>
      </c>
      <c r="G115" s="1" t="n">
        <v>25</v>
      </c>
      <c r="H115" s="1" t="n">
        <v>33</v>
      </c>
      <c r="I115" s="5" t="n">
        <v>0.0292819225138491</v>
      </c>
      <c r="J115" s="4" t="n">
        <v>287.125310455178</v>
      </c>
      <c r="K115" s="4" t="n">
        <v>0.2</v>
      </c>
    </row>
    <row r="116" customFormat="false" ht="14.25" hidden="false" customHeight="false" outlineLevel="0" collapsed="false">
      <c r="B116" s="1" t="n">
        <v>16</v>
      </c>
      <c r="C116" s="3" t="n">
        <v>500</v>
      </c>
      <c r="D116" s="1" t="n">
        <v>3</v>
      </c>
      <c r="E116" s="2" t="n">
        <v>76</v>
      </c>
      <c r="F116" s="4" t="n">
        <v>3.269</v>
      </c>
      <c r="G116" s="1" t="n">
        <v>25</v>
      </c>
      <c r="H116" s="1" t="n">
        <v>33</v>
      </c>
      <c r="I116" s="5" t="n">
        <v>0.0292819225138491</v>
      </c>
      <c r="J116" s="4" t="n">
        <v>305.086019678167</v>
      </c>
      <c r="K116" s="4" t="n">
        <v>0.2</v>
      </c>
    </row>
    <row r="117" customFormat="false" ht="14.25" hidden="false" customHeight="false" outlineLevel="0" collapsed="false">
      <c r="A117" s="0" t="s">
        <v>47</v>
      </c>
      <c r="B117" s="1" t="n">
        <v>16</v>
      </c>
      <c r="C117" s="3" t="n">
        <v>500</v>
      </c>
      <c r="D117" s="1" t="n">
        <v>3</v>
      </c>
      <c r="E117" s="2" t="n">
        <v>76</v>
      </c>
      <c r="F117" s="4" t="n">
        <v>3.269</v>
      </c>
      <c r="G117" s="1" t="n">
        <v>25</v>
      </c>
      <c r="H117" s="1" t="n">
        <v>33</v>
      </c>
      <c r="I117" s="5" t="n">
        <v>0.0292819225138491</v>
      </c>
      <c r="J117" s="4" t="n">
        <v>251.2038920092</v>
      </c>
      <c r="K117" s="4" t="n">
        <v>0.15</v>
      </c>
    </row>
    <row r="118" customFormat="false" ht="14.25" hidden="false" customHeight="false" outlineLevel="0" collapsed="false">
      <c r="B118" s="1" t="n">
        <v>16</v>
      </c>
      <c r="C118" s="3" t="n">
        <v>500</v>
      </c>
      <c r="D118" s="1" t="n">
        <v>3</v>
      </c>
      <c r="E118" s="2" t="n">
        <v>76</v>
      </c>
      <c r="F118" s="4" t="n">
        <v>3.269</v>
      </c>
      <c r="G118" s="1" t="n">
        <v>25</v>
      </c>
      <c r="H118" s="1" t="n">
        <v>33</v>
      </c>
      <c r="I118" s="5" t="n">
        <v>0.0292819225138491</v>
      </c>
      <c r="J118" s="4" t="n">
        <v>269.164601232189</v>
      </c>
      <c r="K118" s="4" t="n">
        <v>0.18</v>
      </c>
    </row>
    <row r="119" customFormat="false" ht="14.25" hidden="false" customHeight="false" outlineLevel="0" collapsed="false">
      <c r="B119" s="1" t="n">
        <v>16</v>
      </c>
      <c r="C119" s="3" t="n">
        <v>500</v>
      </c>
      <c r="D119" s="1" t="n">
        <v>3</v>
      </c>
      <c r="E119" s="2" t="n">
        <v>76</v>
      </c>
      <c r="F119" s="4" t="n">
        <v>3.269</v>
      </c>
      <c r="G119" s="1" t="n">
        <v>25</v>
      </c>
      <c r="H119" s="1" t="n">
        <v>33</v>
      </c>
      <c r="I119" s="5" t="n">
        <v>0.0292819225138491</v>
      </c>
      <c r="J119" s="4" t="n">
        <v>287.125310455178</v>
      </c>
      <c r="K119" s="4" t="n">
        <v>0.2</v>
      </c>
    </row>
    <row r="120" customFormat="false" ht="14.25" hidden="false" customHeight="false" outlineLevel="0" collapsed="false">
      <c r="B120" s="1" t="n">
        <v>16</v>
      </c>
      <c r="C120" s="3" t="n">
        <v>500</v>
      </c>
      <c r="D120" s="1" t="n">
        <v>3</v>
      </c>
      <c r="E120" s="2" t="n">
        <v>76</v>
      </c>
      <c r="F120" s="4" t="n">
        <v>3.269</v>
      </c>
      <c r="G120" s="1" t="n">
        <v>25</v>
      </c>
      <c r="H120" s="1" t="n">
        <v>33</v>
      </c>
      <c r="I120" s="5" t="n">
        <v>0.0292819225138491</v>
      </c>
      <c r="J120" s="4" t="n">
        <v>305.086019678167</v>
      </c>
      <c r="K120" s="4" t="n">
        <v>0.2</v>
      </c>
    </row>
    <row r="121" customFormat="false" ht="14.25" hidden="false" customHeight="false" outlineLevel="0" collapsed="false">
      <c r="A121" s="0" t="s">
        <v>48</v>
      </c>
      <c r="B121" s="1" t="n">
        <v>12</v>
      </c>
      <c r="C121" s="3" t="n">
        <v>500</v>
      </c>
      <c r="D121" s="1" t="n">
        <v>2</v>
      </c>
      <c r="E121" s="2" t="n">
        <v>296</v>
      </c>
      <c r="F121" s="4" t="n">
        <v>3.269</v>
      </c>
      <c r="G121" s="1" t="n">
        <v>25</v>
      </c>
      <c r="H121" s="1" t="n">
        <v>31</v>
      </c>
      <c r="I121" s="5" t="n">
        <v>0.0124772064696725</v>
      </c>
      <c r="J121" s="4" t="n">
        <v>176.286173520268</v>
      </c>
      <c r="K121" s="4" t="n">
        <v>0.2</v>
      </c>
    </row>
    <row r="122" customFormat="false" ht="14.25" hidden="false" customHeight="false" outlineLevel="0" collapsed="false">
      <c r="B122" s="1" t="n">
        <v>12</v>
      </c>
      <c r="C122" s="3" t="n">
        <v>500</v>
      </c>
      <c r="D122" s="1" t="n">
        <v>2</v>
      </c>
      <c r="E122" s="2" t="n">
        <v>296</v>
      </c>
      <c r="F122" s="4" t="n">
        <v>3.269</v>
      </c>
      <c r="G122" s="1" t="n">
        <v>25</v>
      </c>
      <c r="H122" s="1" t="n">
        <v>31</v>
      </c>
      <c r="I122" s="5" t="n">
        <v>0.0124772064696725</v>
      </c>
      <c r="J122" s="4" t="n">
        <v>242.346302783752</v>
      </c>
      <c r="K122" s="4" t="n">
        <v>0.25</v>
      </c>
    </row>
    <row r="123" customFormat="false" ht="14.25" hidden="false" customHeight="false" outlineLevel="0" collapsed="false">
      <c r="B123" s="1" t="n">
        <v>12</v>
      </c>
      <c r="C123" s="3" t="n">
        <v>500</v>
      </c>
      <c r="D123" s="1" t="n">
        <v>2</v>
      </c>
      <c r="E123" s="2" t="n">
        <v>296</v>
      </c>
      <c r="F123" s="4" t="n">
        <v>3.269</v>
      </c>
      <c r="G123" s="1" t="n">
        <v>25</v>
      </c>
      <c r="H123" s="1" t="n">
        <v>31</v>
      </c>
      <c r="I123" s="5" t="n">
        <v>0.0124772064696725</v>
      </c>
      <c r="J123" s="4" t="n">
        <v>308.406432047236</v>
      </c>
      <c r="K123" s="4" t="n">
        <v>0.33</v>
      </c>
    </row>
    <row r="124" customFormat="false" ht="14.25" hidden="false" customHeight="false" outlineLevel="0" collapsed="false">
      <c r="A124" s="0" t="s">
        <v>49</v>
      </c>
      <c r="B124" s="1" t="n">
        <v>12</v>
      </c>
      <c r="C124" s="3" t="n">
        <v>500</v>
      </c>
      <c r="D124" s="1" t="n">
        <v>2</v>
      </c>
      <c r="E124" s="2" t="n">
        <v>296</v>
      </c>
      <c r="F124" s="4" t="n">
        <v>3.269</v>
      </c>
      <c r="G124" s="1" t="n">
        <v>25</v>
      </c>
      <c r="H124" s="1" t="n">
        <v>31</v>
      </c>
      <c r="I124" s="5" t="n">
        <v>0.0124772064696725</v>
      </c>
      <c r="J124" s="4" t="n">
        <v>242.346302783752</v>
      </c>
      <c r="K124" s="4" t="n">
        <v>0.23</v>
      </c>
    </row>
    <row r="125" customFormat="false" ht="14.25" hidden="false" customHeight="false" outlineLevel="0" collapsed="false">
      <c r="B125" s="1" t="n">
        <v>12</v>
      </c>
      <c r="C125" s="3" t="n">
        <v>500</v>
      </c>
      <c r="D125" s="1" t="n">
        <v>2</v>
      </c>
      <c r="E125" s="2" t="n">
        <v>296</v>
      </c>
      <c r="F125" s="4" t="n">
        <v>3.269</v>
      </c>
      <c r="G125" s="1" t="n">
        <v>25</v>
      </c>
      <c r="H125" s="1" t="n">
        <v>31</v>
      </c>
      <c r="I125" s="5" t="n">
        <v>0.0124772064696725</v>
      </c>
      <c r="J125" s="4" t="n">
        <v>308.406432047236</v>
      </c>
      <c r="K125" s="4" t="n">
        <v>0.28</v>
      </c>
    </row>
    <row r="126" customFormat="false" ht="14.25" hidden="false" customHeight="false" outlineLevel="0" collapsed="false">
      <c r="A126" s="0" t="s">
        <v>50</v>
      </c>
      <c r="B126" s="1" t="n">
        <v>12</v>
      </c>
      <c r="C126" s="3" t="n">
        <v>500</v>
      </c>
      <c r="D126" s="1" t="n">
        <v>3</v>
      </c>
      <c r="E126" s="2" t="n">
        <v>142</v>
      </c>
      <c r="F126" s="4" t="n">
        <v>3.269</v>
      </c>
      <c r="G126" s="1" t="n">
        <v>25</v>
      </c>
      <c r="H126" s="1" t="n">
        <v>31</v>
      </c>
      <c r="I126" s="5" t="n">
        <v>0.0195271179121459</v>
      </c>
      <c r="J126" s="4" t="n">
        <v>208.779739289304</v>
      </c>
      <c r="K126" s="4" t="n">
        <v>0.18</v>
      </c>
    </row>
    <row r="127" customFormat="false" ht="14.25" hidden="false" customHeight="false" outlineLevel="0" collapsed="false">
      <c r="B127" s="1" t="n">
        <v>12</v>
      </c>
      <c r="C127" s="3" t="n">
        <v>500</v>
      </c>
      <c r="D127" s="1" t="n">
        <v>3</v>
      </c>
      <c r="E127" s="2" t="n">
        <v>142</v>
      </c>
      <c r="F127" s="4" t="n">
        <v>3.269</v>
      </c>
      <c r="G127" s="1" t="n">
        <v>25</v>
      </c>
      <c r="H127" s="1" t="n">
        <v>31</v>
      </c>
      <c r="I127" s="5" t="n">
        <v>0.0195271179121459</v>
      </c>
      <c r="J127" s="4" t="n">
        <v>253.500001682973</v>
      </c>
      <c r="K127" s="4" t="n">
        <v>0.23</v>
      </c>
    </row>
    <row r="128" customFormat="false" ht="14.25" hidden="false" customHeight="false" outlineLevel="0" collapsed="false">
      <c r="B128" s="1" t="n">
        <v>12</v>
      </c>
      <c r="C128" s="3" t="n">
        <v>500</v>
      </c>
      <c r="D128" s="1" t="n">
        <v>3</v>
      </c>
      <c r="E128" s="2" t="n">
        <v>142</v>
      </c>
      <c r="F128" s="4" t="n">
        <v>3.269</v>
      </c>
      <c r="G128" s="1" t="n">
        <v>25</v>
      </c>
      <c r="H128" s="1" t="n">
        <v>31</v>
      </c>
      <c r="I128" s="5" t="n">
        <v>0.0195271179121459</v>
      </c>
      <c r="J128" s="4" t="n">
        <v>298.220264076643</v>
      </c>
      <c r="K128" s="4" t="n">
        <v>0.25</v>
      </c>
    </row>
    <row r="129" customFormat="false" ht="14.25" hidden="false" customHeight="false" outlineLevel="0" collapsed="false">
      <c r="A129" s="0" t="s">
        <v>51</v>
      </c>
      <c r="B129" s="1" t="n">
        <v>12</v>
      </c>
      <c r="C129" s="3" t="n">
        <v>500</v>
      </c>
      <c r="D129" s="1" t="n">
        <v>3</v>
      </c>
      <c r="E129" s="2" t="n">
        <v>142</v>
      </c>
      <c r="F129" s="4" t="n">
        <v>3.269</v>
      </c>
      <c r="G129" s="1" t="n">
        <v>25</v>
      </c>
      <c r="H129" s="1" t="n">
        <v>31</v>
      </c>
      <c r="I129" s="5" t="n">
        <v>0.0195271179121459</v>
      </c>
      <c r="J129" s="4" t="n">
        <v>208.779739289304</v>
      </c>
      <c r="K129" s="4" t="n">
        <v>0.18</v>
      </c>
    </row>
    <row r="130" customFormat="false" ht="14.25" hidden="false" customHeight="false" outlineLevel="0" collapsed="false">
      <c r="B130" s="1" t="n">
        <v>12</v>
      </c>
      <c r="C130" s="3" t="n">
        <v>500</v>
      </c>
      <c r="D130" s="1" t="n">
        <v>3</v>
      </c>
      <c r="E130" s="2" t="n">
        <v>142</v>
      </c>
      <c r="F130" s="4" t="n">
        <v>3.269</v>
      </c>
      <c r="G130" s="1" t="n">
        <v>25</v>
      </c>
      <c r="H130" s="1" t="n">
        <v>31</v>
      </c>
      <c r="I130" s="5" t="n">
        <v>0.0195271179121459</v>
      </c>
      <c r="J130" s="4" t="n">
        <v>253.500001682973</v>
      </c>
      <c r="K130" s="4" t="n">
        <v>0.23</v>
      </c>
    </row>
    <row r="131" customFormat="false" ht="14.25" hidden="false" customHeight="false" outlineLevel="0" collapsed="false">
      <c r="B131" s="1" t="n">
        <v>12</v>
      </c>
      <c r="C131" s="3" t="n">
        <v>500</v>
      </c>
      <c r="D131" s="1" t="n">
        <v>3</v>
      </c>
      <c r="E131" s="2" t="n">
        <v>142</v>
      </c>
      <c r="F131" s="4" t="n">
        <v>3.269</v>
      </c>
      <c r="G131" s="1" t="n">
        <v>25</v>
      </c>
      <c r="H131" s="1" t="n">
        <v>31</v>
      </c>
      <c r="I131" s="5" t="n">
        <v>0.0195271179121459</v>
      </c>
      <c r="J131" s="4" t="n">
        <v>298.220264076643</v>
      </c>
      <c r="K131" s="4" t="n">
        <v>0.25</v>
      </c>
    </row>
    <row r="132" customFormat="false" ht="14.25" hidden="false" customHeight="false" outlineLevel="0" collapsed="false">
      <c r="A132" s="0" t="s">
        <v>52</v>
      </c>
      <c r="B132" s="1" t="n">
        <v>12</v>
      </c>
      <c r="C132" s="3" t="n">
        <v>500</v>
      </c>
      <c r="D132" s="1" t="n">
        <v>4</v>
      </c>
      <c r="E132" s="2" t="n">
        <v>90.67</v>
      </c>
      <c r="F132" s="4" t="n">
        <v>3.269</v>
      </c>
      <c r="G132" s="1" t="n">
        <v>25</v>
      </c>
      <c r="H132" s="1" t="n">
        <v>31</v>
      </c>
      <c r="I132" s="5" t="n">
        <v>0.026968773854658</v>
      </c>
      <c r="J132" s="4" t="n">
        <v>226.45530266576</v>
      </c>
      <c r="K132" s="4" t="n">
        <v>0.15</v>
      </c>
    </row>
    <row r="133" customFormat="false" ht="14.25" hidden="false" customHeight="false" outlineLevel="0" collapsed="false">
      <c r="B133" s="1" t="n">
        <v>12</v>
      </c>
      <c r="C133" s="3" t="n">
        <v>500</v>
      </c>
      <c r="D133" s="1" t="n">
        <v>4</v>
      </c>
      <c r="E133" s="2" t="n">
        <v>90.67</v>
      </c>
      <c r="F133" s="4" t="n">
        <v>3.269</v>
      </c>
      <c r="G133" s="1" t="n">
        <v>25</v>
      </c>
      <c r="H133" s="1" t="n">
        <v>31</v>
      </c>
      <c r="I133" s="5" t="n">
        <v>0.026968773854658</v>
      </c>
      <c r="J133" s="4" t="n">
        <v>260.413895610496</v>
      </c>
      <c r="K133" s="4" t="n">
        <v>0.15</v>
      </c>
    </row>
    <row r="134" customFormat="false" ht="14.25" hidden="false" customHeight="false" outlineLevel="0" collapsed="false">
      <c r="B134" s="1" t="n">
        <v>12</v>
      </c>
      <c r="C134" s="3" t="n">
        <v>500</v>
      </c>
      <c r="D134" s="1" t="n">
        <v>4</v>
      </c>
      <c r="E134" s="2" t="n">
        <v>90.67</v>
      </c>
      <c r="F134" s="4" t="n">
        <v>3.269</v>
      </c>
      <c r="G134" s="1" t="n">
        <v>25</v>
      </c>
      <c r="H134" s="1" t="n">
        <v>31</v>
      </c>
      <c r="I134" s="5" t="n">
        <v>0.026968773854658</v>
      </c>
      <c r="J134" s="4" t="n">
        <v>294.372488555233</v>
      </c>
      <c r="K134" s="4" t="n">
        <v>0.18</v>
      </c>
    </row>
    <row r="135" customFormat="false" ht="14.25" hidden="false" customHeight="false" outlineLevel="0" collapsed="false">
      <c r="A135" s="0" t="s">
        <v>53</v>
      </c>
      <c r="B135" s="1" t="n">
        <v>12</v>
      </c>
      <c r="C135" s="3" t="n">
        <v>500</v>
      </c>
      <c r="D135" s="1" t="n">
        <v>4</v>
      </c>
      <c r="E135" s="2" t="n">
        <v>90.67</v>
      </c>
      <c r="F135" s="4" t="n">
        <v>3.269</v>
      </c>
      <c r="G135" s="1" t="n">
        <v>25</v>
      </c>
      <c r="H135" s="1" t="n">
        <v>31</v>
      </c>
      <c r="I135" s="5" t="n">
        <v>0.026968773854658</v>
      </c>
      <c r="J135" s="4" t="n">
        <v>226.45530266576</v>
      </c>
      <c r="K135" s="4" t="n">
        <v>0.18</v>
      </c>
    </row>
    <row r="136" customFormat="false" ht="14.25" hidden="false" customHeight="false" outlineLevel="0" collapsed="false">
      <c r="B136" s="1" t="n">
        <v>12</v>
      </c>
      <c r="C136" s="3" t="n">
        <v>500</v>
      </c>
      <c r="D136" s="1" t="n">
        <v>4</v>
      </c>
      <c r="E136" s="2" t="n">
        <v>90.67</v>
      </c>
      <c r="F136" s="4" t="n">
        <v>3.269</v>
      </c>
      <c r="G136" s="1" t="n">
        <v>25</v>
      </c>
      <c r="H136" s="1" t="n">
        <v>31</v>
      </c>
      <c r="I136" s="5" t="n">
        <v>0.026968773854658</v>
      </c>
      <c r="J136" s="4" t="n">
        <v>260.413895610496</v>
      </c>
      <c r="K136" s="4" t="n">
        <v>0.2</v>
      </c>
    </row>
    <row r="137" customFormat="false" ht="14.25" hidden="false" customHeight="false" outlineLevel="0" collapsed="false">
      <c r="B137" s="1" t="n">
        <v>12</v>
      </c>
      <c r="C137" s="3" t="n">
        <v>500</v>
      </c>
      <c r="D137" s="1" t="n">
        <v>4</v>
      </c>
      <c r="E137" s="2" t="n">
        <v>90.67</v>
      </c>
      <c r="F137" s="4" t="n">
        <v>3.269</v>
      </c>
      <c r="G137" s="1" t="n">
        <v>25</v>
      </c>
      <c r="H137" s="1" t="n">
        <v>31</v>
      </c>
      <c r="I137" s="5" t="n">
        <v>0.026968773854658</v>
      </c>
      <c r="J137" s="4" t="n">
        <v>294.372488555233</v>
      </c>
      <c r="K137" s="4" t="n">
        <v>0.23</v>
      </c>
    </row>
    <row r="138" customFormat="false" ht="14.25" hidden="false" customHeight="false" outlineLevel="0" collapsed="false">
      <c r="A138" s="0" t="s">
        <v>54</v>
      </c>
      <c r="B138" s="1" t="n">
        <v>10</v>
      </c>
      <c r="C138" s="3" t="n">
        <v>528</v>
      </c>
      <c r="D138" s="1" t="n">
        <v>1</v>
      </c>
      <c r="E138" s="2" t="n">
        <v>45</v>
      </c>
      <c r="F138" s="4" t="n">
        <v>2.8</v>
      </c>
      <c r="G138" s="1" t="n">
        <v>40</v>
      </c>
      <c r="H138" s="1" t="n">
        <v>45</v>
      </c>
      <c r="I138" s="5" t="n">
        <v>0.0114013751634802</v>
      </c>
      <c r="J138" s="4" t="n">
        <v>274.143632212731</v>
      </c>
      <c r="K138" s="4" t="n">
        <v>0.16</v>
      </c>
    </row>
    <row r="139" customFormat="false" ht="14.25" hidden="false" customHeight="false" outlineLevel="0" collapsed="false">
      <c r="B139" s="1" t="n">
        <v>10</v>
      </c>
      <c r="C139" s="3" t="n">
        <v>528</v>
      </c>
      <c r="D139" s="1" t="n">
        <v>1</v>
      </c>
      <c r="E139" s="2" t="n">
        <v>45</v>
      </c>
      <c r="F139" s="4" t="n">
        <v>2.8</v>
      </c>
      <c r="G139" s="1" t="n">
        <v>40</v>
      </c>
      <c r="H139" s="1" t="n">
        <v>45</v>
      </c>
      <c r="I139" s="5" t="n">
        <v>0.0114013751634802</v>
      </c>
      <c r="J139" s="4" t="n">
        <v>294.202922374639</v>
      </c>
      <c r="K139" s="4" t="n">
        <v>0.18</v>
      </c>
    </row>
    <row r="140" customFormat="false" ht="14.25" hidden="false" customHeight="false" outlineLevel="0" collapsed="false">
      <c r="B140" s="1" t="n">
        <v>10</v>
      </c>
      <c r="C140" s="3" t="n">
        <v>528</v>
      </c>
      <c r="D140" s="1" t="n">
        <v>1</v>
      </c>
      <c r="E140" s="2" t="n">
        <v>45</v>
      </c>
      <c r="F140" s="4" t="n">
        <v>2.8</v>
      </c>
      <c r="G140" s="1" t="n">
        <v>40</v>
      </c>
      <c r="H140" s="1" t="n">
        <v>45</v>
      </c>
      <c r="I140" s="5" t="n">
        <v>0.0114013751634802</v>
      </c>
      <c r="J140" s="4" t="n">
        <v>316.936784558133</v>
      </c>
      <c r="K140" s="4" t="n">
        <v>0.2</v>
      </c>
    </row>
    <row r="141" customFormat="false" ht="14.25" hidden="false" customHeight="false" outlineLevel="0" collapsed="false">
      <c r="B141" s="1" t="n">
        <v>10</v>
      </c>
      <c r="C141" s="3" t="n">
        <v>528</v>
      </c>
      <c r="D141" s="1" t="n">
        <v>1</v>
      </c>
      <c r="E141" s="2" t="n">
        <v>45</v>
      </c>
      <c r="F141" s="4" t="n">
        <v>2.8</v>
      </c>
      <c r="G141" s="1" t="n">
        <v>40</v>
      </c>
      <c r="H141" s="1" t="n">
        <v>45</v>
      </c>
      <c r="I141" s="5" t="n">
        <v>0.0114013751634802</v>
      </c>
      <c r="J141" s="4" t="n">
        <v>336.996074720041</v>
      </c>
      <c r="K141" s="4" t="n">
        <v>0.22</v>
      </c>
    </row>
    <row r="142" customFormat="false" ht="14.25" hidden="false" customHeight="false" outlineLevel="0" collapsed="false">
      <c r="B142" s="1" t="n">
        <v>10</v>
      </c>
      <c r="C142" s="3" t="n">
        <v>528</v>
      </c>
      <c r="D142" s="1" t="n">
        <v>1</v>
      </c>
      <c r="E142" s="2" t="n">
        <v>45</v>
      </c>
      <c r="F142" s="4" t="n">
        <v>2.8</v>
      </c>
      <c r="G142" s="1" t="n">
        <v>40</v>
      </c>
      <c r="H142" s="1" t="n">
        <v>45</v>
      </c>
      <c r="I142" s="5" t="n">
        <v>0.0114013751634802</v>
      </c>
      <c r="J142" s="4" t="n">
        <v>359.729936903535</v>
      </c>
      <c r="K142" s="4" t="n">
        <v>0.24</v>
      </c>
    </row>
    <row r="143" customFormat="false" ht="14.25" hidden="false" customHeight="false" outlineLevel="0" collapsed="false">
      <c r="B143" s="1" t="n">
        <v>10</v>
      </c>
      <c r="C143" s="3" t="n">
        <v>528</v>
      </c>
      <c r="D143" s="1" t="n">
        <v>1</v>
      </c>
      <c r="E143" s="2" t="n">
        <v>45</v>
      </c>
      <c r="F143" s="4" t="n">
        <v>2.8</v>
      </c>
      <c r="G143" s="1" t="n">
        <v>40</v>
      </c>
      <c r="H143" s="1" t="n">
        <v>45</v>
      </c>
      <c r="I143" s="5" t="n">
        <v>0.0114013751634802</v>
      </c>
      <c r="J143" s="4" t="n">
        <v>379.789227065442</v>
      </c>
      <c r="K143" s="4" t="n">
        <v>0.26</v>
      </c>
    </row>
    <row r="144" customFormat="false" ht="14.25" hidden="false" customHeight="false" outlineLevel="0" collapsed="false">
      <c r="B144" s="1" t="n">
        <v>10</v>
      </c>
      <c r="C144" s="3" t="n">
        <v>528</v>
      </c>
      <c r="D144" s="1" t="n">
        <v>1</v>
      </c>
      <c r="E144" s="2" t="n">
        <v>45</v>
      </c>
      <c r="F144" s="4" t="n">
        <v>2.8</v>
      </c>
      <c r="G144" s="1" t="n">
        <v>40</v>
      </c>
      <c r="H144" s="1" t="n">
        <v>45</v>
      </c>
      <c r="I144" s="5" t="n">
        <v>0.0114013751634802</v>
      </c>
      <c r="J144" s="4" t="n">
        <v>403.860375259731</v>
      </c>
      <c r="K144" s="4" t="n">
        <v>0.28</v>
      </c>
    </row>
    <row r="145" customFormat="false" ht="14.25" hidden="false" customHeight="false" outlineLevel="0" collapsed="false">
      <c r="A145" s="0" t="s">
        <v>55</v>
      </c>
      <c r="B145" s="1" t="n">
        <v>10</v>
      </c>
      <c r="C145" s="3" t="n">
        <v>528</v>
      </c>
      <c r="D145" s="1" t="n">
        <v>1</v>
      </c>
      <c r="E145" s="2" t="n">
        <v>45</v>
      </c>
      <c r="F145" s="4" t="n">
        <v>2.8</v>
      </c>
      <c r="G145" s="1" t="n">
        <v>40</v>
      </c>
      <c r="H145" s="1" t="n">
        <v>45</v>
      </c>
      <c r="I145" s="5" t="n">
        <v>0.0114013751634802</v>
      </c>
      <c r="J145" s="4" t="n">
        <v>251.409770029237</v>
      </c>
      <c r="K145" s="4" t="n">
        <v>0.15</v>
      </c>
    </row>
    <row r="146" customFormat="false" ht="14.25" hidden="false" customHeight="false" outlineLevel="0" collapsed="false">
      <c r="B146" s="1" t="n">
        <v>10</v>
      </c>
      <c r="C146" s="3" t="n">
        <v>528</v>
      </c>
      <c r="D146" s="1" t="n">
        <v>1</v>
      </c>
      <c r="E146" s="2" t="n">
        <v>45</v>
      </c>
      <c r="F146" s="4" t="n">
        <v>2.8</v>
      </c>
      <c r="G146" s="1" t="n">
        <v>40</v>
      </c>
      <c r="H146" s="1" t="n">
        <v>45</v>
      </c>
      <c r="I146" s="5" t="n">
        <v>0.0114013751634802</v>
      </c>
      <c r="J146" s="4" t="n">
        <v>274.143632212731</v>
      </c>
      <c r="K146" s="4" t="n">
        <v>0.17</v>
      </c>
    </row>
    <row r="147" customFormat="false" ht="14.25" hidden="false" customHeight="false" outlineLevel="0" collapsed="false">
      <c r="B147" s="1" t="n">
        <v>10</v>
      </c>
      <c r="C147" s="3" t="n">
        <v>528</v>
      </c>
      <c r="D147" s="1" t="n">
        <v>1</v>
      </c>
      <c r="E147" s="2" t="n">
        <v>45</v>
      </c>
      <c r="F147" s="4" t="n">
        <v>2.8</v>
      </c>
      <c r="G147" s="1" t="n">
        <v>40</v>
      </c>
      <c r="H147" s="1" t="n">
        <v>45</v>
      </c>
      <c r="I147" s="5" t="n">
        <v>0.0114013751634802</v>
      </c>
      <c r="J147" s="4" t="n">
        <v>295.540208385432</v>
      </c>
      <c r="K147" s="4" t="n">
        <v>0.19</v>
      </c>
    </row>
    <row r="148" customFormat="false" ht="14.25" hidden="false" customHeight="false" outlineLevel="0" collapsed="false">
      <c r="B148" s="1" t="n">
        <v>10</v>
      </c>
      <c r="C148" s="3" t="n">
        <v>528</v>
      </c>
      <c r="D148" s="1" t="n">
        <v>1</v>
      </c>
      <c r="E148" s="2" t="n">
        <v>45</v>
      </c>
      <c r="F148" s="4" t="n">
        <v>2.8</v>
      </c>
      <c r="G148" s="1" t="n">
        <v>40</v>
      </c>
      <c r="H148" s="1" t="n">
        <v>45</v>
      </c>
      <c r="I148" s="5" t="n">
        <v>0.0114013751634802</v>
      </c>
      <c r="J148" s="4" t="n">
        <v>314.930855541943</v>
      </c>
      <c r="K148" s="4" t="n">
        <v>0.2</v>
      </c>
    </row>
    <row r="149" customFormat="false" ht="14.25" hidden="false" customHeight="false" outlineLevel="0" collapsed="false">
      <c r="B149" s="1" t="n">
        <v>10</v>
      </c>
      <c r="C149" s="3" t="n">
        <v>528</v>
      </c>
      <c r="D149" s="1" t="n">
        <v>1</v>
      </c>
      <c r="E149" s="2" t="n">
        <v>45</v>
      </c>
      <c r="F149" s="4" t="n">
        <v>2.8</v>
      </c>
      <c r="G149" s="1" t="n">
        <v>40</v>
      </c>
      <c r="H149" s="1" t="n">
        <v>45</v>
      </c>
      <c r="I149" s="5" t="n">
        <v>0.0114013751634802</v>
      </c>
      <c r="J149" s="4" t="n">
        <v>336.996074720041</v>
      </c>
      <c r="K149" s="4" t="n">
        <v>0.22</v>
      </c>
    </row>
    <row r="150" customFormat="false" ht="14.25" hidden="false" customHeight="false" outlineLevel="0" collapsed="false">
      <c r="B150" s="1" t="n">
        <v>10</v>
      </c>
      <c r="C150" s="3" t="n">
        <v>528</v>
      </c>
      <c r="D150" s="1" t="n">
        <v>1</v>
      </c>
      <c r="E150" s="2" t="n">
        <v>45</v>
      </c>
      <c r="F150" s="4" t="n">
        <v>2.8</v>
      </c>
      <c r="G150" s="1" t="n">
        <v>40</v>
      </c>
      <c r="H150" s="1" t="n">
        <v>45</v>
      </c>
      <c r="I150" s="5" t="n">
        <v>0.0114013751634802</v>
      </c>
      <c r="J150" s="4" t="n">
        <v>359.061293898138</v>
      </c>
      <c r="K150" s="4" t="n">
        <v>0.24</v>
      </c>
    </row>
    <row r="151" customFormat="false" ht="14.25" hidden="false" customHeight="false" outlineLevel="0" collapsed="false">
      <c r="B151" s="1" t="n">
        <v>10</v>
      </c>
      <c r="C151" s="3" t="n">
        <v>528</v>
      </c>
      <c r="D151" s="1" t="n">
        <v>1</v>
      </c>
      <c r="E151" s="2" t="n">
        <v>45</v>
      </c>
      <c r="F151" s="4" t="n">
        <v>2.8</v>
      </c>
      <c r="G151" s="1" t="n">
        <v>40</v>
      </c>
      <c r="H151" s="1" t="n">
        <v>45</v>
      </c>
      <c r="I151" s="5" t="n">
        <v>0.0114013751634802</v>
      </c>
      <c r="J151" s="4" t="n">
        <v>377.783298049252</v>
      </c>
      <c r="K151" s="4" t="n">
        <v>0.26</v>
      </c>
    </row>
    <row r="152" customFormat="false" ht="14.25" hidden="false" customHeight="false" outlineLevel="0" collapsed="false">
      <c r="B152" s="1" t="n">
        <v>10</v>
      </c>
      <c r="C152" s="3" t="n">
        <v>528</v>
      </c>
      <c r="D152" s="1" t="n">
        <v>1</v>
      </c>
      <c r="E152" s="2" t="n">
        <v>45</v>
      </c>
      <c r="F152" s="4" t="n">
        <v>2.8</v>
      </c>
      <c r="G152" s="1" t="n">
        <v>40</v>
      </c>
      <c r="H152" s="1" t="n">
        <v>45</v>
      </c>
      <c r="I152" s="5" t="n">
        <v>0.0114013751634802</v>
      </c>
      <c r="J152" s="4" t="n">
        <v>395.836659194968</v>
      </c>
      <c r="K152" s="4" t="n">
        <v>0.29</v>
      </c>
    </row>
    <row r="153" customFormat="false" ht="14.25" hidden="false" customHeight="false" outlineLevel="0" collapsed="false">
      <c r="A153" s="0" t="s">
        <v>56</v>
      </c>
      <c r="B153" s="1" t="n">
        <v>20</v>
      </c>
      <c r="C153" s="3" t="n">
        <v>598</v>
      </c>
      <c r="D153" s="1" t="n">
        <v>1</v>
      </c>
      <c r="E153" s="2" t="n">
        <v>40</v>
      </c>
      <c r="F153" s="4" t="n">
        <v>2.8</v>
      </c>
      <c r="G153" s="1" t="n">
        <v>40</v>
      </c>
      <c r="H153" s="1" t="n">
        <v>50</v>
      </c>
      <c r="I153" s="5" t="n">
        <v>0.0541238331858136</v>
      </c>
      <c r="J153" s="4" t="n">
        <v>201.33268539096</v>
      </c>
      <c r="K153" s="4" t="n">
        <v>0.17</v>
      </c>
    </row>
    <row r="154" customFormat="false" ht="14.25" hidden="false" customHeight="false" outlineLevel="0" collapsed="false">
      <c r="B154" s="1" t="n">
        <v>20</v>
      </c>
      <c r="C154" s="3" t="n">
        <v>598</v>
      </c>
      <c r="D154" s="1" t="n">
        <v>1</v>
      </c>
      <c r="E154" s="2" t="n">
        <v>40</v>
      </c>
      <c r="F154" s="4" t="n">
        <v>2.8</v>
      </c>
      <c r="G154" s="1" t="n">
        <v>40</v>
      </c>
      <c r="H154" s="1" t="n">
        <v>50</v>
      </c>
      <c r="I154" s="5" t="n">
        <v>0.0541238331858136</v>
      </c>
      <c r="J154" s="4" t="n">
        <v>235.281479050211</v>
      </c>
      <c r="K154" s="4" t="n">
        <v>0.2</v>
      </c>
    </row>
    <row r="155" customFormat="false" ht="14.25" hidden="false" customHeight="false" outlineLevel="0" collapsed="false">
      <c r="B155" s="1" t="n">
        <v>20</v>
      </c>
      <c r="C155" s="3" t="n">
        <v>598</v>
      </c>
      <c r="D155" s="1" t="n">
        <v>1</v>
      </c>
      <c r="E155" s="2" t="n">
        <v>40</v>
      </c>
      <c r="F155" s="4" t="n">
        <v>2.8</v>
      </c>
      <c r="G155" s="1" t="n">
        <v>40</v>
      </c>
      <c r="H155" s="1" t="n">
        <v>50</v>
      </c>
      <c r="I155" s="5" t="n">
        <v>0.0541238331858136</v>
      </c>
      <c r="J155" s="4" t="n">
        <v>268.141006602748</v>
      </c>
      <c r="K155" s="4" t="n">
        <v>0.24</v>
      </c>
    </row>
    <row r="156" customFormat="false" ht="14.25" hidden="false" customHeight="false" outlineLevel="0" collapsed="false">
      <c r="B156" s="1" t="n">
        <v>20</v>
      </c>
      <c r="C156" s="3" t="n">
        <v>598</v>
      </c>
      <c r="D156" s="1" t="n">
        <v>1</v>
      </c>
      <c r="E156" s="2" t="n">
        <v>40</v>
      </c>
      <c r="F156" s="4" t="n">
        <v>2.8</v>
      </c>
      <c r="G156" s="1" t="n">
        <v>40</v>
      </c>
      <c r="H156" s="1" t="n">
        <v>50</v>
      </c>
      <c r="I156" s="5" t="n">
        <v>0.0541238331858136</v>
      </c>
      <c r="J156" s="4" t="n">
        <v>300.818989804166</v>
      </c>
      <c r="K156" s="4" t="n">
        <v>0.27</v>
      </c>
    </row>
    <row r="157" customFormat="false" ht="14.25" hidden="false" customHeight="false" outlineLevel="0" collapsed="false">
      <c r="B157" s="1" t="n">
        <v>20</v>
      </c>
      <c r="C157" s="3" t="n">
        <v>598</v>
      </c>
      <c r="D157" s="1" t="n">
        <v>1</v>
      </c>
      <c r="E157" s="2" t="n">
        <v>40</v>
      </c>
      <c r="F157" s="4" t="n">
        <v>2.8</v>
      </c>
      <c r="G157" s="1" t="n">
        <v>40</v>
      </c>
      <c r="H157" s="1" t="n">
        <v>50</v>
      </c>
      <c r="I157" s="5" t="n">
        <v>0.0541238331858136</v>
      </c>
      <c r="J157" s="4" t="n">
        <v>333.133884303346</v>
      </c>
      <c r="K157" s="4" t="n">
        <v>0.32</v>
      </c>
    </row>
    <row r="158" customFormat="false" ht="14.25" hidden="false" customHeight="false" outlineLevel="0" collapsed="false">
      <c r="B158" s="1" t="n">
        <v>20</v>
      </c>
      <c r="C158" s="3" t="n">
        <v>598</v>
      </c>
      <c r="D158" s="1" t="n">
        <v>1</v>
      </c>
      <c r="E158" s="2" t="n">
        <v>40</v>
      </c>
      <c r="F158" s="4" t="n">
        <v>2.8</v>
      </c>
      <c r="G158" s="1" t="n">
        <v>40</v>
      </c>
      <c r="H158" s="1" t="n">
        <v>50</v>
      </c>
      <c r="I158" s="5" t="n">
        <v>0.0541238331858136</v>
      </c>
      <c r="J158" s="4" t="n">
        <v>366.356500558121</v>
      </c>
      <c r="K158" s="4" t="n">
        <v>0.34</v>
      </c>
    </row>
    <row r="159" customFormat="false" ht="14.25" hidden="false" customHeight="false" outlineLevel="0" collapsed="false">
      <c r="A159" s="0" t="s">
        <v>57</v>
      </c>
      <c r="B159" s="1" t="n">
        <v>20</v>
      </c>
      <c r="C159" s="3" t="n">
        <v>598</v>
      </c>
      <c r="D159" s="1" t="n">
        <v>1</v>
      </c>
      <c r="E159" s="2" t="n">
        <v>40</v>
      </c>
      <c r="F159" s="4" t="n">
        <v>2.8</v>
      </c>
      <c r="G159" s="1" t="n">
        <v>40</v>
      </c>
      <c r="H159" s="1" t="n">
        <v>50</v>
      </c>
      <c r="I159" s="5" t="n">
        <v>0.0541238331858136</v>
      </c>
      <c r="J159" s="4" t="n">
        <v>169.743968296255</v>
      </c>
      <c r="K159" s="4" t="n">
        <v>0.16</v>
      </c>
    </row>
    <row r="160" customFormat="false" ht="14.25" hidden="false" customHeight="false" outlineLevel="0" collapsed="false">
      <c r="B160" s="1" t="n">
        <v>20</v>
      </c>
      <c r="C160" s="3" t="n">
        <v>598</v>
      </c>
      <c r="D160" s="1" t="n">
        <v>1</v>
      </c>
      <c r="E160" s="2" t="n">
        <v>40</v>
      </c>
      <c r="F160" s="4" t="n">
        <v>2.8</v>
      </c>
      <c r="G160" s="1" t="n">
        <v>40</v>
      </c>
      <c r="H160" s="1" t="n">
        <v>50</v>
      </c>
      <c r="I160" s="5" t="n">
        <v>0.0541238331858136</v>
      </c>
      <c r="J160" s="4" t="n">
        <v>201.877318444317</v>
      </c>
      <c r="K160" s="4" t="n">
        <v>0.2</v>
      </c>
    </row>
    <row r="161" customFormat="false" ht="14.25" hidden="false" customHeight="false" outlineLevel="0" collapsed="false">
      <c r="B161" s="1" t="n">
        <v>20</v>
      </c>
      <c r="C161" s="3" t="n">
        <v>598</v>
      </c>
      <c r="D161" s="1" t="n">
        <v>1</v>
      </c>
      <c r="E161" s="2" t="n">
        <v>40</v>
      </c>
      <c r="F161" s="4" t="n">
        <v>2.8</v>
      </c>
      <c r="G161" s="1" t="n">
        <v>40</v>
      </c>
      <c r="H161" s="1" t="n">
        <v>50</v>
      </c>
      <c r="I161" s="5" t="n">
        <v>0.0541238331858136</v>
      </c>
      <c r="J161" s="4" t="n">
        <v>234.736845996854</v>
      </c>
      <c r="K161" s="4" t="n">
        <v>0.24</v>
      </c>
    </row>
    <row r="162" customFormat="false" ht="14.25" hidden="false" customHeight="false" outlineLevel="0" collapsed="false">
      <c r="B162" s="1" t="n">
        <v>20</v>
      </c>
      <c r="C162" s="3" t="n">
        <v>598</v>
      </c>
      <c r="D162" s="1" t="n">
        <v>1</v>
      </c>
      <c r="E162" s="2" t="n">
        <v>40</v>
      </c>
      <c r="F162" s="4" t="n">
        <v>2.8</v>
      </c>
      <c r="G162" s="1" t="n">
        <v>40</v>
      </c>
      <c r="H162" s="1" t="n">
        <v>50</v>
      </c>
      <c r="I162" s="5" t="n">
        <v>0.0541238331858136</v>
      </c>
      <c r="J162" s="4" t="n">
        <v>267.233284847153</v>
      </c>
      <c r="K162" s="4" t="n">
        <v>0.27</v>
      </c>
    </row>
    <row r="163" customFormat="false" ht="14.25" hidden="false" customHeight="false" outlineLevel="0" collapsed="false">
      <c r="B163" s="1" t="n">
        <v>20</v>
      </c>
      <c r="C163" s="3" t="n">
        <v>598</v>
      </c>
      <c r="D163" s="1" t="n">
        <v>1</v>
      </c>
      <c r="E163" s="2" t="n">
        <v>40</v>
      </c>
      <c r="F163" s="4" t="n">
        <v>2.8</v>
      </c>
      <c r="G163" s="1" t="n">
        <v>40</v>
      </c>
      <c r="H163" s="1" t="n">
        <v>50</v>
      </c>
      <c r="I163" s="5" t="n">
        <v>0.0541238331858136</v>
      </c>
      <c r="J163" s="4" t="n">
        <v>301.000534155285</v>
      </c>
      <c r="K163" s="4" t="n">
        <v>0.29</v>
      </c>
    </row>
    <row r="164" customFormat="false" ht="14.25" hidden="false" customHeight="false" outlineLevel="0" collapsed="false">
      <c r="B164" s="1" t="n">
        <v>20</v>
      </c>
      <c r="C164" s="3" t="n">
        <v>598</v>
      </c>
      <c r="D164" s="1" t="n">
        <v>1</v>
      </c>
      <c r="E164" s="2" t="n">
        <v>40</v>
      </c>
      <c r="F164" s="4" t="n">
        <v>2.8</v>
      </c>
      <c r="G164" s="1" t="n">
        <v>40</v>
      </c>
      <c r="H164" s="1" t="n">
        <v>50</v>
      </c>
      <c r="I164" s="5" t="n">
        <v>0.0541238331858136</v>
      </c>
      <c r="J164" s="4" t="n">
        <v>333.133884303346</v>
      </c>
      <c r="K164" s="4" t="n">
        <v>0.32</v>
      </c>
    </row>
    <row r="165" customFormat="false" ht="14.25" hidden="false" customHeight="false" outlineLevel="0" collapsed="false">
      <c r="B165" s="1" t="n">
        <v>20</v>
      </c>
      <c r="C165" s="3" t="n">
        <v>598</v>
      </c>
      <c r="D165" s="1" t="n">
        <v>1</v>
      </c>
      <c r="E165" s="2" t="n">
        <v>40</v>
      </c>
      <c r="F165" s="4" t="n">
        <v>2.8</v>
      </c>
      <c r="G165" s="1" t="n">
        <v>40</v>
      </c>
      <c r="H165" s="1" t="n">
        <v>50</v>
      </c>
      <c r="I165" s="5" t="n">
        <v>0.0541238331858136</v>
      </c>
      <c r="J165" s="4" t="n">
        <v>348.746698499579</v>
      </c>
      <c r="K165" s="4" t="n">
        <v>0.33</v>
      </c>
    </row>
    <row r="166" customFormat="false" ht="14.25" hidden="false" customHeight="false" outlineLevel="0" collapsed="false">
      <c r="A166" s="0" t="s">
        <v>58</v>
      </c>
      <c r="B166" s="1" t="n">
        <v>10</v>
      </c>
      <c r="C166" s="3" t="n">
        <v>528</v>
      </c>
      <c r="D166" s="1" t="n">
        <v>1</v>
      </c>
      <c r="E166" s="2" t="n">
        <v>45</v>
      </c>
      <c r="F166" s="4" t="n">
        <v>2.8</v>
      </c>
      <c r="G166" s="1" t="n">
        <v>40</v>
      </c>
      <c r="H166" s="1" t="n">
        <v>45</v>
      </c>
      <c r="I166" s="5" t="n">
        <v>0.00795980968315605</v>
      </c>
      <c r="J166" s="4" t="n">
        <v>310.309853574738</v>
      </c>
      <c r="K166" s="4" t="n">
        <v>0.15</v>
      </c>
    </row>
    <row r="167" customFormat="false" ht="14.25" hidden="false" customHeight="false" outlineLevel="0" collapsed="false">
      <c r="B167" s="1" t="n">
        <v>10</v>
      </c>
      <c r="C167" s="3" t="n">
        <v>528</v>
      </c>
      <c r="D167" s="1" t="n">
        <v>1</v>
      </c>
      <c r="E167" s="2" t="n">
        <v>45</v>
      </c>
      <c r="F167" s="4" t="n">
        <v>2.8</v>
      </c>
      <c r="G167" s="1" t="n">
        <v>40</v>
      </c>
      <c r="H167" s="1" t="n">
        <v>45</v>
      </c>
      <c r="I167" s="5" t="n">
        <v>0.00795980968315605</v>
      </c>
      <c r="J167" s="4" t="n">
        <v>330.286882774829</v>
      </c>
      <c r="K167" s="4" t="n">
        <v>0.19</v>
      </c>
    </row>
    <row r="168" customFormat="false" ht="14.25" hidden="false" customHeight="false" outlineLevel="0" collapsed="false">
      <c r="B168" s="1" t="n">
        <v>10</v>
      </c>
      <c r="C168" s="3" t="n">
        <v>528</v>
      </c>
      <c r="D168" s="1" t="n">
        <v>1</v>
      </c>
      <c r="E168" s="2" t="n">
        <v>45</v>
      </c>
      <c r="F168" s="4" t="n">
        <v>2.8</v>
      </c>
      <c r="G168" s="1" t="n">
        <v>40</v>
      </c>
      <c r="H168" s="1" t="n">
        <v>45</v>
      </c>
      <c r="I168" s="5" t="n">
        <v>0.00795980968315605</v>
      </c>
      <c r="J168" s="4" t="n">
        <v>334.282288614847</v>
      </c>
      <c r="K168" s="4" t="n">
        <v>0.2</v>
      </c>
    </row>
    <row r="169" customFormat="false" ht="14.25" hidden="false" customHeight="false" outlineLevel="0" collapsed="false">
      <c r="B169" s="1" t="n">
        <v>10</v>
      </c>
      <c r="C169" s="3" t="n">
        <v>528</v>
      </c>
      <c r="D169" s="1" t="n">
        <v>1</v>
      </c>
      <c r="E169" s="2" t="n">
        <v>45</v>
      </c>
      <c r="F169" s="4" t="n">
        <v>2.8</v>
      </c>
      <c r="G169" s="1" t="n">
        <v>40</v>
      </c>
      <c r="H169" s="1" t="n">
        <v>45</v>
      </c>
      <c r="I169" s="5" t="n">
        <v>0.00795980968315605</v>
      </c>
      <c r="J169" s="4" t="n">
        <v>351.151779939368</v>
      </c>
      <c r="K169" s="4" t="n">
        <v>0.23</v>
      </c>
    </row>
    <row r="170" customFormat="false" ht="14.25" hidden="false" customHeight="false" outlineLevel="0" collapsed="false">
      <c r="B170" s="1" t="n">
        <v>10</v>
      </c>
      <c r="C170" s="3" t="n">
        <v>528</v>
      </c>
      <c r="D170" s="1" t="n">
        <v>1</v>
      </c>
      <c r="E170" s="2" t="n">
        <v>45</v>
      </c>
      <c r="F170" s="4" t="n">
        <v>2.8</v>
      </c>
      <c r="G170" s="1" t="n">
        <v>40</v>
      </c>
      <c r="H170" s="1" t="n">
        <v>45</v>
      </c>
      <c r="I170" s="5" t="n">
        <v>0.00795980968315605</v>
      </c>
      <c r="J170" s="4" t="n">
        <v>362.694063477198</v>
      </c>
      <c r="K170" s="4" t="n">
        <v>0.25</v>
      </c>
    </row>
    <row r="171" customFormat="false" ht="14.25" hidden="false" customHeight="false" outlineLevel="0" collapsed="false">
      <c r="B171" s="1" t="n">
        <v>10</v>
      </c>
      <c r="C171" s="3" t="n">
        <v>528</v>
      </c>
      <c r="D171" s="1" t="n">
        <v>1</v>
      </c>
      <c r="E171" s="2" t="n">
        <v>45</v>
      </c>
      <c r="F171" s="4" t="n">
        <v>2.8</v>
      </c>
      <c r="G171" s="1" t="n">
        <v>40</v>
      </c>
      <c r="H171" s="1" t="n">
        <v>45</v>
      </c>
      <c r="I171" s="5" t="n">
        <v>0.00795980968315605</v>
      </c>
      <c r="J171" s="4" t="n">
        <v>375.568148961701</v>
      </c>
      <c r="K171" s="4" t="n">
        <v>0.28</v>
      </c>
    </row>
    <row r="172" customFormat="false" ht="14.25" hidden="false" customHeight="false" outlineLevel="0" collapsed="false">
      <c r="B172" s="1" t="n">
        <v>10</v>
      </c>
      <c r="C172" s="3" t="n">
        <v>528</v>
      </c>
      <c r="D172" s="1" t="n">
        <v>1</v>
      </c>
      <c r="E172" s="2" t="n">
        <v>45</v>
      </c>
      <c r="F172" s="4" t="n">
        <v>2.8</v>
      </c>
      <c r="G172" s="1" t="n">
        <v>40</v>
      </c>
      <c r="H172" s="1" t="n">
        <v>45</v>
      </c>
      <c r="I172" s="5" t="n">
        <v>0.00795980968315605</v>
      </c>
      <c r="J172" s="4" t="n">
        <v>387.110432499531</v>
      </c>
      <c r="K172" s="4" t="n">
        <v>0.31</v>
      </c>
    </row>
    <row r="173" customFormat="false" ht="14.25" hidden="false" customHeight="false" outlineLevel="0" collapsed="false">
      <c r="B173" s="1" t="n">
        <v>10</v>
      </c>
      <c r="C173" s="3" t="n">
        <v>528</v>
      </c>
      <c r="D173" s="1" t="n">
        <v>1</v>
      </c>
      <c r="E173" s="2" t="n">
        <v>45</v>
      </c>
      <c r="F173" s="4" t="n">
        <v>2.8</v>
      </c>
      <c r="G173" s="1" t="n">
        <v>40</v>
      </c>
      <c r="H173" s="1" t="n">
        <v>45</v>
      </c>
      <c r="I173" s="5" t="n">
        <v>0.00795980968315605</v>
      </c>
      <c r="J173" s="4" t="n">
        <v>400.872385948482</v>
      </c>
      <c r="K173" s="4" t="n">
        <v>0.36</v>
      </c>
    </row>
    <row r="174" customFormat="false" ht="14.25" hidden="false" customHeight="false" outlineLevel="0" collapsed="false">
      <c r="A174" s="0" t="s">
        <v>59</v>
      </c>
      <c r="B174" s="1" t="n">
        <v>10</v>
      </c>
      <c r="C174" s="3" t="n">
        <v>528</v>
      </c>
      <c r="D174" s="1" t="n">
        <v>1</v>
      </c>
      <c r="E174" s="2" t="n">
        <v>45</v>
      </c>
      <c r="F174" s="4" t="n">
        <v>2.8</v>
      </c>
      <c r="G174" s="1" t="n">
        <v>40</v>
      </c>
      <c r="H174" s="1" t="n">
        <v>45</v>
      </c>
      <c r="I174" s="5" t="n">
        <v>0.00795980968315605</v>
      </c>
      <c r="J174" s="4" t="n">
        <v>308.978051628066</v>
      </c>
      <c r="K174" s="4" t="n">
        <v>0.16</v>
      </c>
    </row>
    <row r="175" customFormat="false" ht="14.25" hidden="false" customHeight="false" outlineLevel="0" collapsed="false">
      <c r="B175" s="1" t="n">
        <v>10</v>
      </c>
      <c r="C175" s="3" t="n">
        <v>528</v>
      </c>
      <c r="D175" s="1" t="n">
        <v>1</v>
      </c>
      <c r="E175" s="2" t="n">
        <v>45</v>
      </c>
      <c r="F175" s="4" t="n">
        <v>2.8</v>
      </c>
      <c r="G175" s="1" t="n">
        <v>40</v>
      </c>
      <c r="H175" s="1" t="n">
        <v>45</v>
      </c>
      <c r="I175" s="5" t="n">
        <v>0.00795980968315605</v>
      </c>
      <c r="J175" s="4" t="n">
        <v>322.296071094793</v>
      </c>
      <c r="K175" s="4" t="n">
        <v>0.18</v>
      </c>
    </row>
    <row r="176" customFormat="false" ht="14.25" hidden="false" customHeight="false" outlineLevel="0" collapsed="false">
      <c r="B176" s="1" t="n">
        <v>10</v>
      </c>
      <c r="C176" s="3" t="n">
        <v>528</v>
      </c>
      <c r="D176" s="1" t="n">
        <v>1</v>
      </c>
      <c r="E176" s="2" t="n">
        <v>45</v>
      </c>
      <c r="F176" s="4" t="n">
        <v>2.8</v>
      </c>
      <c r="G176" s="1" t="n">
        <v>40</v>
      </c>
      <c r="H176" s="1" t="n">
        <v>45</v>
      </c>
      <c r="I176" s="5" t="n">
        <v>0.00795980968315605</v>
      </c>
      <c r="J176" s="4" t="n">
        <v>334.726222597071</v>
      </c>
      <c r="K176" s="4" t="n">
        <v>0.2</v>
      </c>
    </row>
    <row r="177" customFormat="false" ht="14.25" hidden="false" customHeight="false" outlineLevel="0" collapsed="false">
      <c r="B177" s="1" t="n">
        <v>10</v>
      </c>
      <c r="C177" s="3" t="n">
        <v>528</v>
      </c>
      <c r="D177" s="1" t="n">
        <v>1</v>
      </c>
      <c r="E177" s="2" t="n">
        <v>45</v>
      </c>
      <c r="F177" s="4" t="n">
        <v>2.8</v>
      </c>
      <c r="G177" s="1" t="n">
        <v>40</v>
      </c>
      <c r="H177" s="1" t="n">
        <v>45</v>
      </c>
      <c r="I177" s="5" t="n">
        <v>0.00795980968315605</v>
      </c>
      <c r="J177" s="4" t="n">
        <v>347.600308081574</v>
      </c>
      <c r="K177" s="4" t="n">
        <v>0.23</v>
      </c>
    </row>
    <row r="178" customFormat="false" ht="14.25" hidden="false" customHeight="false" outlineLevel="0" collapsed="false">
      <c r="B178" s="1" t="n">
        <v>10</v>
      </c>
      <c r="C178" s="3" t="n">
        <v>528</v>
      </c>
      <c r="D178" s="1" t="n">
        <v>1</v>
      </c>
      <c r="E178" s="2" t="n">
        <v>45</v>
      </c>
      <c r="F178" s="4" t="n">
        <v>2.8</v>
      </c>
      <c r="G178" s="1" t="n">
        <v>40</v>
      </c>
      <c r="H178" s="1" t="n">
        <v>45</v>
      </c>
      <c r="I178" s="5" t="n">
        <v>0.00795980968315605</v>
      </c>
      <c r="J178" s="4" t="n">
        <v>361.362261530525</v>
      </c>
      <c r="K178" s="4" t="n">
        <v>0.24</v>
      </c>
    </row>
    <row r="179" customFormat="false" ht="14.25" hidden="false" customHeight="false" outlineLevel="0" collapsed="false">
      <c r="B179" s="1" t="n">
        <v>10</v>
      </c>
      <c r="C179" s="3" t="n">
        <v>528</v>
      </c>
      <c r="D179" s="1" t="n">
        <v>1</v>
      </c>
      <c r="E179" s="2" t="n">
        <v>45</v>
      </c>
      <c r="F179" s="4" t="n">
        <v>2.8</v>
      </c>
      <c r="G179" s="1" t="n">
        <v>40</v>
      </c>
      <c r="H179" s="1" t="n">
        <v>45</v>
      </c>
      <c r="I179" s="5" t="n">
        <v>0.00795980968315605</v>
      </c>
      <c r="J179" s="4" t="n">
        <v>375.568148961701</v>
      </c>
      <c r="K179" s="4" t="n">
        <v>0.25</v>
      </c>
    </row>
    <row r="180" customFormat="false" ht="14.25" hidden="false" customHeight="false" outlineLevel="0" collapsed="false">
      <c r="B180" s="1" t="n">
        <v>10</v>
      </c>
      <c r="C180" s="3" t="n">
        <v>528</v>
      </c>
      <c r="D180" s="1" t="n">
        <v>1</v>
      </c>
      <c r="E180" s="2" t="n">
        <v>45</v>
      </c>
      <c r="F180" s="4" t="n">
        <v>2.8</v>
      </c>
      <c r="G180" s="1" t="n">
        <v>40</v>
      </c>
      <c r="H180" s="1" t="n">
        <v>45</v>
      </c>
      <c r="I180" s="5" t="n">
        <v>0.00795980968315605</v>
      </c>
      <c r="J180" s="4" t="n">
        <v>388.442234446203</v>
      </c>
      <c r="K180" s="4" t="n">
        <v>0.27</v>
      </c>
    </row>
    <row r="181" customFormat="false" ht="14.25" hidden="false" customHeight="false" outlineLevel="0" collapsed="false">
      <c r="B181" s="1" t="n">
        <v>10</v>
      </c>
      <c r="C181" s="3" t="n">
        <v>528</v>
      </c>
      <c r="D181" s="1" t="n">
        <v>1</v>
      </c>
      <c r="E181" s="2" t="n">
        <v>45</v>
      </c>
      <c r="F181" s="4" t="n">
        <v>2.8</v>
      </c>
      <c r="G181" s="1" t="n">
        <v>40</v>
      </c>
      <c r="H181" s="1" t="n">
        <v>45</v>
      </c>
      <c r="I181" s="5" t="n">
        <v>0.00795980968315605</v>
      </c>
      <c r="J181" s="4" t="n">
        <v>399.984517984033</v>
      </c>
      <c r="K181" s="4" t="n">
        <v>0.29</v>
      </c>
    </row>
    <row r="182" customFormat="false" ht="14.25" hidden="false" customHeight="false" outlineLevel="0" collapsed="false">
      <c r="A182" s="0" t="s">
        <v>60</v>
      </c>
      <c r="B182" s="1" t="n">
        <v>10</v>
      </c>
      <c r="C182" s="3" t="n">
        <v>528</v>
      </c>
      <c r="D182" s="1" t="n">
        <v>1</v>
      </c>
      <c r="E182" s="2" t="n">
        <v>45</v>
      </c>
      <c r="F182" s="4" t="n">
        <v>2.8</v>
      </c>
      <c r="G182" s="1" t="n">
        <v>40</v>
      </c>
      <c r="H182" s="1" t="n">
        <v>45</v>
      </c>
      <c r="I182" s="5" t="n">
        <v>0.00795980968315605</v>
      </c>
      <c r="J182" s="4" t="n">
        <v>323.627873041465</v>
      </c>
      <c r="K182" s="4" t="n">
        <v>0.15</v>
      </c>
    </row>
    <row r="183" customFormat="false" ht="14.25" hidden="false" customHeight="false" outlineLevel="0" collapsed="false">
      <c r="B183" s="1" t="n">
        <v>10</v>
      </c>
      <c r="C183" s="3" t="n">
        <v>528</v>
      </c>
      <c r="D183" s="1" t="n">
        <v>1</v>
      </c>
      <c r="E183" s="2" t="n">
        <v>45</v>
      </c>
      <c r="F183" s="4" t="n">
        <v>2.8</v>
      </c>
      <c r="G183" s="1" t="n">
        <v>40</v>
      </c>
      <c r="H183" s="1" t="n">
        <v>45</v>
      </c>
      <c r="I183" s="5" t="n">
        <v>0.00795980968315605</v>
      </c>
      <c r="J183" s="4" t="n">
        <v>336.501958525968</v>
      </c>
      <c r="K183" s="4" t="n">
        <v>0.16</v>
      </c>
    </row>
    <row r="184" customFormat="false" ht="14.25" hidden="false" customHeight="false" outlineLevel="0" collapsed="false">
      <c r="B184" s="1" t="n">
        <v>10</v>
      </c>
      <c r="C184" s="3" t="n">
        <v>528</v>
      </c>
      <c r="D184" s="1" t="n">
        <v>1</v>
      </c>
      <c r="E184" s="2" t="n">
        <v>45</v>
      </c>
      <c r="F184" s="4" t="n">
        <v>2.8</v>
      </c>
      <c r="G184" s="1" t="n">
        <v>40</v>
      </c>
      <c r="H184" s="1" t="n">
        <v>45</v>
      </c>
      <c r="I184" s="5" t="n">
        <v>0.00795980968315605</v>
      </c>
      <c r="J184" s="4" t="n">
        <v>354.703251797162</v>
      </c>
      <c r="K184" s="4" t="n">
        <v>0.18</v>
      </c>
    </row>
    <row r="185" customFormat="false" ht="14.25" hidden="false" customHeight="false" outlineLevel="0" collapsed="false">
      <c r="B185" s="1" t="n">
        <v>10</v>
      </c>
      <c r="C185" s="3" t="n">
        <v>528</v>
      </c>
      <c r="D185" s="1" t="n">
        <v>1</v>
      </c>
      <c r="E185" s="2" t="n">
        <v>45</v>
      </c>
      <c r="F185" s="4" t="n">
        <v>2.8</v>
      </c>
      <c r="G185" s="1" t="n">
        <v>40</v>
      </c>
      <c r="H185" s="1" t="n">
        <v>45</v>
      </c>
      <c r="I185" s="5" t="n">
        <v>0.00795980968315605</v>
      </c>
      <c r="J185" s="4" t="n">
        <v>365.357667370543</v>
      </c>
      <c r="K185" s="4" t="n">
        <v>0.18</v>
      </c>
    </row>
    <row r="186" customFormat="false" ht="14.25" hidden="false" customHeight="false" outlineLevel="0" collapsed="false">
      <c r="B186" s="1" t="n">
        <v>10</v>
      </c>
      <c r="C186" s="3" t="n">
        <v>528</v>
      </c>
      <c r="D186" s="1" t="n">
        <v>1</v>
      </c>
      <c r="E186" s="2" t="n">
        <v>45</v>
      </c>
      <c r="F186" s="4" t="n">
        <v>2.8</v>
      </c>
      <c r="G186" s="1" t="n">
        <v>40</v>
      </c>
      <c r="H186" s="1" t="n">
        <v>45</v>
      </c>
      <c r="I186" s="5" t="n">
        <v>0.00795980968315605</v>
      </c>
      <c r="J186" s="4" t="n">
        <v>375.568148961701</v>
      </c>
      <c r="K186" s="4" t="n">
        <v>0.19</v>
      </c>
    </row>
    <row r="187" customFormat="false" ht="14.25" hidden="false" customHeight="false" outlineLevel="0" collapsed="false">
      <c r="B187" s="1" t="n">
        <v>10</v>
      </c>
      <c r="C187" s="3" t="n">
        <v>528</v>
      </c>
      <c r="D187" s="1" t="n">
        <v>1</v>
      </c>
      <c r="E187" s="2" t="n">
        <v>45</v>
      </c>
      <c r="F187" s="4" t="n">
        <v>2.8</v>
      </c>
      <c r="G187" s="1" t="n">
        <v>40</v>
      </c>
      <c r="H187" s="1" t="n">
        <v>45</v>
      </c>
      <c r="I187" s="5" t="n">
        <v>0.00795980968315605</v>
      </c>
      <c r="J187" s="4" t="n">
        <v>386.666498517306</v>
      </c>
      <c r="K187" s="4" t="n">
        <v>0.2</v>
      </c>
    </row>
    <row r="188" customFormat="false" ht="14.25" hidden="false" customHeight="false" outlineLevel="0" collapsed="false">
      <c r="B188" s="1" t="n">
        <v>10</v>
      </c>
      <c r="C188" s="3" t="n">
        <v>528</v>
      </c>
      <c r="D188" s="1" t="n">
        <v>1</v>
      </c>
      <c r="E188" s="2" t="n">
        <v>45</v>
      </c>
      <c r="F188" s="4" t="n">
        <v>2.8</v>
      </c>
      <c r="G188" s="1" t="n">
        <v>40</v>
      </c>
      <c r="H188" s="1" t="n">
        <v>45</v>
      </c>
      <c r="I188" s="5" t="n">
        <v>0.00795980968315605</v>
      </c>
      <c r="J188" s="4" t="n">
        <v>401.316319930706</v>
      </c>
      <c r="K188" s="4" t="n">
        <v>0.22</v>
      </c>
    </row>
    <row r="189" customFormat="false" ht="14.25" hidden="false" customHeight="false" outlineLevel="0" collapsed="false">
      <c r="A189" s="0" t="s">
        <v>61</v>
      </c>
      <c r="B189" s="1" t="n">
        <v>20</v>
      </c>
      <c r="C189" s="3" t="n">
        <v>598</v>
      </c>
      <c r="D189" s="1" t="n">
        <v>1</v>
      </c>
      <c r="E189" s="2" t="n">
        <v>40</v>
      </c>
      <c r="F189" s="4" t="n">
        <v>2.8</v>
      </c>
      <c r="G189" s="1" t="n">
        <v>40</v>
      </c>
      <c r="H189" s="1" t="n">
        <v>50</v>
      </c>
      <c r="I189" s="5" t="n">
        <v>0.0372614852949054</v>
      </c>
      <c r="J189" s="4" t="n">
        <v>224.936489423332</v>
      </c>
      <c r="K189" s="4" t="n">
        <v>0.16</v>
      </c>
    </row>
    <row r="190" customFormat="false" ht="14.25" hidden="false" customHeight="false" outlineLevel="0" collapsed="false">
      <c r="B190" s="1" t="n">
        <v>20</v>
      </c>
      <c r="C190" s="3" t="n">
        <v>598</v>
      </c>
      <c r="D190" s="1" t="n">
        <v>1</v>
      </c>
      <c r="E190" s="2" t="n">
        <v>40</v>
      </c>
      <c r="F190" s="4" t="n">
        <v>2.8</v>
      </c>
      <c r="G190" s="1" t="n">
        <v>40</v>
      </c>
      <c r="H190" s="1" t="n">
        <v>50</v>
      </c>
      <c r="I190" s="5" t="n">
        <v>0.0372614852949054</v>
      </c>
      <c r="J190" s="4" t="n">
        <v>259.897640308412</v>
      </c>
      <c r="K190" s="4" t="n">
        <v>0.2</v>
      </c>
    </row>
    <row r="191" customFormat="false" ht="14.25" hidden="false" customHeight="false" outlineLevel="0" collapsed="false">
      <c r="B191" s="1" t="n">
        <v>20</v>
      </c>
      <c r="C191" s="3" t="n">
        <v>598</v>
      </c>
      <c r="D191" s="1" t="n">
        <v>1</v>
      </c>
      <c r="E191" s="2" t="n">
        <v>40</v>
      </c>
      <c r="F191" s="4" t="n">
        <v>2.8</v>
      </c>
      <c r="G191" s="1" t="n">
        <v>40</v>
      </c>
      <c r="H191" s="1" t="n">
        <v>50</v>
      </c>
      <c r="I191" s="5" t="n">
        <v>0.0372614852949054</v>
      </c>
      <c r="J191" s="4" t="n">
        <v>294.740278817611</v>
      </c>
      <c r="K191" s="4" t="n">
        <v>0.23</v>
      </c>
    </row>
    <row r="192" customFormat="false" ht="14.25" hidden="false" customHeight="false" outlineLevel="0" collapsed="false">
      <c r="A192" s="0" t="s">
        <v>62</v>
      </c>
      <c r="B192" s="1" t="n">
        <v>20</v>
      </c>
      <c r="C192" s="3" t="n">
        <v>598</v>
      </c>
      <c r="D192" s="1" t="n">
        <v>1</v>
      </c>
      <c r="E192" s="2" t="n">
        <v>40</v>
      </c>
      <c r="F192" s="4" t="n">
        <v>2.8</v>
      </c>
      <c r="G192" s="1" t="n">
        <v>40</v>
      </c>
      <c r="H192" s="1" t="n">
        <v>50</v>
      </c>
      <c r="I192" s="5" t="n">
        <v>0.0372614852949054</v>
      </c>
      <c r="J192" s="4" t="n">
        <v>224.936489423332</v>
      </c>
      <c r="K192" s="4" t="n">
        <v>0.14</v>
      </c>
    </row>
    <row r="193" customFormat="false" ht="14.25" hidden="false" customHeight="false" outlineLevel="0" collapsed="false">
      <c r="B193" s="1" t="n">
        <v>20</v>
      </c>
      <c r="C193" s="3" t="n">
        <v>598</v>
      </c>
      <c r="D193" s="1" t="n">
        <v>1</v>
      </c>
      <c r="E193" s="2" t="n">
        <v>40</v>
      </c>
      <c r="F193" s="4" t="n">
        <v>2.8</v>
      </c>
      <c r="G193" s="1" t="n">
        <v>40</v>
      </c>
      <c r="H193" s="1" t="n">
        <v>50</v>
      </c>
      <c r="I193" s="5" t="n">
        <v>0.0372614852949054</v>
      </c>
      <c r="J193" s="4" t="n">
        <v>259.423590804886</v>
      </c>
      <c r="K193" s="4" t="n">
        <v>0.17</v>
      </c>
    </row>
    <row r="194" customFormat="false" ht="14.25" hidden="false" customHeight="false" outlineLevel="0" collapsed="false">
      <c r="B194" s="1" t="n">
        <v>20</v>
      </c>
      <c r="C194" s="3" t="n">
        <v>598</v>
      </c>
      <c r="D194" s="1" t="n">
        <v>1</v>
      </c>
      <c r="E194" s="2" t="n">
        <v>40</v>
      </c>
      <c r="F194" s="4" t="n">
        <v>2.8</v>
      </c>
      <c r="G194" s="1" t="n">
        <v>40</v>
      </c>
      <c r="H194" s="1" t="n">
        <v>50</v>
      </c>
      <c r="I194" s="5" t="n">
        <v>0.0372614852949054</v>
      </c>
      <c r="J194" s="4" t="n">
        <v>294.147716938203</v>
      </c>
      <c r="K194" s="4" t="n">
        <v>0.21</v>
      </c>
    </row>
    <row r="195" customFormat="false" ht="14.25" hidden="false" customHeight="false" outlineLevel="0" collapsed="false">
      <c r="A195" s="0" t="s">
        <v>63</v>
      </c>
      <c r="B195" s="1" t="n">
        <v>20</v>
      </c>
      <c r="C195" s="3" t="n">
        <v>598</v>
      </c>
      <c r="D195" s="1" t="n">
        <v>1</v>
      </c>
      <c r="E195" s="2" t="n">
        <v>40</v>
      </c>
      <c r="F195" s="4" t="n">
        <v>2.8</v>
      </c>
      <c r="G195" s="1" t="n">
        <v>40</v>
      </c>
      <c r="H195" s="1" t="n">
        <v>50</v>
      </c>
      <c r="I195" s="5" t="n">
        <v>0.0372614852949054</v>
      </c>
      <c r="J195" s="4" t="n">
        <v>154.303113397881</v>
      </c>
      <c r="K195" s="4" t="n">
        <v>0.21</v>
      </c>
    </row>
    <row r="196" customFormat="false" ht="14.25" hidden="false" customHeight="false" outlineLevel="0" collapsed="false">
      <c r="B196" s="1" t="n">
        <v>20</v>
      </c>
      <c r="C196" s="3" t="n">
        <v>598</v>
      </c>
      <c r="D196" s="1" t="n">
        <v>1</v>
      </c>
      <c r="E196" s="2" t="n">
        <v>40</v>
      </c>
      <c r="F196" s="4" t="n">
        <v>2.8</v>
      </c>
      <c r="G196" s="1" t="n">
        <v>40</v>
      </c>
      <c r="H196" s="1" t="n">
        <v>50</v>
      </c>
      <c r="I196" s="5" t="n">
        <v>0.0372614852949054</v>
      </c>
      <c r="J196" s="4" t="n">
        <v>190.330875665896</v>
      </c>
      <c r="K196" s="4" t="n">
        <v>0.25</v>
      </c>
    </row>
    <row r="197" customFormat="false" ht="14.25" hidden="false" customHeight="false" outlineLevel="0" collapsed="false">
      <c r="B197" s="1" t="n">
        <v>20</v>
      </c>
      <c r="C197" s="3" t="n">
        <v>598</v>
      </c>
      <c r="D197" s="1" t="n">
        <v>1</v>
      </c>
      <c r="E197" s="2" t="n">
        <v>40</v>
      </c>
      <c r="F197" s="4" t="n">
        <v>2.8</v>
      </c>
      <c r="G197" s="1" t="n">
        <v>40</v>
      </c>
      <c r="H197" s="1" t="n">
        <v>50</v>
      </c>
      <c r="I197" s="5" t="n">
        <v>0.0372614852949054</v>
      </c>
      <c r="J197" s="4" t="n">
        <v>224.343927543924</v>
      </c>
      <c r="K197" s="4" t="n">
        <v>0.29</v>
      </c>
    </row>
    <row r="198" customFormat="false" ht="14.25" hidden="false" customHeight="false" outlineLevel="0" collapsed="false">
      <c r="B198" s="1" t="n">
        <v>20</v>
      </c>
      <c r="C198" s="3" t="n">
        <v>598</v>
      </c>
      <c r="D198" s="1" t="n">
        <v>1</v>
      </c>
      <c r="E198" s="2" t="n">
        <v>40</v>
      </c>
      <c r="F198" s="4" t="n">
        <v>2.8</v>
      </c>
      <c r="G198" s="1" t="n">
        <v>40</v>
      </c>
      <c r="H198" s="1" t="n">
        <v>50</v>
      </c>
      <c r="I198" s="5" t="n">
        <v>0.0372614852949054</v>
      </c>
      <c r="J198" s="4" t="n">
        <v>258.475491797833</v>
      </c>
      <c r="K198" s="4" t="n">
        <v>0.33</v>
      </c>
    </row>
    <row r="199" customFormat="false" ht="14.25" hidden="false" customHeight="false" outlineLevel="0" collapsed="false">
      <c r="B199" s="1" t="n">
        <v>20</v>
      </c>
      <c r="C199" s="3" t="n">
        <v>598</v>
      </c>
      <c r="D199" s="1" t="n">
        <v>1</v>
      </c>
      <c r="E199" s="2" t="n">
        <v>40</v>
      </c>
      <c r="F199" s="4" t="n">
        <v>2.8</v>
      </c>
      <c r="G199" s="1" t="n">
        <v>40</v>
      </c>
      <c r="H199" s="1" t="n">
        <v>50</v>
      </c>
      <c r="I199" s="5" t="n">
        <v>0.0372614852949054</v>
      </c>
      <c r="J199" s="4" t="n">
        <v>306.710028781656</v>
      </c>
      <c r="K199" s="4" t="n">
        <v>0.37</v>
      </c>
    </row>
    <row r="200" customFormat="false" ht="14.25" hidden="false" customHeight="false" outlineLevel="0" collapsed="false">
      <c r="A200" s="0" t="s">
        <v>64</v>
      </c>
      <c r="B200" s="1" t="n">
        <v>20</v>
      </c>
      <c r="C200" s="3" t="n">
        <v>430</v>
      </c>
      <c r="D200" s="1" t="n">
        <v>6</v>
      </c>
      <c r="E200" s="2" t="n">
        <v>84</v>
      </c>
      <c r="F200" s="4" t="n">
        <v>3.50882128585544</v>
      </c>
      <c r="G200" s="1" t="n">
        <v>50</v>
      </c>
      <c r="H200" s="1" t="n">
        <v>64</v>
      </c>
      <c r="I200" s="5" t="n">
        <v>0.0310124488946994</v>
      </c>
      <c r="J200" s="4" t="n">
        <v>179.888040262956</v>
      </c>
      <c r="K200" s="4" t="n">
        <v>0.15</v>
      </c>
    </row>
    <row r="201" customFormat="false" ht="14.25" hidden="false" customHeight="false" outlineLevel="0" collapsed="false">
      <c r="B201" s="1" t="n">
        <v>20</v>
      </c>
      <c r="C201" s="3" t="n">
        <v>430</v>
      </c>
      <c r="D201" s="1" t="n">
        <v>6</v>
      </c>
      <c r="E201" s="2" t="n">
        <v>84</v>
      </c>
      <c r="F201" s="4" t="n">
        <v>3.50882128585544</v>
      </c>
      <c r="G201" s="1" t="n">
        <v>50</v>
      </c>
      <c r="H201" s="1" t="n">
        <v>64</v>
      </c>
      <c r="I201" s="5" t="n">
        <v>0.0310124488946994</v>
      </c>
      <c r="J201" s="4" t="n">
        <v>225.296671785643</v>
      </c>
      <c r="K201" s="4" t="n">
        <v>0.23</v>
      </c>
    </row>
    <row r="202" customFormat="false" ht="14.25" hidden="false" customHeight="false" outlineLevel="0" collapsed="false">
      <c r="B202" s="1" t="n">
        <v>20</v>
      </c>
      <c r="C202" s="3" t="n">
        <v>430</v>
      </c>
      <c r="D202" s="1" t="n">
        <v>6</v>
      </c>
      <c r="E202" s="2" t="n">
        <v>84</v>
      </c>
      <c r="F202" s="4" t="n">
        <v>3.50882128585544</v>
      </c>
      <c r="G202" s="1" t="n">
        <v>50</v>
      </c>
      <c r="H202" s="1" t="n">
        <v>64</v>
      </c>
      <c r="I202" s="5" t="n">
        <v>0.0310124488946994</v>
      </c>
      <c r="J202" s="4" t="n">
        <v>270.705303308331</v>
      </c>
      <c r="K202" s="4" t="n">
        <v>0.28</v>
      </c>
    </row>
    <row r="203" customFormat="false" ht="14.25" hidden="false" customHeight="false" outlineLevel="0" collapsed="false">
      <c r="A203" s="0" t="s">
        <v>65</v>
      </c>
      <c r="B203" s="1" t="n">
        <v>20</v>
      </c>
      <c r="C203" s="3" t="n">
        <v>430</v>
      </c>
      <c r="D203" s="1" t="n">
        <v>9</v>
      </c>
      <c r="E203" s="2" t="n">
        <v>45</v>
      </c>
      <c r="F203" s="4" t="n">
        <v>3.50882128585544</v>
      </c>
      <c r="G203" s="1" t="n">
        <v>50</v>
      </c>
      <c r="H203" s="1" t="n">
        <v>64</v>
      </c>
      <c r="I203" s="5" t="n">
        <v>0.0493280379637779</v>
      </c>
      <c r="J203" s="4" t="n">
        <v>176.839573733521</v>
      </c>
      <c r="K203" s="4" t="n">
        <v>0.18</v>
      </c>
    </row>
    <row r="204" customFormat="false" ht="14.25" hidden="false" customHeight="false" outlineLevel="0" collapsed="false">
      <c r="B204" s="1" t="n">
        <v>20</v>
      </c>
      <c r="C204" s="3" t="n">
        <v>430</v>
      </c>
      <c r="D204" s="1" t="n">
        <v>9</v>
      </c>
      <c r="E204" s="2" t="n">
        <v>45</v>
      </c>
      <c r="F204" s="4" t="n">
        <v>3.50882128585544</v>
      </c>
      <c r="G204" s="1" t="n">
        <v>50</v>
      </c>
      <c r="H204" s="1" t="n">
        <v>64</v>
      </c>
      <c r="I204" s="5" t="n">
        <v>0.0493280379637779</v>
      </c>
      <c r="J204" s="4" t="n">
        <v>220.752756472718</v>
      </c>
      <c r="K204" s="4" t="n">
        <v>0.26</v>
      </c>
    </row>
    <row r="205" customFormat="false" ht="14.25" hidden="false" customHeight="false" outlineLevel="0" collapsed="false">
      <c r="B205" s="1" t="n">
        <v>20</v>
      </c>
      <c r="C205" s="3" t="n">
        <v>430</v>
      </c>
      <c r="D205" s="1" t="n">
        <v>9</v>
      </c>
      <c r="E205" s="2" t="n">
        <v>45</v>
      </c>
      <c r="F205" s="4" t="n">
        <v>3.50882128585544</v>
      </c>
      <c r="G205" s="1" t="n">
        <v>50</v>
      </c>
      <c r="H205" s="1" t="n">
        <v>64</v>
      </c>
      <c r="I205" s="5" t="n">
        <v>0.0493280379637779</v>
      </c>
      <c r="J205" s="4" t="n">
        <v>264.665939211914</v>
      </c>
      <c r="K205" s="4" t="n">
        <v>0.34</v>
      </c>
    </row>
    <row r="206" customFormat="false" ht="14.25" hidden="false" customHeight="false" outlineLevel="0" collapsed="false">
      <c r="A206" s="0" t="s">
        <v>66</v>
      </c>
      <c r="B206" s="1" t="n">
        <v>16</v>
      </c>
      <c r="C206" s="3" t="n">
        <v>528</v>
      </c>
      <c r="D206" s="1" t="n">
        <v>2</v>
      </c>
      <c r="E206" s="2" t="n">
        <v>52</v>
      </c>
      <c r="F206" s="4" t="n">
        <v>3.42</v>
      </c>
      <c r="G206" s="1" t="n">
        <v>27</v>
      </c>
      <c r="H206" s="1" t="n">
        <v>35</v>
      </c>
      <c r="I206" s="5" t="n">
        <v>0.0486801935635287</v>
      </c>
      <c r="J206" s="4" t="n">
        <v>234.722345423214</v>
      </c>
      <c r="K206" s="4" t="n">
        <v>0.15</v>
      </c>
    </row>
    <row r="207" customFormat="false" ht="14.25" hidden="false" customHeight="false" outlineLevel="0" collapsed="false">
      <c r="B207" s="1" t="n">
        <v>16</v>
      </c>
      <c r="C207" s="3" t="n">
        <v>528</v>
      </c>
      <c r="D207" s="1" t="n">
        <v>2</v>
      </c>
      <c r="E207" s="2" t="n">
        <v>52</v>
      </c>
      <c r="F207" s="4" t="n">
        <v>3.42</v>
      </c>
      <c r="G207" s="1" t="n">
        <v>27</v>
      </c>
      <c r="H207" s="1" t="n">
        <v>35</v>
      </c>
      <c r="I207" s="5" t="n">
        <v>0.0486801935635287</v>
      </c>
      <c r="J207" s="4" t="n">
        <v>315.661085224322</v>
      </c>
      <c r="K207" s="4" t="n">
        <v>0.19</v>
      </c>
    </row>
    <row r="208" customFormat="false" ht="14.25" hidden="false" customHeight="false" outlineLevel="0" collapsed="false">
      <c r="B208" s="1" t="n">
        <v>16</v>
      </c>
      <c r="C208" s="3" t="n">
        <v>528</v>
      </c>
      <c r="D208" s="1" t="n">
        <v>2</v>
      </c>
      <c r="E208" s="2" t="n">
        <v>52</v>
      </c>
      <c r="F208" s="4" t="n">
        <v>3.42</v>
      </c>
      <c r="G208" s="1" t="n">
        <v>27</v>
      </c>
      <c r="H208" s="1" t="n">
        <v>35</v>
      </c>
      <c r="I208" s="5" t="n">
        <v>0.0486801935635287</v>
      </c>
      <c r="J208" s="4" t="n">
        <v>364.224329104987</v>
      </c>
      <c r="K208" s="4" t="n">
        <v>0.22</v>
      </c>
    </row>
    <row r="209" customFormat="false" ht="14.25" hidden="false" customHeight="false" outlineLevel="0" collapsed="false">
      <c r="B209" s="1" t="n">
        <v>16</v>
      </c>
      <c r="C209" s="3" t="n">
        <v>528</v>
      </c>
      <c r="D209" s="1" t="n">
        <v>2</v>
      </c>
      <c r="E209" s="2" t="n">
        <v>52</v>
      </c>
      <c r="F209" s="4" t="n">
        <v>3.42</v>
      </c>
      <c r="G209" s="1" t="n">
        <v>27</v>
      </c>
      <c r="H209" s="1" t="n">
        <v>35</v>
      </c>
      <c r="I209" s="5" t="n">
        <v>0.0486801935635287</v>
      </c>
      <c r="J209" s="4" t="n">
        <v>404.693699005541</v>
      </c>
      <c r="K209" s="4" t="n">
        <v>0.22</v>
      </c>
    </row>
    <row r="210" customFormat="false" ht="14.25" hidden="false" customHeight="false" outlineLevel="0" collapsed="false">
      <c r="B210" s="1" t="n">
        <v>16</v>
      </c>
      <c r="C210" s="3" t="n">
        <v>528</v>
      </c>
      <c r="D210" s="1" t="n">
        <v>2</v>
      </c>
      <c r="E210" s="2" t="n">
        <v>52</v>
      </c>
      <c r="F210" s="4" t="n">
        <v>3.42</v>
      </c>
      <c r="G210" s="1" t="n">
        <v>27</v>
      </c>
      <c r="H210" s="1" t="n">
        <v>35</v>
      </c>
      <c r="I210" s="5" t="n">
        <v>0.0486801935635287</v>
      </c>
      <c r="J210" s="4" t="n">
        <v>469.444690846428</v>
      </c>
      <c r="K210" s="4" t="n">
        <v>0.25</v>
      </c>
    </row>
    <row r="211" customFormat="false" ht="14.25" hidden="false" customHeight="false" outlineLevel="0" collapsed="false">
      <c r="B211" s="1" t="n">
        <v>16</v>
      </c>
      <c r="C211" s="3" t="n">
        <v>528</v>
      </c>
      <c r="D211" s="1" t="n">
        <v>2</v>
      </c>
      <c r="E211" s="2" t="n">
        <v>52</v>
      </c>
      <c r="F211" s="4" t="n">
        <v>3.42</v>
      </c>
      <c r="G211" s="1" t="n">
        <v>27</v>
      </c>
      <c r="H211" s="1" t="n">
        <v>35</v>
      </c>
      <c r="I211" s="5" t="n">
        <v>0.0486801935635287</v>
      </c>
      <c r="J211" s="4" t="n">
        <v>526.101808707204</v>
      </c>
      <c r="K211" s="4" t="n">
        <v>0.29</v>
      </c>
    </row>
    <row r="212" customFormat="false" ht="14.25" hidden="false" customHeight="false" outlineLevel="0" collapsed="false">
      <c r="A212" s="0" t="s">
        <v>67</v>
      </c>
      <c r="B212" s="1" t="n">
        <v>20</v>
      </c>
      <c r="C212" s="3" t="n">
        <v>528</v>
      </c>
      <c r="D212" s="1" t="n">
        <v>2</v>
      </c>
      <c r="E212" s="2" t="n">
        <v>44</v>
      </c>
      <c r="F212" s="4" t="n">
        <v>3.42</v>
      </c>
      <c r="G212" s="1" t="n">
        <v>25</v>
      </c>
      <c r="H212" s="1" t="n">
        <v>35</v>
      </c>
      <c r="I212" s="5" t="n">
        <v>0.0825359157184491</v>
      </c>
      <c r="J212" s="4" t="n">
        <v>270.870133310726</v>
      </c>
      <c r="K212" s="4" t="n">
        <v>0.17</v>
      </c>
    </row>
    <row r="213" customFormat="false" ht="14.25" hidden="false" customHeight="false" outlineLevel="0" collapsed="false">
      <c r="B213" s="1" t="n">
        <v>20</v>
      </c>
      <c r="C213" s="3" t="n">
        <v>528</v>
      </c>
      <c r="D213" s="1" t="n">
        <v>2</v>
      </c>
      <c r="E213" s="2" t="n">
        <v>44</v>
      </c>
      <c r="F213" s="4" t="n">
        <v>3.42</v>
      </c>
      <c r="G213" s="1" t="n">
        <v>25</v>
      </c>
      <c r="H213" s="1" t="n">
        <v>35</v>
      </c>
      <c r="I213" s="5" t="n">
        <v>0.0825359157184491</v>
      </c>
      <c r="J213" s="4" t="n">
        <v>308.048386902394</v>
      </c>
      <c r="K213" s="4" t="n">
        <v>0.19</v>
      </c>
    </row>
    <row r="214" customFormat="false" ht="14.25" hidden="false" customHeight="false" outlineLevel="0" collapsed="false">
      <c r="B214" s="1" t="n">
        <v>20</v>
      </c>
      <c r="C214" s="3" t="n">
        <v>528</v>
      </c>
      <c r="D214" s="1" t="n">
        <v>2</v>
      </c>
      <c r="E214" s="2" t="n">
        <v>44</v>
      </c>
      <c r="F214" s="4" t="n">
        <v>3.42</v>
      </c>
      <c r="G214" s="1" t="n">
        <v>25</v>
      </c>
      <c r="H214" s="1" t="n">
        <v>35</v>
      </c>
      <c r="I214" s="5" t="n">
        <v>0.0825359157184491</v>
      </c>
      <c r="J214" s="4" t="n">
        <v>355.848998663111</v>
      </c>
      <c r="K214" s="4" t="n">
        <v>0.21</v>
      </c>
    </row>
    <row r="215" customFormat="false" ht="14.25" hidden="false" customHeight="false" outlineLevel="0" collapsed="false">
      <c r="B215" s="1" t="n">
        <v>20</v>
      </c>
      <c r="C215" s="3" t="n">
        <v>528</v>
      </c>
      <c r="D215" s="1" t="n">
        <v>2</v>
      </c>
      <c r="E215" s="2" t="n">
        <v>44</v>
      </c>
      <c r="F215" s="4" t="n">
        <v>3.42</v>
      </c>
      <c r="G215" s="1" t="n">
        <v>25</v>
      </c>
      <c r="H215" s="1" t="n">
        <v>35</v>
      </c>
      <c r="I215" s="5" t="n">
        <v>0.0825359157184491</v>
      </c>
      <c r="J215" s="4" t="n">
        <v>377.093715001207</v>
      </c>
      <c r="K215" s="4" t="n">
        <v>0.23</v>
      </c>
    </row>
    <row r="216" customFormat="false" ht="14.25" hidden="false" customHeight="false" outlineLevel="0" collapsed="false">
      <c r="B216" s="1" t="n">
        <v>20</v>
      </c>
      <c r="C216" s="3" t="n">
        <v>528</v>
      </c>
      <c r="D216" s="1" t="n">
        <v>2</v>
      </c>
      <c r="E216" s="2" t="n">
        <v>44</v>
      </c>
      <c r="F216" s="4" t="n">
        <v>3.42</v>
      </c>
      <c r="G216" s="1" t="n">
        <v>25</v>
      </c>
      <c r="H216" s="1" t="n">
        <v>35</v>
      </c>
      <c r="I216" s="5" t="n">
        <v>0.0825359157184491</v>
      </c>
      <c r="J216" s="4" t="n">
        <v>424.894326761923</v>
      </c>
      <c r="K216" s="4" t="n">
        <v>0.25</v>
      </c>
    </row>
    <row r="217" customFormat="false" ht="14.25" hidden="false" customHeight="false" outlineLevel="0" collapsed="false">
      <c r="B217" s="1" t="n">
        <v>20</v>
      </c>
      <c r="C217" s="3" t="n">
        <v>528</v>
      </c>
      <c r="D217" s="1" t="n">
        <v>2</v>
      </c>
      <c r="E217" s="2" t="n">
        <v>44</v>
      </c>
      <c r="F217" s="4" t="n">
        <v>3.42</v>
      </c>
      <c r="G217" s="1" t="n">
        <v>25</v>
      </c>
      <c r="H217" s="1" t="n">
        <v>35</v>
      </c>
      <c r="I217" s="5" t="n">
        <v>0.0825359157184491</v>
      </c>
      <c r="J217" s="4" t="n">
        <v>525.80672936788</v>
      </c>
      <c r="K217" s="4" t="n">
        <v>0.25</v>
      </c>
    </row>
    <row r="218" customFormat="false" ht="14.25" hidden="false" customHeight="false" outlineLevel="0" collapsed="false">
      <c r="A218" s="0" t="s">
        <v>68</v>
      </c>
      <c r="B218" s="1" t="n">
        <v>20</v>
      </c>
      <c r="C218" s="3" t="n">
        <v>528</v>
      </c>
      <c r="D218" s="1" t="n">
        <v>3</v>
      </c>
      <c r="E218" s="2" t="n">
        <v>12</v>
      </c>
      <c r="F218" s="4" t="n">
        <v>3.42</v>
      </c>
      <c r="G218" s="1" t="n">
        <v>25</v>
      </c>
      <c r="H218" s="1" t="n">
        <v>35</v>
      </c>
      <c r="I218" s="5" t="n">
        <v>0.135249348683273</v>
      </c>
      <c r="J218" s="4" t="n">
        <v>246.921912945398</v>
      </c>
      <c r="K218" s="4" t="n">
        <v>0.18</v>
      </c>
    </row>
    <row r="219" customFormat="false" ht="14.25" hidden="false" customHeight="false" outlineLevel="0" collapsed="false">
      <c r="B219" s="1" t="n">
        <v>20</v>
      </c>
      <c r="C219" s="3" t="n">
        <v>528</v>
      </c>
      <c r="D219" s="1" t="n">
        <v>3</v>
      </c>
      <c r="E219" s="2" t="n">
        <v>12</v>
      </c>
      <c r="F219" s="4" t="n">
        <v>3.42</v>
      </c>
      <c r="G219" s="1" t="n">
        <v>25</v>
      </c>
      <c r="H219" s="1" t="n">
        <v>35</v>
      </c>
      <c r="I219" s="5" t="n">
        <v>0.135249348683273</v>
      </c>
      <c r="J219" s="4" t="n">
        <v>283.23395896678</v>
      </c>
      <c r="K219" s="4" t="n">
        <v>0.19</v>
      </c>
    </row>
    <row r="220" customFormat="false" ht="14.25" hidden="false" customHeight="false" outlineLevel="0" collapsed="false">
      <c r="B220" s="1" t="n">
        <v>20</v>
      </c>
      <c r="C220" s="3" t="n">
        <v>528</v>
      </c>
      <c r="D220" s="1" t="n">
        <v>3</v>
      </c>
      <c r="E220" s="2" t="n">
        <v>12</v>
      </c>
      <c r="F220" s="4" t="n">
        <v>3.42</v>
      </c>
      <c r="G220" s="1" t="n">
        <v>25</v>
      </c>
      <c r="H220" s="1" t="n">
        <v>35</v>
      </c>
      <c r="I220" s="5" t="n">
        <v>0.135249348683273</v>
      </c>
      <c r="J220" s="4" t="n">
        <v>315.914800386024</v>
      </c>
      <c r="K220" s="4" t="n">
        <v>0.21</v>
      </c>
    </row>
    <row r="221" customFormat="false" ht="14.25" hidden="false" customHeight="false" outlineLevel="0" collapsed="false">
      <c r="B221" s="1" t="n">
        <v>20</v>
      </c>
      <c r="C221" s="3" t="n">
        <v>528</v>
      </c>
      <c r="D221" s="1" t="n">
        <v>3</v>
      </c>
      <c r="E221" s="2" t="n">
        <v>12</v>
      </c>
      <c r="F221" s="4" t="n">
        <v>3.42</v>
      </c>
      <c r="G221" s="1" t="n">
        <v>25</v>
      </c>
      <c r="H221" s="1" t="n">
        <v>35</v>
      </c>
      <c r="I221" s="5" t="n">
        <v>0.135249348683273</v>
      </c>
      <c r="J221" s="4" t="n">
        <v>355.858051009545</v>
      </c>
      <c r="K221" s="4" t="n">
        <v>0.23</v>
      </c>
    </row>
    <row r="222" customFormat="false" ht="14.25" hidden="false" customHeight="false" outlineLevel="0" collapsed="false">
      <c r="B222" s="1" t="n">
        <v>20</v>
      </c>
      <c r="C222" s="3" t="n">
        <v>528</v>
      </c>
      <c r="D222" s="1" t="n">
        <v>3</v>
      </c>
      <c r="E222" s="2" t="n">
        <v>12</v>
      </c>
      <c r="F222" s="4" t="n">
        <v>3.42</v>
      </c>
      <c r="G222" s="1" t="n">
        <v>25</v>
      </c>
      <c r="H222" s="1" t="n">
        <v>35</v>
      </c>
      <c r="I222" s="5" t="n">
        <v>0.135249348683273</v>
      </c>
      <c r="J222" s="4" t="n">
        <v>395.801301633065</v>
      </c>
      <c r="K222" s="4" t="n">
        <v>0.25</v>
      </c>
    </row>
    <row r="223" customFormat="false" ht="14.25" hidden="false" customHeight="false" outlineLevel="0" collapsed="false">
      <c r="B223" s="1" t="n">
        <v>20</v>
      </c>
      <c r="C223" s="3" t="n">
        <v>528</v>
      </c>
      <c r="D223" s="1" t="n">
        <v>3</v>
      </c>
      <c r="E223" s="2" t="n">
        <v>12</v>
      </c>
      <c r="F223" s="4" t="n">
        <v>3.42</v>
      </c>
      <c r="G223" s="1" t="n">
        <v>25</v>
      </c>
      <c r="H223" s="1" t="n">
        <v>35</v>
      </c>
      <c r="I223" s="5" t="n">
        <v>0.135249348683273</v>
      </c>
      <c r="J223" s="4" t="n">
        <v>432.113347654447</v>
      </c>
      <c r="K223" s="4" t="n">
        <v>0.29</v>
      </c>
    </row>
    <row r="224" customFormat="false" ht="14.25" hidden="false" customHeight="false" outlineLevel="0" collapsed="false">
      <c r="B224" s="1" t="n">
        <v>20</v>
      </c>
      <c r="C224" s="3" t="n">
        <v>528</v>
      </c>
      <c r="D224" s="1" t="n">
        <v>3</v>
      </c>
      <c r="E224" s="2" t="n">
        <v>12</v>
      </c>
      <c r="F224" s="4" t="n">
        <v>3.42</v>
      </c>
      <c r="G224" s="1" t="n">
        <v>25</v>
      </c>
      <c r="H224" s="1" t="n">
        <v>35</v>
      </c>
      <c r="I224" s="5" t="n">
        <v>0.135249348683273</v>
      </c>
      <c r="J224" s="4" t="n">
        <v>468.425393675829</v>
      </c>
      <c r="K224" s="4" t="n">
        <v>0.31</v>
      </c>
    </row>
    <row r="225" customFormat="false" ht="14.25" hidden="false" customHeight="false" outlineLevel="0" collapsed="false">
      <c r="B225" s="1" t="n">
        <v>20</v>
      </c>
      <c r="C225" s="3" t="n">
        <v>528</v>
      </c>
      <c r="D225" s="1" t="n">
        <v>3</v>
      </c>
      <c r="E225" s="2" t="n">
        <v>12</v>
      </c>
      <c r="F225" s="4" t="n">
        <v>3.42</v>
      </c>
      <c r="G225" s="1" t="n">
        <v>25</v>
      </c>
      <c r="H225" s="1" t="n">
        <v>35</v>
      </c>
      <c r="I225" s="5" t="n">
        <v>0.135249348683273</v>
      </c>
      <c r="J225" s="4" t="n">
        <v>501.106235095073</v>
      </c>
      <c r="K225" s="4" t="n">
        <v>0.37</v>
      </c>
    </row>
    <row r="226" customFormat="false" ht="14.25" hidden="false" customHeight="false" outlineLevel="0" collapsed="false">
      <c r="A226" s="0" t="s">
        <v>69</v>
      </c>
      <c r="B226" s="1" t="n">
        <v>16</v>
      </c>
      <c r="C226" s="3" t="n">
        <v>528</v>
      </c>
      <c r="D226" s="1" t="n">
        <v>2</v>
      </c>
      <c r="E226" s="2" t="n">
        <v>52</v>
      </c>
      <c r="F226" s="4" t="n">
        <v>2.98</v>
      </c>
      <c r="G226" s="1" t="n">
        <v>27</v>
      </c>
      <c r="H226" s="1" t="n">
        <v>35</v>
      </c>
      <c r="I226" s="5" t="n">
        <v>0.04802696699422</v>
      </c>
      <c r="J226" s="4" t="n">
        <v>370.747284048733</v>
      </c>
      <c r="K226" s="4" t="n">
        <v>0.16</v>
      </c>
    </row>
    <row r="227" customFormat="false" ht="14.25" hidden="false" customHeight="false" outlineLevel="0" collapsed="false">
      <c r="B227" s="1" t="n">
        <v>16</v>
      </c>
      <c r="C227" s="3" t="n">
        <v>528</v>
      </c>
      <c r="D227" s="1" t="n">
        <v>2</v>
      </c>
      <c r="E227" s="2" t="n">
        <v>52</v>
      </c>
      <c r="F227" s="4" t="n">
        <v>2.98</v>
      </c>
      <c r="G227" s="1" t="n">
        <v>27</v>
      </c>
      <c r="H227" s="1" t="n">
        <v>35</v>
      </c>
      <c r="I227" s="5" t="n">
        <v>0.04802696699422</v>
      </c>
      <c r="J227" s="4" t="n">
        <v>443.284796145224</v>
      </c>
      <c r="K227" s="4" t="n">
        <v>0.2</v>
      </c>
    </row>
    <row r="228" customFormat="false" ht="14.25" hidden="false" customHeight="false" outlineLevel="0" collapsed="false">
      <c r="B228" s="1" t="n">
        <v>16</v>
      </c>
      <c r="C228" s="3" t="n">
        <v>528</v>
      </c>
      <c r="D228" s="1" t="n">
        <v>2</v>
      </c>
      <c r="E228" s="2" t="n">
        <v>52</v>
      </c>
      <c r="F228" s="4" t="n">
        <v>2.98</v>
      </c>
      <c r="G228" s="1" t="n">
        <v>27</v>
      </c>
      <c r="H228" s="1" t="n">
        <v>35</v>
      </c>
      <c r="I228" s="5" t="n">
        <v>0.04802696699422</v>
      </c>
      <c r="J228" s="4" t="n">
        <v>523.882031807992</v>
      </c>
      <c r="K228" s="4" t="n">
        <v>0.26</v>
      </c>
    </row>
    <row r="229" customFormat="false" ht="14.25" hidden="false" customHeight="false" outlineLevel="0" collapsed="false">
      <c r="A229" s="0" t="s">
        <v>70</v>
      </c>
      <c r="B229" s="1" t="n">
        <v>20</v>
      </c>
      <c r="C229" s="3" t="n">
        <v>528</v>
      </c>
      <c r="D229" s="1" t="n">
        <v>2</v>
      </c>
      <c r="E229" s="2" t="n">
        <v>44</v>
      </c>
      <c r="F229" s="4" t="n">
        <v>2.98</v>
      </c>
      <c r="G229" s="1" t="n">
        <v>25</v>
      </c>
      <c r="H229" s="1" t="n">
        <v>35</v>
      </c>
      <c r="I229" s="5" t="n">
        <v>0.0812005224252669</v>
      </c>
      <c r="J229" s="4" t="n">
        <v>264.280094309474</v>
      </c>
      <c r="K229" s="4" t="n">
        <v>0.17</v>
      </c>
    </row>
    <row r="230" customFormat="false" ht="14.25" hidden="false" customHeight="false" outlineLevel="0" collapsed="false">
      <c r="B230" s="1" t="n">
        <v>20</v>
      </c>
      <c r="C230" s="3" t="n">
        <v>528</v>
      </c>
      <c r="D230" s="1" t="n">
        <v>2</v>
      </c>
      <c r="E230" s="2" t="n">
        <v>44</v>
      </c>
      <c r="F230" s="4" t="n">
        <v>2.98</v>
      </c>
      <c r="G230" s="1" t="n">
        <v>25</v>
      </c>
      <c r="H230" s="1" t="n">
        <v>35</v>
      </c>
      <c r="I230" s="5" t="n">
        <v>0.0812005224252669</v>
      </c>
      <c r="J230" s="4" t="n">
        <v>301.2793075128</v>
      </c>
      <c r="K230" s="4" t="n">
        <v>0.19</v>
      </c>
    </row>
    <row r="231" customFormat="false" ht="14.25" hidden="false" customHeight="false" outlineLevel="0" collapsed="false">
      <c r="B231" s="1" t="n">
        <v>20</v>
      </c>
      <c r="C231" s="3" t="n">
        <v>528</v>
      </c>
      <c r="D231" s="1" t="n">
        <v>2</v>
      </c>
      <c r="E231" s="2" t="n">
        <v>44</v>
      </c>
      <c r="F231" s="4" t="n">
        <v>2.98</v>
      </c>
      <c r="G231" s="1" t="n">
        <v>25</v>
      </c>
      <c r="H231" s="1" t="n">
        <v>35</v>
      </c>
      <c r="I231" s="5" t="n">
        <v>0.0812005224252669</v>
      </c>
      <c r="J231" s="4" t="n">
        <v>348.849724488505</v>
      </c>
      <c r="K231" s="4" t="n">
        <v>0.23</v>
      </c>
    </row>
    <row r="232" customFormat="false" ht="14.25" hidden="false" customHeight="false" outlineLevel="0" collapsed="false">
      <c r="B232" s="1" t="n">
        <v>20</v>
      </c>
      <c r="C232" s="3" t="n">
        <v>528</v>
      </c>
      <c r="D232" s="1" t="n">
        <v>2</v>
      </c>
      <c r="E232" s="2" t="n">
        <v>44</v>
      </c>
      <c r="F232" s="4" t="n">
        <v>2.98</v>
      </c>
      <c r="G232" s="1" t="n">
        <v>25</v>
      </c>
      <c r="H232" s="1" t="n">
        <v>35</v>
      </c>
      <c r="I232" s="5" t="n">
        <v>0.0812005224252669</v>
      </c>
      <c r="J232" s="4" t="n">
        <v>369.992132033263</v>
      </c>
      <c r="K232" s="4" t="n">
        <v>0.25</v>
      </c>
    </row>
    <row r="233" customFormat="false" ht="14.25" hidden="false" customHeight="false" outlineLevel="0" collapsed="false">
      <c r="B233" s="1" t="n">
        <v>20</v>
      </c>
      <c r="C233" s="3" t="n">
        <v>528</v>
      </c>
      <c r="D233" s="1" t="n">
        <v>2</v>
      </c>
      <c r="E233" s="2" t="n">
        <v>44</v>
      </c>
      <c r="F233" s="4" t="n">
        <v>2.98</v>
      </c>
      <c r="G233" s="1" t="n">
        <v>25</v>
      </c>
      <c r="H233" s="1" t="n">
        <v>35</v>
      </c>
      <c r="I233" s="5" t="n">
        <v>0.0812005224252669</v>
      </c>
      <c r="J233" s="4" t="n">
        <v>401.7057433504</v>
      </c>
      <c r="K233" s="4" t="n">
        <v>0.3</v>
      </c>
    </row>
    <row r="234" customFormat="false" ht="14.25" hidden="false" customHeight="false" outlineLevel="0" collapsed="false">
      <c r="B234" s="1" t="n">
        <v>20</v>
      </c>
      <c r="C234" s="3" t="n">
        <v>528</v>
      </c>
      <c r="D234" s="1" t="n">
        <v>2</v>
      </c>
      <c r="E234" s="2" t="n">
        <v>44</v>
      </c>
      <c r="F234" s="4" t="n">
        <v>2.98</v>
      </c>
      <c r="G234" s="1" t="n">
        <v>25</v>
      </c>
      <c r="H234" s="1" t="n">
        <v>35</v>
      </c>
      <c r="I234" s="5" t="n">
        <v>0.0812005224252669</v>
      </c>
      <c r="J234" s="4" t="n">
        <v>422.848150895158</v>
      </c>
      <c r="K234" s="4" t="n">
        <v>0.32</v>
      </c>
    </row>
    <row r="235" customFormat="false" ht="14.25" hidden="false" customHeight="false" outlineLevel="0" collapsed="false">
      <c r="B235" s="1" t="n">
        <v>20</v>
      </c>
      <c r="C235" s="3" t="n">
        <v>528</v>
      </c>
      <c r="D235" s="1" t="n">
        <v>2</v>
      </c>
      <c r="E235" s="2" t="n">
        <v>44</v>
      </c>
      <c r="F235" s="4" t="n">
        <v>2.98</v>
      </c>
      <c r="G235" s="1" t="n">
        <v>25</v>
      </c>
      <c r="H235" s="1" t="n">
        <v>35</v>
      </c>
      <c r="I235" s="5" t="n">
        <v>0.0812005224252669</v>
      </c>
      <c r="J235" s="4" t="n">
        <v>474.647049379814</v>
      </c>
      <c r="K235" s="4" t="n">
        <v>0.36</v>
      </c>
    </row>
    <row r="236" customFormat="false" ht="14.25" hidden="false" customHeight="false" outlineLevel="0" collapsed="false">
      <c r="B236" s="1" t="n">
        <v>20</v>
      </c>
      <c r="C236" s="3" t="n">
        <v>528</v>
      </c>
      <c r="D236" s="1" t="n">
        <v>2</v>
      </c>
      <c r="E236" s="2" t="n">
        <v>44</v>
      </c>
      <c r="F236" s="4" t="n">
        <v>2.98</v>
      </c>
      <c r="G236" s="1" t="n">
        <v>25</v>
      </c>
      <c r="H236" s="1" t="n">
        <v>35</v>
      </c>
      <c r="I236" s="5" t="n">
        <v>0.0812005224252669</v>
      </c>
      <c r="J236" s="4" t="n">
        <v>526.445947864471</v>
      </c>
      <c r="K236" s="4" t="n">
        <v>0.47</v>
      </c>
    </row>
    <row r="237" customFormat="false" ht="14.25" hidden="false" customHeight="false" outlineLevel="0" collapsed="false">
      <c r="A237" s="0" t="s">
        <v>71</v>
      </c>
      <c r="B237" s="1" t="n">
        <v>20</v>
      </c>
      <c r="C237" s="3" t="n">
        <v>528</v>
      </c>
      <c r="D237" s="1" t="n">
        <v>3</v>
      </c>
      <c r="E237" s="2" t="n">
        <v>12</v>
      </c>
      <c r="F237" s="4" t="n">
        <v>2.98</v>
      </c>
      <c r="G237" s="1" t="n">
        <v>25</v>
      </c>
      <c r="H237" s="1" t="n">
        <v>35</v>
      </c>
      <c r="I237" s="5" t="n">
        <v>0.132686669519698</v>
      </c>
      <c r="J237" s="4" t="n">
        <v>303.402568314191</v>
      </c>
      <c r="K237" s="4" t="n">
        <v>0.16</v>
      </c>
    </row>
    <row r="238" customFormat="false" ht="14.25" hidden="false" customHeight="false" outlineLevel="0" collapsed="false">
      <c r="B238" s="1" t="n">
        <v>20</v>
      </c>
      <c r="C238" s="3" t="n">
        <v>528</v>
      </c>
      <c r="D238" s="1" t="n">
        <v>3</v>
      </c>
      <c r="E238" s="2" t="n">
        <v>12</v>
      </c>
      <c r="F238" s="4" t="n">
        <v>2.98</v>
      </c>
      <c r="G238" s="1" t="n">
        <v>25</v>
      </c>
      <c r="H238" s="1" t="n">
        <v>35</v>
      </c>
      <c r="I238" s="5" t="n">
        <v>0.132686669519698</v>
      </c>
      <c r="J238" s="4" t="n">
        <v>317.850309662485</v>
      </c>
      <c r="K238" s="4" t="n">
        <v>0.18</v>
      </c>
    </row>
    <row r="239" customFormat="false" ht="14.25" hidden="false" customHeight="false" outlineLevel="0" collapsed="false">
      <c r="B239" s="1" t="n">
        <v>20</v>
      </c>
      <c r="C239" s="3" t="n">
        <v>528</v>
      </c>
      <c r="D239" s="1" t="n">
        <v>3</v>
      </c>
      <c r="E239" s="2" t="n">
        <v>12</v>
      </c>
      <c r="F239" s="4" t="n">
        <v>2.98</v>
      </c>
      <c r="G239" s="1" t="n">
        <v>25</v>
      </c>
      <c r="H239" s="1" t="n">
        <v>35</v>
      </c>
      <c r="I239" s="5" t="n">
        <v>0.132686669519698</v>
      </c>
      <c r="J239" s="4" t="n">
        <v>353.969663033222</v>
      </c>
      <c r="K239" s="4" t="n">
        <v>0.18</v>
      </c>
    </row>
    <row r="240" customFormat="false" ht="14.25" hidden="false" customHeight="false" outlineLevel="0" collapsed="false">
      <c r="B240" s="1" t="n">
        <v>20</v>
      </c>
      <c r="C240" s="3" t="n">
        <v>528</v>
      </c>
      <c r="D240" s="1" t="n">
        <v>3</v>
      </c>
      <c r="E240" s="2" t="n">
        <v>12</v>
      </c>
      <c r="F240" s="4" t="n">
        <v>2.98</v>
      </c>
      <c r="G240" s="1" t="n">
        <v>25</v>
      </c>
      <c r="H240" s="1" t="n">
        <v>35</v>
      </c>
      <c r="I240" s="5" t="n">
        <v>0.132686669519698</v>
      </c>
      <c r="J240" s="4" t="n">
        <v>393.700951741033</v>
      </c>
      <c r="K240" s="4" t="n">
        <v>0.2</v>
      </c>
    </row>
    <row r="241" customFormat="false" ht="14.25" hidden="false" customHeight="false" outlineLevel="0" collapsed="false">
      <c r="B241" s="1" t="n">
        <v>20</v>
      </c>
      <c r="C241" s="3" t="n">
        <v>528</v>
      </c>
      <c r="D241" s="1" t="n">
        <v>3</v>
      </c>
      <c r="E241" s="2" t="n">
        <v>12</v>
      </c>
      <c r="F241" s="4" t="n">
        <v>2.98</v>
      </c>
      <c r="G241" s="1" t="n">
        <v>25</v>
      </c>
      <c r="H241" s="1" t="n">
        <v>35</v>
      </c>
      <c r="I241" s="5" t="n">
        <v>0.132686669519698</v>
      </c>
      <c r="J241" s="4" t="n">
        <v>429.82030511177</v>
      </c>
      <c r="K241" s="4" t="n">
        <v>0.2</v>
      </c>
    </row>
    <row r="242" customFormat="false" ht="14.25" hidden="false" customHeight="false" outlineLevel="0" collapsed="false">
      <c r="B242" s="1" t="n">
        <v>20</v>
      </c>
      <c r="C242" s="3" t="n">
        <v>528</v>
      </c>
      <c r="D242" s="1" t="n">
        <v>3</v>
      </c>
      <c r="E242" s="2" t="n">
        <v>12</v>
      </c>
      <c r="F242" s="4" t="n">
        <v>2.98</v>
      </c>
      <c r="G242" s="1" t="n">
        <v>25</v>
      </c>
      <c r="H242" s="1" t="n">
        <v>35</v>
      </c>
      <c r="I242" s="5" t="n">
        <v>0.132686669519698</v>
      </c>
      <c r="J242" s="4" t="n">
        <v>462.327723145433</v>
      </c>
      <c r="K242" s="4" t="n">
        <v>0.2</v>
      </c>
    </row>
    <row r="243" customFormat="false" ht="14.25" hidden="false" customHeight="false" outlineLevel="0" collapsed="false">
      <c r="B243" s="1" t="n">
        <v>20</v>
      </c>
      <c r="C243" s="3" t="n">
        <v>528</v>
      </c>
      <c r="D243" s="1" t="n">
        <v>3</v>
      </c>
      <c r="E243" s="2" t="n">
        <v>12</v>
      </c>
      <c r="F243" s="4" t="n">
        <v>2.98</v>
      </c>
      <c r="G243" s="1" t="n">
        <v>25</v>
      </c>
      <c r="H243" s="1" t="n">
        <v>35</v>
      </c>
      <c r="I243" s="5" t="n">
        <v>0.132686669519698</v>
      </c>
      <c r="J243" s="4" t="n">
        <v>502.059011853244</v>
      </c>
      <c r="K243" s="4" t="n">
        <v>0.22</v>
      </c>
    </row>
    <row r="244" customFormat="false" ht="14.25" hidden="false" customHeight="false" outlineLevel="0" collapsed="false">
      <c r="A244" s="0" t="s">
        <v>72</v>
      </c>
      <c r="B244" s="1" t="n">
        <v>28</v>
      </c>
      <c r="C244" s="3" t="n">
        <v>400</v>
      </c>
      <c r="D244" s="1" t="n">
        <v>4</v>
      </c>
      <c r="E244" s="2" t="n">
        <v>16</v>
      </c>
      <c r="F244" s="4" t="n">
        <v>5.30847435710111</v>
      </c>
      <c r="G244" s="1" t="n">
        <v>30</v>
      </c>
      <c r="H244" s="1" t="n">
        <v>44</v>
      </c>
      <c r="I244" s="5" t="n">
        <v>0.221883118160293</v>
      </c>
      <c r="J244" s="4" t="n">
        <v>151.171969977459</v>
      </c>
      <c r="K244" s="4" t="n">
        <v>0.22</v>
      </c>
    </row>
    <row r="245" customFormat="false" ht="14.25" hidden="false" customHeight="false" outlineLevel="0" collapsed="false">
      <c r="B245" s="1" t="n">
        <v>28</v>
      </c>
      <c r="C245" s="3" t="n">
        <v>400</v>
      </c>
      <c r="D245" s="1" t="n">
        <v>4</v>
      </c>
      <c r="E245" s="2" t="n">
        <v>16</v>
      </c>
      <c r="F245" s="4" t="n">
        <v>5.30847435710111</v>
      </c>
      <c r="G245" s="1" t="n">
        <v>30</v>
      </c>
      <c r="H245" s="1" t="n">
        <v>44</v>
      </c>
      <c r="I245" s="5" t="n">
        <v>0.221883118160293</v>
      </c>
      <c r="J245" s="4" t="n">
        <v>201.706599941352</v>
      </c>
      <c r="K245" s="4" t="n">
        <v>0.25</v>
      </c>
    </row>
    <row r="246" customFormat="false" ht="14.25" hidden="false" customHeight="false" outlineLevel="0" collapsed="false">
      <c r="B246" s="1" t="n">
        <v>28</v>
      </c>
      <c r="C246" s="3" t="n">
        <v>400</v>
      </c>
      <c r="D246" s="1" t="n">
        <v>4</v>
      </c>
      <c r="E246" s="2" t="n">
        <v>16</v>
      </c>
      <c r="F246" s="4" t="n">
        <v>5.30847435710111</v>
      </c>
      <c r="G246" s="1" t="n">
        <v>30</v>
      </c>
      <c r="H246" s="1" t="n">
        <v>44</v>
      </c>
      <c r="I246" s="5" t="n">
        <v>0.221883118160293</v>
      </c>
      <c r="J246" s="4" t="n">
        <v>230.64523419418</v>
      </c>
      <c r="K246" s="4" t="n">
        <v>0.29</v>
      </c>
    </row>
    <row r="247" customFormat="false" ht="14.25" hidden="false" customHeight="false" outlineLevel="0" collapsed="false">
      <c r="B247" s="1" t="n">
        <v>28</v>
      </c>
      <c r="C247" s="3" t="n">
        <v>400</v>
      </c>
      <c r="D247" s="1" t="n">
        <v>4</v>
      </c>
      <c r="E247" s="2" t="n">
        <v>16</v>
      </c>
      <c r="F247" s="4" t="n">
        <v>5.30847435710111</v>
      </c>
      <c r="G247" s="1" t="n">
        <v>30</v>
      </c>
      <c r="H247" s="1" t="n">
        <v>44</v>
      </c>
      <c r="I247" s="5" t="n">
        <v>0.221883118160293</v>
      </c>
      <c r="J247" s="4" t="n">
        <v>263.903067589221</v>
      </c>
      <c r="K247" s="4" t="n">
        <v>0.31</v>
      </c>
    </row>
    <row r="248" customFormat="false" ht="14.25" hidden="false" customHeight="false" outlineLevel="0" collapsed="false">
      <c r="B248" s="1" t="n">
        <v>28</v>
      </c>
      <c r="C248" s="3" t="n">
        <v>400</v>
      </c>
      <c r="D248" s="1" t="n">
        <v>4</v>
      </c>
      <c r="E248" s="2" t="n">
        <v>16</v>
      </c>
      <c r="F248" s="4" t="n">
        <v>5.30847435710111</v>
      </c>
      <c r="G248" s="1" t="n">
        <v>30</v>
      </c>
      <c r="H248" s="1" t="n">
        <v>44</v>
      </c>
      <c r="I248" s="5" t="n">
        <v>0.221883118160293</v>
      </c>
      <c r="J248" s="4" t="n">
        <v>315.733457295778</v>
      </c>
      <c r="K248" s="4" t="n">
        <v>0.33</v>
      </c>
    </row>
    <row r="249" customFormat="false" ht="14.25" hidden="false" customHeight="false" outlineLevel="0" collapsed="false">
      <c r="B249" s="1" t="n">
        <v>28</v>
      </c>
      <c r="C249" s="3" t="n">
        <v>400</v>
      </c>
      <c r="D249" s="1" t="n">
        <v>4</v>
      </c>
      <c r="E249" s="2" t="n">
        <v>16</v>
      </c>
      <c r="F249" s="4" t="n">
        <v>5.30847435710111</v>
      </c>
      <c r="G249" s="1" t="n">
        <v>30</v>
      </c>
      <c r="H249" s="1" t="n">
        <v>44</v>
      </c>
      <c r="I249" s="5" t="n">
        <v>0.221883118160293</v>
      </c>
      <c r="J249" s="4" t="n">
        <v>342.080572063278</v>
      </c>
      <c r="K249" s="4" t="n">
        <v>0.34</v>
      </c>
    </row>
    <row r="250" customFormat="false" ht="14.25" hidden="false" customHeight="false" outlineLevel="0" collapsed="false">
      <c r="B250" s="1" t="n">
        <v>28</v>
      </c>
      <c r="C250" s="3" t="n">
        <v>400</v>
      </c>
      <c r="D250" s="1" t="n">
        <v>4</v>
      </c>
      <c r="E250" s="2" t="n">
        <v>16</v>
      </c>
      <c r="F250" s="4" t="n">
        <v>5.30847435710111</v>
      </c>
      <c r="G250" s="1" t="n">
        <v>30</v>
      </c>
      <c r="H250" s="1" t="n">
        <v>44</v>
      </c>
      <c r="I250" s="5" t="n">
        <v>0.221883118160293</v>
      </c>
      <c r="J250" s="4" t="n">
        <v>380.521444428975</v>
      </c>
      <c r="K250" s="4" t="n">
        <v>0.37</v>
      </c>
    </row>
    <row r="251" customFormat="false" ht="14.25" hidden="false" customHeight="false" outlineLevel="0" collapsed="false">
      <c r="A251" s="0" t="s">
        <v>73</v>
      </c>
      <c r="B251" s="1" t="n">
        <v>15.9</v>
      </c>
      <c r="C251" s="3" t="n">
        <v>392</v>
      </c>
      <c r="D251" s="1" t="n">
        <v>2</v>
      </c>
      <c r="E251" s="2" t="n">
        <v>46</v>
      </c>
      <c r="F251" s="4" t="n">
        <v>2.82587739786632</v>
      </c>
      <c r="G251" s="1" t="n">
        <v>30</v>
      </c>
      <c r="H251" s="1" t="n">
        <v>38</v>
      </c>
      <c r="I251" s="5" t="n">
        <v>0.0441483882303684</v>
      </c>
      <c r="J251" s="4" t="n">
        <v>361.669574509028</v>
      </c>
      <c r="K251" s="4" t="n">
        <v>0.2</v>
      </c>
    </row>
    <row r="252" customFormat="false" ht="14.25" hidden="false" customHeight="false" outlineLevel="0" collapsed="false">
      <c r="B252" s="1" t="n">
        <v>15.9</v>
      </c>
      <c r="C252" s="3" t="n">
        <v>392</v>
      </c>
      <c r="D252" s="1" t="n">
        <v>2</v>
      </c>
      <c r="E252" s="2" t="n">
        <v>46</v>
      </c>
      <c r="F252" s="4" t="n">
        <v>2.82587739786632</v>
      </c>
      <c r="G252" s="1" t="n">
        <v>30</v>
      </c>
      <c r="H252" s="1" t="n">
        <v>38</v>
      </c>
      <c r="I252" s="5" t="n">
        <v>0.0441483882303684</v>
      </c>
      <c r="J252" s="4" t="n">
        <v>392.3</v>
      </c>
      <c r="K252" s="4" t="n">
        <v>0.35</v>
      </c>
    </row>
    <row r="253" customFormat="false" ht="14.25" hidden="false" customHeight="false" outlineLevel="0" collapsed="false">
      <c r="A253" s="0" t="s">
        <v>74</v>
      </c>
      <c r="B253" s="1" t="n">
        <v>15.9</v>
      </c>
      <c r="C253" s="3" t="n">
        <v>392</v>
      </c>
      <c r="D253" s="1" t="n">
        <v>2</v>
      </c>
      <c r="E253" s="2" t="n">
        <v>46</v>
      </c>
      <c r="F253" s="4" t="n">
        <v>2.82587739786632</v>
      </c>
      <c r="G253" s="1" t="n">
        <v>30</v>
      </c>
      <c r="H253" s="1" t="n">
        <v>38</v>
      </c>
      <c r="I253" s="5" t="n">
        <v>0.0441483882303684</v>
      </c>
      <c r="J253" s="4" t="n">
        <v>363.004148584707</v>
      </c>
      <c r="K253" s="4" t="n">
        <v>0.2</v>
      </c>
    </row>
    <row r="254" customFormat="false" ht="14.25" hidden="false" customHeight="false" outlineLevel="0" collapsed="false">
      <c r="B254" s="1" t="n">
        <v>15.9</v>
      </c>
      <c r="C254" s="3" t="n">
        <v>392</v>
      </c>
      <c r="D254" s="1" t="n">
        <v>2</v>
      </c>
      <c r="E254" s="2" t="n">
        <v>46</v>
      </c>
      <c r="F254" s="4" t="n">
        <v>2.82587739786632</v>
      </c>
      <c r="G254" s="1" t="n">
        <v>30</v>
      </c>
      <c r="H254" s="1" t="n">
        <v>38</v>
      </c>
      <c r="I254" s="5" t="n">
        <v>0.0441483882303684</v>
      </c>
      <c r="J254" s="4" t="n">
        <v>392.3</v>
      </c>
      <c r="K254" s="4" t="n">
        <v>0.25</v>
      </c>
    </row>
    <row r="255" customFormat="false" ht="14.25" hidden="false" customHeight="false" outlineLevel="0" collapsed="false">
      <c r="A255" s="0" t="s">
        <v>75</v>
      </c>
      <c r="B255" s="1" t="n">
        <v>15.9</v>
      </c>
      <c r="C255" s="3" t="n">
        <v>392</v>
      </c>
      <c r="D255" s="1" t="n">
        <v>2</v>
      </c>
      <c r="E255" s="2" t="n">
        <v>46</v>
      </c>
      <c r="F255" s="4" t="n">
        <v>2.82587739786632</v>
      </c>
      <c r="G255" s="1" t="n">
        <v>30</v>
      </c>
      <c r="H255" s="1" t="n">
        <v>38</v>
      </c>
      <c r="I255" s="5" t="n">
        <v>0.0441483882303684</v>
      </c>
      <c r="J255" s="4" t="n">
        <v>363.004148584707</v>
      </c>
      <c r="K255" s="4" t="n">
        <v>0.2</v>
      </c>
    </row>
    <row r="256" customFormat="false" ht="14.25" hidden="false" customHeight="false" outlineLevel="0" collapsed="false">
      <c r="B256" s="1" t="n">
        <v>15.9</v>
      </c>
      <c r="C256" s="3" t="n">
        <v>392</v>
      </c>
      <c r="D256" s="1" t="n">
        <v>2</v>
      </c>
      <c r="E256" s="2" t="n">
        <v>46</v>
      </c>
      <c r="F256" s="4" t="n">
        <v>2.82587739786632</v>
      </c>
      <c r="G256" s="1" t="n">
        <v>30</v>
      </c>
      <c r="H256" s="1" t="n">
        <v>38</v>
      </c>
      <c r="I256" s="5" t="n">
        <v>0.0441483882303684</v>
      </c>
      <c r="J256" s="4" t="n">
        <v>392.3</v>
      </c>
      <c r="K256" s="4" t="n">
        <v>0.25</v>
      </c>
    </row>
    <row r="257" customFormat="false" ht="14.25" hidden="false" customHeight="false" outlineLevel="0" collapsed="false">
      <c r="A257" s="0" t="s">
        <v>76</v>
      </c>
      <c r="B257" s="1" t="n">
        <v>15.9</v>
      </c>
      <c r="C257" s="3" t="n">
        <v>392</v>
      </c>
      <c r="D257" s="1" t="n">
        <v>2</v>
      </c>
      <c r="E257" s="2" t="n">
        <v>46</v>
      </c>
      <c r="F257" s="4" t="n">
        <v>2.82587739786632</v>
      </c>
      <c r="G257" s="1" t="n">
        <v>30</v>
      </c>
      <c r="H257" s="1" t="n">
        <v>38</v>
      </c>
      <c r="I257" s="5" t="n">
        <v>0.0441483882303684</v>
      </c>
      <c r="J257" s="4" t="n">
        <v>364.338722660386</v>
      </c>
      <c r="K257" s="4" t="n">
        <v>0.2</v>
      </c>
    </row>
    <row r="258" customFormat="false" ht="14.25" hidden="false" customHeight="false" outlineLevel="0" collapsed="false">
      <c r="B258" s="1" t="n">
        <v>15.9</v>
      </c>
      <c r="C258" s="3" t="n">
        <v>392</v>
      </c>
      <c r="D258" s="1" t="n">
        <v>2</v>
      </c>
      <c r="E258" s="2" t="n">
        <v>46</v>
      </c>
      <c r="F258" s="4" t="n">
        <v>2.82587739786632</v>
      </c>
      <c r="G258" s="1" t="n">
        <v>30</v>
      </c>
      <c r="H258" s="1" t="n">
        <v>38</v>
      </c>
      <c r="I258" s="5" t="n">
        <v>0.0441483882303684</v>
      </c>
      <c r="J258" s="4" t="n">
        <v>392.3</v>
      </c>
      <c r="K258" s="4" t="n">
        <v>0.3</v>
      </c>
    </row>
    <row r="259" customFormat="false" ht="14.25" hidden="false" customHeight="false" outlineLevel="0" collapsed="false">
      <c r="A259" s="0" t="s">
        <v>77</v>
      </c>
      <c r="B259" s="1" t="n">
        <v>12.7</v>
      </c>
      <c r="C259" s="3" t="n">
        <v>392</v>
      </c>
      <c r="D259" s="1" t="n">
        <v>2</v>
      </c>
      <c r="E259" s="2" t="n">
        <v>52</v>
      </c>
      <c r="F259" s="4" t="n">
        <v>2.92087587098479</v>
      </c>
      <c r="G259" s="1" t="n">
        <v>30</v>
      </c>
      <c r="H259" s="1" t="n">
        <v>36.5</v>
      </c>
      <c r="I259" s="5" t="n">
        <v>0.0264062779284379</v>
      </c>
      <c r="J259" s="4" t="n">
        <v>317.102697940788</v>
      </c>
      <c r="K259" s="4" t="n">
        <v>0.15</v>
      </c>
    </row>
    <row r="260" customFormat="false" ht="14.25" hidden="false" customHeight="false" outlineLevel="0" collapsed="false">
      <c r="B260" s="1" t="n">
        <v>12.7</v>
      </c>
      <c r="C260" s="3" t="n">
        <v>392</v>
      </c>
      <c r="D260" s="1" t="n">
        <v>2</v>
      </c>
      <c r="E260" s="2" t="n">
        <v>52</v>
      </c>
      <c r="F260" s="4" t="n">
        <v>2.92087587098479</v>
      </c>
      <c r="G260" s="1" t="n">
        <v>30</v>
      </c>
      <c r="H260" s="1" t="n">
        <v>36.5</v>
      </c>
      <c r="I260" s="5" t="n">
        <v>0.0264062779284379</v>
      </c>
      <c r="J260" s="4" t="n">
        <v>392.3</v>
      </c>
      <c r="K260" s="4" t="n">
        <v>0.2</v>
      </c>
    </row>
    <row r="261" customFormat="false" ht="14.25" hidden="false" customHeight="false" outlineLevel="0" collapsed="false">
      <c r="A261" s="0" t="s">
        <v>78</v>
      </c>
      <c r="B261" s="1" t="n">
        <v>12.7</v>
      </c>
      <c r="C261" s="3" t="n">
        <v>392</v>
      </c>
      <c r="D261" s="1" t="n">
        <v>2</v>
      </c>
      <c r="E261" s="2" t="n">
        <v>52</v>
      </c>
      <c r="F261" s="4" t="n">
        <v>2.92087587098479</v>
      </c>
      <c r="G261" s="1" t="n">
        <v>30</v>
      </c>
      <c r="H261" s="1" t="n">
        <v>36.5</v>
      </c>
      <c r="I261" s="5" t="n">
        <v>0.0264062779284379</v>
      </c>
      <c r="J261" s="4" t="n">
        <v>319.135407542973</v>
      </c>
      <c r="K261" s="4" t="n">
        <v>0.15</v>
      </c>
    </row>
    <row r="262" customFormat="false" ht="14.25" hidden="false" customHeight="false" outlineLevel="0" collapsed="false">
      <c r="B262" s="1" t="n">
        <v>12.7</v>
      </c>
      <c r="C262" s="3" t="n">
        <v>392</v>
      </c>
      <c r="D262" s="1" t="n">
        <v>2</v>
      </c>
      <c r="E262" s="2" t="n">
        <v>52</v>
      </c>
      <c r="F262" s="4" t="n">
        <v>2.92087587098479</v>
      </c>
      <c r="G262" s="1" t="n">
        <v>30</v>
      </c>
      <c r="H262" s="1" t="n">
        <v>36.5</v>
      </c>
      <c r="I262" s="5" t="n">
        <v>0.0264062779284379</v>
      </c>
      <c r="J262" s="4" t="n">
        <v>392.3</v>
      </c>
      <c r="K262" s="4" t="n">
        <v>0.2</v>
      </c>
    </row>
    <row r="263" customFormat="false" ht="14.25" hidden="false" customHeight="false" outlineLevel="0" collapsed="false">
      <c r="A263" s="0" t="s">
        <v>79</v>
      </c>
      <c r="B263" s="1" t="n">
        <v>15.9</v>
      </c>
      <c r="C263" s="3" t="n">
        <v>392</v>
      </c>
      <c r="D263" s="1" t="n">
        <v>2</v>
      </c>
      <c r="E263" s="2" t="n">
        <v>46</v>
      </c>
      <c r="F263" s="4" t="n">
        <v>2.92087587098479</v>
      </c>
      <c r="G263" s="1" t="n">
        <v>30</v>
      </c>
      <c r="H263" s="1" t="n">
        <v>38</v>
      </c>
      <c r="I263" s="5" t="n">
        <v>0.0440349805383329</v>
      </c>
      <c r="J263" s="4" t="n">
        <v>260.029022246808</v>
      </c>
      <c r="K263" s="4" t="n">
        <v>0.15</v>
      </c>
    </row>
    <row r="264" customFormat="false" ht="14.25" hidden="false" customHeight="false" outlineLevel="0" collapsed="false">
      <c r="B264" s="1" t="n">
        <v>15.9</v>
      </c>
      <c r="C264" s="3" t="n">
        <v>392</v>
      </c>
      <c r="D264" s="1" t="n">
        <v>2</v>
      </c>
      <c r="E264" s="2" t="n">
        <v>46</v>
      </c>
      <c r="F264" s="4" t="n">
        <v>2.92087587098479</v>
      </c>
      <c r="G264" s="1" t="n">
        <v>30</v>
      </c>
      <c r="H264" s="1" t="n">
        <v>38</v>
      </c>
      <c r="I264" s="5" t="n">
        <v>0.0440349805383329</v>
      </c>
      <c r="J264" s="4" t="n">
        <v>365.3741133109</v>
      </c>
      <c r="K264" s="4" t="n">
        <v>0.25</v>
      </c>
    </row>
    <row r="265" customFormat="false" ht="14.25" hidden="false" customHeight="false" outlineLevel="0" collapsed="false">
      <c r="B265" s="1" t="n">
        <v>15.9</v>
      </c>
      <c r="C265" s="3" t="n">
        <v>392</v>
      </c>
      <c r="D265" s="1" t="n">
        <v>2</v>
      </c>
      <c r="E265" s="2" t="n">
        <v>46</v>
      </c>
      <c r="F265" s="4" t="n">
        <v>2.92087587098479</v>
      </c>
      <c r="G265" s="1" t="n">
        <v>30</v>
      </c>
      <c r="H265" s="1" t="n">
        <v>38</v>
      </c>
      <c r="I265" s="5" t="n">
        <v>0.0440349805383329</v>
      </c>
      <c r="J265" s="4" t="n">
        <v>392.3</v>
      </c>
      <c r="K265" s="4" t="n">
        <v>0.3</v>
      </c>
    </row>
    <row r="266" customFormat="false" ht="14.25" hidden="false" customHeight="false" outlineLevel="0" collapsed="false">
      <c r="A266" s="0" t="s">
        <v>80</v>
      </c>
      <c r="B266" s="1" t="n">
        <v>15.9</v>
      </c>
      <c r="C266" s="3" t="n">
        <v>392</v>
      </c>
      <c r="D266" s="1" t="n">
        <v>2</v>
      </c>
      <c r="E266" s="2" t="n">
        <v>46</v>
      </c>
      <c r="F266" s="4" t="n">
        <v>2.92087587098479</v>
      </c>
      <c r="G266" s="1" t="n">
        <v>30</v>
      </c>
      <c r="H266" s="1" t="n">
        <v>38</v>
      </c>
      <c r="I266" s="5" t="n">
        <v>0.0440349805383329</v>
      </c>
      <c r="J266" s="4" t="n">
        <v>261.362504412177</v>
      </c>
      <c r="K266" s="4" t="n">
        <v>0.15</v>
      </c>
    </row>
    <row r="267" customFormat="false" ht="14.25" hidden="false" customHeight="false" outlineLevel="0" collapsed="false">
      <c r="B267" s="1" t="n">
        <v>15.9</v>
      </c>
      <c r="C267" s="3" t="n">
        <v>392</v>
      </c>
      <c r="D267" s="1" t="n">
        <v>2</v>
      </c>
      <c r="E267" s="2" t="n">
        <v>46</v>
      </c>
      <c r="F267" s="4" t="n">
        <v>2.92087587098479</v>
      </c>
      <c r="G267" s="1" t="n">
        <v>30</v>
      </c>
      <c r="H267" s="1" t="n">
        <v>38</v>
      </c>
      <c r="I267" s="5" t="n">
        <v>0.0440349805383329</v>
      </c>
      <c r="J267" s="4" t="n">
        <v>366.707595476268</v>
      </c>
      <c r="K267" s="4" t="n">
        <v>0.25</v>
      </c>
    </row>
    <row r="268" customFormat="false" ht="14.25" hidden="false" customHeight="false" outlineLevel="0" collapsed="false">
      <c r="A268" s="0" t="s">
        <v>81</v>
      </c>
      <c r="B268" s="1" t="n">
        <v>19.1</v>
      </c>
      <c r="C268" s="3" t="n">
        <v>392</v>
      </c>
      <c r="D268" s="1" t="n">
        <v>2</v>
      </c>
      <c r="E268" s="2" t="n">
        <v>40</v>
      </c>
      <c r="F268" s="4" t="n">
        <v>2.92087587098479</v>
      </c>
      <c r="G268" s="1" t="n">
        <v>30</v>
      </c>
      <c r="H268" s="1" t="n">
        <v>39.5</v>
      </c>
      <c r="I268" s="5" t="n">
        <v>0.0674188339618365</v>
      </c>
      <c r="J268" s="4" t="n">
        <v>187.025739041386</v>
      </c>
      <c r="K268" s="4" t="n">
        <v>0.15</v>
      </c>
    </row>
    <row r="269" customFormat="false" ht="14.25" hidden="false" customHeight="false" outlineLevel="0" collapsed="false">
      <c r="B269" s="1" t="n">
        <v>19.1</v>
      </c>
      <c r="C269" s="3" t="n">
        <v>392</v>
      </c>
      <c r="D269" s="1" t="n">
        <v>2</v>
      </c>
      <c r="E269" s="2" t="n">
        <v>40</v>
      </c>
      <c r="F269" s="4" t="n">
        <v>2.92087587098479</v>
      </c>
      <c r="G269" s="1" t="n">
        <v>30</v>
      </c>
      <c r="H269" s="1" t="n">
        <v>39.5</v>
      </c>
      <c r="I269" s="5" t="n">
        <v>0.0674188339618365</v>
      </c>
      <c r="J269" s="4" t="n">
        <v>261.07653927097</v>
      </c>
      <c r="K269" s="4" t="n">
        <v>0.2</v>
      </c>
    </row>
    <row r="270" customFormat="false" ht="14.25" hidden="false" customHeight="false" outlineLevel="0" collapsed="false">
      <c r="B270" s="1" t="n">
        <v>19.1</v>
      </c>
      <c r="C270" s="3" t="n">
        <v>392</v>
      </c>
      <c r="D270" s="1" t="n">
        <v>2</v>
      </c>
      <c r="E270" s="2" t="n">
        <v>40</v>
      </c>
      <c r="F270" s="4" t="n">
        <v>2.92087587098479</v>
      </c>
      <c r="G270" s="1" t="n">
        <v>30</v>
      </c>
      <c r="H270" s="1" t="n">
        <v>39.5</v>
      </c>
      <c r="I270" s="5" t="n">
        <v>0.0674188339618365</v>
      </c>
      <c r="J270" s="4" t="n">
        <v>336.076708734267</v>
      </c>
      <c r="K270" s="4" t="n">
        <v>0.3</v>
      </c>
    </row>
    <row r="271" customFormat="false" ht="14.25" hidden="false" customHeight="false" outlineLevel="0" collapsed="false">
      <c r="B271" s="1" t="n">
        <v>19.1</v>
      </c>
      <c r="C271" s="3" t="n">
        <v>392</v>
      </c>
      <c r="D271" s="1" t="n">
        <v>2</v>
      </c>
      <c r="E271" s="2" t="n">
        <v>40</v>
      </c>
      <c r="F271" s="4" t="n">
        <v>2.92087587098479</v>
      </c>
      <c r="G271" s="1" t="n">
        <v>30</v>
      </c>
      <c r="H271" s="1" t="n">
        <v>39.5</v>
      </c>
      <c r="I271" s="5" t="n">
        <v>0.0674188339618365</v>
      </c>
      <c r="J271" s="4" t="n">
        <v>392.3</v>
      </c>
      <c r="K271" s="4" t="n">
        <v>0.33</v>
      </c>
    </row>
    <row r="272" customFormat="false" ht="14.25" hidden="false" customHeight="false" outlineLevel="0" collapsed="false">
      <c r="A272" s="0" t="s">
        <v>82</v>
      </c>
      <c r="B272" s="1" t="n">
        <v>19.1</v>
      </c>
      <c r="C272" s="3" t="n">
        <v>392</v>
      </c>
      <c r="D272" s="1" t="n">
        <v>2</v>
      </c>
      <c r="E272" s="2" t="n">
        <v>40</v>
      </c>
      <c r="F272" s="4" t="n">
        <v>2.92087587098479</v>
      </c>
      <c r="G272" s="1" t="n">
        <v>30</v>
      </c>
      <c r="H272" s="1" t="n">
        <v>39.5</v>
      </c>
      <c r="I272" s="5" t="n">
        <v>0.0674188339618365</v>
      </c>
      <c r="J272" s="4" t="n">
        <v>186.076369807673</v>
      </c>
      <c r="K272" s="4" t="n">
        <v>0.15</v>
      </c>
    </row>
    <row r="273" customFormat="false" ht="14.25" hidden="false" customHeight="false" outlineLevel="0" collapsed="false">
      <c r="B273" s="1" t="n">
        <v>19.1</v>
      </c>
      <c r="C273" s="3" t="n">
        <v>392</v>
      </c>
      <c r="D273" s="1" t="n">
        <v>2</v>
      </c>
      <c r="E273" s="2" t="n">
        <v>40</v>
      </c>
      <c r="F273" s="4" t="n">
        <v>2.92087587098479</v>
      </c>
      <c r="G273" s="1" t="n">
        <v>30</v>
      </c>
      <c r="H273" s="1" t="n">
        <v>39.5</v>
      </c>
      <c r="I273" s="5" t="n">
        <v>0.0674188339618365</v>
      </c>
      <c r="J273" s="4" t="n">
        <v>259.177800803545</v>
      </c>
      <c r="K273" s="4" t="n">
        <v>0.25</v>
      </c>
    </row>
    <row r="274" customFormat="false" ht="14.25" hidden="false" customHeight="false" outlineLevel="0" collapsed="false">
      <c r="B274" s="1" t="n">
        <v>19.1</v>
      </c>
      <c r="C274" s="3" t="n">
        <v>392</v>
      </c>
      <c r="D274" s="1" t="n">
        <v>2</v>
      </c>
      <c r="E274" s="2" t="n">
        <v>40</v>
      </c>
      <c r="F274" s="4" t="n">
        <v>2.92087587098479</v>
      </c>
      <c r="G274" s="1" t="n">
        <v>30</v>
      </c>
      <c r="H274" s="1" t="n">
        <v>39.5</v>
      </c>
      <c r="I274" s="5" t="n">
        <v>0.0674188339618365</v>
      </c>
      <c r="J274" s="4" t="n">
        <v>333.228601033129</v>
      </c>
      <c r="K274" s="4" t="n">
        <v>0.28</v>
      </c>
    </row>
    <row r="275" customFormat="false" ht="14.25" hidden="false" customHeight="false" outlineLevel="0" collapsed="false">
      <c r="A275" s="0" t="s">
        <v>83</v>
      </c>
      <c r="B275" s="1" t="n">
        <v>15.9</v>
      </c>
      <c r="C275" s="3" t="n">
        <v>392</v>
      </c>
      <c r="D275" s="1" t="n">
        <v>2</v>
      </c>
      <c r="E275" s="2" t="n">
        <v>46</v>
      </c>
      <c r="F275" s="4" t="n">
        <v>3.35387948274239</v>
      </c>
      <c r="G275" s="1" t="n">
        <v>30</v>
      </c>
      <c r="H275" s="1" t="n">
        <v>38</v>
      </c>
      <c r="I275" s="5" t="n">
        <v>0.0435727310809325</v>
      </c>
      <c r="J275" s="4" t="n">
        <v>365.472691516251</v>
      </c>
      <c r="K275" s="4" t="n">
        <v>0.2</v>
      </c>
    </row>
    <row r="276" customFormat="false" ht="14.25" hidden="false" customHeight="false" outlineLevel="0" collapsed="false">
      <c r="B276" s="1" t="n">
        <v>15.9</v>
      </c>
      <c r="C276" s="3" t="n">
        <v>392</v>
      </c>
      <c r="D276" s="1" t="n">
        <v>2</v>
      </c>
      <c r="E276" s="2" t="n">
        <v>46</v>
      </c>
      <c r="F276" s="4" t="n">
        <v>3.35387948274239</v>
      </c>
      <c r="G276" s="1" t="n">
        <v>30</v>
      </c>
      <c r="H276" s="1" t="n">
        <v>38</v>
      </c>
      <c r="I276" s="5" t="n">
        <v>0.0435727310809325</v>
      </c>
      <c r="J276" s="4" t="n">
        <v>392.3</v>
      </c>
      <c r="K276" s="4" t="n">
        <v>0.22</v>
      </c>
    </row>
    <row r="277" customFormat="false" ht="14.25" hidden="false" customHeight="false" outlineLevel="0" collapsed="false">
      <c r="A277" s="0" t="s">
        <v>84</v>
      </c>
      <c r="B277" s="1" t="n">
        <v>15.9</v>
      </c>
      <c r="C277" s="3" t="n">
        <v>392</v>
      </c>
      <c r="D277" s="1" t="n">
        <v>2</v>
      </c>
      <c r="E277" s="2" t="n">
        <v>46</v>
      </c>
      <c r="F277" s="4" t="n">
        <v>3.35387948274239</v>
      </c>
      <c r="G277" s="1" t="n">
        <v>30</v>
      </c>
      <c r="H277" s="1" t="n">
        <v>38</v>
      </c>
      <c r="I277" s="5" t="n">
        <v>0.0435727310809325</v>
      </c>
      <c r="J277" s="4" t="n">
        <v>365.472691516251</v>
      </c>
      <c r="K277" s="4" t="n">
        <v>0.17</v>
      </c>
    </row>
    <row r="278" customFormat="false" ht="14.25" hidden="false" customHeight="false" outlineLevel="0" collapsed="false">
      <c r="B278" s="1" t="n">
        <v>15.9</v>
      </c>
      <c r="C278" s="3" t="n">
        <v>392</v>
      </c>
      <c r="D278" s="1" t="n">
        <v>2</v>
      </c>
      <c r="E278" s="2" t="n">
        <v>46</v>
      </c>
      <c r="F278" s="4" t="n">
        <v>3.35387948274239</v>
      </c>
      <c r="G278" s="1" t="n">
        <v>30</v>
      </c>
      <c r="H278" s="1" t="n">
        <v>38</v>
      </c>
      <c r="I278" s="5" t="n">
        <v>0.0435727310809325</v>
      </c>
      <c r="J278" s="4" t="n">
        <v>392.3</v>
      </c>
      <c r="K278" s="4" t="n">
        <v>0.21</v>
      </c>
    </row>
    <row r="279" customFormat="false" ht="14.25" hidden="false" customHeight="false" outlineLevel="0" collapsed="false">
      <c r="A279" s="0" t="s">
        <v>85</v>
      </c>
      <c r="B279" s="1" t="n">
        <v>19.1</v>
      </c>
      <c r="C279" s="3" t="n">
        <v>392</v>
      </c>
      <c r="D279" s="1" t="n">
        <v>2</v>
      </c>
      <c r="E279" s="2" t="n">
        <v>40</v>
      </c>
      <c r="F279" s="4" t="n">
        <v>3.35387948274239</v>
      </c>
      <c r="G279" s="1" t="n">
        <v>30</v>
      </c>
      <c r="H279" s="1" t="n">
        <v>39.5</v>
      </c>
      <c r="I279" s="5" t="n">
        <v>0.0665965360251012</v>
      </c>
      <c r="J279" s="4" t="n">
        <v>221.310131801498</v>
      </c>
      <c r="K279" s="4" t="n">
        <v>0.17</v>
      </c>
    </row>
    <row r="280" customFormat="false" ht="14.25" hidden="false" customHeight="false" outlineLevel="0" collapsed="false">
      <c r="B280" s="1" t="n">
        <v>19.1</v>
      </c>
      <c r="C280" s="3" t="n">
        <v>392</v>
      </c>
      <c r="D280" s="1" t="n">
        <v>2</v>
      </c>
      <c r="E280" s="2" t="n">
        <v>40</v>
      </c>
      <c r="F280" s="4" t="n">
        <v>3.35387948274239</v>
      </c>
      <c r="G280" s="1" t="n">
        <v>30</v>
      </c>
      <c r="H280" s="1" t="n">
        <v>39.5</v>
      </c>
      <c r="I280" s="5" t="n">
        <v>0.0665965360251012</v>
      </c>
      <c r="J280" s="4" t="n">
        <v>259.140923562438</v>
      </c>
      <c r="K280" s="4" t="n">
        <v>0.18</v>
      </c>
    </row>
    <row r="281" customFormat="false" ht="14.25" hidden="false" customHeight="false" outlineLevel="0" collapsed="false">
      <c r="B281" s="1" t="n">
        <v>19.1</v>
      </c>
      <c r="C281" s="3" t="n">
        <v>392</v>
      </c>
      <c r="D281" s="1" t="n">
        <v>2</v>
      </c>
      <c r="E281" s="2" t="n">
        <v>40</v>
      </c>
      <c r="F281" s="4" t="n">
        <v>3.35387948274239</v>
      </c>
      <c r="G281" s="1" t="n">
        <v>30</v>
      </c>
      <c r="H281" s="1" t="n">
        <v>39.5</v>
      </c>
      <c r="I281" s="5" t="n">
        <v>0.0665965360251012</v>
      </c>
      <c r="J281" s="4" t="n">
        <v>296.025945529354</v>
      </c>
      <c r="K281" s="4" t="n">
        <v>0.2</v>
      </c>
    </row>
    <row r="282" customFormat="false" ht="14.25" hidden="false" customHeight="false" outlineLevel="0" collapsed="false">
      <c r="B282" s="1" t="n">
        <v>19.1</v>
      </c>
      <c r="C282" s="3" t="n">
        <v>392</v>
      </c>
      <c r="D282" s="1" t="n">
        <v>2</v>
      </c>
      <c r="E282" s="2" t="n">
        <v>40</v>
      </c>
      <c r="F282" s="4" t="n">
        <v>3.35387948274239</v>
      </c>
      <c r="G282" s="1" t="n">
        <v>30</v>
      </c>
      <c r="H282" s="1" t="n">
        <v>39.5</v>
      </c>
      <c r="I282" s="5" t="n">
        <v>0.0665965360251012</v>
      </c>
      <c r="J282" s="4" t="n">
        <v>333.856737290294</v>
      </c>
      <c r="K282" s="4" t="n">
        <v>0.2</v>
      </c>
    </row>
    <row r="283" customFormat="false" ht="14.25" hidden="false" customHeight="false" outlineLevel="0" collapsed="false">
      <c r="B283" s="1" t="n">
        <v>19.1</v>
      </c>
      <c r="C283" s="3" t="n">
        <v>392</v>
      </c>
      <c r="D283" s="1" t="n">
        <v>2</v>
      </c>
      <c r="E283" s="2" t="n">
        <v>40</v>
      </c>
      <c r="F283" s="4" t="n">
        <v>3.35387948274239</v>
      </c>
      <c r="G283" s="1" t="n">
        <v>30</v>
      </c>
      <c r="H283" s="1" t="n">
        <v>39.5</v>
      </c>
      <c r="I283" s="5" t="n">
        <v>0.0665965360251012</v>
      </c>
      <c r="J283" s="4" t="n">
        <v>369.795989463187</v>
      </c>
      <c r="K283" s="4" t="n">
        <v>0.25</v>
      </c>
    </row>
    <row r="284" customFormat="false" ht="14.25" hidden="false" customHeight="false" outlineLevel="0" collapsed="false">
      <c r="B284" s="1" t="n">
        <v>19.1</v>
      </c>
      <c r="C284" s="3" t="n">
        <v>392</v>
      </c>
      <c r="D284" s="1" t="n">
        <v>2</v>
      </c>
      <c r="E284" s="2" t="n">
        <v>40</v>
      </c>
      <c r="F284" s="4" t="n">
        <v>3.35387948274239</v>
      </c>
      <c r="G284" s="1" t="n">
        <v>30</v>
      </c>
      <c r="H284" s="1" t="n">
        <v>39.5</v>
      </c>
      <c r="I284" s="5" t="n">
        <v>0.0665965360251012</v>
      </c>
      <c r="J284" s="4" t="n">
        <v>392.3</v>
      </c>
      <c r="K284" s="4" t="n">
        <v>0.27</v>
      </c>
    </row>
    <row r="285" customFormat="false" ht="14.25" hidden="false" customHeight="false" outlineLevel="0" collapsed="false">
      <c r="A285" s="0" t="s">
        <v>86</v>
      </c>
      <c r="B285" s="1" t="n">
        <v>19.1</v>
      </c>
      <c r="C285" s="3" t="n">
        <v>392</v>
      </c>
      <c r="D285" s="1" t="n">
        <v>2</v>
      </c>
      <c r="E285" s="2" t="n">
        <v>40</v>
      </c>
      <c r="F285" s="4" t="n">
        <v>3.35387948274239</v>
      </c>
      <c r="G285" s="1" t="n">
        <v>30</v>
      </c>
      <c r="H285" s="1" t="n">
        <v>39.5</v>
      </c>
      <c r="I285" s="5" t="n">
        <v>0.0665965360251012</v>
      </c>
      <c r="J285" s="4" t="n">
        <v>296.025945529354</v>
      </c>
      <c r="K285" s="4" t="n">
        <v>0.18</v>
      </c>
    </row>
    <row r="286" customFormat="false" ht="14.25" hidden="false" customHeight="false" outlineLevel="0" collapsed="false">
      <c r="B286" s="1" t="n">
        <v>19.1</v>
      </c>
      <c r="C286" s="3" t="n">
        <v>392</v>
      </c>
      <c r="D286" s="1" t="n">
        <v>2</v>
      </c>
      <c r="E286" s="2" t="n">
        <v>40</v>
      </c>
      <c r="F286" s="4" t="n">
        <v>3.35387948274239</v>
      </c>
      <c r="G286" s="1" t="n">
        <v>30</v>
      </c>
      <c r="H286" s="1" t="n">
        <v>39.5</v>
      </c>
      <c r="I286" s="5" t="n">
        <v>0.0665965360251012</v>
      </c>
      <c r="J286" s="4" t="n">
        <v>331.965197702247</v>
      </c>
      <c r="K286" s="4" t="n">
        <v>0.19</v>
      </c>
    </row>
    <row r="287" customFormat="false" ht="14.25" hidden="false" customHeight="false" outlineLevel="0" collapsed="false">
      <c r="B287" s="1" t="n">
        <v>19.1</v>
      </c>
      <c r="C287" s="3" t="n">
        <v>392</v>
      </c>
      <c r="D287" s="1" t="n">
        <v>2</v>
      </c>
      <c r="E287" s="2" t="n">
        <v>40</v>
      </c>
      <c r="F287" s="4" t="n">
        <v>3.35387948274239</v>
      </c>
      <c r="G287" s="1" t="n">
        <v>30</v>
      </c>
      <c r="H287" s="1" t="n">
        <v>39.5</v>
      </c>
      <c r="I287" s="5" t="n">
        <v>0.0665965360251012</v>
      </c>
      <c r="J287" s="4" t="n">
        <v>369.795989463187</v>
      </c>
      <c r="K287" s="4" t="n">
        <v>0.21</v>
      </c>
    </row>
    <row r="288" customFormat="false" ht="14.25" hidden="false" customHeight="false" outlineLevel="0" collapsed="false">
      <c r="B288" s="1" t="n">
        <v>19.1</v>
      </c>
      <c r="C288" s="3" t="n">
        <v>392</v>
      </c>
      <c r="D288" s="1" t="n">
        <v>2</v>
      </c>
      <c r="E288" s="2" t="n">
        <v>40</v>
      </c>
      <c r="F288" s="4" t="n">
        <v>3.35387948274239</v>
      </c>
      <c r="G288" s="1" t="n">
        <v>30</v>
      </c>
      <c r="H288" s="1" t="n">
        <v>39.5</v>
      </c>
      <c r="I288" s="5" t="n">
        <v>0.0665965360251012</v>
      </c>
      <c r="J288" s="4" t="n">
        <v>392.3</v>
      </c>
      <c r="K288" s="4" t="n">
        <v>0.26</v>
      </c>
    </row>
    <row r="289" customFormat="false" ht="14.25" hidden="false" customHeight="false" outlineLevel="0" collapsed="false">
      <c r="A289" s="0" t="s">
        <v>87</v>
      </c>
      <c r="B289" s="1" t="n">
        <v>19.1</v>
      </c>
      <c r="C289" s="3" t="n">
        <v>276</v>
      </c>
      <c r="D289" s="1" t="n">
        <v>2</v>
      </c>
      <c r="E289" s="2" t="n">
        <v>69.8</v>
      </c>
      <c r="F289" s="4" t="n">
        <v>2.90032882517908</v>
      </c>
      <c r="G289" s="1" t="n">
        <v>31.8</v>
      </c>
      <c r="H289" s="1" t="n">
        <v>41.4</v>
      </c>
      <c r="I289" s="5" t="n">
        <v>0.0406514436897205</v>
      </c>
      <c r="J289" s="4" t="n">
        <v>203.022493137384</v>
      </c>
      <c r="K289" s="4" t="n">
        <v>0.17</v>
      </c>
    </row>
    <row r="290" customFormat="false" ht="14.25" hidden="false" customHeight="false" outlineLevel="0" collapsed="false">
      <c r="B290" s="1" t="n">
        <v>19.1</v>
      </c>
      <c r="C290" s="3" t="n">
        <v>276</v>
      </c>
      <c r="D290" s="1" t="n">
        <v>2</v>
      </c>
      <c r="E290" s="2" t="n">
        <v>69.8</v>
      </c>
      <c r="F290" s="4" t="n">
        <v>2.90032882517908</v>
      </c>
      <c r="G290" s="1" t="n">
        <v>31.8</v>
      </c>
      <c r="H290" s="1" t="n">
        <v>41.4</v>
      </c>
      <c r="I290" s="5" t="n">
        <v>0.0406514436897205</v>
      </c>
      <c r="J290" s="4" t="n">
        <v>244.500206789107</v>
      </c>
      <c r="K290" s="4" t="n">
        <v>0.23</v>
      </c>
    </row>
    <row r="291" customFormat="false" ht="14.25" hidden="false" customHeight="false" outlineLevel="0" collapsed="false">
      <c r="B291" s="1" t="n">
        <v>19.1</v>
      </c>
      <c r="C291" s="3" t="n">
        <v>276</v>
      </c>
      <c r="D291" s="1" t="n">
        <v>2</v>
      </c>
      <c r="E291" s="2" t="n">
        <v>69.8</v>
      </c>
      <c r="F291" s="4" t="n">
        <v>2.90032882517908</v>
      </c>
      <c r="G291" s="1" t="n">
        <v>31.8</v>
      </c>
      <c r="H291" s="1" t="n">
        <v>41.4</v>
      </c>
      <c r="I291" s="5" t="n">
        <v>0.0406514436897205</v>
      </c>
      <c r="J291" s="4" t="n">
        <v>275.8</v>
      </c>
      <c r="K291" s="4" t="n">
        <v>0.27</v>
      </c>
    </row>
    <row r="292" customFormat="false" ht="14.25" hidden="false" customHeight="false" outlineLevel="0" collapsed="false">
      <c r="A292" s="0" t="s">
        <v>88</v>
      </c>
      <c r="B292" s="1" t="n">
        <v>19.1</v>
      </c>
      <c r="C292" s="3" t="n">
        <v>276</v>
      </c>
      <c r="D292" s="1" t="n">
        <v>2</v>
      </c>
      <c r="E292" s="2" t="n">
        <v>69.8</v>
      </c>
      <c r="F292" s="4" t="n">
        <v>2.84669189571421</v>
      </c>
      <c r="G292" s="1" t="n">
        <v>31.8</v>
      </c>
      <c r="H292" s="1" t="n">
        <v>41.4</v>
      </c>
      <c r="I292" s="5" t="n">
        <v>0.040711184462322</v>
      </c>
      <c r="J292" s="4" t="n">
        <v>275.8</v>
      </c>
      <c r="K292" s="4" t="n">
        <v>0.16</v>
      </c>
    </row>
    <row r="293" customFormat="false" ht="14.25" hidden="false" customHeight="false" outlineLevel="0" collapsed="false">
      <c r="A293" s="0" t="s">
        <v>89</v>
      </c>
      <c r="B293" s="1" t="n">
        <v>19.1</v>
      </c>
      <c r="C293" s="3" t="n">
        <v>276</v>
      </c>
      <c r="D293" s="1" t="n">
        <v>2</v>
      </c>
      <c r="E293" s="2" t="n">
        <v>69.8</v>
      </c>
      <c r="F293" s="4" t="n">
        <v>2.71132147348833</v>
      </c>
      <c r="G293" s="1" t="n">
        <v>38.2</v>
      </c>
      <c r="H293" s="1" t="n">
        <v>47.7</v>
      </c>
      <c r="I293" s="5" t="n">
        <v>0.0406919089819377</v>
      </c>
      <c r="J293" s="4" t="n">
        <v>249.745884346061</v>
      </c>
      <c r="K293" s="4" t="n">
        <v>0.16</v>
      </c>
    </row>
    <row r="294" customFormat="false" ht="14.25" hidden="false" customHeight="false" outlineLevel="0" collapsed="false">
      <c r="B294" s="1" t="n">
        <v>19.1</v>
      </c>
      <c r="C294" s="3" t="n">
        <v>276</v>
      </c>
      <c r="D294" s="1" t="n">
        <v>2</v>
      </c>
      <c r="E294" s="2" t="n">
        <v>69.8</v>
      </c>
      <c r="F294" s="4" t="n">
        <v>2.71132147348833</v>
      </c>
      <c r="G294" s="1" t="n">
        <v>38.2</v>
      </c>
      <c r="H294" s="1" t="n">
        <v>47.7</v>
      </c>
      <c r="I294" s="5" t="n">
        <v>0.0406919089819377</v>
      </c>
      <c r="J294" s="4" t="n">
        <v>275.8</v>
      </c>
      <c r="K294" s="4" t="n">
        <v>0.2</v>
      </c>
    </row>
    <row r="295" customFormat="false" ht="14.25" hidden="false" customHeight="false" outlineLevel="0" collapsed="false">
      <c r="A295" s="0" t="s">
        <v>90</v>
      </c>
      <c r="B295" s="1" t="n">
        <v>22.2</v>
      </c>
      <c r="C295" s="3" t="n">
        <v>276</v>
      </c>
      <c r="D295" s="1" t="n">
        <v>2</v>
      </c>
      <c r="E295" s="2" t="n">
        <v>63.6</v>
      </c>
      <c r="F295" s="4" t="n">
        <v>2.68798662700617</v>
      </c>
      <c r="G295" s="1" t="n">
        <v>12.8</v>
      </c>
      <c r="H295" s="1" t="n">
        <v>23.9</v>
      </c>
      <c r="I295" s="5" t="n">
        <v>0.0849998352716371</v>
      </c>
      <c r="J295" s="4" t="n">
        <v>271.289437560374</v>
      </c>
      <c r="K295" s="4" t="n">
        <v>0.17</v>
      </c>
    </row>
    <row r="296" customFormat="false" ht="14.25" hidden="false" customHeight="false" outlineLevel="0" collapsed="false">
      <c r="A296" s="0" t="s">
        <v>91</v>
      </c>
      <c r="B296" s="1" t="n">
        <v>22.2</v>
      </c>
      <c r="C296" s="3" t="n">
        <v>276</v>
      </c>
      <c r="D296" s="1" t="n">
        <v>2</v>
      </c>
      <c r="E296" s="2" t="n">
        <v>63.6</v>
      </c>
      <c r="F296" s="4" t="n">
        <v>2.38460157103714</v>
      </c>
      <c r="G296" s="1" t="n">
        <v>38</v>
      </c>
      <c r="H296" s="1" t="n">
        <v>49.1</v>
      </c>
      <c r="I296" s="5" t="n">
        <v>0.0590223888904023</v>
      </c>
      <c r="J296" s="4" t="n">
        <v>195.113525980031</v>
      </c>
      <c r="K296" s="4" t="n">
        <v>0.15</v>
      </c>
    </row>
    <row r="297" customFormat="false" ht="14.25" hidden="false" customHeight="false" outlineLevel="0" collapsed="false">
      <c r="B297" s="1" t="n">
        <v>22.2</v>
      </c>
      <c r="C297" s="3" t="n">
        <v>276</v>
      </c>
      <c r="D297" s="1" t="n">
        <v>2</v>
      </c>
      <c r="E297" s="2" t="n">
        <v>63.6</v>
      </c>
      <c r="F297" s="4" t="n">
        <v>2.38460157103714</v>
      </c>
      <c r="G297" s="1" t="n">
        <v>38</v>
      </c>
      <c r="H297" s="1" t="n">
        <v>49.1</v>
      </c>
      <c r="I297" s="5" t="n">
        <v>0.0590223888904023</v>
      </c>
      <c r="J297" s="4" t="n">
        <v>226.947036463892</v>
      </c>
      <c r="K297" s="4" t="n">
        <v>0.19</v>
      </c>
    </row>
    <row r="298" customFormat="false" ht="14.25" hidden="false" customHeight="false" outlineLevel="0" collapsed="false">
      <c r="B298" s="1" t="n">
        <v>22.2</v>
      </c>
      <c r="C298" s="3" t="n">
        <v>276</v>
      </c>
      <c r="D298" s="1" t="n">
        <v>2</v>
      </c>
      <c r="E298" s="2" t="n">
        <v>63.6</v>
      </c>
      <c r="F298" s="4" t="n">
        <v>2.38460157103714</v>
      </c>
      <c r="G298" s="1" t="n">
        <v>38</v>
      </c>
      <c r="H298" s="1" t="n">
        <v>49.1</v>
      </c>
      <c r="I298" s="5" t="n">
        <v>0.0590223888904023</v>
      </c>
      <c r="J298" s="4" t="n">
        <v>260.91293520983</v>
      </c>
      <c r="K298" s="4" t="n">
        <v>0.22</v>
      </c>
    </row>
    <row r="299" customFormat="false" ht="14.25" hidden="false" customHeight="false" outlineLevel="0" collapsed="false">
      <c r="B299" s="1" t="n">
        <v>22.2</v>
      </c>
      <c r="C299" s="3" t="n">
        <v>276</v>
      </c>
      <c r="D299" s="1" t="n">
        <v>2</v>
      </c>
      <c r="E299" s="2" t="n">
        <v>63.6</v>
      </c>
      <c r="F299" s="4" t="n">
        <v>2.38460157103714</v>
      </c>
      <c r="G299" s="1" t="n">
        <v>38</v>
      </c>
      <c r="H299" s="1" t="n">
        <v>49.1</v>
      </c>
      <c r="I299" s="5" t="n">
        <v>0.0590223888904023</v>
      </c>
      <c r="J299" s="4" t="n">
        <v>275.8</v>
      </c>
      <c r="K299" s="4" t="n">
        <v>0.27</v>
      </c>
    </row>
    <row r="300" customFormat="false" ht="14.25" hidden="false" customHeight="false" outlineLevel="0" collapsed="false">
      <c r="A300" s="0" t="s">
        <v>92</v>
      </c>
      <c r="B300" s="1" t="n">
        <v>22.2</v>
      </c>
      <c r="C300" s="3" t="n">
        <v>276</v>
      </c>
      <c r="D300" s="1" t="n">
        <v>2</v>
      </c>
      <c r="E300" s="2" t="n">
        <v>63.6</v>
      </c>
      <c r="F300" s="4" t="n">
        <v>2.86484234762008</v>
      </c>
      <c r="G300" s="1" t="n">
        <v>38</v>
      </c>
      <c r="H300" s="1" t="n">
        <v>49.1</v>
      </c>
      <c r="I300" s="5" t="n">
        <v>0.0580540542064325</v>
      </c>
      <c r="J300" s="4" t="n">
        <v>259.632151766165</v>
      </c>
      <c r="K300" s="4" t="n">
        <v>0.17</v>
      </c>
    </row>
    <row r="301" customFormat="false" ht="14.25" hidden="false" customHeight="false" outlineLevel="0" collapsed="false">
      <c r="B301" s="1" t="n">
        <v>22.2</v>
      </c>
      <c r="C301" s="3" t="n">
        <v>276</v>
      </c>
      <c r="D301" s="1" t="n">
        <v>2</v>
      </c>
      <c r="E301" s="2" t="n">
        <v>63.6</v>
      </c>
      <c r="F301" s="4" t="n">
        <v>2.86484234762008</v>
      </c>
      <c r="G301" s="1" t="n">
        <v>38</v>
      </c>
      <c r="H301" s="1" t="n">
        <v>49.1</v>
      </c>
      <c r="I301" s="5" t="n">
        <v>0.0580540542064325</v>
      </c>
      <c r="J301" s="4" t="n">
        <v>275.8</v>
      </c>
      <c r="K301" s="4" t="n">
        <v>0.2</v>
      </c>
    </row>
    <row r="302" customFormat="false" ht="14.25" hidden="false" customHeight="false" outlineLevel="0" collapsed="false">
      <c r="A302" s="0" t="s">
        <v>93</v>
      </c>
      <c r="B302" s="1" t="n">
        <v>22.2</v>
      </c>
      <c r="C302" s="3" t="n">
        <v>276</v>
      </c>
      <c r="D302" s="1" t="n">
        <v>2</v>
      </c>
      <c r="E302" s="2" t="n">
        <v>63.6</v>
      </c>
      <c r="F302" s="4" t="n">
        <v>2.83369179024989</v>
      </c>
      <c r="G302" s="1" t="n">
        <v>38</v>
      </c>
      <c r="H302" s="1" t="n">
        <v>49.1</v>
      </c>
      <c r="I302" s="5" t="n">
        <v>0.0581102395943944</v>
      </c>
      <c r="J302" s="4" t="n">
        <v>194.21192690601</v>
      </c>
      <c r="K302" s="4" t="n">
        <v>0.15</v>
      </c>
    </row>
    <row r="303" customFormat="false" ht="14.25" hidden="false" customHeight="false" outlineLevel="0" collapsed="false">
      <c r="B303" s="1" t="n">
        <v>22.2</v>
      </c>
      <c r="C303" s="3" t="n">
        <v>276</v>
      </c>
      <c r="D303" s="1" t="n">
        <v>2</v>
      </c>
      <c r="E303" s="2" t="n">
        <v>63.6</v>
      </c>
      <c r="F303" s="4" t="n">
        <v>2.83369179024989</v>
      </c>
      <c r="G303" s="1" t="n">
        <v>38</v>
      </c>
      <c r="H303" s="1" t="n">
        <v>49.1</v>
      </c>
      <c r="I303" s="5" t="n">
        <v>0.0581102395943944</v>
      </c>
      <c r="J303" s="4" t="n">
        <v>225.898338087397</v>
      </c>
      <c r="K303" s="4" t="n">
        <v>0.18</v>
      </c>
    </row>
    <row r="304" customFormat="false" ht="14.25" hidden="false" customHeight="false" outlineLevel="0" collapsed="false">
      <c r="B304" s="1" t="n">
        <v>22.2</v>
      </c>
      <c r="C304" s="3" t="n">
        <v>276</v>
      </c>
      <c r="D304" s="1" t="n">
        <v>2</v>
      </c>
      <c r="E304" s="2" t="n">
        <v>63.6</v>
      </c>
      <c r="F304" s="4" t="n">
        <v>2.83369179024989</v>
      </c>
      <c r="G304" s="1" t="n">
        <v>38</v>
      </c>
      <c r="H304" s="1" t="n">
        <v>49.1</v>
      </c>
      <c r="I304" s="5" t="n">
        <v>0.0581102395943944</v>
      </c>
      <c r="J304" s="4" t="n">
        <v>259.707283989067</v>
      </c>
      <c r="K304" s="4" t="n">
        <v>0.22</v>
      </c>
    </row>
    <row r="305" customFormat="false" ht="14.25" hidden="false" customHeight="false" outlineLevel="0" collapsed="false">
      <c r="B305" s="1" t="n">
        <v>22.2</v>
      </c>
      <c r="C305" s="3" t="n">
        <v>276</v>
      </c>
      <c r="D305" s="1" t="n">
        <v>2</v>
      </c>
      <c r="E305" s="2" t="n">
        <v>63.6</v>
      </c>
      <c r="F305" s="4" t="n">
        <v>2.83369179024989</v>
      </c>
      <c r="G305" s="1" t="n">
        <v>38</v>
      </c>
      <c r="H305" s="1" t="n">
        <v>49.1</v>
      </c>
      <c r="I305" s="5" t="n">
        <v>0.0581102395943944</v>
      </c>
      <c r="J305" s="4" t="n">
        <v>275.8</v>
      </c>
      <c r="K305" s="4" t="n">
        <v>0.25</v>
      </c>
    </row>
    <row r="306" customFormat="false" ht="14.25" hidden="false" customHeight="false" outlineLevel="0" collapsed="false">
      <c r="A306" s="0" t="s">
        <v>94</v>
      </c>
      <c r="B306" s="1" t="n">
        <v>22.2</v>
      </c>
      <c r="C306" s="3" t="n">
        <v>276</v>
      </c>
      <c r="D306" s="1" t="n">
        <v>2</v>
      </c>
      <c r="E306" s="2" t="n">
        <v>63.6</v>
      </c>
      <c r="F306" s="4" t="n">
        <v>2.75637342683892</v>
      </c>
      <c r="G306" s="1" t="n">
        <v>38</v>
      </c>
      <c r="H306" s="1" t="n">
        <v>49.1</v>
      </c>
      <c r="I306" s="5" t="n">
        <v>0.0582532535562727</v>
      </c>
      <c r="J306" s="4" t="n">
        <v>194.354596032503</v>
      </c>
      <c r="K306" s="4" t="n">
        <v>0.2</v>
      </c>
    </row>
    <row r="307" customFormat="false" ht="14.25" hidden="false" customHeight="false" outlineLevel="0" collapsed="false">
      <c r="B307" s="1" t="n">
        <v>22.2</v>
      </c>
      <c r="C307" s="3" t="n">
        <v>276</v>
      </c>
      <c r="D307" s="1" t="n">
        <v>2</v>
      </c>
      <c r="E307" s="2" t="n">
        <v>63.6</v>
      </c>
      <c r="F307" s="4" t="n">
        <v>2.75637342683892</v>
      </c>
      <c r="G307" s="1" t="n">
        <v>38</v>
      </c>
      <c r="H307" s="1" t="n">
        <v>49.1</v>
      </c>
      <c r="I307" s="5" t="n">
        <v>0.0582532535562727</v>
      </c>
      <c r="J307" s="4" t="n">
        <v>226.064284222037</v>
      </c>
      <c r="K307" s="4" t="n">
        <v>0.25</v>
      </c>
    </row>
    <row r="308" customFormat="false" ht="14.25" hidden="false" customHeight="false" outlineLevel="0" collapsed="false">
      <c r="B308" s="1" t="n">
        <v>22.2</v>
      </c>
      <c r="C308" s="3" t="n">
        <v>276</v>
      </c>
      <c r="D308" s="1" t="n">
        <v>2</v>
      </c>
      <c r="E308" s="2" t="n">
        <v>63.6</v>
      </c>
      <c r="F308" s="4" t="n">
        <v>2.75637342683892</v>
      </c>
      <c r="G308" s="1" t="n">
        <v>38</v>
      </c>
      <c r="H308" s="1" t="n">
        <v>49.1</v>
      </c>
      <c r="I308" s="5" t="n">
        <v>0.0582532535562727</v>
      </c>
      <c r="J308" s="4" t="n">
        <v>259.898066357281</v>
      </c>
      <c r="K308" s="4" t="n">
        <v>0.3</v>
      </c>
    </row>
    <row r="309" customFormat="false" ht="14.25" hidden="false" customHeight="false" outlineLevel="0" collapsed="false">
      <c r="B309" s="1" t="n">
        <v>22.2</v>
      </c>
      <c r="C309" s="3" t="n">
        <v>276</v>
      </c>
      <c r="D309" s="1" t="n">
        <v>2</v>
      </c>
      <c r="E309" s="2" t="n">
        <v>63.6</v>
      </c>
      <c r="F309" s="4" t="n">
        <v>2.75637342683892</v>
      </c>
      <c r="G309" s="1" t="n">
        <v>38</v>
      </c>
      <c r="H309" s="1" t="n">
        <v>49.1</v>
      </c>
      <c r="I309" s="5" t="n">
        <v>0.0582532535562727</v>
      </c>
      <c r="J309" s="4" t="n">
        <v>275.8</v>
      </c>
      <c r="K309" s="4" t="n">
        <v>0.35</v>
      </c>
    </row>
    <row r="310" customFormat="false" ht="14.25" hidden="false" customHeight="false" outlineLevel="0" collapsed="false">
      <c r="A310" s="0" t="s">
        <v>95</v>
      </c>
      <c r="B310" s="1" t="n">
        <v>28.7</v>
      </c>
      <c r="C310" s="3" t="n">
        <v>276</v>
      </c>
      <c r="D310" s="1" t="n">
        <v>2</v>
      </c>
      <c r="E310" s="2" t="n">
        <v>50.6</v>
      </c>
      <c r="F310" s="4" t="n">
        <v>2.77481740215607</v>
      </c>
      <c r="G310" s="1" t="n">
        <v>22.2</v>
      </c>
      <c r="H310" s="1" t="n">
        <v>36.6</v>
      </c>
      <c r="I310" s="5" t="n">
        <v>0.108992850321706</v>
      </c>
      <c r="J310" s="4" t="n">
        <v>234.115818289886</v>
      </c>
      <c r="K310" s="4" t="n">
        <v>0.17</v>
      </c>
    </row>
    <row r="311" customFormat="false" ht="14.25" hidden="false" customHeight="false" outlineLevel="0" collapsed="false">
      <c r="B311" s="1" t="n">
        <v>28.7</v>
      </c>
      <c r="C311" s="3" t="n">
        <v>276</v>
      </c>
      <c r="D311" s="1" t="n">
        <v>2</v>
      </c>
      <c r="E311" s="2" t="n">
        <v>50.6</v>
      </c>
      <c r="F311" s="4" t="n">
        <v>2.77481740215607</v>
      </c>
      <c r="G311" s="1" t="n">
        <v>22.2</v>
      </c>
      <c r="H311" s="1" t="n">
        <v>36.6</v>
      </c>
      <c r="I311" s="5" t="n">
        <v>0.108992850321706</v>
      </c>
      <c r="J311" s="4" t="n">
        <v>274.847284751406</v>
      </c>
      <c r="K311" s="4" t="n">
        <v>0.2</v>
      </c>
    </row>
    <row r="312" customFormat="false" ht="14.25" hidden="false" customHeight="false" outlineLevel="0" collapsed="false">
      <c r="A312" s="0" t="s">
        <v>96</v>
      </c>
      <c r="B312" s="1" t="n">
        <v>28.7</v>
      </c>
      <c r="C312" s="3" t="n">
        <v>276</v>
      </c>
      <c r="D312" s="1" t="n">
        <v>2</v>
      </c>
      <c r="E312" s="2" t="n">
        <v>50.6</v>
      </c>
      <c r="F312" s="4" t="n">
        <v>2.80171464705939</v>
      </c>
      <c r="G312" s="1" t="n">
        <v>38.2</v>
      </c>
      <c r="H312" s="1" t="n">
        <v>52.5</v>
      </c>
      <c r="I312" s="5" t="n">
        <v>0.106860667703036</v>
      </c>
      <c r="J312" s="4" t="n">
        <v>179.495600322604</v>
      </c>
      <c r="K312" s="4" t="n">
        <v>0.17</v>
      </c>
    </row>
    <row r="313" customFormat="false" ht="14.25" hidden="false" customHeight="false" outlineLevel="0" collapsed="false">
      <c r="B313" s="1" t="n">
        <v>28.7</v>
      </c>
      <c r="C313" s="3" t="n">
        <v>276</v>
      </c>
      <c r="D313" s="1" t="n">
        <v>2</v>
      </c>
      <c r="E313" s="2" t="n">
        <v>50.6</v>
      </c>
      <c r="F313" s="4" t="n">
        <v>2.80171464705939</v>
      </c>
      <c r="G313" s="1" t="n">
        <v>38.2</v>
      </c>
      <c r="H313" s="1" t="n">
        <v>52.5</v>
      </c>
      <c r="I313" s="5" t="n">
        <v>0.106860667703036</v>
      </c>
      <c r="J313" s="4" t="n">
        <v>212.742542651488</v>
      </c>
      <c r="K313" s="4" t="n">
        <v>0.2</v>
      </c>
    </row>
    <row r="314" customFormat="false" ht="14.25" hidden="false" customHeight="false" outlineLevel="0" collapsed="false">
      <c r="B314" s="1" t="n">
        <v>28.7</v>
      </c>
      <c r="C314" s="3" t="n">
        <v>276</v>
      </c>
      <c r="D314" s="1" t="n">
        <v>2</v>
      </c>
      <c r="E314" s="2" t="n">
        <v>50.6</v>
      </c>
      <c r="F314" s="4" t="n">
        <v>2.80171464705939</v>
      </c>
      <c r="G314" s="1" t="n">
        <v>38.2</v>
      </c>
      <c r="H314" s="1" t="n">
        <v>52.5</v>
      </c>
      <c r="I314" s="5" t="n">
        <v>0.106860667703036</v>
      </c>
      <c r="J314" s="4" t="n">
        <v>245.231719913046</v>
      </c>
      <c r="K314" s="4" t="n">
        <v>0.25</v>
      </c>
    </row>
    <row r="315" customFormat="false" ht="14.25" hidden="false" customHeight="false" outlineLevel="0" collapsed="false">
      <c r="B315" s="1" t="n">
        <v>28.7</v>
      </c>
      <c r="C315" s="3" t="n">
        <v>276</v>
      </c>
      <c r="D315" s="1" t="n">
        <v>2</v>
      </c>
      <c r="E315" s="2" t="n">
        <v>50.6</v>
      </c>
      <c r="F315" s="4" t="n">
        <v>2.80171464705939</v>
      </c>
      <c r="G315" s="1" t="n">
        <v>38.2</v>
      </c>
      <c r="H315" s="1" t="n">
        <v>52.5</v>
      </c>
      <c r="I315" s="5" t="n">
        <v>0.106860667703036</v>
      </c>
      <c r="J315" s="4" t="n">
        <v>275.8</v>
      </c>
      <c r="K315" s="4" t="n">
        <v>0.29</v>
      </c>
    </row>
    <row r="316" customFormat="false" ht="14.25" hidden="false" customHeight="false" outlineLevel="0" collapsed="false">
      <c r="A316" s="0" t="s">
        <v>97</v>
      </c>
      <c r="B316" s="1" t="n">
        <v>28.7</v>
      </c>
      <c r="C316" s="3" t="n">
        <v>276</v>
      </c>
      <c r="D316" s="1" t="n">
        <v>2</v>
      </c>
      <c r="E316" s="2" t="n">
        <v>50.6</v>
      </c>
      <c r="F316" s="4" t="n">
        <v>2.71531164579845</v>
      </c>
      <c r="G316" s="1" t="n">
        <v>38.2</v>
      </c>
      <c r="H316" s="1" t="n">
        <v>52.5</v>
      </c>
      <c r="I316" s="5" t="n">
        <v>0.107226386910195</v>
      </c>
      <c r="J316" s="4" t="n">
        <v>212.947491588265</v>
      </c>
      <c r="K316" s="4" t="n">
        <v>0.17</v>
      </c>
    </row>
    <row r="317" customFormat="false" ht="14.25" hidden="false" customHeight="false" outlineLevel="0" collapsed="false">
      <c r="A317" s="0" t="s">
        <v>98</v>
      </c>
      <c r="B317" s="1" t="n">
        <v>28.7</v>
      </c>
      <c r="C317" s="3" t="n">
        <v>276</v>
      </c>
      <c r="D317" s="1" t="n">
        <v>2</v>
      </c>
      <c r="E317" s="2" t="n">
        <v>50.6</v>
      </c>
      <c r="F317" s="4" t="n">
        <v>2.80171464705939</v>
      </c>
      <c r="G317" s="1" t="n">
        <v>38.2</v>
      </c>
      <c r="H317" s="1" t="n">
        <v>52.5</v>
      </c>
      <c r="I317" s="5" t="n">
        <v>0.106860667703036</v>
      </c>
      <c r="J317" s="4" t="n">
        <v>179.495600322604</v>
      </c>
      <c r="K317" s="4" t="n">
        <v>0.15</v>
      </c>
    </row>
    <row r="318" customFormat="false" ht="14.25" hidden="false" customHeight="false" outlineLevel="0" collapsed="false">
      <c r="B318" s="1" t="n">
        <v>28.7</v>
      </c>
      <c r="C318" s="3" t="n">
        <v>276</v>
      </c>
      <c r="D318" s="1" t="n">
        <v>2</v>
      </c>
      <c r="E318" s="2" t="n">
        <v>50.6</v>
      </c>
      <c r="F318" s="4" t="n">
        <v>2.80171464705939</v>
      </c>
      <c r="G318" s="1" t="n">
        <v>38.2</v>
      </c>
      <c r="H318" s="1" t="n">
        <v>52.5</v>
      </c>
      <c r="I318" s="5" t="n">
        <v>0.106860667703036</v>
      </c>
      <c r="J318" s="4" t="n">
        <v>212.742542651488</v>
      </c>
      <c r="K318" s="4" t="n">
        <v>0.16</v>
      </c>
    </row>
    <row r="319" customFormat="false" ht="14.25" hidden="false" customHeight="false" outlineLevel="0" collapsed="false">
      <c r="B319" s="1" t="n">
        <v>28.7</v>
      </c>
      <c r="C319" s="3" t="n">
        <v>276</v>
      </c>
      <c r="D319" s="1" t="n">
        <v>2</v>
      </c>
      <c r="E319" s="2" t="n">
        <v>50.6</v>
      </c>
      <c r="F319" s="4" t="n">
        <v>2.80171464705939</v>
      </c>
      <c r="G319" s="1" t="n">
        <v>38.2</v>
      </c>
      <c r="H319" s="1" t="n">
        <v>52.5</v>
      </c>
      <c r="I319" s="5" t="n">
        <v>0.106860667703036</v>
      </c>
      <c r="J319" s="4" t="n">
        <v>245.231719913046</v>
      </c>
      <c r="K319" s="4" t="n">
        <v>0.22</v>
      </c>
    </row>
    <row r="320" customFormat="false" ht="14.25" hidden="false" customHeight="false" outlineLevel="0" collapsed="false">
      <c r="B320" s="1" t="n">
        <v>28.7</v>
      </c>
      <c r="C320" s="3" t="n">
        <v>276</v>
      </c>
      <c r="D320" s="1" t="n">
        <v>2</v>
      </c>
      <c r="E320" s="2" t="n">
        <v>50.6</v>
      </c>
      <c r="F320" s="4" t="n">
        <v>2.80171464705939</v>
      </c>
      <c r="G320" s="1" t="n">
        <v>38.2</v>
      </c>
      <c r="H320" s="1" t="n">
        <v>52.5</v>
      </c>
      <c r="I320" s="5" t="n">
        <v>0.106860667703036</v>
      </c>
      <c r="J320" s="4" t="n">
        <v>275.8</v>
      </c>
      <c r="K320" s="4" t="n">
        <v>0.26</v>
      </c>
    </row>
    <row r="321" customFormat="false" ht="14.25" hidden="false" customHeight="false" outlineLevel="0" collapsed="false">
      <c r="A321" s="0" t="s">
        <v>99</v>
      </c>
      <c r="B321" s="1" t="n">
        <v>28.7</v>
      </c>
      <c r="C321" s="3" t="n">
        <v>276</v>
      </c>
      <c r="D321" s="1" t="n">
        <v>2</v>
      </c>
      <c r="E321" s="2" t="n">
        <v>50.6</v>
      </c>
      <c r="F321" s="4" t="n">
        <v>2.52444806810338</v>
      </c>
      <c r="G321" s="1" t="n">
        <v>38.2</v>
      </c>
      <c r="H321" s="1" t="n">
        <v>52.5</v>
      </c>
      <c r="I321" s="5" t="n">
        <v>0.108091118039397</v>
      </c>
      <c r="J321" s="4" t="n">
        <v>213.428114144873</v>
      </c>
      <c r="K321" s="4" t="n">
        <v>0.17</v>
      </c>
    </row>
    <row r="322" customFormat="false" ht="14.25" hidden="false" customHeight="false" outlineLevel="0" collapsed="false">
      <c r="B322" s="1" t="n">
        <v>28.7</v>
      </c>
      <c r="C322" s="3" t="n">
        <v>276</v>
      </c>
      <c r="D322" s="1" t="n">
        <v>2</v>
      </c>
      <c r="E322" s="2" t="n">
        <v>50.6</v>
      </c>
      <c r="F322" s="4" t="n">
        <v>2.52444806810338</v>
      </c>
      <c r="G322" s="1" t="n">
        <v>38.2</v>
      </c>
      <c r="H322" s="1" t="n">
        <v>52.5</v>
      </c>
      <c r="I322" s="5" t="n">
        <v>0.108091118039397</v>
      </c>
      <c r="J322" s="4" t="n">
        <v>246.021989101103</v>
      </c>
      <c r="K322" s="4" t="n">
        <v>0.2</v>
      </c>
    </row>
    <row r="323" customFormat="false" ht="14.25" hidden="false" customHeight="false" outlineLevel="0" collapsed="false">
      <c r="B323" s="1" t="n">
        <v>28.7</v>
      </c>
      <c r="C323" s="3" t="n">
        <v>276</v>
      </c>
      <c r="D323" s="1" t="n">
        <v>2</v>
      </c>
      <c r="E323" s="2" t="n">
        <v>50.6</v>
      </c>
      <c r="F323" s="4" t="n">
        <v>2.52444806810338</v>
      </c>
      <c r="G323" s="1" t="n">
        <v>38.2</v>
      </c>
      <c r="H323" s="1" t="n">
        <v>52.5</v>
      </c>
      <c r="I323" s="5" t="n">
        <v>0.108091118039397</v>
      </c>
      <c r="J323" s="4" t="n">
        <v>275.8</v>
      </c>
      <c r="K323" s="4" t="n">
        <v>0.24</v>
      </c>
    </row>
    <row r="324" customFormat="false" ht="14.25" hidden="false" customHeight="false" outlineLevel="0" collapsed="false">
      <c r="A324" s="0" t="s">
        <v>100</v>
      </c>
      <c r="B324" s="1" t="n">
        <v>32.3</v>
      </c>
      <c r="C324" s="3" t="n">
        <v>276</v>
      </c>
      <c r="D324" s="1" t="n">
        <v>1</v>
      </c>
      <c r="E324" s="2" t="n">
        <v>60</v>
      </c>
      <c r="F324" s="4" t="n">
        <v>2.53821845332793</v>
      </c>
      <c r="G324" s="1" t="n">
        <v>38.3</v>
      </c>
      <c r="H324" s="1" t="n">
        <v>54.4</v>
      </c>
      <c r="I324" s="5" t="n">
        <v>0.0624495439088793</v>
      </c>
      <c r="J324" s="4" t="n">
        <v>170.803299154682</v>
      </c>
      <c r="K324" s="4" t="n">
        <v>0.17</v>
      </c>
    </row>
    <row r="325" customFormat="false" ht="14.25" hidden="false" customHeight="false" outlineLevel="0" collapsed="false">
      <c r="B325" s="1" t="n">
        <v>32.3</v>
      </c>
      <c r="C325" s="3" t="n">
        <v>276</v>
      </c>
      <c r="D325" s="1" t="n">
        <v>1</v>
      </c>
      <c r="E325" s="2" t="n">
        <v>60</v>
      </c>
      <c r="F325" s="4" t="n">
        <v>2.53821845332793</v>
      </c>
      <c r="G325" s="1" t="n">
        <v>38.3</v>
      </c>
      <c r="H325" s="1" t="n">
        <v>54.4</v>
      </c>
      <c r="I325" s="5" t="n">
        <v>0.0624495439088793</v>
      </c>
      <c r="J325" s="4" t="n">
        <v>210.242000847909</v>
      </c>
      <c r="K325" s="4" t="n">
        <v>0.23</v>
      </c>
    </row>
    <row r="326" customFormat="false" ht="14.25" hidden="false" customHeight="false" outlineLevel="0" collapsed="false">
      <c r="B326" s="1" t="n">
        <v>32.3</v>
      </c>
      <c r="C326" s="3" t="n">
        <v>276</v>
      </c>
      <c r="D326" s="1" t="n">
        <v>1</v>
      </c>
      <c r="E326" s="2" t="n">
        <v>60</v>
      </c>
      <c r="F326" s="4" t="n">
        <v>2.53821845332793</v>
      </c>
      <c r="G326" s="1" t="n">
        <v>38.3</v>
      </c>
      <c r="H326" s="1" t="n">
        <v>54.4</v>
      </c>
      <c r="I326" s="5" t="n">
        <v>0.0624495439088793</v>
      </c>
      <c r="J326" s="4" t="n">
        <v>245.135722048608</v>
      </c>
      <c r="K326" s="4" t="n">
        <v>0.27</v>
      </c>
    </row>
    <row r="327" customFormat="false" ht="14.25" hidden="false" customHeight="false" outlineLevel="0" collapsed="false">
      <c r="B327" s="1" t="n">
        <v>32.3</v>
      </c>
      <c r="C327" s="3" t="n">
        <v>276</v>
      </c>
      <c r="D327" s="1" t="n">
        <v>1</v>
      </c>
      <c r="E327" s="2" t="n">
        <v>60</v>
      </c>
      <c r="F327" s="4" t="n">
        <v>2.53821845332793</v>
      </c>
      <c r="G327" s="1" t="n">
        <v>38.3</v>
      </c>
      <c r="H327" s="1" t="n">
        <v>54.4</v>
      </c>
      <c r="I327" s="5" t="n">
        <v>0.0624495439088793</v>
      </c>
      <c r="J327" s="4" t="n">
        <v>270.059808620536</v>
      </c>
      <c r="K327" s="4" t="n">
        <v>0.31</v>
      </c>
    </row>
    <row r="328" customFormat="false" ht="14.25" hidden="false" customHeight="false" outlineLevel="0" collapsed="false">
      <c r="B328" s="1" t="n">
        <v>32.3</v>
      </c>
      <c r="C328" s="3" t="n">
        <v>276</v>
      </c>
      <c r="D328" s="1" t="n">
        <v>1</v>
      </c>
      <c r="E328" s="2" t="n">
        <v>60</v>
      </c>
      <c r="F328" s="4" t="n">
        <v>2.53821845332793</v>
      </c>
      <c r="G328" s="1" t="n">
        <v>38.3</v>
      </c>
      <c r="H328" s="1" t="n">
        <v>54.4</v>
      </c>
      <c r="I328" s="5" t="n">
        <v>0.0624495439088793</v>
      </c>
      <c r="J328" s="4" t="n">
        <v>275.8</v>
      </c>
      <c r="K328" s="4" t="n">
        <v>0.35</v>
      </c>
    </row>
    <row r="329" customFormat="false" ht="14.25" hidden="false" customHeight="false" outlineLevel="0" collapsed="false">
      <c r="A329" s="0" t="s">
        <v>101</v>
      </c>
      <c r="B329" s="1" t="n">
        <v>32.3</v>
      </c>
      <c r="C329" s="3" t="n">
        <v>276</v>
      </c>
      <c r="D329" s="1" t="n">
        <v>1</v>
      </c>
      <c r="E329" s="2" t="n">
        <v>60</v>
      </c>
      <c r="F329" s="4" t="n">
        <v>2.81086951894943</v>
      </c>
      <c r="G329" s="1" t="n">
        <v>38.3</v>
      </c>
      <c r="H329" s="1" t="n">
        <v>54.4</v>
      </c>
      <c r="I329" s="5" t="n">
        <v>0.061876058158272</v>
      </c>
      <c r="J329" s="4" t="n">
        <v>170.327728419202</v>
      </c>
      <c r="K329" s="4" t="n">
        <v>0.19</v>
      </c>
    </row>
    <row r="330" customFormat="false" ht="14.25" hidden="false" customHeight="false" outlineLevel="0" collapsed="false">
      <c r="B330" s="1" t="n">
        <v>32.3</v>
      </c>
      <c r="C330" s="3" t="n">
        <v>276</v>
      </c>
      <c r="D330" s="1" t="n">
        <v>1</v>
      </c>
      <c r="E330" s="2" t="n">
        <v>60</v>
      </c>
      <c r="F330" s="4" t="n">
        <v>2.81086951894943</v>
      </c>
      <c r="G330" s="1" t="n">
        <v>38.3</v>
      </c>
      <c r="H330" s="1" t="n">
        <v>54.4</v>
      </c>
      <c r="I330" s="5" t="n">
        <v>0.061876058158272</v>
      </c>
      <c r="J330" s="4" t="n">
        <v>209.656620217284</v>
      </c>
      <c r="K330" s="4" t="n">
        <v>0.24</v>
      </c>
    </row>
    <row r="331" customFormat="false" ht="14.25" hidden="false" customHeight="false" outlineLevel="0" collapsed="false">
      <c r="B331" s="1" t="n">
        <v>32.3</v>
      </c>
      <c r="C331" s="3" t="n">
        <v>276</v>
      </c>
      <c r="D331" s="1" t="n">
        <v>1</v>
      </c>
      <c r="E331" s="2" t="n">
        <v>60</v>
      </c>
      <c r="F331" s="4" t="n">
        <v>2.81086951894943</v>
      </c>
      <c r="G331" s="1" t="n">
        <v>38.3</v>
      </c>
      <c r="H331" s="1" t="n">
        <v>54.4</v>
      </c>
      <c r="I331" s="5" t="n">
        <v>0.061876058158272</v>
      </c>
      <c r="J331" s="4" t="n">
        <v>244.453186194769</v>
      </c>
      <c r="K331" s="4" t="n">
        <v>0.29</v>
      </c>
    </row>
    <row r="332" customFormat="false" ht="14.25" hidden="false" customHeight="false" outlineLevel="0" collapsed="false">
      <c r="B332" s="1" t="n">
        <v>32.3</v>
      </c>
      <c r="C332" s="3" t="n">
        <v>276</v>
      </c>
      <c r="D332" s="1" t="n">
        <v>1</v>
      </c>
      <c r="E332" s="2" t="n">
        <v>60</v>
      </c>
      <c r="F332" s="4" t="n">
        <v>2.81086951894943</v>
      </c>
      <c r="G332" s="1" t="n">
        <v>38.3</v>
      </c>
      <c r="H332" s="1" t="n">
        <v>54.4</v>
      </c>
      <c r="I332" s="5" t="n">
        <v>0.061876058158272</v>
      </c>
      <c r="J332" s="4" t="n">
        <v>269.307876178686</v>
      </c>
      <c r="K332" s="4" t="n">
        <v>0.36</v>
      </c>
    </row>
    <row r="333" customFormat="false" ht="14.25" hidden="false" customHeight="false" outlineLevel="0" collapsed="false">
      <c r="B333" s="1" t="n">
        <v>32.3</v>
      </c>
      <c r="C333" s="3" t="n">
        <v>276</v>
      </c>
      <c r="D333" s="1" t="n">
        <v>1</v>
      </c>
      <c r="E333" s="2" t="n">
        <v>60</v>
      </c>
      <c r="F333" s="4" t="n">
        <v>2.81086951894943</v>
      </c>
      <c r="G333" s="1" t="n">
        <v>38.3</v>
      </c>
      <c r="H333" s="1" t="n">
        <v>54.4</v>
      </c>
      <c r="I333" s="5" t="n">
        <v>0.061876058158272</v>
      </c>
      <c r="J333" s="4" t="n">
        <v>275.8</v>
      </c>
      <c r="K333" s="4" t="n">
        <v>0.42</v>
      </c>
    </row>
    <row r="334" customFormat="false" ht="14.25" hidden="false" customHeight="false" outlineLevel="0" collapsed="false">
      <c r="A334" s="0" t="s">
        <v>102</v>
      </c>
      <c r="B334" s="1" t="n">
        <v>28.7</v>
      </c>
      <c r="C334" s="3" t="n">
        <v>276</v>
      </c>
      <c r="D334" s="1" t="n">
        <v>2</v>
      </c>
      <c r="E334" s="2" t="n">
        <v>50.6</v>
      </c>
      <c r="F334" s="4" t="n">
        <v>2.57657861790804</v>
      </c>
      <c r="G334" s="1" t="n">
        <v>38</v>
      </c>
      <c r="H334" s="1" t="n">
        <v>52.3</v>
      </c>
      <c r="I334" s="5" t="n">
        <v>0.0655704777184944</v>
      </c>
      <c r="J334" s="4" t="n">
        <v>183.230305477513</v>
      </c>
      <c r="K334" s="4" t="n">
        <v>0.18</v>
      </c>
    </row>
    <row r="335" customFormat="false" ht="14.25" hidden="false" customHeight="false" outlineLevel="0" collapsed="false">
      <c r="B335" s="1" t="n">
        <v>28.7</v>
      </c>
      <c r="C335" s="3" t="n">
        <v>276</v>
      </c>
      <c r="D335" s="1" t="n">
        <v>2</v>
      </c>
      <c r="E335" s="2" t="n">
        <v>50.6</v>
      </c>
      <c r="F335" s="4" t="n">
        <v>2.57657861790804</v>
      </c>
      <c r="G335" s="1" t="n">
        <v>38</v>
      </c>
      <c r="H335" s="1" t="n">
        <v>52.3</v>
      </c>
      <c r="I335" s="5" t="n">
        <v>0.0655704777184944</v>
      </c>
      <c r="J335" s="4" t="n">
        <v>219.890332297519</v>
      </c>
      <c r="K335" s="4" t="n">
        <v>0.22</v>
      </c>
    </row>
    <row r="336" customFormat="false" ht="14.25" hidden="false" customHeight="false" outlineLevel="0" collapsed="false">
      <c r="B336" s="1" t="n">
        <v>28.7</v>
      </c>
      <c r="C336" s="3" t="n">
        <v>276</v>
      </c>
      <c r="D336" s="1" t="n">
        <v>2</v>
      </c>
      <c r="E336" s="2" t="n">
        <v>50.6</v>
      </c>
      <c r="F336" s="4" t="n">
        <v>2.57657861790804</v>
      </c>
      <c r="G336" s="1" t="n">
        <v>38</v>
      </c>
      <c r="H336" s="1" t="n">
        <v>52.3</v>
      </c>
      <c r="I336" s="5" t="n">
        <v>0.0655704777184944</v>
      </c>
      <c r="J336" s="4" t="n">
        <v>248.170924415809</v>
      </c>
      <c r="K336" s="4" t="n">
        <v>0.27</v>
      </c>
    </row>
    <row r="337" customFormat="false" ht="14.25" hidden="false" customHeight="false" outlineLevel="0" collapsed="false">
      <c r="B337" s="1" t="n">
        <v>28.7</v>
      </c>
      <c r="C337" s="3" t="n">
        <v>276</v>
      </c>
      <c r="D337" s="1" t="n">
        <v>2</v>
      </c>
      <c r="E337" s="2" t="n">
        <v>50.6</v>
      </c>
      <c r="F337" s="4" t="n">
        <v>2.57657861790804</v>
      </c>
      <c r="G337" s="1" t="n">
        <v>38</v>
      </c>
      <c r="H337" s="1" t="n">
        <v>52.3</v>
      </c>
      <c r="I337" s="5" t="n">
        <v>0.0655704777184944</v>
      </c>
      <c r="J337" s="4" t="n">
        <v>275.8</v>
      </c>
      <c r="K337" s="4" t="n">
        <v>0.32</v>
      </c>
    </row>
    <row r="338" customFormat="false" ht="14.25" hidden="false" customHeight="false" outlineLevel="0" collapsed="false">
      <c r="A338" s="0" t="s">
        <v>103</v>
      </c>
      <c r="B338" s="1" t="n">
        <v>28.7</v>
      </c>
      <c r="C338" s="3" t="n">
        <v>276</v>
      </c>
      <c r="D338" s="1" t="n">
        <v>2</v>
      </c>
      <c r="E338" s="2" t="n">
        <v>50.6</v>
      </c>
      <c r="F338" s="4" t="n">
        <v>2.57657861790804</v>
      </c>
      <c r="G338" s="1" t="n">
        <v>38</v>
      </c>
      <c r="H338" s="1" t="n">
        <v>52.3</v>
      </c>
      <c r="I338" s="5" t="n">
        <v>0.0655704777184944</v>
      </c>
      <c r="J338" s="4" t="n">
        <v>219.890332297519</v>
      </c>
      <c r="K338" s="4" t="n">
        <v>0.16</v>
      </c>
    </row>
    <row r="339" customFormat="false" ht="14.25" hidden="false" customHeight="false" outlineLevel="0" collapsed="false">
      <c r="B339" s="1" t="n">
        <v>28.7</v>
      </c>
      <c r="C339" s="3" t="n">
        <v>276</v>
      </c>
      <c r="D339" s="1" t="n">
        <v>2</v>
      </c>
      <c r="E339" s="2" t="n">
        <v>50.6</v>
      </c>
      <c r="F339" s="4" t="n">
        <v>2.57657861790804</v>
      </c>
      <c r="G339" s="1" t="n">
        <v>38</v>
      </c>
      <c r="H339" s="1" t="n">
        <v>52.3</v>
      </c>
      <c r="I339" s="5" t="n">
        <v>0.0655704777184944</v>
      </c>
      <c r="J339" s="4" t="n">
        <v>248.170924415809</v>
      </c>
      <c r="K339" s="4" t="n">
        <v>0.19</v>
      </c>
    </row>
    <row r="340" customFormat="false" ht="14.25" hidden="false" customHeight="false" outlineLevel="0" collapsed="false">
      <c r="B340" s="1" t="n">
        <v>28.7</v>
      </c>
      <c r="C340" s="3" t="n">
        <v>276</v>
      </c>
      <c r="D340" s="1" t="n">
        <v>2</v>
      </c>
      <c r="E340" s="2" t="n">
        <v>50.6</v>
      </c>
      <c r="F340" s="4" t="n">
        <v>2.57657861790804</v>
      </c>
      <c r="G340" s="1" t="n">
        <v>38</v>
      </c>
      <c r="H340" s="1" t="n">
        <v>52.3</v>
      </c>
      <c r="I340" s="5" t="n">
        <v>0.0655704777184944</v>
      </c>
      <c r="J340" s="4" t="n">
        <v>275.8</v>
      </c>
      <c r="K340" s="4" t="n">
        <v>0.22</v>
      </c>
    </row>
    <row r="341" customFormat="false" ht="14.25" hidden="false" customHeight="false" outlineLevel="0" collapsed="false">
      <c r="A341" s="0" t="s">
        <v>104</v>
      </c>
      <c r="B341" s="1" t="n">
        <v>35.8</v>
      </c>
      <c r="C341" s="3" t="n">
        <v>276</v>
      </c>
      <c r="D341" s="1" t="n">
        <v>2</v>
      </c>
      <c r="E341" s="2" t="n">
        <v>36.4</v>
      </c>
      <c r="F341" s="4" t="n">
        <v>2.54783553354044</v>
      </c>
      <c r="G341" s="1" t="n">
        <v>38</v>
      </c>
      <c r="H341" s="1" t="n">
        <v>55.9</v>
      </c>
      <c r="I341" s="5" t="n">
        <v>0.112443490851356</v>
      </c>
      <c r="J341" s="4" t="n">
        <v>184.086480713456</v>
      </c>
      <c r="K341" s="4" t="n">
        <v>0.17</v>
      </c>
    </row>
    <row r="342" customFormat="false" ht="14.25" hidden="false" customHeight="false" outlineLevel="0" collapsed="false">
      <c r="A342" s="0" t="s">
        <v>105</v>
      </c>
      <c r="B342" s="1" t="n">
        <v>35.8</v>
      </c>
      <c r="C342" s="3" t="n">
        <v>276</v>
      </c>
      <c r="D342" s="1" t="n">
        <v>2</v>
      </c>
      <c r="E342" s="2" t="n">
        <v>36.4</v>
      </c>
      <c r="F342" s="4" t="n">
        <v>2.75637342683892</v>
      </c>
      <c r="G342" s="1" t="n">
        <v>38</v>
      </c>
      <c r="H342" s="1" t="n">
        <v>55.9</v>
      </c>
      <c r="I342" s="5" t="n">
        <v>0.111410061904879</v>
      </c>
      <c r="J342" s="4" t="n">
        <v>143.792876986957</v>
      </c>
      <c r="K342" s="4" t="n">
        <v>0.19</v>
      </c>
    </row>
    <row r="343" customFormat="false" ht="14.25" hidden="false" customHeight="false" outlineLevel="0" collapsed="false">
      <c r="B343" s="1" t="n">
        <v>35.8</v>
      </c>
      <c r="C343" s="3" t="n">
        <v>276</v>
      </c>
      <c r="D343" s="1" t="n">
        <v>2</v>
      </c>
      <c r="E343" s="2" t="n">
        <v>36.4</v>
      </c>
      <c r="F343" s="4" t="n">
        <v>2.75637342683892</v>
      </c>
      <c r="G343" s="1" t="n">
        <v>38</v>
      </c>
      <c r="H343" s="1" t="n">
        <v>55.9</v>
      </c>
      <c r="I343" s="5" t="n">
        <v>0.111410061904879</v>
      </c>
      <c r="J343" s="4" t="n">
        <v>183.642990294518</v>
      </c>
      <c r="K343" s="4" t="n">
        <v>0.25</v>
      </c>
    </row>
  </sheetData>
  <mergeCells count="1">
    <mergeCell ref="B1:J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55"/>
  <sheetViews>
    <sheetView showFormulas="false" showGridLines="true" showRowColHeaders="true" showZeros="true" rightToLeft="false" tabSelected="false" showOutlineSymbols="true" defaultGridColor="true" view="normal" topLeftCell="M1" colorId="64" zoomScale="120" zoomScaleNormal="120" zoomScalePageLayoutView="100" workbookViewId="0">
      <selection pane="topLeft" activeCell="Q4" activeCellId="0" sqref="Q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2.89"/>
    <col collapsed="false" customWidth="true" hidden="false" outlineLevel="0" max="2" min="2" style="2" width="24.78"/>
    <col collapsed="false" customWidth="true" hidden="false" outlineLevel="0" max="3" min="3" style="3" width="24.78"/>
    <col collapsed="false" customWidth="true" hidden="false" outlineLevel="0" max="4" min="4" style="3" width="29.66"/>
    <col collapsed="false" customWidth="true" hidden="false" outlineLevel="0" max="5" min="5" style="2" width="29.33"/>
    <col collapsed="false" customWidth="true" hidden="false" outlineLevel="0" max="6" min="6" style="4" width="36.78"/>
    <col collapsed="false" customWidth="true" hidden="false" outlineLevel="0" max="7" min="7" style="2" width="16.45"/>
    <col collapsed="false" customWidth="true" hidden="false" outlineLevel="0" max="8" min="8" style="2" width="44.55"/>
    <col collapsed="false" customWidth="true" hidden="false" outlineLevel="0" max="9" min="9" style="2" width="20.45"/>
    <col collapsed="false" customWidth="true" hidden="false" outlineLevel="0" max="10" min="10" style="2" width="19.78"/>
    <col collapsed="false" customWidth="true" hidden="false" outlineLevel="0" max="11" min="11" style="3" width="29.78"/>
    <col collapsed="false" customWidth="true" hidden="false" outlineLevel="0" max="12" min="12" style="4" width="31.22"/>
    <col collapsed="false" customWidth="true" hidden="false" outlineLevel="0" max="13" min="13" style="3" width="30.67"/>
    <col collapsed="false" customWidth="true" hidden="false" outlineLevel="0" max="14" min="14" style="12" width="16.33"/>
    <col collapsed="false" customWidth="true" hidden="false" outlineLevel="0" max="15" min="15" style="12" width="22.67"/>
    <col collapsed="false" customWidth="true" hidden="false" outlineLevel="0" max="17" min="16" style="3" width="42.89"/>
    <col collapsed="false" customWidth="true" hidden="false" outlineLevel="0" max="18" min="18" style="4" width="9.66"/>
    <col collapsed="false" customWidth="true" hidden="false" outlineLevel="0" max="19" min="19" style="13" width="42.89"/>
    <col collapsed="false" customWidth="true" hidden="false" outlineLevel="0" max="24" min="23" style="1" width="8.89"/>
    <col collapsed="false" customWidth="true" hidden="false" outlineLevel="0" max="29" min="29" style="0" width="66.44"/>
    <col collapsed="false" customWidth="true" hidden="false" outlineLevel="0" max="32" min="32" style="0" width="10.56"/>
    <col collapsed="false" customWidth="true" hidden="false" outlineLevel="0" max="33" min="33" style="0" width="15.45"/>
    <col collapsed="false" customWidth="true" hidden="false" outlineLevel="0" max="34" min="34" style="6" width="8.89"/>
    <col collapsed="false" customWidth="true" hidden="false" outlineLevel="0" max="42" min="42" style="0" width="80.55"/>
    <col collapsed="false" customWidth="true" hidden="false" outlineLevel="0" max="43" min="43" style="0" width="17.89"/>
  </cols>
  <sheetData>
    <row r="1" customFormat="false" ht="61.5" hidden="false" customHeight="true" outlineLevel="0" collapsed="false">
      <c r="W1" s="7" t="s">
        <v>0</v>
      </c>
      <c r="Y1" s="14"/>
      <c r="Z1" s="7" t="s">
        <v>1</v>
      </c>
      <c r="AC1" s="15" t="s">
        <v>116</v>
      </c>
      <c r="AP1" s="16" t="s">
        <v>117</v>
      </c>
    </row>
    <row r="2" customFormat="false" ht="14.25" hidden="false" customHeight="false" outlineLevel="0" collapsed="false">
      <c r="W2" s="1" t="s">
        <v>2</v>
      </c>
      <c r="X2" s="1" t="n">
        <v>0.515</v>
      </c>
      <c r="Z2" s="1" t="s">
        <v>2</v>
      </c>
      <c r="AA2" s="1" t="n">
        <v>0.391</v>
      </c>
      <c r="AC2" s="17" t="s">
        <v>2</v>
      </c>
      <c r="AD2" s="1" t="n">
        <v>1.22</v>
      </c>
      <c r="AP2" s="17" t="s">
        <v>2</v>
      </c>
      <c r="AQ2" s="4" t="n">
        <v>7.37</v>
      </c>
    </row>
    <row r="3" customFormat="false" ht="14.25" hidden="false" customHeight="false" outlineLevel="0" collapsed="false">
      <c r="W3" s="1" t="s">
        <v>3</v>
      </c>
      <c r="X3" s="1" t="n">
        <v>-0.00169</v>
      </c>
      <c r="Z3" s="1" t="s">
        <v>3</v>
      </c>
      <c r="AA3" s="1" t="n">
        <v>0.701</v>
      </c>
      <c r="AC3" s="17" t="s">
        <v>3</v>
      </c>
      <c r="AD3" s="1" t="n">
        <v>1.93</v>
      </c>
      <c r="AP3" s="17" t="s">
        <v>3</v>
      </c>
      <c r="AQ3" s="4" t="n">
        <v>4.87</v>
      </c>
    </row>
    <row r="4" customFormat="false" ht="14.25" hidden="false" customHeight="false" outlineLevel="0" collapsed="false">
      <c r="W4" s="1" t="s">
        <v>4</v>
      </c>
      <c r="X4" s="1" t="n">
        <v>1</v>
      </c>
      <c r="Z4" s="1" t="s">
        <v>4</v>
      </c>
      <c r="AA4" s="1" t="n">
        <v>0.628</v>
      </c>
      <c r="AC4" s="17" t="s">
        <v>4</v>
      </c>
      <c r="AD4" s="1" t="n">
        <v>-1.05</v>
      </c>
      <c r="AP4" s="17" t="s">
        <v>4</v>
      </c>
      <c r="AQ4" s="4" t="n">
        <v>-2.7</v>
      </c>
    </row>
    <row r="5" customFormat="false" ht="14.25" hidden="false" customHeight="false" outlineLevel="0" collapsed="false">
      <c r="W5" s="1" t="s">
        <v>5</v>
      </c>
      <c r="X5" s="1" t="n">
        <v>0.672</v>
      </c>
      <c r="Z5" s="1" t="s">
        <v>5</v>
      </c>
      <c r="AA5" s="1" t="n">
        <v>0.389</v>
      </c>
      <c r="AC5" s="17" t="s">
        <v>5</v>
      </c>
      <c r="AD5" s="1" t="n">
        <v>0.568</v>
      </c>
      <c r="AP5" s="17" t="s">
        <v>5</v>
      </c>
      <c r="AQ5" s="4" t="n">
        <v>0.09</v>
      </c>
    </row>
    <row r="6" customFormat="false" ht="14.25" hidden="false" customHeight="false" outlineLevel="0" collapsed="false">
      <c r="W6" s="1" t="s">
        <v>6</v>
      </c>
      <c r="X6" s="1" t="n">
        <v>-0.417</v>
      </c>
      <c r="Z6" s="1" t="s">
        <v>6</v>
      </c>
      <c r="AA6" s="1" t="n">
        <v>-0.631</v>
      </c>
      <c r="AC6" s="17" t="s">
        <v>6</v>
      </c>
      <c r="AD6" s="1" t="n">
        <v>0.08</v>
      </c>
      <c r="AP6" s="17" t="s">
        <v>6</v>
      </c>
      <c r="AQ6" s="4" t="n">
        <v>0.016</v>
      </c>
      <c r="AS6" s="14"/>
    </row>
    <row r="7" customFormat="false" ht="14.25" hidden="false" customHeight="false" outlineLevel="0" collapsed="false">
      <c r="W7" s="1" t="s">
        <v>7</v>
      </c>
      <c r="X7" s="1" t="n">
        <v>0.617</v>
      </c>
      <c r="Z7" s="1" t="s">
        <v>7</v>
      </c>
      <c r="AA7" s="1" t="n">
        <v>2.011</v>
      </c>
      <c r="AC7" s="1"/>
      <c r="AD7" s="1"/>
      <c r="AP7" s="17" t="s">
        <v>7</v>
      </c>
      <c r="AQ7" s="4" t="n">
        <v>0.82</v>
      </c>
    </row>
    <row r="8" customFormat="false" ht="14.25" hidden="false" customHeight="false" outlineLevel="0" collapsed="false">
      <c r="Z8" s="1"/>
      <c r="AA8" s="1"/>
      <c r="AC8" s="1"/>
      <c r="AD8" s="1"/>
      <c r="AP8" s="17" t="s">
        <v>118</v>
      </c>
      <c r="AQ8" s="4" t="n">
        <v>2</v>
      </c>
    </row>
    <row r="9" customFormat="false" ht="14.25" hidden="false" customHeight="false" outlineLevel="0" collapsed="false">
      <c r="A9" s="1" t="s">
        <v>8</v>
      </c>
      <c r="B9" s="9" t="s">
        <v>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5"/>
      <c r="R9" s="4" t="s">
        <v>10</v>
      </c>
    </row>
    <row r="10" customFormat="false" ht="31.3" hidden="false" customHeight="false" outlineLevel="0" collapsed="false">
      <c r="B10" s="2" t="s">
        <v>11</v>
      </c>
      <c r="C10" s="3" t="s">
        <v>12</v>
      </c>
      <c r="D10" s="3" t="s">
        <v>13</v>
      </c>
      <c r="E10" s="2" t="s">
        <v>14</v>
      </c>
      <c r="F10" s="4" t="s">
        <v>15</v>
      </c>
      <c r="G10" s="2" t="s">
        <v>16</v>
      </c>
      <c r="H10" s="2" t="s">
        <v>17</v>
      </c>
      <c r="I10" s="1" t="s">
        <v>119</v>
      </c>
      <c r="J10" s="18" t="s">
        <v>120</v>
      </c>
      <c r="K10" s="19" t="s">
        <v>121</v>
      </c>
      <c r="L10" s="20" t="s">
        <v>122</v>
      </c>
      <c r="M10" s="19" t="s">
        <v>123</v>
      </c>
      <c r="N10" s="12" t="s">
        <v>18</v>
      </c>
      <c r="O10" s="12" t="s">
        <v>124</v>
      </c>
      <c r="P10" s="3" t="s">
        <v>19</v>
      </c>
      <c r="Q10" s="21" t="s">
        <v>125</v>
      </c>
      <c r="R10" s="4" t="s">
        <v>20</v>
      </c>
      <c r="S10" s="22" t="s">
        <v>126</v>
      </c>
      <c r="AC10" s="8"/>
      <c r="AE10" s="6" t="s">
        <v>127</v>
      </c>
      <c r="AF10" s="6" t="s">
        <v>128</v>
      </c>
      <c r="AG10" s="23" t="s">
        <v>129</v>
      </c>
      <c r="AR10" s="6" t="s">
        <v>127</v>
      </c>
    </row>
    <row r="11" customFormat="false" ht="14.25" hidden="false" customHeight="false" outlineLevel="0" collapsed="false">
      <c r="A11" s="1" t="s">
        <v>22</v>
      </c>
      <c r="B11" s="2" t="n">
        <v>20</v>
      </c>
      <c r="C11" s="3" t="n">
        <v>500</v>
      </c>
      <c r="D11" s="3" t="n">
        <v>2</v>
      </c>
      <c r="E11" s="2" t="n">
        <v>126</v>
      </c>
      <c r="F11" s="4" t="n">
        <v>4.12034052390144</v>
      </c>
      <c r="G11" s="2" t="n">
        <v>25</v>
      </c>
      <c r="H11" s="2" t="n">
        <v>39</v>
      </c>
      <c r="I11" s="1" t="n">
        <v>216</v>
      </c>
      <c r="J11" s="2" t="n">
        <v>201</v>
      </c>
      <c r="K11" s="3" t="n">
        <v>628</v>
      </c>
      <c r="L11" s="4" t="n">
        <v>29484</v>
      </c>
      <c r="M11" s="3" t="n">
        <v>57.3617765856203</v>
      </c>
      <c r="N11" s="12" t="n">
        <v>0.0212996879663546</v>
      </c>
      <c r="O11" s="4" t="n">
        <v>20.8</v>
      </c>
      <c r="P11" s="3" t="n">
        <v>120.527745920491</v>
      </c>
      <c r="Q11" s="4" t="n">
        <f aca="false">(P11-P$354)/P$355</f>
        <v>-1.04095079985697</v>
      </c>
      <c r="R11" s="4" t="n">
        <v>0.16</v>
      </c>
      <c r="S11" s="13" t="n">
        <f aca="false">P11/200000</f>
        <v>0.000602638729602457</v>
      </c>
      <c r="W11" s="4" t="n">
        <f aca="false">$X$2*($X$3*$G11+$X$4*$B11^$X$5*$N11^$X$6)*$S11^$X$7</f>
        <v>0.197683460478248</v>
      </c>
      <c r="X11" s="4" t="n">
        <f aca="false">W11/$R11</f>
        <v>1.23552162798905</v>
      </c>
      <c r="Z11" s="4" t="n">
        <f aca="false">$AA$2*$B11^$AA$3*$S11^$AA$4*($AA$5*$N11^$AA$6+$AA$7)</f>
        <v>0.194934401749732</v>
      </c>
      <c r="AA11" s="4" t="n">
        <f aca="false">Z11/$R11</f>
        <v>1.21834001093583</v>
      </c>
      <c r="AC11" s="4" t="n">
        <f aca="false">$AD$2*($AD$3+$AD$4*$F11/($N11*'Sem TS MC2020'!P3))*($AD$5*$G11+$AD$6*$B11/$N11)*'Sem TS MC2020'!R3*($J11-$M11)/($J11-$M11-$H11)</f>
        <v>0.182697733317077</v>
      </c>
      <c r="AD11" s="4" t="n">
        <f aca="false">AC11/$R11</f>
        <v>1.14186083323173</v>
      </c>
      <c r="AE11" s="24" t="n">
        <f aca="false">AC11-$R11</f>
        <v>0.0226977333170769</v>
      </c>
      <c r="AF11" s="25" t="n">
        <f aca="false">1/AD11</f>
        <v>0.875763465123651</v>
      </c>
      <c r="AG11" s="25" t="n">
        <f aca="false">AC11*(14.068*'Sem TS MC2020'!$P3^-0.457)/$R11</f>
        <v>1.33345779808135</v>
      </c>
      <c r="AH11" s="25"/>
      <c r="AP11" s="4" t="n">
        <f aca="false">$AQ$2*($AQ$3+$AQ$4*$F11/($N11*'Sem TS MC2020'!P3))*($AQ$5*$G11+$AQ$6*$B11/$N11)*('Sem TS MC2020'!P3^$AQ$7/200000)*($J11-$M11)/($J11-$M11-$H11)+('Sem TS MC2020'!P3-$C11/$AQ$8)*($AQ$5*$G11+$AQ$6*$B11/$N11)/200000</f>
        <v>0.197309262613594</v>
      </c>
      <c r="AQ11" s="4" t="n">
        <f aca="false">AP11/$R11</f>
        <v>1.23318289133496</v>
      </c>
      <c r="AR11" s="24" t="n">
        <f aca="false">AP11-$R11</f>
        <v>0.037309262613594</v>
      </c>
    </row>
    <row r="12" customFormat="false" ht="14.25" hidden="false" customHeight="false" outlineLevel="0" collapsed="false">
      <c r="B12" s="2" t="n">
        <v>20</v>
      </c>
      <c r="C12" s="3" t="n">
        <v>500</v>
      </c>
      <c r="D12" s="3" t="n">
        <v>2</v>
      </c>
      <c r="E12" s="2" t="n">
        <v>126</v>
      </c>
      <c r="F12" s="4" t="n">
        <v>4.12034052390144</v>
      </c>
      <c r="G12" s="2" t="n">
        <v>25</v>
      </c>
      <c r="H12" s="2" t="n">
        <v>39</v>
      </c>
      <c r="I12" s="1" t="n">
        <v>216</v>
      </c>
      <c r="J12" s="2" t="n">
        <v>201</v>
      </c>
      <c r="K12" s="3" t="n">
        <v>628</v>
      </c>
      <c r="L12" s="4" t="n">
        <v>29484</v>
      </c>
      <c r="M12" s="3" t="n">
        <v>57.3617765856203</v>
      </c>
      <c r="N12" s="12" t="n">
        <v>0.0212996879663546</v>
      </c>
      <c r="O12" s="4" t="n">
        <v>27.3</v>
      </c>
      <c r="P12" s="3" t="n">
        <v>223.847982619891</v>
      </c>
      <c r="Q12" s="4" t="n">
        <f aca="false">(P12-P$354)/P$355</f>
        <v>-0.174741561603208</v>
      </c>
      <c r="R12" s="4" t="n">
        <v>0.23</v>
      </c>
      <c r="S12" s="13" t="n">
        <f aca="false">P12/200000</f>
        <v>0.00111923991309946</v>
      </c>
      <c r="W12" s="4" t="n">
        <f aca="false">$X$2*($X$3*$G12+$X$4*$B12^$X$5*$N12^$X$6)*$S12^$X$7</f>
        <v>0.28964147436837</v>
      </c>
      <c r="X12" s="4" t="n">
        <f aca="false">W12/$R12</f>
        <v>1.25931075812335</v>
      </c>
      <c r="Z12" s="4" t="n">
        <f aca="false">$AA$2*$B12^$AA$3*$S12^$AA$4*($AA$5*$N12^$AA$6+$AA$7)</f>
        <v>0.28756526858646</v>
      </c>
      <c r="AA12" s="4" t="n">
        <f aca="false">Z12/$R12</f>
        <v>1.25028377646287</v>
      </c>
      <c r="AC12" s="4" t="n">
        <f aca="false">$AD$2*($AD$3+$AD$4*$F12/($N12*'Sem TS MC2020'!P4))*($AD$5*$G12+$AD$6*$B12/$N12)*'Sem TS MC2020'!R4*($J12-$M12)/($J12-$M12-$H12)</f>
        <v>0.287264135264609</v>
      </c>
      <c r="AD12" s="4" t="n">
        <f aca="false">AC12/$R12</f>
        <v>1.24897450115048</v>
      </c>
      <c r="AE12" s="24" t="n">
        <f aca="false">AC12-$R12</f>
        <v>0.0572641352646093</v>
      </c>
      <c r="AF12" s="25" t="n">
        <f aca="false">1/AD12</f>
        <v>0.800656858149517</v>
      </c>
      <c r="AG12" s="25" t="n">
        <f aca="false">AC12*(14.068*'Sem TS MC2020'!$P4^-0.457)/$R12</f>
        <v>1.28809615927051</v>
      </c>
      <c r="AH12" s="25"/>
      <c r="AP12" s="4" t="n">
        <f aca="false">$AQ$2*($AQ$3+$AQ$4*$F12/($N12*'Sem TS MC2020'!P4))*($AQ$5*$G12+$AQ$6*$B12/$N12)*('Sem TS MC2020'!P4^$AQ$7/200000)*($J12-$M12)/($J12-$M12-$H12)+('Sem TS MC2020'!P4-$C12/$AQ$8)*($AQ$5*$G12+$AQ$6*$B12/$N12)/200000</f>
        <v>0.304202526793118</v>
      </c>
      <c r="AQ12" s="4" t="n">
        <f aca="false">AP12/$R12</f>
        <v>1.32261968170921</v>
      </c>
      <c r="AR12" s="24" t="n">
        <f aca="false">AP12-$R12</f>
        <v>0.0742025267931178</v>
      </c>
    </row>
    <row r="13" customFormat="false" ht="14.25" hidden="false" customHeight="false" outlineLevel="0" collapsed="false">
      <c r="B13" s="2" t="n">
        <v>20</v>
      </c>
      <c r="C13" s="3" t="n">
        <v>500</v>
      </c>
      <c r="D13" s="3" t="n">
        <v>2</v>
      </c>
      <c r="E13" s="2" t="n">
        <v>126</v>
      </c>
      <c r="F13" s="4" t="n">
        <v>4.12034052390144</v>
      </c>
      <c r="G13" s="2" t="n">
        <v>25</v>
      </c>
      <c r="H13" s="2" t="n">
        <v>39</v>
      </c>
      <c r="I13" s="1" t="n">
        <v>216</v>
      </c>
      <c r="J13" s="2" t="n">
        <v>201</v>
      </c>
      <c r="K13" s="3" t="n">
        <v>628</v>
      </c>
      <c r="L13" s="4" t="n">
        <v>29484</v>
      </c>
      <c r="M13" s="3" t="n">
        <v>57.3617765856203</v>
      </c>
      <c r="N13" s="12" t="n">
        <v>0.0212996879663546</v>
      </c>
      <c r="O13" s="4" t="n">
        <v>28.2</v>
      </c>
      <c r="P13" s="3" t="n">
        <v>242.052198219915</v>
      </c>
      <c r="Q13" s="4" t="n">
        <f aca="false">(P13-P$354)/P$355</f>
        <v>-0.0221222855384295</v>
      </c>
      <c r="R13" s="4" t="n">
        <v>0.24</v>
      </c>
      <c r="S13" s="13" t="n">
        <f aca="false">P13/200000</f>
        <v>0.00121026099109958</v>
      </c>
      <c r="W13" s="4" t="n">
        <f aca="false">$X$2*($X$3*$G13+$X$4*$B13^$X$5*$N13^$X$6)*$S13^$X$7</f>
        <v>0.303956550143929</v>
      </c>
      <c r="X13" s="4" t="n">
        <f aca="false">W13/$R13</f>
        <v>1.2664856255997</v>
      </c>
      <c r="Z13" s="4" t="n">
        <f aca="false">$AA$2*$B13^$AA$3*$S13^$AA$4*($AA$5*$N13^$AA$6+$AA$7)</f>
        <v>0.302037386267639</v>
      </c>
      <c r="AA13" s="4" t="n">
        <f aca="false">Z13/$R13</f>
        <v>1.2584891094485</v>
      </c>
      <c r="AC13" s="4" t="n">
        <f aca="false">$AD$2*($AD$3+$AD$4*$F13/($N13*'Sem TS MC2020'!P5))*($AD$5*$G13+$AD$6*$B13/$N13)*'Sem TS MC2020'!R5*($J13-$M13)/($J13-$M13-$H13)</f>
        <v>0.301742560149652</v>
      </c>
      <c r="AD13" s="4" t="n">
        <f aca="false">AC13/$R13</f>
        <v>1.25726066729022</v>
      </c>
      <c r="AE13" s="24" t="n">
        <f aca="false">AC13-$R13</f>
        <v>0.0617425601496522</v>
      </c>
      <c r="AF13" s="25" t="n">
        <f aca="false">1/AD13</f>
        <v>0.795380008312283</v>
      </c>
      <c r="AG13" s="25" t="n">
        <f aca="false">AC13*(14.068*'Sem TS MC2020'!$P5^-0.457)/$R13</f>
        <v>1.27756360030002</v>
      </c>
      <c r="AH13" s="25"/>
      <c r="AP13" s="4" t="n">
        <f aca="false">$AQ$2*($AQ$3+$AQ$4*$F13/($N13*'Sem TS MC2020'!P5))*($AQ$5*$G13+$AQ$6*$B13/$N13)*('Sem TS MC2020'!P5^$AQ$7/200000)*($J13-$M13)/($J13-$M13-$H13)+('Sem TS MC2020'!P5-$C13/$AQ$8)*($AQ$5*$G13+$AQ$6*$B13/$N13)/200000</f>
        <v>0.318486208267482</v>
      </c>
      <c r="AQ13" s="4" t="n">
        <f aca="false">AP13/$R13</f>
        <v>1.32702586778117</v>
      </c>
      <c r="AR13" s="24" t="n">
        <f aca="false">AP13-$R13</f>
        <v>0.0784862082674819</v>
      </c>
    </row>
    <row r="14" customFormat="false" ht="14.25" hidden="false" customHeight="false" outlineLevel="0" collapsed="false">
      <c r="B14" s="2" t="n">
        <v>20</v>
      </c>
      <c r="C14" s="3" t="n">
        <v>500</v>
      </c>
      <c r="D14" s="3" t="n">
        <v>2</v>
      </c>
      <c r="E14" s="2" t="n">
        <v>126</v>
      </c>
      <c r="F14" s="4" t="n">
        <v>4.12034052390144</v>
      </c>
      <c r="G14" s="2" t="n">
        <v>25</v>
      </c>
      <c r="H14" s="2" t="n">
        <v>39</v>
      </c>
      <c r="I14" s="1" t="n">
        <v>216</v>
      </c>
      <c r="J14" s="2" t="n">
        <v>201</v>
      </c>
      <c r="K14" s="3" t="n">
        <v>628</v>
      </c>
      <c r="L14" s="4" t="n">
        <v>29484</v>
      </c>
      <c r="M14" s="3" t="n">
        <v>57.3617765856203</v>
      </c>
      <c r="N14" s="12" t="n">
        <v>0.0212996879663546</v>
      </c>
      <c r="O14" s="4" t="n">
        <v>32.6</v>
      </c>
      <c r="P14" s="3" t="n">
        <v>325.147190457684</v>
      </c>
      <c r="Q14" s="4" t="n">
        <f aca="false">(P14-P$354)/P$355</f>
        <v>0.674523911066711</v>
      </c>
      <c r="R14" s="4" t="n">
        <v>0.27</v>
      </c>
      <c r="S14" s="13" t="n">
        <f aca="false">P14/200000</f>
        <v>0.00162573595228842</v>
      </c>
      <c r="W14" s="4" t="n">
        <f aca="false">$X$2*($X$3*$G14+$X$4*$B14^$X$5*$N14^$X$6)*$S14^$X$7</f>
        <v>0.364664089504234</v>
      </c>
      <c r="X14" s="4" t="n">
        <f aca="false">W14/$R14</f>
        <v>1.35060773890457</v>
      </c>
      <c r="Z14" s="4" t="n">
        <f aca="false">$AA$2*$B14^$AA$3*$S14^$AA$4*($AA$5*$N14^$AA$6+$AA$7)</f>
        <v>0.363539893311695</v>
      </c>
      <c r="AA14" s="4" t="n">
        <f aca="false">Z14/$R14</f>
        <v>1.34644404930257</v>
      </c>
      <c r="AC14" s="4" t="n">
        <f aca="false">$AD$2*($AD$3+$AD$4*$F14/($N14*'Sem TS MC2020'!P6))*($AD$5*$G14+$AD$6*$B14/$N14)*'Sem TS MC2020'!R6*($J14-$M14)/($J14-$M14-$H14)</f>
        <v>0.372525970698751</v>
      </c>
      <c r="AD14" s="4" t="n">
        <f aca="false">AC14/$R14</f>
        <v>1.37972581740278</v>
      </c>
      <c r="AE14" s="24" t="n">
        <f aca="false">AC14-$R14</f>
        <v>0.102525970698751</v>
      </c>
      <c r="AF14" s="25" t="n">
        <f aca="false">1/AD14</f>
        <v>0.724781682988593</v>
      </c>
      <c r="AG14" s="25" t="n">
        <f aca="false">AC14*(14.068*'Sem TS MC2020'!$P6^-0.457)/$R14</f>
        <v>1.31211950262727</v>
      </c>
      <c r="AH14" s="25"/>
      <c r="AP14" s="4" t="n">
        <f aca="false">$AQ$2*($AQ$3+$AQ$4*$F14/($N14*'Sem TS MC2020'!P6))*($AQ$5*$G14+$AQ$6*$B14/$N14)*('Sem TS MC2020'!P6^$AQ$7/200000)*($J14-$M14)/($J14-$M14-$H14)+('Sem TS MC2020'!P6-$C14/$AQ$8)*($AQ$5*$G14+$AQ$6*$B14/$N14)/200000</f>
        <v>0.38687098192123</v>
      </c>
      <c r="AQ14" s="4" t="n">
        <f aca="false">AP14/$R14</f>
        <v>1.43285548859715</v>
      </c>
      <c r="AR14" s="24" t="n">
        <f aca="false">AP14-$R14</f>
        <v>0.11687098192123</v>
      </c>
    </row>
    <row r="15" customFormat="false" ht="14.25" hidden="false" customHeight="false" outlineLevel="0" collapsed="false">
      <c r="B15" s="2" t="n">
        <v>20</v>
      </c>
      <c r="C15" s="3" t="n">
        <v>500</v>
      </c>
      <c r="D15" s="3" t="n">
        <v>2</v>
      </c>
      <c r="E15" s="2" t="n">
        <v>126</v>
      </c>
      <c r="F15" s="4" t="n">
        <v>4.12034052390144</v>
      </c>
      <c r="G15" s="2" t="n">
        <v>25</v>
      </c>
      <c r="H15" s="2" t="n">
        <v>39</v>
      </c>
      <c r="I15" s="1" t="n">
        <v>216</v>
      </c>
      <c r="J15" s="2" t="n">
        <v>201</v>
      </c>
      <c r="K15" s="3" t="n">
        <v>628</v>
      </c>
      <c r="L15" s="4" t="n">
        <v>29484</v>
      </c>
      <c r="M15" s="3" t="n">
        <v>57.3617765856203</v>
      </c>
      <c r="N15" s="12" t="n">
        <v>0.0212996879663546</v>
      </c>
      <c r="O15" s="4" t="n">
        <v>41.2</v>
      </c>
      <c r="P15" s="3" t="n">
        <v>447.784456981773</v>
      </c>
      <c r="Q15" s="4" t="n">
        <f aca="false">(P15-P$354)/P$355</f>
        <v>1.70268196229551</v>
      </c>
      <c r="R15" s="4" t="n">
        <v>0.35</v>
      </c>
      <c r="S15" s="13" t="n">
        <f aca="false">P15/200000</f>
        <v>0.00223892228490886</v>
      </c>
      <c r="W15" s="4" t="n">
        <f aca="false">$X$2*($X$3*$G15+$X$4*$B15^$X$5*$N15^$X$6)*$S15^$X$7</f>
        <v>0.444272279968043</v>
      </c>
      <c r="X15" s="4" t="n">
        <f aca="false">W15/$R15</f>
        <v>1.26934937133727</v>
      </c>
      <c r="Z15" s="4" t="n">
        <f aca="false">$AA$2*$B15^$AA$3*$S15^$AA$4*($AA$5*$N15^$AA$6+$AA$7)</f>
        <v>0.444464596324768</v>
      </c>
      <c r="AA15" s="4" t="n">
        <f aca="false">Z15/$R15</f>
        <v>1.26989884664219</v>
      </c>
      <c r="AC15" s="4" t="n">
        <f aca="false">$AD$2*($AD$3+$AD$4*$F15/($N15*'Sem TS MC2020'!P7))*($AD$5*$G15+$AD$6*$B15/$N15)*'Sem TS MC2020'!R7*($J15-$M15)/($J15-$M15-$H15)</f>
        <v>0.510875364044717</v>
      </c>
      <c r="AD15" s="4" t="n">
        <f aca="false">AC15/$R15</f>
        <v>1.45964389727062</v>
      </c>
      <c r="AE15" s="24" t="n">
        <f aca="false">AC15-$R15</f>
        <v>0.160875364044717</v>
      </c>
      <c r="AF15" s="25" t="n">
        <f aca="false">1/AD15</f>
        <v>0.685098606495662</v>
      </c>
      <c r="AG15" s="25" t="n">
        <f aca="false">AC15*(14.068*'Sem TS MC2020'!$P7^-0.457)/$R15</f>
        <v>1.24726843345616</v>
      </c>
      <c r="AH15" s="25"/>
      <c r="AP15" s="4" t="n">
        <f aca="false">$AQ$2*($AQ$3+$AQ$4*$F15/($N15*'Sem TS MC2020'!P7))*($AQ$5*$G15+$AQ$6*$B15/$N15)*('Sem TS MC2020'!P7^$AQ$7/200000)*($J15-$M15)/($J15-$M15-$H15)+('Sem TS MC2020'!P7-$C15/$AQ$8)*($AQ$5*$G15+$AQ$6*$B15/$N15)/200000</f>
        <v>0.514902948058779</v>
      </c>
      <c r="AQ15" s="4" t="n">
        <f aca="false">AP15/$R15</f>
        <v>1.47115128016794</v>
      </c>
      <c r="AR15" s="24" t="n">
        <f aca="false">AP15-$R15</f>
        <v>0.164902948058779</v>
      </c>
    </row>
    <row r="16" customFormat="false" ht="14.25" hidden="false" customHeight="false" outlineLevel="0" collapsed="false">
      <c r="B16" s="2" t="n">
        <v>20</v>
      </c>
      <c r="C16" s="3" t="n">
        <v>500</v>
      </c>
      <c r="D16" s="3" t="n">
        <v>2</v>
      </c>
      <c r="E16" s="2" t="n">
        <v>126</v>
      </c>
      <c r="F16" s="4" t="n">
        <v>4.12034052390144</v>
      </c>
      <c r="G16" s="2" t="n">
        <v>25</v>
      </c>
      <c r="H16" s="2" t="n">
        <v>39</v>
      </c>
      <c r="I16" s="1" t="n">
        <v>216</v>
      </c>
      <c r="J16" s="2" t="n">
        <v>201</v>
      </c>
      <c r="K16" s="3" t="n">
        <v>628</v>
      </c>
      <c r="L16" s="4" t="n">
        <v>29484</v>
      </c>
      <c r="M16" s="3" t="n">
        <v>57.3617765856203</v>
      </c>
      <c r="N16" s="12" t="n">
        <v>0.0212996879663546</v>
      </c>
      <c r="O16" s="4" t="n">
        <v>44.9</v>
      </c>
      <c r="P16" s="3" t="n">
        <v>500</v>
      </c>
      <c r="Q16" s="4" t="n">
        <f aca="false">(P16-P$354)/P$355</f>
        <v>2.14044311333135</v>
      </c>
      <c r="R16" s="4" t="n">
        <v>0.4</v>
      </c>
      <c r="S16" s="13" t="n">
        <f aca="false">P16/200000</f>
        <v>0.0025</v>
      </c>
      <c r="W16" s="4" t="n">
        <f aca="false">$X$2*($X$3*$G16+$X$4*$B16^$X$5*$N16^$X$6)*$S16^$X$7</f>
        <v>0.475558695631039</v>
      </c>
      <c r="X16" s="4" t="n">
        <f aca="false">W16/$R16</f>
        <v>1.1888967390776</v>
      </c>
      <c r="Z16" s="4" t="n">
        <f aca="false">$AA$2*$B16^$AA$3*$S16^$AA$4*($AA$5*$N16^$AA$6+$AA$7)</f>
        <v>0.476342130286615</v>
      </c>
      <c r="AA16" s="4" t="n">
        <f aca="false">Z16/$R16</f>
        <v>1.19085532571654</v>
      </c>
      <c r="AC16" s="4" t="n">
        <f aca="false">$AD$2*($AD$3+$AD$4*$F16/($N16*'Sem TS MC2020'!P8))*($AD$5*$G16+$AD$6*$B16/$N16)*'Sem TS MC2020'!R8*($J16-$M16)/($J16-$M16-$H16)</f>
        <v>0.569820796957897</v>
      </c>
      <c r="AD16" s="4" t="n">
        <f aca="false">AC16/$R16</f>
        <v>1.42455199239474</v>
      </c>
      <c r="AE16" s="24" t="n">
        <f aca="false">AC16-$R16</f>
        <v>0.169820796957897</v>
      </c>
      <c r="AF16" s="25" t="n">
        <f aca="false">1/AD16</f>
        <v>0.701975080824499</v>
      </c>
      <c r="AG16" s="25" t="n">
        <f aca="false">AC16*(14.068*'Sem TS MC2020'!$P8^-0.457)/$R16</f>
        <v>1.17079638315216</v>
      </c>
      <c r="AH16" s="25"/>
      <c r="AP16" s="4" t="n">
        <f aca="false">$AQ$2*($AQ$3+$AQ$4*$F16/($N16*'Sem TS MC2020'!P8))*($AQ$5*$G16+$AQ$6*$B16/$N16)*('Sem TS MC2020'!P8^$AQ$7/200000)*($J16-$M16)/($J16-$M16-$H16)+('Sem TS MC2020'!P8-$C16/$AQ$8)*($AQ$5*$G16+$AQ$6*$B16/$N16)/200000</f>
        <v>0.567643688313119</v>
      </c>
      <c r="AQ16" s="4" t="n">
        <f aca="false">AP16/$R16</f>
        <v>1.4191092207828</v>
      </c>
      <c r="AR16" s="24" t="n">
        <f aca="false">AP16-$R16</f>
        <v>0.167643688313119</v>
      </c>
    </row>
    <row r="17" customFormat="false" ht="14.25" hidden="false" customHeight="false" outlineLevel="0" collapsed="false">
      <c r="A17" s="1" t="s">
        <v>23</v>
      </c>
      <c r="B17" s="2" t="n">
        <v>10</v>
      </c>
      <c r="C17" s="3" t="n">
        <v>500</v>
      </c>
      <c r="D17" s="3" t="n">
        <v>8</v>
      </c>
      <c r="E17" s="2" t="n">
        <v>87.7</v>
      </c>
      <c r="F17" s="4" t="n">
        <v>4.13112676332901</v>
      </c>
      <c r="G17" s="2" t="n">
        <v>25</v>
      </c>
      <c r="H17" s="2" t="n">
        <v>53</v>
      </c>
      <c r="I17" s="1" t="n">
        <v>308</v>
      </c>
      <c r="J17" s="2" t="n">
        <v>604</v>
      </c>
      <c r="K17" s="3" t="n">
        <v>628</v>
      </c>
      <c r="L17" s="4" t="n">
        <v>43428</v>
      </c>
      <c r="M17" s="3" t="n">
        <v>99.6964003818006</v>
      </c>
      <c r="N17" s="12" t="n">
        <v>0.0144607165883762</v>
      </c>
      <c r="O17" s="4" t="n">
        <v>105</v>
      </c>
      <c r="P17" s="3" t="n">
        <v>224.984962100529</v>
      </c>
      <c r="Q17" s="4" t="n">
        <f aca="false">(P17-P$354)/P$355</f>
        <v>-0.165209429648275</v>
      </c>
      <c r="R17" s="4" t="n">
        <v>0.16</v>
      </c>
      <c r="S17" s="13" t="n">
        <f aca="false">P17/200000</f>
        <v>0.00112492481050265</v>
      </c>
      <c r="W17" s="4" t="n">
        <f aca="false">$X$2*($X$3*$G17+$X$4*$B17^$X$5*$N17^$X$6)*$S17^$X$7</f>
        <v>0.214231497100527</v>
      </c>
      <c r="X17" s="4" t="n">
        <f aca="false">W17/$R17</f>
        <v>1.33894685687829</v>
      </c>
      <c r="Z17" s="4" t="n">
        <f aca="false">$AA$2*$B17^$AA$3*$S17^$AA$4*($AA$5*$N17^$AA$6+$AA$7)</f>
        <v>0.211202400860961</v>
      </c>
      <c r="AA17" s="4" t="n">
        <f aca="false">Z17/$R17</f>
        <v>1.320015005381</v>
      </c>
      <c r="AC17" s="4" t="n">
        <f aca="false">$AD$2*($AD$3+$AD$4*$F17/($N17*'Sem TS MC2020'!P9))*($AD$5*$G17+$AD$6*$B17/$N17)*'Sem TS MC2020'!R9*($J17-$M17)/($J17-$M17-$H17)</f>
        <v>0.153195164552333</v>
      </c>
      <c r="AD17" s="4" t="n">
        <f aca="false">AC17/$R17</f>
        <v>0.957469778452082</v>
      </c>
      <c r="AE17" s="24" t="n">
        <f aca="false">AC17-$R17</f>
        <v>-0.00680483544766694</v>
      </c>
      <c r="AF17" s="25" t="n">
        <f aca="false">1/AD17</f>
        <v>1.04441938795883</v>
      </c>
      <c r="AG17" s="25" t="n">
        <f aca="false">AC17*(14.068*'Sem TS MC2020'!$P9^-0.457)/$R17</f>
        <v>0.960950948753756</v>
      </c>
      <c r="AH17" s="25"/>
      <c r="AP17" s="4" t="n">
        <f aca="false">$AQ$2*($AQ$3+$AQ$4*$F17/($N17*'Sem TS MC2020'!P9))*($AQ$5*$G17+$AQ$6*$B17/$N17)*('Sem TS MC2020'!P9^$AQ$7/200000)*($J17-$M17)/($J17-$M17-$H17)+('Sem TS MC2020'!P9-$C17/$AQ$8)*($AQ$5*$G17+$AQ$6*$B17/$N17)/200000</f>
        <v>0.160141138955642</v>
      </c>
      <c r="AQ17" s="4" t="n">
        <f aca="false">AP17/$R17</f>
        <v>1.00088211847276</v>
      </c>
      <c r="AR17" s="24" t="n">
        <f aca="false">AP17-$R17</f>
        <v>0.000141138955641551</v>
      </c>
    </row>
    <row r="18" customFormat="false" ht="14.25" hidden="false" customHeight="false" outlineLevel="0" collapsed="false">
      <c r="B18" s="2" t="n">
        <v>10</v>
      </c>
      <c r="C18" s="3" t="n">
        <v>500</v>
      </c>
      <c r="D18" s="3" t="n">
        <v>8</v>
      </c>
      <c r="E18" s="2" t="n">
        <v>87.7</v>
      </c>
      <c r="F18" s="4" t="n">
        <v>4.13112676332901</v>
      </c>
      <c r="G18" s="2" t="n">
        <v>25</v>
      </c>
      <c r="H18" s="2" t="n">
        <v>53</v>
      </c>
      <c r="I18" s="1" t="n">
        <v>308</v>
      </c>
      <c r="J18" s="2" t="n">
        <v>604</v>
      </c>
      <c r="K18" s="3" t="n">
        <v>628</v>
      </c>
      <c r="L18" s="4" t="n">
        <v>43428</v>
      </c>
      <c r="M18" s="3" t="n">
        <v>99.6964003818006</v>
      </c>
      <c r="N18" s="12" t="n">
        <v>0.0144607165883762</v>
      </c>
      <c r="O18" s="4" t="n">
        <v>119.6</v>
      </c>
      <c r="P18" s="3" t="n">
        <v>301.653838529852</v>
      </c>
      <c r="Q18" s="4" t="n">
        <f aca="false">(P18-P$354)/P$355</f>
        <v>0.477561930262872</v>
      </c>
      <c r="R18" s="4" t="n">
        <v>0.18</v>
      </c>
      <c r="S18" s="13" t="n">
        <f aca="false">P18/200000</f>
        <v>0.00150826919264926</v>
      </c>
      <c r="W18" s="4" t="n">
        <f aca="false">$X$2*($X$3*$G18+$X$4*$B18^$X$5*$N18^$X$6)*$S18^$X$7</f>
        <v>0.256721110657375</v>
      </c>
      <c r="X18" s="4" t="n">
        <f aca="false">W18/$R18</f>
        <v>1.42622839254097</v>
      </c>
      <c r="Z18" s="4" t="n">
        <f aca="false">$AA$2*$B18^$AA$3*$S18^$AA$4*($AA$5*$N18^$AA$6+$AA$7)</f>
        <v>0.253908956131179</v>
      </c>
      <c r="AA18" s="4" t="n">
        <f aca="false">Z18/$R18</f>
        <v>1.41060531183988</v>
      </c>
      <c r="AC18" s="4" t="n">
        <f aca="false">$AD$2*($AD$3+$AD$4*$F18/($N18*'Sem TS MC2020'!P10))*($AD$5*$G18+$AD$6*$B18/$N18)*'Sem TS MC2020'!R10*($J18-$M18)/($J18-$M18-$H18)</f>
        <v>0.194262130711186</v>
      </c>
      <c r="AD18" s="4" t="n">
        <f aca="false">AC18/$R18</f>
        <v>1.07923405950659</v>
      </c>
      <c r="AE18" s="24" t="n">
        <f aca="false">AC18-$R18</f>
        <v>0.0142621307111863</v>
      </c>
      <c r="AF18" s="25" t="n">
        <f aca="false">1/AD18</f>
        <v>0.926583062488952</v>
      </c>
      <c r="AG18" s="25" t="n">
        <f aca="false">AC18*(14.068*'Sem TS MC2020'!$P10^-0.457)/$R18</f>
        <v>1.02059197339859</v>
      </c>
      <c r="AH18" s="25"/>
      <c r="AP18" s="4" t="n">
        <f aca="false">$AQ$2*($AQ$3+$AQ$4*$F18/($N18*'Sem TS MC2020'!P10))*($AQ$5*$G18+$AQ$6*$B18/$N18)*('Sem TS MC2020'!P10^$AQ$7/200000)*($J18-$M18)/($J18-$M18-$H18)+('Sem TS MC2020'!P10-$C18/$AQ$8)*($AQ$5*$G18+$AQ$6*$B18/$N18)/200000</f>
        <v>0.200929384845146</v>
      </c>
      <c r="AQ18" s="4" t="n">
        <f aca="false">AP18/$R18</f>
        <v>1.11627436025081</v>
      </c>
      <c r="AR18" s="24" t="n">
        <f aca="false">AP18-$R18</f>
        <v>0.0209293848451462</v>
      </c>
    </row>
    <row r="19" customFormat="false" ht="14.25" hidden="false" customHeight="false" outlineLevel="0" collapsed="false">
      <c r="B19" s="2" t="n">
        <v>10</v>
      </c>
      <c r="C19" s="3" t="n">
        <v>500</v>
      </c>
      <c r="D19" s="3" t="n">
        <v>8</v>
      </c>
      <c r="E19" s="2" t="n">
        <v>87.7</v>
      </c>
      <c r="F19" s="4" t="n">
        <v>4.13112676332901</v>
      </c>
      <c r="G19" s="2" t="n">
        <v>25</v>
      </c>
      <c r="H19" s="2" t="n">
        <v>53</v>
      </c>
      <c r="I19" s="1" t="n">
        <v>308</v>
      </c>
      <c r="J19" s="2" t="n">
        <v>604</v>
      </c>
      <c r="K19" s="3" t="n">
        <v>628</v>
      </c>
      <c r="L19" s="4" t="n">
        <v>43428</v>
      </c>
      <c r="M19" s="3" t="n">
        <v>99.6964003818006</v>
      </c>
      <c r="N19" s="12" t="n">
        <v>0.0144607165883762</v>
      </c>
      <c r="O19" s="4" t="n">
        <v>174.3</v>
      </c>
      <c r="P19" s="3" t="n">
        <v>497.36822294177</v>
      </c>
      <c r="Q19" s="4" t="n">
        <f aca="false">(P19-P$354)/P$355</f>
        <v>2.11837899817165</v>
      </c>
      <c r="R19" s="4" t="n">
        <v>0.26</v>
      </c>
      <c r="S19" s="13" t="n">
        <f aca="false">P19/200000</f>
        <v>0.00248684111470885</v>
      </c>
      <c r="W19" s="4" t="n">
        <f aca="false">$X$2*($X$3*$G19+$X$4*$B19^$X$5*$N19^$X$6)*$S19^$X$7</f>
        <v>0.349506265902633</v>
      </c>
      <c r="X19" s="4" t="n">
        <f aca="false">W19/$R19</f>
        <v>1.34425486885628</v>
      </c>
      <c r="Z19" s="4" t="n">
        <f aca="false">$AA$2*$B19^$AA$3*$S19^$AA$4*($AA$5*$N19^$AA$6+$AA$7)</f>
        <v>0.347584390038326</v>
      </c>
      <c r="AA19" s="4" t="n">
        <f aca="false">Z19/$R19</f>
        <v>1.33686303860895</v>
      </c>
      <c r="AC19" s="4" t="n">
        <f aca="false">$AD$2*($AD$3+$AD$4*$F19/($N19*'Sem TS MC2020'!P11))*($AD$5*$G19+$AD$6*$B19/$N19)*'Sem TS MC2020'!R11*($J19-$M19)/($J19-$M19-$H19)</f>
        <v>0.315154025214071</v>
      </c>
      <c r="AD19" s="4" t="n">
        <f aca="false">AC19/$R19</f>
        <v>1.21213086620797</v>
      </c>
      <c r="AE19" s="24" t="n">
        <f aca="false">AC19-$R19</f>
        <v>0.0551540252140711</v>
      </c>
      <c r="AF19" s="25" t="n">
        <f aca="false">1/AD19</f>
        <v>0.824993429239537</v>
      </c>
      <c r="AG19" s="25" t="n">
        <f aca="false">AC19*(14.068*'Sem TS MC2020'!$P11^-0.457)/$R19</f>
        <v>0.996213856454415</v>
      </c>
      <c r="AH19" s="25"/>
      <c r="AP19" s="4" t="n">
        <f aca="false">$AQ$2*($AQ$3+$AQ$4*$F19/($N19*'Sem TS MC2020'!P11))*($AQ$5*$G19+$AQ$6*$B19/$N19)*('Sem TS MC2020'!P11^$AQ$7/200000)*($J19-$M19)/($J19-$M19-$H19)+('Sem TS MC2020'!P11-$C19/$AQ$8)*($AQ$5*$G19+$AQ$6*$B19/$N19)/200000</f>
        <v>0.314656489937453</v>
      </c>
      <c r="AQ19" s="4" t="n">
        <f aca="false">AP19/$R19</f>
        <v>1.21021726899021</v>
      </c>
      <c r="AR19" s="24" t="n">
        <f aca="false">AP19-$R19</f>
        <v>0.0546564899374533</v>
      </c>
    </row>
    <row r="20" customFormat="false" ht="14.25" hidden="false" customHeight="false" outlineLevel="0" collapsed="false">
      <c r="A20" s="1" t="s">
        <v>24</v>
      </c>
      <c r="B20" s="2" t="n">
        <v>10</v>
      </c>
      <c r="C20" s="3" t="n">
        <v>628</v>
      </c>
      <c r="D20" s="3" t="n">
        <v>4</v>
      </c>
      <c r="E20" s="2" t="n">
        <v>32.4666666666667</v>
      </c>
      <c r="F20" s="4" t="n">
        <v>3.262</v>
      </c>
      <c r="G20" s="2" t="n">
        <v>25</v>
      </c>
      <c r="H20" s="2" t="n">
        <v>36</v>
      </c>
      <c r="I20" s="1" t="n">
        <v>200</v>
      </c>
      <c r="J20" s="2" t="n">
        <v>600</v>
      </c>
      <c r="K20" s="3" t="n">
        <v>314</v>
      </c>
      <c r="L20" s="4" t="n">
        <v>17200</v>
      </c>
      <c r="M20" s="3" t="n">
        <v>95.7219268645215</v>
      </c>
      <c r="N20" s="12" t="n">
        <v>0.0182558139534884</v>
      </c>
      <c r="O20" s="4" t="n">
        <v>47.625</v>
      </c>
      <c r="P20" s="3" t="n">
        <v>178.115884475521</v>
      </c>
      <c r="Q20" s="4" t="n">
        <f aca="false">(P20-P$354)/P$355</f>
        <v>-0.558147244389558</v>
      </c>
      <c r="R20" s="4" t="n">
        <v>0.16</v>
      </c>
      <c r="S20" s="13" t="n">
        <f aca="false">P20/200000</f>
        <v>0.000890579422377607</v>
      </c>
      <c r="W20" s="4" t="n">
        <f aca="false">$X$2*($X$3*$G20+$X$4*$B20^$X$5*$N20^$X$6)*$S20^$X$7</f>
        <v>0.168273131982398</v>
      </c>
      <c r="X20" s="4" t="n">
        <f aca="false">W20/$R20</f>
        <v>1.05170707488998</v>
      </c>
      <c r="Z20" s="4" t="n">
        <f aca="false">$AA$2*$B20^$AA$3*$S20^$AA$4*($AA$5*$N20^$AA$6+$AA$7)</f>
        <v>0.16400318827506</v>
      </c>
      <c r="AA20" s="4" t="n">
        <f aca="false">Z20/$R20</f>
        <v>1.02501992671912</v>
      </c>
      <c r="AC20" s="4" t="n">
        <f aca="false">$AD$2*($AD$3+$AD$4*$F20/($N20*'Sem TS MC2020'!P12))*($AD$5*$G20+$AD$6*$B20/$N20)*'Sem TS MC2020'!R12*($J20-$M20)/($J20-$M20-$H20)</f>
        <v>0.138173604898793</v>
      </c>
      <c r="AD20" s="4" t="n">
        <f aca="false">AC20/$R20</f>
        <v>0.863585030617453</v>
      </c>
      <c r="AE20" s="24" t="n">
        <f aca="false">AC20-$R20</f>
        <v>-0.0218263951012075</v>
      </c>
      <c r="AF20" s="25" t="n">
        <f aca="false">1/AD20</f>
        <v>1.15796356414957</v>
      </c>
      <c r="AG20" s="25" t="n">
        <f aca="false">AC20*(14.068*'Sem TS MC2020'!$P12^-0.457)/$R20</f>
        <v>0.917571504067181</v>
      </c>
      <c r="AH20" s="25"/>
      <c r="AP20" s="4" t="n">
        <f aca="false">$AQ$2*($AQ$3+$AQ$4*$F20/($N20*'Sem TS MC2020'!P12))*($AQ$5*$G20+$AQ$6*$B20/$N20)*('Sem TS MC2020'!P12^$AQ$7/200000)*($J20-$M20)/($J20-$M20-$H20)+('Sem TS MC2020'!P12-$C20/$AQ$8)*($AQ$5*$G20+$AQ$6*$B20/$N20)/200000</f>
        <v>0.141518984889583</v>
      </c>
      <c r="AQ20" s="4" t="n">
        <f aca="false">AP20/$R20</f>
        <v>0.884493655559892</v>
      </c>
      <c r="AR20" s="24" t="n">
        <f aca="false">AP20-$R20</f>
        <v>-0.0184810151104173</v>
      </c>
    </row>
    <row r="21" customFormat="false" ht="14.25" hidden="false" customHeight="false" outlineLevel="0" collapsed="false">
      <c r="B21" s="2" t="n">
        <v>10</v>
      </c>
      <c r="C21" s="3" t="n">
        <v>628</v>
      </c>
      <c r="D21" s="3" t="n">
        <v>4</v>
      </c>
      <c r="E21" s="2" t="n">
        <v>32.4666666666667</v>
      </c>
      <c r="F21" s="4" t="n">
        <v>3.262</v>
      </c>
      <c r="G21" s="2" t="n">
        <v>25</v>
      </c>
      <c r="H21" s="2" t="n">
        <v>36</v>
      </c>
      <c r="I21" s="1" t="n">
        <v>200</v>
      </c>
      <c r="J21" s="2" t="n">
        <v>600</v>
      </c>
      <c r="K21" s="3" t="n">
        <v>314</v>
      </c>
      <c r="L21" s="4" t="n">
        <v>17200</v>
      </c>
      <c r="M21" s="3" t="n">
        <v>95.7219268645215</v>
      </c>
      <c r="N21" s="12" t="n">
        <v>0.0182558139534884</v>
      </c>
      <c r="O21" s="4" t="n">
        <v>54.3</v>
      </c>
      <c r="P21" s="3" t="n">
        <v>242.197039334368</v>
      </c>
      <c r="Q21" s="4" t="n">
        <f aca="false">(P21-P$354)/P$355</f>
        <v>-0.020907976363137</v>
      </c>
      <c r="R21" s="4" t="n">
        <v>0.2</v>
      </c>
      <c r="S21" s="13" t="n">
        <f aca="false">P21/200000</f>
        <v>0.00121098519667184</v>
      </c>
      <c r="W21" s="4" t="n">
        <f aca="false">$X$2*($X$3*$G21+$X$4*$B21^$X$5*$N21^$X$6)*$S21^$X$7</f>
        <v>0.203405836337038</v>
      </c>
      <c r="X21" s="4" t="n">
        <f aca="false">W21/$R21</f>
        <v>1.01702918168519</v>
      </c>
      <c r="Z21" s="4" t="n">
        <f aca="false">$AA$2*$B21^$AA$3*$S21^$AA$4*($AA$5*$N21^$AA$6+$AA$7)</f>
        <v>0.19891569467817</v>
      </c>
      <c r="AA21" s="4" t="n">
        <f aca="false">Z21/$R21</f>
        <v>0.994578473390848</v>
      </c>
      <c r="AC21" s="4" t="n">
        <f aca="false">$AD$2*($AD$3+$AD$4*$F21/($N21*'Sem TS MC2020'!P13))*($AD$5*$G21+$AD$6*$B21/$N21)*'Sem TS MC2020'!R13*($J21-$M21)/($J21-$M21-$H21)</f>
        <v>0.167562134322303</v>
      </c>
      <c r="AD21" s="4" t="n">
        <f aca="false">AC21/$R21</f>
        <v>0.837810671611517</v>
      </c>
      <c r="AE21" s="24" t="n">
        <f aca="false">AC21-$R21</f>
        <v>-0.0324378656776967</v>
      </c>
      <c r="AF21" s="25" t="n">
        <f aca="false">1/AD21</f>
        <v>1.19358708820993</v>
      </c>
      <c r="AG21" s="25" t="n">
        <f aca="false">AC21*(14.068*'Sem TS MC2020'!$P13^-0.457)/$R21</f>
        <v>0.83839323949465</v>
      </c>
      <c r="AH21" s="25"/>
      <c r="AP21" s="4" t="n">
        <f aca="false">$AQ$2*($AQ$3+$AQ$4*$F21/($N21*'Sem TS MC2020'!P13))*($AQ$5*$G21+$AQ$6*$B21/$N21)*('Sem TS MC2020'!P13^$AQ$7/200000)*($J21-$M21)/($J21-$M21-$H21)+('Sem TS MC2020'!P13-$C21/$AQ$8)*($AQ$5*$G21+$AQ$6*$B21/$N21)/200000</f>
        <v>0.170405085446582</v>
      </c>
      <c r="AQ21" s="4" t="n">
        <f aca="false">AP21/$R21</f>
        <v>0.85202542723291</v>
      </c>
      <c r="AR21" s="24" t="n">
        <f aca="false">AP21-$R21</f>
        <v>-0.0295949145534179</v>
      </c>
    </row>
    <row r="22" customFormat="false" ht="14.25" hidden="false" customHeight="false" outlineLevel="0" collapsed="false">
      <c r="B22" s="2" t="n">
        <v>10</v>
      </c>
      <c r="C22" s="3" t="n">
        <v>628</v>
      </c>
      <c r="D22" s="3" t="n">
        <v>4</v>
      </c>
      <c r="E22" s="2" t="n">
        <v>32.4666666666667</v>
      </c>
      <c r="F22" s="4" t="n">
        <v>3.262</v>
      </c>
      <c r="G22" s="2" t="n">
        <v>25</v>
      </c>
      <c r="H22" s="2" t="n">
        <v>36</v>
      </c>
      <c r="I22" s="1" t="n">
        <v>200</v>
      </c>
      <c r="J22" s="2" t="n">
        <v>600</v>
      </c>
      <c r="K22" s="3" t="n">
        <v>314</v>
      </c>
      <c r="L22" s="4" t="n">
        <v>17200</v>
      </c>
      <c r="M22" s="3" t="n">
        <v>95.7219268645215</v>
      </c>
      <c r="N22" s="12" t="n">
        <v>0.0182558139534884</v>
      </c>
      <c r="O22" s="4" t="n">
        <v>61.425</v>
      </c>
      <c r="P22" s="3" t="n">
        <v>308.133730145237</v>
      </c>
      <c r="Q22" s="4" t="n">
        <f aca="false">(P22-P$354)/P$355</f>
        <v>0.531887608943415</v>
      </c>
      <c r="R22" s="4" t="n">
        <v>0.2</v>
      </c>
      <c r="S22" s="13" t="n">
        <f aca="false">P22/200000</f>
        <v>0.00154066865072618</v>
      </c>
      <c r="W22" s="4" t="n">
        <f aca="false">$X$2*($X$3*$G22+$X$4*$B22^$X$5*$N22^$X$6)*$S22^$X$7</f>
        <v>0.235984432297949</v>
      </c>
      <c r="X22" s="4" t="n">
        <f aca="false">W22/$R22</f>
        <v>1.17992216148975</v>
      </c>
      <c r="Z22" s="4" t="n">
        <f aca="false">$AA$2*$B22^$AA$3*$S22^$AA$4*($AA$5*$N22^$AA$6+$AA$7)</f>
        <v>0.231387167204199</v>
      </c>
      <c r="AA22" s="4" t="n">
        <f aca="false">Z22/$R22</f>
        <v>1.15693583602099</v>
      </c>
      <c r="AC22" s="4" t="n">
        <f aca="false">$AD$2*($AD$3+$AD$4*$F22/($N22*'Sem TS MC2020'!P14))*($AD$5*$G22+$AD$6*$B22/$N22)*'Sem TS MC2020'!R14*($J22-$M22)/($J22-$M22-$H22)</f>
        <v>0.198931912920433</v>
      </c>
      <c r="AD22" s="4" t="n">
        <f aca="false">AC22/$R22</f>
        <v>0.994659564602164</v>
      </c>
      <c r="AE22" s="24" t="n">
        <f aca="false">AC22-$R22</f>
        <v>-0.00106808707956726</v>
      </c>
      <c r="AF22" s="25" t="n">
        <f aca="false">1/AD22</f>
        <v>1.0053691087764</v>
      </c>
      <c r="AG22" s="25" t="n">
        <f aca="false">AC22*(14.068*'Sem TS MC2020'!$P14^-0.457)/$R22</f>
        <v>0.940819097683517</v>
      </c>
      <c r="AH22" s="25"/>
      <c r="AP22" s="4" t="n">
        <f aca="false">$AQ$2*($AQ$3+$AQ$4*$F22/($N22*'Sem TS MC2020'!P14))*($AQ$5*$G22+$AQ$6*$B22/$N22)*('Sem TS MC2020'!P14^$AQ$7/200000)*($J22-$M22)/($J22-$M22-$H22)+('Sem TS MC2020'!P14-$C22/$AQ$8)*($AQ$5*$G22+$AQ$6*$B22/$N22)/200000</f>
        <v>0.200372787895428</v>
      </c>
      <c r="AQ22" s="4" t="n">
        <f aca="false">AP22/$R22</f>
        <v>1.00186393947714</v>
      </c>
      <c r="AR22" s="24" t="n">
        <f aca="false">AP22-$R22</f>
        <v>0.000372787895428328</v>
      </c>
    </row>
    <row r="23" customFormat="false" ht="14.25" hidden="false" customHeight="false" outlineLevel="0" collapsed="false">
      <c r="B23" s="2" t="n">
        <v>10</v>
      </c>
      <c r="C23" s="3" t="n">
        <v>628</v>
      </c>
      <c r="D23" s="3" t="n">
        <v>4</v>
      </c>
      <c r="E23" s="2" t="n">
        <v>32.4666666666667</v>
      </c>
      <c r="F23" s="4" t="n">
        <v>3.262</v>
      </c>
      <c r="G23" s="2" t="n">
        <v>25</v>
      </c>
      <c r="H23" s="2" t="n">
        <v>36</v>
      </c>
      <c r="I23" s="1" t="n">
        <v>200</v>
      </c>
      <c r="J23" s="2" t="n">
        <v>600</v>
      </c>
      <c r="K23" s="3" t="n">
        <v>314</v>
      </c>
      <c r="L23" s="4" t="n">
        <v>17200</v>
      </c>
      <c r="M23" s="3" t="n">
        <v>95.7219268645215</v>
      </c>
      <c r="N23" s="12" t="n">
        <v>0.0182558139534884</v>
      </c>
      <c r="O23" s="4" t="n">
        <v>68.625</v>
      </c>
      <c r="P23" s="3" t="n">
        <v>368.31936401396</v>
      </c>
      <c r="Q23" s="4" t="n">
        <f aca="false">(P23-P$354)/P$355</f>
        <v>1.03646787059074</v>
      </c>
      <c r="R23" s="4" t="n">
        <v>0.24</v>
      </c>
      <c r="S23" s="13" t="n">
        <f aca="false">P23/200000</f>
        <v>0.0018415968200698</v>
      </c>
      <c r="W23" s="4" t="n">
        <f aca="false">$X$2*($X$3*$G23+$X$4*$B23^$X$5*$N23^$X$6)*$S23^$X$7</f>
        <v>0.263446110186591</v>
      </c>
      <c r="X23" s="4" t="n">
        <f aca="false">W23/$R23</f>
        <v>1.09769212577746</v>
      </c>
      <c r="Z23" s="4" t="n">
        <f aca="false">$AA$2*$B23^$AA$3*$S23^$AA$4*($AA$5*$N23^$AA$6+$AA$7)</f>
        <v>0.258821317914108</v>
      </c>
      <c r="AA23" s="4" t="n">
        <f aca="false">Z23/$R23</f>
        <v>1.07842215797545</v>
      </c>
      <c r="AC23" s="4" t="n">
        <f aca="false">$AD$2*($AD$3+$AD$4*$F23/($N23*'Sem TS MC2020'!P15))*($AD$5*$G23+$AD$6*$B23/$N23)*'Sem TS MC2020'!R15*($J23-$M23)/($J23-$M23-$H23)</f>
        <v>0.230631899714332</v>
      </c>
      <c r="AD23" s="4" t="n">
        <f aca="false">AC23/$R23</f>
        <v>0.960966248809716</v>
      </c>
      <c r="AE23" s="24" t="n">
        <f aca="false">AC23-$R23</f>
        <v>-0.00936810028566812</v>
      </c>
      <c r="AF23" s="25" t="n">
        <f aca="false">1/AD23</f>
        <v>1.04061927381803</v>
      </c>
      <c r="AG23" s="25" t="n">
        <f aca="false">AC23*(14.068*'Sem TS MC2020'!$P15^-0.457)/$R23</f>
        <v>0.864054425934594</v>
      </c>
      <c r="AH23" s="25"/>
      <c r="AP23" s="4" t="n">
        <f aca="false">$AQ$2*($AQ$3+$AQ$4*$F23/($N23*'Sem TS MC2020'!P15))*($AQ$5*$G23+$AQ$6*$B23/$N23)*('Sem TS MC2020'!P15^$AQ$7/200000)*($J23-$M23)/($J23-$M23-$H23)+('Sem TS MC2020'!P15-$C23/$AQ$8)*($AQ$5*$G23+$AQ$6*$B23/$N23)/200000</f>
        <v>0.229896551256089</v>
      </c>
      <c r="AQ23" s="4" t="n">
        <f aca="false">AP23/$R23</f>
        <v>0.957902296900371</v>
      </c>
      <c r="AR23" s="24" t="n">
        <f aca="false">AP23-$R23</f>
        <v>-0.010103448743911</v>
      </c>
    </row>
    <row r="24" customFormat="false" ht="14.25" hidden="false" customHeight="false" outlineLevel="0" collapsed="false">
      <c r="B24" s="2" t="n">
        <v>10</v>
      </c>
      <c r="C24" s="3" t="n">
        <v>628</v>
      </c>
      <c r="D24" s="3" t="n">
        <v>4</v>
      </c>
      <c r="E24" s="2" t="n">
        <v>32.4666666666667</v>
      </c>
      <c r="F24" s="4" t="n">
        <v>3.262</v>
      </c>
      <c r="G24" s="2" t="n">
        <v>25</v>
      </c>
      <c r="H24" s="2" t="n">
        <v>36</v>
      </c>
      <c r="I24" s="1" t="n">
        <v>200</v>
      </c>
      <c r="J24" s="2" t="n">
        <v>600</v>
      </c>
      <c r="K24" s="3" t="n">
        <v>314</v>
      </c>
      <c r="L24" s="4" t="n">
        <v>17200</v>
      </c>
      <c r="M24" s="3" t="n">
        <v>95.7219268645215</v>
      </c>
      <c r="N24" s="12" t="n">
        <v>0.0182558139534884</v>
      </c>
      <c r="O24" s="4" t="n">
        <v>73.275</v>
      </c>
      <c r="P24" s="3" t="n">
        <v>401.01024685519</v>
      </c>
      <c r="Q24" s="4" t="n">
        <f aca="false">(P24-P$354)/P$355</f>
        <v>1.31053949129493</v>
      </c>
      <c r="R24" s="4" t="n">
        <v>0.3</v>
      </c>
      <c r="S24" s="13" t="n">
        <f aca="false">P24/200000</f>
        <v>0.00200505123427595</v>
      </c>
      <c r="W24" s="4" t="n">
        <f aca="false">$X$2*($X$3*$G24+$X$4*$B24^$X$5*$N24^$X$6)*$S24^$X$7</f>
        <v>0.277637526769412</v>
      </c>
      <c r="X24" s="4" t="n">
        <f aca="false">W24/$R24</f>
        <v>0.925458422564706</v>
      </c>
      <c r="Z24" s="4" t="n">
        <f aca="false">$AA$2*$B24^$AA$3*$S24^$AA$4*($AA$5*$N24^$AA$6+$AA$7)</f>
        <v>0.27301886750188</v>
      </c>
      <c r="AA24" s="4" t="n">
        <f aca="false">Z24/$R24</f>
        <v>0.910062891672933</v>
      </c>
      <c r="AC24" s="4" t="n">
        <f aca="false">$AD$2*($AD$3+$AD$4*$F24/($N24*'Sem TS MC2020'!P16))*($AD$5*$G24+$AD$6*$B24/$N24)*'Sem TS MC2020'!R16*($J24-$M24)/($J24-$M24-$H24)</f>
        <v>0.251104807852059</v>
      </c>
      <c r="AD24" s="4" t="n">
        <f aca="false">AC24/$R24</f>
        <v>0.837016026173528</v>
      </c>
      <c r="AE24" s="24" t="n">
        <f aca="false">AC24-$R24</f>
        <v>-0.0488951921479415</v>
      </c>
      <c r="AF24" s="25" t="n">
        <f aca="false">1/AD24</f>
        <v>1.19472025472626</v>
      </c>
      <c r="AG24" s="25" t="n">
        <f aca="false">AC24*(14.068*'Sem TS MC2020'!$P16^-0.457)/$R24</f>
        <v>0.730389232804132</v>
      </c>
      <c r="AH24" s="25"/>
      <c r="AP24" s="4" t="n">
        <f aca="false">$AQ$2*($AQ$3+$AQ$4*$F24/($N24*'Sem TS MC2020'!P16))*($AQ$5*$G24+$AQ$6*$B24/$N24)*('Sem TS MC2020'!P16^$AQ$7/200000)*($J24-$M24)/($J24-$M24-$H24)+('Sem TS MC2020'!P16-$C24/$AQ$8)*($AQ$5*$G24+$AQ$6*$B24/$N24)/200000</f>
        <v>0.248612655613821</v>
      </c>
      <c r="AQ24" s="4" t="n">
        <f aca="false">AP24/$R24</f>
        <v>0.828708852046072</v>
      </c>
      <c r="AR24" s="24" t="n">
        <f aca="false">AP24-$R24</f>
        <v>-0.0513873443861785</v>
      </c>
    </row>
    <row r="25" customFormat="false" ht="14.25" hidden="false" customHeight="false" outlineLevel="0" collapsed="false">
      <c r="B25" s="2" t="n">
        <v>10</v>
      </c>
      <c r="C25" s="3" t="n">
        <v>628</v>
      </c>
      <c r="D25" s="3" t="n">
        <v>4</v>
      </c>
      <c r="E25" s="2" t="n">
        <v>32.4666666666667</v>
      </c>
      <c r="F25" s="4" t="n">
        <v>3.262</v>
      </c>
      <c r="G25" s="2" t="n">
        <v>25</v>
      </c>
      <c r="H25" s="2" t="n">
        <v>36</v>
      </c>
      <c r="I25" s="1" t="n">
        <v>200</v>
      </c>
      <c r="J25" s="2" t="n">
        <v>600</v>
      </c>
      <c r="K25" s="3" t="n">
        <v>314</v>
      </c>
      <c r="L25" s="4" t="n">
        <v>17200</v>
      </c>
      <c r="M25" s="3" t="n">
        <v>95.7219268645215</v>
      </c>
      <c r="N25" s="12" t="n">
        <v>0.0182558139534884</v>
      </c>
      <c r="O25" s="4" t="n">
        <v>83.25</v>
      </c>
      <c r="P25" s="3" t="n">
        <v>498.057729856692</v>
      </c>
      <c r="Q25" s="4" t="n">
        <f aca="false">(P25-P$354)/P$355</f>
        <v>2.12415963978287</v>
      </c>
      <c r="R25" s="4" t="n">
        <v>0.32</v>
      </c>
      <c r="S25" s="13" t="n">
        <f aca="false">P25/200000</f>
        <v>0.00249028864928346</v>
      </c>
      <c r="W25" s="4" t="n">
        <f aca="false">$X$2*($X$3*$G25+$X$4*$B25^$X$5*$N25^$X$6)*$S25^$X$7</f>
        <v>0.317360453029544</v>
      </c>
      <c r="X25" s="4" t="n">
        <f aca="false">W25/$R25</f>
        <v>0.991751415717324</v>
      </c>
      <c r="Z25" s="4" t="n">
        <f aca="false">$AA$2*$B25^$AA$3*$S25^$AA$4*($AA$5*$N25^$AA$6+$AA$7)</f>
        <v>0.312825874734533</v>
      </c>
      <c r="AA25" s="4" t="n">
        <f aca="false">Z25/$R25</f>
        <v>0.977580858545414</v>
      </c>
      <c r="AC25" s="4" t="n">
        <f aca="false">$AD$2*($AD$3+$AD$4*$F25/($N25*'Sem TS MC2020'!P17))*($AD$5*$G25+$AD$6*$B25/$N25)*'Sem TS MC2020'!R17*($J25-$M25)/($J25-$M25-$H25)</f>
        <v>0.29502249788944</v>
      </c>
      <c r="AD25" s="4" t="n">
        <f aca="false">AC25/$R25</f>
        <v>0.921945305904499</v>
      </c>
      <c r="AE25" s="24" t="n">
        <f aca="false">AC25-$R25</f>
        <v>-0.0249775021105605</v>
      </c>
      <c r="AF25" s="25" t="n">
        <f aca="false">1/AD25</f>
        <v>1.08466304193493</v>
      </c>
      <c r="AG25" s="25" t="n">
        <f aca="false">AC25*(14.068*'Sem TS MC2020'!$P17^-0.457)/$R25</f>
        <v>0.758918187201223</v>
      </c>
      <c r="AH25" s="25"/>
      <c r="AP25" s="4" t="n">
        <f aca="false">$AQ$2*($AQ$3+$AQ$4*$F25/($N25*'Sem TS MC2020'!P17))*($AQ$5*$G25+$AQ$6*$B25/$N25)*('Sem TS MC2020'!P17^$AQ$7/200000)*($J25-$M25)/($J25-$M25-$H25)+('Sem TS MC2020'!P17-$C25/$AQ$8)*($AQ$5*$G25+$AQ$6*$B25/$N25)/200000</f>
        <v>0.287957380274537</v>
      </c>
      <c r="AQ25" s="4" t="n">
        <f aca="false">AP25/$R25</f>
        <v>0.899866813357929</v>
      </c>
      <c r="AR25" s="24" t="n">
        <f aca="false">AP25-$R25</f>
        <v>-0.0320426197254626</v>
      </c>
    </row>
    <row r="26" customFormat="false" ht="14.25" hidden="false" customHeight="false" outlineLevel="0" collapsed="false">
      <c r="B26" s="2" t="n">
        <v>10</v>
      </c>
      <c r="C26" s="3" t="n">
        <v>628</v>
      </c>
      <c r="D26" s="3" t="n">
        <v>4</v>
      </c>
      <c r="E26" s="2" t="n">
        <v>32.4666666666667</v>
      </c>
      <c r="F26" s="4" t="n">
        <v>3.262</v>
      </c>
      <c r="G26" s="2" t="n">
        <v>25</v>
      </c>
      <c r="H26" s="2" t="n">
        <v>36</v>
      </c>
      <c r="I26" s="1" t="n">
        <v>200</v>
      </c>
      <c r="J26" s="2" t="n">
        <v>600</v>
      </c>
      <c r="K26" s="3" t="n">
        <v>314</v>
      </c>
      <c r="L26" s="4" t="n">
        <v>17200</v>
      </c>
      <c r="M26" s="3" t="n">
        <v>95.7219268645215</v>
      </c>
      <c r="N26" s="12" t="n">
        <v>0.0182558139534884</v>
      </c>
      <c r="O26" s="4" t="n">
        <v>84</v>
      </c>
      <c r="P26" s="3" t="n">
        <v>502.761883538398</v>
      </c>
      <c r="Q26" s="4" t="n">
        <f aca="false">(P26-P$354)/P$355</f>
        <v>2.16359800643232</v>
      </c>
      <c r="R26" s="4" t="n">
        <v>0.38</v>
      </c>
      <c r="S26" s="13" t="n">
        <f aca="false">P26/200000</f>
        <v>0.00251380941769199</v>
      </c>
      <c r="W26" s="4" t="n">
        <f aca="false">$X$2*($X$3*$G26+$X$4*$B26^$X$5*$N26^$X$6)*$S26^$X$7</f>
        <v>0.319206560451898</v>
      </c>
      <c r="X26" s="4" t="n">
        <f aca="false">W26/$R26</f>
        <v>0.840017264347101</v>
      </c>
      <c r="Z26" s="4" t="n">
        <f aca="false">$AA$2*$B26^$AA$3*$S26^$AA$4*($AA$5*$N26^$AA$6+$AA$7)</f>
        <v>0.314678142568093</v>
      </c>
      <c r="AA26" s="4" t="n">
        <f aca="false">Z26/$R26</f>
        <v>0.828100375179192</v>
      </c>
      <c r="AC26" s="4" t="n">
        <f aca="false">$AD$2*($AD$3+$AD$4*$F26/($N26*'Sem TS MC2020'!P18))*($AD$5*$G26+$AD$6*$B26/$N26)*'Sem TS MC2020'!R18*($J26-$M26)/($J26-$M26-$H26)</f>
        <v>0.298324579847137</v>
      </c>
      <c r="AD26" s="4" t="n">
        <f aca="false">AC26/$R26</f>
        <v>0.785064683808256</v>
      </c>
      <c r="AE26" s="24" t="n">
        <f aca="false">AC26-$R26</f>
        <v>-0.0816754201528626</v>
      </c>
      <c r="AF26" s="25" t="n">
        <f aca="false">1/AD26</f>
        <v>1.27378039112538</v>
      </c>
      <c r="AG26" s="25" t="n">
        <f aca="false">AC26*(14.068*'Sem TS MC2020'!$P18^-0.457)/$R26</f>
        <v>0.6435987755702</v>
      </c>
      <c r="AH26" s="25"/>
      <c r="AP26" s="4" t="n">
        <f aca="false">$AQ$2*($AQ$3+$AQ$4*$F26/($N26*'Sem TS MC2020'!P18))*($AQ$5*$G26+$AQ$6*$B26/$N26)*('Sem TS MC2020'!P18^$AQ$7/200000)*($J26-$M26)/($J26-$M26-$H26)+('Sem TS MC2020'!P18-$C26/$AQ$8)*($AQ$5*$G26+$AQ$6*$B26/$N26)/200000</f>
        <v>0.290875288966816</v>
      </c>
      <c r="AQ26" s="4" t="n">
        <f aca="false">AP26/$R26</f>
        <v>0.765461286754778</v>
      </c>
      <c r="AR26" s="24" t="n">
        <f aca="false">AP26-$R26</f>
        <v>-0.0891247110331845</v>
      </c>
    </row>
    <row r="27" customFormat="false" ht="14.25" hidden="false" customHeight="false" outlineLevel="0" collapsed="false">
      <c r="B27" s="2" t="n">
        <v>10</v>
      </c>
      <c r="C27" s="3" t="n">
        <v>628</v>
      </c>
      <c r="D27" s="3" t="n">
        <v>4</v>
      </c>
      <c r="E27" s="2" t="n">
        <v>32.4666666666667</v>
      </c>
      <c r="F27" s="4" t="n">
        <v>3.262</v>
      </c>
      <c r="G27" s="2" t="n">
        <v>25</v>
      </c>
      <c r="H27" s="2" t="n">
        <v>36</v>
      </c>
      <c r="I27" s="1" t="n">
        <v>200</v>
      </c>
      <c r="J27" s="2" t="n">
        <v>600</v>
      </c>
      <c r="K27" s="3" t="n">
        <v>314</v>
      </c>
      <c r="L27" s="4" t="n">
        <v>17200</v>
      </c>
      <c r="M27" s="3" t="n">
        <v>95.7219268645215</v>
      </c>
      <c r="N27" s="12" t="n">
        <v>0.0182558139534884</v>
      </c>
      <c r="O27" s="4" t="n">
        <v>90</v>
      </c>
      <c r="P27" s="3" t="n">
        <v>538.673446648283</v>
      </c>
      <c r="Q27" s="4" t="n">
        <f aca="false">(P27-P$354)/P$355</f>
        <v>2.4646709493488</v>
      </c>
      <c r="R27" s="4" t="n">
        <v>0.42</v>
      </c>
      <c r="S27" s="13" t="n">
        <f aca="false">P27/200000</f>
        <v>0.00269336723324142</v>
      </c>
      <c r="W27" s="4" t="n">
        <f aca="false">$X$2*($X$3*$G27+$X$4*$B27^$X$5*$N27^$X$6)*$S27^$X$7</f>
        <v>0.333088100103953</v>
      </c>
      <c r="X27" s="4" t="n">
        <f aca="false">W27/$R27</f>
        <v>0.793066905009412</v>
      </c>
      <c r="Z27" s="4" t="n">
        <f aca="false">$AA$2*$B27^$AA$3*$S27^$AA$4*($AA$5*$N27^$AA$6+$AA$7)</f>
        <v>0.328612048185011</v>
      </c>
      <c r="AA27" s="4" t="n">
        <f aca="false">Z27/$R27</f>
        <v>0.78240963853574</v>
      </c>
      <c r="AC27" s="4" t="n">
        <f aca="false">$AD$2*($AD$3+$AD$4*$F27/($N27*'Sem TS MC2020'!P19))*($AD$5*$G27+$AD$6*$B27/$N27)*'Sem TS MC2020'!R19*($J27-$M27)/($J27-$M27-$H27)</f>
        <v>0.32474123550872</v>
      </c>
      <c r="AD27" s="4" t="n">
        <f aca="false">AC27/$R27</f>
        <v>0.773193417877905</v>
      </c>
      <c r="AE27" s="24" t="n">
        <f aca="false">AC27-$R27</f>
        <v>-0.0952587644912799</v>
      </c>
      <c r="AF27" s="25" t="n">
        <f aca="false">1/AD27</f>
        <v>1.29333744555739</v>
      </c>
      <c r="AG27" s="25" t="n">
        <f aca="false">AC27*(14.068*'Sem TS MC2020'!$P19^-0.457)/$R27</f>
        <v>0.614192803271559</v>
      </c>
      <c r="AH27" s="25"/>
      <c r="AP27" s="4" t="n">
        <f aca="false">$AQ$2*($AQ$3+$AQ$4*$F27/($N27*'Sem TS MC2020'!P19))*($AQ$5*$G27+$AQ$6*$B27/$N27)*('Sem TS MC2020'!P19^$AQ$7/200000)*($J27-$M27)/($J27-$M27-$H27)+('Sem TS MC2020'!P19-$C27/$AQ$8)*($AQ$5*$G27+$AQ$6*$B27/$N27)/200000</f>
        <v>0.314033938941887</v>
      </c>
      <c r="AQ27" s="4" t="n">
        <f aca="false">AP27/$R27</f>
        <v>0.747699854623541</v>
      </c>
      <c r="AR27" s="24" t="n">
        <f aca="false">AP27-$R27</f>
        <v>-0.105966061058113</v>
      </c>
    </row>
    <row r="28" customFormat="false" ht="14.25" hidden="false" customHeight="false" outlineLevel="0" collapsed="false">
      <c r="B28" s="2" t="n">
        <v>10</v>
      </c>
      <c r="C28" s="3" t="n">
        <v>628</v>
      </c>
      <c r="D28" s="3" t="n">
        <v>4</v>
      </c>
      <c r="E28" s="2" t="n">
        <v>32.4666666666667</v>
      </c>
      <c r="F28" s="4" t="n">
        <v>3.262</v>
      </c>
      <c r="G28" s="2" t="n">
        <v>25</v>
      </c>
      <c r="H28" s="2" t="n">
        <v>36</v>
      </c>
      <c r="I28" s="1" t="n">
        <v>200</v>
      </c>
      <c r="J28" s="2" t="n">
        <v>600</v>
      </c>
      <c r="K28" s="3" t="n">
        <v>314</v>
      </c>
      <c r="L28" s="4" t="n">
        <v>17200</v>
      </c>
      <c r="M28" s="3" t="n">
        <v>95.7219268645215</v>
      </c>
      <c r="N28" s="12" t="n">
        <v>0.0182558139534884</v>
      </c>
      <c r="O28" s="4" t="n">
        <v>108</v>
      </c>
      <c r="P28" s="3" t="n">
        <v>628</v>
      </c>
      <c r="Q28" s="4" t="n">
        <f aca="false">(P28-P$354)/P$355</f>
        <v>3.21356088811017</v>
      </c>
      <c r="R28" s="4" t="n">
        <v>0.44</v>
      </c>
      <c r="S28" s="13" t="n">
        <f aca="false">P28/200000</f>
        <v>0.00314</v>
      </c>
      <c r="W28" s="4" t="n">
        <f aca="false">$X$2*($X$3*$G28+$X$4*$B28^$X$5*$N28^$X$6)*$S28^$X$7</f>
        <v>0.366161216364939</v>
      </c>
      <c r="X28" s="4" t="n">
        <f aca="false">W28/$R28</f>
        <v>0.832184582647589</v>
      </c>
      <c r="Z28" s="4" t="n">
        <f aca="false">$AA$2*$B28^$AA$3*$S28^$AA$4*($AA$5*$N28^$AA$6+$AA$7)</f>
        <v>0.361850920608256</v>
      </c>
      <c r="AA28" s="4" t="n">
        <f aca="false">Z28/$R28</f>
        <v>0.822388455927855</v>
      </c>
      <c r="AC28" s="4" t="n">
        <f aca="false">$AD$2*($AD$3+$AD$4*$F28/($N28*'Sem TS MC2020'!P20))*($AD$5*$G28+$AD$6*$B28/$N28)*'Sem TS MC2020'!R20*($J28-$M28)/($J28-$M28-$H28)</f>
        <v>0.390450121365564</v>
      </c>
      <c r="AD28" s="4" t="n">
        <f aca="false">AC28/$R28</f>
        <v>0.88738663946719</v>
      </c>
      <c r="AE28" s="24" t="n">
        <f aca="false">AC28-$R28</f>
        <v>-0.0495498786344364</v>
      </c>
      <c r="AF28" s="25" t="n">
        <f aca="false">1/AD28</f>
        <v>1.12690450309284</v>
      </c>
      <c r="AG28" s="25" t="n">
        <f aca="false">AC28*(14.068*'Sem TS MC2020'!$P20^-0.457)/$R28</f>
        <v>0.657169937327431</v>
      </c>
      <c r="AH28" s="25"/>
      <c r="AP28" s="4" t="n">
        <f aca="false">$AQ$2*($AQ$3+$AQ$4*$F28/($N28*'Sem TS MC2020'!P20))*($AQ$5*$G28+$AQ$6*$B28/$N28)*('Sem TS MC2020'!P20^$AQ$7/200000)*($J28-$M28)/($J28-$M28-$H28)+('Sem TS MC2020'!P20-$C28/$AQ$8)*($AQ$5*$G28+$AQ$6*$B28/$N28)/200000</f>
        <v>0.370362583290911</v>
      </c>
      <c r="AQ28" s="4" t="n">
        <f aca="false">AP28/$R28</f>
        <v>0.841733143842979</v>
      </c>
      <c r="AR28" s="24" t="n">
        <f aca="false">AP28-$R28</f>
        <v>-0.0696374167090894</v>
      </c>
    </row>
    <row r="29" customFormat="false" ht="14.25" hidden="false" customHeight="false" outlineLevel="0" collapsed="false">
      <c r="B29" s="2" t="n">
        <v>10</v>
      </c>
      <c r="C29" s="3" t="n">
        <v>628</v>
      </c>
      <c r="D29" s="3" t="n">
        <v>4</v>
      </c>
      <c r="E29" s="2" t="n">
        <v>32.4666666666667</v>
      </c>
      <c r="F29" s="4" t="n">
        <v>3.262</v>
      </c>
      <c r="G29" s="2" t="n">
        <v>25</v>
      </c>
      <c r="H29" s="2" t="n">
        <v>36</v>
      </c>
      <c r="I29" s="1" t="n">
        <v>200</v>
      </c>
      <c r="J29" s="2" t="n">
        <v>600</v>
      </c>
      <c r="K29" s="3" t="n">
        <v>314</v>
      </c>
      <c r="L29" s="4" t="n">
        <v>17200</v>
      </c>
      <c r="M29" s="3" t="n">
        <v>95.7219268645215</v>
      </c>
      <c r="N29" s="12" t="n">
        <v>0.0182558139534884</v>
      </c>
      <c r="O29" s="4" t="n">
        <v>120</v>
      </c>
      <c r="P29" s="3" t="n">
        <v>628</v>
      </c>
      <c r="Q29" s="4" t="n">
        <f aca="false">(P29-P$354)/P$355</f>
        <v>3.21356088811017</v>
      </c>
      <c r="R29" s="4" t="n">
        <v>0.5</v>
      </c>
      <c r="S29" s="13" t="n">
        <f aca="false">P29/200000</f>
        <v>0.00314</v>
      </c>
      <c r="W29" s="4" t="n">
        <f aca="false">$X$2*($X$3*$G29+$X$4*$B29^$X$5*$N29^$X$6)*$S29^$X$7</f>
        <v>0.366161216364939</v>
      </c>
      <c r="X29" s="4" t="n">
        <f aca="false">W29/$R29</f>
        <v>0.732322432729878</v>
      </c>
      <c r="Z29" s="4" t="n">
        <f aca="false">$AA$2*$B29^$AA$3*$S29^$AA$4*($AA$5*$N29^$AA$6+$AA$7)</f>
        <v>0.361850920608256</v>
      </c>
      <c r="AA29" s="4" t="n">
        <f aca="false">Z29/$R29</f>
        <v>0.723701841216513</v>
      </c>
      <c r="AC29" s="4" t="n">
        <f aca="false">$AD$2*($AD$3+$AD$4*$F29/($N29*'Sem TS MC2020'!P21))*($AD$5*$G29+$AD$6*$B29/$N29)*'Sem TS MC2020'!R21*($J29-$M29)/($J29-$M29-$H29)</f>
        <v>0.390450121365564</v>
      </c>
      <c r="AD29" s="4" t="n">
        <f aca="false">AC29/$R29</f>
        <v>0.780900242731127</v>
      </c>
      <c r="AE29" s="24" t="n">
        <f aca="false">AC29-$R29</f>
        <v>-0.109549878634436</v>
      </c>
      <c r="AF29" s="25" t="n">
        <f aca="false">1/AD29</f>
        <v>1.28057329896914</v>
      </c>
      <c r="AG29" s="25" t="n">
        <f aca="false">AC29*(14.068*'Sem TS MC2020'!$P21^-0.457)/$R29</f>
        <v>0.578309544848139</v>
      </c>
      <c r="AH29" s="25"/>
      <c r="AP29" s="4" t="n">
        <f aca="false">$AQ$2*($AQ$3+$AQ$4*$F29/($N29*'Sem TS MC2020'!P21))*($AQ$5*$G29+$AQ$6*$B29/$N29)*('Sem TS MC2020'!P21^$AQ$7/200000)*($J29-$M29)/($J29-$M29-$H29)+('Sem TS MC2020'!P21-$C29/$AQ$8)*($AQ$5*$G29+$AQ$6*$B29/$N29)/200000</f>
        <v>0.370362583290911</v>
      </c>
      <c r="AQ29" s="4" t="n">
        <f aca="false">AP29/$R29</f>
        <v>0.740725166581821</v>
      </c>
      <c r="AR29" s="24" t="n">
        <f aca="false">AP29-$R29</f>
        <v>-0.129637416709089</v>
      </c>
    </row>
    <row r="30" customFormat="false" ht="14.25" hidden="false" customHeight="false" outlineLevel="0" collapsed="false">
      <c r="A30" s="1" t="s">
        <v>25</v>
      </c>
      <c r="B30" s="2" t="n">
        <v>10</v>
      </c>
      <c r="C30" s="3" t="n">
        <v>628</v>
      </c>
      <c r="D30" s="3" t="n">
        <v>4</v>
      </c>
      <c r="E30" s="2" t="n">
        <v>32.4666666666667</v>
      </c>
      <c r="F30" s="4" t="n">
        <v>3.514</v>
      </c>
      <c r="G30" s="2" t="n">
        <v>25</v>
      </c>
      <c r="H30" s="2" t="n">
        <v>36</v>
      </c>
      <c r="I30" s="1" t="n">
        <v>200</v>
      </c>
      <c r="J30" s="2" t="n">
        <v>600</v>
      </c>
      <c r="K30" s="3" t="n">
        <v>314</v>
      </c>
      <c r="L30" s="4" t="n">
        <v>17200</v>
      </c>
      <c r="M30" s="3" t="n">
        <v>87.1206787100977</v>
      </c>
      <c r="N30" s="12" t="n">
        <v>0.0182558139534884</v>
      </c>
      <c r="O30" s="4" t="n">
        <v>54</v>
      </c>
      <c r="P30" s="3" t="n">
        <v>249.685784085099</v>
      </c>
      <c r="Q30" s="4" t="n">
        <f aca="false">(P30-P$354)/P$355</f>
        <v>0.0418756572524207</v>
      </c>
      <c r="R30" s="4" t="n">
        <v>0.24</v>
      </c>
      <c r="S30" s="13" t="n">
        <f aca="false">P30/200000</f>
        <v>0.00124842892042549</v>
      </c>
      <c r="W30" s="4" t="n">
        <f aca="false">$X$2*($X$3*$G30+$X$4*$B30^$X$5*$N30^$X$6)*$S30^$X$7</f>
        <v>0.207263690404327</v>
      </c>
      <c r="X30" s="4" t="n">
        <f aca="false">W30/$R30</f>
        <v>0.86359871001803</v>
      </c>
      <c r="Z30" s="4" t="n">
        <f aca="false">$AA$2*$B30^$AA$3*$S30^$AA$4*($AA$5*$N30^$AA$6+$AA$7)</f>
        <v>0.202756292958441</v>
      </c>
      <c r="AA30" s="4" t="n">
        <f aca="false">Z30/$R30</f>
        <v>0.844817887326839</v>
      </c>
      <c r="AC30" s="4" t="n">
        <f aca="false">$AD$2*($AD$3+$AD$4*$F30/($N30*'Sem TS MC2020'!P22))*($AD$5*$G30+$AD$6*$B30/$N30)*'Sem TS MC2020'!R22*($J30-$M30)/($J30-$M30-$H30)</f>
        <v>0.159237525976867</v>
      </c>
      <c r="AD30" s="4" t="n">
        <f aca="false">AC30/$R30</f>
        <v>0.66348969157028</v>
      </c>
      <c r="AE30" s="24" t="n">
        <f aca="false">AC30-$R30</f>
        <v>-0.0807624740231329</v>
      </c>
      <c r="AF30" s="25" t="n">
        <f aca="false">1/AD30</f>
        <v>1.50718242152836</v>
      </c>
      <c r="AG30" s="25" t="n">
        <f aca="false">AC30*(14.068*'Sem TS MC2020'!$P22^-0.457)/$R30</f>
        <v>0.667270914871449</v>
      </c>
      <c r="AH30" s="25"/>
      <c r="AP30" s="4" t="n">
        <f aca="false">$AQ$2*($AQ$3+$AQ$4*$F30/($N30*'Sem TS MC2020'!P22))*($AQ$5*$G30+$AQ$6*$B30/$N30)*('Sem TS MC2020'!P22^$AQ$7/200000)*($J30-$M30)/($J30-$M30-$H30)+('Sem TS MC2020'!P22-$C30/$AQ$8)*($AQ$5*$G30+$AQ$6*$B30/$N30)/200000</f>
        <v>0.161917135081311</v>
      </c>
      <c r="AQ30" s="4" t="n">
        <f aca="false">AP30/$R30</f>
        <v>0.674654729505461</v>
      </c>
      <c r="AR30" s="24" t="n">
        <f aca="false">AP30-$R30</f>
        <v>-0.0780828649186895</v>
      </c>
    </row>
    <row r="31" customFormat="false" ht="14.25" hidden="false" customHeight="false" outlineLevel="0" collapsed="false">
      <c r="B31" s="2" t="n">
        <v>10</v>
      </c>
      <c r="C31" s="3" t="n">
        <v>628</v>
      </c>
      <c r="D31" s="3" t="n">
        <v>4</v>
      </c>
      <c r="E31" s="2" t="n">
        <v>32.4666666666667</v>
      </c>
      <c r="F31" s="4" t="n">
        <v>3.514</v>
      </c>
      <c r="G31" s="2" t="n">
        <v>25</v>
      </c>
      <c r="H31" s="2" t="n">
        <v>36</v>
      </c>
      <c r="I31" s="1" t="n">
        <v>200</v>
      </c>
      <c r="J31" s="2" t="n">
        <v>600</v>
      </c>
      <c r="K31" s="3" t="n">
        <v>314</v>
      </c>
      <c r="L31" s="4" t="n">
        <v>17200</v>
      </c>
      <c r="M31" s="3" t="n">
        <v>87.1206787100977</v>
      </c>
      <c r="N31" s="12" t="n">
        <v>0.0182558139534884</v>
      </c>
      <c r="O31" s="4" t="n">
        <v>60</v>
      </c>
      <c r="P31" s="3" t="n">
        <v>336.5737959867</v>
      </c>
      <c r="Q31" s="4" t="n">
        <f aca="false">(P31-P$354)/P$355</f>
        <v>0.770321516524311</v>
      </c>
      <c r="R31" s="4" t="n">
        <v>0.3</v>
      </c>
      <c r="S31" s="13" t="n">
        <f aca="false">P31/200000</f>
        <v>0.0016828689799335</v>
      </c>
      <c r="W31" s="4" t="n">
        <f aca="false">$X$2*($X$3*$G31+$X$4*$B31^$X$5*$N31^$X$6)*$S31^$X$7</f>
        <v>0.249195265926016</v>
      </c>
      <c r="X31" s="4" t="n">
        <f aca="false">W31/$R31</f>
        <v>0.830650886420054</v>
      </c>
      <c r="Z31" s="4" t="n">
        <f aca="false">$AA$2*$B31^$AA$3*$S31^$AA$4*($AA$5*$N31^$AA$6+$AA$7)</f>
        <v>0.244578036756948</v>
      </c>
      <c r="AA31" s="4" t="n">
        <f aca="false">Z31/$R31</f>
        <v>0.815260122523161</v>
      </c>
      <c r="AC31" s="4" t="n">
        <f aca="false">$AD$2*($AD$3+$AD$4*$F31/($N31*'Sem TS MC2020'!P23))*($AD$5*$G31+$AD$6*$B31/$N31)*'Sem TS MC2020'!R23*($J31-$M31)/($J31-$M31-$H31)</f>
        <v>0.185478771125722</v>
      </c>
      <c r="AD31" s="4" t="n">
        <f aca="false">AC31/$R31</f>
        <v>0.618262570419075</v>
      </c>
      <c r="AE31" s="24" t="n">
        <f aca="false">AC31-$R31</f>
        <v>-0.114521228874278</v>
      </c>
      <c r="AF31" s="25" t="n">
        <f aca="false">1/AD31</f>
        <v>1.61743577542172</v>
      </c>
      <c r="AG31" s="25" t="n">
        <f aca="false">AC31*(14.068*'Sem TS MC2020'!$P23^-0.457)/$R31</f>
        <v>0.592556542160572</v>
      </c>
      <c r="AH31" s="25"/>
      <c r="AP31" s="4" t="n">
        <f aca="false">$AQ$2*($AQ$3+$AQ$4*$F31/($N31*'Sem TS MC2020'!P23))*($AQ$5*$G31+$AQ$6*$B31/$N31)*('Sem TS MC2020'!P23^$AQ$7/200000)*($J31-$M31)/($J31-$M31-$H31)+('Sem TS MC2020'!P23-$C31/$AQ$8)*($AQ$5*$G31+$AQ$6*$B31/$N31)/200000</f>
        <v>0.187208000346712</v>
      </c>
      <c r="AQ31" s="4" t="n">
        <f aca="false">AP31/$R31</f>
        <v>0.624026667822374</v>
      </c>
      <c r="AR31" s="24" t="n">
        <f aca="false">AP31-$R31</f>
        <v>-0.112791999653288</v>
      </c>
    </row>
    <row r="32" customFormat="false" ht="14.25" hidden="false" customHeight="false" outlineLevel="0" collapsed="false">
      <c r="B32" s="2" t="n">
        <v>10</v>
      </c>
      <c r="C32" s="3" t="n">
        <v>628</v>
      </c>
      <c r="D32" s="3" t="n">
        <v>4</v>
      </c>
      <c r="E32" s="2" t="n">
        <v>32.4666666666667</v>
      </c>
      <c r="F32" s="4" t="n">
        <v>3.514</v>
      </c>
      <c r="G32" s="2" t="n">
        <v>25</v>
      </c>
      <c r="H32" s="2" t="n">
        <v>36</v>
      </c>
      <c r="I32" s="1" t="n">
        <v>200</v>
      </c>
      <c r="J32" s="2" t="n">
        <v>600</v>
      </c>
      <c r="K32" s="3" t="n">
        <v>314</v>
      </c>
      <c r="L32" s="4" t="n">
        <v>17200</v>
      </c>
      <c r="M32" s="3" t="n">
        <v>87.1206787100977</v>
      </c>
      <c r="N32" s="12" t="n">
        <v>0.0182558139534884</v>
      </c>
      <c r="O32" s="4" t="n">
        <v>62.25</v>
      </c>
      <c r="P32" s="3" t="n">
        <v>361.879363377413</v>
      </c>
      <c r="Q32" s="4" t="n">
        <f aca="false">(P32-P$354)/P$355</f>
        <v>0.98247662721054</v>
      </c>
      <c r="R32" s="4" t="n">
        <v>0.3</v>
      </c>
      <c r="S32" s="13" t="n">
        <f aca="false">P32/200000</f>
        <v>0.00180939681688707</v>
      </c>
      <c r="W32" s="4" t="n">
        <f aca="false">$X$2*($X$3*$G32+$X$4*$B32^$X$5*$N32^$X$6)*$S32^$X$7</f>
        <v>0.260594423182338</v>
      </c>
      <c r="X32" s="4" t="n">
        <f aca="false">W32/$R32</f>
        <v>0.868648077274461</v>
      </c>
      <c r="Z32" s="4" t="n">
        <f aca="false">$AA$2*$B32^$AA$3*$S32^$AA$4*($AA$5*$N32^$AA$6+$AA$7)</f>
        <v>0.255970020416142</v>
      </c>
      <c r="AA32" s="4" t="n">
        <f aca="false">Z32/$R32</f>
        <v>0.85323340138714</v>
      </c>
      <c r="AC32" s="4" t="n">
        <f aca="false">$AD$2*($AD$3+$AD$4*$F32/($N32*'Sem TS MC2020'!P24))*($AD$5*$G32+$AD$6*$B32/$N32)*'Sem TS MC2020'!R24*($J32-$M32)/($J32-$M32-$H32)</f>
        <v>0.195319238056543</v>
      </c>
      <c r="AD32" s="4" t="n">
        <f aca="false">AC32/$R32</f>
        <v>0.651064126855144</v>
      </c>
      <c r="AE32" s="24" t="n">
        <f aca="false">AC32-$R32</f>
        <v>-0.104680761943457</v>
      </c>
      <c r="AF32" s="25" t="n">
        <f aca="false">1/AD32</f>
        <v>1.53594701159521</v>
      </c>
      <c r="AG32" s="25" t="n">
        <f aca="false">AC32*(14.068*'Sem TS MC2020'!$P24^-0.457)/$R32</f>
        <v>0.613584026083156</v>
      </c>
      <c r="AH32" s="25"/>
      <c r="AP32" s="4" t="n">
        <f aca="false">$AQ$2*($AQ$3+$AQ$4*$F32/($N32*'Sem TS MC2020'!P24))*($AQ$5*$G32+$AQ$6*$B32/$N32)*('Sem TS MC2020'!P24^$AQ$7/200000)*($J32-$M32)/($J32-$M32-$H32)+('Sem TS MC2020'!P24-$C32/$AQ$8)*($AQ$5*$G32+$AQ$6*$B32/$N32)/200000</f>
        <v>0.196543846305348</v>
      </c>
      <c r="AQ32" s="4" t="n">
        <f aca="false">AP32/$R32</f>
        <v>0.655146154351161</v>
      </c>
      <c r="AR32" s="24" t="n">
        <f aca="false">AP32-$R32</f>
        <v>-0.103456153694652</v>
      </c>
    </row>
    <row r="33" customFormat="false" ht="14.25" hidden="false" customHeight="false" outlineLevel="0" collapsed="false">
      <c r="B33" s="2" t="n">
        <v>10</v>
      </c>
      <c r="C33" s="3" t="n">
        <v>628</v>
      </c>
      <c r="D33" s="3" t="n">
        <v>4</v>
      </c>
      <c r="E33" s="2" t="n">
        <v>32.4666666666667</v>
      </c>
      <c r="F33" s="4" t="n">
        <v>3.514</v>
      </c>
      <c r="G33" s="2" t="n">
        <v>25</v>
      </c>
      <c r="H33" s="2" t="n">
        <v>36</v>
      </c>
      <c r="I33" s="1" t="n">
        <v>200</v>
      </c>
      <c r="J33" s="2" t="n">
        <v>600</v>
      </c>
      <c r="K33" s="3" t="n">
        <v>314</v>
      </c>
      <c r="L33" s="4" t="n">
        <v>17200</v>
      </c>
      <c r="M33" s="3" t="n">
        <v>87.1206787100977</v>
      </c>
      <c r="N33" s="12" t="n">
        <v>0.0182558139534884</v>
      </c>
      <c r="O33" s="4" t="n">
        <v>66</v>
      </c>
      <c r="P33" s="3" t="n">
        <v>392.910071207614</v>
      </c>
      <c r="Q33" s="4" t="n">
        <f aca="false">(P33-P$354)/P$355</f>
        <v>1.24262978452739</v>
      </c>
      <c r="R33" s="4" t="n">
        <v>0.3</v>
      </c>
      <c r="S33" s="13" t="n">
        <f aca="false">P33/200000</f>
        <v>0.00196455035603807</v>
      </c>
      <c r="W33" s="4" t="n">
        <f aca="false">$X$2*($X$3*$G33+$X$4*$B33^$X$5*$N33^$X$6)*$S33^$X$7</f>
        <v>0.274163807139252</v>
      </c>
      <c r="X33" s="4" t="n">
        <f aca="false">W33/$R33</f>
        <v>0.91387935713084</v>
      </c>
      <c r="Z33" s="4" t="n">
        <f aca="false">$AA$2*$B33^$AA$3*$S33^$AA$4*($AA$5*$N33^$AA$6+$AA$7)</f>
        <v>0.269542424631022</v>
      </c>
      <c r="AA33" s="4" t="n">
        <f aca="false">Z33/$R33</f>
        <v>0.898474748770075</v>
      </c>
      <c r="AC33" s="4" t="n">
        <f aca="false">$AD$2*($AD$3+$AD$4*$F33/($N33*'Sem TS MC2020'!P25))*($AD$5*$G33+$AD$6*$B33/$N33)*'Sem TS MC2020'!R25*($J33-$M33)/($J33-$M33-$H33)</f>
        <v>0.211720016274578</v>
      </c>
      <c r="AD33" s="4" t="n">
        <f aca="false">AC33/$R33</f>
        <v>0.705733387581925</v>
      </c>
      <c r="AE33" s="24" t="n">
        <f aca="false">AC33-$R33</f>
        <v>-0.0882799837254225</v>
      </c>
      <c r="AF33" s="25" t="n">
        <f aca="false">1/AD33</f>
        <v>1.41696569497205</v>
      </c>
      <c r="AG33" s="25" t="n">
        <f aca="false">AC33*(14.068*'Sem TS MC2020'!$P25^-0.457)/$R33</f>
        <v>0.647561542780849</v>
      </c>
      <c r="AH33" s="25"/>
      <c r="AP33" s="4" t="n">
        <f aca="false">$AQ$2*($AQ$3+$AQ$4*$F33/($N33*'Sem TS MC2020'!P25))*($AQ$5*$G33+$AQ$6*$B33/$N33)*('Sem TS MC2020'!P25^$AQ$7/200000)*($J33-$M33)/($J33-$M33-$H33)+('Sem TS MC2020'!P25-$C33/$AQ$8)*($AQ$5*$G33+$AQ$6*$B33/$N33)/200000</f>
        <v>0.211940750336833</v>
      </c>
      <c r="AQ33" s="4" t="n">
        <f aca="false">AP33/$R33</f>
        <v>0.706469167789443</v>
      </c>
      <c r="AR33" s="24" t="n">
        <f aca="false">AP33-$R33</f>
        <v>-0.0880592496631673</v>
      </c>
    </row>
    <row r="34" customFormat="false" ht="14.25" hidden="false" customHeight="false" outlineLevel="0" collapsed="false">
      <c r="B34" s="2" t="n">
        <v>10</v>
      </c>
      <c r="C34" s="3" t="n">
        <v>628</v>
      </c>
      <c r="D34" s="3" t="n">
        <v>4</v>
      </c>
      <c r="E34" s="2" t="n">
        <v>32.4666666666667</v>
      </c>
      <c r="F34" s="4" t="n">
        <v>3.514</v>
      </c>
      <c r="G34" s="2" t="n">
        <v>25</v>
      </c>
      <c r="H34" s="2" t="n">
        <v>36</v>
      </c>
      <c r="I34" s="1" t="n">
        <v>200</v>
      </c>
      <c r="J34" s="2" t="n">
        <v>600</v>
      </c>
      <c r="K34" s="3" t="n">
        <v>314</v>
      </c>
      <c r="L34" s="4" t="n">
        <v>17200</v>
      </c>
      <c r="M34" s="3" t="n">
        <v>87.1206787100977</v>
      </c>
      <c r="N34" s="12" t="n">
        <v>0.0182558139534884</v>
      </c>
      <c r="O34" s="4" t="n">
        <v>71.25</v>
      </c>
      <c r="P34" s="3" t="n">
        <v>424.164281417311</v>
      </c>
      <c r="Q34" s="4" t="n">
        <f aca="false">(P34-P$354)/P$355</f>
        <v>1.50465672603285</v>
      </c>
      <c r="R34" s="4" t="n">
        <v>0.38</v>
      </c>
      <c r="S34" s="13" t="n">
        <f aca="false">P34/200000</f>
        <v>0.00212082140708655</v>
      </c>
      <c r="W34" s="4" t="n">
        <f aca="false">$X$2*($X$3*$G34+$X$4*$B34^$X$5*$N34^$X$6)*$S34^$X$7</f>
        <v>0.287421848394817</v>
      </c>
      <c r="X34" s="4" t="n">
        <f aca="false">W34/$R34</f>
        <v>0.756373285249519</v>
      </c>
      <c r="Z34" s="4" t="n">
        <f aca="false">$AA$2*$B34^$AA$3*$S34^$AA$4*($AA$5*$N34^$AA$6+$AA$7)</f>
        <v>0.282814997890105</v>
      </c>
      <c r="AA34" s="4" t="n">
        <f aca="false">Z34/$R34</f>
        <v>0.744249994447644</v>
      </c>
      <c r="AC34" s="4" t="n">
        <f aca="false">$AD$2*($AD$3+$AD$4*$F34/($N34*'Sem TS MC2020'!P26))*($AD$5*$G34+$AD$6*$B34/$N34)*'Sem TS MC2020'!R26*($J34-$M34)/($J34-$M34-$H34)</f>
        <v>0.234681105779826</v>
      </c>
      <c r="AD34" s="4" t="n">
        <f aca="false">AC34/$R34</f>
        <v>0.617581857315331</v>
      </c>
      <c r="AE34" s="24" t="n">
        <f aca="false">AC34-$R34</f>
        <v>-0.145318894220174</v>
      </c>
      <c r="AF34" s="25" t="n">
        <f aca="false">1/AD34</f>
        <v>1.61921855079595</v>
      </c>
      <c r="AG34" s="25" t="n">
        <f aca="false">AC34*(14.068*'Sem TS MC2020'!$P26^-0.457)/$R34</f>
        <v>0.547197126253197</v>
      </c>
      <c r="AH34" s="25"/>
      <c r="AP34" s="4" t="n">
        <f aca="false">$AQ$2*($AQ$3+$AQ$4*$F34/($N34*'Sem TS MC2020'!P26))*($AQ$5*$G34+$AQ$6*$B34/$N34)*('Sem TS MC2020'!P26^$AQ$7/200000)*($J34-$M34)/($J34-$M34-$H34)+('Sem TS MC2020'!P26-$C34/$AQ$8)*($AQ$5*$G34+$AQ$6*$B34/$N34)/200000</f>
        <v>0.233182113440686</v>
      </c>
      <c r="AQ34" s="4" t="n">
        <f aca="false">AP34/$R34</f>
        <v>0.613637140633384</v>
      </c>
      <c r="AR34" s="24" t="n">
        <f aca="false">AP34-$R34</f>
        <v>-0.146817886559314</v>
      </c>
    </row>
    <row r="35" customFormat="false" ht="14.25" hidden="false" customHeight="false" outlineLevel="0" collapsed="false">
      <c r="B35" s="2" t="n">
        <v>10</v>
      </c>
      <c r="C35" s="3" t="n">
        <v>628</v>
      </c>
      <c r="D35" s="3" t="n">
        <v>4</v>
      </c>
      <c r="E35" s="2" t="n">
        <v>32.4666666666667</v>
      </c>
      <c r="F35" s="4" t="n">
        <v>3.514</v>
      </c>
      <c r="G35" s="2" t="n">
        <v>25</v>
      </c>
      <c r="H35" s="2" t="n">
        <v>36</v>
      </c>
      <c r="I35" s="1" t="n">
        <v>200</v>
      </c>
      <c r="J35" s="2" t="n">
        <v>600</v>
      </c>
      <c r="K35" s="3" t="n">
        <v>314</v>
      </c>
      <c r="L35" s="4" t="n">
        <v>17200</v>
      </c>
      <c r="M35" s="3" t="n">
        <v>87.1206787100977</v>
      </c>
      <c r="N35" s="12" t="n">
        <v>0.0182558139534884</v>
      </c>
      <c r="O35" s="4" t="n">
        <v>82.5</v>
      </c>
      <c r="P35" s="3" t="n">
        <v>491.137589009518</v>
      </c>
      <c r="Q35" s="4" t="n">
        <f aca="false">(P35-P$354)/P$355</f>
        <v>2.06614302925884</v>
      </c>
      <c r="R35" s="4" t="n">
        <v>0.44</v>
      </c>
      <c r="S35" s="13" t="n">
        <f aca="false">P35/200000</f>
        <v>0.00245568794504759</v>
      </c>
      <c r="W35" s="4" t="n">
        <f aca="false">$X$2*($X$3*$G35+$X$4*$B35^$X$5*$N35^$X$6)*$S35^$X$7</f>
        <v>0.314632513880655</v>
      </c>
      <c r="X35" s="4" t="n">
        <f aca="false">W35/$R35</f>
        <v>0.715073895183306</v>
      </c>
      <c r="Z35" s="4" t="n">
        <f aca="false">$AA$2*$B35^$AA$3*$S35^$AA$4*($AA$5*$N35^$AA$6+$AA$7)</f>
        <v>0.310089184477381</v>
      </c>
      <c r="AA35" s="4" t="n">
        <f aca="false">Z35/$R35</f>
        <v>0.704748146539501</v>
      </c>
      <c r="AC35" s="4" t="n">
        <f aca="false">$AD$2*($AD$3+$AD$4*$F35/($N35*'Sem TS MC2020'!P27))*($AD$5*$G35+$AD$6*$B35/$N35)*'Sem TS MC2020'!R27*($J35-$M35)/($J35-$M35-$H35)</f>
        <v>0.283883440433929</v>
      </c>
      <c r="AD35" s="4" t="n">
        <f aca="false">AC35/$R35</f>
        <v>0.64518963734984</v>
      </c>
      <c r="AE35" s="24" t="n">
        <f aca="false">AC35-$R35</f>
        <v>-0.156116559566071</v>
      </c>
      <c r="AF35" s="25" t="n">
        <f aca="false">1/AD35</f>
        <v>1.54993189925921</v>
      </c>
      <c r="AG35" s="25" t="n">
        <f aca="false">AC35*(14.068*'Sem TS MC2020'!$P27^-0.457)/$R35</f>
        <v>0.534613464584462</v>
      </c>
      <c r="AH35" s="25"/>
      <c r="AP35" s="4" t="n">
        <f aca="false">$AQ$2*($AQ$3+$AQ$4*$F35/($N35*'Sem TS MC2020'!P27))*($AQ$5*$G35+$AQ$6*$B35/$N35)*('Sem TS MC2020'!P27^$AQ$7/200000)*($J35-$M35)/($J35-$M35-$H35)+('Sem TS MC2020'!P27-$C35/$AQ$8)*($AQ$5*$G35+$AQ$6*$B35/$N35)/200000</f>
        <v>0.277623279563464</v>
      </c>
      <c r="AQ35" s="4" t="n">
        <f aca="false">AP35/$R35</f>
        <v>0.630961999007873</v>
      </c>
      <c r="AR35" s="24" t="n">
        <f aca="false">AP35-$R35</f>
        <v>-0.162376720436536</v>
      </c>
    </row>
    <row r="36" customFormat="false" ht="14.25" hidden="false" customHeight="false" outlineLevel="0" collapsed="false">
      <c r="A36" s="1" t="s">
        <v>26</v>
      </c>
      <c r="B36" s="2" t="n">
        <v>16</v>
      </c>
      <c r="C36" s="3" t="n">
        <v>571</v>
      </c>
      <c r="D36" s="3" t="n">
        <v>4</v>
      </c>
      <c r="E36" s="2" t="n">
        <v>37</v>
      </c>
      <c r="F36" s="4" t="n">
        <v>4.2588</v>
      </c>
      <c r="G36" s="2" t="n">
        <v>33</v>
      </c>
      <c r="H36" s="2" t="n">
        <v>59</v>
      </c>
      <c r="I36" s="1" t="n">
        <v>125</v>
      </c>
      <c r="J36" s="2" t="n">
        <v>250</v>
      </c>
      <c r="K36" s="3" t="n">
        <v>800</v>
      </c>
      <c r="L36" s="4" t="n">
        <v>19625</v>
      </c>
      <c r="M36" s="3" t="n">
        <v>87.082518617972</v>
      </c>
      <c r="N36" s="12" t="n">
        <v>0.0408</v>
      </c>
      <c r="O36" s="4" t="n">
        <v>18.2</v>
      </c>
      <c r="P36" s="3" t="n">
        <v>63.4584540622213</v>
      </c>
      <c r="Q36" s="4" t="n">
        <f aca="false">(P36-P$354)/P$355</f>
        <v>-1.51940448335032</v>
      </c>
      <c r="R36" s="4" t="n">
        <v>0.18</v>
      </c>
      <c r="S36" s="13" t="n">
        <f aca="false">P36/200000</f>
        <v>0.000317292270311107</v>
      </c>
      <c r="W36" s="4" t="n">
        <f aca="false">$X$2*($X$3*$G36+$X$4*$B36^$X$5*$N36^$X$6)*$S36^$X$7</f>
        <v>0.087244867135379</v>
      </c>
      <c r="X36" s="4" t="n">
        <f aca="false">W36/$R36</f>
        <v>0.484693706307661</v>
      </c>
      <c r="Z36" s="4" t="n">
        <f aca="false">$AA$2*$B36^$AA$3*$S36^$AA$4*($AA$5*$N36^$AA$6+$AA$7)</f>
        <v>0.0856744372391924</v>
      </c>
      <c r="AA36" s="4" t="n">
        <f aca="false">Z36/$R36</f>
        <v>0.475969095773291</v>
      </c>
      <c r="AC36" s="4" t="n">
        <f aca="false">$AD$2*($AD$3+$AD$4*$F36/($N36*'Sem TS MC2020'!P28))*($AD$5*$G36+$AD$6*$B36/$N36)*'Sem TS MC2020'!R28*($J36-$M36)/($J36-$M36-$H36)</f>
        <v>0.0770106168816584</v>
      </c>
      <c r="AD36" s="4" t="n">
        <f aca="false">AC36/$R36</f>
        <v>0.427836760453658</v>
      </c>
      <c r="AE36" s="24" t="n">
        <f aca="false">AC36-$R36</f>
        <v>-0.102989383118342</v>
      </c>
      <c r="AF36" s="25" t="n">
        <f aca="false">1/AD36</f>
        <v>2.33734006152171</v>
      </c>
      <c r="AG36" s="25" t="n">
        <f aca="false">AC36*(14.068*'Sem TS MC2020'!$P28^-0.457)/$R36</f>
        <v>0.629028699173556</v>
      </c>
      <c r="AH36" s="25"/>
      <c r="AP36" s="4" t="n">
        <f aca="false">$AQ$2*($AQ$3+$AQ$4*$F36/($N36*'Sem TS MC2020'!P28))*($AQ$5*$G36+$AQ$6*$B36/$N36)*('Sem TS MC2020'!P28^$AQ$7/200000)*($J36-$M36)/($J36-$M36-$H36)+('Sem TS MC2020'!P28-$C36/$AQ$8)*($AQ$5*$G36+$AQ$6*$B36/$N36)/200000</f>
        <v>0.0810818522157135</v>
      </c>
      <c r="AQ36" s="4" t="n">
        <f aca="false">AP36/$R36</f>
        <v>0.450454734531742</v>
      </c>
      <c r="AR36" s="24" t="n">
        <f aca="false">AP36-$R36</f>
        <v>-0.0989181477842865</v>
      </c>
    </row>
    <row r="37" customFormat="false" ht="14.25" hidden="false" customHeight="false" outlineLevel="0" collapsed="false">
      <c r="B37" s="2" t="n">
        <v>16</v>
      </c>
      <c r="C37" s="3" t="n">
        <v>571</v>
      </c>
      <c r="D37" s="3" t="n">
        <v>4</v>
      </c>
      <c r="E37" s="2" t="n">
        <v>37</v>
      </c>
      <c r="F37" s="4" t="n">
        <v>4.2588</v>
      </c>
      <c r="G37" s="2" t="n">
        <v>33</v>
      </c>
      <c r="H37" s="2" t="n">
        <v>59</v>
      </c>
      <c r="I37" s="1" t="n">
        <v>125</v>
      </c>
      <c r="J37" s="2" t="n">
        <v>250</v>
      </c>
      <c r="K37" s="3" t="n">
        <v>800</v>
      </c>
      <c r="L37" s="4" t="n">
        <v>19625</v>
      </c>
      <c r="M37" s="3" t="n">
        <v>87.082518617972</v>
      </c>
      <c r="N37" s="12" t="n">
        <v>0.0408</v>
      </c>
      <c r="O37" s="4" t="n">
        <v>26.2</v>
      </c>
      <c r="P37" s="3" t="n">
        <v>132.585769771664</v>
      </c>
      <c r="Q37" s="4" t="n">
        <f aca="false">(P37-P$354)/P$355</f>
        <v>-0.939859552017904</v>
      </c>
      <c r="R37" s="4" t="n">
        <v>0.2</v>
      </c>
      <c r="S37" s="13" t="n">
        <f aca="false">P37/200000</f>
        <v>0.000662928848858318</v>
      </c>
      <c r="W37" s="4" t="n">
        <f aca="false">$X$2*($X$3*$G37+$X$4*$B37^$X$5*$N37^$X$6)*$S37^$X$7</f>
        <v>0.137462572708287</v>
      </c>
      <c r="X37" s="4" t="n">
        <f aca="false">W37/$R37</f>
        <v>0.687312863541436</v>
      </c>
      <c r="Z37" s="4" t="n">
        <f aca="false">$AA$2*$B37^$AA$3*$S37^$AA$4*($AA$5*$N37^$AA$6+$AA$7)</f>
        <v>0.136086775637982</v>
      </c>
      <c r="AA37" s="4" t="n">
        <f aca="false">Z37/$R37</f>
        <v>0.680433878189908</v>
      </c>
      <c r="AC37" s="4" t="n">
        <f aca="false">$AD$2*($AD$3+$AD$4*$F37/($N37*'Sem TS MC2020'!P29))*($AD$5*$G37+$AD$6*$B37/$N37)*'Sem TS MC2020'!R29*($J37-$M37)/($J37-$M37-$H37)</f>
        <v>0.133951496816777</v>
      </c>
      <c r="AD37" s="4" t="n">
        <f aca="false">AC37/$R37</f>
        <v>0.669757484083886</v>
      </c>
      <c r="AE37" s="24" t="n">
        <f aca="false">AC37-$R37</f>
        <v>-0.0660485031832228</v>
      </c>
      <c r="AF37" s="25" t="n">
        <f aca="false">1/AD37</f>
        <v>1.49307775390943</v>
      </c>
      <c r="AG37" s="25" t="n">
        <f aca="false">AC37*(14.068*'Sem TS MC2020'!$P29^-0.457)/$R37</f>
        <v>0.833679020595988</v>
      </c>
      <c r="AH37" s="25"/>
      <c r="AP37" s="4" t="n">
        <f aca="false">$AQ$2*($AQ$3+$AQ$4*$F37/($N37*'Sem TS MC2020'!P29))*($AQ$5*$G37+$AQ$6*$B37/$N37)*('Sem TS MC2020'!P29^$AQ$7/200000)*($J37-$M37)/($J37-$M37-$H37)+('Sem TS MC2020'!P29-$C37/$AQ$8)*($AQ$5*$G37+$AQ$6*$B37/$N37)/200000</f>
        <v>0.139956087380863</v>
      </c>
      <c r="AQ37" s="4" t="n">
        <f aca="false">AP37/$R37</f>
        <v>0.699780436904317</v>
      </c>
      <c r="AR37" s="24" t="n">
        <f aca="false">AP37-$R37</f>
        <v>-0.0600439126191366</v>
      </c>
    </row>
    <row r="38" customFormat="false" ht="14.25" hidden="false" customHeight="false" outlineLevel="0" collapsed="false">
      <c r="B38" s="2" t="n">
        <v>16</v>
      </c>
      <c r="C38" s="3" t="n">
        <v>571</v>
      </c>
      <c r="D38" s="3" t="n">
        <v>4</v>
      </c>
      <c r="E38" s="2" t="n">
        <v>37</v>
      </c>
      <c r="F38" s="4" t="n">
        <v>4.2588</v>
      </c>
      <c r="G38" s="2" t="n">
        <v>33</v>
      </c>
      <c r="H38" s="2" t="n">
        <v>59</v>
      </c>
      <c r="I38" s="1" t="n">
        <v>125</v>
      </c>
      <c r="J38" s="2" t="n">
        <v>250</v>
      </c>
      <c r="K38" s="3" t="n">
        <v>800</v>
      </c>
      <c r="L38" s="4" t="n">
        <v>19625</v>
      </c>
      <c r="M38" s="3" t="n">
        <v>87.082518617972</v>
      </c>
      <c r="N38" s="12" t="n">
        <v>0.0408</v>
      </c>
      <c r="O38" s="4" t="n">
        <v>31.7</v>
      </c>
      <c r="P38" s="3" t="n">
        <v>182.106781023643</v>
      </c>
      <c r="Q38" s="4" t="n">
        <f aca="false">(P38-P$354)/P$355</f>
        <v>-0.524688634834145</v>
      </c>
      <c r="R38" s="4" t="n">
        <v>0.26</v>
      </c>
      <c r="S38" s="13" t="n">
        <f aca="false">P38/200000</f>
        <v>0.000910533905118216</v>
      </c>
      <c r="W38" s="4" t="n">
        <f aca="false">$X$2*($X$3*$G38+$X$4*$B38^$X$5*$N38^$X$6)*$S38^$X$7</f>
        <v>0.167195693190514</v>
      </c>
      <c r="X38" s="4" t="n">
        <f aca="false">W38/$R38</f>
        <v>0.643060358425053</v>
      </c>
      <c r="Z38" s="4" t="n">
        <f aca="false">$AA$2*$B38^$AA$3*$S38^$AA$4*($AA$5*$N38^$AA$6+$AA$7)</f>
        <v>0.166101159429452</v>
      </c>
      <c r="AA38" s="4" t="n">
        <f aca="false">Z38/$R38</f>
        <v>0.638850613190198</v>
      </c>
      <c r="AC38" s="4" t="n">
        <f aca="false">$AD$2*($AD$3+$AD$4*$F38/($N38*'Sem TS MC2020'!P30))*($AD$5*$G38+$AD$6*$B38/$N38)*'Sem TS MC2020'!R30*($J38-$M38)/($J38-$M38-$H38)</f>
        <v>0.173098351772172</v>
      </c>
      <c r="AD38" s="4" t="n">
        <f aca="false">AC38/$R38</f>
        <v>0.665762891431429</v>
      </c>
      <c r="AE38" s="24" t="n">
        <f aca="false">AC38-$R38</f>
        <v>-0.0869016482278285</v>
      </c>
      <c r="AF38" s="25" t="n">
        <f aca="false">1/AD38</f>
        <v>1.50203625475421</v>
      </c>
      <c r="AG38" s="25" t="n">
        <f aca="false">AC38*(14.068*'Sem TS MC2020'!$P30^-0.457)/$R38</f>
        <v>0.759592187538028</v>
      </c>
      <c r="AH38" s="25"/>
      <c r="AP38" s="4" t="n">
        <f aca="false">$AQ$2*($AQ$3+$AQ$4*$F38/($N38*'Sem TS MC2020'!P30))*($AQ$5*$G38+$AQ$6*$B38/$N38)*('Sem TS MC2020'!P30^$AQ$7/200000)*($J38-$M38)/($J38-$M38-$H38)+('Sem TS MC2020'!P30-$C38/$AQ$8)*($AQ$5*$G38+$AQ$6*$B38/$N38)/200000</f>
        <v>0.177986011789509</v>
      </c>
      <c r="AQ38" s="4" t="n">
        <f aca="false">AP38/$R38</f>
        <v>0.684561583805802</v>
      </c>
      <c r="AR38" s="24" t="n">
        <f aca="false">AP38-$R38</f>
        <v>-0.0820139882104915</v>
      </c>
    </row>
    <row r="39" customFormat="false" ht="14.25" hidden="false" customHeight="false" outlineLevel="0" collapsed="false">
      <c r="B39" s="2" t="n">
        <v>16</v>
      </c>
      <c r="C39" s="3" t="n">
        <v>571</v>
      </c>
      <c r="D39" s="3" t="n">
        <v>4</v>
      </c>
      <c r="E39" s="2" t="n">
        <v>37</v>
      </c>
      <c r="F39" s="4" t="n">
        <v>4.2588</v>
      </c>
      <c r="G39" s="2" t="n">
        <v>33</v>
      </c>
      <c r="H39" s="2" t="n">
        <v>59</v>
      </c>
      <c r="I39" s="1" t="n">
        <v>125</v>
      </c>
      <c r="J39" s="2" t="n">
        <v>250</v>
      </c>
      <c r="K39" s="3" t="n">
        <v>800</v>
      </c>
      <c r="L39" s="4" t="n">
        <v>19625</v>
      </c>
      <c r="M39" s="3" t="n">
        <v>87.082518617972</v>
      </c>
      <c r="N39" s="12" t="n">
        <v>0.0408</v>
      </c>
      <c r="O39" s="4" t="n">
        <v>40.8</v>
      </c>
      <c r="P39" s="3" t="n">
        <v>276.470215881514</v>
      </c>
      <c r="Q39" s="4" t="n">
        <f aca="false">(P39-P$354)/P$355</f>
        <v>0.266429171690574</v>
      </c>
      <c r="R39" s="4" t="n">
        <v>0.44</v>
      </c>
      <c r="S39" s="13" t="n">
        <f aca="false">P39/200000</f>
        <v>0.00138235107940757</v>
      </c>
      <c r="W39" s="4" t="n">
        <f aca="false">$X$2*($X$3*$G39+$X$4*$B39^$X$5*$N39^$X$6)*$S39^$X$7</f>
        <v>0.216322107096855</v>
      </c>
      <c r="X39" s="4" t="n">
        <f aca="false">W39/$R39</f>
        <v>0.491641152492853</v>
      </c>
      <c r="Z39" s="4" t="n">
        <f aca="false">$AA$2*$B39^$AA$3*$S39^$AA$4*($AA$5*$N39^$AA$6+$AA$7)</f>
        <v>0.21589521993003</v>
      </c>
      <c r="AA39" s="4" t="n">
        <f aca="false">Z39/$R39</f>
        <v>0.490670954386433</v>
      </c>
      <c r="AC39" s="4" t="n">
        <f aca="false">$AD$2*($AD$3+$AD$4*$F39/($N39*'Sem TS MC2020'!P31))*($AD$5*$G39+$AD$6*$B39/$N39)*'Sem TS MC2020'!R31*($J39-$M39)/($J39-$M39-$H39)</f>
        <v>0.237868602698369</v>
      </c>
      <c r="AD39" s="4" t="n">
        <f aca="false">AC39/$R39</f>
        <v>0.540610460678112</v>
      </c>
      <c r="AE39" s="24" t="n">
        <f aca="false">AC39-$R39</f>
        <v>-0.202131397301631</v>
      </c>
      <c r="AF39" s="25" t="n">
        <f aca="false">1/AD39</f>
        <v>1.84976072927937</v>
      </c>
      <c r="AG39" s="25" t="n">
        <f aca="false">AC39*(14.068*'Sem TS MC2020'!$P31^-0.457)/$R39</f>
        <v>0.549613938291152</v>
      </c>
      <c r="AH39" s="25"/>
      <c r="AP39" s="4" t="n">
        <f aca="false">$AQ$2*($AQ$3+$AQ$4*$F39/($N39*'Sem TS MC2020'!P31))*($AQ$5*$G39+$AQ$6*$B39/$N39)*('Sem TS MC2020'!P31^$AQ$7/200000)*($J39-$M39)/($J39-$M39-$H39)+('Sem TS MC2020'!P31-$C39/$AQ$8)*($AQ$5*$G39+$AQ$6*$B39/$N39)/200000</f>
        <v>0.23793605336961</v>
      </c>
      <c r="AQ39" s="4" t="n">
        <f aca="false">AP39/$R39</f>
        <v>0.540763757658204</v>
      </c>
      <c r="AR39" s="24" t="n">
        <f aca="false">AP39-$R39</f>
        <v>-0.20206394663039</v>
      </c>
    </row>
    <row r="40" customFormat="false" ht="14.25" hidden="false" customHeight="false" outlineLevel="0" collapsed="false">
      <c r="B40" s="2" t="n">
        <v>16</v>
      </c>
      <c r="C40" s="3" t="n">
        <v>571</v>
      </c>
      <c r="D40" s="3" t="n">
        <v>4</v>
      </c>
      <c r="E40" s="2" t="n">
        <v>37</v>
      </c>
      <c r="F40" s="4" t="n">
        <v>4.2588</v>
      </c>
      <c r="G40" s="2" t="n">
        <v>33</v>
      </c>
      <c r="H40" s="2" t="n">
        <v>59</v>
      </c>
      <c r="I40" s="1" t="n">
        <v>125</v>
      </c>
      <c r="J40" s="2" t="n">
        <v>250</v>
      </c>
      <c r="K40" s="3" t="n">
        <v>800</v>
      </c>
      <c r="L40" s="4" t="n">
        <v>19625</v>
      </c>
      <c r="M40" s="3" t="n">
        <v>87.082518617972</v>
      </c>
      <c r="N40" s="12" t="n">
        <v>0.0408</v>
      </c>
      <c r="O40" s="4" t="n">
        <v>54.1</v>
      </c>
      <c r="P40" s="3" t="n">
        <v>412.877261019929</v>
      </c>
      <c r="Q40" s="4" t="n">
        <f aca="false">(P40-P$354)/P$355</f>
        <v>1.41002936499597</v>
      </c>
      <c r="R40" s="4" t="n">
        <v>0.6</v>
      </c>
      <c r="S40" s="13" t="n">
        <f aca="false">P40/200000</f>
        <v>0.00206438630509965</v>
      </c>
      <c r="W40" s="4" t="n">
        <f aca="false">$X$2*($X$3*$G40+$X$4*$B40^$X$5*$N40^$X$6)*$S40^$X$7</f>
        <v>0.277054626636174</v>
      </c>
      <c r="X40" s="4" t="n">
        <f aca="false">W40/$R40</f>
        <v>0.46175771106029</v>
      </c>
      <c r="Z40" s="4" t="n">
        <f aca="false">$AA$2*$B40^$AA$3*$S40^$AA$4*($AA$5*$N40^$AA$6+$AA$7)</f>
        <v>0.277730405375802</v>
      </c>
      <c r="AA40" s="4" t="n">
        <f aca="false">Z40/$R40</f>
        <v>0.462884008959669</v>
      </c>
      <c r="AC40" s="4" t="n">
        <f aca="false">$AD$2*($AD$3+$AD$4*$F40/($N40*'Sem TS MC2020'!P32))*($AD$5*$G40+$AD$6*$B40/$N40)*'Sem TS MC2020'!R32*($J40-$M40)/($J40-$M40-$H40)</f>
        <v>0.332532815590505</v>
      </c>
      <c r="AD40" s="4" t="n">
        <f aca="false">AC40/$R40</f>
        <v>0.554221359317508</v>
      </c>
      <c r="AE40" s="24" t="n">
        <f aca="false">AC40-$R40</f>
        <v>-0.267467184409495</v>
      </c>
      <c r="AF40" s="25" t="n">
        <f aca="false">1/AD40</f>
        <v>1.80433320222707</v>
      </c>
      <c r="AG40" s="25" t="n">
        <f aca="false">AC40*(14.068*'Sem TS MC2020'!$P32^-0.457)/$R40</f>
        <v>0.495287191098484</v>
      </c>
      <c r="AH40" s="25"/>
      <c r="AP40" s="4" t="n">
        <f aca="false">$AQ$2*($AQ$3+$AQ$4*$F40/($N40*'Sem TS MC2020'!P32))*($AQ$5*$G40+$AQ$6*$B40/$N40)*('Sem TS MC2020'!P32^$AQ$7/200000)*($J40-$M40)/($J40-$M40-$H40)+('Sem TS MC2020'!P32-$C40/$AQ$8)*($AQ$5*$G40+$AQ$6*$B40/$N40)/200000</f>
        <v>0.32083231623628</v>
      </c>
      <c r="AQ40" s="4" t="n">
        <f aca="false">AP40/$R40</f>
        <v>0.534720527060467</v>
      </c>
      <c r="AR40" s="24" t="n">
        <f aca="false">AP40-$R40</f>
        <v>-0.27916768376372</v>
      </c>
    </row>
    <row r="41" customFormat="false" ht="14.25" hidden="false" customHeight="false" outlineLevel="0" collapsed="false">
      <c r="A41" s="1" t="s">
        <v>27</v>
      </c>
      <c r="B41" s="2" t="n">
        <v>12</v>
      </c>
      <c r="C41" s="3" t="n">
        <v>500</v>
      </c>
      <c r="D41" s="3" t="n">
        <v>4</v>
      </c>
      <c r="E41" s="2" t="n">
        <v>79.3</v>
      </c>
      <c r="F41" s="4" t="n">
        <v>2.69332921131829</v>
      </c>
      <c r="G41" s="2" t="n">
        <v>20</v>
      </c>
      <c r="H41" s="2" t="n">
        <v>38</v>
      </c>
      <c r="I41" s="1" t="n">
        <v>350</v>
      </c>
      <c r="J41" s="2" t="n">
        <v>450</v>
      </c>
      <c r="K41" s="3" t="n">
        <v>452</v>
      </c>
      <c r="L41" s="4" t="n">
        <v>34300</v>
      </c>
      <c r="M41" s="3" t="n">
        <v>76.1694282016424</v>
      </c>
      <c r="N41" s="12" t="n">
        <v>0.0131778425655977</v>
      </c>
      <c r="O41" s="4" t="n">
        <v>52.5</v>
      </c>
      <c r="P41" s="3" t="n">
        <v>218.681980739333</v>
      </c>
      <c r="Q41" s="4" t="n">
        <f aca="false">(P41-P$354)/P$355</f>
        <v>-0.218051940060771</v>
      </c>
      <c r="R41" s="4" t="n">
        <v>0.36</v>
      </c>
      <c r="S41" s="13" t="n">
        <f aca="false">P41/200000</f>
        <v>0.00109340990369666</v>
      </c>
      <c r="W41" s="4" t="n">
        <f aca="false">$X$2*($X$3*$G41+$X$4*$B41^$X$5*$N41^$X$6)*$S41^$X$7</f>
        <v>0.247466486867523</v>
      </c>
      <c r="X41" s="4" t="n">
        <f aca="false">W41/$R41</f>
        <v>0.687406907965342</v>
      </c>
      <c r="Z41" s="4" t="n">
        <f aca="false">$AA$2*$B41^$AA$3*$S41^$AA$4*($AA$5*$N41^$AA$6+$AA$7)</f>
        <v>0.246240966949559</v>
      </c>
      <c r="AA41" s="4" t="n">
        <f aca="false">Z41/$R41</f>
        <v>0.684002685970996</v>
      </c>
      <c r="AC41" s="4" t="n">
        <f aca="false">$AD$2*($AD$3+$AD$4*$F41/($N41*'Sem TS MC2020'!P33))*($AD$5*$G41+$AD$6*$B41/$N41)*'Sem TS MC2020'!R33*($J41-$M41)/($J41-$M41-$H41)</f>
        <v>0.208841185080966</v>
      </c>
      <c r="AD41" s="4" t="n">
        <f aca="false">AC41/$R41</f>
        <v>0.580114403002682</v>
      </c>
      <c r="AE41" s="24" t="n">
        <f aca="false">AC41-$R41</f>
        <v>-0.151158814919034</v>
      </c>
      <c r="AF41" s="25" t="n">
        <f aca="false">1/AD41</f>
        <v>1.72379791783135</v>
      </c>
      <c r="AG41" s="25" t="n">
        <f aca="false">AC41*(14.068*'Sem TS MC2020'!$P33^-0.457)/$R41</f>
        <v>0.601748986925091</v>
      </c>
      <c r="AH41" s="25"/>
      <c r="AP41" s="4" t="n">
        <f aca="false">$AQ$2*($AQ$3+$AQ$4*$F41/($N41*'Sem TS MC2020'!P33))*($AQ$5*$G41+$AQ$6*$B41/$N41)*('Sem TS MC2020'!P33^$AQ$7/200000)*($J41-$M41)/($J41-$M41-$H41)+('Sem TS MC2020'!P33-$C41/$AQ$8)*($AQ$5*$G41+$AQ$6*$B41/$N41)/200000</f>
        <v>0.223253354295275</v>
      </c>
      <c r="AQ41" s="4" t="n">
        <f aca="false">AP41/$R41</f>
        <v>0.620148206375765</v>
      </c>
      <c r="AR41" s="24" t="n">
        <f aca="false">AP41-$R41</f>
        <v>-0.136746645704725</v>
      </c>
    </row>
    <row r="42" customFormat="false" ht="14.25" hidden="false" customHeight="false" outlineLevel="0" collapsed="false">
      <c r="B42" s="2" t="n">
        <v>12</v>
      </c>
      <c r="C42" s="3" t="n">
        <v>500</v>
      </c>
      <c r="D42" s="3" t="n">
        <v>4</v>
      </c>
      <c r="E42" s="2" t="n">
        <v>79.3</v>
      </c>
      <c r="F42" s="4" t="n">
        <v>2.69332921131829</v>
      </c>
      <c r="G42" s="2" t="n">
        <v>20</v>
      </c>
      <c r="H42" s="2" t="n">
        <v>38</v>
      </c>
      <c r="I42" s="1" t="n">
        <v>350</v>
      </c>
      <c r="J42" s="2" t="n">
        <v>450</v>
      </c>
      <c r="K42" s="3" t="n">
        <v>452</v>
      </c>
      <c r="L42" s="4" t="n">
        <v>34300</v>
      </c>
      <c r="M42" s="3" t="n">
        <v>76.1694282016424</v>
      </c>
      <c r="N42" s="12" t="n">
        <v>0.0131778425655977</v>
      </c>
      <c r="O42" s="4" t="n">
        <v>67.5</v>
      </c>
      <c r="P42" s="3" t="n">
        <v>344.704832395587</v>
      </c>
      <c r="Q42" s="4" t="n">
        <f aca="false">(P42-P$354)/P$355</f>
        <v>0.838489951662985</v>
      </c>
      <c r="R42" s="4" t="n">
        <v>0.43</v>
      </c>
      <c r="S42" s="13" t="n">
        <f aca="false">P42/200000</f>
        <v>0.00172352416197794</v>
      </c>
      <c r="W42" s="4" t="n">
        <f aca="false">$X$2*($X$3*$G42+$X$4*$B42^$X$5*$N42^$X$6)*$S42^$X$7</f>
        <v>0.327685180559496</v>
      </c>
      <c r="X42" s="4" t="n">
        <f aca="false">W42/$R42</f>
        <v>0.762058559440689</v>
      </c>
      <c r="Z42" s="4" t="n">
        <f aca="false">$AA$2*$B42^$AA$3*$S42^$AA$4*($AA$5*$N42^$AA$6+$AA$7)</f>
        <v>0.327698681554217</v>
      </c>
      <c r="AA42" s="4" t="n">
        <f aca="false">Z42/$R42</f>
        <v>0.76208995710283</v>
      </c>
      <c r="AC42" s="4" t="n">
        <f aca="false">$AD$2*($AD$3+$AD$4*$F42/($N42*'Sem TS MC2020'!P34))*($AD$5*$G42+$AD$6*$B42/$N42)*'Sem TS MC2020'!R34*($J42-$M42)/($J42-$M42-$H42)</f>
        <v>0.303570117391277</v>
      </c>
      <c r="AD42" s="4" t="n">
        <f aca="false">AC42/$R42</f>
        <v>0.705977017189016</v>
      </c>
      <c r="AE42" s="24" t="n">
        <f aca="false">AC42-$R42</f>
        <v>-0.126429882608723</v>
      </c>
      <c r="AF42" s="25" t="n">
        <f aca="false">1/AD42</f>
        <v>1.41647670625553</v>
      </c>
      <c r="AG42" s="25" t="n">
        <f aca="false">AC42*(14.068*'Sem TS MC2020'!$P34^-0.457)/$R42</f>
        <v>0.652849776918561</v>
      </c>
      <c r="AH42" s="25"/>
      <c r="AP42" s="4" t="n">
        <f aca="false">$AQ$2*($AQ$3+$AQ$4*$F42/($N42*'Sem TS MC2020'!P34))*($AQ$5*$G42+$AQ$6*$B42/$N42)*('Sem TS MC2020'!P34^$AQ$7/200000)*($J42-$M42)/($J42-$M42-$H42)+('Sem TS MC2020'!P34-$C42/$AQ$8)*($AQ$5*$G42+$AQ$6*$B42/$N42)/200000</f>
        <v>0.316661628496744</v>
      </c>
      <c r="AQ42" s="4" t="n">
        <f aca="false">AP42/$R42</f>
        <v>0.736422391852892</v>
      </c>
      <c r="AR42" s="24" t="n">
        <f aca="false">AP42-$R42</f>
        <v>-0.113338371503256</v>
      </c>
    </row>
    <row r="43" customFormat="false" ht="14.25" hidden="false" customHeight="false" outlineLevel="0" collapsed="false">
      <c r="B43" s="2" t="n">
        <v>12</v>
      </c>
      <c r="C43" s="3" t="n">
        <v>500</v>
      </c>
      <c r="D43" s="3" t="n">
        <v>4</v>
      </c>
      <c r="E43" s="2" t="n">
        <v>79.3</v>
      </c>
      <c r="F43" s="4" t="n">
        <v>2.69332921131829</v>
      </c>
      <c r="G43" s="2" t="n">
        <v>20</v>
      </c>
      <c r="H43" s="2" t="n">
        <v>38</v>
      </c>
      <c r="I43" s="1" t="n">
        <v>350</v>
      </c>
      <c r="J43" s="2" t="n">
        <v>450</v>
      </c>
      <c r="K43" s="3" t="n">
        <v>452</v>
      </c>
      <c r="L43" s="4" t="n">
        <v>34300</v>
      </c>
      <c r="M43" s="3" t="n">
        <v>76.1694282016424</v>
      </c>
      <c r="N43" s="12" t="n">
        <v>0.0131778425655977</v>
      </c>
      <c r="O43" s="4" t="n">
        <v>90</v>
      </c>
      <c r="P43" s="3" t="n">
        <v>500</v>
      </c>
      <c r="Q43" s="4" t="n">
        <f aca="false">(P43-P$354)/P$355</f>
        <v>2.14044311333135</v>
      </c>
      <c r="R43" s="4" t="n">
        <v>0.56</v>
      </c>
      <c r="S43" s="13" t="n">
        <f aca="false">P43/200000</f>
        <v>0.0025</v>
      </c>
      <c r="W43" s="4" t="n">
        <f aca="false">$X$2*($X$3*$G43+$X$4*$B43^$X$5*$N43^$X$6)*$S43^$X$7</f>
        <v>0.412207856796638</v>
      </c>
      <c r="X43" s="4" t="n">
        <f aca="false">W43/$R43</f>
        <v>0.736085458565426</v>
      </c>
      <c r="Z43" s="4" t="n">
        <f aca="false">$AA$2*$B43^$AA$3*$S43^$AA$4*($AA$5*$N43^$AA$6+$AA$7)</f>
        <v>0.413914754180658</v>
      </c>
      <c r="AA43" s="4" t="n">
        <f aca="false">Z43/$R43</f>
        <v>0.739133489608318</v>
      </c>
      <c r="AC43" s="4" t="n">
        <f aca="false">$AD$2*($AD$3+$AD$4*$F43/($N43*'Sem TS MC2020'!P35))*($AD$5*$G43+$AD$6*$B43/$N43)*'Sem TS MC2020'!R35*($J43-$M43)/($J43-$M43-$H43)</f>
        <v>0.429079025336509</v>
      </c>
      <c r="AD43" s="4" t="n">
        <f aca="false">AC43/$R43</f>
        <v>0.766212545243766</v>
      </c>
      <c r="AE43" s="24" t="n">
        <f aca="false">AC43-$R43</f>
        <v>-0.130920974663491</v>
      </c>
      <c r="AF43" s="25" t="n">
        <f aca="false">1/AD43</f>
        <v>1.30512089133421</v>
      </c>
      <c r="AG43" s="25" t="n">
        <f aca="false">AC43*(14.068*'Sem TS MC2020'!$P35^-0.457)/$R43</f>
        <v>0.629727016975478</v>
      </c>
      <c r="AH43" s="25"/>
      <c r="AP43" s="4" t="n">
        <f aca="false">$AQ$2*($AQ$3+$AQ$4*$F43/($N43*'Sem TS MC2020'!P35))*($AQ$5*$G43+$AQ$6*$B43/$N43)*('Sem TS MC2020'!P35^$AQ$7/200000)*($J43-$M43)/($J43-$M43-$H43)+('Sem TS MC2020'!P35-$C43/$AQ$8)*($AQ$5*$G43+$AQ$6*$B43/$N43)/200000</f>
        <v>0.433616697796108</v>
      </c>
      <c r="AQ43" s="4" t="n">
        <f aca="false">AP43/$R43</f>
        <v>0.774315531778765</v>
      </c>
      <c r="AR43" s="24" t="n">
        <f aca="false">AP43-$R43</f>
        <v>-0.126383302203892</v>
      </c>
    </row>
    <row r="44" customFormat="false" ht="14.25" hidden="false" customHeight="false" outlineLevel="0" collapsed="false">
      <c r="B44" s="2" t="n">
        <v>12</v>
      </c>
      <c r="C44" s="3" t="n">
        <v>500</v>
      </c>
      <c r="D44" s="3" t="n">
        <v>4</v>
      </c>
      <c r="E44" s="2" t="n">
        <v>79.3</v>
      </c>
      <c r="F44" s="4" t="n">
        <v>2.69332921131829</v>
      </c>
      <c r="G44" s="2" t="n">
        <v>20</v>
      </c>
      <c r="H44" s="2" t="n">
        <v>38</v>
      </c>
      <c r="I44" s="1" t="n">
        <v>350</v>
      </c>
      <c r="J44" s="2" t="n">
        <v>450</v>
      </c>
      <c r="K44" s="3" t="n">
        <v>452</v>
      </c>
      <c r="L44" s="4" t="n">
        <v>34300</v>
      </c>
      <c r="M44" s="3" t="n">
        <v>76.1694282016424</v>
      </c>
      <c r="N44" s="12" t="n">
        <v>0.0131778425655977</v>
      </c>
      <c r="O44" s="4" t="n">
        <v>112.5</v>
      </c>
      <c r="P44" s="3" t="n">
        <v>500</v>
      </c>
      <c r="Q44" s="4" t="n">
        <f aca="false">(P44-P$354)/P$355</f>
        <v>2.14044311333135</v>
      </c>
      <c r="R44" s="4" t="n">
        <v>0.71</v>
      </c>
      <c r="S44" s="13" t="n">
        <f aca="false">P44/200000</f>
        <v>0.0025</v>
      </c>
      <c r="W44" s="4" t="n">
        <f aca="false">$X$2*($X$3*$G44+$X$4*$B44^$X$5*$N44^$X$6)*$S44^$X$7</f>
        <v>0.412207856796638</v>
      </c>
      <c r="X44" s="4" t="n">
        <f aca="false">W44/$R44</f>
        <v>0.580574446192449</v>
      </c>
      <c r="Z44" s="4" t="n">
        <f aca="false">$AA$2*$B44^$AA$3*$S44^$AA$4*($AA$5*$N44^$AA$6+$AA$7)</f>
        <v>0.413914754180658</v>
      </c>
      <c r="AA44" s="4" t="n">
        <f aca="false">Z44/$R44</f>
        <v>0.582978527015011</v>
      </c>
      <c r="AC44" s="4" t="n">
        <f aca="false">$AD$2*($AD$3+$AD$4*$F44/($N44*'Sem TS MC2020'!P36))*($AD$5*$G44+$AD$6*$B44/$N44)*'Sem TS MC2020'!R36*($J44-$M44)/($J44-$M44-$H44)</f>
        <v>0.429079025336509</v>
      </c>
      <c r="AD44" s="4" t="n">
        <f aca="false">AC44/$R44</f>
        <v>0.604336655403534</v>
      </c>
      <c r="AE44" s="24" t="n">
        <f aca="false">AC44-$R44</f>
        <v>-0.280920974663491</v>
      </c>
      <c r="AF44" s="25" t="n">
        <f aca="false">1/AD44</f>
        <v>1.65470684437016</v>
      </c>
      <c r="AG44" s="25" t="n">
        <f aca="false">AC44*(14.068*'Sem TS MC2020'!$P36^-0.457)/$R44</f>
        <v>0.496686097896152</v>
      </c>
      <c r="AH44" s="25"/>
      <c r="AP44" s="4" t="n">
        <f aca="false">$AQ$2*($AQ$3+$AQ$4*$F44/($N44*'Sem TS MC2020'!P36))*($AQ$5*$G44+$AQ$6*$B44/$N44)*('Sem TS MC2020'!P36^$AQ$7/200000)*($J44-$M44)/($J44-$M44-$H44)+('Sem TS MC2020'!P36-$C44/$AQ$8)*($AQ$5*$G44+$AQ$6*$B44/$N44)/200000</f>
        <v>0.433616697796108</v>
      </c>
      <c r="AQ44" s="4" t="n">
        <f aca="false">AP44/$R44</f>
        <v>0.610727743374801</v>
      </c>
      <c r="AR44" s="24" t="n">
        <f aca="false">AP44-$R44</f>
        <v>-0.276383302203892</v>
      </c>
    </row>
    <row r="45" customFormat="false" ht="14.25" hidden="false" customHeight="false" outlineLevel="0" collapsed="false">
      <c r="B45" s="2" t="n">
        <v>12</v>
      </c>
      <c r="C45" s="3" t="n">
        <v>500</v>
      </c>
      <c r="D45" s="3" t="n">
        <v>4</v>
      </c>
      <c r="E45" s="2" t="n">
        <v>79.3</v>
      </c>
      <c r="F45" s="4" t="n">
        <v>2.69332921131829</v>
      </c>
      <c r="G45" s="2" t="n">
        <v>20</v>
      </c>
      <c r="H45" s="2" t="n">
        <v>38</v>
      </c>
      <c r="I45" s="1" t="n">
        <v>350</v>
      </c>
      <c r="J45" s="2" t="n">
        <v>450</v>
      </c>
      <c r="K45" s="3" t="n">
        <v>452</v>
      </c>
      <c r="L45" s="4" t="n">
        <v>34300</v>
      </c>
      <c r="M45" s="3" t="n">
        <v>76.1694282016424</v>
      </c>
      <c r="N45" s="12" t="n">
        <v>0.0131778425655977</v>
      </c>
      <c r="O45" s="4" t="n">
        <v>120</v>
      </c>
      <c r="P45" s="3" t="n">
        <v>500</v>
      </c>
      <c r="Q45" s="4" t="n">
        <f aca="false">(P45-P$354)/P$355</f>
        <v>2.14044311333135</v>
      </c>
      <c r="R45" s="4" t="n">
        <v>0.79</v>
      </c>
      <c r="S45" s="13" t="n">
        <f aca="false">P45/200000</f>
        <v>0.0025</v>
      </c>
      <c r="W45" s="4" t="n">
        <f aca="false">$X$2*($X$3*$G45+$X$4*$B45^$X$5*$N45^$X$6)*$S45^$X$7</f>
        <v>0.412207856796638</v>
      </c>
      <c r="X45" s="4" t="n">
        <f aca="false">W45/$R45</f>
        <v>0.521782097210935</v>
      </c>
      <c r="Z45" s="4" t="n">
        <f aca="false">$AA$2*$B45^$AA$3*$S45^$AA$4*($AA$5*$N45^$AA$6+$AA$7)</f>
        <v>0.413914754180658</v>
      </c>
      <c r="AA45" s="4" t="n">
        <f aca="false">Z45/$R45</f>
        <v>0.52394272681096</v>
      </c>
      <c r="AC45" s="4" t="n">
        <f aca="false">$AD$2*($AD$3+$AD$4*$F45/($N45*'Sem TS MC2020'!P37))*($AD$5*$G45+$AD$6*$B45/$N45)*'Sem TS MC2020'!R37*($J45-$M45)/($J45-$M45-$H45)</f>
        <v>0.429079025336509</v>
      </c>
      <c r="AD45" s="4" t="n">
        <f aca="false">AC45/$R45</f>
        <v>0.543138006755075</v>
      </c>
      <c r="AE45" s="24" t="n">
        <f aca="false">AC45-$R45</f>
        <v>-0.360920974663491</v>
      </c>
      <c r="AF45" s="25" t="n">
        <f aca="false">1/AD45</f>
        <v>1.84115268598934</v>
      </c>
      <c r="AG45" s="25" t="n">
        <f aca="false">AC45*(14.068*'Sem TS MC2020'!$P37^-0.457)/$R45</f>
        <v>0.446388771526921</v>
      </c>
      <c r="AH45" s="25"/>
      <c r="AP45" s="4" t="n">
        <f aca="false">$AQ$2*($AQ$3+$AQ$4*$F45/($N45*'Sem TS MC2020'!P37))*($AQ$5*$G45+$AQ$6*$B45/$N45)*('Sem TS MC2020'!P37^$AQ$7/200000)*($J45-$M45)/($J45-$M45-$H45)+('Sem TS MC2020'!P37-$C45/$AQ$8)*($AQ$5*$G45+$AQ$6*$B45/$N45)/200000</f>
        <v>0.433616697796108</v>
      </c>
      <c r="AQ45" s="4" t="n">
        <f aca="false">AP45/$R45</f>
        <v>0.548881895944441</v>
      </c>
      <c r="AR45" s="24" t="n">
        <f aca="false">AP45-$R45</f>
        <v>-0.356383302203892</v>
      </c>
    </row>
    <row r="46" customFormat="false" ht="14.25" hidden="false" customHeight="false" outlineLevel="0" collapsed="false">
      <c r="A46" s="1" t="s">
        <v>28</v>
      </c>
      <c r="B46" s="2" t="n">
        <v>25</v>
      </c>
      <c r="C46" s="3" t="n">
        <v>500</v>
      </c>
      <c r="D46" s="3" t="n">
        <v>4</v>
      </c>
      <c r="E46" s="2" t="n">
        <v>62</v>
      </c>
      <c r="F46" s="4" t="n">
        <v>2.69332921131829</v>
      </c>
      <c r="G46" s="2" t="n">
        <v>20</v>
      </c>
      <c r="H46" s="2" t="n">
        <v>44.5</v>
      </c>
      <c r="I46" s="1" t="n">
        <v>350</v>
      </c>
      <c r="J46" s="2" t="n">
        <v>450</v>
      </c>
      <c r="K46" s="3" t="n">
        <v>1964</v>
      </c>
      <c r="L46" s="4" t="n">
        <v>54512.5</v>
      </c>
      <c r="M46" s="3" t="n">
        <v>140.92716892937</v>
      </c>
      <c r="N46" s="12" t="n">
        <v>0.0360284338454483</v>
      </c>
      <c r="O46" s="4" t="n">
        <v>75</v>
      </c>
      <c r="P46" s="3" t="n">
        <v>50.8503623319182</v>
      </c>
      <c r="Q46" s="4" t="n">
        <f aca="false">(P46-P$354)/P$355</f>
        <v>-1.62510735320837</v>
      </c>
      <c r="R46" s="4" t="n">
        <v>0.2</v>
      </c>
      <c r="S46" s="13" t="n">
        <f aca="false">P46/200000</f>
        <v>0.000254251811659591</v>
      </c>
      <c r="W46" s="4" t="n">
        <f aca="false">$X$2*($X$3*$G46+$X$4*$B46^$X$5*$N46^$X$6)*$S46^$X$7</f>
        <v>0.108324680278923</v>
      </c>
      <c r="X46" s="4" t="n">
        <f aca="false">W46/$R46</f>
        <v>0.541623401394614</v>
      </c>
      <c r="Z46" s="4" t="n">
        <f aca="false">$AA$2*$B46^$AA$3*$S46^$AA$4*($AA$5*$N46^$AA$6+$AA$7)</f>
        <v>0.106865183555593</v>
      </c>
      <c r="AA46" s="4" t="n">
        <f aca="false">Z46/$R46</f>
        <v>0.534325917777965</v>
      </c>
      <c r="AC46" s="4" t="n">
        <f aca="false">$AD$2*($AD$3+$AD$4*$F46/($N46*'Sem TS MC2020'!P38))*($AD$5*$G46+$AD$6*$B46/$N46)*'Sem TS MC2020'!R38*($J46-$M46)/($J46-$M46-$H46)</f>
        <v>0.0605551858946653</v>
      </c>
      <c r="AD46" s="4" t="n">
        <f aca="false">AC46/$R46</f>
        <v>0.302775929473326</v>
      </c>
      <c r="AE46" s="24" t="n">
        <f aca="false">AC46-$R46</f>
        <v>-0.139444814105335</v>
      </c>
      <c r="AF46" s="25" t="n">
        <f aca="false">1/AD46</f>
        <v>3.30277245532524</v>
      </c>
      <c r="AG46" s="25" t="n">
        <f aca="false">AC46*(14.068*'Sem TS MC2020'!$P38^-0.457)/$R46</f>
        <v>0.504465362469803</v>
      </c>
      <c r="AH46" s="25"/>
      <c r="AP46" s="4" t="n">
        <f aca="false">$AQ$2*($AQ$3+$AQ$4*$F46/($N46*'Sem TS MC2020'!P38))*($AQ$5*$G46+$AQ$6*$B46/$N46)*('Sem TS MC2020'!P38^$AQ$7/200000)*($J46-$M46)/($J46-$M46-$H46)+('Sem TS MC2020'!P38-$C46/$AQ$8)*($AQ$5*$G46+$AQ$6*$B46/$N46)/200000</f>
        <v>0.066702388695028</v>
      </c>
      <c r="AQ46" s="4" t="n">
        <f aca="false">AP46/$R46</f>
        <v>0.33351194347514</v>
      </c>
      <c r="AR46" s="24" t="n">
        <f aca="false">AP46-$R46</f>
        <v>-0.133297611304972</v>
      </c>
    </row>
    <row r="47" customFormat="false" ht="14.25" hidden="false" customHeight="false" outlineLevel="0" collapsed="false">
      <c r="B47" s="2" t="n">
        <v>25</v>
      </c>
      <c r="C47" s="3" t="n">
        <v>500</v>
      </c>
      <c r="D47" s="3" t="n">
        <v>4</v>
      </c>
      <c r="E47" s="2" t="n">
        <v>62</v>
      </c>
      <c r="F47" s="4" t="n">
        <v>2.69332921131829</v>
      </c>
      <c r="G47" s="2" t="n">
        <v>20</v>
      </c>
      <c r="H47" s="2" t="n">
        <v>44.5</v>
      </c>
      <c r="I47" s="1" t="n">
        <v>350</v>
      </c>
      <c r="J47" s="2" t="n">
        <v>450</v>
      </c>
      <c r="K47" s="3" t="n">
        <v>1964</v>
      </c>
      <c r="L47" s="4" t="n">
        <v>54512.5</v>
      </c>
      <c r="M47" s="3" t="n">
        <v>140.92716892937</v>
      </c>
      <c r="N47" s="12" t="n">
        <v>0.0360284338454483</v>
      </c>
      <c r="O47" s="4" t="n">
        <v>135</v>
      </c>
      <c r="P47" s="3" t="n">
        <v>136.392275585503</v>
      </c>
      <c r="Q47" s="4" t="n">
        <f aca="false">(P47-P$354)/P$355</f>
        <v>-0.907946825075482</v>
      </c>
      <c r="R47" s="4" t="n">
        <v>0.25</v>
      </c>
      <c r="S47" s="13" t="n">
        <f aca="false">P47/200000</f>
        <v>0.000681961377927515</v>
      </c>
      <c r="W47" s="4" t="n">
        <f aca="false">$X$2*($X$3*$G47+$X$4*$B47^$X$5*$N47^$X$6)*$S47^$X$7</f>
        <v>0.199117429558356</v>
      </c>
      <c r="X47" s="4" t="n">
        <f aca="false">W47/$R47</f>
        <v>0.796469718233424</v>
      </c>
      <c r="Z47" s="4" t="n">
        <f aca="false">$AA$2*$B47^$AA$3*$S47^$AA$4*($AA$5*$N47^$AA$6+$AA$7)</f>
        <v>0.198578191147657</v>
      </c>
      <c r="AA47" s="4" t="n">
        <f aca="false">Z47/$R47</f>
        <v>0.794312764590628</v>
      </c>
      <c r="AC47" s="4" t="n">
        <f aca="false">$AD$2*($AD$3+$AD$4*$F47/($N47*'Sem TS MC2020'!P39))*($AD$5*$G47+$AD$6*$B47/$N47)*'Sem TS MC2020'!R39*($J47-$M47)/($J47-$M47-$H47)</f>
        <v>0.138922752550471</v>
      </c>
      <c r="AD47" s="4" t="n">
        <f aca="false">AC47/$R47</f>
        <v>0.555691010201885</v>
      </c>
      <c r="AE47" s="24" t="n">
        <f aca="false">AC47-$R47</f>
        <v>-0.111077247449529</v>
      </c>
      <c r="AF47" s="25" t="n">
        <f aca="false">1/AD47</f>
        <v>1.79956123392512</v>
      </c>
      <c r="AG47" s="25" t="n">
        <f aca="false">AC47*(14.068*'Sem TS MC2020'!$P39^-0.457)/$R47</f>
        <v>0.707756460309283</v>
      </c>
      <c r="AH47" s="25"/>
      <c r="AP47" s="4" t="n">
        <f aca="false">$AQ$2*($AQ$3+$AQ$4*$F47/($N47*'Sem TS MC2020'!P39))*($AQ$5*$G47+$AQ$6*$B47/$N47)*('Sem TS MC2020'!P39^$AQ$7/200000)*($J47-$M47)/($J47-$M47-$H47)+('Sem TS MC2020'!P39-$C47/$AQ$8)*($AQ$5*$G47+$AQ$6*$B47/$N47)/200000</f>
        <v>0.154060510433564</v>
      </c>
      <c r="AQ47" s="4" t="n">
        <f aca="false">AP47/$R47</f>
        <v>0.616242041734257</v>
      </c>
      <c r="AR47" s="24" t="n">
        <f aca="false">AP47-$R47</f>
        <v>-0.0959394895664358</v>
      </c>
    </row>
    <row r="48" customFormat="false" ht="14.25" hidden="false" customHeight="false" outlineLevel="0" collapsed="false">
      <c r="B48" s="2" t="n">
        <v>25</v>
      </c>
      <c r="C48" s="3" t="n">
        <v>500</v>
      </c>
      <c r="D48" s="3" t="n">
        <v>4</v>
      </c>
      <c r="E48" s="2" t="n">
        <v>62</v>
      </c>
      <c r="F48" s="4" t="n">
        <v>2.69332921131829</v>
      </c>
      <c r="G48" s="2" t="n">
        <v>20</v>
      </c>
      <c r="H48" s="2" t="n">
        <v>44.5</v>
      </c>
      <c r="I48" s="1" t="n">
        <v>350</v>
      </c>
      <c r="J48" s="2" t="n">
        <v>450</v>
      </c>
      <c r="K48" s="3" t="n">
        <v>1964</v>
      </c>
      <c r="L48" s="4" t="n">
        <v>54512.5</v>
      </c>
      <c r="M48" s="3" t="n">
        <v>140.92716892937</v>
      </c>
      <c r="N48" s="12" t="n">
        <v>0.0360284338454483</v>
      </c>
      <c r="O48" s="4" t="n">
        <v>195</v>
      </c>
      <c r="P48" s="3" t="n">
        <v>238.242392804302</v>
      </c>
      <c r="Q48" s="4" t="n">
        <f aca="false">(P48-P$354)/P$355</f>
        <v>-0.0540626754598641</v>
      </c>
      <c r="R48" s="4" t="n">
        <v>0.36</v>
      </c>
      <c r="S48" s="13" t="n">
        <f aca="false">P48/200000</f>
        <v>0.00119121196402151</v>
      </c>
      <c r="W48" s="4" t="n">
        <f aca="false">$X$2*($X$3*$G48+$X$4*$B48^$X$5*$N48^$X$6)*$S48^$X$7</f>
        <v>0.280908405766269</v>
      </c>
      <c r="X48" s="4" t="n">
        <f aca="false">W48/$R48</f>
        <v>0.780301127128525</v>
      </c>
      <c r="Z48" s="4" t="n">
        <f aca="false">$AA$2*$B48^$AA$3*$S48^$AA$4*($AA$5*$N48^$AA$6+$AA$7)</f>
        <v>0.281871735897184</v>
      </c>
      <c r="AA48" s="4" t="n">
        <f aca="false">Z48/$R48</f>
        <v>0.782977044158846</v>
      </c>
      <c r="AC48" s="4" t="n">
        <f aca="false">$AD$2*($AD$3+$AD$4*$F48/($N48*'Sem TS MC2020'!P40))*($AD$5*$G48+$AD$6*$B48/$N48)*'Sem TS MC2020'!R40*($J48-$M48)/($J48-$M48-$H48)</f>
        <v>0.217290319206277</v>
      </c>
      <c r="AD48" s="4" t="n">
        <f aca="false">AC48/$R48</f>
        <v>0.603584220017436</v>
      </c>
      <c r="AE48" s="24" t="n">
        <f aca="false">AC48-$R48</f>
        <v>-0.142709680793723</v>
      </c>
      <c r="AF48" s="25" t="n">
        <f aca="false">1/AD48</f>
        <v>1.65676962192801</v>
      </c>
      <c r="AG48" s="25" t="n">
        <f aca="false">AC48*(14.068*'Sem TS MC2020'!$P40^-0.457)/$R48</f>
        <v>0.649837939594115</v>
      </c>
      <c r="AH48" s="25"/>
      <c r="AP48" s="4" t="n">
        <f aca="false">$AQ$2*($AQ$3+$AQ$4*$F48/($N48*'Sem TS MC2020'!P40))*($AQ$5*$G48+$AQ$6*$B48/$N48)*('Sem TS MC2020'!P40^$AQ$7/200000)*($J48-$M48)/($J48-$M48-$H48)+('Sem TS MC2020'!P40-$C48/$AQ$8)*($AQ$5*$G48+$AQ$6*$B48/$N48)/200000</f>
        <v>0.233205293412371</v>
      </c>
      <c r="AQ48" s="4" t="n">
        <f aca="false">AP48/$R48</f>
        <v>0.647792481701032</v>
      </c>
      <c r="AR48" s="24" t="n">
        <f aca="false">AP48-$R48</f>
        <v>-0.126794706587629</v>
      </c>
    </row>
    <row r="49" customFormat="false" ht="14.25" hidden="false" customHeight="false" outlineLevel="0" collapsed="false">
      <c r="B49" s="2" t="n">
        <v>25</v>
      </c>
      <c r="C49" s="3" t="n">
        <v>500</v>
      </c>
      <c r="D49" s="3" t="n">
        <v>4</v>
      </c>
      <c r="E49" s="2" t="n">
        <v>62</v>
      </c>
      <c r="F49" s="4" t="n">
        <v>2.69332921131829</v>
      </c>
      <c r="G49" s="2" t="n">
        <v>20</v>
      </c>
      <c r="H49" s="2" t="n">
        <v>44.5</v>
      </c>
      <c r="I49" s="1" t="n">
        <v>350</v>
      </c>
      <c r="J49" s="2" t="n">
        <v>450</v>
      </c>
      <c r="K49" s="3" t="n">
        <v>1964</v>
      </c>
      <c r="L49" s="4" t="n">
        <v>54512.5</v>
      </c>
      <c r="M49" s="3" t="n">
        <v>140.92716892937</v>
      </c>
      <c r="N49" s="12" t="n">
        <v>0.0360284338454483</v>
      </c>
      <c r="O49" s="4" t="n">
        <v>255</v>
      </c>
      <c r="P49" s="3" t="n">
        <v>340.0925100231</v>
      </c>
      <c r="Q49" s="4" t="n">
        <f aca="false">(P49-P$354)/P$355</f>
        <v>0.799821474155754</v>
      </c>
      <c r="R49" s="4" t="n">
        <v>0.47</v>
      </c>
      <c r="S49" s="13" t="n">
        <f aca="false">P49/200000</f>
        <v>0.0017004625501155</v>
      </c>
      <c r="W49" s="4" t="n">
        <f aca="false">$X$2*($X$3*$G49+$X$4*$B49^$X$5*$N49^$X$6)*$S49^$X$7</f>
        <v>0.349896321332871</v>
      </c>
      <c r="X49" s="4" t="n">
        <f aca="false">W49/$R49</f>
        <v>0.744460258155044</v>
      </c>
      <c r="Z49" s="4" t="n">
        <f aca="false">$AA$2*$B49^$AA$3*$S49^$AA$4*($AA$5*$N49^$AA$6+$AA$7)</f>
        <v>0.352473547756281</v>
      </c>
      <c r="AA49" s="4" t="n">
        <f aca="false">Z49/$R49</f>
        <v>0.749943718630386</v>
      </c>
      <c r="AC49" s="4" t="n">
        <f aca="false">$AD$2*($AD$3+$AD$4*$F49/($N49*'Sem TS MC2020'!P41))*($AD$5*$G49+$AD$6*$B49/$N49)*'Sem TS MC2020'!R41*($J49-$M49)/($J49-$M49-$H49)</f>
        <v>0.295657885862083</v>
      </c>
      <c r="AD49" s="4" t="n">
        <f aca="false">AC49/$R49</f>
        <v>0.629059331621453</v>
      </c>
      <c r="AE49" s="24" t="n">
        <f aca="false">AC49-$R49</f>
        <v>-0.174342114137917</v>
      </c>
      <c r="AF49" s="25" t="n">
        <f aca="false">1/AD49</f>
        <v>1.58967517010266</v>
      </c>
      <c r="AG49" s="25" t="n">
        <f aca="false">AC49*(14.068*'Sem TS MC2020'!$P41^-0.457)/$R49</f>
        <v>0.599122666090842</v>
      </c>
      <c r="AH49" s="25"/>
      <c r="AP49" s="4" t="n">
        <f aca="false">$AQ$2*($AQ$3+$AQ$4*$F49/($N49*'Sem TS MC2020'!P41))*($AQ$5*$G49+$AQ$6*$B49/$N49)*('Sem TS MC2020'!P41^$AQ$7/200000)*($J49-$M49)/($J49-$M49-$H49)+('Sem TS MC2020'!P41-$C49/$AQ$8)*($AQ$5*$G49+$AQ$6*$B49/$N49)/200000</f>
        <v>0.30759833986228</v>
      </c>
      <c r="AQ49" s="4" t="n">
        <f aca="false">AP49/$R49</f>
        <v>0.654464552898468</v>
      </c>
      <c r="AR49" s="24" t="n">
        <f aca="false">AP49-$R49</f>
        <v>-0.16240166013772</v>
      </c>
    </row>
    <row r="50" customFormat="false" ht="14.25" hidden="false" customHeight="false" outlineLevel="0" collapsed="false">
      <c r="B50" s="2" t="n">
        <v>25</v>
      </c>
      <c r="C50" s="3" t="n">
        <v>500</v>
      </c>
      <c r="D50" s="3" t="n">
        <v>4</v>
      </c>
      <c r="E50" s="2" t="n">
        <v>62</v>
      </c>
      <c r="F50" s="4" t="n">
        <v>2.69332921131829</v>
      </c>
      <c r="G50" s="2" t="n">
        <v>20</v>
      </c>
      <c r="H50" s="2" t="n">
        <v>44.5</v>
      </c>
      <c r="I50" s="1" t="n">
        <v>350</v>
      </c>
      <c r="J50" s="2" t="n">
        <v>450</v>
      </c>
      <c r="K50" s="3" t="n">
        <v>1964</v>
      </c>
      <c r="L50" s="4" t="n">
        <v>54512.5</v>
      </c>
      <c r="M50" s="3" t="n">
        <v>140.92716892937</v>
      </c>
      <c r="N50" s="12" t="n">
        <v>0.0360284338454483</v>
      </c>
      <c r="O50" s="4" t="n">
        <v>300</v>
      </c>
      <c r="P50" s="3" t="n">
        <v>416.4800979372</v>
      </c>
      <c r="Q50" s="4" t="n">
        <f aca="false">(P50-P$354)/P$355</f>
        <v>1.44023458636747</v>
      </c>
      <c r="R50" s="4" t="n">
        <v>0.57</v>
      </c>
      <c r="S50" s="13" t="n">
        <f aca="false">P50/200000</f>
        <v>0.002082400489686</v>
      </c>
      <c r="W50" s="4" t="n">
        <f aca="false">$X$2*($X$3*$G50+$X$4*$B50^$X$5*$N50^$X$6)*$S50^$X$7</f>
        <v>0.396491279628574</v>
      </c>
      <c r="X50" s="4" t="n">
        <f aca="false">W50/$R50</f>
        <v>0.695598736190481</v>
      </c>
      <c r="Z50" s="4" t="n">
        <f aca="false">$AA$2*$B50^$AA$3*$S50^$AA$4*($AA$5*$N50^$AA$6+$AA$7)</f>
        <v>0.400302923929897</v>
      </c>
      <c r="AA50" s="4" t="n">
        <f aca="false">Z50/$R50</f>
        <v>0.70228583145596</v>
      </c>
      <c r="AC50" s="4" t="n">
        <f aca="false">$AD$2*($AD$3+$AD$4*$F50/($N50*'Sem TS MC2020'!P42))*($AD$5*$G50+$AD$6*$B50/$N50)*'Sem TS MC2020'!R42*($J50-$M50)/($J50-$M50-$H50)</f>
        <v>0.354433560853938</v>
      </c>
      <c r="AD50" s="4" t="n">
        <f aca="false">AC50/$R50</f>
        <v>0.621813264656031</v>
      </c>
      <c r="AE50" s="24" t="n">
        <f aca="false">AC50-$R50</f>
        <v>-0.215566439146062</v>
      </c>
      <c r="AF50" s="25" t="n">
        <f aca="false">1/AD50</f>
        <v>1.60819985169209</v>
      </c>
      <c r="AG50" s="25" t="n">
        <f aca="false">AC50*(14.068*'Sem TS MC2020'!$P42^-0.457)/$R50</f>
        <v>0.549830177341714</v>
      </c>
      <c r="AH50" s="25"/>
      <c r="AP50" s="4" t="n">
        <f aca="false">$AQ$2*($AQ$3+$AQ$4*$F50/($N50*'Sem TS MC2020'!P42))*($AQ$5*$G50+$AQ$6*$B50/$N50)*('Sem TS MC2020'!P42^$AQ$7/200000)*($J50-$M50)/($J50-$M50-$H50)+('Sem TS MC2020'!P42-$C50/$AQ$8)*($AQ$5*$G50+$AQ$6*$B50/$N50)/200000</f>
        <v>0.361191701250995</v>
      </c>
      <c r="AQ50" s="4" t="n">
        <f aca="false">AP50/$R50</f>
        <v>0.633669651317536</v>
      </c>
      <c r="AR50" s="24" t="n">
        <f aca="false">AP50-$R50</f>
        <v>-0.208808298749005</v>
      </c>
    </row>
    <row r="51" customFormat="false" ht="14.25" hidden="false" customHeight="false" outlineLevel="0" collapsed="false">
      <c r="B51" s="2" t="n">
        <v>25</v>
      </c>
      <c r="C51" s="3" t="n">
        <v>500</v>
      </c>
      <c r="D51" s="3" t="n">
        <v>4</v>
      </c>
      <c r="E51" s="2" t="n">
        <v>62</v>
      </c>
      <c r="F51" s="4" t="n">
        <v>2.69332921131829</v>
      </c>
      <c r="G51" s="2" t="n">
        <v>20</v>
      </c>
      <c r="H51" s="2" t="n">
        <v>44.5</v>
      </c>
      <c r="I51" s="1" t="n">
        <v>350</v>
      </c>
      <c r="J51" s="2" t="n">
        <v>450</v>
      </c>
      <c r="K51" s="3" t="n">
        <v>1964</v>
      </c>
      <c r="L51" s="4" t="n">
        <v>54512.5</v>
      </c>
      <c r="M51" s="3" t="n">
        <v>140.92716892937</v>
      </c>
      <c r="N51" s="12" t="n">
        <v>0.0360284338454483</v>
      </c>
      <c r="O51" s="4" t="n">
        <v>360</v>
      </c>
      <c r="P51" s="3" t="n">
        <v>500</v>
      </c>
      <c r="Q51" s="4" t="n">
        <f aca="false">(P51-P$354)/P$355</f>
        <v>2.14044311333135</v>
      </c>
      <c r="R51" s="4" t="n">
        <v>0.78</v>
      </c>
      <c r="S51" s="13" t="n">
        <f aca="false">P51/200000</f>
        <v>0.0025</v>
      </c>
      <c r="W51" s="4" t="n">
        <f aca="false">$X$2*($X$3*$G51+$X$4*$B51^$X$5*$N51^$X$6)*$S51^$X$7</f>
        <v>0.443821644809653</v>
      </c>
      <c r="X51" s="4" t="n">
        <f aca="false">W51/$R51</f>
        <v>0.569002108730324</v>
      </c>
      <c r="Z51" s="4" t="n">
        <f aca="false">$AA$2*$B51^$AA$3*$S51^$AA$4*($AA$5*$N51^$AA$6+$AA$7)</f>
        <v>0.44899006805271</v>
      </c>
      <c r="AA51" s="4" t="n">
        <f aca="false">Z51/$R51</f>
        <v>0.575628292375269</v>
      </c>
      <c r="AC51" s="4" t="n">
        <f aca="false">$AD$2*($AD$3+$AD$4*$F51/($N51*'Sem TS MC2020'!P43))*($AD$5*$G51+$AD$6*$B51/$N51)*'Sem TS MC2020'!R43*($J51-$M51)/($J51-$M51-$H51)</f>
        <v>0.422444644644484</v>
      </c>
      <c r="AD51" s="4" t="n">
        <f aca="false">AC51/$R51</f>
        <v>0.541595698262159</v>
      </c>
      <c r="AE51" s="24" t="n">
        <f aca="false">AC51-$R51</f>
        <v>-0.357555355355516</v>
      </c>
      <c r="AF51" s="25" t="n">
        <f aca="false">1/AD51</f>
        <v>1.84639575832811</v>
      </c>
      <c r="AG51" s="25" t="n">
        <f aca="false">AC51*(14.068*'Sem TS MC2020'!$P43^-0.457)/$R51</f>
        <v>0.445121194622146</v>
      </c>
      <c r="AH51" s="25"/>
      <c r="AP51" s="4" t="n">
        <f aca="false">$AQ$2*($AQ$3+$AQ$4*$F51/($N51*'Sem TS MC2020'!P43))*($AQ$5*$G51+$AQ$6*$B51/$N51)*('Sem TS MC2020'!P43^$AQ$7/200000)*($J51-$M51)/($J51-$M51-$H51)+('Sem TS MC2020'!P43-$C51/$AQ$8)*($AQ$5*$G51+$AQ$6*$B51/$N51)/200000</f>
        <v>0.421381469719681</v>
      </c>
      <c r="AQ51" s="4" t="n">
        <f aca="false">AP51/$R51</f>
        <v>0.540232653486771</v>
      </c>
      <c r="AR51" s="24" t="n">
        <f aca="false">AP51-$R51</f>
        <v>-0.358618530280319</v>
      </c>
    </row>
    <row r="52" customFormat="false" ht="14.25" hidden="false" customHeight="false" outlineLevel="0" collapsed="false">
      <c r="A52" s="1" t="s">
        <v>29</v>
      </c>
      <c r="B52" s="2" t="n">
        <v>12</v>
      </c>
      <c r="C52" s="3" t="n">
        <v>500</v>
      </c>
      <c r="D52" s="3" t="n">
        <v>4</v>
      </c>
      <c r="E52" s="2" t="n">
        <v>79.3</v>
      </c>
      <c r="F52" s="4" t="n">
        <v>2.69332921131829</v>
      </c>
      <c r="G52" s="2" t="n">
        <v>20</v>
      </c>
      <c r="H52" s="2" t="n">
        <v>34</v>
      </c>
      <c r="I52" s="1" t="n">
        <v>350</v>
      </c>
      <c r="J52" s="2" t="n">
        <v>450</v>
      </c>
      <c r="K52" s="3" t="n">
        <v>452</v>
      </c>
      <c r="L52" s="4" t="n">
        <v>32900</v>
      </c>
      <c r="M52" s="3" t="n">
        <v>76.5758696896729</v>
      </c>
      <c r="N52" s="12" t="n">
        <v>0.0137386018237082</v>
      </c>
      <c r="O52" s="4" t="n">
        <v>37.5</v>
      </c>
      <c r="P52" s="3" t="n">
        <v>94.1521358627311</v>
      </c>
      <c r="Q52" s="4" t="n">
        <f aca="false">(P52-P$354)/P$355</f>
        <v>-1.26207686215085</v>
      </c>
      <c r="R52" s="4" t="n">
        <v>0.21</v>
      </c>
      <c r="S52" s="13" t="n">
        <f aca="false">P52/200000</f>
        <v>0.000470760679313655</v>
      </c>
      <c r="W52" s="4" t="n">
        <f aca="false">$X$2*($X$3*$G52+$X$4*$B52^$X$5*$N52^$X$6)*$S52^$X$7</f>
        <v>0.144593928944463</v>
      </c>
      <c r="X52" s="4" t="n">
        <f aca="false">W52/$R52</f>
        <v>0.688542518783156</v>
      </c>
      <c r="Z52" s="4" t="n">
        <f aca="false">$AA$2*$B52^$AA$3*$S52^$AA$4*($AA$5*$N52^$AA$6+$AA$7)</f>
        <v>0.142235272211345</v>
      </c>
      <c r="AA52" s="4" t="n">
        <f aca="false">Z52/$R52</f>
        <v>0.677310820054024</v>
      </c>
      <c r="AC52" s="4" t="n">
        <f aca="false">$AD$2*($AD$3+$AD$4*$F52/($N52*'Sem TS MC2020'!P44))*($AD$5*$G52+$AD$6*$B52/$N52)*'Sem TS MC2020'!R44*($J52-$M52)/($J52-$M52-$H52)</f>
        <v>0.111339717013543</v>
      </c>
      <c r="AD52" s="4" t="n">
        <f aca="false">AC52/$R52</f>
        <v>0.53018912863592</v>
      </c>
      <c r="AE52" s="24" t="n">
        <f aca="false">AC52-$R52</f>
        <v>-0.0986602829864568</v>
      </c>
      <c r="AF52" s="25" t="n">
        <f aca="false">1/AD52</f>
        <v>1.88611939775683</v>
      </c>
      <c r="AG52" s="25" t="n">
        <f aca="false">AC52*(14.068*'Sem TS MC2020'!$P44^-0.457)/$R52</f>
        <v>0.644298490433148</v>
      </c>
      <c r="AH52" s="25"/>
      <c r="AP52" s="4" t="n">
        <f aca="false">$AQ$2*($AQ$3+$AQ$4*$F52/($N52*'Sem TS MC2020'!P44))*($AQ$5*$G52+$AQ$6*$B52/$N52)*('Sem TS MC2020'!P44^$AQ$7/200000)*($J52-$M52)/($J52-$M52-$H52)+('Sem TS MC2020'!P44-$C52/$AQ$8)*($AQ$5*$G52+$AQ$6*$B52/$N52)/200000</f>
        <v>0.120240867099428</v>
      </c>
      <c r="AQ52" s="4" t="n">
        <f aca="false">AP52/$R52</f>
        <v>0.572575557616324</v>
      </c>
      <c r="AR52" s="24" t="n">
        <f aca="false">AP52-$R52</f>
        <v>-0.089759132900572</v>
      </c>
    </row>
    <row r="53" customFormat="false" ht="14.25" hidden="false" customHeight="false" outlineLevel="0" collapsed="false">
      <c r="B53" s="2" t="n">
        <v>12</v>
      </c>
      <c r="C53" s="3" t="n">
        <v>500</v>
      </c>
      <c r="D53" s="3" t="n">
        <v>4</v>
      </c>
      <c r="E53" s="2" t="n">
        <v>79.3</v>
      </c>
      <c r="F53" s="4" t="n">
        <v>2.69332921131829</v>
      </c>
      <c r="G53" s="2" t="n">
        <v>20</v>
      </c>
      <c r="H53" s="2" t="n">
        <v>34</v>
      </c>
      <c r="I53" s="1" t="n">
        <v>350</v>
      </c>
      <c r="J53" s="2" t="n">
        <v>450</v>
      </c>
      <c r="K53" s="3" t="n">
        <v>452</v>
      </c>
      <c r="L53" s="4" t="n">
        <v>32900</v>
      </c>
      <c r="M53" s="3" t="n">
        <v>76.5758696896729</v>
      </c>
      <c r="N53" s="12" t="n">
        <v>0.0137386018237082</v>
      </c>
      <c r="O53" s="4" t="n">
        <v>45</v>
      </c>
      <c r="P53" s="3" t="n">
        <v>155.793729022078</v>
      </c>
      <c r="Q53" s="4" t="n">
        <f aca="false">(P53-P$354)/P$355</f>
        <v>-0.745290227111949</v>
      </c>
      <c r="R53" s="4" t="n">
        <v>0.31</v>
      </c>
      <c r="S53" s="13" t="n">
        <f aca="false">P53/200000</f>
        <v>0.000778968645110391</v>
      </c>
      <c r="W53" s="4" t="n">
        <f aca="false">$X$2*($X$3*$G53+$X$4*$B53^$X$5*$N53^$X$6)*$S53^$X$7</f>
        <v>0.197287774047338</v>
      </c>
      <c r="X53" s="4" t="n">
        <f aca="false">W53/$R53</f>
        <v>0.636412174346251</v>
      </c>
      <c r="Z53" s="4" t="n">
        <f aca="false">$AA$2*$B53^$AA$3*$S53^$AA$4*($AA$5*$N53^$AA$6+$AA$7)</f>
        <v>0.19514765645076</v>
      </c>
      <c r="AA53" s="4" t="n">
        <f aca="false">Z53/$R53</f>
        <v>0.629508569196001</v>
      </c>
      <c r="AC53" s="4" t="n">
        <f aca="false">$AD$2*($AD$3+$AD$4*$F53/($N53*'Sem TS MC2020'!P45))*($AD$5*$G53+$AD$6*$B53/$N53)*'Sem TS MC2020'!R45*($J53-$M53)/($J53-$M53-$H53)</f>
        <v>0.156051894896339</v>
      </c>
      <c r="AD53" s="4" t="n">
        <f aca="false">AC53/$R53</f>
        <v>0.50339320934303</v>
      </c>
      <c r="AE53" s="24" t="n">
        <f aca="false">AC53-$R53</f>
        <v>-0.153948105103661</v>
      </c>
      <c r="AF53" s="25" t="n">
        <f aca="false">1/AD53</f>
        <v>1.98651865269514</v>
      </c>
      <c r="AG53" s="25" t="n">
        <f aca="false">AC53*(14.068*'Sem TS MC2020'!$P45^-0.457)/$R53</f>
        <v>0.562830752311675</v>
      </c>
      <c r="AH53" s="25"/>
      <c r="AP53" s="4" t="n">
        <f aca="false">$AQ$2*($AQ$3+$AQ$4*$F53/($N53*'Sem TS MC2020'!P45))*($AQ$5*$G53+$AQ$6*$B53/$N53)*('Sem TS MC2020'!P45^$AQ$7/200000)*($J53-$M53)/($J53-$M53-$H53)+('Sem TS MC2020'!P45-$C53/$AQ$8)*($AQ$5*$G53+$AQ$6*$B53/$N53)/200000</f>
        <v>0.168431377975007</v>
      </c>
      <c r="AQ53" s="4" t="n">
        <f aca="false">AP53/$R53</f>
        <v>0.543327025725828</v>
      </c>
      <c r="AR53" s="24" t="n">
        <f aca="false">AP53-$R53</f>
        <v>-0.141568622024993</v>
      </c>
    </row>
    <row r="54" customFormat="false" ht="14.25" hidden="false" customHeight="false" outlineLevel="0" collapsed="false">
      <c r="B54" s="2" t="n">
        <v>12</v>
      </c>
      <c r="C54" s="3" t="n">
        <v>500</v>
      </c>
      <c r="D54" s="3" t="n">
        <v>4</v>
      </c>
      <c r="E54" s="2" t="n">
        <v>79.3</v>
      </c>
      <c r="F54" s="4" t="n">
        <v>2.69332921131829</v>
      </c>
      <c r="G54" s="2" t="n">
        <v>20</v>
      </c>
      <c r="H54" s="2" t="n">
        <v>34</v>
      </c>
      <c r="I54" s="1" t="n">
        <v>350</v>
      </c>
      <c r="J54" s="2" t="n">
        <v>450</v>
      </c>
      <c r="K54" s="3" t="n">
        <v>452</v>
      </c>
      <c r="L54" s="4" t="n">
        <v>32900</v>
      </c>
      <c r="M54" s="3" t="n">
        <v>76.5758696896729</v>
      </c>
      <c r="N54" s="12" t="n">
        <v>0.0137386018237082</v>
      </c>
      <c r="O54" s="4" t="n">
        <v>52.5</v>
      </c>
      <c r="P54" s="3" t="n">
        <v>217.435322181425</v>
      </c>
      <c r="Q54" s="4" t="n">
        <f aca="false">(P54-P$354)/P$355</f>
        <v>-0.228503592073044</v>
      </c>
      <c r="R54" s="4" t="n">
        <v>0.38</v>
      </c>
      <c r="S54" s="13" t="n">
        <f aca="false">P54/200000</f>
        <v>0.00108717661090713</v>
      </c>
      <c r="W54" s="4" t="n">
        <f aca="false">$X$2*($X$3*$G54+$X$4*$B54^$X$5*$N54^$X$6)*$S54^$X$7</f>
        <v>0.242342458350887</v>
      </c>
      <c r="X54" s="4" t="n">
        <f aca="false">W54/$R54</f>
        <v>0.637743311449704</v>
      </c>
      <c r="Z54" s="4" t="n">
        <f aca="false">$AA$2*$B54^$AA$3*$S54^$AA$4*($AA$5*$N54^$AA$6+$AA$7)</f>
        <v>0.240594257746538</v>
      </c>
      <c r="AA54" s="4" t="n">
        <f aca="false">Z54/$R54</f>
        <v>0.63314278354352</v>
      </c>
      <c r="AC54" s="4" t="n">
        <f aca="false">$AD$2*($AD$3+$AD$4*$F54/($N54*'Sem TS MC2020'!P46))*($AD$5*$G54+$AD$6*$B54/$N54)*'Sem TS MC2020'!R46*($J54-$M54)/($J54-$M54-$H54)</f>
        <v>0.200764072779135</v>
      </c>
      <c r="AD54" s="4" t="n">
        <f aca="false">AC54/$R54</f>
        <v>0.528326507313514</v>
      </c>
      <c r="AE54" s="24" t="n">
        <f aca="false">AC54-$R54</f>
        <v>-0.179235927220865</v>
      </c>
      <c r="AF54" s="25" t="n">
        <f aca="false">1/AD54</f>
        <v>1.89276893390206</v>
      </c>
      <c r="AG54" s="25" t="n">
        <f aca="false">AC54*(14.068*'Sem TS MC2020'!$P46^-0.457)/$R54</f>
        <v>0.550526442890061</v>
      </c>
      <c r="AH54" s="25"/>
      <c r="AP54" s="4" t="n">
        <f aca="false">$AQ$2*($AQ$3+$AQ$4*$F54/($N54*'Sem TS MC2020'!P46))*($AQ$5*$G54+$AQ$6*$B54/$N54)*('Sem TS MC2020'!P46^$AQ$7/200000)*($J54-$M54)/($J54-$M54-$H54)+('Sem TS MC2020'!P46-$C54/$AQ$8)*($AQ$5*$G54+$AQ$6*$B54/$N54)/200000</f>
        <v>0.214665041127308</v>
      </c>
      <c r="AQ54" s="4" t="n">
        <f aca="false">AP54/$R54</f>
        <v>0.564908002966601</v>
      </c>
      <c r="AR54" s="24" t="n">
        <f aca="false">AP54-$R54</f>
        <v>-0.165334958872692</v>
      </c>
    </row>
    <row r="55" customFormat="false" ht="14.25" hidden="false" customHeight="false" outlineLevel="0" collapsed="false">
      <c r="B55" s="2" t="n">
        <v>12</v>
      </c>
      <c r="C55" s="3" t="n">
        <v>500</v>
      </c>
      <c r="D55" s="3" t="n">
        <v>4</v>
      </c>
      <c r="E55" s="2" t="n">
        <v>79.3</v>
      </c>
      <c r="F55" s="4" t="n">
        <v>2.69332921131829</v>
      </c>
      <c r="G55" s="2" t="n">
        <v>20</v>
      </c>
      <c r="H55" s="2" t="n">
        <v>34</v>
      </c>
      <c r="I55" s="1" t="n">
        <v>350</v>
      </c>
      <c r="J55" s="2" t="n">
        <v>450</v>
      </c>
      <c r="K55" s="3" t="n">
        <v>452</v>
      </c>
      <c r="L55" s="4" t="n">
        <v>32900</v>
      </c>
      <c r="M55" s="3" t="n">
        <v>76.5758696896729</v>
      </c>
      <c r="N55" s="12" t="n">
        <v>0.0137386018237082</v>
      </c>
      <c r="O55" s="4" t="n">
        <v>67.5</v>
      </c>
      <c r="P55" s="3" t="n">
        <v>340.718508500119</v>
      </c>
      <c r="Q55" s="4" t="n">
        <f aca="false">(P55-P$354)/P$355</f>
        <v>0.805069678004766</v>
      </c>
      <c r="R55" s="4" t="n">
        <v>0.52</v>
      </c>
      <c r="S55" s="13" t="n">
        <f aca="false">P55/200000</f>
        <v>0.0017035925425006</v>
      </c>
      <c r="W55" s="4" t="n">
        <f aca="false">$X$2*($X$3*$G55+$X$4*$B55^$X$5*$N55^$X$6)*$S55^$X$7</f>
        <v>0.319731188943212</v>
      </c>
      <c r="X55" s="4" t="n">
        <f aca="false">W55/$R55</f>
        <v>0.614867671044639</v>
      </c>
      <c r="Z55" s="4" t="n">
        <f aca="false">$AA$2*$B55^$AA$3*$S55^$AA$4*($AA$5*$N55^$AA$6+$AA$7)</f>
        <v>0.318996907834063</v>
      </c>
      <c r="AA55" s="4" t="n">
        <f aca="false">Z55/$R55</f>
        <v>0.613455591988583</v>
      </c>
      <c r="AC55" s="4" t="n">
        <f aca="false">$AD$2*($AD$3+$AD$4*$F55/($N55*'Sem TS MC2020'!P47))*($AD$5*$G55+$AD$6*$B55/$N55)*'Sem TS MC2020'!R47*($J55-$M55)/($J55-$M55-$H55)</f>
        <v>0.290188428544727</v>
      </c>
      <c r="AD55" s="4" t="n">
        <f aca="false">AC55/$R55</f>
        <v>0.558054670278322</v>
      </c>
      <c r="AE55" s="24" t="n">
        <f aca="false">AC55-$R55</f>
        <v>-0.229811571455273</v>
      </c>
      <c r="AF55" s="25" t="n">
        <f aca="false">1/AD55</f>
        <v>1.79193912937108</v>
      </c>
      <c r="AG55" s="25" t="n">
        <f aca="false">AC55*(14.068*'Sem TS MC2020'!$P47^-0.457)/$R55</f>
        <v>0.51841016380016</v>
      </c>
      <c r="AH55" s="25"/>
      <c r="AP55" s="4" t="n">
        <f aca="false">$AQ$2*($AQ$3+$AQ$4*$F55/($N55*'Sem TS MC2020'!P47))*($AQ$5*$G55+$AQ$6*$B55/$N55)*('Sem TS MC2020'!P47^$AQ$7/200000)*($J55-$M55)/($J55-$M55-$H55)+('Sem TS MC2020'!P47-$C55/$AQ$8)*($AQ$5*$G55+$AQ$6*$B55/$N55)/200000</f>
        <v>0.302800643829597</v>
      </c>
      <c r="AQ55" s="4" t="n">
        <f aca="false">AP55/$R55</f>
        <v>0.582308930441533</v>
      </c>
      <c r="AR55" s="24" t="n">
        <f aca="false">AP55-$R55</f>
        <v>-0.217199356170403</v>
      </c>
    </row>
    <row r="56" customFormat="false" ht="14.25" hidden="false" customHeight="false" outlineLevel="0" collapsed="false">
      <c r="B56" s="2" t="n">
        <v>12</v>
      </c>
      <c r="C56" s="3" t="n">
        <v>500</v>
      </c>
      <c r="D56" s="3" t="n">
        <v>4</v>
      </c>
      <c r="E56" s="2" t="n">
        <v>79.3</v>
      </c>
      <c r="F56" s="4" t="n">
        <v>2.69332921131829</v>
      </c>
      <c r="G56" s="2" t="n">
        <v>20</v>
      </c>
      <c r="H56" s="2" t="n">
        <v>34</v>
      </c>
      <c r="I56" s="1" t="n">
        <v>350</v>
      </c>
      <c r="J56" s="2" t="n">
        <v>450</v>
      </c>
      <c r="K56" s="3" t="n">
        <v>452</v>
      </c>
      <c r="L56" s="4" t="n">
        <v>32900</v>
      </c>
      <c r="M56" s="3" t="n">
        <v>76.5758696896729</v>
      </c>
      <c r="N56" s="12" t="n">
        <v>0.0137386018237082</v>
      </c>
      <c r="O56" s="4" t="n">
        <v>90</v>
      </c>
      <c r="P56" s="3" t="n">
        <v>500</v>
      </c>
      <c r="Q56" s="4" t="n">
        <f aca="false">(P56-P$354)/P$355</f>
        <v>2.14044311333135</v>
      </c>
      <c r="R56" s="4" t="n">
        <v>0.74</v>
      </c>
      <c r="S56" s="13" t="n">
        <f aca="false">P56/200000</f>
        <v>0.0025</v>
      </c>
      <c r="W56" s="4" t="n">
        <f aca="false">$X$2*($X$3*$G56+$X$4*$B56^$X$5*$N56^$X$6)*$S56^$X$7</f>
        <v>0.405099150444584</v>
      </c>
      <c r="X56" s="4" t="n">
        <f aca="false">W56/$R56</f>
        <v>0.547431284384573</v>
      </c>
      <c r="Z56" s="4" t="n">
        <f aca="false">$AA$2*$B56^$AA$3*$S56^$AA$4*($AA$5*$N56^$AA$6+$AA$7)</f>
        <v>0.405877634056174</v>
      </c>
      <c r="AA56" s="4" t="n">
        <f aca="false">Z56/$R56</f>
        <v>0.548483289265101</v>
      </c>
      <c r="AC56" s="4" t="n">
        <f aca="false">$AD$2*($AD$3+$AD$4*$F56/($N56*'Sem TS MC2020'!P48))*($AD$5*$G56+$AD$6*$B56/$N56)*'Sem TS MC2020'!R48*($J56-$M56)/($J56-$M56-$H56)</f>
        <v>0.41387593179883</v>
      </c>
      <c r="AD56" s="4" t="n">
        <f aca="false">AC56/$R56</f>
        <v>0.559291799728149</v>
      </c>
      <c r="AE56" s="24" t="n">
        <f aca="false">AC56-$R56</f>
        <v>-0.32612406820117</v>
      </c>
      <c r="AF56" s="25" t="n">
        <f aca="false">1/AD56</f>
        <v>1.78797543694734</v>
      </c>
      <c r="AG56" s="25" t="n">
        <f aca="false">AC56*(14.068*'Sem TS MC2020'!$P48^-0.457)/$R56</f>
        <v>0.459665087511198</v>
      </c>
      <c r="AH56" s="25"/>
      <c r="AP56" s="4" t="n">
        <f aca="false">$AQ$2*($AQ$3+$AQ$4*$F56/($N56*'Sem TS MC2020'!P48))*($AQ$5*$G56+$AQ$6*$B56/$N56)*('Sem TS MC2020'!P48^$AQ$7/200000)*($J56-$M56)/($J56-$M56-$H56)+('Sem TS MC2020'!P48-$C56/$AQ$8)*($AQ$5*$G56+$AQ$6*$B56/$N56)/200000</f>
        <v>0.417927146186738</v>
      </c>
      <c r="AQ56" s="4" t="n">
        <f aca="false">AP56/$R56</f>
        <v>0.564766413765862</v>
      </c>
      <c r="AR56" s="24" t="n">
        <f aca="false">AP56-$R56</f>
        <v>-0.322072853813262</v>
      </c>
    </row>
    <row r="57" customFormat="false" ht="14.25" hidden="false" customHeight="false" outlineLevel="0" collapsed="false">
      <c r="A57" s="1" t="s">
        <v>30</v>
      </c>
      <c r="B57" s="2" t="n">
        <v>12</v>
      </c>
      <c r="C57" s="3" t="n">
        <v>500</v>
      </c>
      <c r="D57" s="3" t="n">
        <v>4</v>
      </c>
      <c r="E57" s="2" t="n">
        <v>79.3</v>
      </c>
      <c r="F57" s="4" t="n">
        <v>2.69332921131829</v>
      </c>
      <c r="G57" s="2" t="n">
        <v>20</v>
      </c>
      <c r="H57" s="2" t="n">
        <v>34</v>
      </c>
      <c r="I57" s="1" t="n">
        <v>350</v>
      </c>
      <c r="J57" s="2" t="n">
        <v>450</v>
      </c>
      <c r="K57" s="3" t="n">
        <v>452</v>
      </c>
      <c r="L57" s="4" t="n">
        <v>32900</v>
      </c>
      <c r="M57" s="3" t="n">
        <v>76.5758696896729</v>
      </c>
      <c r="N57" s="12" t="n">
        <v>0.0137386018237082</v>
      </c>
      <c r="O57" s="4" t="n">
        <v>37.5</v>
      </c>
      <c r="P57" s="3" t="n">
        <v>94.1521358627311</v>
      </c>
      <c r="Q57" s="4" t="n">
        <f aca="false">(P57-P$354)/P$355</f>
        <v>-1.26207686215085</v>
      </c>
      <c r="R57" s="4" t="n">
        <v>0.17</v>
      </c>
      <c r="S57" s="13" t="n">
        <f aca="false">P57/200000</f>
        <v>0.000470760679313655</v>
      </c>
      <c r="W57" s="4" t="n">
        <f aca="false">$X$2*($X$3*$G57+$X$4*$B57^$X$5*$N57^$X$6)*$S57^$X$7</f>
        <v>0.144593928944463</v>
      </c>
      <c r="X57" s="4" t="n">
        <f aca="false">W57/$R57</f>
        <v>0.850552523202723</v>
      </c>
      <c r="Z57" s="4" t="n">
        <f aca="false">$AA$2*$B57^$AA$3*$S57^$AA$4*($AA$5*$N57^$AA$6+$AA$7)</f>
        <v>0.142235272211345</v>
      </c>
      <c r="AA57" s="4" t="n">
        <f aca="false">Z57/$R57</f>
        <v>0.836678071831442</v>
      </c>
      <c r="AC57" s="4" t="n">
        <f aca="false">$AD$2*($AD$3+$AD$4*$F57/($N57*'Sem TS MC2020'!P49))*($AD$5*$G57+$AD$6*$B57/$N57)*'Sem TS MC2020'!R49*($J57-$M57)/($J57-$M57-$H57)</f>
        <v>0.111339717013543</v>
      </c>
      <c r="AD57" s="4" t="n">
        <f aca="false">AC57/$R57</f>
        <v>0.654939511844372</v>
      </c>
      <c r="AE57" s="24" t="n">
        <f aca="false">AC57-$R57</f>
        <v>-0.0586602829864568</v>
      </c>
      <c r="AF57" s="25" t="n">
        <f aca="false">1/AD57</f>
        <v>1.52685856008886</v>
      </c>
      <c r="AG57" s="25" t="n">
        <f aca="false">AC57*(14.068*'Sem TS MC2020'!$P49^-0.457)/$R57</f>
        <v>0.795898135240947</v>
      </c>
      <c r="AH57" s="25"/>
      <c r="AP57" s="4" t="n">
        <f aca="false">$AQ$2*($AQ$3+$AQ$4*$F57/($N57*'Sem TS MC2020'!P49))*($AQ$5*$G57+$AQ$6*$B57/$N57)*('Sem TS MC2020'!P49^$AQ$7/200000)*($J57-$M57)/($J57-$M57-$H57)+('Sem TS MC2020'!P49-$C57/$AQ$8)*($AQ$5*$G57+$AQ$6*$B57/$N57)/200000</f>
        <v>0.120240867099428</v>
      </c>
      <c r="AQ57" s="4" t="n">
        <f aca="false">AP57/$R57</f>
        <v>0.707299218231929</v>
      </c>
      <c r="AR57" s="24" t="n">
        <f aca="false">AP57-$R57</f>
        <v>-0.049759132900572</v>
      </c>
    </row>
    <row r="58" customFormat="false" ht="14.25" hidden="false" customHeight="false" outlineLevel="0" collapsed="false">
      <c r="B58" s="2" t="n">
        <v>12</v>
      </c>
      <c r="C58" s="3" t="n">
        <v>500</v>
      </c>
      <c r="D58" s="3" t="n">
        <v>4</v>
      </c>
      <c r="E58" s="2" t="n">
        <v>79.3</v>
      </c>
      <c r="F58" s="4" t="n">
        <v>2.69332921131829</v>
      </c>
      <c r="G58" s="2" t="n">
        <v>20</v>
      </c>
      <c r="H58" s="2" t="n">
        <v>34</v>
      </c>
      <c r="I58" s="1" t="n">
        <v>350</v>
      </c>
      <c r="J58" s="2" t="n">
        <v>450</v>
      </c>
      <c r="K58" s="3" t="n">
        <v>452</v>
      </c>
      <c r="L58" s="4" t="n">
        <v>32900</v>
      </c>
      <c r="M58" s="3" t="n">
        <v>76.5758696896729</v>
      </c>
      <c r="N58" s="12" t="n">
        <v>0.0137386018237082</v>
      </c>
      <c r="O58" s="4" t="n">
        <v>52.5</v>
      </c>
      <c r="P58" s="3" t="n">
        <v>217.435322181425</v>
      </c>
      <c r="Q58" s="4" t="n">
        <f aca="false">(P58-P$354)/P$355</f>
        <v>-0.228503592073044</v>
      </c>
      <c r="R58" s="4" t="n">
        <v>0.36</v>
      </c>
      <c r="S58" s="13" t="n">
        <f aca="false">P58/200000</f>
        <v>0.00108717661090713</v>
      </c>
      <c r="W58" s="4" t="n">
        <f aca="false">$X$2*($X$3*$G58+$X$4*$B58^$X$5*$N58^$X$6)*$S58^$X$7</f>
        <v>0.242342458350887</v>
      </c>
      <c r="X58" s="4" t="n">
        <f aca="false">W58/$R58</f>
        <v>0.673173495419132</v>
      </c>
      <c r="Z58" s="4" t="n">
        <f aca="false">$AA$2*$B58^$AA$3*$S58^$AA$4*($AA$5*$N58^$AA$6+$AA$7)</f>
        <v>0.240594257746538</v>
      </c>
      <c r="AA58" s="4" t="n">
        <f aca="false">Z58/$R58</f>
        <v>0.668317382629271</v>
      </c>
      <c r="AC58" s="4" t="n">
        <f aca="false">$AD$2*($AD$3+$AD$4*$F58/($N58*'Sem TS MC2020'!P50))*($AD$5*$G58+$AD$6*$B58/$N58)*'Sem TS MC2020'!R50*($J58-$M58)/($J58-$M58-$H58)</f>
        <v>0.200764072779135</v>
      </c>
      <c r="AD58" s="4" t="n">
        <f aca="false">AC58/$R58</f>
        <v>0.557677979942042</v>
      </c>
      <c r="AE58" s="24" t="n">
        <f aca="false">AC58-$R58</f>
        <v>-0.159235927220865</v>
      </c>
      <c r="AF58" s="25" t="n">
        <f aca="false">1/AD58</f>
        <v>1.79314951632827</v>
      </c>
      <c r="AG58" s="25" t="n">
        <f aca="false">AC58*(14.068*'Sem TS MC2020'!$P50^-0.457)/$R58</f>
        <v>0.581111245272842</v>
      </c>
      <c r="AH58" s="25"/>
      <c r="AP58" s="4" t="n">
        <f aca="false">$AQ$2*($AQ$3+$AQ$4*$F58/($N58*'Sem TS MC2020'!P50))*($AQ$5*$G58+$AQ$6*$B58/$N58)*('Sem TS MC2020'!P50^$AQ$7/200000)*($J58-$M58)/($J58-$M58-$H58)+('Sem TS MC2020'!P50-$C58/$AQ$8)*($AQ$5*$G58+$AQ$6*$B58/$N58)/200000</f>
        <v>0.214665041127308</v>
      </c>
      <c r="AQ58" s="4" t="n">
        <f aca="false">AP58/$R58</f>
        <v>0.59629178090919</v>
      </c>
      <c r="AR58" s="24" t="n">
        <f aca="false">AP58-$R58</f>
        <v>-0.145334958872692</v>
      </c>
    </row>
    <row r="59" customFormat="false" ht="14.25" hidden="false" customHeight="false" outlineLevel="0" collapsed="false">
      <c r="B59" s="2" t="n">
        <v>12</v>
      </c>
      <c r="C59" s="3" t="n">
        <v>500</v>
      </c>
      <c r="D59" s="3" t="n">
        <v>4</v>
      </c>
      <c r="E59" s="2" t="n">
        <v>79.3</v>
      </c>
      <c r="F59" s="4" t="n">
        <v>2.69332921131829</v>
      </c>
      <c r="G59" s="2" t="n">
        <v>20</v>
      </c>
      <c r="H59" s="2" t="n">
        <v>34</v>
      </c>
      <c r="I59" s="1" t="n">
        <v>350</v>
      </c>
      <c r="J59" s="2" t="n">
        <v>450</v>
      </c>
      <c r="K59" s="3" t="n">
        <v>452</v>
      </c>
      <c r="L59" s="4" t="n">
        <v>32900</v>
      </c>
      <c r="M59" s="3" t="n">
        <v>76.5758696896729</v>
      </c>
      <c r="N59" s="12" t="n">
        <v>0.0137386018237082</v>
      </c>
      <c r="O59" s="4" t="n">
        <v>67.5</v>
      </c>
      <c r="P59" s="3" t="n">
        <v>340.718508500119</v>
      </c>
      <c r="Q59" s="4" t="n">
        <f aca="false">(P59-P$354)/P$355</f>
        <v>0.805069678004766</v>
      </c>
      <c r="R59" s="4" t="n">
        <v>0.56</v>
      </c>
      <c r="S59" s="13" t="n">
        <f aca="false">P59/200000</f>
        <v>0.0017035925425006</v>
      </c>
      <c r="W59" s="4" t="n">
        <f aca="false">$X$2*($X$3*$G59+$X$4*$B59^$X$5*$N59^$X$6)*$S59^$X$7</f>
        <v>0.319731188943212</v>
      </c>
      <c r="X59" s="4" t="n">
        <f aca="false">W59/$R59</f>
        <v>0.570948551684307</v>
      </c>
      <c r="Z59" s="4" t="n">
        <f aca="false">$AA$2*$B59^$AA$3*$S59^$AA$4*($AA$5*$N59^$AA$6+$AA$7)</f>
        <v>0.318996907834063</v>
      </c>
      <c r="AA59" s="4" t="n">
        <f aca="false">Z59/$R59</f>
        <v>0.569637335417969</v>
      </c>
      <c r="AC59" s="4" t="n">
        <f aca="false">$AD$2*($AD$3+$AD$4*$F59/($N59*'Sem TS MC2020'!P51))*($AD$5*$G59+$AD$6*$B59/$N59)*'Sem TS MC2020'!R51*($J59-$M59)/($J59-$M59-$H59)</f>
        <v>0.290188428544727</v>
      </c>
      <c r="AD59" s="4" t="n">
        <f aca="false">AC59/$R59</f>
        <v>0.518193622401299</v>
      </c>
      <c r="AE59" s="24" t="n">
        <f aca="false">AC59-$R59</f>
        <v>-0.269811571455273</v>
      </c>
      <c r="AF59" s="25" t="n">
        <f aca="false">1/AD59</f>
        <v>1.92978060086116</v>
      </c>
      <c r="AG59" s="25" t="n">
        <f aca="false">AC59*(14.068*'Sem TS MC2020'!$P51^-0.457)/$R59</f>
        <v>0.481380866385863</v>
      </c>
      <c r="AH59" s="25"/>
      <c r="AP59" s="4" t="n">
        <f aca="false">$AQ$2*($AQ$3+$AQ$4*$F59/($N59*'Sem TS MC2020'!P51))*($AQ$5*$G59+$AQ$6*$B59/$N59)*('Sem TS MC2020'!P51^$AQ$7/200000)*($J59-$M59)/($J59-$M59-$H59)+('Sem TS MC2020'!P51-$C59/$AQ$8)*($AQ$5*$G59+$AQ$6*$B59/$N59)/200000</f>
        <v>0.302800643829597</v>
      </c>
      <c r="AQ59" s="4" t="n">
        <f aca="false">AP59/$R59</f>
        <v>0.540715435409995</v>
      </c>
      <c r="AR59" s="24" t="n">
        <f aca="false">AP59-$R59</f>
        <v>-0.257199356170403</v>
      </c>
    </row>
    <row r="60" customFormat="false" ht="14.25" hidden="false" customHeight="false" outlineLevel="0" collapsed="false">
      <c r="B60" s="2" t="n">
        <v>12</v>
      </c>
      <c r="C60" s="3" t="n">
        <v>500</v>
      </c>
      <c r="D60" s="3" t="n">
        <v>4</v>
      </c>
      <c r="E60" s="2" t="n">
        <v>79.3</v>
      </c>
      <c r="F60" s="4" t="n">
        <v>2.69332921131829</v>
      </c>
      <c r="G60" s="2" t="n">
        <v>20</v>
      </c>
      <c r="H60" s="2" t="n">
        <v>34</v>
      </c>
      <c r="I60" s="1" t="n">
        <v>350</v>
      </c>
      <c r="J60" s="2" t="n">
        <v>450</v>
      </c>
      <c r="K60" s="3" t="n">
        <v>452</v>
      </c>
      <c r="L60" s="4" t="n">
        <v>32900</v>
      </c>
      <c r="M60" s="3" t="n">
        <v>76.5758696896729</v>
      </c>
      <c r="N60" s="12" t="n">
        <v>0.0137386018237082</v>
      </c>
      <c r="O60" s="4" t="n">
        <v>90</v>
      </c>
      <c r="P60" s="3" t="n">
        <v>500</v>
      </c>
      <c r="Q60" s="4" t="n">
        <f aca="false">(P60-P$354)/P$355</f>
        <v>2.14044311333135</v>
      </c>
      <c r="R60" s="4" t="n">
        <v>0.78</v>
      </c>
      <c r="S60" s="13" t="n">
        <f aca="false">P60/200000</f>
        <v>0.0025</v>
      </c>
      <c r="W60" s="4" t="n">
        <f aca="false">$X$2*($X$3*$G60+$X$4*$B60^$X$5*$N60^$X$6)*$S60^$X$7</f>
        <v>0.405099150444584</v>
      </c>
      <c r="X60" s="4" t="n">
        <f aca="false">W60/$R60</f>
        <v>0.519357885185364</v>
      </c>
      <c r="Z60" s="4" t="n">
        <f aca="false">$AA$2*$B60^$AA$3*$S60^$AA$4*($AA$5*$N60^$AA$6+$AA$7)</f>
        <v>0.405877634056174</v>
      </c>
      <c r="AA60" s="4" t="n">
        <f aca="false">Z60/$R60</f>
        <v>0.52035594109766</v>
      </c>
      <c r="AC60" s="4" t="n">
        <f aca="false">$AD$2*($AD$3+$AD$4*$F60/($N60*'Sem TS MC2020'!P52))*($AD$5*$G60+$AD$6*$B60/$N60)*'Sem TS MC2020'!R52*($J60-$M60)/($J60-$M60-$H60)</f>
        <v>0.41387593179883</v>
      </c>
      <c r="AD60" s="4" t="n">
        <f aca="false">AC60/$R60</f>
        <v>0.530610168972859</v>
      </c>
      <c r="AE60" s="24" t="n">
        <f aca="false">AC60-$R60</f>
        <v>-0.36612406820117</v>
      </c>
      <c r="AF60" s="25" t="n">
        <f aca="false">1/AD60</f>
        <v>1.88462275786341</v>
      </c>
      <c r="AG60" s="25" t="n">
        <f aca="false">AC60*(14.068*'Sem TS MC2020'!$P52^-0.457)/$R60</f>
        <v>0.43609251892088</v>
      </c>
      <c r="AH60" s="25"/>
      <c r="AP60" s="4" t="n">
        <f aca="false">$AQ$2*($AQ$3+$AQ$4*$F60/($N60*'Sem TS MC2020'!P52))*($AQ$5*$G60+$AQ$6*$B60/$N60)*('Sem TS MC2020'!P52^$AQ$7/200000)*($J60-$M60)/($J60-$M60-$H60)+('Sem TS MC2020'!P52-$C60/$AQ$8)*($AQ$5*$G60+$AQ$6*$B60/$N60)/200000</f>
        <v>0.417927146186738</v>
      </c>
      <c r="AQ60" s="4" t="n">
        <f aca="false">AP60/$R60</f>
        <v>0.535804033572741</v>
      </c>
      <c r="AR60" s="24" t="n">
        <f aca="false">AP60-$R60</f>
        <v>-0.362072853813262</v>
      </c>
    </row>
    <row r="61" customFormat="false" ht="14.25" hidden="false" customHeight="false" outlineLevel="0" collapsed="false">
      <c r="A61" s="1" t="s">
        <v>31</v>
      </c>
      <c r="B61" s="2" t="n">
        <v>12</v>
      </c>
      <c r="C61" s="3" t="n">
        <v>500</v>
      </c>
      <c r="D61" s="3" t="n">
        <v>4</v>
      </c>
      <c r="E61" s="2" t="n">
        <v>46</v>
      </c>
      <c r="F61" s="4" t="n">
        <v>2.69332921131829</v>
      </c>
      <c r="G61" s="2" t="n">
        <v>70</v>
      </c>
      <c r="H61" s="2" t="n">
        <v>88</v>
      </c>
      <c r="I61" s="1" t="n">
        <v>350</v>
      </c>
      <c r="J61" s="2" t="n">
        <v>450</v>
      </c>
      <c r="K61" s="3" t="n">
        <v>452</v>
      </c>
      <c r="L61" s="4" t="n">
        <v>42000</v>
      </c>
      <c r="M61" s="3" t="n">
        <v>70.9138918544459</v>
      </c>
      <c r="N61" s="12" t="n">
        <v>0.0107619047619048</v>
      </c>
      <c r="O61" s="4" t="n">
        <v>37.5</v>
      </c>
      <c r="P61" s="3" t="n">
        <v>115.383497199433</v>
      </c>
      <c r="Q61" s="4" t="n">
        <f aca="false">(P61-P$354)/P$355</f>
        <v>-1.08407880564174</v>
      </c>
      <c r="R61" s="4" t="n">
        <v>0.31</v>
      </c>
      <c r="S61" s="13" t="n">
        <f aca="false">P61/200000</f>
        <v>0.000576917485997167</v>
      </c>
      <c r="W61" s="4" t="n">
        <f aca="false">$X$2*($X$3*$G61+$X$4*$B61^$X$5*$N61^$X$6)*$S61^$X$7</f>
        <v>0.18107656453247</v>
      </c>
      <c r="X61" s="4" t="n">
        <f aca="false">W61/$R61</f>
        <v>0.584117950104741</v>
      </c>
      <c r="Z61" s="4" t="n">
        <f aca="false">$AA$2*$B61^$AA$3*$S61^$AA$4*($AA$5*$N61^$AA$6+$AA$7)</f>
        <v>0.181619159729173</v>
      </c>
      <c r="AA61" s="4" t="n">
        <f aca="false">Z61/$R61</f>
        <v>0.585868257190879</v>
      </c>
      <c r="AC61" s="4" t="n">
        <f aca="false">$AD$2*($AD$3+$AD$4*$F61/($N61*'Sem TS MC2020'!P53))*($AD$5*$G61+$AD$6*$B61/$N61)*'Sem TS MC2020'!R53*($J61-$M61)/($J61-$M61-$H61)</f>
        <v>0.215604112615127</v>
      </c>
      <c r="AD61" s="4" t="n">
        <f aca="false">AC61/$R61</f>
        <v>0.695497137468151</v>
      </c>
      <c r="AE61" s="24" t="n">
        <f aca="false">AC61-$R61</f>
        <v>-0.0943958873848732</v>
      </c>
      <c r="AF61" s="25" t="n">
        <f aca="false">1/AD61</f>
        <v>1.43782043969346</v>
      </c>
      <c r="AG61" s="25" t="n">
        <f aca="false">AC61*(14.068*'Sem TS MC2020'!$P53^-0.457)/$R61</f>
        <v>0.791627890130687</v>
      </c>
      <c r="AH61" s="25"/>
      <c r="AP61" s="4" t="n">
        <f aca="false">$AQ$2*($AQ$3+$AQ$4*$F61/($N61*'Sem TS MC2020'!P53))*($AQ$5*$G61+$AQ$6*$B61/$N61)*('Sem TS MC2020'!P53^$AQ$7/200000)*($J61-$M61)/($J61-$M61-$H61)+('Sem TS MC2020'!P53-$C61/$AQ$8)*($AQ$5*$G61+$AQ$6*$B61/$N61)/200000</f>
        <v>0.22249063072917</v>
      </c>
      <c r="AQ61" s="4" t="n">
        <f aca="false">AP61/$R61</f>
        <v>0.717711712029579</v>
      </c>
      <c r="AR61" s="24" t="n">
        <f aca="false">AP61-$R61</f>
        <v>-0.0875093692708304</v>
      </c>
    </row>
    <row r="62" customFormat="false" ht="14.25" hidden="false" customHeight="false" outlineLevel="0" collapsed="false">
      <c r="B62" s="2" t="n">
        <v>12</v>
      </c>
      <c r="C62" s="3" t="n">
        <v>500</v>
      </c>
      <c r="D62" s="3" t="n">
        <v>4</v>
      </c>
      <c r="E62" s="2" t="n">
        <v>46</v>
      </c>
      <c r="F62" s="4" t="n">
        <v>2.69332921131829</v>
      </c>
      <c r="G62" s="2" t="n">
        <v>70</v>
      </c>
      <c r="H62" s="2" t="n">
        <v>88</v>
      </c>
      <c r="I62" s="1" t="n">
        <v>350</v>
      </c>
      <c r="J62" s="2" t="n">
        <v>450</v>
      </c>
      <c r="K62" s="3" t="n">
        <v>452</v>
      </c>
      <c r="L62" s="4" t="n">
        <v>42000</v>
      </c>
      <c r="M62" s="3" t="n">
        <v>70.9138918544459</v>
      </c>
      <c r="N62" s="12" t="n">
        <v>0.0107619047619048</v>
      </c>
      <c r="O62" s="4" t="n">
        <v>45</v>
      </c>
      <c r="P62" s="3" t="n">
        <v>192.116183786739</v>
      </c>
      <c r="Q62" s="4" t="n">
        <f aca="false">(P62-P$354)/P$355</f>
        <v>-0.44077247842791</v>
      </c>
      <c r="R62" s="4" t="n">
        <v>0.44</v>
      </c>
      <c r="S62" s="13" t="n">
        <f aca="false">P62/200000</f>
        <v>0.000960580918933694</v>
      </c>
      <c r="W62" s="4" t="n">
        <f aca="false">$X$2*($X$3*$G62+$X$4*$B62^$X$5*$N62^$X$6)*$S62^$X$7</f>
        <v>0.248015339582644</v>
      </c>
      <c r="X62" s="4" t="n">
        <f aca="false">W62/$R62</f>
        <v>0.563671226324191</v>
      </c>
      <c r="Z62" s="4" t="n">
        <f aca="false">$AA$2*$B62^$AA$3*$S62^$AA$4*($AA$5*$N62^$AA$6+$AA$7)</f>
        <v>0.25015753053376</v>
      </c>
      <c r="AA62" s="4" t="n">
        <f aca="false">Z62/$R62</f>
        <v>0.568539842122183</v>
      </c>
      <c r="AC62" s="4" t="n">
        <f aca="false">$AD$2*($AD$3+$AD$4*$F62/($N62*'Sem TS MC2020'!P54))*($AD$5*$G62+$AD$6*$B62/$N62)*'Sem TS MC2020'!R54*($J62-$M62)/($J62-$M62-$H62)</f>
        <v>0.31256837060008</v>
      </c>
      <c r="AD62" s="4" t="n">
        <f aca="false">AC62/$R62</f>
        <v>0.710382660454728</v>
      </c>
      <c r="AE62" s="24" t="n">
        <f aca="false">AC62-$R62</f>
        <v>-0.12743162939992</v>
      </c>
      <c r="AF62" s="25" t="n">
        <f aca="false">1/AD62</f>
        <v>1.40769201680666</v>
      </c>
      <c r="AG62" s="25" t="n">
        <f aca="false">AC62*(14.068*'Sem TS MC2020'!$P54^-0.457)/$R62</f>
        <v>0.743930325502661</v>
      </c>
      <c r="AH62" s="25"/>
      <c r="AP62" s="4" t="n">
        <f aca="false">$AQ$2*($AQ$3+$AQ$4*$F62/($N62*'Sem TS MC2020'!P54))*($AQ$5*$G62+$AQ$6*$B62/$N62)*('Sem TS MC2020'!P54^$AQ$7/200000)*($J62-$M62)/($J62-$M62-$H62)+('Sem TS MC2020'!P54-$C62/$AQ$8)*($AQ$5*$G62+$AQ$6*$B62/$N62)/200000</f>
        <v>0.320658979363847</v>
      </c>
      <c r="AQ62" s="4" t="n">
        <f aca="false">AP62/$R62</f>
        <v>0.728770407645108</v>
      </c>
      <c r="AR62" s="24" t="n">
        <f aca="false">AP62-$R62</f>
        <v>-0.119341020636153</v>
      </c>
    </row>
    <row r="63" customFormat="false" ht="14.25" hidden="false" customHeight="false" outlineLevel="0" collapsed="false">
      <c r="A63" s="1" t="s">
        <v>32</v>
      </c>
      <c r="B63" s="2" t="n">
        <v>12</v>
      </c>
      <c r="C63" s="3" t="n">
        <v>500</v>
      </c>
      <c r="D63" s="3" t="n">
        <v>4</v>
      </c>
      <c r="E63" s="2" t="n">
        <v>46</v>
      </c>
      <c r="F63" s="4" t="n">
        <v>2.69332921131829</v>
      </c>
      <c r="G63" s="2" t="n">
        <v>70</v>
      </c>
      <c r="H63" s="2" t="n">
        <v>84</v>
      </c>
      <c r="I63" s="1" t="n">
        <v>350</v>
      </c>
      <c r="J63" s="2" t="n">
        <v>450</v>
      </c>
      <c r="K63" s="3" t="n">
        <v>452</v>
      </c>
      <c r="L63" s="4" t="n">
        <v>42000</v>
      </c>
      <c r="M63" s="3" t="n">
        <v>71.3470436587611</v>
      </c>
      <c r="N63" s="12" t="n">
        <v>0.0107619047619048</v>
      </c>
      <c r="O63" s="4" t="n">
        <v>30</v>
      </c>
      <c r="P63" s="3" t="n">
        <v>35.1927566244768</v>
      </c>
      <c r="Q63" s="4" t="n">
        <f aca="false">(P63-P$354)/P$355</f>
        <v>-1.75637653285785</v>
      </c>
      <c r="R63" s="4" t="n">
        <v>0.14</v>
      </c>
      <c r="S63" s="13" t="n">
        <f aca="false">P63/200000</f>
        <v>0.000175963783122384</v>
      </c>
      <c r="W63" s="4" t="n">
        <f aca="false">$X$2*($X$3*$G63+$X$4*$B63^$X$5*$N63^$X$6)*$S63^$X$7</f>
        <v>0.087032460598937</v>
      </c>
      <c r="X63" s="4" t="n">
        <f aca="false">W63/$R63</f>
        <v>0.62166043284955</v>
      </c>
      <c r="Z63" s="4" t="n">
        <f aca="false">$AA$2*$B63^$AA$3*$S63^$AA$4*($AA$5*$N63^$AA$6+$AA$7)</f>
        <v>0.0861604747752486</v>
      </c>
      <c r="AA63" s="4" t="n">
        <f aca="false">Z63/$R63</f>
        <v>0.615431962680347</v>
      </c>
      <c r="AC63" s="4" t="n">
        <f aca="false">$AD$2*($AD$3+$AD$4*$F63/($N63*'Sem TS MC2020'!P55))*($AD$5*$G63+$AD$6*$B63/$N63)*'Sem TS MC2020'!R55*($J63-$M63)/($J63-$M63-$H63)</f>
        <v>0.112757785302772</v>
      </c>
      <c r="AD63" s="4" t="n">
        <f aca="false">AC63/$R63</f>
        <v>0.805412752162655</v>
      </c>
      <c r="AE63" s="24" t="n">
        <f aca="false">AC63-$R63</f>
        <v>-0.0272422146972284</v>
      </c>
      <c r="AF63" s="25" t="n">
        <f aca="false">1/AD63</f>
        <v>1.24159941261775</v>
      </c>
      <c r="AG63" s="25" t="n">
        <f aca="false">AC63*(14.068*'Sem TS MC2020'!$P55^-0.457)/$R63</f>
        <v>1.02042458305549</v>
      </c>
      <c r="AH63" s="25"/>
      <c r="AP63" s="4" t="n">
        <f aca="false">$AQ$2*($AQ$3+$AQ$4*$F63/($N63*'Sem TS MC2020'!P55))*($AQ$5*$G63+$AQ$6*$B63/$N63)*('Sem TS MC2020'!P55^$AQ$7/200000)*($J63-$M63)/($J63-$M63-$H63)+('Sem TS MC2020'!P55-$C63/$AQ$8)*($AQ$5*$G63+$AQ$6*$B63/$N63)/200000</f>
        <v>0.112293925072956</v>
      </c>
      <c r="AQ63" s="4" t="n">
        <f aca="false">AP63/$R63</f>
        <v>0.802099464806825</v>
      </c>
      <c r="AR63" s="24" t="n">
        <f aca="false">AP63-$R63</f>
        <v>-0.0277060749270445</v>
      </c>
    </row>
    <row r="64" customFormat="false" ht="14.25" hidden="false" customHeight="false" outlineLevel="0" collapsed="false">
      <c r="B64" s="2" t="n">
        <v>12</v>
      </c>
      <c r="C64" s="3" t="n">
        <v>500</v>
      </c>
      <c r="D64" s="3" t="n">
        <v>4</v>
      </c>
      <c r="E64" s="2" t="n">
        <v>46</v>
      </c>
      <c r="F64" s="4" t="n">
        <v>2.69332921131829</v>
      </c>
      <c r="G64" s="2" t="n">
        <v>70</v>
      </c>
      <c r="H64" s="2" t="n">
        <v>84</v>
      </c>
      <c r="I64" s="1" t="n">
        <v>350</v>
      </c>
      <c r="J64" s="2" t="n">
        <v>450</v>
      </c>
      <c r="K64" s="3" t="n">
        <v>452</v>
      </c>
      <c r="L64" s="4" t="n">
        <v>42000</v>
      </c>
      <c r="M64" s="3" t="n">
        <v>71.3470436587611</v>
      </c>
      <c r="N64" s="12" t="n">
        <v>0.0107619047619048</v>
      </c>
      <c r="O64" s="4" t="n">
        <v>37.5</v>
      </c>
      <c r="P64" s="3" t="n">
        <v>111.060929714869</v>
      </c>
      <c r="Q64" s="4" t="n">
        <f aca="false">(P64-P$354)/P$355</f>
        <v>-1.1203180556446</v>
      </c>
      <c r="R64" s="4" t="n">
        <v>0.31</v>
      </c>
      <c r="S64" s="13" t="n">
        <f aca="false">P64/200000</f>
        <v>0.000555304648574347</v>
      </c>
      <c r="W64" s="4" t="n">
        <f aca="false">$X$2*($X$3*$G64+$X$4*$B64^$X$5*$N64^$X$6)*$S64^$X$7</f>
        <v>0.176860524899483</v>
      </c>
      <c r="X64" s="4" t="n">
        <f aca="false">W64/$R64</f>
        <v>0.570517822256398</v>
      </c>
      <c r="Z64" s="4" t="n">
        <f aca="false">$AA$2*$B64^$AA$3*$S64^$AA$4*($AA$5*$N64^$AA$6+$AA$7)</f>
        <v>0.177315997310222</v>
      </c>
      <c r="AA64" s="4" t="n">
        <f aca="false">Z64/$R64</f>
        <v>0.571987088097491</v>
      </c>
      <c r="AC64" s="4" t="n">
        <f aca="false">$AD$2*($AD$3+$AD$4*$F64/($N64*'Sem TS MC2020'!P56))*($AD$5*$G64+$AD$6*$B64/$N64)*'Sem TS MC2020'!R56*($J64-$M64)/($J64-$M64-$H64)</f>
        <v>0.207360818157519</v>
      </c>
      <c r="AD64" s="4" t="n">
        <f aca="false">AC64/$R64</f>
        <v>0.668905865024256</v>
      </c>
      <c r="AE64" s="24" t="n">
        <f aca="false">AC64-$R64</f>
        <v>-0.102639181842481</v>
      </c>
      <c r="AF64" s="25" t="n">
        <f aca="false">1/AD64</f>
        <v>1.49497866932851</v>
      </c>
      <c r="AG64" s="25" t="n">
        <f aca="false">AC64*(14.068*'Sem TS MC2020'!$P56^-0.457)/$R64</f>
        <v>0.765313790391501</v>
      </c>
      <c r="AH64" s="25"/>
      <c r="AP64" s="4" t="n">
        <f aca="false">$AQ$2*($AQ$3+$AQ$4*$F64/($N64*'Sem TS MC2020'!P56))*($AQ$5*$G64+$AQ$6*$B64/$N64)*('Sem TS MC2020'!P56^$AQ$7/200000)*($J64-$M64)/($J64-$M64-$H64)+('Sem TS MC2020'!P56-$C64/$AQ$8)*($AQ$5*$G64+$AQ$6*$B64/$N64)/200000</f>
        <v>0.213930136844323</v>
      </c>
      <c r="AQ64" s="4" t="n">
        <f aca="false">AP64/$R64</f>
        <v>0.690097215626847</v>
      </c>
      <c r="AR64" s="24" t="n">
        <f aca="false">AP64-$R64</f>
        <v>-0.0960698631556773</v>
      </c>
    </row>
    <row r="65" customFormat="false" ht="14.25" hidden="false" customHeight="false" outlineLevel="0" collapsed="false">
      <c r="B65" s="2" t="n">
        <v>12</v>
      </c>
      <c r="C65" s="3" t="n">
        <v>500</v>
      </c>
      <c r="D65" s="3" t="n">
        <v>4</v>
      </c>
      <c r="E65" s="2" t="n">
        <v>46</v>
      </c>
      <c r="F65" s="4" t="n">
        <v>2.69332921131829</v>
      </c>
      <c r="G65" s="2" t="n">
        <v>70</v>
      </c>
      <c r="H65" s="2" t="n">
        <v>84</v>
      </c>
      <c r="I65" s="1" t="n">
        <v>350</v>
      </c>
      <c r="J65" s="2" t="n">
        <v>450</v>
      </c>
      <c r="K65" s="3" t="n">
        <v>452</v>
      </c>
      <c r="L65" s="4" t="n">
        <v>42000</v>
      </c>
      <c r="M65" s="3" t="n">
        <v>71.3470436587611</v>
      </c>
      <c r="N65" s="12" t="n">
        <v>0.0107619047619048</v>
      </c>
      <c r="O65" s="4" t="n">
        <v>45</v>
      </c>
      <c r="P65" s="3" t="n">
        <v>186.929102805262</v>
      </c>
      <c r="Q65" s="4" t="n">
        <f aca="false">(P65-P$354)/P$355</f>
        <v>-0.484259578431347</v>
      </c>
      <c r="R65" s="4" t="n">
        <v>0.4</v>
      </c>
      <c r="S65" s="13" t="n">
        <f aca="false">P65/200000</f>
        <v>0.00093464551402631</v>
      </c>
      <c r="W65" s="4" t="n">
        <f aca="false">$X$2*($X$3*$G65+$X$4*$B65^$X$5*$N65^$X$6)*$S65^$X$7</f>
        <v>0.243862063949379</v>
      </c>
      <c r="X65" s="4" t="n">
        <f aca="false">W65/$R65</f>
        <v>0.609655159873448</v>
      </c>
      <c r="Z65" s="4" t="n">
        <f aca="false">$AA$2*$B65^$AA$3*$S65^$AA$4*($AA$5*$N65^$AA$6+$AA$7)</f>
        <v>0.245894336696698</v>
      </c>
      <c r="AA65" s="4" t="n">
        <f aca="false">Z65/$R65</f>
        <v>0.614735841741744</v>
      </c>
      <c r="AC65" s="4" t="n">
        <f aca="false">$AD$2*($AD$3+$AD$4*$F65/($N65*'Sem TS MC2020'!P57))*($AD$5*$G65+$AD$6*$B65/$N65)*'Sem TS MC2020'!R57*($J65-$M65)/($J65-$M65-$H65)</f>
        <v>0.301963851012267</v>
      </c>
      <c r="AD65" s="4" t="n">
        <f aca="false">AC65/$R65</f>
        <v>0.754909627530667</v>
      </c>
      <c r="AE65" s="24" t="n">
        <f aca="false">AC65-$R65</f>
        <v>-0.0980361489877332</v>
      </c>
      <c r="AF65" s="25" t="n">
        <f aca="false">1/AD65</f>
        <v>1.32466187147597</v>
      </c>
      <c r="AG65" s="25" t="n">
        <f aca="false">AC65*(14.068*'Sem TS MC2020'!$P57^-0.457)/$R65</f>
        <v>0.794664239338267</v>
      </c>
      <c r="AH65" s="25"/>
      <c r="AP65" s="4" t="n">
        <f aca="false">$AQ$2*($AQ$3+$AQ$4*$F65/($N65*'Sem TS MC2020'!P57))*($AQ$5*$G65+$AQ$6*$B65/$N65)*('Sem TS MC2020'!P57^$AQ$7/200000)*($J65-$M65)/($J65-$M65-$H65)+('Sem TS MC2020'!P57-$C65/$AQ$8)*($AQ$5*$G65+$AQ$6*$B65/$N65)/200000</f>
        <v>0.310073718739653</v>
      </c>
      <c r="AQ65" s="4" t="n">
        <f aca="false">AP65/$R65</f>
        <v>0.775184296849133</v>
      </c>
      <c r="AR65" s="24" t="n">
        <f aca="false">AP65-$R65</f>
        <v>-0.0899262812603468</v>
      </c>
    </row>
    <row r="66" customFormat="false" ht="14.25" hidden="false" customHeight="false" outlineLevel="0" collapsed="false">
      <c r="A66" s="1" t="s">
        <v>33</v>
      </c>
      <c r="B66" s="2" t="n">
        <v>12</v>
      </c>
      <c r="C66" s="3" t="n">
        <v>500</v>
      </c>
      <c r="D66" s="3" t="n">
        <v>4</v>
      </c>
      <c r="E66" s="2" t="n">
        <v>46</v>
      </c>
      <c r="F66" s="4" t="n">
        <v>2.69332921131829</v>
      </c>
      <c r="G66" s="2" t="n">
        <v>70</v>
      </c>
      <c r="H66" s="2" t="n">
        <v>84</v>
      </c>
      <c r="I66" s="1" t="n">
        <v>350</v>
      </c>
      <c r="J66" s="2" t="n">
        <v>450</v>
      </c>
      <c r="K66" s="3" t="n">
        <v>452</v>
      </c>
      <c r="L66" s="4" t="n">
        <v>42000</v>
      </c>
      <c r="M66" s="3" t="n">
        <v>71.3470436587611</v>
      </c>
      <c r="N66" s="12" t="n">
        <v>0.0107619047619048</v>
      </c>
      <c r="O66" s="4" t="n">
        <v>30</v>
      </c>
      <c r="P66" s="3" t="n">
        <v>35.1927566244768</v>
      </c>
      <c r="Q66" s="4" t="n">
        <f aca="false">(P66-P$354)/P$355</f>
        <v>-1.75637653285785</v>
      </c>
      <c r="R66" s="4" t="n">
        <v>0.25</v>
      </c>
      <c r="S66" s="13" t="n">
        <f aca="false">P66/200000</f>
        <v>0.000175963783122384</v>
      </c>
      <c r="W66" s="4" t="n">
        <f aca="false">$X$2*($X$3*$G66+$X$4*$B66^$X$5*$N66^$X$6)*$S66^$X$7</f>
        <v>0.087032460598937</v>
      </c>
      <c r="X66" s="4" t="n">
        <f aca="false">W66/$R66</f>
        <v>0.348129842395748</v>
      </c>
      <c r="Z66" s="4" t="n">
        <f aca="false">$AA$2*$B66^$AA$3*$S66^$AA$4*($AA$5*$N66^$AA$6+$AA$7)</f>
        <v>0.0861604747752486</v>
      </c>
      <c r="AA66" s="4" t="n">
        <f aca="false">Z66/$R66</f>
        <v>0.344641899100994</v>
      </c>
      <c r="AC66" s="4" t="n">
        <f aca="false">$AD$2*($AD$3+$AD$4*$F66/($N66*'Sem TS MC2020'!P58))*($AD$5*$G66+$AD$6*$B66/$N66)*'Sem TS MC2020'!R58*($J66-$M66)/($J66-$M66-$H66)</f>
        <v>0.112757785302772</v>
      </c>
      <c r="AD66" s="4" t="n">
        <f aca="false">AC66/$R66</f>
        <v>0.451031141211087</v>
      </c>
      <c r="AE66" s="24" t="n">
        <f aca="false">AC66-$R66</f>
        <v>-0.137242214697228</v>
      </c>
      <c r="AF66" s="25" t="n">
        <f aca="false">1/AD66</f>
        <v>2.21714180824599</v>
      </c>
      <c r="AG66" s="25" t="n">
        <f aca="false">AC66*(14.068*'Sem TS MC2020'!$P58^-0.457)/$R66</f>
        <v>0.571437766511074</v>
      </c>
      <c r="AH66" s="25"/>
      <c r="AP66" s="4" t="n">
        <f aca="false">$AQ$2*($AQ$3+$AQ$4*$F66/($N66*'Sem TS MC2020'!P58))*($AQ$5*$G66+$AQ$6*$B66/$N66)*('Sem TS MC2020'!P58^$AQ$7/200000)*($J66-$M66)/($J66-$M66-$H66)+('Sem TS MC2020'!P58-$C66/$AQ$8)*($AQ$5*$G66+$AQ$6*$B66/$N66)/200000</f>
        <v>0.112293925072956</v>
      </c>
      <c r="AQ66" s="4" t="n">
        <f aca="false">AP66/$R66</f>
        <v>0.449175700291822</v>
      </c>
      <c r="AR66" s="24" t="n">
        <f aca="false">AP66-$R66</f>
        <v>-0.137706074927044</v>
      </c>
    </row>
    <row r="67" customFormat="false" ht="14.25" hidden="false" customHeight="false" outlineLevel="0" collapsed="false">
      <c r="B67" s="2" t="n">
        <v>12</v>
      </c>
      <c r="C67" s="3" t="n">
        <v>500</v>
      </c>
      <c r="D67" s="3" t="n">
        <v>4</v>
      </c>
      <c r="E67" s="2" t="n">
        <v>46</v>
      </c>
      <c r="F67" s="4" t="n">
        <v>2.69332921131829</v>
      </c>
      <c r="G67" s="2" t="n">
        <v>70</v>
      </c>
      <c r="H67" s="2" t="n">
        <v>84</v>
      </c>
      <c r="I67" s="1" t="n">
        <v>350</v>
      </c>
      <c r="J67" s="2" t="n">
        <v>450</v>
      </c>
      <c r="K67" s="3" t="n">
        <v>452</v>
      </c>
      <c r="L67" s="4" t="n">
        <v>42000</v>
      </c>
      <c r="M67" s="3" t="n">
        <v>71.3470436587611</v>
      </c>
      <c r="N67" s="12" t="n">
        <v>0.0107619047619048</v>
      </c>
      <c r="O67" s="4" t="n">
        <v>37.5</v>
      </c>
      <c r="P67" s="3" t="n">
        <v>111.060929714869</v>
      </c>
      <c r="Q67" s="4" t="n">
        <f aca="false">(P67-P$354)/P$355</f>
        <v>-1.1203180556446</v>
      </c>
      <c r="R67" s="4" t="n">
        <v>0.44</v>
      </c>
      <c r="S67" s="13" t="n">
        <f aca="false">P67/200000</f>
        <v>0.000555304648574347</v>
      </c>
      <c r="W67" s="4" t="n">
        <f aca="false">$X$2*($X$3*$G67+$X$4*$B67^$X$5*$N67^$X$6)*$S67^$X$7</f>
        <v>0.176860524899483</v>
      </c>
      <c r="X67" s="4" t="n">
        <f aca="false">W67/$R67</f>
        <v>0.401955738407917</v>
      </c>
      <c r="Z67" s="4" t="n">
        <f aca="false">$AA$2*$B67^$AA$3*$S67^$AA$4*($AA$5*$N67^$AA$6+$AA$7)</f>
        <v>0.177315997310222</v>
      </c>
      <c r="AA67" s="4" t="n">
        <f aca="false">Z67/$R67</f>
        <v>0.402990902977778</v>
      </c>
      <c r="AC67" s="4" t="n">
        <f aca="false">$AD$2*($AD$3+$AD$4*$F67/($N67*'Sem TS MC2020'!P59))*($AD$5*$G67+$AD$6*$B67/$N67)*'Sem TS MC2020'!R59*($J67-$M67)/($J67-$M67-$H67)</f>
        <v>0.207360818157519</v>
      </c>
      <c r="AD67" s="4" t="n">
        <f aca="false">AC67/$R67</f>
        <v>0.471274586721635</v>
      </c>
      <c r="AE67" s="24" t="n">
        <f aca="false">AC67-$R67</f>
        <v>-0.232639181842481</v>
      </c>
      <c r="AF67" s="25" t="n">
        <f aca="false">1/AD67</f>
        <v>2.12190520807918</v>
      </c>
      <c r="AG67" s="25" t="n">
        <f aca="false">AC67*(14.068*'Sem TS MC2020'!$P59^-0.457)/$R67</f>
        <v>0.539198352321285</v>
      </c>
      <c r="AH67" s="25"/>
      <c r="AP67" s="4" t="n">
        <f aca="false">$AQ$2*($AQ$3+$AQ$4*$F67/($N67*'Sem TS MC2020'!P59))*($AQ$5*$G67+$AQ$6*$B67/$N67)*('Sem TS MC2020'!P59^$AQ$7/200000)*($J67-$M67)/($J67-$M67-$H67)+('Sem TS MC2020'!P59-$C67/$AQ$8)*($AQ$5*$G67+$AQ$6*$B67/$N67)/200000</f>
        <v>0.213930136844323</v>
      </c>
      <c r="AQ67" s="4" t="n">
        <f aca="false">AP67/$R67</f>
        <v>0.48620485646437</v>
      </c>
      <c r="AR67" s="24" t="n">
        <f aca="false">AP67-$R67</f>
        <v>-0.226069863155677</v>
      </c>
    </row>
    <row r="68" customFormat="false" ht="14.25" hidden="false" customHeight="false" outlineLevel="0" collapsed="false">
      <c r="B68" s="2" t="n">
        <v>12</v>
      </c>
      <c r="C68" s="3" t="n">
        <v>500</v>
      </c>
      <c r="D68" s="3" t="n">
        <v>4</v>
      </c>
      <c r="E68" s="2" t="n">
        <v>46</v>
      </c>
      <c r="F68" s="4" t="n">
        <v>2.69332921131829</v>
      </c>
      <c r="G68" s="2" t="n">
        <v>70</v>
      </c>
      <c r="H68" s="2" t="n">
        <v>84</v>
      </c>
      <c r="I68" s="1" t="n">
        <v>350</v>
      </c>
      <c r="J68" s="2" t="n">
        <v>450</v>
      </c>
      <c r="K68" s="3" t="n">
        <v>452</v>
      </c>
      <c r="L68" s="4" t="n">
        <v>42000</v>
      </c>
      <c r="M68" s="3" t="n">
        <v>71.3470436587611</v>
      </c>
      <c r="N68" s="12" t="n">
        <v>0.0107619047619048</v>
      </c>
      <c r="O68" s="4" t="n">
        <v>45</v>
      </c>
      <c r="P68" s="3" t="n">
        <v>186.929102805262</v>
      </c>
      <c r="Q68" s="4" t="n">
        <f aca="false">(P68-P$354)/P$355</f>
        <v>-0.484259578431347</v>
      </c>
      <c r="R68" s="4" t="n">
        <v>0.56</v>
      </c>
      <c r="S68" s="13" t="n">
        <f aca="false">P68/200000</f>
        <v>0.00093464551402631</v>
      </c>
      <c r="W68" s="4" t="n">
        <f aca="false">$X$2*($X$3*$G68+$X$4*$B68^$X$5*$N68^$X$6)*$S68^$X$7</f>
        <v>0.243862063949379</v>
      </c>
      <c r="X68" s="4" t="n">
        <f aca="false">W68/$R68</f>
        <v>0.435467971338177</v>
      </c>
      <c r="Z68" s="4" t="n">
        <f aca="false">$AA$2*$B68^$AA$3*$S68^$AA$4*($AA$5*$N68^$AA$6+$AA$7)</f>
        <v>0.245894336696698</v>
      </c>
      <c r="AA68" s="4" t="n">
        <f aca="false">Z68/$R68</f>
        <v>0.439097029815532</v>
      </c>
      <c r="AC68" s="4" t="n">
        <f aca="false">$AD$2*($AD$3+$AD$4*$F68/($N68*'Sem TS MC2020'!P60))*($AD$5*$G68+$AD$6*$B68/$N68)*'Sem TS MC2020'!R60*($J68-$M68)/($J68-$M68-$H68)</f>
        <v>0.301963851012267</v>
      </c>
      <c r="AD68" s="4" t="n">
        <f aca="false">AC68/$R68</f>
        <v>0.539221162521905</v>
      </c>
      <c r="AE68" s="24" t="n">
        <f aca="false">AC68-$R68</f>
        <v>-0.258036148987733</v>
      </c>
      <c r="AF68" s="25" t="n">
        <f aca="false">1/AD68</f>
        <v>1.85452662006636</v>
      </c>
      <c r="AG68" s="25" t="n">
        <f aca="false">AC68*(14.068*'Sem TS MC2020'!$P60^-0.457)/$R68</f>
        <v>0.567617313813048</v>
      </c>
      <c r="AH68" s="25"/>
      <c r="AP68" s="4" t="n">
        <f aca="false">$AQ$2*($AQ$3+$AQ$4*$F68/($N68*'Sem TS MC2020'!P60))*($AQ$5*$G68+$AQ$6*$B68/$N68)*('Sem TS MC2020'!P60^$AQ$7/200000)*($J68-$M68)/($J68-$M68-$H68)+('Sem TS MC2020'!P60-$C68/$AQ$8)*($AQ$5*$G68+$AQ$6*$B68/$N68)/200000</f>
        <v>0.310073718739653</v>
      </c>
      <c r="AQ68" s="4" t="n">
        <f aca="false">AP68/$R68</f>
        <v>0.553703069177952</v>
      </c>
      <c r="AR68" s="24" t="n">
        <f aca="false">AP68-$R68</f>
        <v>-0.249926281260347</v>
      </c>
    </row>
    <row r="69" customFormat="false" ht="14.25" hidden="false" customHeight="false" outlineLevel="0" collapsed="false">
      <c r="A69" s="1" t="s">
        <v>34</v>
      </c>
      <c r="B69" s="2" t="n">
        <v>25</v>
      </c>
      <c r="C69" s="3" t="n">
        <v>500</v>
      </c>
      <c r="D69" s="3" t="n">
        <v>4</v>
      </c>
      <c r="E69" s="2" t="n">
        <v>62</v>
      </c>
      <c r="F69" s="4" t="n">
        <v>2.69332921131829</v>
      </c>
      <c r="G69" s="2" t="n">
        <v>20</v>
      </c>
      <c r="H69" s="2" t="n">
        <v>40.5</v>
      </c>
      <c r="I69" s="1" t="n">
        <v>350</v>
      </c>
      <c r="J69" s="2" t="n">
        <v>450</v>
      </c>
      <c r="K69" s="3" t="n">
        <v>1964</v>
      </c>
      <c r="L69" s="4" t="n">
        <v>49612.5</v>
      </c>
      <c r="M69" s="3" t="n">
        <v>141.766460137701</v>
      </c>
      <c r="N69" s="12" t="n">
        <v>0.0395867976820358</v>
      </c>
      <c r="O69" s="4" t="n">
        <v>150</v>
      </c>
      <c r="P69" s="3" t="n">
        <v>162.977172789228</v>
      </c>
      <c r="Q69" s="4" t="n">
        <f aca="false">(P69-P$354)/P$355</f>
        <v>-0.685066155309972</v>
      </c>
      <c r="R69" s="4" t="n">
        <v>0.23</v>
      </c>
      <c r="S69" s="13" t="n">
        <f aca="false">P69/200000</f>
        <v>0.000814885863946141</v>
      </c>
      <c r="W69" s="4" t="n">
        <f aca="false">$X$2*($X$3*$G69+$X$4*$B69^$X$5*$N69^$X$6)*$S69^$X$7</f>
        <v>0.213674110324417</v>
      </c>
      <c r="X69" s="4" t="n">
        <f aca="false">W69/$R69</f>
        <v>0.929017870975725</v>
      </c>
      <c r="Z69" s="4" t="n">
        <f aca="false">$AA$2*$B69^$AA$3*$S69^$AA$4*($AA$5*$N69^$AA$6+$AA$7)</f>
        <v>0.214237073251656</v>
      </c>
      <c r="AA69" s="4" t="n">
        <f aca="false">Z69/$R69</f>
        <v>0.931465535876765</v>
      </c>
      <c r="AC69" s="4" t="n">
        <f aca="false">$AD$2*($AD$3+$AD$4*$F69/($N69*'Sem TS MC2020'!P61))*($AD$5*$G69+$AD$6*$B69/$N69)*'Sem TS MC2020'!R61*($J69-$M69)/($J69-$M69-$H69)</f>
        <v>0.14579257158924</v>
      </c>
      <c r="AD69" s="4" t="n">
        <f aca="false">AC69/$R69</f>
        <v>0.633880746040172</v>
      </c>
      <c r="AE69" s="24" t="n">
        <f aca="false">AC69-$R69</f>
        <v>-0.0842074284107605</v>
      </c>
      <c r="AF69" s="25" t="n">
        <f aca="false">1/AD69</f>
        <v>1.57758380617642</v>
      </c>
      <c r="AG69" s="25" t="n">
        <f aca="false">AC69*(14.068*'Sem TS MC2020'!$P61^-0.457)/$R69</f>
        <v>0.773028850308038</v>
      </c>
      <c r="AH69" s="25"/>
      <c r="AP69" s="4" t="n">
        <f aca="false">$AQ$2*($AQ$3+$AQ$4*$F69/($N69*'Sem TS MC2020'!P61))*($AQ$5*$G69+$AQ$6*$B69/$N69)*('Sem TS MC2020'!P61^$AQ$7/200000)*($J69-$M69)/($J69-$M69-$H69)+('Sem TS MC2020'!P61-$C69/$AQ$8)*($AQ$5*$G69+$AQ$6*$B69/$N69)/200000</f>
        <v>0.16017905203151</v>
      </c>
      <c r="AQ69" s="4" t="n">
        <f aca="false">AP69/$R69</f>
        <v>0.696430661006565</v>
      </c>
      <c r="AR69" s="24" t="n">
        <f aca="false">AP69-$R69</f>
        <v>-0.0698209479684901</v>
      </c>
    </row>
    <row r="70" customFormat="false" ht="14.25" hidden="false" customHeight="false" outlineLevel="0" collapsed="false">
      <c r="B70" s="2" t="n">
        <v>25</v>
      </c>
      <c r="C70" s="3" t="n">
        <v>500</v>
      </c>
      <c r="D70" s="3" t="n">
        <v>4</v>
      </c>
      <c r="E70" s="2" t="n">
        <v>62</v>
      </c>
      <c r="F70" s="4" t="n">
        <v>2.69332921131829</v>
      </c>
      <c r="G70" s="2" t="n">
        <v>20</v>
      </c>
      <c r="H70" s="2" t="n">
        <v>40.5</v>
      </c>
      <c r="I70" s="1" t="n">
        <v>350</v>
      </c>
      <c r="J70" s="2" t="n">
        <v>450</v>
      </c>
      <c r="K70" s="3" t="n">
        <v>1964</v>
      </c>
      <c r="L70" s="4" t="n">
        <v>49612.5</v>
      </c>
      <c r="M70" s="3" t="n">
        <v>141.766460137701</v>
      </c>
      <c r="N70" s="12" t="n">
        <v>0.0395867976820358</v>
      </c>
      <c r="O70" s="4" t="n">
        <v>225</v>
      </c>
      <c r="P70" s="3" t="n">
        <v>287.49119849252</v>
      </c>
      <c r="Q70" s="4" t="n">
        <f aca="false">(P70-P$354)/P$355</f>
        <v>0.358826143060876</v>
      </c>
      <c r="R70" s="4" t="n">
        <v>0.35</v>
      </c>
      <c r="S70" s="13" t="n">
        <f aca="false">P70/200000</f>
        <v>0.0014374559924626</v>
      </c>
      <c r="W70" s="4" t="n">
        <f aca="false">$X$2*($X$3*$G70+$X$4*$B70^$X$5*$N70^$X$6)*$S70^$X$7</f>
        <v>0.303278086089166</v>
      </c>
      <c r="X70" s="4" t="n">
        <f aca="false">W70/$R70</f>
        <v>0.866508817397619</v>
      </c>
      <c r="Z70" s="4" t="n">
        <f aca="false">$AA$2*$B70^$AA$3*$S70^$AA$4*($AA$5*$N70^$AA$6+$AA$7)</f>
        <v>0.305981541730525</v>
      </c>
      <c r="AA70" s="4" t="n">
        <f aca="false">Z70/$R70</f>
        <v>0.874232976372928</v>
      </c>
      <c r="AC70" s="4" t="n">
        <f aca="false">$AD$2*($AD$3+$AD$4*$F70/($N70*'Sem TS MC2020'!P62))*($AD$5*$G70+$AD$6*$B70/$N70)*'Sem TS MC2020'!R62*($J70-$M70)/($J70-$M70-$H70)</f>
        <v>0.234211616577724</v>
      </c>
      <c r="AD70" s="4" t="n">
        <f aca="false">AC70/$R70</f>
        <v>0.669176047364925</v>
      </c>
      <c r="AE70" s="24" t="n">
        <f aca="false">AC70-$R70</f>
        <v>-0.115788383422276</v>
      </c>
      <c r="AF70" s="25" t="n">
        <f aca="false">1/AD70</f>
        <v>1.49437506607983</v>
      </c>
      <c r="AG70" s="25" t="n">
        <f aca="false">AC70*(14.068*'Sem TS MC2020'!$P62^-0.457)/$R70</f>
        <v>0.678039233321478</v>
      </c>
      <c r="AH70" s="25"/>
      <c r="AP70" s="4" t="n">
        <f aca="false">$AQ$2*($AQ$3+$AQ$4*$F70/($N70*'Sem TS MC2020'!P62))*($AQ$5*$G70+$AQ$6*$B70/$N70)*('Sem TS MC2020'!P62^$AQ$7/200000)*($J70-$M70)/($J70-$M70-$H70)+('Sem TS MC2020'!P62-$C70/$AQ$8)*($AQ$5*$G70+$AQ$6*$B70/$N70)/200000</f>
        <v>0.247010023906519</v>
      </c>
      <c r="AQ70" s="4" t="n">
        <f aca="false">AP70/$R70</f>
        <v>0.705742925447196</v>
      </c>
      <c r="AR70" s="24" t="n">
        <f aca="false">AP70-$R70</f>
        <v>-0.102989976093481</v>
      </c>
    </row>
    <row r="71" customFormat="false" ht="14.25" hidden="false" customHeight="false" outlineLevel="0" collapsed="false">
      <c r="B71" s="2" t="n">
        <v>25</v>
      </c>
      <c r="C71" s="3" t="n">
        <v>500</v>
      </c>
      <c r="D71" s="3" t="n">
        <v>4</v>
      </c>
      <c r="E71" s="2" t="n">
        <v>62</v>
      </c>
      <c r="F71" s="4" t="n">
        <v>2.69332921131829</v>
      </c>
      <c r="G71" s="2" t="n">
        <v>20</v>
      </c>
      <c r="H71" s="2" t="n">
        <v>40.5</v>
      </c>
      <c r="I71" s="1" t="n">
        <v>350</v>
      </c>
      <c r="J71" s="2" t="n">
        <v>450</v>
      </c>
      <c r="K71" s="3" t="n">
        <v>1964</v>
      </c>
      <c r="L71" s="4" t="n">
        <v>49612.5</v>
      </c>
      <c r="M71" s="3" t="n">
        <v>141.766460137701</v>
      </c>
      <c r="N71" s="12" t="n">
        <v>0.0395867976820358</v>
      </c>
      <c r="O71" s="4" t="n">
        <v>300</v>
      </c>
      <c r="P71" s="3" t="n">
        <v>412.005224195811</v>
      </c>
      <c r="Q71" s="4" t="n">
        <f aca="false">(P71-P$354)/P$355</f>
        <v>1.40271844143173</v>
      </c>
      <c r="R71" s="4" t="n">
        <v>0.49</v>
      </c>
      <c r="S71" s="13" t="n">
        <f aca="false">P71/200000</f>
        <v>0.00206002612097905</v>
      </c>
      <c r="W71" s="4" t="n">
        <f aca="false">$X$2*($X$3*$G71+$X$4*$B71^$X$5*$N71^$X$6)*$S71^$X$7</f>
        <v>0.378673279874648</v>
      </c>
      <c r="X71" s="4" t="n">
        <f aca="false">W71/$R71</f>
        <v>0.772802611989077</v>
      </c>
      <c r="Z71" s="4" t="n">
        <f aca="false">$AA$2*$B71^$AA$3*$S71^$AA$4*($AA$5*$N71^$AA$6+$AA$7)</f>
        <v>0.383564070651813</v>
      </c>
      <c r="AA71" s="4" t="n">
        <f aca="false">Z71/$R71</f>
        <v>0.782783817656761</v>
      </c>
      <c r="AC71" s="4" t="n">
        <f aca="false">$AD$2*($AD$3+$AD$4*$F71/($N71*'Sem TS MC2020'!P63))*($AD$5*$G71+$AD$6*$B71/$N71)*'Sem TS MC2020'!R63*($J71-$M71)/($J71-$M71-$H71)</f>
        <v>0.322630661566208</v>
      </c>
      <c r="AD71" s="4" t="n">
        <f aca="false">AC71/$R71</f>
        <v>0.65842992156369</v>
      </c>
      <c r="AE71" s="24" t="n">
        <f aca="false">AC71-$R71</f>
        <v>-0.167369338433792</v>
      </c>
      <c r="AF71" s="25" t="n">
        <f aca="false">1/AD71</f>
        <v>1.51876451426315</v>
      </c>
      <c r="AG71" s="25" t="n">
        <f aca="false">AC71*(14.068*'Sem TS MC2020'!$P63^-0.457)/$R71</f>
        <v>0.584961108651077</v>
      </c>
      <c r="AH71" s="25"/>
      <c r="AP71" s="4" t="n">
        <f aca="false">$AQ$2*($AQ$3+$AQ$4*$F71/($N71*'Sem TS MC2020'!P63))*($AQ$5*$G71+$AQ$6*$B71/$N71)*('Sem TS MC2020'!P63^$AQ$7/200000)*($J71-$M71)/($J71-$M71-$H71)+('Sem TS MC2020'!P63-$C71/$AQ$8)*($AQ$5*$G71+$AQ$6*$B71/$N71)/200000</f>
        <v>0.328370309823544</v>
      </c>
      <c r="AQ71" s="4" t="n">
        <f aca="false">AP71/$R71</f>
        <v>0.670143489435804</v>
      </c>
      <c r="AR71" s="24" t="n">
        <f aca="false">AP71-$R71</f>
        <v>-0.161629690176456</v>
      </c>
    </row>
    <row r="72" customFormat="false" ht="14.25" hidden="false" customHeight="false" outlineLevel="0" collapsed="false">
      <c r="B72" s="2" t="n">
        <v>25</v>
      </c>
      <c r="C72" s="3" t="n">
        <v>500</v>
      </c>
      <c r="D72" s="3" t="n">
        <v>4</v>
      </c>
      <c r="E72" s="2" t="n">
        <v>62</v>
      </c>
      <c r="F72" s="4" t="n">
        <v>2.69332921131829</v>
      </c>
      <c r="G72" s="2" t="n">
        <v>20</v>
      </c>
      <c r="H72" s="2" t="n">
        <v>40.5</v>
      </c>
      <c r="I72" s="1" t="n">
        <v>350</v>
      </c>
      <c r="J72" s="2" t="n">
        <v>450</v>
      </c>
      <c r="K72" s="3" t="n">
        <v>1964</v>
      </c>
      <c r="L72" s="4" t="n">
        <v>49612.5</v>
      </c>
      <c r="M72" s="3" t="n">
        <v>141.766460137701</v>
      </c>
      <c r="N72" s="12" t="n">
        <v>0.0395867976820358</v>
      </c>
      <c r="O72" s="4" t="n">
        <v>375</v>
      </c>
      <c r="P72" s="3" t="n">
        <v>500</v>
      </c>
      <c r="Q72" s="4" t="n">
        <f aca="false">(P72-P$354)/P$355</f>
        <v>2.14044311333135</v>
      </c>
      <c r="R72" s="4" t="n">
        <v>0.67</v>
      </c>
      <c r="S72" s="13" t="n">
        <f aca="false">P72/200000</f>
        <v>0.0025</v>
      </c>
      <c r="W72" s="4" t="n">
        <f aca="false">$X$2*($X$3*$G72+$X$4*$B72^$X$5*$N72^$X$6)*$S72^$X$7</f>
        <v>0.426711329606347</v>
      </c>
      <c r="X72" s="4" t="n">
        <f aca="false">W72/$R72</f>
        <v>0.63688258150201</v>
      </c>
      <c r="Z72" s="4" t="n">
        <f aca="false">$AA$2*$B72^$AA$3*$S72^$AA$4*($AA$5*$N72^$AA$6+$AA$7)</f>
        <v>0.433143869274165</v>
      </c>
      <c r="AA72" s="4" t="n">
        <f aca="false">Z72/$R72</f>
        <v>0.646483386976366</v>
      </c>
      <c r="AC72" s="4" t="n">
        <f aca="false">$AD$2*($AD$3+$AD$4*$F72/($N72*'Sem TS MC2020'!P64))*($AD$5*$G72+$AD$6*$B72/$N72)*'Sem TS MC2020'!R64*($J72-$M72)/($J72-$M72-$H72)</f>
        <v>0.388324965168053</v>
      </c>
      <c r="AD72" s="4" t="n">
        <f aca="false">AC72/$R72</f>
        <v>0.579589500250825</v>
      </c>
      <c r="AE72" s="24" t="n">
        <f aca="false">AC72-$R72</f>
        <v>-0.281675034831947</v>
      </c>
      <c r="AF72" s="25" t="n">
        <f aca="false">1/AD72</f>
        <v>1.72535906804253</v>
      </c>
      <c r="AG72" s="25" t="n">
        <f aca="false">AC72*(14.068*'Sem TS MC2020'!$P64^-0.457)/$R72</f>
        <v>0.476347156319587</v>
      </c>
      <c r="AH72" s="25"/>
      <c r="AP72" s="4" t="n">
        <f aca="false">$AQ$2*($AQ$3+$AQ$4*$F72/($N72*'Sem TS MC2020'!P64))*($AQ$5*$G72+$AQ$6*$B72/$N72)*('Sem TS MC2020'!P64^$AQ$7/200000)*($J72-$M72)/($J72-$M72-$H72)+('Sem TS MC2020'!P64-$C72/$AQ$8)*($AQ$5*$G72+$AQ$6*$B72/$N72)/200000</f>
        <v>0.386364916337009</v>
      </c>
      <c r="AQ72" s="4" t="n">
        <f aca="false">AP72/$R72</f>
        <v>0.576664054234342</v>
      </c>
      <c r="AR72" s="24" t="n">
        <f aca="false">AP72-$R72</f>
        <v>-0.283635083662991</v>
      </c>
    </row>
    <row r="73" customFormat="false" ht="14.25" hidden="false" customHeight="false" outlineLevel="0" collapsed="false">
      <c r="A73" s="1" t="s">
        <v>35</v>
      </c>
      <c r="B73" s="2" t="n">
        <v>25</v>
      </c>
      <c r="C73" s="3" t="n">
        <v>500</v>
      </c>
      <c r="D73" s="3" t="n">
        <v>4</v>
      </c>
      <c r="E73" s="2" t="n">
        <v>62</v>
      </c>
      <c r="F73" s="4" t="n">
        <v>2.69332921131829</v>
      </c>
      <c r="G73" s="2" t="n">
        <v>20</v>
      </c>
      <c r="H73" s="2" t="n">
        <v>40.5</v>
      </c>
      <c r="I73" s="1" t="n">
        <v>350</v>
      </c>
      <c r="J73" s="2" t="n">
        <v>450</v>
      </c>
      <c r="K73" s="3" t="n">
        <v>1964</v>
      </c>
      <c r="L73" s="4" t="n">
        <v>49612.5</v>
      </c>
      <c r="M73" s="3" t="n">
        <v>141.766460137701</v>
      </c>
      <c r="N73" s="12" t="n">
        <v>0.0395867976820358</v>
      </c>
      <c r="O73" s="4" t="n">
        <v>150</v>
      </c>
      <c r="P73" s="3" t="n">
        <v>162.977172789228</v>
      </c>
      <c r="Q73" s="4" t="n">
        <f aca="false">(P73-P$354)/P$355</f>
        <v>-0.685066155309972</v>
      </c>
      <c r="R73" s="4" t="n">
        <v>0.27</v>
      </c>
      <c r="S73" s="13" t="n">
        <f aca="false">P73/200000</f>
        <v>0.000814885863946141</v>
      </c>
      <c r="W73" s="4" t="n">
        <f aca="false">$X$2*($X$3*$G73+$X$4*$B73^$X$5*$N73^$X$6)*$S73^$X$7</f>
        <v>0.213674110324417</v>
      </c>
      <c r="X73" s="4" t="n">
        <f aca="false">W73/$R73</f>
        <v>0.791385593794136</v>
      </c>
      <c r="Z73" s="4" t="n">
        <f aca="false">$AA$2*$B73^$AA$3*$S73^$AA$4*($AA$5*$N73^$AA$6+$AA$7)</f>
        <v>0.214237073251656</v>
      </c>
      <c r="AA73" s="4" t="n">
        <f aca="false">Z73/$R73</f>
        <v>0.793470641672799</v>
      </c>
      <c r="AC73" s="4" t="n">
        <f aca="false">$AD$2*($AD$3+$AD$4*$F73/($N73*'Sem TS MC2020'!P65))*($AD$5*$G73+$AD$6*$B73/$N73)*'Sem TS MC2020'!R65*($J73-$M73)/($J73-$M73-$H73)</f>
        <v>0.14579257158924</v>
      </c>
      <c r="AD73" s="4" t="n">
        <f aca="false">AC73/$R73</f>
        <v>0.539972487367554</v>
      </c>
      <c r="AE73" s="24" t="n">
        <f aca="false">AC73-$R73</f>
        <v>-0.12420742841076</v>
      </c>
      <c r="AF73" s="25" t="n">
        <f aca="false">1/AD73</f>
        <v>1.85194620725057</v>
      </c>
      <c r="AG73" s="25" t="n">
        <f aca="false">AC73*(14.068*'Sem TS MC2020'!$P65^-0.457)/$R73</f>
        <v>0.65850605766981</v>
      </c>
      <c r="AH73" s="25"/>
      <c r="AP73" s="4" t="n">
        <f aca="false">$AQ$2*($AQ$3+$AQ$4*$F73/($N73*'Sem TS MC2020'!P65))*($AQ$5*$G73+$AQ$6*$B73/$N73)*('Sem TS MC2020'!P65^$AQ$7/200000)*($J73-$M73)/($J73-$M73-$H73)+('Sem TS MC2020'!P65-$C73/$AQ$8)*($AQ$5*$G73+$AQ$6*$B73/$N73)/200000</f>
        <v>0.16017905203151</v>
      </c>
      <c r="AQ73" s="4" t="n">
        <f aca="false">AP73/$R73</f>
        <v>0.593255748264851</v>
      </c>
      <c r="AR73" s="24" t="n">
        <f aca="false">AP73-$R73</f>
        <v>-0.10982094796849</v>
      </c>
    </row>
    <row r="74" customFormat="false" ht="14.25" hidden="false" customHeight="false" outlineLevel="0" collapsed="false">
      <c r="B74" s="2" t="n">
        <v>25</v>
      </c>
      <c r="C74" s="3" t="n">
        <v>500</v>
      </c>
      <c r="D74" s="3" t="n">
        <v>4</v>
      </c>
      <c r="E74" s="2" t="n">
        <v>62</v>
      </c>
      <c r="F74" s="4" t="n">
        <v>2.69332921131829</v>
      </c>
      <c r="G74" s="2" t="n">
        <v>20</v>
      </c>
      <c r="H74" s="2" t="n">
        <v>40.5</v>
      </c>
      <c r="I74" s="1" t="n">
        <v>350</v>
      </c>
      <c r="J74" s="2" t="n">
        <v>450</v>
      </c>
      <c r="K74" s="3" t="n">
        <v>1964</v>
      </c>
      <c r="L74" s="4" t="n">
        <v>49612.5</v>
      </c>
      <c r="M74" s="3" t="n">
        <v>141.766460137701</v>
      </c>
      <c r="N74" s="12" t="n">
        <v>0.0395867976820358</v>
      </c>
      <c r="O74" s="4" t="n">
        <v>225</v>
      </c>
      <c r="P74" s="3" t="n">
        <v>287.49119849252</v>
      </c>
      <c r="Q74" s="4" t="n">
        <f aca="false">(P74-P$354)/P$355</f>
        <v>0.358826143060876</v>
      </c>
      <c r="R74" s="4" t="n">
        <v>0.4</v>
      </c>
      <c r="S74" s="13" t="n">
        <f aca="false">P74/200000</f>
        <v>0.0014374559924626</v>
      </c>
      <c r="W74" s="4" t="n">
        <f aca="false">$X$2*($X$3*$G74+$X$4*$B74^$X$5*$N74^$X$6)*$S74^$X$7</f>
        <v>0.303278086089166</v>
      </c>
      <c r="X74" s="4" t="n">
        <f aca="false">W74/$R74</f>
        <v>0.758195215222916</v>
      </c>
      <c r="Z74" s="4" t="n">
        <f aca="false">$AA$2*$B74^$AA$3*$S74^$AA$4*($AA$5*$N74^$AA$6+$AA$7)</f>
        <v>0.305981541730525</v>
      </c>
      <c r="AA74" s="4" t="n">
        <f aca="false">Z74/$R74</f>
        <v>0.764953854326312</v>
      </c>
      <c r="AC74" s="4" t="n">
        <f aca="false">$AD$2*($AD$3+$AD$4*$F74/($N74*'Sem TS MC2020'!P66))*($AD$5*$G74+$AD$6*$B74/$N74)*'Sem TS MC2020'!R66*($J74-$M74)/($J74-$M74-$H74)</f>
        <v>0.234211616577724</v>
      </c>
      <c r="AD74" s="4" t="n">
        <f aca="false">AC74/$R74</f>
        <v>0.58552904144431</v>
      </c>
      <c r="AE74" s="24" t="n">
        <f aca="false">AC74-$R74</f>
        <v>-0.165788383422276</v>
      </c>
      <c r="AF74" s="25" t="n">
        <f aca="false">1/AD74</f>
        <v>1.70785721837695</v>
      </c>
      <c r="AG74" s="25" t="n">
        <f aca="false">AC74*(14.068*'Sem TS MC2020'!$P66^-0.457)/$R74</f>
        <v>0.593284329156293</v>
      </c>
      <c r="AH74" s="25"/>
      <c r="AP74" s="4" t="n">
        <f aca="false">$AQ$2*($AQ$3+$AQ$4*$F74/($N74*'Sem TS MC2020'!P66))*($AQ$5*$G74+$AQ$6*$B74/$N74)*('Sem TS MC2020'!P66^$AQ$7/200000)*($J74-$M74)/($J74-$M74-$H74)+('Sem TS MC2020'!P66-$C74/$AQ$8)*($AQ$5*$G74+$AQ$6*$B74/$N74)/200000</f>
        <v>0.247010023906519</v>
      </c>
      <c r="AQ74" s="4" t="n">
        <f aca="false">AP74/$R74</f>
        <v>0.617525059766296</v>
      </c>
      <c r="AR74" s="24" t="n">
        <f aca="false">AP74-$R74</f>
        <v>-0.152989976093482</v>
      </c>
    </row>
    <row r="75" customFormat="false" ht="14.25" hidden="false" customHeight="false" outlineLevel="0" collapsed="false">
      <c r="B75" s="2" t="n">
        <v>25</v>
      </c>
      <c r="C75" s="3" t="n">
        <v>500</v>
      </c>
      <c r="D75" s="3" t="n">
        <v>4</v>
      </c>
      <c r="E75" s="2" t="n">
        <v>62</v>
      </c>
      <c r="F75" s="4" t="n">
        <v>2.69332921131829</v>
      </c>
      <c r="G75" s="2" t="n">
        <v>20</v>
      </c>
      <c r="H75" s="2" t="n">
        <v>40.5</v>
      </c>
      <c r="I75" s="1" t="n">
        <v>350</v>
      </c>
      <c r="J75" s="2" t="n">
        <v>450</v>
      </c>
      <c r="K75" s="3" t="n">
        <v>1964</v>
      </c>
      <c r="L75" s="4" t="n">
        <v>49612.5</v>
      </c>
      <c r="M75" s="3" t="n">
        <v>141.766460137701</v>
      </c>
      <c r="N75" s="12" t="n">
        <v>0.0395867976820358</v>
      </c>
      <c r="O75" s="4" t="n">
        <v>300</v>
      </c>
      <c r="P75" s="3" t="n">
        <v>412.005224195811</v>
      </c>
      <c r="Q75" s="4" t="n">
        <f aca="false">(P75-P$354)/P$355</f>
        <v>1.40271844143173</v>
      </c>
      <c r="R75" s="4" t="n">
        <v>0.53</v>
      </c>
      <c r="S75" s="13" t="n">
        <f aca="false">P75/200000</f>
        <v>0.00206002612097905</v>
      </c>
      <c r="W75" s="4" t="n">
        <f aca="false">$X$2*($X$3*$G75+$X$4*$B75^$X$5*$N75^$X$6)*$S75^$X$7</f>
        <v>0.378673279874648</v>
      </c>
      <c r="X75" s="4" t="n">
        <f aca="false">W75/$R75</f>
        <v>0.714477886555939</v>
      </c>
      <c r="Z75" s="4" t="n">
        <f aca="false">$AA$2*$B75^$AA$3*$S75^$AA$4*($AA$5*$N75^$AA$6+$AA$7)</f>
        <v>0.383564070651813</v>
      </c>
      <c r="AA75" s="4" t="n">
        <f aca="false">Z75/$R75</f>
        <v>0.723705793682665</v>
      </c>
      <c r="AC75" s="4" t="n">
        <f aca="false">$AD$2*($AD$3+$AD$4*$F75/($N75*'Sem TS MC2020'!P67))*($AD$5*$G75+$AD$6*$B75/$N75)*'Sem TS MC2020'!R67*($J75-$M75)/($J75-$M75-$H75)</f>
        <v>0.322630661566208</v>
      </c>
      <c r="AD75" s="4" t="n">
        <f aca="false">AC75/$R75</f>
        <v>0.608737097294732</v>
      </c>
      <c r="AE75" s="24" t="n">
        <f aca="false">AC75-$R75</f>
        <v>-0.207369338433792</v>
      </c>
      <c r="AF75" s="25" t="n">
        <f aca="false">1/AD75</f>
        <v>1.64274529093769</v>
      </c>
      <c r="AG75" s="25" t="n">
        <f aca="false">AC75*(14.068*'Sem TS MC2020'!$P67^-0.457)/$R75</f>
        <v>0.540813100450996</v>
      </c>
      <c r="AH75" s="25"/>
      <c r="AP75" s="4" t="n">
        <f aca="false">$AQ$2*($AQ$3+$AQ$4*$F75/($N75*'Sem TS MC2020'!P67))*($AQ$5*$G75+$AQ$6*$B75/$N75)*('Sem TS MC2020'!P67^$AQ$7/200000)*($J75-$M75)/($J75-$M75-$H75)+('Sem TS MC2020'!P67-$C75/$AQ$8)*($AQ$5*$G75+$AQ$6*$B75/$N75)/200000</f>
        <v>0.328370309823544</v>
      </c>
      <c r="AQ75" s="4" t="n">
        <f aca="false">AP75/$R75</f>
        <v>0.619566622308574</v>
      </c>
      <c r="AR75" s="24" t="n">
        <f aca="false">AP75-$R75</f>
        <v>-0.201629690176456</v>
      </c>
    </row>
    <row r="76" customFormat="false" ht="14.25" hidden="false" customHeight="false" outlineLevel="0" collapsed="false">
      <c r="B76" s="2" t="n">
        <v>25</v>
      </c>
      <c r="C76" s="3" t="n">
        <v>500</v>
      </c>
      <c r="D76" s="3" t="n">
        <v>4</v>
      </c>
      <c r="E76" s="2" t="n">
        <v>62</v>
      </c>
      <c r="F76" s="4" t="n">
        <v>2.69332921131829</v>
      </c>
      <c r="G76" s="2" t="n">
        <v>20</v>
      </c>
      <c r="H76" s="2" t="n">
        <v>40.5</v>
      </c>
      <c r="I76" s="1" t="n">
        <v>350</v>
      </c>
      <c r="J76" s="2" t="n">
        <v>450</v>
      </c>
      <c r="K76" s="3" t="n">
        <v>1964</v>
      </c>
      <c r="L76" s="4" t="n">
        <v>49612.5</v>
      </c>
      <c r="M76" s="3" t="n">
        <v>141.766460137701</v>
      </c>
      <c r="N76" s="12" t="n">
        <v>0.0395867976820358</v>
      </c>
      <c r="O76" s="4" t="n">
        <v>375</v>
      </c>
      <c r="P76" s="3" t="n">
        <v>500</v>
      </c>
      <c r="Q76" s="4" t="n">
        <f aca="false">(P76-P$354)/P$355</f>
        <v>2.14044311333135</v>
      </c>
      <c r="R76" s="4" t="n">
        <v>0.72</v>
      </c>
      <c r="S76" s="13" t="n">
        <f aca="false">P76/200000</f>
        <v>0.0025</v>
      </c>
      <c r="W76" s="4" t="n">
        <f aca="false">$X$2*($X$3*$G76+$X$4*$B76^$X$5*$N76^$X$6)*$S76^$X$7</f>
        <v>0.426711329606347</v>
      </c>
      <c r="X76" s="4" t="n">
        <f aca="false">W76/$R76</f>
        <v>0.592654624453259</v>
      </c>
      <c r="Z76" s="4" t="n">
        <f aca="false">$AA$2*$B76^$AA$3*$S76^$AA$4*($AA$5*$N76^$AA$6+$AA$7)</f>
        <v>0.433143869274165</v>
      </c>
      <c r="AA76" s="4" t="n">
        <f aca="false">Z76/$R76</f>
        <v>0.601588707325229</v>
      </c>
      <c r="AC76" s="4" t="n">
        <f aca="false">$AD$2*($AD$3+$AD$4*$F76/($N76*'Sem TS MC2020'!P68))*($AD$5*$G76+$AD$6*$B76/$N76)*'Sem TS MC2020'!R68*($J76-$M76)/($J76-$M76-$H76)</f>
        <v>0.388324965168053</v>
      </c>
      <c r="AD76" s="4" t="n">
        <f aca="false">AC76/$R76</f>
        <v>0.539340229400074</v>
      </c>
      <c r="AE76" s="24" t="n">
        <f aca="false">AC76-$R76</f>
        <v>-0.331675034831947</v>
      </c>
      <c r="AF76" s="25" t="n">
        <f aca="false">1/AD76</f>
        <v>1.85411720744869</v>
      </c>
      <c r="AG76" s="25" t="n">
        <f aca="false">AC76*(14.068*'Sem TS MC2020'!$P68^-0.457)/$R76</f>
        <v>0.443267492686282</v>
      </c>
      <c r="AH76" s="25"/>
      <c r="AP76" s="4" t="n">
        <f aca="false">$AQ$2*($AQ$3+$AQ$4*$F76/($N76*'Sem TS MC2020'!P68))*($AQ$5*$G76+$AQ$6*$B76/$N76)*('Sem TS MC2020'!P68^$AQ$7/200000)*($J76-$M76)/($J76-$M76-$H76)+('Sem TS MC2020'!P68-$C76/$AQ$8)*($AQ$5*$G76+$AQ$6*$B76/$N76)/200000</f>
        <v>0.386364916337009</v>
      </c>
      <c r="AQ76" s="4" t="n">
        <f aca="false">AP76/$R76</f>
        <v>0.536617939356957</v>
      </c>
      <c r="AR76" s="24" t="n">
        <f aca="false">AP76-$R76</f>
        <v>-0.333635083662991</v>
      </c>
    </row>
    <row r="77" customFormat="false" ht="14.25" hidden="false" customHeight="false" outlineLevel="0" collapsed="false">
      <c r="A77" s="1" t="s">
        <v>36</v>
      </c>
      <c r="B77" s="2" t="n">
        <v>25</v>
      </c>
      <c r="C77" s="3" t="n">
        <v>500</v>
      </c>
      <c r="D77" s="3" t="n">
        <v>4</v>
      </c>
      <c r="E77" s="2" t="n">
        <v>28.7</v>
      </c>
      <c r="F77" s="4" t="n">
        <v>2.69332921131829</v>
      </c>
      <c r="G77" s="2" t="n">
        <v>70</v>
      </c>
      <c r="H77" s="2" t="n">
        <v>94.5</v>
      </c>
      <c r="I77" s="1" t="n">
        <v>350</v>
      </c>
      <c r="J77" s="2" t="n">
        <v>450</v>
      </c>
      <c r="K77" s="3" t="n">
        <v>1964</v>
      </c>
      <c r="L77" s="4" t="n">
        <v>76825</v>
      </c>
      <c r="M77" s="3" t="n">
        <v>130.081813066926</v>
      </c>
      <c r="N77" s="12" t="n">
        <v>0.0255645948584445</v>
      </c>
      <c r="O77" s="4" t="n">
        <v>75</v>
      </c>
      <c r="P77" s="3" t="n">
        <v>48.3195397296772</v>
      </c>
      <c r="Q77" s="4" t="n">
        <f aca="false">(P77-P$354)/P$355</f>
        <v>-1.64632509320272</v>
      </c>
      <c r="R77" s="4" t="n">
        <v>0.3</v>
      </c>
      <c r="S77" s="13" t="n">
        <f aca="false">P77/200000</f>
        <v>0.000241597698648386</v>
      </c>
      <c r="W77" s="4" t="n">
        <f aca="false">$X$2*($X$3*$G77+$X$4*$B77^$X$5*$N77^$X$6)*$S77^$X$7</f>
        <v>0.12087137706522</v>
      </c>
      <c r="X77" s="4" t="n">
        <f aca="false">W77/$R77</f>
        <v>0.402904590217399</v>
      </c>
      <c r="Z77" s="4" t="n">
        <f aca="false">$AA$2*$B77^$AA$3*$S77^$AA$4*($AA$5*$N77^$AA$6+$AA$7)</f>
        <v>0.11879479636131</v>
      </c>
      <c r="AA77" s="4" t="n">
        <f aca="false">Z77/$R77</f>
        <v>0.3959826545377</v>
      </c>
      <c r="AC77" s="4" t="n">
        <f aca="false">$AD$2*($AD$3+$AD$4*$F77/($N77*'Sem TS MC2020'!P69))*($AD$5*$G77+$AD$6*$B77/$N77)*'Sem TS MC2020'!R69*($J77-$M77)/($J77-$M77-$H77)</f>
        <v>0.128193803539171</v>
      </c>
      <c r="AD77" s="4" t="n">
        <f aca="false">AC77/$R77</f>
        <v>0.427312678463904</v>
      </c>
      <c r="AE77" s="24" t="n">
        <f aca="false">AC77-$R77</f>
        <v>-0.171806196460829</v>
      </c>
      <c r="AF77" s="25" t="n">
        <f aca="false">1/AD77</f>
        <v>2.34020671606277</v>
      </c>
      <c r="AG77" s="25" t="n">
        <f aca="false">AC77*(14.068*'Sem TS MC2020'!$P69^-0.457)/$R77</f>
        <v>0.668279443459466</v>
      </c>
      <c r="AH77" s="25"/>
      <c r="AP77" s="4" t="n">
        <f aca="false">$AQ$2*($AQ$3+$AQ$4*$F77/($N77*'Sem TS MC2020'!P69))*($AQ$5*$G77+$AQ$6*$B77/$N77)*('Sem TS MC2020'!P69^$AQ$7/200000)*($J77-$M77)/($J77-$M77-$H77)+('Sem TS MC2020'!P69-$C77/$AQ$8)*($AQ$5*$G77+$AQ$6*$B77/$N77)/200000</f>
        <v>0.136421132446913</v>
      </c>
      <c r="AQ77" s="4" t="n">
        <f aca="false">AP77/$R77</f>
        <v>0.454737108156376</v>
      </c>
      <c r="AR77" s="24" t="n">
        <f aca="false">AP77-$R77</f>
        <v>-0.163578867553087</v>
      </c>
    </row>
    <row r="78" customFormat="false" ht="14.25" hidden="false" customHeight="false" outlineLevel="0" collapsed="false">
      <c r="B78" s="2" t="n">
        <v>25</v>
      </c>
      <c r="C78" s="3" t="n">
        <v>500</v>
      </c>
      <c r="D78" s="3" t="n">
        <v>4</v>
      </c>
      <c r="E78" s="2" t="n">
        <v>28.7</v>
      </c>
      <c r="F78" s="4" t="n">
        <v>2.69332921131829</v>
      </c>
      <c r="G78" s="2" t="n">
        <v>70</v>
      </c>
      <c r="H78" s="2" t="n">
        <v>94.5</v>
      </c>
      <c r="I78" s="1" t="n">
        <v>350</v>
      </c>
      <c r="J78" s="2" t="n">
        <v>450</v>
      </c>
      <c r="K78" s="3" t="n">
        <v>1964</v>
      </c>
      <c r="L78" s="4" t="n">
        <v>76825</v>
      </c>
      <c r="M78" s="3" t="n">
        <v>130.081813066926</v>
      </c>
      <c r="N78" s="12" t="n">
        <v>0.0255645948584445</v>
      </c>
      <c r="O78" s="4" t="n">
        <v>150</v>
      </c>
      <c r="P78" s="3" t="n">
        <v>184.854446138658</v>
      </c>
      <c r="Q78" s="4" t="n">
        <f aca="false">(P78-P$354)/P$355</f>
        <v>-0.501652945193036</v>
      </c>
      <c r="R78" s="4" t="n">
        <v>0.57</v>
      </c>
      <c r="S78" s="13" t="n">
        <f aca="false">P78/200000</f>
        <v>0.000924272230693289</v>
      </c>
      <c r="W78" s="4" t="n">
        <f aca="false">$X$2*($X$3*$G78+$X$4*$B78^$X$5*$N78^$X$6)*$S78^$X$7</f>
        <v>0.276601007760637</v>
      </c>
      <c r="X78" s="4" t="n">
        <f aca="false">W78/$R78</f>
        <v>0.485264925895854</v>
      </c>
      <c r="Z78" s="4" t="n">
        <f aca="false">$AA$2*$B78^$AA$3*$S78^$AA$4*($AA$5*$N78^$AA$6+$AA$7)</f>
        <v>0.275890968489289</v>
      </c>
      <c r="AA78" s="4" t="n">
        <f aca="false">Z78/$R78</f>
        <v>0.484019242963666</v>
      </c>
      <c r="AC78" s="4" t="n">
        <f aca="false">$AD$2*($AD$3+$AD$4*$F78/($N78*'Sem TS MC2020'!P70))*($AD$5*$G78+$AD$6*$B78/$N78)*'Sem TS MC2020'!R70*($J78-$M78)/($J78-$M78-$H78)</f>
        <v>0.369387129730748</v>
      </c>
      <c r="AD78" s="4" t="n">
        <f aca="false">AC78/$R78</f>
        <v>0.648047596018856</v>
      </c>
      <c r="AE78" s="24" t="n">
        <f aca="false">AC78-$R78</f>
        <v>-0.200612870269252</v>
      </c>
      <c r="AF78" s="25" t="n">
        <f aca="false">1/AD78</f>
        <v>1.54309653510528</v>
      </c>
      <c r="AG78" s="25" t="n">
        <f aca="false">AC78*(14.068*'Sem TS MC2020'!$P70^-0.457)/$R78</f>
        <v>0.738326607333022</v>
      </c>
      <c r="AH78" s="25"/>
      <c r="AP78" s="4" t="n">
        <f aca="false">$AQ$2*($AQ$3+$AQ$4*$F78/($N78*'Sem TS MC2020'!P70))*($AQ$5*$G78+$AQ$6*$B78/$N78)*('Sem TS MC2020'!P70^$AQ$7/200000)*($J78-$M78)/($J78-$M78-$H78)+('Sem TS MC2020'!P70-$C78/$AQ$8)*($AQ$5*$G78+$AQ$6*$B78/$N78)/200000</f>
        <v>0.386302660354677</v>
      </c>
      <c r="AQ78" s="4" t="n">
        <f aca="false">AP78/$R78</f>
        <v>0.677723965534521</v>
      </c>
      <c r="AR78" s="24" t="n">
        <f aca="false">AP78-$R78</f>
        <v>-0.183697339645323</v>
      </c>
    </row>
    <row r="79" customFormat="false" ht="14.25" hidden="false" customHeight="false" outlineLevel="0" collapsed="false">
      <c r="A79" s="1" t="s">
        <v>37</v>
      </c>
      <c r="B79" s="2" t="n">
        <v>25</v>
      </c>
      <c r="C79" s="3" t="n">
        <v>500</v>
      </c>
      <c r="D79" s="3" t="n">
        <v>4</v>
      </c>
      <c r="E79" s="2" t="n">
        <v>28.7</v>
      </c>
      <c r="F79" s="4" t="n">
        <v>2.69332921131829</v>
      </c>
      <c r="G79" s="2" t="n">
        <v>70</v>
      </c>
      <c r="H79" s="2" t="n">
        <v>90.5</v>
      </c>
      <c r="I79" s="1" t="n">
        <v>350</v>
      </c>
      <c r="J79" s="2" t="n">
        <v>450</v>
      </c>
      <c r="K79" s="3" t="n">
        <v>1964</v>
      </c>
      <c r="L79" s="4" t="n">
        <v>75425</v>
      </c>
      <c r="M79" s="3" t="n">
        <v>130.975130551886</v>
      </c>
      <c r="N79" s="12" t="n">
        <v>0.0260391117003646</v>
      </c>
      <c r="O79" s="4" t="n">
        <v>75</v>
      </c>
      <c r="P79" s="3" t="n">
        <v>48.0374206768183</v>
      </c>
      <c r="Q79" s="4" t="n">
        <f aca="false">(P79-P$354)/P$355</f>
        <v>-1.64869030390762</v>
      </c>
      <c r="R79" s="4" t="n">
        <v>0.26</v>
      </c>
      <c r="S79" s="13" t="n">
        <f aca="false">P79/200000</f>
        <v>0.000240187103384091</v>
      </c>
      <c r="W79" s="4" t="n">
        <f aca="false">$X$2*($X$3*$G79+$X$4*$B79^$X$5*$N79^$X$6)*$S79^$X$7</f>
        <v>0.119512629648296</v>
      </c>
      <c r="X79" s="4" t="n">
        <f aca="false">W79/$R79</f>
        <v>0.459663960185755</v>
      </c>
      <c r="Z79" s="4" t="n">
        <f aca="false">$AA$2*$B79^$AA$3*$S79^$AA$4*($AA$5*$N79^$AA$6+$AA$7)</f>
        <v>0.117455151797916</v>
      </c>
      <c r="AA79" s="4" t="n">
        <f aca="false">Z79/$R79</f>
        <v>0.451750583838139</v>
      </c>
      <c r="AC79" s="4" t="n">
        <f aca="false">$AD$2*($AD$3+$AD$4*$F79/($N79*'Sem TS MC2020'!P71))*($AD$5*$G79+$AD$6*$B79/$N79)*'Sem TS MC2020'!R71*($J79-$M79)/($J79-$M79-$H79)</f>
        <v>0.123828074606095</v>
      </c>
      <c r="AD79" s="4" t="n">
        <f aca="false">AC79/$R79</f>
        <v>0.476261825408057</v>
      </c>
      <c r="AE79" s="24" t="n">
        <f aca="false">AC79-$R79</f>
        <v>-0.136171925393905</v>
      </c>
      <c r="AF79" s="25" t="n">
        <f aca="false">1/AD79</f>
        <v>2.09968539708848</v>
      </c>
      <c r="AG79" s="25" t="n">
        <f aca="false">AC79*(14.068*'Sem TS MC2020'!$P71^-0.457)/$R79</f>
        <v>0.748855961099704</v>
      </c>
      <c r="AH79" s="25"/>
      <c r="AP79" s="4" t="n">
        <f aca="false">$AQ$2*($AQ$3+$AQ$4*$F79/($N79*'Sem TS MC2020'!P71))*($AQ$5*$G79+$AQ$6*$B79/$N79)*('Sem TS MC2020'!P71^$AQ$7/200000)*($J79-$M79)/($J79-$M79-$H79)+('Sem TS MC2020'!P71-$C79/$AQ$8)*($AQ$5*$G79+$AQ$6*$B79/$N79)/200000</f>
        <v>0.131530100461071</v>
      </c>
      <c r="AQ79" s="4" t="n">
        <f aca="false">AP79/$R79</f>
        <v>0.505885001773352</v>
      </c>
      <c r="AR79" s="24" t="n">
        <f aca="false">AP79-$R79</f>
        <v>-0.128469899538929</v>
      </c>
    </row>
    <row r="80" customFormat="false" ht="14.25" hidden="false" customHeight="false" outlineLevel="0" collapsed="false">
      <c r="B80" s="2" t="n">
        <v>25</v>
      </c>
      <c r="C80" s="3" t="n">
        <v>500</v>
      </c>
      <c r="D80" s="3" t="n">
        <v>4</v>
      </c>
      <c r="E80" s="2" t="n">
        <v>28.7</v>
      </c>
      <c r="F80" s="4" t="n">
        <v>2.69332921131829</v>
      </c>
      <c r="G80" s="2" t="n">
        <v>70</v>
      </c>
      <c r="H80" s="2" t="n">
        <v>90.5</v>
      </c>
      <c r="I80" s="1" t="n">
        <v>350</v>
      </c>
      <c r="J80" s="2" t="n">
        <v>450</v>
      </c>
      <c r="K80" s="3" t="n">
        <v>1964</v>
      </c>
      <c r="L80" s="4" t="n">
        <v>75425</v>
      </c>
      <c r="M80" s="3" t="n">
        <v>130.975130551886</v>
      </c>
      <c r="N80" s="12" t="n">
        <v>0.0260391117003646</v>
      </c>
      <c r="O80" s="4" t="n">
        <v>150</v>
      </c>
      <c r="P80" s="3" t="n">
        <v>182.184152739316</v>
      </c>
      <c r="Q80" s="4" t="n">
        <f aca="false">(P80-P$354)/P$355</f>
        <v>-0.524039971057943</v>
      </c>
      <c r="R80" s="4" t="n">
        <v>0.6</v>
      </c>
      <c r="S80" s="13" t="n">
        <f aca="false">P80/200000</f>
        <v>0.000910920763696581</v>
      </c>
      <c r="W80" s="4" t="n">
        <f aca="false">$X$2*($X$3*$G80+$X$4*$B80^$X$5*$N80^$X$6)*$S80^$X$7</f>
        <v>0.272028356743351</v>
      </c>
      <c r="X80" s="4" t="n">
        <f aca="false">W80/$R80</f>
        <v>0.453380594572252</v>
      </c>
      <c r="Z80" s="4" t="n">
        <f aca="false">$AA$2*$B80^$AA$3*$S80^$AA$4*($AA$5*$N80^$AA$6+$AA$7)</f>
        <v>0.271294310707996</v>
      </c>
      <c r="AA80" s="4" t="n">
        <f aca="false">Z80/$R80</f>
        <v>0.452157184513326</v>
      </c>
      <c r="AC80" s="4" t="n">
        <f aca="false">$AD$2*($AD$3+$AD$4*$F80/($N80*'Sem TS MC2020'!P72))*($AD$5*$G80+$AD$6*$B80/$N80)*'Sem TS MC2020'!R72*($J80-$M80)/($J80-$M80-$H80)</f>
        <v>0.355464175725036</v>
      </c>
      <c r="AD80" s="4" t="n">
        <f aca="false">AC80/$R80</f>
        <v>0.59244029287506</v>
      </c>
      <c r="AE80" s="24" t="n">
        <f aca="false">AC80-$R80</f>
        <v>-0.244535824274964</v>
      </c>
      <c r="AF80" s="25" t="n">
        <f aca="false">1/AD80</f>
        <v>1.68793380873385</v>
      </c>
      <c r="AG80" s="25" t="n">
        <f aca="false">AC80*(14.068*'Sem TS MC2020'!$P72^-0.457)/$R80</f>
        <v>0.678619600223279</v>
      </c>
      <c r="AH80" s="25"/>
      <c r="AP80" s="4" t="n">
        <f aca="false">$AQ$2*($AQ$3+$AQ$4*$F80/($N80*'Sem TS MC2020'!P72))*($AQ$5*$G80+$AQ$6*$B80/$N80)*('Sem TS MC2020'!P72^$AQ$7/200000)*($J80-$M80)/($J80-$M80-$H80)+('Sem TS MC2020'!P72-$C80/$AQ$8)*($AQ$5*$G80+$AQ$6*$B80/$N80)/200000</f>
        <v>0.371883355466016</v>
      </c>
      <c r="AQ80" s="4" t="n">
        <f aca="false">AP80/$R80</f>
        <v>0.619805592443361</v>
      </c>
      <c r="AR80" s="24" t="n">
        <f aca="false">AP80-$R80</f>
        <v>-0.228116644533984</v>
      </c>
    </row>
    <row r="81" customFormat="false" ht="14.25" hidden="false" customHeight="false" outlineLevel="0" collapsed="false">
      <c r="A81" s="1" t="s">
        <v>38</v>
      </c>
      <c r="B81" s="2" t="n">
        <v>25</v>
      </c>
      <c r="C81" s="3" t="n">
        <v>500</v>
      </c>
      <c r="D81" s="3" t="n">
        <v>4</v>
      </c>
      <c r="E81" s="2" t="n">
        <v>28.7</v>
      </c>
      <c r="F81" s="4" t="n">
        <v>2.69332921131829</v>
      </c>
      <c r="G81" s="2" t="n">
        <v>70</v>
      </c>
      <c r="H81" s="2" t="n">
        <v>90.5</v>
      </c>
      <c r="I81" s="1" t="n">
        <v>350</v>
      </c>
      <c r="J81" s="2" t="n">
        <v>450</v>
      </c>
      <c r="K81" s="3" t="n">
        <v>1964</v>
      </c>
      <c r="L81" s="4" t="n">
        <v>75425</v>
      </c>
      <c r="M81" s="3" t="n">
        <v>130.975130551886</v>
      </c>
      <c r="N81" s="12" t="n">
        <v>0.0260391117003646</v>
      </c>
      <c r="O81" s="4" t="n">
        <v>75</v>
      </c>
      <c r="P81" s="3" t="n">
        <v>48.0374206768183</v>
      </c>
      <c r="Q81" s="4" t="n">
        <f aca="false">(P81-P$354)/P$355</f>
        <v>-1.64869030390762</v>
      </c>
      <c r="R81" s="4" t="n">
        <v>0.27</v>
      </c>
      <c r="S81" s="13" t="n">
        <f aca="false">P81/200000</f>
        <v>0.000240187103384091</v>
      </c>
      <c r="W81" s="4" t="n">
        <f aca="false">$X$2*($X$3*$G81+$X$4*$B81^$X$5*$N81^$X$6)*$S81^$X$7</f>
        <v>0.119512629648296</v>
      </c>
      <c r="X81" s="4" t="n">
        <f aca="false">W81/$R81</f>
        <v>0.442639369067764</v>
      </c>
      <c r="Z81" s="4" t="n">
        <f aca="false">$AA$2*$B81^$AA$3*$S81^$AA$4*($AA$5*$N81^$AA$6+$AA$7)</f>
        <v>0.117455151797916</v>
      </c>
      <c r="AA81" s="4" t="n">
        <f aca="false">Z81/$R81</f>
        <v>0.435019080733023</v>
      </c>
      <c r="AC81" s="4" t="n">
        <f aca="false">$AD$2*($AD$3+$AD$4*$F81/($N81*'Sem TS MC2020'!P73))*($AD$5*$G81+$AD$6*$B81/$N81)*'Sem TS MC2020'!R73*($J81-$M81)/($J81-$M81-$H81)</f>
        <v>0.123828074606095</v>
      </c>
      <c r="AD81" s="4" t="n">
        <f aca="false">AC81/$R81</f>
        <v>0.458622498541092</v>
      </c>
      <c r="AE81" s="24" t="n">
        <f aca="false">AC81-$R81</f>
        <v>-0.146171925393905</v>
      </c>
      <c r="AF81" s="25" t="n">
        <f aca="false">1/AD81</f>
        <v>2.18044252774573</v>
      </c>
      <c r="AG81" s="25" t="n">
        <f aca="false">AC81*(14.068*'Sem TS MC2020'!$P73^-0.457)/$R81</f>
        <v>0.721120555133048</v>
      </c>
      <c r="AH81" s="25"/>
      <c r="AP81" s="4" t="n">
        <f aca="false">$AQ$2*($AQ$3+$AQ$4*$F81/($N81*'Sem TS MC2020'!P73))*($AQ$5*$G81+$AQ$6*$B81/$N81)*('Sem TS MC2020'!P73^$AQ$7/200000)*($J81-$M81)/($J81-$M81-$H81)+('Sem TS MC2020'!P73-$C81/$AQ$8)*($AQ$5*$G81+$AQ$6*$B81/$N81)/200000</f>
        <v>0.131530100461071</v>
      </c>
      <c r="AQ81" s="4" t="n">
        <f aca="false">AP81/$R81</f>
        <v>0.487148520226191</v>
      </c>
      <c r="AR81" s="24" t="n">
        <f aca="false">AP81-$R81</f>
        <v>-0.138469899538929</v>
      </c>
    </row>
    <row r="82" customFormat="false" ht="14.25" hidden="false" customHeight="false" outlineLevel="0" collapsed="false">
      <c r="B82" s="2" t="n">
        <v>25</v>
      </c>
      <c r="C82" s="3" t="n">
        <v>500</v>
      </c>
      <c r="D82" s="3" t="n">
        <v>4</v>
      </c>
      <c r="E82" s="2" t="n">
        <v>28.7</v>
      </c>
      <c r="F82" s="4" t="n">
        <v>2.69332921131829</v>
      </c>
      <c r="G82" s="2" t="n">
        <v>70</v>
      </c>
      <c r="H82" s="2" t="n">
        <v>90.5</v>
      </c>
      <c r="I82" s="1" t="n">
        <v>350</v>
      </c>
      <c r="J82" s="2" t="n">
        <v>450</v>
      </c>
      <c r="K82" s="3" t="n">
        <v>1964</v>
      </c>
      <c r="L82" s="4" t="n">
        <v>75425</v>
      </c>
      <c r="M82" s="3" t="n">
        <v>130.975130551886</v>
      </c>
      <c r="N82" s="12" t="n">
        <v>0.0260391117003646</v>
      </c>
      <c r="O82" s="4" t="n">
        <v>150</v>
      </c>
      <c r="P82" s="3" t="n">
        <v>182.184152739316</v>
      </c>
      <c r="Q82" s="4" t="n">
        <f aca="false">(P82-P$354)/P$355</f>
        <v>-0.524039971057943</v>
      </c>
      <c r="R82" s="4" t="n">
        <v>0.59</v>
      </c>
      <c r="S82" s="13" t="n">
        <f aca="false">P82/200000</f>
        <v>0.000910920763696581</v>
      </c>
      <c r="W82" s="4" t="n">
        <f aca="false">$X$2*($X$3*$G82+$X$4*$B82^$X$5*$N82^$X$6)*$S82^$X$7</f>
        <v>0.272028356743351</v>
      </c>
      <c r="X82" s="4" t="n">
        <f aca="false">W82/$R82</f>
        <v>0.461065011429409</v>
      </c>
      <c r="Z82" s="4" t="n">
        <f aca="false">$AA$2*$B82^$AA$3*$S82^$AA$4*($AA$5*$N82^$AA$6+$AA$7)</f>
        <v>0.271294310707996</v>
      </c>
      <c r="AA82" s="4" t="n">
        <f aca="false">Z82/$R82</f>
        <v>0.459820865606772</v>
      </c>
      <c r="AC82" s="4" t="n">
        <f aca="false">$AD$2*($AD$3+$AD$4*$F82/($N82*'Sem TS MC2020'!P74))*($AD$5*$G82+$AD$6*$B82/$N82)*'Sem TS MC2020'!R74*($J82-$M82)/($J82-$M82-$H82)</f>
        <v>0.355464175725036</v>
      </c>
      <c r="AD82" s="4" t="n">
        <f aca="false">AC82/$R82</f>
        <v>0.602481653771248</v>
      </c>
      <c r="AE82" s="24" t="n">
        <f aca="false">AC82-$R82</f>
        <v>-0.234535824274964</v>
      </c>
      <c r="AF82" s="25" t="n">
        <f aca="false">1/AD82</f>
        <v>1.65980157858829</v>
      </c>
      <c r="AG82" s="25" t="n">
        <f aca="false">AC82*(14.068*'Sem TS MC2020'!$P74^-0.457)/$R82</f>
        <v>0.690121627345707</v>
      </c>
      <c r="AH82" s="25"/>
      <c r="AP82" s="4" t="n">
        <f aca="false">$AQ$2*($AQ$3+$AQ$4*$F82/($N82*'Sem TS MC2020'!P74))*($AQ$5*$G82+$AQ$6*$B82/$N82)*('Sem TS MC2020'!P74^$AQ$7/200000)*($J82-$M82)/($J82-$M82-$H82)+('Sem TS MC2020'!P74-$C82/$AQ$8)*($AQ$5*$G82+$AQ$6*$B82/$N82)/200000</f>
        <v>0.371883355466016</v>
      </c>
      <c r="AQ82" s="4" t="n">
        <f aca="false">AP82/$R82</f>
        <v>0.630310771976299</v>
      </c>
      <c r="AR82" s="24" t="n">
        <f aca="false">AP82-$R82</f>
        <v>-0.218116644533984</v>
      </c>
    </row>
    <row r="83" customFormat="false" ht="14.25" hidden="false" customHeight="false" outlineLevel="0" collapsed="false">
      <c r="A83" s="1" t="s">
        <v>39</v>
      </c>
      <c r="B83" s="2" t="n">
        <v>9.52</v>
      </c>
      <c r="C83" s="3" t="n">
        <v>434</v>
      </c>
      <c r="D83" s="3" t="n">
        <v>3</v>
      </c>
      <c r="E83" s="2" t="n">
        <v>22.2</v>
      </c>
      <c r="F83" s="4" t="n">
        <v>3.56416000199951</v>
      </c>
      <c r="G83" s="2" t="n">
        <v>20.64</v>
      </c>
      <c r="H83" s="2" t="n">
        <v>25.4</v>
      </c>
      <c r="I83" s="1" t="n">
        <v>114.3</v>
      </c>
      <c r="J83" s="2" t="n">
        <v>228.6</v>
      </c>
      <c r="K83" s="3" t="n">
        <v>212.9</v>
      </c>
      <c r="L83" s="4" t="n">
        <v>8343.9</v>
      </c>
      <c r="M83" s="3" t="n">
        <v>56.390968153099</v>
      </c>
      <c r="N83" s="12" t="n">
        <v>0.0255156461606683</v>
      </c>
      <c r="O83" s="4" t="n">
        <v>11.6</v>
      </c>
      <c r="P83" s="3" t="n">
        <v>234.83059233149</v>
      </c>
      <c r="Q83" s="4" t="n">
        <f aca="false">(P83-P$354)/P$355</f>
        <v>-0.0826662983612151</v>
      </c>
      <c r="R83" s="4" t="n">
        <v>0.15</v>
      </c>
      <c r="S83" s="13" t="n">
        <f aca="false">P83/200000</f>
        <v>0.00117415296165745</v>
      </c>
      <c r="W83" s="4" t="n">
        <f aca="false">$X$2*($X$3*$G83+$X$4*$B83^$X$5*$N83^$X$6)*$S83^$X$7</f>
        <v>0.167923204650792</v>
      </c>
      <c r="X83" s="4" t="n">
        <f aca="false">W83/$R83</f>
        <v>1.11948803100528</v>
      </c>
      <c r="Z83" s="4" t="n">
        <f aca="false">$AA$2*$B83^$AA$3*$S83^$AA$4*($AA$5*$N83^$AA$6+$AA$7)</f>
        <v>0.163086640380436</v>
      </c>
      <c r="AA83" s="4" t="n">
        <f aca="false">Z83/$R83</f>
        <v>1.08724426920291</v>
      </c>
      <c r="AC83" s="4" t="n">
        <f aca="false">$AD$2*($AD$3+$AD$4*$F83/($N83*'Sem TS MC2020'!P75))*($AD$5*$G83+$AD$6*$B83/$N83)*'Sem TS MC2020'!R75*($J83-$M83)/($J83-$M83-$H83)</f>
        <v>0.126001879188435</v>
      </c>
      <c r="AD83" s="4" t="n">
        <f aca="false">AC83/$R83</f>
        <v>0.8400125279229</v>
      </c>
      <c r="AE83" s="24" t="n">
        <f aca="false">AC83-$R83</f>
        <v>-0.023998120811565</v>
      </c>
      <c r="AF83" s="25" t="n">
        <f aca="false">1/AD83</f>
        <v>1.19045843574822</v>
      </c>
      <c r="AG83" s="25" t="n">
        <f aca="false">AC83*(14.068*'Sem TS MC2020'!$P75^-0.457)/$R83</f>
        <v>0.877997093634012</v>
      </c>
      <c r="AH83" s="25"/>
      <c r="AP83" s="4" t="n">
        <f aca="false">$AQ$2*($AQ$3+$AQ$4*$F83/($N83*'Sem TS MC2020'!P75))*($AQ$5*$G83+$AQ$6*$B83/$N83)*('Sem TS MC2020'!P75^$AQ$7/200000)*($J83-$M83)/($J83-$M83-$H83)+('Sem TS MC2020'!P75-$C83/$AQ$8)*($AQ$5*$G83+$AQ$6*$B83/$N83)/200000</f>
        <v>0.132103149504825</v>
      </c>
      <c r="AQ83" s="4" t="n">
        <f aca="false">AP83/$R83</f>
        <v>0.880687663365501</v>
      </c>
      <c r="AR83" s="24" t="n">
        <f aca="false">AP83-$R83</f>
        <v>-0.0178968504951748</v>
      </c>
    </row>
    <row r="84" customFormat="false" ht="14.25" hidden="false" customHeight="false" outlineLevel="0" collapsed="false">
      <c r="B84" s="2" t="n">
        <v>9.52</v>
      </c>
      <c r="C84" s="3" t="n">
        <v>434</v>
      </c>
      <c r="D84" s="3" t="n">
        <v>3</v>
      </c>
      <c r="E84" s="2" t="n">
        <v>22.2</v>
      </c>
      <c r="F84" s="4" t="n">
        <v>3.56416000199951</v>
      </c>
      <c r="G84" s="2" t="n">
        <v>20.64</v>
      </c>
      <c r="H84" s="2" t="n">
        <v>25.4</v>
      </c>
      <c r="I84" s="1" t="n">
        <v>114.3</v>
      </c>
      <c r="J84" s="2" t="n">
        <v>228.6</v>
      </c>
      <c r="K84" s="3" t="n">
        <v>212.9</v>
      </c>
      <c r="L84" s="4" t="n">
        <v>8343.9</v>
      </c>
      <c r="M84" s="3" t="n">
        <v>56.390968153099</v>
      </c>
      <c r="N84" s="12" t="n">
        <v>0.0255156461606683</v>
      </c>
      <c r="O84" s="4" t="n">
        <v>13.5</v>
      </c>
      <c r="P84" s="3" t="n">
        <v>299.568082313418</v>
      </c>
      <c r="Q84" s="4" t="n">
        <f aca="false">(P84-P$354)/P$355</f>
        <v>0.460075507843259</v>
      </c>
      <c r="R84" s="4" t="n">
        <v>0.17</v>
      </c>
      <c r="S84" s="13" t="n">
        <f aca="false">P84/200000</f>
        <v>0.00149784041156709</v>
      </c>
      <c r="W84" s="4" t="n">
        <f aca="false">$X$2*($X$3*$G84+$X$4*$B84^$X$5*$N84^$X$6)*$S84^$X$7</f>
        <v>0.19514293288416</v>
      </c>
      <c r="X84" s="4" t="n">
        <f aca="false">W84/$R84</f>
        <v>1.14789960520094</v>
      </c>
      <c r="Z84" s="4" t="n">
        <f aca="false">$AA$2*$B84^$AA$3*$S84^$AA$4*($AA$5*$N84^$AA$6+$AA$7)</f>
        <v>0.190030648283636</v>
      </c>
      <c r="AA84" s="4" t="n">
        <f aca="false">Z84/$R84</f>
        <v>1.11782734284492</v>
      </c>
      <c r="AC84" s="4" t="n">
        <f aca="false">$AD$2*($AD$3+$AD$4*$F84/($N84*'Sem TS MC2020'!P76))*($AD$5*$G84+$AD$6*$B84/$N84)*'Sem TS MC2020'!R76*($J84-$M84)/($J84-$M84-$H84)</f>
        <v>0.153786201805412</v>
      </c>
      <c r="AD84" s="4" t="n">
        <f aca="false">AC84/$R84</f>
        <v>0.904624716502425</v>
      </c>
      <c r="AE84" s="24" t="n">
        <f aca="false">AC84-$R84</f>
        <v>-0.0162137981945877</v>
      </c>
      <c r="AF84" s="25" t="n">
        <f aca="false">1/AD84</f>
        <v>1.10543077339997</v>
      </c>
      <c r="AG84" s="25" t="n">
        <f aca="false">AC84*(14.068*'Sem TS MC2020'!$P76^-0.457)/$R84</f>
        <v>0.882207069287072</v>
      </c>
      <c r="AH84" s="25"/>
      <c r="AP84" s="4" t="n">
        <f aca="false">$AQ$2*($AQ$3+$AQ$4*$F84/($N84*'Sem TS MC2020'!P76))*($AQ$5*$G84+$AQ$6*$B84/$N84)*('Sem TS MC2020'!P76^$AQ$7/200000)*($J84-$M84)/($J84-$M84-$H84)+('Sem TS MC2020'!P76-$C84/$AQ$8)*($AQ$5*$G84+$AQ$6*$B84/$N84)/200000</f>
        <v>0.158392034558049</v>
      </c>
      <c r="AQ84" s="4" t="n">
        <f aca="false">AP84/$R84</f>
        <v>0.931717850341466</v>
      </c>
      <c r="AR84" s="24" t="n">
        <f aca="false">AP84-$R84</f>
        <v>-0.0116079654419508</v>
      </c>
    </row>
    <row r="85" customFormat="false" ht="14.25" hidden="false" customHeight="false" outlineLevel="0" collapsed="false">
      <c r="A85" s="1" t="s">
        <v>40</v>
      </c>
      <c r="B85" s="2" t="n">
        <v>12.7</v>
      </c>
      <c r="C85" s="3" t="n">
        <v>434</v>
      </c>
      <c r="D85" s="3" t="n">
        <v>3</v>
      </c>
      <c r="E85" s="2" t="n">
        <v>19.05</v>
      </c>
      <c r="F85" s="4" t="n">
        <v>3.97660816382294</v>
      </c>
      <c r="G85" s="2" t="n">
        <v>19.05</v>
      </c>
      <c r="H85" s="2" t="n">
        <v>25.4</v>
      </c>
      <c r="I85" s="1" t="n">
        <v>114.3</v>
      </c>
      <c r="J85" s="2" t="n">
        <v>228.6</v>
      </c>
      <c r="K85" s="3" t="n">
        <v>387.1</v>
      </c>
      <c r="L85" s="4" t="n">
        <v>10161.27</v>
      </c>
      <c r="M85" s="3" t="n">
        <v>70.3736575776165</v>
      </c>
      <c r="N85" s="12" t="n">
        <v>0.0380956317468191</v>
      </c>
      <c r="O85" s="4" t="n">
        <v>21.1</v>
      </c>
      <c r="P85" s="3" t="n">
        <v>257.58927994397</v>
      </c>
      <c r="Q85" s="4" t="n">
        <f aca="false">(P85-P$354)/P$355</f>
        <v>0.108136453260589</v>
      </c>
      <c r="R85" s="4" t="n">
        <v>0.15</v>
      </c>
      <c r="S85" s="13" t="n">
        <f aca="false">P85/200000</f>
        <v>0.00128794639971985</v>
      </c>
      <c r="W85" s="4" t="n">
        <f aca="false">$X$2*($X$3*$G85+$X$4*$B85^$X$5*$N85^$X$6)*$S85^$X$7</f>
        <v>0.182598053714172</v>
      </c>
      <c r="X85" s="4" t="n">
        <f aca="false">W85/$R85</f>
        <v>1.21732035809448</v>
      </c>
      <c r="Z85" s="4" t="n">
        <f aca="false">$AA$2*$B85^$AA$3*$S85^$AA$4*($AA$5*$N85^$AA$6+$AA$7)</f>
        <v>0.18024745109644</v>
      </c>
      <c r="AA85" s="4" t="n">
        <f aca="false">Z85/$R85</f>
        <v>1.20164967397626</v>
      </c>
      <c r="AC85" s="4" t="n">
        <f aca="false">$AD$2*($AD$3+$AD$4*$F85/($N85*'Sem TS MC2020'!P77))*($AD$5*$G85+$AD$6*$B85/$N85)*'Sem TS MC2020'!R77*($J85-$M85)/($J85-$M85-$H85)</f>
        <v>0.12958543249716</v>
      </c>
      <c r="AD85" s="4" t="n">
        <f aca="false">AC85/$R85</f>
        <v>0.863902883314401</v>
      </c>
      <c r="AE85" s="24" t="n">
        <f aca="false">AC85-$R85</f>
        <v>-0.0204145675028399</v>
      </c>
      <c r="AF85" s="25" t="n">
        <f aca="false">1/AD85</f>
        <v>1.15753751875842</v>
      </c>
      <c r="AG85" s="25" t="n">
        <f aca="false">AC85*(14.068*'Sem TS MC2020'!$P77^-0.457)/$R85</f>
        <v>0.892298925035174</v>
      </c>
      <c r="AH85" s="25"/>
      <c r="AP85" s="4" t="n">
        <f aca="false">$AQ$2*($AQ$3+$AQ$4*$F85/($N85*'Sem TS MC2020'!P77))*($AQ$5*$G85+$AQ$6*$B85/$N85)*('Sem TS MC2020'!P77^$AQ$7/200000)*($J85-$M85)/($J85-$M85-$H85)+('Sem TS MC2020'!P77-$C85/$AQ$8)*($AQ$5*$G85+$AQ$6*$B85/$N85)/200000</f>
        <v>0.135222364910618</v>
      </c>
      <c r="AQ85" s="4" t="n">
        <f aca="false">AP85/$R85</f>
        <v>0.901482432737455</v>
      </c>
      <c r="AR85" s="24" t="n">
        <f aca="false">AP85-$R85</f>
        <v>-0.0147776350893817</v>
      </c>
    </row>
    <row r="86" customFormat="false" ht="14.25" hidden="false" customHeight="false" outlineLevel="0" collapsed="false">
      <c r="B86" s="2" t="n">
        <v>12.7</v>
      </c>
      <c r="C86" s="3" t="n">
        <v>434</v>
      </c>
      <c r="D86" s="3" t="n">
        <v>3</v>
      </c>
      <c r="E86" s="2" t="n">
        <v>19.05</v>
      </c>
      <c r="F86" s="4" t="n">
        <v>3.97660816382294</v>
      </c>
      <c r="G86" s="2" t="n">
        <v>19.05</v>
      </c>
      <c r="H86" s="2" t="n">
        <v>25.4</v>
      </c>
      <c r="I86" s="1" t="n">
        <v>114.3</v>
      </c>
      <c r="J86" s="2" t="n">
        <v>228.6</v>
      </c>
      <c r="K86" s="3" t="n">
        <v>387.1</v>
      </c>
      <c r="L86" s="4" t="n">
        <v>10161.27</v>
      </c>
      <c r="M86" s="3" t="n">
        <v>70.3736575776165</v>
      </c>
      <c r="N86" s="12" t="n">
        <v>0.0380956317468191</v>
      </c>
      <c r="O86" s="4" t="n">
        <v>24.2</v>
      </c>
      <c r="P86" s="3" t="n">
        <v>313.986356219284</v>
      </c>
      <c r="Q86" s="4" t="n">
        <f aca="false">(P86-P$354)/P$355</f>
        <v>0.580954461046493</v>
      </c>
      <c r="R86" s="4" t="n">
        <v>0.17</v>
      </c>
      <c r="S86" s="13" t="n">
        <f aca="false">P86/200000</f>
        <v>0.00156993178109642</v>
      </c>
      <c r="W86" s="4" t="n">
        <f aca="false">$X$2*($X$3*$G86+$X$4*$B86^$X$5*$N86^$X$6)*$S86^$X$7</f>
        <v>0.20632300291574</v>
      </c>
      <c r="X86" s="4" t="n">
        <f aca="false">W86/$R86</f>
        <v>1.21366472303377</v>
      </c>
      <c r="Z86" s="4" t="n">
        <f aca="false">$AA$2*$B86^$AA$3*$S86^$AA$4*($AA$5*$N86^$AA$6+$AA$7)</f>
        <v>0.204111018998326</v>
      </c>
      <c r="AA86" s="4" t="n">
        <f aca="false">Z86/$R86</f>
        <v>1.20065305293133</v>
      </c>
      <c r="AC86" s="4" t="n">
        <f aca="false">$AD$2*($AD$3+$AD$4*$F86/($N86*'Sem TS MC2020'!P78))*($AD$5*$G86+$AD$6*$B86/$N86)*'Sem TS MC2020'!R78*($J86-$M86)/($J86-$M86-$H86)</f>
        <v>0.153010846647187</v>
      </c>
      <c r="AD86" s="4" t="n">
        <f aca="false">AC86/$R86</f>
        <v>0.900063803806983</v>
      </c>
      <c r="AE86" s="24" t="n">
        <f aca="false">AC86-$R86</f>
        <v>-0.016989153352813</v>
      </c>
      <c r="AF86" s="25" t="n">
        <f aca="false">1/AD86</f>
        <v>1.1110323465629</v>
      </c>
      <c r="AG86" s="25" t="n">
        <f aca="false">AC86*(14.068*'Sem TS MC2020'!$P78^-0.457)/$R86</f>
        <v>0.873196935665039</v>
      </c>
      <c r="AH86" s="25"/>
      <c r="AP86" s="4" t="n">
        <f aca="false">$AQ$2*($AQ$3+$AQ$4*$F86/($N86*'Sem TS MC2020'!P78))*($AQ$5*$G86+$AQ$6*$B86/$N86)*('Sem TS MC2020'!P78^$AQ$7/200000)*($J86-$M86)/($J86-$M86-$H86)+('Sem TS MC2020'!P78-$C86/$AQ$8)*($AQ$5*$G86+$AQ$6*$B86/$N86)/200000</f>
        <v>0.156986338322098</v>
      </c>
      <c r="AQ86" s="4" t="n">
        <f aca="false">AP86/$R86</f>
        <v>0.923449048953519</v>
      </c>
      <c r="AR86" s="24" t="n">
        <f aca="false">AP86-$R86</f>
        <v>-0.0130136616779018</v>
      </c>
    </row>
    <row r="87" customFormat="false" ht="14.25" hidden="false" customHeight="false" outlineLevel="0" collapsed="false">
      <c r="B87" s="2" t="n">
        <v>12.7</v>
      </c>
      <c r="C87" s="3" t="n">
        <v>434</v>
      </c>
      <c r="D87" s="3" t="n">
        <v>3</v>
      </c>
      <c r="E87" s="2" t="n">
        <v>19.05</v>
      </c>
      <c r="F87" s="4" t="n">
        <v>3.97660816382294</v>
      </c>
      <c r="G87" s="2" t="n">
        <v>19.05</v>
      </c>
      <c r="H87" s="2" t="n">
        <v>25.4</v>
      </c>
      <c r="I87" s="1" t="n">
        <v>114.3</v>
      </c>
      <c r="J87" s="2" t="n">
        <v>228.6</v>
      </c>
      <c r="K87" s="3" t="n">
        <v>387.1</v>
      </c>
      <c r="L87" s="4" t="n">
        <v>10161.27</v>
      </c>
      <c r="M87" s="3" t="n">
        <v>70.3736575776165</v>
      </c>
      <c r="N87" s="12" t="n">
        <v>0.0380956317468191</v>
      </c>
      <c r="O87" s="4" t="n">
        <v>28.6</v>
      </c>
      <c r="P87" s="3" t="n">
        <v>394.033819319729</v>
      </c>
      <c r="Q87" s="4" t="n">
        <f aca="false">(P87-P$354)/P$355</f>
        <v>1.25205098822649</v>
      </c>
      <c r="R87" s="4" t="n">
        <v>0.2</v>
      </c>
      <c r="S87" s="13" t="n">
        <f aca="false">P87/200000</f>
        <v>0.00197016909659864</v>
      </c>
      <c r="W87" s="4" t="n">
        <f aca="false">$X$2*($X$3*$G87+$X$4*$B87^$X$5*$N87^$X$6)*$S87^$X$7</f>
        <v>0.237354718201411</v>
      </c>
      <c r="X87" s="4" t="n">
        <f aca="false">W87/$R87</f>
        <v>1.18677359100705</v>
      </c>
      <c r="Z87" s="4" t="n">
        <f aca="false">$AA$2*$B87^$AA$3*$S87^$AA$4*($AA$5*$N87^$AA$6+$AA$7)</f>
        <v>0.23539732314067</v>
      </c>
      <c r="AA87" s="4" t="n">
        <f aca="false">Z87/$R87</f>
        <v>1.17698661570335</v>
      </c>
      <c r="AC87" s="4" t="n">
        <f aca="false">$AD$2*($AD$3+$AD$4*$F87/($N87*'Sem TS MC2020'!P79))*($AD$5*$G87+$AD$6*$B87/$N87)*'Sem TS MC2020'!R79*($J87-$M87)/($J87-$M87-$H87)</f>
        <v>0.186259821569806</v>
      </c>
      <c r="AD87" s="4" t="n">
        <f aca="false">AC87/$R87</f>
        <v>0.93129910784903</v>
      </c>
      <c r="AE87" s="24" t="n">
        <f aca="false">AC87-$R87</f>
        <v>-0.013740178430194</v>
      </c>
      <c r="AF87" s="25" t="n">
        <f aca="false">1/AD87</f>
        <v>1.07376888002142</v>
      </c>
      <c r="AG87" s="25" t="n">
        <f aca="false">AC87*(14.068*'Sem TS MC2020'!$P79^-0.457)/$R87</f>
        <v>0.837090548047562</v>
      </c>
      <c r="AH87" s="25"/>
      <c r="AP87" s="4" t="n">
        <f aca="false">$AQ$2*($AQ$3+$AQ$4*$F87/($N87*'Sem TS MC2020'!P79))*($AQ$5*$G87+$AQ$6*$B87/$N87)*('Sem TS MC2020'!P79^$AQ$7/200000)*($J87-$M87)/($J87-$M87-$H87)+('Sem TS MC2020'!P79-$C87/$AQ$8)*($AQ$5*$G87+$AQ$6*$B87/$N87)/200000</f>
        <v>0.186951544737911</v>
      </c>
      <c r="AQ87" s="4" t="n">
        <f aca="false">AP87/$R87</f>
        <v>0.934757723689556</v>
      </c>
      <c r="AR87" s="24" t="n">
        <f aca="false">AP87-$R87</f>
        <v>-0.0130484552620888</v>
      </c>
    </row>
    <row r="88" customFormat="false" ht="14.25" hidden="false" customHeight="false" outlineLevel="0" collapsed="false">
      <c r="A88" s="1" t="s">
        <v>41</v>
      </c>
      <c r="B88" s="2" t="n">
        <v>15.9</v>
      </c>
      <c r="C88" s="3" t="n">
        <v>540</v>
      </c>
      <c r="D88" s="3" t="n">
        <v>3</v>
      </c>
      <c r="E88" s="2" t="n">
        <v>15.9</v>
      </c>
      <c r="F88" s="4" t="n">
        <v>3.97660816382294</v>
      </c>
      <c r="G88" s="2" t="n">
        <v>17.46</v>
      </c>
      <c r="H88" s="2" t="n">
        <v>25.4</v>
      </c>
      <c r="I88" s="1" t="n">
        <v>114.3</v>
      </c>
      <c r="J88" s="2" t="n">
        <v>228.6</v>
      </c>
      <c r="K88" s="3" t="n">
        <v>600</v>
      </c>
      <c r="L88" s="4" t="n">
        <v>10161.27</v>
      </c>
      <c r="M88" s="3" t="n">
        <v>83.2568223624363</v>
      </c>
      <c r="N88" s="12" t="n">
        <v>0.0590477371430933</v>
      </c>
      <c r="O88" s="4" t="n">
        <v>30.5</v>
      </c>
      <c r="P88" s="3" t="n">
        <v>254.923459599612</v>
      </c>
      <c r="Q88" s="4" t="n">
        <f aca="false">(P88-P$354)/P$355</f>
        <v>0.0857869282926335</v>
      </c>
      <c r="R88" s="4" t="n">
        <v>0.16</v>
      </c>
      <c r="S88" s="13" t="n">
        <f aca="false">P88/200000</f>
        <v>0.00127461729799806</v>
      </c>
      <c r="W88" s="4" t="n">
        <f aca="false">$X$2*($X$3*$G88+$X$4*$B88^$X$5*$N88^$X$6)*$S88^$X$7</f>
        <v>0.175775980073894</v>
      </c>
      <c r="X88" s="4" t="n">
        <f aca="false">W88/$R88</f>
        <v>1.09859987546184</v>
      </c>
      <c r="Z88" s="4" t="n">
        <f aca="false">$AA$2*$B88^$AA$3*$S88^$AA$4*($AA$5*$N88^$AA$6+$AA$7)</f>
        <v>0.179074213559926</v>
      </c>
      <c r="AA88" s="4" t="n">
        <f aca="false">Z88/$R88</f>
        <v>1.11921383474954</v>
      </c>
      <c r="AC88" s="4" t="n">
        <f aca="false">$AD$2*($AD$3+$AD$4*$F88/($N88*'Sem TS MC2020'!P80))*($AD$5*$G88+$AD$6*$B88/$N88)*'Sem TS MC2020'!R80*($J88-$M88)/($J88-$M88-$H88)</f>
        <v>0.113589709403067</v>
      </c>
      <c r="AD88" s="4" t="n">
        <f aca="false">AC88/$R88</f>
        <v>0.70993568376917</v>
      </c>
      <c r="AE88" s="24" t="n">
        <f aca="false">AC88-$R88</f>
        <v>-0.0464102905969329</v>
      </c>
      <c r="AF88" s="25" t="n">
        <f aca="false">1/AD88</f>
        <v>1.40857830203833</v>
      </c>
      <c r="AG88" s="25" t="n">
        <f aca="false">AC88*(14.068*'Sem TS MC2020'!$P80^-0.457)/$R88</f>
        <v>0.748715767201158</v>
      </c>
      <c r="AH88" s="25"/>
      <c r="AP88" s="4" t="n">
        <f aca="false">$AQ$2*($AQ$3+$AQ$4*$F88/($N88*'Sem TS MC2020'!P80))*($AQ$5*$G88+$AQ$6*$B88/$N88)*('Sem TS MC2020'!P80^$AQ$7/200000)*($J88-$M88)/($J88-$M88-$H88)+('Sem TS MC2020'!P80-$C88/$AQ$8)*($AQ$5*$G88+$AQ$6*$B88/$N88)/200000</f>
        <v>0.116904743776251</v>
      </c>
      <c r="AQ88" s="4" t="n">
        <f aca="false">AP88/$R88</f>
        <v>0.730654648601567</v>
      </c>
      <c r="AR88" s="24" t="n">
        <f aca="false">AP88-$R88</f>
        <v>-0.0430952562237494</v>
      </c>
    </row>
    <row r="89" customFormat="false" ht="14.25" hidden="false" customHeight="false" outlineLevel="0" collapsed="false">
      <c r="B89" s="2" t="n">
        <v>15.9</v>
      </c>
      <c r="C89" s="3" t="n">
        <v>540</v>
      </c>
      <c r="D89" s="3" t="n">
        <v>3</v>
      </c>
      <c r="E89" s="2" t="n">
        <v>15.9</v>
      </c>
      <c r="F89" s="4" t="n">
        <v>3.97660816382294</v>
      </c>
      <c r="G89" s="2" t="n">
        <v>17.46</v>
      </c>
      <c r="H89" s="2" t="n">
        <v>25.4</v>
      </c>
      <c r="I89" s="1" t="n">
        <v>114.3</v>
      </c>
      <c r="J89" s="2" t="n">
        <v>228.6</v>
      </c>
      <c r="K89" s="3" t="n">
        <v>600</v>
      </c>
      <c r="L89" s="4" t="n">
        <v>10161.27</v>
      </c>
      <c r="M89" s="3" t="n">
        <v>83.2568223624363</v>
      </c>
      <c r="N89" s="12" t="n">
        <v>0.0590477371430933</v>
      </c>
      <c r="O89" s="4" t="n">
        <v>40</v>
      </c>
      <c r="P89" s="3" t="n">
        <v>362.120498232757</v>
      </c>
      <c r="Q89" s="4" t="n">
        <f aca="false">(P89-P$354)/P$355</f>
        <v>0.98449823736201</v>
      </c>
      <c r="R89" s="4" t="n">
        <v>0.21</v>
      </c>
      <c r="S89" s="13" t="n">
        <f aca="false">P89/200000</f>
        <v>0.00181060249116379</v>
      </c>
      <c r="W89" s="4" t="n">
        <f aca="false">$X$2*($X$3*$G89+$X$4*$B89^$X$5*$N89^$X$6)*$S89^$X$7</f>
        <v>0.218281559349459</v>
      </c>
      <c r="X89" s="4" t="n">
        <f aca="false">W89/$R89</f>
        <v>1.03943599690218</v>
      </c>
      <c r="Z89" s="4" t="n">
        <f aca="false">$AA$2*$B89^$AA$3*$S89^$AA$4*($AA$5*$N89^$AA$6+$AA$7)</f>
        <v>0.22323765324614</v>
      </c>
      <c r="AA89" s="4" t="n">
        <f aca="false">Z89/$R89</f>
        <v>1.06303644402924</v>
      </c>
      <c r="AC89" s="4" t="n">
        <f aca="false">$AD$2*($AD$3+$AD$4*$F89/($N89*'Sem TS MC2020'!P81))*($AD$5*$G89+$AD$6*$B89/$N89)*'Sem TS MC2020'!R81*($J89-$M89)/($J89-$M89-$H89)</f>
        <v>0.154091866101536</v>
      </c>
      <c r="AD89" s="4" t="n">
        <f aca="false">AC89/$R89</f>
        <v>0.733770790959694</v>
      </c>
      <c r="AE89" s="24" t="n">
        <f aca="false">AC89-$R89</f>
        <v>-0.0559081338984642</v>
      </c>
      <c r="AF89" s="25" t="n">
        <f aca="false">1/AD89</f>
        <v>1.36282339433559</v>
      </c>
      <c r="AG89" s="25" t="n">
        <f aca="false">AC89*(14.068*'Sem TS MC2020'!$P81^-0.457)/$R89</f>
        <v>0.683662885445446</v>
      </c>
      <c r="AH89" s="25"/>
      <c r="AP89" s="4" t="n">
        <f aca="false">$AQ$2*($AQ$3+$AQ$4*$F89/($N89*'Sem TS MC2020'!P81))*($AQ$5*$G89+$AQ$6*$B89/$N89)*('Sem TS MC2020'!P81^$AQ$7/200000)*($J89-$M89)/($J89-$M89-$H89)+('Sem TS MC2020'!P81-$C89/$AQ$8)*($AQ$5*$G89+$AQ$6*$B89/$N89)/200000</f>
        <v>0.153627519597396</v>
      </c>
      <c r="AQ89" s="4" t="n">
        <f aca="false">AP89/$R89</f>
        <v>0.731559617130456</v>
      </c>
      <c r="AR89" s="24" t="n">
        <f aca="false">AP89-$R89</f>
        <v>-0.0563724804026043</v>
      </c>
    </row>
    <row r="90" customFormat="false" ht="14.25" hidden="false" customHeight="false" outlineLevel="0" collapsed="false">
      <c r="A90" s="1" t="s">
        <v>42</v>
      </c>
      <c r="B90" s="2" t="n">
        <v>16</v>
      </c>
      <c r="C90" s="3" t="n">
        <v>500</v>
      </c>
      <c r="D90" s="3" t="n">
        <v>2</v>
      </c>
      <c r="E90" s="2" t="n">
        <v>138</v>
      </c>
      <c r="F90" s="4" t="n">
        <v>3.269</v>
      </c>
      <c r="G90" s="2" t="n">
        <v>40</v>
      </c>
      <c r="H90" s="2" t="n">
        <v>48</v>
      </c>
      <c r="I90" s="1" t="n">
        <v>250</v>
      </c>
      <c r="J90" s="2" t="n">
        <v>348</v>
      </c>
      <c r="K90" s="3" t="n">
        <v>400</v>
      </c>
      <c r="L90" s="4" t="n">
        <v>32000</v>
      </c>
      <c r="M90" s="3" t="n">
        <v>73.3862853425291</v>
      </c>
      <c r="N90" s="12" t="n">
        <v>0.0125</v>
      </c>
      <c r="O90" s="4" t="n">
        <v>20.42</v>
      </c>
      <c r="P90" s="3" t="n">
        <v>13.7953101812687</v>
      </c>
      <c r="Q90" s="4" t="n">
        <f aca="false">(P90-P$354)/P$355</f>
        <v>-1.93576700249133</v>
      </c>
      <c r="R90" s="4" t="n">
        <v>0.15</v>
      </c>
      <c r="S90" s="13" t="n">
        <f aca="false">P90/200000</f>
        <v>6.89765509063435E-005</v>
      </c>
      <c r="W90" s="4" t="n">
        <f aca="false">$X$2*($X$3*$G90+$X$4*$B90^$X$5*$N90^$X$6)*$S90^$X$7</f>
        <v>0.055758334408787</v>
      </c>
      <c r="X90" s="4" t="n">
        <f aca="false">W90/$R90</f>
        <v>0.371722229391913</v>
      </c>
      <c r="Z90" s="4" t="n">
        <f aca="false">$AA$2*$B90^$AA$3*$S90^$AA$4*($AA$5*$N90^$AA$6+$AA$7)</f>
        <v>0.0544707878980271</v>
      </c>
      <c r="AA90" s="4" t="n">
        <f aca="false">Z90/$R90</f>
        <v>0.363138585986847</v>
      </c>
      <c r="AC90" s="4" t="n">
        <f aca="false">$AD$2*($AD$3+$AD$4*$F90/($N90*'Sem TS MC2020'!P82))*($AD$5*$G90+$AD$6*$B90/$N90)*'Sem TS MC2020'!R82*($J90-$M90)/($J90-$M90-$H90)</f>
        <v>0.0767503622922262</v>
      </c>
      <c r="AD90" s="4" t="n">
        <f aca="false">AC90/$R90</f>
        <v>0.511669081948175</v>
      </c>
      <c r="AE90" s="24" t="n">
        <f aca="false">AC90-$R90</f>
        <v>-0.0732496377077738</v>
      </c>
      <c r="AF90" s="25" t="n">
        <f aca="false">1/AD90</f>
        <v>1.95438816860403</v>
      </c>
      <c r="AG90" s="25" t="n">
        <f aca="false">AC90*(14.068*'Sem TS MC2020'!$P82^-0.457)/$R90</f>
        <v>0.661957880069928</v>
      </c>
      <c r="AH90" s="25"/>
      <c r="AP90" s="4" t="n">
        <f aca="false">$AQ$2*($AQ$3+$AQ$4*$F90/($N90*'Sem TS MC2020'!P82))*($AQ$5*$G90+$AQ$6*$B90/$N90)*('Sem TS MC2020'!P82^$AQ$7/200000)*($J90-$M90)/($J90-$M90-$H90)+('Sem TS MC2020'!P82-$C90/$AQ$8)*($AQ$5*$G90+$AQ$6*$B90/$N90)/200000</f>
        <v>0.0746167369307209</v>
      </c>
      <c r="AQ90" s="4" t="n">
        <f aca="false">AP90/$R90</f>
        <v>0.497444912871473</v>
      </c>
      <c r="AR90" s="24" t="n">
        <f aca="false">AP90-$R90</f>
        <v>-0.0753832630692791</v>
      </c>
    </row>
    <row r="91" customFormat="false" ht="14.25" hidden="false" customHeight="false" outlineLevel="0" collapsed="false">
      <c r="B91" s="2" t="n">
        <v>16</v>
      </c>
      <c r="C91" s="3" t="n">
        <v>500</v>
      </c>
      <c r="D91" s="3" t="n">
        <v>2</v>
      </c>
      <c r="E91" s="2" t="n">
        <v>138</v>
      </c>
      <c r="F91" s="4" t="n">
        <v>3.269</v>
      </c>
      <c r="G91" s="2" t="n">
        <v>40</v>
      </c>
      <c r="H91" s="2" t="n">
        <v>48</v>
      </c>
      <c r="I91" s="1" t="n">
        <v>250</v>
      </c>
      <c r="J91" s="2" t="n">
        <v>348</v>
      </c>
      <c r="K91" s="3" t="n">
        <v>400</v>
      </c>
      <c r="L91" s="4" t="n">
        <v>32000</v>
      </c>
      <c r="M91" s="3" t="n">
        <v>73.3862853425291</v>
      </c>
      <c r="N91" s="12" t="n">
        <v>0.0125</v>
      </c>
      <c r="O91" s="4" t="n">
        <v>23.34</v>
      </c>
      <c r="P91" s="3" t="n">
        <v>53.370132317075</v>
      </c>
      <c r="Q91" s="4" t="n">
        <f aca="false">(P91-P$354)/P$355</f>
        <v>-1.60398227540036</v>
      </c>
      <c r="R91" s="4" t="n">
        <v>0.2</v>
      </c>
      <c r="S91" s="13" t="n">
        <f aca="false">P91/200000</f>
        <v>0.000266850661585375</v>
      </c>
      <c r="W91" s="4" t="n">
        <f aca="false">$X$2*($X$3*$G91+$X$4*$B91^$X$5*$N91^$X$6)*$S91^$X$7</f>
        <v>0.128480883325019</v>
      </c>
      <c r="X91" s="4" t="n">
        <f aca="false">W91/$R91</f>
        <v>0.642404416625093</v>
      </c>
      <c r="Z91" s="4" t="n">
        <f aca="false">$AA$2*$B91^$AA$3*$S91^$AA$4*($AA$5*$N91^$AA$6+$AA$7)</f>
        <v>0.12739594764741</v>
      </c>
      <c r="AA91" s="4" t="n">
        <f aca="false">Z91/$R91</f>
        <v>0.636979738237051</v>
      </c>
      <c r="AC91" s="4" t="n">
        <f aca="false">$AD$2*($AD$3+$AD$4*$F91/($N91*'Sem TS MC2020'!P83))*($AD$5*$G91+$AD$6*$B91/$N91)*'Sem TS MC2020'!R83*($J91-$M91)/($J91-$M91-$H91)</f>
        <v>0.124042769569577</v>
      </c>
      <c r="AD91" s="4" t="n">
        <f aca="false">AC91/$R91</f>
        <v>0.620213847847885</v>
      </c>
      <c r="AE91" s="24" t="n">
        <f aca="false">AC91-$R91</f>
        <v>-0.075957230430423</v>
      </c>
      <c r="AF91" s="25" t="n">
        <f aca="false">1/AD91</f>
        <v>1.61234710168107</v>
      </c>
      <c r="AG91" s="25" t="n">
        <f aca="false">AC91*(14.068*'Sem TS MC2020'!$P83^-0.457)/$R91</f>
        <v>0.754841941464039</v>
      </c>
      <c r="AH91" s="25"/>
      <c r="AP91" s="4" t="n">
        <f aca="false">$AQ$2*($AQ$3+$AQ$4*$F91/($N91*'Sem TS MC2020'!P83))*($AQ$5*$G91+$AQ$6*$B91/$N91)*('Sem TS MC2020'!P83^$AQ$7/200000)*($J91-$M91)/($J91-$M91-$H91)+('Sem TS MC2020'!P83-$C91/$AQ$8)*($AQ$5*$G91+$AQ$6*$B91/$N91)/200000</f>
        <v>0.128758615616405</v>
      </c>
      <c r="AQ91" s="4" t="n">
        <f aca="false">AP91/$R91</f>
        <v>0.643793078082024</v>
      </c>
      <c r="AR91" s="24" t="n">
        <f aca="false">AP91-$R91</f>
        <v>-0.0712413843835952</v>
      </c>
    </row>
    <row r="92" customFormat="false" ht="14.25" hidden="false" customHeight="false" outlineLevel="0" collapsed="false">
      <c r="B92" s="2" t="n">
        <v>16</v>
      </c>
      <c r="C92" s="3" t="n">
        <v>500</v>
      </c>
      <c r="D92" s="3" t="n">
        <v>2</v>
      </c>
      <c r="E92" s="2" t="n">
        <v>138</v>
      </c>
      <c r="F92" s="4" t="n">
        <v>3.269</v>
      </c>
      <c r="G92" s="2" t="n">
        <v>40</v>
      </c>
      <c r="H92" s="2" t="n">
        <v>48</v>
      </c>
      <c r="I92" s="1" t="n">
        <v>250</v>
      </c>
      <c r="J92" s="2" t="n">
        <v>348</v>
      </c>
      <c r="K92" s="3" t="n">
        <v>400</v>
      </c>
      <c r="L92" s="4" t="n">
        <v>32000</v>
      </c>
      <c r="M92" s="3" t="n">
        <v>73.3862853425291</v>
      </c>
      <c r="N92" s="12" t="n">
        <v>0.0125</v>
      </c>
      <c r="O92" s="4" t="n">
        <v>26.26</v>
      </c>
      <c r="P92" s="3" t="n">
        <v>95.8024475372333</v>
      </c>
      <c r="Q92" s="4" t="n">
        <f aca="false">(P92-P$354)/P$355</f>
        <v>-1.24824109033966</v>
      </c>
      <c r="R92" s="4" t="n">
        <v>0.25</v>
      </c>
      <c r="S92" s="13" t="n">
        <f aca="false">P92/200000</f>
        <v>0.000479012237686166</v>
      </c>
      <c r="W92" s="4" t="n">
        <f aca="false">$X$2*($X$3*$G92+$X$4*$B92^$X$5*$N92^$X$6)*$S92^$X$7</f>
        <v>0.184333742365355</v>
      </c>
      <c r="X92" s="4" t="n">
        <f aca="false">W92/$R92</f>
        <v>0.737334969461421</v>
      </c>
      <c r="Z92" s="4" t="n">
        <f aca="false">$AA$2*$B92^$AA$3*$S92^$AA$4*($AA$5*$N92^$AA$6+$AA$7)</f>
        <v>0.183957204733583</v>
      </c>
      <c r="AA92" s="4" t="n">
        <f aca="false">Z92/$R92</f>
        <v>0.735828818934333</v>
      </c>
      <c r="AC92" s="4" t="n">
        <f aca="false">$AD$2*($AD$3+$AD$4*$F92/($N92*'Sem TS MC2020'!P84))*($AD$5*$G92+$AD$6*$B92/$N92)*'Sem TS MC2020'!R84*($J92-$M92)/($J92-$M92-$H92)</f>
        <v>0.171335176846928</v>
      </c>
      <c r="AD92" s="4" t="n">
        <f aca="false">AC92/$R92</f>
        <v>0.685340707387712</v>
      </c>
      <c r="AE92" s="24" t="n">
        <f aca="false">AC92-$R92</f>
        <v>-0.0786648231530721</v>
      </c>
      <c r="AF92" s="25" t="n">
        <f aca="false">1/AD92</f>
        <v>1.45912826893307</v>
      </c>
      <c r="AG92" s="25" t="n">
        <f aca="false">AC92*(14.068*'Sem TS MC2020'!$P84^-0.457)/$R92</f>
        <v>0.790360985590741</v>
      </c>
      <c r="AH92" s="25"/>
      <c r="AP92" s="4" t="n">
        <f aca="false">$AQ$2*($AQ$3+$AQ$4*$F92/($N92*'Sem TS MC2020'!P84))*($AQ$5*$G92+$AQ$6*$B92/$N92)*('Sem TS MC2020'!P84^$AQ$7/200000)*($J92-$M92)/($J92-$M92-$H92)+('Sem TS MC2020'!P84-$C92/$AQ$8)*($AQ$5*$G92+$AQ$6*$B92/$N92)/200000</f>
        <v>0.180948708553396</v>
      </c>
      <c r="AQ92" s="4" t="n">
        <f aca="false">AP92/$R92</f>
        <v>0.723794834213586</v>
      </c>
      <c r="AR92" s="24" t="n">
        <f aca="false">AP92-$R92</f>
        <v>-0.0690512914466035</v>
      </c>
    </row>
    <row r="93" customFormat="false" ht="14.25" hidden="false" customHeight="false" outlineLevel="0" collapsed="false">
      <c r="B93" s="2" t="n">
        <v>16</v>
      </c>
      <c r="C93" s="3" t="n">
        <v>500</v>
      </c>
      <c r="D93" s="3" t="n">
        <v>2</v>
      </c>
      <c r="E93" s="2" t="n">
        <v>138</v>
      </c>
      <c r="F93" s="4" t="n">
        <v>3.269</v>
      </c>
      <c r="G93" s="2" t="n">
        <v>40</v>
      </c>
      <c r="H93" s="2" t="n">
        <v>48</v>
      </c>
      <c r="I93" s="1" t="n">
        <v>250</v>
      </c>
      <c r="J93" s="2" t="n">
        <v>348</v>
      </c>
      <c r="K93" s="3" t="n">
        <v>400</v>
      </c>
      <c r="L93" s="4" t="n">
        <v>32000</v>
      </c>
      <c r="M93" s="3" t="n">
        <v>73.3862853425291</v>
      </c>
      <c r="N93" s="12" t="n">
        <v>0.0125</v>
      </c>
      <c r="O93" s="4" t="n">
        <v>29.175</v>
      </c>
      <c r="P93" s="3" t="n">
        <v>138.162104683384</v>
      </c>
      <c r="Q93" s="4" t="n">
        <f aca="false">(P93-P$354)/P$355</f>
        <v>-0.893109051143786</v>
      </c>
      <c r="R93" s="4" t="n">
        <v>0.28</v>
      </c>
      <c r="S93" s="13" t="n">
        <f aca="false">P93/200000</f>
        <v>0.000690810523416921</v>
      </c>
      <c r="W93" s="4" t="n">
        <f aca="false">$X$2*($X$3*$G93+$X$4*$B93^$X$5*$N93^$X$6)*$S93^$X$7</f>
        <v>0.231055042836648</v>
      </c>
      <c r="X93" s="4" t="n">
        <f aca="false">W93/$R93</f>
        <v>0.825196581559455</v>
      </c>
      <c r="Z93" s="4" t="n">
        <f aca="false">$AA$2*$B93^$AA$3*$S93^$AA$4*($AA$5*$N93^$AA$6+$AA$7)</f>
        <v>0.231513621588188</v>
      </c>
      <c r="AA93" s="4" t="n">
        <f aca="false">Z93/$R93</f>
        <v>0.826834362814958</v>
      </c>
      <c r="AC93" s="4" t="n">
        <f aca="false">$AD$2*($AD$3+$AD$4*$F93/($N93*'Sem TS MC2020'!P85))*($AD$5*$G93+$AD$6*$B93/$N93)*'Sem TS MC2020'!R85*($J93-$M93)/($J93-$M93-$H93)</f>
        <v>0.218546603974831</v>
      </c>
      <c r="AD93" s="4" t="n">
        <f aca="false">AC93/$R93</f>
        <v>0.780523585624397</v>
      </c>
      <c r="AE93" s="24" t="n">
        <f aca="false">AC93-$R93</f>
        <v>-0.0614533960251688</v>
      </c>
      <c r="AF93" s="25" t="n">
        <f aca="false">1/AD93</f>
        <v>1.28119126496354</v>
      </c>
      <c r="AG93" s="25" t="n">
        <f aca="false">AC93*(14.068*'Sem TS MC2020'!$P85^-0.457)/$R93</f>
        <v>0.857852693613051</v>
      </c>
      <c r="AH93" s="25"/>
      <c r="AP93" s="4" t="n">
        <f aca="false">$AQ$2*($AQ$3+$AQ$4*$F93/($N93*'Sem TS MC2020'!P85))*($AQ$5*$G93+$AQ$6*$B93/$N93)*('Sem TS MC2020'!P85^$AQ$7/200000)*($J93-$M93)/($J93-$M93-$H93)+('Sem TS MC2020'!P85-$C93/$AQ$8)*($AQ$5*$G93+$AQ$6*$B93/$N93)/200000</f>
        <v>0.231451100136022</v>
      </c>
      <c r="AQ93" s="4" t="n">
        <f aca="false">AP93/$R93</f>
        <v>0.826611071914365</v>
      </c>
      <c r="AR93" s="24" t="n">
        <f aca="false">AP93-$R93</f>
        <v>-0.0485488998639779</v>
      </c>
    </row>
    <row r="94" customFormat="false" ht="14.25" hidden="false" customHeight="false" outlineLevel="0" collapsed="false">
      <c r="B94" s="2" t="n">
        <v>16</v>
      </c>
      <c r="C94" s="3" t="n">
        <v>500</v>
      </c>
      <c r="D94" s="3" t="n">
        <v>2</v>
      </c>
      <c r="E94" s="2" t="n">
        <v>138</v>
      </c>
      <c r="F94" s="4" t="n">
        <v>3.269</v>
      </c>
      <c r="G94" s="2" t="n">
        <v>40</v>
      </c>
      <c r="H94" s="2" t="n">
        <v>48</v>
      </c>
      <c r="I94" s="1" t="n">
        <v>250</v>
      </c>
      <c r="J94" s="2" t="n">
        <v>348</v>
      </c>
      <c r="K94" s="3" t="n">
        <v>400</v>
      </c>
      <c r="L94" s="4" t="n">
        <v>32000</v>
      </c>
      <c r="M94" s="3" t="n">
        <v>73.3862853425291</v>
      </c>
      <c r="N94" s="12" t="n">
        <v>0.0125</v>
      </c>
      <c r="O94" s="4" t="n">
        <v>32.09</v>
      </c>
      <c r="P94" s="3" t="n">
        <v>180.521761829535</v>
      </c>
      <c r="Q94" s="4" t="n">
        <f aca="false">(P94-P$354)/P$355</f>
        <v>-0.537977011947916</v>
      </c>
      <c r="R94" s="4" t="n">
        <v>0.28</v>
      </c>
      <c r="S94" s="13" t="n">
        <f aca="false">P94/200000</f>
        <v>0.000902608809147677</v>
      </c>
      <c r="W94" s="4" t="n">
        <f aca="false">$X$2*($X$3*$G94+$X$4*$B94^$X$5*$N94^$X$6)*$S94^$X$7</f>
        <v>0.272504837304168</v>
      </c>
      <c r="X94" s="4" t="n">
        <f aca="false">W94/$R94</f>
        <v>0.973231561800598</v>
      </c>
      <c r="Z94" s="4" t="n">
        <f aca="false">$AA$2*$B94^$AA$3*$S94^$AA$4*($AA$5*$N94^$AA$6+$AA$7)</f>
        <v>0.2738500723414</v>
      </c>
      <c r="AA94" s="4" t="n">
        <f aca="false">Z94/$R94</f>
        <v>0.978035972647859</v>
      </c>
      <c r="AC94" s="4" t="n">
        <f aca="false">$AD$2*($AD$3+$AD$4*$F94/($N94*'Sem TS MC2020'!P86))*($AD$5*$G94+$AD$6*$B94/$N94)*'Sem TS MC2020'!R86*($J94-$M94)/($J94-$M94-$H94)</f>
        <v>0.265758031102735</v>
      </c>
      <c r="AD94" s="4" t="n">
        <f aca="false">AC94/$R94</f>
        <v>0.94913582536691</v>
      </c>
      <c r="AE94" s="24" t="n">
        <f aca="false">AC94-$R94</f>
        <v>-0.0142419688972653</v>
      </c>
      <c r="AF94" s="25" t="n">
        <f aca="false">1/AD94</f>
        <v>1.05358998498811</v>
      </c>
      <c r="AG94" s="25" t="n">
        <f aca="false">AC94*(14.068*'Sem TS MC2020'!$P86^-0.457)/$R94</f>
        <v>0.998743714211823</v>
      </c>
      <c r="AH94" s="25"/>
      <c r="AP94" s="4" t="n">
        <f aca="false">$AQ$2*($AQ$3+$AQ$4*$F94/($N94*'Sem TS MC2020'!P86))*($AQ$5*$G94+$AQ$6*$B94/$N94)*('Sem TS MC2020'!P86^$AQ$7/200000)*($J94-$M94)/($J94-$M94-$H94)+('Sem TS MC2020'!P86-$C94/$AQ$8)*($AQ$5*$G94+$AQ$6*$B94/$N94)/200000</f>
        <v>0.280610356803792</v>
      </c>
      <c r="AQ94" s="4" t="n">
        <f aca="false">AP94/$R94</f>
        <v>1.00217984572783</v>
      </c>
      <c r="AR94" s="24" t="n">
        <f aca="false">AP94-$R94</f>
        <v>0.00061035680379179</v>
      </c>
    </row>
    <row r="95" customFormat="false" ht="14.25" hidden="false" customHeight="false" outlineLevel="0" collapsed="false">
      <c r="B95" s="2" t="n">
        <v>16</v>
      </c>
      <c r="C95" s="3" t="n">
        <v>500</v>
      </c>
      <c r="D95" s="3" t="n">
        <v>2</v>
      </c>
      <c r="E95" s="2" t="n">
        <v>138</v>
      </c>
      <c r="F95" s="4" t="n">
        <v>3.269</v>
      </c>
      <c r="G95" s="2" t="n">
        <v>40</v>
      </c>
      <c r="H95" s="2" t="n">
        <v>48</v>
      </c>
      <c r="I95" s="1" t="n">
        <v>250</v>
      </c>
      <c r="J95" s="2" t="n">
        <v>348</v>
      </c>
      <c r="K95" s="3" t="n">
        <v>400</v>
      </c>
      <c r="L95" s="4" t="n">
        <v>32000</v>
      </c>
      <c r="M95" s="3" t="n">
        <v>73.3862853425291</v>
      </c>
      <c r="N95" s="12" t="n">
        <v>0.0125</v>
      </c>
      <c r="O95" s="4" t="n">
        <v>35.01</v>
      </c>
      <c r="P95" s="3" t="n">
        <v>222.954077049693</v>
      </c>
      <c r="Q95" s="4" t="n">
        <f aca="false">(P95-P$354)/P$355</f>
        <v>-0.182235826887217</v>
      </c>
      <c r="R95" s="4" t="n">
        <v>0.3</v>
      </c>
      <c r="S95" s="13" t="n">
        <f aca="false">P95/200000</f>
        <v>0.00111477038524847</v>
      </c>
      <c r="W95" s="4" t="n">
        <f aca="false">$X$2*($X$3*$G95+$X$4*$B95^$X$5*$N95^$X$6)*$S95^$X$7</f>
        <v>0.310416207423178</v>
      </c>
      <c r="X95" s="4" t="n">
        <f aca="false">W95/$R95</f>
        <v>1.03472069141059</v>
      </c>
      <c r="Z95" s="4" t="n">
        <f aca="false">$AA$2*$B95^$AA$3*$S95^$AA$4*($AA$5*$N95^$AA$6+$AA$7)</f>
        <v>0.312673861344388</v>
      </c>
      <c r="AA95" s="4" t="n">
        <f aca="false">Z95/$R95</f>
        <v>1.04224620448129</v>
      </c>
      <c r="AC95" s="4" t="n">
        <f aca="false">$AD$2*($AD$3+$AD$4*$F95/($N95*'Sem TS MC2020'!P87))*($AD$5*$G95+$AD$6*$B95/$N95)*'Sem TS MC2020'!R87*($J95-$M95)/($J95-$M95-$H95)</f>
        <v>0.313050438380085</v>
      </c>
      <c r="AD95" s="4" t="n">
        <f aca="false">AC95/$R95</f>
        <v>1.04350146126695</v>
      </c>
      <c r="AE95" s="24" t="n">
        <f aca="false">AC95-$R95</f>
        <v>0.0130504383800855</v>
      </c>
      <c r="AF95" s="25" t="n">
        <f aca="false">1/AD95</f>
        <v>0.958312026497658</v>
      </c>
      <c r="AG95" s="25" t="n">
        <f aca="false">AC95*(14.068*'Sem TS MC2020'!$P87^-0.457)/$R95</f>
        <v>1.05519790530829</v>
      </c>
      <c r="AH95" s="25"/>
      <c r="AP95" s="4" t="n">
        <f aca="false">$AQ$2*($AQ$3+$AQ$4*$F95/($N95*'Sem TS MC2020'!P87))*($AQ$5*$G95+$AQ$6*$B95/$N95)*('Sem TS MC2020'!P87^$AQ$7/200000)*($J95-$M95)/($J95-$M95-$H95)+('Sem TS MC2020'!P87-$C95/$AQ$8)*($AQ$5*$G95+$AQ$6*$B95/$N95)/200000</f>
        <v>0.328699584108349</v>
      </c>
      <c r="AQ95" s="4" t="n">
        <f aca="false">AP95/$R95</f>
        <v>1.09566528036116</v>
      </c>
      <c r="AR95" s="24" t="n">
        <f aca="false">AP95-$R95</f>
        <v>0.0286995841083491</v>
      </c>
    </row>
    <row r="96" customFormat="false" ht="14.25" hidden="false" customHeight="false" outlineLevel="0" collapsed="false">
      <c r="B96" s="2" t="n">
        <v>16</v>
      </c>
      <c r="C96" s="3" t="n">
        <v>500</v>
      </c>
      <c r="D96" s="3" t="n">
        <v>2</v>
      </c>
      <c r="E96" s="2" t="n">
        <v>138</v>
      </c>
      <c r="F96" s="4" t="n">
        <v>3.269</v>
      </c>
      <c r="G96" s="2" t="n">
        <v>40</v>
      </c>
      <c r="H96" s="2" t="n">
        <v>48</v>
      </c>
      <c r="I96" s="1" t="n">
        <v>250</v>
      </c>
      <c r="J96" s="2" t="n">
        <v>348</v>
      </c>
      <c r="K96" s="3" t="n">
        <v>400</v>
      </c>
      <c r="L96" s="4" t="n">
        <v>32000</v>
      </c>
      <c r="M96" s="3" t="n">
        <v>73.3862853425291</v>
      </c>
      <c r="N96" s="12" t="n">
        <v>0.0125</v>
      </c>
      <c r="O96" s="4" t="n">
        <v>37.93</v>
      </c>
      <c r="P96" s="3" t="n">
        <v>265.386392269852</v>
      </c>
      <c r="Q96" s="4" t="n">
        <f aca="false">(P96-P$354)/P$355</f>
        <v>0.173505358173483</v>
      </c>
      <c r="R96" s="4" t="n">
        <v>0.33</v>
      </c>
      <c r="S96" s="13" t="n">
        <f aca="false">P96/200000</f>
        <v>0.00132693196134926</v>
      </c>
      <c r="W96" s="4" t="n">
        <f aca="false">$X$2*($X$3*$G96+$X$4*$B96^$X$5*$N96^$X$6)*$S96^$X$7</f>
        <v>0.345643665984721</v>
      </c>
      <c r="X96" s="4" t="n">
        <f aca="false">W96/$R96</f>
        <v>1.04740504843855</v>
      </c>
      <c r="Z96" s="4" t="n">
        <f aca="false">$AA$2*$B96^$AA$3*$S96^$AA$4*($AA$5*$N96^$AA$6+$AA$7)</f>
        <v>0.348825388600491</v>
      </c>
      <c r="AA96" s="4" t="n">
        <f aca="false">Z96/$R96</f>
        <v>1.0570466321227</v>
      </c>
      <c r="AC96" s="4" t="n">
        <f aca="false">$AD$2*($AD$3+$AD$4*$F96/($N96*'Sem TS MC2020'!P88))*($AD$5*$G96+$AD$6*$B96/$N96)*'Sem TS MC2020'!R88*($J96-$M96)/($J96-$M96-$H96)</f>
        <v>0.360342845657436</v>
      </c>
      <c r="AD96" s="4" t="n">
        <f aca="false">AC96/$R96</f>
        <v>1.09194801714375</v>
      </c>
      <c r="AE96" s="24" t="n">
        <f aca="false">AC96-$R96</f>
        <v>0.0303428456574364</v>
      </c>
      <c r="AF96" s="25" t="n">
        <f aca="false">1/AD96</f>
        <v>0.915794510635901</v>
      </c>
      <c r="AG96" s="25" t="n">
        <f aca="false">AC96*(14.068*'Sem TS MC2020'!$P88^-0.457)/$R96</f>
        <v>1.06449458940959</v>
      </c>
      <c r="AH96" s="25"/>
      <c r="AP96" s="4" t="n">
        <f aca="false">$AQ$2*($AQ$3+$AQ$4*$F96/($N96*'Sem TS MC2020'!P88))*($AQ$5*$G96+$AQ$6*$B96/$N96)*('Sem TS MC2020'!P88^$AQ$7/200000)*($J96-$M96)/($J96-$M96-$H96)+('Sem TS MC2020'!P88-$C96/$AQ$8)*($AQ$5*$G96+$AQ$6*$B96/$N96)/200000</f>
        <v>0.375783056537699</v>
      </c>
      <c r="AQ96" s="4" t="n">
        <f aca="false">AP96/$R96</f>
        <v>1.13873653496272</v>
      </c>
      <c r="AR96" s="24" t="n">
        <f aca="false">AP96-$R96</f>
        <v>0.0457830565376991</v>
      </c>
    </row>
    <row r="97" customFormat="false" ht="14.25" hidden="false" customHeight="false" outlineLevel="0" collapsed="false">
      <c r="B97" s="2" t="n">
        <v>16</v>
      </c>
      <c r="C97" s="3" t="n">
        <v>500</v>
      </c>
      <c r="D97" s="3" t="n">
        <v>2</v>
      </c>
      <c r="E97" s="2" t="n">
        <v>138</v>
      </c>
      <c r="F97" s="4" t="n">
        <v>3.269</v>
      </c>
      <c r="G97" s="2" t="n">
        <v>40</v>
      </c>
      <c r="H97" s="2" t="n">
        <v>48</v>
      </c>
      <c r="I97" s="1" t="n">
        <v>250</v>
      </c>
      <c r="J97" s="2" t="n">
        <v>348</v>
      </c>
      <c r="K97" s="3" t="n">
        <v>400</v>
      </c>
      <c r="L97" s="4" t="n">
        <v>32000</v>
      </c>
      <c r="M97" s="3" t="n">
        <v>73.3862853425291</v>
      </c>
      <c r="N97" s="12" t="n">
        <v>0.0125</v>
      </c>
      <c r="O97" s="4" t="n">
        <v>40.84</v>
      </c>
      <c r="P97" s="3" t="n">
        <v>307.673391341996</v>
      </c>
      <c r="Q97" s="4" t="n">
        <f aca="false">(P97-P$354)/P$355</f>
        <v>0.528028251504524</v>
      </c>
      <c r="R97" s="4" t="n">
        <v>0.33</v>
      </c>
      <c r="S97" s="13" t="n">
        <f aca="false">P97/200000</f>
        <v>0.00153836695670998</v>
      </c>
      <c r="W97" s="4" t="n">
        <f aca="false">$X$2*($X$3*$G97+$X$4*$B97^$X$5*$N97^$X$6)*$S97^$X$7</f>
        <v>0.378657852407131</v>
      </c>
      <c r="X97" s="4" t="n">
        <f aca="false">W97/$R97</f>
        <v>1.14744803759737</v>
      </c>
      <c r="Z97" s="4" t="n">
        <f aca="false">$AA$2*$B97^$AA$3*$S97^$AA$4*($AA$5*$N97^$AA$6+$AA$7)</f>
        <v>0.382765490485851</v>
      </c>
      <c r="AA97" s="4" t="n">
        <f aca="false">Z97/$R97</f>
        <v>1.1598954257147</v>
      </c>
      <c r="AC97" s="4" t="n">
        <f aca="false">$AD$2*($AD$3+$AD$4*$F97/($N97*'Sem TS MC2020'!P89))*($AD$5*$G97+$AD$6*$B97/$N97)*'Sem TS MC2020'!R89*($J97-$M97)/($J97-$M97-$H97)</f>
        <v>0.407473292635892</v>
      </c>
      <c r="AD97" s="4" t="n">
        <f aca="false">AC97/$R97</f>
        <v>1.2347675534421</v>
      </c>
      <c r="AE97" s="24" t="n">
        <f aca="false">AC97-$R97</f>
        <v>0.0774732926358924</v>
      </c>
      <c r="AF97" s="25" t="n">
        <f aca="false">1/AD97</f>
        <v>0.809869029366986</v>
      </c>
      <c r="AG97" s="25" t="n">
        <f aca="false">AC97*(14.068*'Sem TS MC2020'!$P89^-0.457)/$R97</f>
        <v>1.16373924965605</v>
      </c>
      <c r="AH97" s="25"/>
      <c r="AP97" s="4" t="n">
        <f aca="false">$AQ$2*($AQ$3+$AQ$4*$F97/($N97*'Sem TS MC2020'!P89))*($AQ$5*$G97+$AQ$6*$B97/$N97)*('Sem TS MC2020'!P89^$AQ$7/200000)*($J97-$M97)/($J97-$M97-$H97)+('Sem TS MC2020'!P89-$C97/$AQ$8)*($AQ$5*$G97+$AQ$6*$B97/$N97)/200000</f>
        <v>0.421822973518821</v>
      </c>
      <c r="AQ97" s="4" t="n">
        <f aca="false">AP97/$R97</f>
        <v>1.27825143490552</v>
      </c>
      <c r="AR97" s="24" t="n">
        <f aca="false">AP97-$R97</f>
        <v>0.091822973518821</v>
      </c>
    </row>
    <row r="98" customFormat="false" ht="14.25" hidden="false" customHeight="false" outlineLevel="0" collapsed="false">
      <c r="A98" s="1" t="s">
        <v>43</v>
      </c>
      <c r="B98" s="2" t="n">
        <v>16</v>
      </c>
      <c r="C98" s="3" t="n">
        <v>500</v>
      </c>
      <c r="D98" s="3" t="n">
        <v>2</v>
      </c>
      <c r="E98" s="2" t="n">
        <v>138</v>
      </c>
      <c r="F98" s="4" t="n">
        <v>3.269</v>
      </c>
      <c r="G98" s="2" t="n">
        <v>40</v>
      </c>
      <c r="H98" s="2" t="n">
        <v>48</v>
      </c>
      <c r="I98" s="1" t="n">
        <v>250</v>
      </c>
      <c r="J98" s="2" t="n">
        <v>348</v>
      </c>
      <c r="K98" s="3" t="n">
        <v>400</v>
      </c>
      <c r="L98" s="4" t="n">
        <v>32000</v>
      </c>
      <c r="M98" s="3" t="n">
        <v>73.3862853425291</v>
      </c>
      <c r="N98" s="12" t="n">
        <v>0.0125</v>
      </c>
      <c r="O98" s="4" t="n">
        <v>23.34</v>
      </c>
      <c r="P98" s="3" t="n">
        <v>53.370132317075</v>
      </c>
      <c r="Q98" s="4" t="n">
        <f aca="false">(P98-P$354)/P$355</f>
        <v>-1.60398227540036</v>
      </c>
      <c r="R98" s="4" t="n">
        <v>0.15</v>
      </c>
      <c r="S98" s="13" t="n">
        <f aca="false">P98/200000</f>
        <v>0.000266850661585375</v>
      </c>
      <c r="W98" s="4" t="n">
        <f aca="false">$X$2*($X$3*$G98+$X$4*$B98^$X$5*$N98^$X$6)*$S98^$X$7</f>
        <v>0.128480883325019</v>
      </c>
      <c r="X98" s="4" t="n">
        <f aca="false">W98/$R98</f>
        <v>0.85653922216679</v>
      </c>
      <c r="Z98" s="4" t="n">
        <f aca="false">$AA$2*$B98^$AA$3*$S98^$AA$4*($AA$5*$N98^$AA$6+$AA$7)</f>
        <v>0.12739594764741</v>
      </c>
      <c r="AA98" s="4" t="n">
        <f aca="false">Z98/$R98</f>
        <v>0.849306317649402</v>
      </c>
      <c r="AC98" s="4" t="n">
        <f aca="false">$AD$2*($AD$3+$AD$4*$F98/($N98*'Sem TS MC2020'!P90))*($AD$5*$G98+$AD$6*$B98/$N98)*'Sem TS MC2020'!R90*($J98-$M98)/($J98-$M98-$H98)</f>
        <v>0.124042769569577</v>
      </c>
      <c r="AD98" s="4" t="n">
        <f aca="false">AC98/$R98</f>
        <v>0.826951797130513</v>
      </c>
      <c r="AE98" s="24" t="n">
        <f aca="false">AC98-$R98</f>
        <v>-0.025957230430423</v>
      </c>
      <c r="AF98" s="25" t="n">
        <f aca="false">1/AD98</f>
        <v>1.2092603262608</v>
      </c>
      <c r="AG98" s="25" t="n">
        <f aca="false">AC98*(14.068*'Sem TS MC2020'!$P90^-0.457)/$R98</f>
        <v>1.00645592195205</v>
      </c>
      <c r="AH98" s="25"/>
      <c r="AP98" s="4" t="n">
        <f aca="false">$AQ$2*($AQ$3+$AQ$4*$F98/($N98*'Sem TS MC2020'!P90))*($AQ$5*$G98+$AQ$6*$B98/$N98)*('Sem TS MC2020'!P90^$AQ$7/200000)*($J98-$M98)/($J98-$M98-$H98)+('Sem TS MC2020'!P90-$C98/$AQ$8)*($AQ$5*$G98+$AQ$6*$B98/$N98)/200000</f>
        <v>0.128758615616405</v>
      </c>
      <c r="AQ98" s="4" t="n">
        <f aca="false">AP98/$R98</f>
        <v>0.858390770776032</v>
      </c>
      <c r="AR98" s="24" t="n">
        <f aca="false">AP98-$R98</f>
        <v>-0.0212413843835952</v>
      </c>
    </row>
    <row r="99" customFormat="false" ht="14.25" hidden="false" customHeight="false" outlineLevel="0" collapsed="false">
      <c r="B99" s="2" t="n">
        <v>16</v>
      </c>
      <c r="C99" s="3" t="n">
        <v>500</v>
      </c>
      <c r="D99" s="3" t="n">
        <v>2</v>
      </c>
      <c r="E99" s="2" t="n">
        <v>138</v>
      </c>
      <c r="F99" s="4" t="n">
        <v>3.269</v>
      </c>
      <c r="G99" s="2" t="n">
        <v>40</v>
      </c>
      <c r="H99" s="2" t="n">
        <v>48</v>
      </c>
      <c r="I99" s="1" t="n">
        <v>250</v>
      </c>
      <c r="J99" s="2" t="n">
        <v>348</v>
      </c>
      <c r="K99" s="3" t="n">
        <v>400</v>
      </c>
      <c r="L99" s="4" t="n">
        <v>32000</v>
      </c>
      <c r="M99" s="3" t="n">
        <v>73.3862853425291</v>
      </c>
      <c r="N99" s="12" t="n">
        <v>0.0125</v>
      </c>
      <c r="O99" s="4" t="n">
        <v>26.26</v>
      </c>
      <c r="P99" s="3" t="n">
        <v>95.8024475372333</v>
      </c>
      <c r="Q99" s="4" t="n">
        <f aca="false">(P99-P$354)/P$355</f>
        <v>-1.24824109033966</v>
      </c>
      <c r="R99" s="4" t="n">
        <v>0.18</v>
      </c>
      <c r="S99" s="13" t="n">
        <f aca="false">P99/200000</f>
        <v>0.000479012237686166</v>
      </c>
      <c r="W99" s="4" t="n">
        <f aca="false">$X$2*($X$3*$G99+$X$4*$B99^$X$5*$N99^$X$6)*$S99^$X$7</f>
        <v>0.184333742365355</v>
      </c>
      <c r="X99" s="4" t="n">
        <f aca="false">W99/$R99</f>
        <v>1.0240763464742</v>
      </c>
      <c r="Z99" s="4" t="n">
        <f aca="false">$AA$2*$B99^$AA$3*$S99^$AA$4*($AA$5*$N99^$AA$6+$AA$7)</f>
        <v>0.183957204733583</v>
      </c>
      <c r="AA99" s="4" t="n">
        <f aca="false">Z99/$R99</f>
        <v>1.02198447074213</v>
      </c>
      <c r="AC99" s="4" t="n">
        <f aca="false">$AD$2*($AD$3+$AD$4*$F99/($N99*'Sem TS MC2020'!P91))*($AD$5*$G99+$AD$6*$B99/$N99)*'Sem TS MC2020'!R91*($J99-$M99)/($J99-$M99-$H99)</f>
        <v>0.171335176846928</v>
      </c>
      <c r="AD99" s="4" t="n">
        <f aca="false">AC99/$R99</f>
        <v>0.951862093594044</v>
      </c>
      <c r="AE99" s="24" t="n">
        <f aca="false">AC99-$R99</f>
        <v>-0.0086648231530721</v>
      </c>
      <c r="AF99" s="25" t="n">
        <f aca="false">1/AD99</f>
        <v>1.05057235363181</v>
      </c>
      <c r="AG99" s="25" t="n">
        <f aca="false">AC99*(14.068*'Sem TS MC2020'!$P91^-0.457)/$R99</f>
        <v>1.09772359109825</v>
      </c>
      <c r="AH99" s="25"/>
      <c r="AP99" s="4" t="n">
        <f aca="false">$AQ$2*($AQ$3+$AQ$4*$F99/($N99*'Sem TS MC2020'!P91))*($AQ$5*$G99+$AQ$6*$B99/$N99)*('Sem TS MC2020'!P91^$AQ$7/200000)*($J99-$M99)/($J99-$M99-$H99)+('Sem TS MC2020'!P91-$C99/$AQ$8)*($AQ$5*$G99+$AQ$6*$B99/$N99)/200000</f>
        <v>0.180948708553396</v>
      </c>
      <c r="AQ99" s="4" t="n">
        <f aca="false">AP99/$R99</f>
        <v>1.00527060307443</v>
      </c>
      <c r="AR99" s="24" t="n">
        <f aca="false">AP99-$R99</f>
        <v>0.000948708553396488</v>
      </c>
    </row>
    <row r="100" customFormat="false" ht="14.25" hidden="false" customHeight="false" outlineLevel="0" collapsed="false">
      <c r="B100" s="2" t="n">
        <v>16</v>
      </c>
      <c r="C100" s="3" t="n">
        <v>500</v>
      </c>
      <c r="D100" s="3" t="n">
        <v>2</v>
      </c>
      <c r="E100" s="2" t="n">
        <v>138</v>
      </c>
      <c r="F100" s="4" t="n">
        <v>3.269</v>
      </c>
      <c r="G100" s="2" t="n">
        <v>40</v>
      </c>
      <c r="H100" s="2" t="n">
        <v>48</v>
      </c>
      <c r="I100" s="1" t="n">
        <v>250</v>
      </c>
      <c r="J100" s="2" t="n">
        <v>348</v>
      </c>
      <c r="K100" s="3" t="n">
        <v>400</v>
      </c>
      <c r="L100" s="4" t="n">
        <v>32000</v>
      </c>
      <c r="M100" s="3" t="n">
        <v>73.3862853425291</v>
      </c>
      <c r="N100" s="12" t="n">
        <v>0.0125</v>
      </c>
      <c r="O100" s="4" t="n">
        <v>29.175</v>
      </c>
      <c r="P100" s="3" t="n">
        <v>138.162104683384</v>
      </c>
      <c r="Q100" s="4" t="n">
        <f aca="false">(P100-P$354)/P$355</f>
        <v>-0.893109051143786</v>
      </c>
      <c r="R100" s="4" t="n">
        <v>0.2</v>
      </c>
      <c r="S100" s="13" t="n">
        <f aca="false">P100/200000</f>
        <v>0.000690810523416921</v>
      </c>
      <c r="W100" s="4" t="n">
        <f aca="false">$X$2*($X$3*$G100+$X$4*$B100^$X$5*$N100^$X$6)*$S100^$X$7</f>
        <v>0.231055042836648</v>
      </c>
      <c r="X100" s="4" t="n">
        <f aca="false">W100/$R100</f>
        <v>1.15527521418324</v>
      </c>
      <c r="Z100" s="4" t="n">
        <f aca="false">$AA$2*$B100^$AA$3*$S100^$AA$4*($AA$5*$N100^$AA$6+$AA$7)</f>
        <v>0.231513621588188</v>
      </c>
      <c r="AA100" s="4" t="n">
        <f aca="false">Z100/$R100</f>
        <v>1.15756810794094</v>
      </c>
      <c r="AC100" s="4" t="n">
        <f aca="false">$AD$2*($AD$3+$AD$4*$F100/($N100*'Sem TS MC2020'!P92))*($AD$5*$G100+$AD$6*$B100/$N100)*'Sem TS MC2020'!R92*($J100-$M100)/($J100-$M100-$H100)</f>
        <v>0.218546603974831</v>
      </c>
      <c r="AD100" s="4" t="n">
        <f aca="false">AC100/$R100</f>
        <v>1.09273301987416</v>
      </c>
      <c r="AE100" s="24" t="n">
        <f aca="false">AC100-$R100</f>
        <v>0.0185466039748313</v>
      </c>
      <c r="AF100" s="25" t="n">
        <f aca="false">1/AD100</f>
        <v>0.915136617831101</v>
      </c>
      <c r="AG100" s="25" t="n">
        <f aca="false">AC100*(14.068*'Sem TS MC2020'!$P92^-0.457)/$R100</f>
        <v>1.20099377105827</v>
      </c>
      <c r="AH100" s="25"/>
      <c r="AP100" s="4" t="n">
        <f aca="false">$AQ$2*($AQ$3+$AQ$4*$F100/($N100*'Sem TS MC2020'!P92))*($AQ$5*$G100+$AQ$6*$B100/$N100)*('Sem TS MC2020'!P92^$AQ$7/200000)*($J100-$M100)/($J100-$M100-$H100)+('Sem TS MC2020'!P92-$C100/$AQ$8)*($AQ$5*$G100+$AQ$6*$B100/$N100)/200000</f>
        <v>0.231451100136022</v>
      </c>
      <c r="AQ100" s="4" t="n">
        <f aca="false">AP100/$R100</f>
        <v>1.15725550068011</v>
      </c>
      <c r="AR100" s="24" t="n">
        <f aca="false">AP100-$R100</f>
        <v>0.0314511001360221</v>
      </c>
    </row>
    <row r="101" customFormat="false" ht="14.25" hidden="false" customHeight="false" outlineLevel="0" collapsed="false">
      <c r="B101" s="2" t="n">
        <v>16</v>
      </c>
      <c r="C101" s="3" t="n">
        <v>500</v>
      </c>
      <c r="D101" s="3" t="n">
        <v>2</v>
      </c>
      <c r="E101" s="2" t="n">
        <v>138</v>
      </c>
      <c r="F101" s="4" t="n">
        <v>3.269</v>
      </c>
      <c r="G101" s="2" t="n">
        <v>40</v>
      </c>
      <c r="H101" s="2" t="n">
        <v>48</v>
      </c>
      <c r="I101" s="1" t="n">
        <v>250</v>
      </c>
      <c r="J101" s="2" t="n">
        <v>348</v>
      </c>
      <c r="K101" s="3" t="n">
        <v>400</v>
      </c>
      <c r="L101" s="4" t="n">
        <v>32000</v>
      </c>
      <c r="M101" s="3" t="n">
        <v>73.3862853425291</v>
      </c>
      <c r="N101" s="12" t="n">
        <v>0.0125</v>
      </c>
      <c r="O101" s="4" t="n">
        <v>32.09</v>
      </c>
      <c r="P101" s="3" t="n">
        <v>180.521761829535</v>
      </c>
      <c r="Q101" s="4" t="n">
        <f aca="false">(P101-P$354)/P$355</f>
        <v>-0.537977011947916</v>
      </c>
      <c r="R101" s="4" t="n">
        <v>0.25</v>
      </c>
      <c r="S101" s="13" t="n">
        <f aca="false">P101/200000</f>
        <v>0.000902608809147677</v>
      </c>
      <c r="W101" s="4" t="n">
        <f aca="false">$X$2*($X$3*$G101+$X$4*$B101^$X$5*$N101^$X$6)*$S101^$X$7</f>
        <v>0.272504837304168</v>
      </c>
      <c r="X101" s="4" t="n">
        <f aca="false">W101/$R101</f>
        <v>1.09001934921667</v>
      </c>
      <c r="Z101" s="4" t="n">
        <f aca="false">$AA$2*$B101^$AA$3*$S101^$AA$4*($AA$5*$N101^$AA$6+$AA$7)</f>
        <v>0.2738500723414</v>
      </c>
      <c r="AA101" s="4" t="n">
        <f aca="false">Z101/$R101</f>
        <v>1.0954002893656</v>
      </c>
      <c r="AC101" s="4" t="n">
        <f aca="false">$AD$2*($AD$3+$AD$4*$F101/($N101*'Sem TS MC2020'!P93))*($AD$5*$G101+$AD$6*$B101/$N101)*'Sem TS MC2020'!R93*($J101-$M101)/($J101-$M101-$H101)</f>
        <v>0.265758031102735</v>
      </c>
      <c r="AD101" s="4" t="n">
        <f aca="false">AC101/$R101</f>
        <v>1.06303212441094</v>
      </c>
      <c r="AE101" s="24" t="n">
        <f aca="false">AC101-$R101</f>
        <v>0.0157580311027348</v>
      </c>
      <c r="AF101" s="25" t="n">
        <f aca="false">1/AD101</f>
        <v>0.940705343739384</v>
      </c>
      <c r="AG101" s="25" t="n">
        <f aca="false">AC101*(14.068*'Sem TS MC2020'!$P93^-0.457)/$R101</f>
        <v>1.11859295991724</v>
      </c>
      <c r="AH101" s="25"/>
      <c r="AP101" s="4" t="n">
        <f aca="false">$AQ$2*($AQ$3+$AQ$4*$F101/($N101*'Sem TS MC2020'!P93))*($AQ$5*$G101+$AQ$6*$B101/$N101)*('Sem TS MC2020'!P93^$AQ$7/200000)*($J101-$M101)/($J101-$M101-$H101)+('Sem TS MC2020'!P93-$C101/$AQ$8)*($AQ$5*$G101+$AQ$6*$B101/$N101)/200000</f>
        <v>0.280610356803792</v>
      </c>
      <c r="AQ101" s="4" t="n">
        <f aca="false">AP101/$R101</f>
        <v>1.12244142721517</v>
      </c>
      <c r="AR101" s="24" t="n">
        <f aca="false">AP101-$R101</f>
        <v>0.0306103568037918</v>
      </c>
    </row>
    <row r="102" customFormat="false" ht="14.25" hidden="false" customHeight="false" outlineLevel="0" collapsed="false">
      <c r="B102" s="2" t="n">
        <v>16</v>
      </c>
      <c r="C102" s="3" t="n">
        <v>500</v>
      </c>
      <c r="D102" s="3" t="n">
        <v>2</v>
      </c>
      <c r="E102" s="2" t="n">
        <v>138</v>
      </c>
      <c r="F102" s="4" t="n">
        <v>3.269</v>
      </c>
      <c r="G102" s="2" t="n">
        <v>40</v>
      </c>
      <c r="H102" s="2" t="n">
        <v>48</v>
      </c>
      <c r="I102" s="1" t="n">
        <v>250</v>
      </c>
      <c r="J102" s="2" t="n">
        <v>348</v>
      </c>
      <c r="K102" s="3" t="n">
        <v>400</v>
      </c>
      <c r="L102" s="4" t="n">
        <v>32000</v>
      </c>
      <c r="M102" s="3" t="n">
        <v>73.3862853425291</v>
      </c>
      <c r="N102" s="12" t="n">
        <v>0.0125</v>
      </c>
      <c r="O102" s="4" t="n">
        <v>35.01</v>
      </c>
      <c r="P102" s="3" t="n">
        <v>222.954077049693</v>
      </c>
      <c r="Q102" s="4" t="n">
        <f aca="false">(P102-P$354)/P$355</f>
        <v>-0.182235826887217</v>
      </c>
      <c r="R102" s="4" t="n">
        <v>0.3</v>
      </c>
      <c r="S102" s="13" t="n">
        <f aca="false">P102/200000</f>
        <v>0.00111477038524847</v>
      </c>
      <c r="W102" s="4" t="n">
        <f aca="false">$X$2*($X$3*$G102+$X$4*$B102^$X$5*$N102^$X$6)*$S102^$X$7</f>
        <v>0.310416207423178</v>
      </c>
      <c r="X102" s="4" t="n">
        <f aca="false">W102/$R102</f>
        <v>1.03472069141059</v>
      </c>
      <c r="Z102" s="4" t="n">
        <f aca="false">$AA$2*$B102^$AA$3*$S102^$AA$4*($AA$5*$N102^$AA$6+$AA$7)</f>
        <v>0.312673861344388</v>
      </c>
      <c r="AA102" s="4" t="n">
        <f aca="false">Z102/$R102</f>
        <v>1.04224620448129</v>
      </c>
      <c r="AC102" s="4" t="n">
        <f aca="false">$AD$2*($AD$3+$AD$4*$F102/($N102*'Sem TS MC2020'!P94))*($AD$5*$G102+$AD$6*$B102/$N102)*'Sem TS MC2020'!R94*($J102-$M102)/($J102-$M102-$H102)</f>
        <v>0.313050438380085</v>
      </c>
      <c r="AD102" s="4" t="n">
        <f aca="false">AC102/$R102</f>
        <v>1.04350146126695</v>
      </c>
      <c r="AE102" s="24" t="n">
        <f aca="false">AC102-$R102</f>
        <v>0.0130504383800855</v>
      </c>
      <c r="AF102" s="25" t="n">
        <f aca="false">1/AD102</f>
        <v>0.958312026497658</v>
      </c>
      <c r="AG102" s="25" t="n">
        <f aca="false">AC102*(14.068*'Sem TS MC2020'!$P94^-0.457)/$R102</f>
        <v>1.05519790530829</v>
      </c>
      <c r="AH102" s="25"/>
      <c r="AP102" s="4" t="n">
        <f aca="false">$AQ$2*($AQ$3+$AQ$4*$F102/($N102*'Sem TS MC2020'!P94))*($AQ$5*$G102+$AQ$6*$B102/$N102)*('Sem TS MC2020'!P94^$AQ$7/200000)*($J102-$M102)/($J102-$M102-$H102)+('Sem TS MC2020'!P94-$C102/$AQ$8)*($AQ$5*$G102+$AQ$6*$B102/$N102)/200000</f>
        <v>0.328699584108349</v>
      </c>
      <c r="AQ102" s="4" t="n">
        <f aca="false">AP102/$R102</f>
        <v>1.09566528036116</v>
      </c>
      <c r="AR102" s="24" t="n">
        <f aca="false">AP102-$R102</f>
        <v>0.0286995841083491</v>
      </c>
    </row>
    <row r="103" customFormat="false" ht="14.25" hidden="false" customHeight="false" outlineLevel="0" collapsed="false">
      <c r="B103" s="2" t="n">
        <v>16</v>
      </c>
      <c r="C103" s="3" t="n">
        <v>500</v>
      </c>
      <c r="D103" s="3" t="n">
        <v>2</v>
      </c>
      <c r="E103" s="2" t="n">
        <v>138</v>
      </c>
      <c r="F103" s="4" t="n">
        <v>3.269</v>
      </c>
      <c r="G103" s="2" t="n">
        <v>40</v>
      </c>
      <c r="H103" s="2" t="n">
        <v>48</v>
      </c>
      <c r="I103" s="1" t="n">
        <v>250</v>
      </c>
      <c r="J103" s="2" t="n">
        <v>348</v>
      </c>
      <c r="K103" s="3" t="n">
        <v>400</v>
      </c>
      <c r="L103" s="4" t="n">
        <v>32000</v>
      </c>
      <c r="M103" s="3" t="n">
        <v>73.3862853425291</v>
      </c>
      <c r="N103" s="12" t="n">
        <v>0.0125</v>
      </c>
      <c r="O103" s="4" t="n">
        <v>37.93</v>
      </c>
      <c r="P103" s="3" t="n">
        <v>265.386392269852</v>
      </c>
      <c r="Q103" s="4" t="n">
        <f aca="false">(P103-P$354)/P$355</f>
        <v>0.173505358173483</v>
      </c>
      <c r="R103" s="4" t="n">
        <v>0.33</v>
      </c>
      <c r="S103" s="13" t="n">
        <f aca="false">P103/200000</f>
        <v>0.00132693196134926</v>
      </c>
      <c r="W103" s="4" t="n">
        <f aca="false">$X$2*($X$3*$G103+$X$4*$B103^$X$5*$N103^$X$6)*$S103^$X$7</f>
        <v>0.345643665984721</v>
      </c>
      <c r="X103" s="4" t="n">
        <f aca="false">W103/$R103</f>
        <v>1.04740504843855</v>
      </c>
      <c r="Z103" s="4" t="n">
        <f aca="false">$AA$2*$B103^$AA$3*$S103^$AA$4*($AA$5*$N103^$AA$6+$AA$7)</f>
        <v>0.348825388600491</v>
      </c>
      <c r="AA103" s="4" t="n">
        <f aca="false">Z103/$R103</f>
        <v>1.0570466321227</v>
      </c>
      <c r="AC103" s="4" t="n">
        <f aca="false">$AD$2*($AD$3+$AD$4*$F103/($N103*'Sem TS MC2020'!P95))*($AD$5*$G103+$AD$6*$B103/$N103)*'Sem TS MC2020'!R95*($J103-$M103)/($J103-$M103-$H103)</f>
        <v>0.360342845657436</v>
      </c>
      <c r="AD103" s="4" t="n">
        <f aca="false">AC103/$R103</f>
        <v>1.09194801714375</v>
      </c>
      <c r="AE103" s="24" t="n">
        <f aca="false">AC103-$R103</f>
        <v>0.0303428456574364</v>
      </c>
      <c r="AF103" s="25" t="n">
        <f aca="false">1/AD103</f>
        <v>0.915794510635901</v>
      </c>
      <c r="AG103" s="25" t="n">
        <f aca="false">AC103*(14.068*'Sem TS MC2020'!$P95^-0.457)/$R103</f>
        <v>1.06449458940959</v>
      </c>
      <c r="AH103" s="25"/>
      <c r="AP103" s="4" t="n">
        <f aca="false">$AQ$2*($AQ$3+$AQ$4*$F103/($N103*'Sem TS MC2020'!P95))*($AQ$5*$G103+$AQ$6*$B103/$N103)*('Sem TS MC2020'!P95^$AQ$7/200000)*($J103-$M103)/($J103-$M103-$H103)+('Sem TS MC2020'!P95-$C103/$AQ$8)*($AQ$5*$G103+$AQ$6*$B103/$N103)/200000</f>
        <v>0.375783056537699</v>
      </c>
      <c r="AQ103" s="4" t="n">
        <f aca="false">AP103/$R103</f>
        <v>1.13873653496272</v>
      </c>
      <c r="AR103" s="24" t="n">
        <f aca="false">AP103-$R103</f>
        <v>0.0457830565376991</v>
      </c>
    </row>
    <row r="104" customFormat="false" ht="14.25" hidden="false" customHeight="false" outlineLevel="0" collapsed="false">
      <c r="B104" s="2" t="n">
        <v>16</v>
      </c>
      <c r="C104" s="3" t="n">
        <v>500</v>
      </c>
      <c r="D104" s="3" t="n">
        <v>2</v>
      </c>
      <c r="E104" s="2" t="n">
        <v>138</v>
      </c>
      <c r="F104" s="4" t="n">
        <v>3.269</v>
      </c>
      <c r="G104" s="2" t="n">
        <v>40</v>
      </c>
      <c r="H104" s="2" t="n">
        <v>48</v>
      </c>
      <c r="I104" s="1" t="n">
        <v>250</v>
      </c>
      <c r="J104" s="2" t="n">
        <v>348</v>
      </c>
      <c r="K104" s="3" t="n">
        <v>400</v>
      </c>
      <c r="L104" s="4" t="n">
        <v>32000</v>
      </c>
      <c r="M104" s="3" t="n">
        <v>73.3862853425291</v>
      </c>
      <c r="N104" s="12" t="n">
        <v>0.0125</v>
      </c>
      <c r="O104" s="4" t="n">
        <v>40.84</v>
      </c>
      <c r="P104" s="3" t="n">
        <v>307.673391341996</v>
      </c>
      <c r="Q104" s="4" t="n">
        <f aca="false">(P104-P$354)/P$355</f>
        <v>0.528028251504524</v>
      </c>
      <c r="R104" s="4" t="n">
        <v>0.38</v>
      </c>
      <c r="S104" s="13" t="n">
        <f aca="false">P104/200000</f>
        <v>0.00153836695670998</v>
      </c>
      <c r="W104" s="4" t="n">
        <f aca="false">$X$2*($X$3*$G104+$X$4*$B104^$X$5*$N104^$X$6)*$S104^$X$7</f>
        <v>0.378657852407131</v>
      </c>
      <c r="X104" s="4" t="n">
        <f aca="false">W104/$R104</f>
        <v>0.996468032650346</v>
      </c>
      <c r="Z104" s="4" t="n">
        <f aca="false">$AA$2*$B104^$AA$3*$S104^$AA$4*($AA$5*$N104^$AA$6+$AA$7)</f>
        <v>0.382765490485851</v>
      </c>
      <c r="AA104" s="4" t="n">
        <f aca="false">Z104/$R104</f>
        <v>1.00727760654171</v>
      </c>
      <c r="AC104" s="4" t="n">
        <f aca="false">$AD$2*($AD$3+$AD$4*$F104/($N104*'Sem TS MC2020'!P96))*($AD$5*$G104+$AD$6*$B104/$N104)*'Sem TS MC2020'!R96*($J104-$M104)/($J104-$M104-$H104)</f>
        <v>0.407473292635892</v>
      </c>
      <c r="AD104" s="4" t="n">
        <f aca="false">AC104/$R104</f>
        <v>1.07229813851551</v>
      </c>
      <c r="AE104" s="24" t="n">
        <f aca="false">AC104-$R104</f>
        <v>0.0274732926358924</v>
      </c>
      <c r="AF104" s="25" t="n">
        <f aca="false">1/AD104</f>
        <v>0.932576458058954</v>
      </c>
      <c r="AG104" s="25" t="n">
        <f aca="false">AC104*(14.068*'Sem TS MC2020'!$P96^-0.457)/$R104</f>
        <v>1.01061566417499</v>
      </c>
      <c r="AH104" s="25"/>
      <c r="AP104" s="4" t="n">
        <f aca="false">$AQ$2*($AQ$3+$AQ$4*$F104/($N104*'Sem TS MC2020'!P96))*($AQ$5*$G104+$AQ$6*$B104/$N104)*('Sem TS MC2020'!P96^$AQ$7/200000)*($J104-$M104)/($J104-$M104-$H104)+('Sem TS MC2020'!P96-$C104/$AQ$8)*($AQ$5*$G104+$AQ$6*$B104/$N104)/200000</f>
        <v>0.421822973518821</v>
      </c>
      <c r="AQ104" s="4" t="n">
        <f aca="false">AP104/$R104</f>
        <v>1.11006045662848</v>
      </c>
      <c r="AR104" s="24" t="n">
        <f aca="false">AP104-$R104</f>
        <v>0.041822973518821</v>
      </c>
    </row>
    <row r="105" customFormat="false" ht="14.25" hidden="false" customHeight="false" outlineLevel="0" collapsed="false">
      <c r="A105" s="1" t="s">
        <v>44</v>
      </c>
      <c r="B105" s="2" t="n">
        <v>16</v>
      </c>
      <c r="C105" s="3" t="n">
        <v>500</v>
      </c>
      <c r="D105" s="3" t="n">
        <v>2</v>
      </c>
      <c r="E105" s="2" t="n">
        <v>168</v>
      </c>
      <c r="F105" s="4" t="n">
        <v>3.269</v>
      </c>
      <c r="G105" s="2" t="n">
        <v>25</v>
      </c>
      <c r="H105" s="2" t="n">
        <v>33</v>
      </c>
      <c r="I105" s="1" t="n">
        <v>250</v>
      </c>
      <c r="J105" s="2" t="n">
        <v>333</v>
      </c>
      <c r="K105" s="3" t="n">
        <v>400</v>
      </c>
      <c r="L105" s="4" t="n">
        <v>12769</v>
      </c>
      <c r="M105" s="3" t="n">
        <v>73.3862853425291</v>
      </c>
      <c r="N105" s="12" t="n">
        <v>0.0157460983498901</v>
      </c>
      <c r="O105" s="4" t="n">
        <v>23.34</v>
      </c>
      <c r="P105" s="3" t="n">
        <v>83.250300076909</v>
      </c>
      <c r="Q105" s="4" t="n">
        <f aca="false">(P105-P$354)/P$355</f>
        <v>-1.35347493839683</v>
      </c>
      <c r="R105" s="4" t="n">
        <v>0.15</v>
      </c>
      <c r="S105" s="13" t="n">
        <f aca="false">P105/200000</f>
        <v>0.000416251500384545</v>
      </c>
      <c r="W105" s="4" t="n">
        <f aca="false">$X$2*($X$3*$G105+$X$4*$B105^$X$5*$N105^$X$6)*$S105^$X$7</f>
        <v>0.153600526986102</v>
      </c>
      <c r="X105" s="4" t="n">
        <f aca="false">W105/$R105</f>
        <v>1.02400351324068</v>
      </c>
      <c r="Z105" s="4" t="n">
        <f aca="false">$AA$2*$B105^$AA$3*$S105^$AA$4*($AA$5*$N105^$AA$6+$AA$7)</f>
        <v>0.151203232770735</v>
      </c>
      <c r="AA105" s="4" t="n">
        <f aca="false">Z105/$R105</f>
        <v>1.0080215518049</v>
      </c>
      <c r="AC105" s="4" t="n">
        <f aca="false">$AD$2*($AD$3+$AD$4*$F105/($N105*'Sem TS MC2020'!P97))*($AD$5*$G105+$AD$6*$B105/$N105)*'Sem TS MC2020'!R97*($J105-$M105)/($J105-$M105-$H105)</f>
        <v>0.127272540021034</v>
      </c>
      <c r="AD105" s="4" t="n">
        <f aca="false">AC105/$R105</f>
        <v>0.848483600140224</v>
      </c>
      <c r="AE105" s="24" t="n">
        <f aca="false">AC105-$R105</f>
        <v>-0.0227274599789665</v>
      </c>
      <c r="AF105" s="25" t="n">
        <f aca="false">1/AD105</f>
        <v>1.17857316256288</v>
      </c>
      <c r="AG105" s="25" t="n">
        <f aca="false">AC105*(14.068*'Sem TS MC2020'!$P97^-0.457)/$R105</f>
        <v>1.03266157350831</v>
      </c>
      <c r="AH105" s="25"/>
      <c r="AP105" s="4" t="n">
        <f aca="false">$AQ$2*($AQ$3+$AQ$4*$F105/($N105*'Sem TS MC2020'!P97))*($AQ$5*$G105+$AQ$6*$B105/$N105)*('Sem TS MC2020'!P97^$AQ$7/200000)*($J105-$M105)/($J105-$M105-$H105)+('Sem TS MC2020'!P97-$C105/$AQ$8)*($AQ$5*$G105+$AQ$6*$B105/$N105)/200000</f>
        <v>0.136740690363875</v>
      </c>
      <c r="AQ105" s="4" t="n">
        <f aca="false">AP105/$R105</f>
        <v>0.911604602425837</v>
      </c>
      <c r="AR105" s="24" t="n">
        <f aca="false">AP105-$R105</f>
        <v>-0.0132593096361245</v>
      </c>
    </row>
    <row r="106" customFormat="false" ht="14.25" hidden="false" customHeight="false" outlineLevel="0" collapsed="false">
      <c r="B106" s="2" t="n">
        <v>16</v>
      </c>
      <c r="C106" s="3" t="n">
        <v>500</v>
      </c>
      <c r="D106" s="3" t="n">
        <v>2</v>
      </c>
      <c r="E106" s="2" t="n">
        <v>168</v>
      </c>
      <c r="F106" s="4" t="n">
        <v>3.269</v>
      </c>
      <c r="G106" s="2" t="n">
        <v>25</v>
      </c>
      <c r="H106" s="2" t="n">
        <v>33</v>
      </c>
      <c r="I106" s="1" t="n">
        <v>250</v>
      </c>
      <c r="J106" s="2" t="n">
        <v>333</v>
      </c>
      <c r="K106" s="3" t="n">
        <v>400</v>
      </c>
      <c r="L106" s="4" t="n">
        <v>12769</v>
      </c>
      <c r="M106" s="3" t="n">
        <v>73.3862853425291</v>
      </c>
      <c r="N106" s="12" t="n">
        <v>0.0157460983498901</v>
      </c>
      <c r="O106" s="4" t="n">
        <v>26.26</v>
      </c>
      <c r="P106" s="3" t="n">
        <v>122.675935148359</v>
      </c>
      <c r="Q106" s="4" t="n">
        <f aca="false">(P106-P$354)/P$355</f>
        <v>-1.02294095576311</v>
      </c>
      <c r="R106" s="4" t="n">
        <v>0.18</v>
      </c>
      <c r="S106" s="13" t="n">
        <f aca="false">P106/200000</f>
        <v>0.000613379675741796</v>
      </c>
      <c r="W106" s="4" t="n">
        <f aca="false">$X$2*($X$3*$G106+$X$4*$B106^$X$5*$N106^$X$6)*$S106^$X$7</f>
        <v>0.195109851416948</v>
      </c>
      <c r="X106" s="4" t="n">
        <f aca="false">W106/$R106</f>
        <v>1.08394361898304</v>
      </c>
      <c r="Z106" s="4" t="n">
        <f aca="false">$AA$2*$B106^$AA$3*$S106^$AA$4*($AA$5*$N106^$AA$6+$AA$7)</f>
        <v>0.192885543167252</v>
      </c>
      <c r="AA106" s="4" t="n">
        <f aca="false">Z106/$R106</f>
        <v>1.07158635092918</v>
      </c>
      <c r="AC106" s="4" t="n">
        <f aca="false">$AD$2*($AD$3+$AD$4*$F106/($N106*'Sem TS MC2020'!P98))*($AD$5*$G106+$AD$6*$B106/$N106)*'Sem TS MC2020'!R98*($J106-$M106)/($J106-$M106-$H106)</f>
        <v>0.161394022394871</v>
      </c>
      <c r="AD106" s="4" t="n">
        <f aca="false">AC106/$R106</f>
        <v>0.896633457749282</v>
      </c>
      <c r="AE106" s="24" t="n">
        <f aca="false">AC106-$R106</f>
        <v>-0.0186059776051293</v>
      </c>
      <c r="AF106" s="25" t="n">
        <f aca="false">1/AD106</f>
        <v>1.11528294127032</v>
      </c>
      <c r="AG106" s="25" t="n">
        <f aca="false">AC106*(14.068*'Sem TS MC2020'!$P98^-0.457)/$R106</f>
        <v>1.03403182642039</v>
      </c>
      <c r="AH106" s="25"/>
      <c r="AP106" s="4" t="n">
        <f aca="false">$AQ$2*($AQ$3+$AQ$4*$F106/($N106*'Sem TS MC2020'!P98))*($AQ$5*$G106+$AQ$6*$B106/$N106)*('Sem TS MC2020'!P98^$AQ$7/200000)*($J106-$M106)/($J106-$M106-$H106)+('Sem TS MC2020'!P98-$C106/$AQ$8)*($AQ$5*$G106+$AQ$6*$B106/$N106)/200000</f>
        <v>0.173886416274092</v>
      </c>
      <c r="AQ106" s="4" t="n">
        <f aca="false">AP106/$R106</f>
        <v>0.966035645967179</v>
      </c>
      <c r="AR106" s="24" t="n">
        <f aca="false">AP106-$R106</f>
        <v>-0.0061135837259077</v>
      </c>
    </row>
    <row r="107" customFormat="false" ht="14.25" hidden="false" customHeight="false" outlineLevel="0" collapsed="false">
      <c r="B107" s="2" t="n">
        <v>16</v>
      </c>
      <c r="C107" s="3" t="n">
        <v>500</v>
      </c>
      <c r="D107" s="3" t="n">
        <v>2</v>
      </c>
      <c r="E107" s="2" t="n">
        <v>168</v>
      </c>
      <c r="F107" s="4" t="n">
        <v>3.269</v>
      </c>
      <c r="G107" s="2" t="n">
        <v>25</v>
      </c>
      <c r="H107" s="2" t="n">
        <v>33</v>
      </c>
      <c r="I107" s="1" t="n">
        <v>250</v>
      </c>
      <c r="J107" s="2" t="n">
        <v>333</v>
      </c>
      <c r="K107" s="3" t="n">
        <v>400</v>
      </c>
      <c r="L107" s="4" t="n">
        <v>12769</v>
      </c>
      <c r="M107" s="3" t="n">
        <v>73.3862853425291</v>
      </c>
      <c r="N107" s="12" t="n">
        <v>0.0157460983498901</v>
      </c>
      <c r="O107" s="4" t="n">
        <v>29.175</v>
      </c>
      <c r="P107" s="3" t="n">
        <v>162.034060570714</v>
      </c>
      <c r="Q107" s="4" t="n">
        <f aca="false">(P107-P$354)/P$355</f>
        <v>-0.692972955976367</v>
      </c>
      <c r="R107" s="4" t="n">
        <v>0.2</v>
      </c>
      <c r="S107" s="13" t="n">
        <f aca="false">P107/200000</f>
        <v>0.000810170302853571</v>
      </c>
      <c r="W107" s="4" t="n">
        <f aca="false">$X$2*($X$3*$G107+$X$4*$B107^$X$5*$N107^$X$6)*$S107^$X$7</f>
        <v>0.231655043068456</v>
      </c>
      <c r="X107" s="4" t="n">
        <f aca="false">W107/$R107</f>
        <v>1.15827521534228</v>
      </c>
      <c r="Z107" s="4" t="n">
        <f aca="false">$AA$2*$B107^$AA$3*$S107^$AA$4*($AA$5*$N107^$AA$6+$AA$7)</f>
        <v>0.229716164084213</v>
      </c>
      <c r="AA107" s="4" t="n">
        <f aca="false">Z107/$R107</f>
        <v>1.14858082042107</v>
      </c>
      <c r="AC107" s="4" t="n">
        <f aca="false">$AD$2*($AD$3+$AD$4*$F107/($N107*'Sem TS MC2020'!P99))*($AD$5*$G107+$AD$6*$B107/$N107)*'Sem TS MC2020'!R99*($J107-$M107)/($J107-$M107-$H107)</f>
        <v>0.195457077572862</v>
      </c>
      <c r="AD107" s="4" t="n">
        <f aca="false">AC107/$R107</f>
        <v>0.977285387864311</v>
      </c>
      <c r="AE107" s="24" t="n">
        <f aca="false">AC107-$R107</f>
        <v>-0.00454292242713783</v>
      </c>
      <c r="AF107" s="25" t="n">
        <f aca="false">1/AD107</f>
        <v>1.02324255782165</v>
      </c>
      <c r="AG107" s="25" t="n">
        <f aca="false">AC107*(14.068*'Sem TS MC2020'!$P99^-0.457)/$R107</f>
        <v>1.07410835219977</v>
      </c>
      <c r="AH107" s="25"/>
      <c r="AP107" s="4" t="n">
        <f aca="false">$AQ$2*($AQ$3+$AQ$4*$F107/($N107*'Sem TS MC2020'!P99))*($AQ$5*$G107+$AQ$6*$B107/$N107)*('Sem TS MC2020'!P99^$AQ$7/200000)*($J107-$M107)/($J107-$M107-$H107)+('Sem TS MC2020'!P99-$C107/$AQ$8)*($AQ$5*$G107+$AQ$6*$B107/$N107)/200000</f>
        <v>0.209919202645505</v>
      </c>
      <c r="AQ107" s="4" t="n">
        <f aca="false">AP107/$R107</f>
        <v>1.04959601322752</v>
      </c>
      <c r="AR107" s="24" t="n">
        <f aca="false">AP107-$R107</f>
        <v>0.0099192026455045</v>
      </c>
    </row>
    <row r="108" customFormat="false" ht="14.25" hidden="false" customHeight="false" outlineLevel="0" collapsed="false">
      <c r="B108" s="2" t="n">
        <v>16</v>
      </c>
      <c r="C108" s="3" t="n">
        <v>500</v>
      </c>
      <c r="D108" s="3" t="n">
        <v>2</v>
      </c>
      <c r="E108" s="2" t="n">
        <v>168</v>
      </c>
      <c r="F108" s="4" t="n">
        <v>3.269</v>
      </c>
      <c r="G108" s="2" t="n">
        <v>25</v>
      </c>
      <c r="H108" s="2" t="n">
        <v>33</v>
      </c>
      <c r="I108" s="1" t="n">
        <v>250</v>
      </c>
      <c r="J108" s="2" t="n">
        <v>333</v>
      </c>
      <c r="K108" s="3" t="n">
        <v>400</v>
      </c>
      <c r="L108" s="4" t="n">
        <v>12769</v>
      </c>
      <c r="M108" s="3" t="n">
        <v>73.3862853425291</v>
      </c>
      <c r="N108" s="12" t="n">
        <v>0.0157460983498901</v>
      </c>
      <c r="O108" s="4" t="n">
        <v>32.09</v>
      </c>
      <c r="P108" s="3" t="n">
        <v>201.392185993069</v>
      </c>
      <c r="Q108" s="4" t="n">
        <f aca="false">(P108-P$354)/P$355</f>
        <v>-0.363004956189621</v>
      </c>
      <c r="R108" s="4" t="n">
        <v>0.23</v>
      </c>
      <c r="S108" s="13" t="n">
        <f aca="false">P108/200000</f>
        <v>0.00100696092996535</v>
      </c>
      <c r="W108" s="4" t="n">
        <f aca="false">$X$2*($X$3*$G108+$X$4*$B108^$X$5*$N108^$X$6)*$S108^$X$7</f>
        <v>0.264916468169404</v>
      </c>
      <c r="X108" s="4" t="n">
        <f aca="false">W108/$R108</f>
        <v>1.15181073117132</v>
      </c>
      <c r="Z108" s="4" t="n">
        <f aca="false">$AA$2*$B108^$AA$3*$S108^$AA$4*($AA$5*$N108^$AA$6+$AA$7)</f>
        <v>0.263328310203459</v>
      </c>
      <c r="AA108" s="4" t="n">
        <f aca="false">Z108/$R108</f>
        <v>1.14490569653678</v>
      </c>
      <c r="AC108" s="4" t="n">
        <f aca="false">$AD$2*($AD$3+$AD$4*$F108/($N108*'Sem TS MC2020'!P100))*($AD$5*$G108+$AD$6*$B108/$N108)*'Sem TS MC2020'!R100*($J108-$M108)/($J108-$M108-$H108)</f>
        <v>0.229520132750854</v>
      </c>
      <c r="AD108" s="4" t="n">
        <f aca="false">AC108/$R108</f>
        <v>0.997913620655886</v>
      </c>
      <c r="AE108" s="24" t="n">
        <f aca="false">AC108-$R108</f>
        <v>-0.000479867249146226</v>
      </c>
      <c r="AF108" s="25" t="n">
        <f aca="false">1/AD108</f>
        <v>1.00209074142383</v>
      </c>
      <c r="AG108" s="25" t="n">
        <f aca="false">AC108*(14.068*'Sem TS MC2020'!$P100^-0.457)/$R108</f>
        <v>1.05007094803438</v>
      </c>
      <c r="AH108" s="25"/>
      <c r="AP108" s="4" t="n">
        <f aca="false">$AQ$2*($AQ$3+$AQ$4*$F108/($N108*'Sem TS MC2020'!P100))*($AQ$5*$G108+$AQ$6*$B108/$N108)*('Sem TS MC2020'!P100^$AQ$7/200000)*($J108-$M108)/($J108-$M108-$H108)+('Sem TS MC2020'!P100-$C108/$AQ$8)*($AQ$5*$G108+$AQ$6*$B108/$N108)/200000</f>
        <v>0.245064901482055</v>
      </c>
      <c r="AQ108" s="4" t="n">
        <f aca="false">AP108/$R108</f>
        <v>1.06549957166111</v>
      </c>
      <c r="AR108" s="24" t="n">
        <f aca="false">AP108-$R108</f>
        <v>0.0150649014820553</v>
      </c>
    </row>
    <row r="109" customFormat="false" ht="14.25" hidden="false" customHeight="false" outlineLevel="0" collapsed="false">
      <c r="B109" s="2" t="n">
        <v>16</v>
      </c>
      <c r="C109" s="3" t="n">
        <v>500</v>
      </c>
      <c r="D109" s="3" t="n">
        <v>2</v>
      </c>
      <c r="E109" s="2" t="n">
        <v>168</v>
      </c>
      <c r="F109" s="4" t="n">
        <v>3.269</v>
      </c>
      <c r="G109" s="2" t="n">
        <v>25</v>
      </c>
      <c r="H109" s="2" t="n">
        <v>33</v>
      </c>
      <c r="I109" s="1" t="n">
        <v>250</v>
      </c>
      <c r="J109" s="2" t="n">
        <v>333</v>
      </c>
      <c r="K109" s="3" t="n">
        <v>400</v>
      </c>
      <c r="L109" s="4" t="n">
        <v>12769</v>
      </c>
      <c r="M109" s="3" t="n">
        <v>73.3862853425291</v>
      </c>
      <c r="N109" s="12" t="n">
        <v>0.0157460983498901</v>
      </c>
      <c r="O109" s="4" t="n">
        <v>35.01</v>
      </c>
      <c r="P109" s="3" t="n">
        <v>240.817821064519</v>
      </c>
      <c r="Q109" s="4" t="n">
        <f aca="false">(P109-P$354)/P$355</f>
        <v>-0.0324709735559005</v>
      </c>
      <c r="R109" s="4" t="n">
        <v>0.25</v>
      </c>
      <c r="S109" s="13" t="n">
        <f aca="false">P109/200000</f>
        <v>0.0012040891053226</v>
      </c>
      <c r="W109" s="4" t="n">
        <f aca="false">$X$2*($X$3*$G109+$X$4*$B109^$X$5*$N109^$X$6)*$S109^$X$7</f>
        <v>0.295812514116457</v>
      </c>
      <c r="X109" s="4" t="n">
        <f aca="false">W109/$R109</f>
        <v>1.18325005646583</v>
      </c>
      <c r="Z109" s="4" t="n">
        <f aca="false">$AA$2*$B109^$AA$3*$S109^$AA$4*($AA$5*$N109^$AA$6+$AA$7)</f>
        <v>0.294617977884095</v>
      </c>
      <c r="AA109" s="4" t="n">
        <f aca="false">Z109/$R109</f>
        <v>1.17847191153638</v>
      </c>
      <c r="AC109" s="4" t="n">
        <f aca="false">$AD$2*($AD$3+$AD$4*$F109/($N109*'Sem TS MC2020'!P101))*($AD$5*$G109+$AD$6*$B109/$N109)*'Sem TS MC2020'!R101*($J109-$M109)/($J109-$M109-$H109)</f>
        <v>0.263641615124691</v>
      </c>
      <c r="AD109" s="4" t="n">
        <f aca="false">AC109/$R109</f>
        <v>1.05456646049876</v>
      </c>
      <c r="AE109" s="24" t="n">
        <f aca="false">AC109-$R109</f>
        <v>0.013641615124691</v>
      </c>
      <c r="AF109" s="25" t="n">
        <f aca="false">1/AD109</f>
        <v>0.948256973322519</v>
      </c>
      <c r="AG109" s="25" t="n">
        <f aca="false">AC109*(14.068*'Sem TS MC2020'!$P101^-0.457)/$R109</f>
        <v>1.0663869303792</v>
      </c>
      <c r="AH109" s="25"/>
      <c r="AP109" s="4" t="n">
        <f aca="false">$AQ$2*($AQ$3+$AQ$4*$F109/($N109*'Sem TS MC2020'!P101))*($AQ$5*$G109+$AQ$6*$B109/$N109)*('Sem TS MC2020'!P101^$AQ$7/200000)*($J109-$M109)/($J109-$M109-$H109)+('Sem TS MC2020'!P101-$C109/$AQ$8)*($AQ$5*$G109+$AQ$6*$B109/$N109)/200000</f>
        <v>0.27950441759998</v>
      </c>
      <c r="AQ109" s="4" t="n">
        <f aca="false">AP109/$R109</f>
        <v>1.11801767039992</v>
      </c>
      <c r="AR109" s="24" t="n">
        <f aca="false">AP109-$R109</f>
        <v>0.0295044175999805</v>
      </c>
    </row>
    <row r="110" customFormat="false" ht="14.25" hidden="false" customHeight="false" outlineLevel="0" collapsed="false">
      <c r="B110" s="2" t="n">
        <v>16</v>
      </c>
      <c r="C110" s="3" t="n">
        <v>500</v>
      </c>
      <c r="D110" s="3" t="n">
        <v>2</v>
      </c>
      <c r="E110" s="2" t="n">
        <v>168</v>
      </c>
      <c r="F110" s="4" t="n">
        <v>3.269</v>
      </c>
      <c r="G110" s="2" t="n">
        <v>25</v>
      </c>
      <c r="H110" s="2" t="n">
        <v>33</v>
      </c>
      <c r="I110" s="1" t="n">
        <v>250</v>
      </c>
      <c r="J110" s="2" t="n">
        <v>333</v>
      </c>
      <c r="K110" s="3" t="n">
        <v>400</v>
      </c>
      <c r="L110" s="4" t="n">
        <v>12769</v>
      </c>
      <c r="M110" s="3" t="n">
        <v>73.3862853425291</v>
      </c>
      <c r="N110" s="12" t="n">
        <v>0.0157460983498901</v>
      </c>
      <c r="O110" s="4" t="n">
        <v>37.93</v>
      </c>
      <c r="P110" s="3" t="n">
        <v>280.24345613597</v>
      </c>
      <c r="Q110" s="4" t="n">
        <f aca="false">(P110-P$354)/P$355</f>
        <v>0.29806300907782</v>
      </c>
      <c r="R110" s="4" t="n">
        <v>0.3</v>
      </c>
      <c r="S110" s="13" t="n">
        <f aca="false">P110/200000</f>
        <v>0.00140121728067985</v>
      </c>
      <c r="W110" s="4" t="n">
        <f aca="false">$X$2*($X$3*$G110+$X$4*$B110^$X$5*$N110^$X$6)*$S110^$X$7</f>
        <v>0.324820966149906</v>
      </c>
      <c r="X110" s="4" t="n">
        <f aca="false">W110/$R110</f>
        <v>1.08273655383302</v>
      </c>
      <c r="Z110" s="4" t="n">
        <f aca="false">$AA$2*$B110^$AA$3*$S110^$AA$4*($AA$5*$N110^$AA$6+$AA$7)</f>
        <v>0.324049287646129</v>
      </c>
      <c r="AA110" s="4" t="n">
        <f aca="false">Z110/$R110</f>
        <v>1.08016429215376</v>
      </c>
      <c r="AC110" s="4" t="n">
        <f aca="false">$AD$2*($AD$3+$AD$4*$F110/($N110*'Sem TS MC2020'!P102))*($AD$5*$G110+$AD$6*$B110/$N110)*'Sem TS MC2020'!R102*($J110-$M110)/($J110-$M110-$H110)</f>
        <v>0.297763097498528</v>
      </c>
      <c r="AD110" s="4" t="n">
        <f aca="false">AC110/$R110</f>
        <v>0.992543658328427</v>
      </c>
      <c r="AE110" s="24" t="n">
        <f aca="false">AC110-$R110</f>
        <v>-0.00223690250147196</v>
      </c>
      <c r="AF110" s="25" t="n">
        <f aca="false">1/AD110</f>
        <v>1.00751235636741</v>
      </c>
      <c r="AG110" s="25" t="n">
        <f aca="false">AC110*(14.068*'Sem TS MC2020'!$P102^-0.457)/$R110</f>
        <v>0.96758942500495</v>
      </c>
      <c r="AH110" s="25"/>
      <c r="AP110" s="4" t="n">
        <f aca="false">$AQ$2*($AQ$3+$AQ$4*$F110/($N110*'Sem TS MC2020'!P102))*($AQ$5*$G110+$AQ$6*$B110/$N110)*('Sem TS MC2020'!P102^$AQ$7/200000)*($J110-$M110)/($J110-$M110-$H110)+('Sem TS MC2020'!P102-$C110/$AQ$8)*($AQ$5*$G110+$AQ$6*$B110/$N110)/200000</f>
        <v>0.313272948375741</v>
      </c>
      <c r="AQ110" s="4" t="n">
        <f aca="false">AP110/$R110</f>
        <v>1.04424316125247</v>
      </c>
      <c r="AR110" s="24" t="n">
        <f aca="false">AP110-$R110</f>
        <v>0.0132729483757408</v>
      </c>
    </row>
    <row r="111" customFormat="false" ht="14.25" hidden="false" customHeight="false" outlineLevel="0" collapsed="false">
      <c r="B111" s="2" t="n">
        <v>16</v>
      </c>
      <c r="C111" s="3" t="n">
        <v>500</v>
      </c>
      <c r="D111" s="3" t="n">
        <v>2</v>
      </c>
      <c r="E111" s="2" t="n">
        <v>168</v>
      </c>
      <c r="F111" s="4" t="n">
        <v>3.269</v>
      </c>
      <c r="G111" s="2" t="n">
        <v>25</v>
      </c>
      <c r="H111" s="2" t="n">
        <v>33</v>
      </c>
      <c r="I111" s="1" t="n">
        <v>250</v>
      </c>
      <c r="J111" s="2" t="n">
        <v>333</v>
      </c>
      <c r="K111" s="3" t="n">
        <v>400</v>
      </c>
      <c r="L111" s="4" t="n">
        <v>12769</v>
      </c>
      <c r="M111" s="3" t="n">
        <v>73.3862853425291</v>
      </c>
      <c r="N111" s="12" t="n">
        <v>0.0157460983498901</v>
      </c>
      <c r="O111" s="4" t="n">
        <v>40.84</v>
      </c>
      <c r="P111" s="3" t="n">
        <v>319.53407190923</v>
      </c>
      <c r="Q111" s="4" t="n">
        <f aca="false">(P111-P$354)/P$355</f>
        <v>0.627465026017592</v>
      </c>
      <c r="R111" s="4" t="n">
        <v>0.3</v>
      </c>
      <c r="S111" s="13" t="n">
        <f aca="false">P111/200000</f>
        <v>0.00159767035954615</v>
      </c>
      <c r="W111" s="4" t="n">
        <f aca="false">$X$2*($X$3*$G111+$X$4*$B111^$X$5*$N111^$X$6)*$S111^$X$7</f>
        <v>0.352210061861838</v>
      </c>
      <c r="X111" s="4" t="n">
        <f aca="false">W111/$R111</f>
        <v>1.17403353953946</v>
      </c>
      <c r="Z111" s="4" t="n">
        <f aca="false">$AA$2*$B111^$AA$3*$S111^$AA$4*($AA$5*$N111^$AA$6+$AA$7)</f>
        <v>0.351880803159311</v>
      </c>
      <c r="AA111" s="4" t="n">
        <f aca="false">Z111/$R111</f>
        <v>1.17293601053104</v>
      </c>
      <c r="AC111" s="4" t="n">
        <f aca="false">$AD$2*($AD$3+$AD$4*$F111/($N111*'Sem TS MC2020'!P103))*($AD$5*$G111+$AD$6*$B111/$N111)*'Sem TS MC2020'!R103*($J111-$M111)/($J111-$M111-$H111)</f>
        <v>0.331767725480674</v>
      </c>
      <c r="AD111" s="4" t="n">
        <f aca="false">AC111/$R111</f>
        <v>1.10589241826891</v>
      </c>
      <c r="AE111" s="24" t="n">
        <f aca="false">AC111-$R111</f>
        <v>0.0317677254806741</v>
      </c>
      <c r="AF111" s="25" t="n">
        <f aca="false">1/AD111</f>
        <v>0.904247089029989</v>
      </c>
      <c r="AG111" s="25" t="n">
        <f aca="false">AC111*(14.068*'Sem TS MC2020'!$P103^-0.457)/$R111</f>
        <v>1.04227747922996</v>
      </c>
      <c r="AH111" s="25"/>
      <c r="AP111" s="4" t="n">
        <f aca="false">$AQ$2*($AQ$3+$AQ$4*$F111/($N111*'Sem TS MC2020'!P103))*($AQ$5*$G111+$AQ$6*$B111/$N111)*('Sem TS MC2020'!P103^$AQ$7/200000)*($J111-$M111)/($J111-$M111-$H111)+('Sem TS MC2020'!P103-$C111/$AQ$8)*($AQ$5*$G111+$AQ$6*$B111/$N111)/200000</f>
        <v>0.346334681660198</v>
      </c>
      <c r="AQ111" s="4" t="n">
        <f aca="false">AP111/$R111</f>
        <v>1.15444893886733</v>
      </c>
      <c r="AR111" s="24" t="n">
        <f aca="false">AP111-$R111</f>
        <v>0.0463346816601984</v>
      </c>
    </row>
    <row r="112" customFormat="false" ht="14.25" hidden="false" customHeight="false" outlineLevel="0" collapsed="false">
      <c r="A112" s="1" t="s">
        <v>45</v>
      </c>
      <c r="B112" s="2" t="n">
        <v>16</v>
      </c>
      <c r="C112" s="3" t="n">
        <v>500</v>
      </c>
      <c r="D112" s="3" t="n">
        <v>2</v>
      </c>
      <c r="E112" s="2" t="n">
        <v>168</v>
      </c>
      <c r="F112" s="4" t="n">
        <v>3.269</v>
      </c>
      <c r="G112" s="2" t="n">
        <v>25</v>
      </c>
      <c r="H112" s="2" t="n">
        <v>33</v>
      </c>
      <c r="I112" s="1" t="n">
        <v>250</v>
      </c>
      <c r="J112" s="2" t="n">
        <v>333</v>
      </c>
      <c r="K112" s="3" t="n">
        <v>400</v>
      </c>
      <c r="L112" s="4" t="n">
        <v>12769</v>
      </c>
      <c r="M112" s="3" t="n">
        <v>73.3862853425291</v>
      </c>
      <c r="N112" s="12" t="n">
        <v>0.0157460983498901</v>
      </c>
      <c r="O112" s="4" t="n">
        <v>20.42</v>
      </c>
      <c r="P112" s="3" t="n">
        <v>46.1431193311785</v>
      </c>
      <c r="Q112" s="4" t="n">
        <f aca="false">(P112-P$354)/P$355</f>
        <v>-1.66457161988257</v>
      </c>
      <c r="R112" s="4" t="n">
        <v>0.15</v>
      </c>
      <c r="S112" s="13" t="n">
        <f aca="false">P112/200000</f>
        <v>0.000230715596655893</v>
      </c>
      <c r="W112" s="4" t="n">
        <f aca="false">$X$2*($X$3*$G112+$X$4*$B112^$X$5*$N112^$X$6)*$S112^$X$7</f>
        <v>0.106725611191628</v>
      </c>
      <c r="X112" s="4" t="n">
        <f aca="false">W112/$R112</f>
        <v>0.711504074610855</v>
      </c>
      <c r="Z112" s="4" t="n">
        <f aca="false">$AA$2*$B112^$AA$3*$S112^$AA$4*($AA$5*$N112^$AA$6+$AA$7)</f>
        <v>0.104380158994087</v>
      </c>
      <c r="AA112" s="4" t="n">
        <f aca="false">Z112/$R112</f>
        <v>0.695867726627244</v>
      </c>
      <c r="AC112" s="4" t="n">
        <f aca="false">$AD$2*($AD$3+$AD$4*$F112/($N112*'Sem TS MC2020'!P104))*($AD$5*$G112+$AD$6*$B112/$N112)*'Sem TS MC2020'!R104*($J112-$M112)/($J112-$M112-$H112)</f>
        <v>0.0931510576471963</v>
      </c>
      <c r="AD112" s="4" t="n">
        <f aca="false">AC112/$R112</f>
        <v>0.621007050981309</v>
      </c>
      <c r="AE112" s="24" t="n">
        <f aca="false">AC112-$R112</f>
        <v>-0.0568489423528037</v>
      </c>
      <c r="AF112" s="25" t="n">
        <f aca="false">1/AD112</f>
        <v>1.61028767454381</v>
      </c>
      <c r="AG112" s="25" t="n">
        <f aca="false">AC112*(14.068*'Sem TS MC2020'!$P104^-0.457)/$R112</f>
        <v>0.803410886995321</v>
      </c>
      <c r="AH112" s="25"/>
      <c r="AP112" s="4" t="n">
        <f aca="false">$AQ$2*($AQ$3+$AQ$4*$F112/($N112*'Sem TS MC2020'!P104))*($AQ$5*$G112+$AQ$6*$B112/$N112)*('Sem TS MC2020'!P104^$AQ$7/200000)*($J112-$M112)/($J112-$M112-$H112)+('Sem TS MC2020'!P104-$C112/$AQ$8)*($AQ$5*$G112+$AQ$6*$B112/$N112)/200000</f>
        <v>0.0983222715772575</v>
      </c>
      <c r="AQ112" s="4" t="n">
        <f aca="false">AP112/$R112</f>
        <v>0.65548181051505</v>
      </c>
      <c r="AR112" s="24" t="n">
        <f aca="false">AP112-$R112</f>
        <v>-0.0516777284227425</v>
      </c>
    </row>
    <row r="113" customFormat="false" ht="14.25" hidden="false" customHeight="false" outlineLevel="0" collapsed="false">
      <c r="B113" s="2" t="n">
        <v>16</v>
      </c>
      <c r="C113" s="3" t="n">
        <v>500</v>
      </c>
      <c r="D113" s="3" t="n">
        <v>2</v>
      </c>
      <c r="E113" s="2" t="n">
        <v>168</v>
      </c>
      <c r="F113" s="4" t="n">
        <v>3.269</v>
      </c>
      <c r="G113" s="2" t="n">
        <v>25</v>
      </c>
      <c r="H113" s="2" t="n">
        <v>33</v>
      </c>
      <c r="I113" s="1" t="n">
        <v>250</v>
      </c>
      <c r="J113" s="2" t="n">
        <v>333</v>
      </c>
      <c r="K113" s="3" t="n">
        <v>400</v>
      </c>
      <c r="L113" s="4" t="n">
        <v>12769</v>
      </c>
      <c r="M113" s="3" t="n">
        <v>73.3862853425291</v>
      </c>
      <c r="N113" s="12" t="n">
        <v>0.0157460983498901</v>
      </c>
      <c r="O113" s="4" t="n">
        <v>23.34</v>
      </c>
      <c r="P113" s="3" t="n">
        <v>83.250300076909</v>
      </c>
      <c r="Q113" s="4" t="n">
        <f aca="false">(P113-P$354)/P$355</f>
        <v>-1.35347493839683</v>
      </c>
      <c r="R113" s="4" t="n">
        <v>0.18</v>
      </c>
      <c r="S113" s="13" t="n">
        <f aca="false">P113/200000</f>
        <v>0.000416251500384545</v>
      </c>
      <c r="W113" s="4" t="n">
        <f aca="false">$X$2*($X$3*$G113+$X$4*$B113^$X$5*$N113^$X$6)*$S113^$X$7</f>
        <v>0.153600526986102</v>
      </c>
      <c r="X113" s="4" t="n">
        <f aca="false">W113/$R113</f>
        <v>0.853336261033902</v>
      </c>
      <c r="Z113" s="4" t="n">
        <f aca="false">$AA$2*$B113^$AA$3*$S113^$AA$4*($AA$5*$N113^$AA$6+$AA$7)</f>
        <v>0.151203232770735</v>
      </c>
      <c r="AA113" s="4" t="n">
        <f aca="false">Z113/$R113</f>
        <v>0.840017959837418</v>
      </c>
      <c r="AC113" s="4" t="n">
        <f aca="false">$AD$2*($AD$3+$AD$4*$F113/($N113*'Sem TS MC2020'!P105))*($AD$5*$G113+$AD$6*$B113/$N113)*'Sem TS MC2020'!R105*($J113-$M113)/($J113-$M113-$H113)</f>
        <v>0.127272540021034</v>
      </c>
      <c r="AD113" s="4" t="n">
        <f aca="false">AC113/$R113</f>
        <v>0.70706966678352</v>
      </c>
      <c r="AE113" s="24" t="n">
        <f aca="false">AC113-$R113</f>
        <v>-0.0527274599789665</v>
      </c>
      <c r="AF113" s="25" t="n">
        <f aca="false">1/AD113</f>
        <v>1.41428779507545</v>
      </c>
      <c r="AG113" s="25" t="n">
        <f aca="false">AC113*(14.068*'Sem TS MC2020'!$P105^-0.457)/$R113</f>
        <v>0.860551311256929</v>
      </c>
      <c r="AH113" s="25"/>
      <c r="AP113" s="4" t="n">
        <f aca="false">$AQ$2*($AQ$3+$AQ$4*$F113/($N113*'Sem TS MC2020'!P105))*($AQ$5*$G113+$AQ$6*$B113/$N113)*('Sem TS MC2020'!P105^$AQ$7/200000)*($J113-$M113)/($J113-$M113-$H113)+('Sem TS MC2020'!P105-$C113/$AQ$8)*($AQ$5*$G113+$AQ$6*$B113/$N113)/200000</f>
        <v>0.136740690363875</v>
      </c>
      <c r="AQ113" s="4" t="n">
        <f aca="false">AP113/$R113</f>
        <v>0.759670502021531</v>
      </c>
      <c r="AR113" s="24" t="n">
        <f aca="false">AP113-$R113</f>
        <v>-0.0432593096361245</v>
      </c>
    </row>
    <row r="114" customFormat="false" ht="14.25" hidden="false" customHeight="false" outlineLevel="0" collapsed="false">
      <c r="B114" s="2" t="n">
        <v>16</v>
      </c>
      <c r="C114" s="3" t="n">
        <v>500</v>
      </c>
      <c r="D114" s="3" t="n">
        <v>2</v>
      </c>
      <c r="E114" s="2" t="n">
        <v>168</v>
      </c>
      <c r="F114" s="4" t="n">
        <v>3.269</v>
      </c>
      <c r="G114" s="2" t="n">
        <v>25</v>
      </c>
      <c r="H114" s="2" t="n">
        <v>33</v>
      </c>
      <c r="I114" s="1" t="n">
        <v>250</v>
      </c>
      <c r="J114" s="2" t="n">
        <v>333</v>
      </c>
      <c r="K114" s="3" t="n">
        <v>400</v>
      </c>
      <c r="L114" s="4" t="n">
        <v>12769</v>
      </c>
      <c r="M114" s="3" t="n">
        <v>73.3862853425291</v>
      </c>
      <c r="N114" s="12" t="n">
        <v>0.0157460983498901</v>
      </c>
      <c r="O114" s="4" t="n">
        <v>26.26</v>
      </c>
      <c r="P114" s="3" t="n">
        <v>122.675935148359</v>
      </c>
      <c r="Q114" s="4" t="n">
        <f aca="false">(P114-P$354)/P$355</f>
        <v>-1.02294095576311</v>
      </c>
      <c r="R114" s="4" t="n">
        <v>0.18</v>
      </c>
      <c r="S114" s="13" t="n">
        <f aca="false">P114/200000</f>
        <v>0.000613379675741796</v>
      </c>
      <c r="W114" s="4" t="n">
        <f aca="false">$X$2*($X$3*$G114+$X$4*$B114^$X$5*$N114^$X$6)*$S114^$X$7</f>
        <v>0.195109851416948</v>
      </c>
      <c r="X114" s="4" t="n">
        <f aca="false">W114/$R114</f>
        <v>1.08394361898304</v>
      </c>
      <c r="Z114" s="4" t="n">
        <f aca="false">$AA$2*$B114^$AA$3*$S114^$AA$4*($AA$5*$N114^$AA$6+$AA$7)</f>
        <v>0.192885543167252</v>
      </c>
      <c r="AA114" s="4" t="n">
        <f aca="false">Z114/$R114</f>
        <v>1.07158635092918</v>
      </c>
      <c r="AC114" s="4" t="n">
        <f aca="false">$AD$2*($AD$3+$AD$4*$F114/($N114*'Sem TS MC2020'!P106))*($AD$5*$G114+$AD$6*$B114/$N114)*'Sem TS MC2020'!R106*($J114-$M114)/($J114-$M114-$H114)</f>
        <v>0.161394022394871</v>
      </c>
      <c r="AD114" s="4" t="n">
        <f aca="false">AC114/$R114</f>
        <v>0.896633457749282</v>
      </c>
      <c r="AE114" s="24" t="n">
        <f aca="false">AC114-$R114</f>
        <v>-0.0186059776051293</v>
      </c>
      <c r="AF114" s="25" t="n">
        <f aca="false">1/AD114</f>
        <v>1.11528294127032</v>
      </c>
      <c r="AG114" s="25" t="n">
        <f aca="false">AC114*(14.068*'Sem TS MC2020'!$P106^-0.457)/$R114</f>
        <v>1.03403182642039</v>
      </c>
      <c r="AH114" s="25"/>
      <c r="AP114" s="4" t="n">
        <f aca="false">$AQ$2*($AQ$3+$AQ$4*$F114/($N114*'Sem TS MC2020'!P106))*($AQ$5*$G114+$AQ$6*$B114/$N114)*('Sem TS MC2020'!P106^$AQ$7/200000)*($J114-$M114)/($J114-$M114-$H114)+('Sem TS MC2020'!P106-$C114/$AQ$8)*($AQ$5*$G114+$AQ$6*$B114/$N114)/200000</f>
        <v>0.173886416274092</v>
      </c>
      <c r="AQ114" s="4" t="n">
        <f aca="false">AP114/$R114</f>
        <v>0.966035645967179</v>
      </c>
      <c r="AR114" s="24" t="n">
        <f aca="false">AP114-$R114</f>
        <v>-0.0061135837259077</v>
      </c>
    </row>
    <row r="115" customFormat="false" ht="14.25" hidden="false" customHeight="false" outlineLevel="0" collapsed="false">
      <c r="B115" s="2" t="n">
        <v>16</v>
      </c>
      <c r="C115" s="3" t="n">
        <v>500</v>
      </c>
      <c r="D115" s="3" t="n">
        <v>2</v>
      </c>
      <c r="E115" s="2" t="n">
        <v>168</v>
      </c>
      <c r="F115" s="4" t="n">
        <v>3.269</v>
      </c>
      <c r="G115" s="2" t="n">
        <v>25</v>
      </c>
      <c r="H115" s="2" t="n">
        <v>33</v>
      </c>
      <c r="I115" s="1" t="n">
        <v>250</v>
      </c>
      <c r="J115" s="2" t="n">
        <v>333</v>
      </c>
      <c r="K115" s="3" t="n">
        <v>400</v>
      </c>
      <c r="L115" s="4" t="n">
        <v>12769</v>
      </c>
      <c r="M115" s="3" t="n">
        <v>73.3862853425291</v>
      </c>
      <c r="N115" s="12" t="n">
        <v>0.0157460983498901</v>
      </c>
      <c r="O115" s="4" t="n">
        <v>29.175</v>
      </c>
      <c r="P115" s="3" t="n">
        <v>162.034060570714</v>
      </c>
      <c r="Q115" s="4" t="n">
        <f aca="false">(P115-P$354)/P$355</f>
        <v>-0.692972955976367</v>
      </c>
      <c r="R115" s="4" t="n">
        <v>0.25</v>
      </c>
      <c r="S115" s="13" t="n">
        <f aca="false">P115/200000</f>
        <v>0.000810170302853571</v>
      </c>
      <c r="W115" s="4" t="n">
        <f aca="false">$X$2*($X$3*$G115+$X$4*$B115^$X$5*$N115^$X$6)*$S115^$X$7</f>
        <v>0.231655043068456</v>
      </c>
      <c r="X115" s="4" t="n">
        <f aca="false">W115/$R115</f>
        <v>0.926620172273823</v>
      </c>
      <c r="Z115" s="4" t="n">
        <f aca="false">$AA$2*$B115^$AA$3*$S115^$AA$4*($AA$5*$N115^$AA$6+$AA$7)</f>
        <v>0.229716164084213</v>
      </c>
      <c r="AA115" s="4" t="n">
        <f aca="false">Z115/$R115</f>
        <v>0.918864656336853</v>
      </c>
      <c r="AC115" s="4" t="n">
        <f aca="false">$AD$2*($AD$3+$AD$4*$F115/($N115*'Sem TS MC2020'!P107))*($AD$5*$G115+$AD$6*$B115/$N115)*'Sem TS MC2020'!R107*($J115-$M115)/($J115-$M115-$H115)</f>
        <v>0.195457077572862</v>
      </c>
      <c r="AD115" s="4" t="n">
        <f aca="false">AC115/$R115</f>
        <v>0.781828310291449</v>
      </c>
      <c r="AE115" s="24" t="n">
        <f aca="false">AC115-$R115</f>
        <v>-0.0545429224271378</v>
      </c>
      <c r="AF115" s="25" t="n">
        <f aca="false">1/AD115</f>
        <v>1.27905319727706</v>
      </c>
      <c r="AG115" s="25" t="n">
        <f aca="false">AC115*(14.068*'Sem TS MC2020'!$P107^-0.457)/$R115</f>
        <v>0.859286681759812</v>
      </c>
      <c r="AH115" s="25"/>
      <c r="AP115" s="4" t="n">
        <f aca="false">$AQ$2*($AQ$3+$AQ$4*$F115/($N115*'Sem TS MC2020'!P107))*($AQ$5*$G115+$AQ$6*$B115/$N115)*('Sem TS MC2020'!P107^$AQ$7/200000)*($J115-$M115)/($J115-$M115-$H115)+('Sem TS MC2020'!P107-$C115/$AQ$8)*($AQ$5*$G115+$AQ$6*$B115/$N115)/200000</f>
        <v>0.209919202645505</v>
      </c>
      <c r="AQ115" s="4" t="n">
        <f aca="false">AP115/$R115</f>
        <v>0.839676810582018</v>
      </c>
      <c r="AR115" s="24" t="n">
        <f aca="false">AP115-$R115</f>
        <v>-0.0400807973544955</v>
      </c>
    </row>
    <row r="116" customFormat="false" ht="14.25" hidden="false" customHeight="false" outlineLevel="0" collapsed="false">
      <c r="B116" s="2" t="n">
        <v>16</v>
      </c>
      <c r="C116" s="3" t="n">
        <v>500</v>
      </c>
      <c r="D116" s="3" t="n">
        <v>2</v>
      </c>
      <c r="E116" s="2" t="n">
        <v>168</v>
      </c>
      <c r="F116" s="4" t="n">
        <v>3.269</v>
      </c>
      <c r="G116" s="2" t="n">
        <v>25</v>
      </c>
      <c r="H116" s="2" t="n">
        <v>33</v>
      </c>
      <c r="I116" s="1" t="n">
        <v>250</v>
      </c>
      <c r="J116" s="2" t="n">
        <v>333</v>
      </c>
      <c r="K116" s="3" t="n">
        <v>400</v>
      </c>
      <c r="L116" s="4" t="n">
        <v>12769</v>
      </c>
      <c r="M116" s="3" t="n">
        <v>73.3862853425291</v>
      </c>
      <c r="N116" s="12" t="n">
        <v>0.0157460983498901</v>
      </c>
      <c r="O116" s="4" t="n">
        <v>32.09</v>
      </c>
      <c r="P116" s="3" t="n">
        <v>201.392185993069</v>
      </c>
      <c r="Q116" s="4" t="n">
        <f aca="false">(P116-P$354)/P$355</f>
        <v>-0.363004956189621</v>
      </c>
      <c r="R116" s="4" t="n">
        <v>0.28</v>
      </c>
      <c r="S116" s="13" t="n">
        <f aca="false">P116/200000</f>
        <v>0.00100696092996535</v>
      </c>
      <c r="W116" s="4" t="n">
        <f aca="false">$X$2*($X$3*$G116+$X$4*$B116^$X$5*$N116^$X$6)*$S116^$X$7</f>
        <v>0.264916468169404</v>
      </c>
      <c r="X116" s="4" t="n">
        <f aca="false">W116/$R116</f>
        <v>0.946130243462158</v>
      </c>
      <c r="Z116" s="4" t="n">
        <f aca="false">$AA$2*$B116^$AA$3*$S116^$AA$4*($AA$5*$N116^$AA$6+$AA$7)</f>
        <v>0.263328310203459</v>
      </c>
      <c r="AA116" s="4" t="n">
        <f aca="false">Z116/$R116</f>
        <v>0.940458250726638</v>
      </c>
      <c r="AC116" s="4" t="n">
        <f aca="false">$AD$2*($AD$3+$AD$4*$F116/($N116*'Sem TS MC2020'!P108))*($AD$5*$G116+$AD$6*$B116/$N116)*'Sem TS MC2020'!R108*($J116-$M116)/($J116-$M116-$H116)</f>
        <v>0.229520132750854</v>
      </c>
      <c r="AD116" s="4" t="n">
        <f aca="false">AC116/$R116</f>
        <v>0.819714759824478</v>
      </c>
      <c r="AE116" s="24" t="n">
        <f aca="false">AC116-$R116</f>
        <v>-0.0504798672491462</v>
      </c>
      <c r="AF116" s="25" t="n">
        <f aca="false">1/AD116</f>
        <v>1.21993655477684</v>
      </c>
      <c r="AG116" s="25" t="n">
        <f aca="false">AC116*(14.068*'Sem TS MC2020'!$P108^-0.457)/$R116</f>
        <v>0.862558278742529</v>
      </c>
      <c r="AH116" s="25"/>
      <c r="AP116" s="4" t="n">
        <f aca="false">$AQ$2*($AQ$3+$AQ$4*$F116/($N116*'Sem TS MC2020'!P108))*($AQ$5*$G116+$AQ$6*$B116/$N116)*('Sem TS MC2020'!P108^$AQ$7/200000)*($J116-$M116)/($J116-$M116-$H116)+('Sem TS MC2020'!P108-$C116/$AQ$8)*($AQ$5*$G116+$AQ$6*$B116/$N116)/200000</f>
        <v>0.245064901482055</v>
      </c>
      <c r="AQ116" s="4" t="n">
        <f aca="false">AP116/$R116</f>
        <v>0.87523179100734</v>
      </c>
      <c r="AR116" s="24" t="n">
        <f aca="false">AP116-$R116</f>
        <v>-0.0349350985179447</v>
      </c>
    </row>
    <row r="117" customFormat="false" ht="14.25" hidden="false" customHeight="false" outlineLevel="0" collapsed="false">
      <c r="B117" s="2" t="n">
        <v>16</v>
      </c>
      <c r="C117" s="3" t="n">
        <v>500</v>
      </c>
      <c r="D117" s="3" t="n">
        <v>2</v>
      </c>
      <c r="E117" s="2" t="n">
        <v>168</v>
      </c>
      <c r="F117" s="4" t="n">
        <v>3.269</v>
      </c>
      <c r="G117" s="2" t="n">
        <v>25</v>
      </c>
      <c r="H117" s="2" t="n">
        <v>33</v>
      </c>
      <c r="I117" s="1" t="n">
        <v>250</v>
      </c>
      <c r="J117" s="2" t="n">
        <v>333</v>
      </c>
      <c r="K117" s="3" t="n">
        <v>400</v>
      </c>
      <c r="L117" s="4" t="n">
        <v>12769</v>
      </c>
      <c r="M117" s="3" t="n">
        <v>73.3862853425291</v>
      </c>
      <c r="N117" s="12" t="n">
        <v>0.0157460983498901</v>
      </c>
      <c r="O117" s="4" t="n">
        <v>35.01</v>
      </c>
      <c r="P117" s="3" t="n">
        <v>240.817821064519</v>
      </c>
      <c r="Q117" s="4" t="n">
        <f aca="false">(P117-P$354)/P$355</f>
        <v>-0.0324709735559005</v>
      </c>
      <c r="R117" s="4" t="n">
        <v>0.33</v>
      </c>
      <c r="S117" s="13" t="n">
        <f aca="false">P117/200000</f>
        <v>0.0012040891053226</v>
      </c>
      <c r="W117" s="4" t="n">
        <f aca="false">$X$2*($X$3*$G117+$X$4*$B117^$X$5*$N117^$X$6)*$S117^$X$7</f>
        <v>0.295812514116457</v>
      </c>
      <c r="X117" s="4" t="n">
        <f aca="false">W117/$R117</f>
        <v>0.896401557928657</v>
      </c>
      <c r="Z117" s="4" t="n">
        <f aca="false">$AA$2*$B117^$AA$3*$S117^$AA$4*($AA$5*$N117^$AA$6+$AA$7)</f>
        <v>0.294617977884095</v>
      </c>
      <c r="AA117" s="4" t="n">
        <f aca="false">Z117/$R117</f>
        <v>0.892781751163923</v>
      </c>
      <c r="AC117" s="4" t="n">
        <f aca="false">$AD$2*($AD$3+$AD$4*$F117/($N117*'Sem TS MC2020'!P109))*($AD$5*$G117+$AD$6*$B117/$N117)*'Sem TS MC2020'!R109*($J117-$M117)/($J117-$M117-$H117)</f>
        <v>0.263641615124691</v>
      </c>
      <c r="AD117" s="4" t="n">
        <f aca="false">AC117/$R117</f>
        <v>0.798913985226336</v>
      </c>
      <c r="AE117" s="24" t="n">
        <f aca="false">AC117-$R117</f>
        <v>-0.066358384875309</v>
      </c>
      <c r="AF117" s="25" t="n">
        <f aca="false">1/AD117</f>
        <v>1.25169920478573</v>
      </c>
      <c r="AG117" s="25" t="n">
        <f aca="false">AC117*(14.068*'Sem TS MC2020'!$P109^-0.457)/$R117</f>
        <v>0.807868886650907</v>
      </c>
      <c r="AH117" s="25"/>
      <c r="AP117" s="4" t="n">
        <f aca="false">$AQ$2*($AQ$3+$AQ$4*$F117/($N117*'Sem TS MC2020'!P109))*($AQ$5*$G117+$AQ$6*$B117/$N117)*('Sem TS MC2020'!P109^$AQ$7/200000)*($J117-$M117)/($J117-$M117-$H117)+('Sem TS MC2020'!P109-$C117/$AQ$8)*($AQ$5*$G117+$AQ$6*$B117/$N117)/200000</f>
        <v>0.27950441759998</v>
      </c>
      <c r="AQ117" s="4" t="n">
        <f aca="false">AP117/$R117</f>
        <v>0.846983083636304</v>
      </c>
      <c r="AR117" s="24" t="n">
        <f aca="false">AP117-$R117</f>
        <v>-0.0504955824000196</v>
      </c>
    </row>
    <row r="118" customFormat="false" ht="14.25" hidden="false" customHeight="false" outlineLevel="0" collapsed="false">
      <c r="B118" s="2" t="n">
        <v>16</v>
      </c>
      <c r="C118" s="3" t="n">
        <v>500</v>
      </c>
      <c r="D118" s="3" t="n">
        <v>2</v>
      </c>
      <c r="E118" s="2" t="n">
        <v>168</v>
      </c>
      <c r="F118" s="4" t="n">
        <v>3.269</v>
      </c>
      <c r="G118" s="2" t="n">
        <v>25</v>
      </c>
      <c r="H118" s="2" t="n">
        <v>33</v>
      </c>
      <c r="I118" s="1" t="n">
        <v>250</v>
      </c>
      <c r="J118" s="2" t="n">
        <v>333</v>
      </c>
      <c r="K118" s="3" t="n">
        <v>400</v>
      </c>
      <c r="L118" s="4" t="n">
        <v>12769</v>
      </c>
      <c r="M118" s="3" t="n">
        <v>73.3862853425291</v>
      </c>
      <c r="N118" s="12" t="n">
        <v>0.0157460983498901</v>
      </c>
      <c r="O118" s="4" t="n">
        <v>37.93</v>
      </c>
      <c r="P118" s="3" t="n">
        <v>280.24345613597</v>
      </c>
      <c r="Q118" s="4" t="n">
        <f aca="false">(P118-P$354)/P$355</f>
        <v>0.29806300907782</v>
      </c>
      <c r="R118" s="4" t="n">
        <v>0.38</v>
      </c>
      <c r="S118" s="13" t="n">
        <f aca="false">P118/200000</f>
        <v>0.00140121728067985</v>
      </c>
      <c r="W118" s="4" t="n">
        <f aca="false">$X$2*($X$3*$G118+$X$4*$B118^$X$5*$N118^$X$6)*$S118^$X$7</f>
        <v>0.324820966149906</v>
      </c>
      <c r="X118" s="4" t="n">
        <f aca="false">W118/$R118</f>
        <v>0.854792016183964</v>
      </c>
      <c r="Z118" s="4" t="n">
        <f aca="false">$AA$2*$B118^$AA$3*$S118^$AA$4*($AA$5*$N118^$AA$6+$AA$7)</f>
        <v>0.324049287646129</v>
      </c>
      <c r="AA118" s="4" t="n">
        <f aca="false">Z118/$R118</f>
        <v>0.852761283279287</v>
      </c>
      <c r="AC118" s="4" t="n">
        <f aca="false">$AD$2*($AD$3+$AD$4*$F118/($N118*'Sem TS MC2020'!P110))*($AD$5*$G118+$AD$6*$B118/$N118)*'Sem TS MC2020'!R110*($J118-$M118)/($J118-$M118-$H118)</f>
        <v>0.297763097498528</v>
      </c>
      <c r="AD118" s="4" t="n">
        <f aca="false">AC118/$R118</f>
        <v>0.783587098680337</v>
      </c>
      <c r="AE118" s="24" t="n">
        <f aca="false">AC118-$R118</f>
        <v>-0.082236902501472</v>
      </c>
      <c r="AF118" s="25" t="n">
        <f aca="false">1/AD118</f>
        <v>1.27618231806538</v>
      </c>
      <c r="AG118" s="25" t="n">
        <f aca="false">AC118*(14.068*'Sem TS MC2020'!$P110^-0.457)/$R118</f>
        <v>0.763886388161802</v>
      </c>
      <c r="AH118" s="25"/>
      <c r="AP118" s="4" t="n">
        <f aca="false">$AQ$2*($AQ$3+$AQ$4*$F118/($N118*'Sem TS MC2020'!P110))*($AQ$5*$G118+$AQ$6*$B118/$N118)*('Sem TS MC2020'!P110^$AQ$7/200000)*($J118-$M118)/($J118-$M118-$H118)+('Sem TS MC2020'!P110-$C118/$AQ$8)*($AQ$5*$G118+$AQ$6*$B118/$N118)/200000</f>
        <v>0.313272948375741</v>
      </c>
      <c r="AQ118" s="4" t="n">
        <f aca="false">AP118/$R118</f>
        <v>0.824402495725634</v>
      </c>
      <c r="AR118" s="24" t="n">
        <f aca="false">AP118-$R118</f>
        <v>-0.0667270516242592</v>
      </c>
    </row>
    <row r="119" customFormat="false" ht="14.25" hidden="false" customHeight="false" outlineLevel="0" collapsed="false">
      <c r="B119" s="2" t="n">
        <v>16</v>
      </c>
      <c r="C119" s="3" t="n">
        <v>500</v>
      </c>
      <c r="D119" s="3" t="n">
        <v>2</v>
      </c>
      <c r="E119" s="2" t="n">
        <v>168</v>
      </c>
      <c r="F119" s="4" t="n">
        <v>3.269</v>
      </c>
      <c r="G119" s="2" t="n">
        <v>25</v>
      </c>
      <c r="H119" s="2" t="n">
        <v>33</v>
      </c>
      <c r="I119" s="1" t="n">
        <v>250</v>
      </c>
      <c r="J119" s="2" t="n">
        <v>333</v>
      </c>
      <c r="K119" s="3" t="n">
        <v>400</v>
      </c>
      <c r="L119" s="4" t="n">
        <v>12769</v>
      </c>
      <c r="M119" s="3" t="n">
        <v>73.3862853425291</v>
      </c>
      <c r="N119" s="12" t="n">
        <v>0.0157460983498901</v>
      </c>
      <c r="O119" s="4" t="n">
        <v>40.84</v>
      </c>
      <c r="P119" s="3" t="n">
        <v>319.53407190923</v>
      </c>
      <c r="Q119" s="4" t="n">
        <f aca="false">(P119-P$354)/P$355</f>
        <v>0.627465026017592</v>
      </c>
      <c r="R119" s="4" t="n">
        <v>0.43</v>
      </c>
      <c r="S119" s="13" t="n">
        <f aca="false">P119/200000</f>
        <v>0.00159767035954615</v>
      </c>
      <c r="W119" s="4" t="n">
        <f aca="false">$X$2*($X$3*$G119+$X$4*$B119^$X$5*$N119^$X$6)*$S119^$X$7</f>
        <v>0.352210061861838</v>
      </c>
      <c r="X119" s="4" t="n">
        <f aca="false">W119/$R119</f>
        <v>0.819093167120554</v>
      </c>
      <c r="Z119" s="4" t="n">
        <f aca="false">$AA$2*$B119^$AA$3*$S119^$AA$4*($AA$5*$N119^$AA$6+$AA$7)</f>
        <v>0.351880803159311</v>
      </c>
      <c r="AA119" s="4" t="n">
        <f aca="false">Z119/$R119</f>
        <v>0.818327449207701</v>
      </c>
      <c r="AC119" s="4" t="n">
        <f aca="false">$AD$2*($AD$3+$AD$4*$F119/($N119*'Sem TS MC2020'!P111))*($AD$5*$G119+$AD$6*$B119/$N119)*'Sem TS MC2020'!R111*($J119-$M119)/($J119-$M119-$H119)</f>
        <v>0.331767725480674</v>
      </c>
      <c r="AD119" s="4" t="n">
        <f aca="false">AC119/$R119</f>
        <v>0.771552849955056</v>
      </c>
      <c r="AE119" s="24" t="n">
        <f aca="false">AC119-$R119</f>
        <v>-0.0982322745193259</v>
      </c>
      <c r="AF119" s="25" t="n">
        <f aca="false">1/AD119</f>
        <v>1.29608749427632</v>
      </c>
      <c r="AG119" s="25" t="n">
        <f aca="false">AC119*(14.068*'Sem TS MC2020'!$P111^-0.457)/$R119</f>
        <v>0.727170334346485</v>
      </c>
      <c r="AH119" s="25"/>
      <c r="AP119" s="4" t="n">
        <f aca="false">$AQ$2*($AQ$3+$AQ$4*$F119/($N119*'Sem TS MC2020'!P111))*($AQ$5*$G119+$AQ$6*$B119/$N119)*('Sem TS MC2020'!P111^$AQ$7/200000)*($J119-$M119)/($J119-$M119-$H119)+('Sem TS MC2020'!P111-$C119/$AQ$8)*($AQ$5*$G119+$AQ$6*$B119/$N119)/200000</f>
        <v>0.346334681660198</v>
      </c>
      <c r="AQ119" s="4" t="n">
        <f aca="false">AP119/$R119</f>
        <v>0.80542949223302</v>
      </c>
      <c r="AR119" s="24" t="n">
        <f aca="false">AP119-$R119</f>
        <v>-0.0836653183398016</v>
      </c>
    </row>
    <row r="120" customFormat="false" ht="14.25" hidden="false" customHeight="false" outlineLevel="0" collapsed="false">
      <c r="A120" s="1" t="s">
        <v>46</v>
      </c>
      <c r="B120" s="2" t="n">
        <v>16</v>
      </c>
      <c r="C120" s="3" t="n">
        <v>500</v>
      </c>
      <c r="D120" s="3" t="n">
        <v>3</v>
      </c>
      <c r="E120" s="2" t="n">
        <v>76</v>
      </c>
      <c r="F120" s="4" t="n">
        <v>3.269</v>
      </c>
      <c r="G120" s="2" t="n">
        <v>25</v>
      </c>
      <c r="H120" s="2" t="n">
        <v>33</v>
      </c>
      <c r="I120" s="1" t="n">
        <v>250</v>
      </c>
      <c r="J120" s="2" t="n">
        <v>333</v>
      </c>
      <c r="K120" s="3" t="n">
        <v>600</v>
      </c>
      <c r="L120" s="4" t="n">
        <v>28250</v>
      </c>
      <c r="M120" s="3" t="n">
        <v>87.1145054053498</v>
      </c>
      <c r="N120" s="12" t="n">
        <v>0.0212389380530973</v>
      </c>
      <c r="O120" s="4" t="n">
        <v>37.93</v>
      </c>
      <c r="P120" s="3" t="n">
        <v>142.623322211436</v>
      </c>
      <c r="Q120" s="4" t="n">
        <f aca="false">(P120-P$354)/P$355</f>
        <v>-0.855707396249201</v>
      </c>
      <c r="R120" s="4" t="n">
        <v>0.15</v>
      </c>
      <c r="S120" s="13" t="n">
        <f aca="false">P120/200000</f>
        <v>0.000713116611057179</v>
      </c>
      <c r="W120" s="4" t="n">
        <f aca="false">$X$2*($X$3*$G120+$X$4*$B120^$X$5*$N120^$X$6)*$S120^$X$7</f>
        <v>0.18896869999146</v>
      </c>
      <c r="X120" s="4" t="n">
        <f aca="false">W120/$R120</f>
        <v>1.2597913332764</v>
      </c>
      <c r="Z120" s="4" t="n">
        <f aca="false">$AA$2*$B120^$AA$3*$S120^$AA$4*($AA$5*$N120^$AA$6+$AA$7)</f>
        <v>0.185524567053755</v>
      </c>
      <c r="AA120" s="4" t="n">
        <f aca="false">Z120/$R120</f>
        <v>1.23683044702503</v>
      </c>
      <c r="AC120" s="4" t="n">
        <f aca="false">$AD$2*($AD$3+$AD$4*$F120/($N120*'Sem TS MC2020'!P112))*($AD$5*$G120+$AD$6*$B120/$N120)*'Sem TS MC2020'!R112*($J120-$M120)/($J120-$M120-$H120)</f>
        <v>0.151452179688127</v>
      </c>
      <c r="AD120" s="4" t="n">
        <f aca="false">AC120/$R120</f>
        <v>1.00968119792085</v>
      </c>
      <c r="AE120" s="24" t="n">
        <f aca="false">AC120-$R120</f>
        <v>0.00145217968812747</v>
      </c>
      <c r="AF120" s="25" t="n">
        <f aca="false">1/AD120</f>
        <v>0.990411628996573</v>
      </c>
      <c r="AG120" s="25" t="n">
        <f aca="false">AC120*(14.068*'Sem TS MC2020'!$P112^-0.457)/$R120</f>
        <v>1.17564337652955</v>
      </c>
      <c r="AH120" s="25"/>
      <c r="AP120" s="4" t="n">
        <f aca="false">$AQ$2*($AQ$3+$AQ$4*$F120/($N120*'Sem TS MC2020'!P112))*($AQ$5*$G120+$AQ$6*$B120/$N120)*('Sem TS MC2020'!P112^$AQ$7/200000)*($J120-$M120)/($J120-$M120-$H120)+('Sem TS MC2020'!P112-$C120/$AQ$8)*($AQ$5*$G120+$AQ$6*$B120/$N120)/200000</f>
        <v>0.163221605761795</v>
      </c>
      <c r="AQ120" s="4" t="n">
        <f aca="false">AP120/$R120</f>
        <v>1.08814403841197</v>
      </c>
      <c r="AR120" s="24" t="n">
        <f aca="false">AP120-$R120</f>
        <v>0.013221605761795</v>
      </c>
    </row>
    <row r="121" customFormat="false" ht="14.25" hidden="false" customHeight="false" outlineLevel="0" collapsed="false">
      <c r="B121" s="2" t="n">
        <v>16</v>
      </c>
      <c r="C121" s="3" t="n">
        <v>500</v>
      </c>
      <c r="D121" s="3" t="n">
        <v>3</v>
      </c>
      <c r="E121" s="2" t="n">
        <v>76</v>
      </c>
      <c r="F121" s="4" t="n">
        <v>3.269</v>
      </c>
      <c r="G121" s="2" t="n">
        <v>25</v>
      </c>
      <c r="H121" s="2" t="n">
        <v>33</v>
      </c>
      <c r="I121" s="1" t="n">
        <v>250</v>
      </c>
      <c r="J121" s="2" t="n">
        <v>333</v>
      </c>
      <c r="K121" s="3" t="n">
        <v>600</v>
      </c>
      <c r="L121" s="4" t="n">
        <v>28250</v>
      </c>
      <c r="M121" s="3" t="n">
        <v>87.1145054053498</v>
      </c>
      <c r="N121" s="12" t="n">
        <v>0.0212389380530973</v>
      </c>
      <c r="O121" s="4" t="n">
        <v>40.84</v>
      </c>
      <c r="P121" s="3" t="n">
        <v>167.23645175102</v>
      </c>
      <c r="Q121" s="4" t="n">
        <f aca="false">(P121-P$354)/P$355</f>
        <v>-0.649357499359658</v>
      </c>
      <c r="R121" s="4" t="n">
        <v>0.18</v>
      </c>
      <c r="S121" s="13" t="n">
        <f aca="false">P121/200000</f>
        <v>0.0008361822587551</v>
      </c>
      <c r="W121" s="4" t="n">
        <f aca="false">$X$2*($X$3*$G121+$X$4*$B121^$X$5*$N121^$X$6)*$S121^$X$7</f>
        <v>0.208472848131554</v>
      </c>
      <c r="X121" s="4" t="n">
        <f aca="false">W121/$R121</f>
        <v>1.15818248961975</v>
      </c>
      <c r="Z121" s="4" t="n">
        <f aca="false">$AA$2*$B121^$AA$3*$S121^$AA$4*($AA$5*$N121^$AA$6+$AA$7)</f>
        <v>0.205031975179339</v>
      </c>
      <c r="AA121" s="4" t="n">
        <f aca="false">Z121/$R121</f>
        <v>1.13906652877411</v>
      </c>
      <c r="AC121" s="4" t="n">
        <f aca="false">$AD$2*($AD$3+$AD$4*$F121/($N121*'Sem TS MC2020'!P113))*($AD$5*$G121+$AD$6*$B121/$N121)*'Sem TS MC2020'!R113*($J121-$M121)/($J121-$M121-$H121)</f>
        <v>0.169576824980133</v>
      </c>
      <c r="AD121" s="4" t="n">
        <f aca="false">AC121/$R121</f>
        <v>0.942093472111849</v>
      </c>
      <c r="AE121" s="24" t="n">
        <f aca="false">AC121-$R121</f>
        <v>-0.0104231750198672</v>
      </c>
      <c r="AF121" s="25" t="n">
        <f aca="false">1/AD121</f>
        <v>1.06146579888548</v>
      </c>
      <c r="AG121" s="25" t="n">
        <f aca="false">AC121*(14.068*'Sem TS MC2020'!$P113^-0.457)/$R121</f>
        <v>1.06050887153859</v>
      </c>
      <c r="AH121" s="25"/>
      <c r="AP121" s="4" t="n">
        <f aca="false">$AQ$2*($AQ$3+$AQ$4*$F121/($N121*'Sem TS MC2020'!P113))*($AQ$5*$G121+$AQ$6*$B121/$N121)*('Sem TS MC2020'!P113^$AQ$7/200000)*($J121-$M121)/($J121-$M121-$H121)+('Sem TS MC2020'!P113-$C121/$AQ$8)*($AQ$5*$G121+$AQ$6*$B121/$N121)/200000</f>
        <v>0.181953989975426</v>
      </c>
      <c r="AQ121" s="4" t="n">
        <f aca="false">AP121/$R121</f>
        <v>1.01085549986348</v>
      </c>
      <c r="AR121" s="24" t="n">
        <f aca="false">AP121-$R121</f>
        <v>0.00195398997542623</v>
      </c>
    </row>
    <row r="122" customFormat="false" ht="14.25" hidden="false" customHeight="false" outlineLevel="0" collapsed="false">
      <c r="B122" s="2" t="n">
        <v>16</v>
      </c>
      <c r="C122" s="3" t="n">
        <v>500</v>
      </c>
      <c r="D122" s="3" t="n">
        <v>3</v>
      </c>
      <c r="E122" s="2" t="n">
        <v>76</v>
      </c>
      <c r="F122" s="4" t="n">
        <v>3.269</v>
      </c>
      <c r="G122" s="2" t="n">
        <v>25</v>
      </c>
      <c r="H122" s="2" t="n">
        <v>33</v>
      </c>
      <c r="I122" s="1" t="n">
        <v>250</v>
      </c>
      <c r="J122" s="2" t="n">
        <v>333</v>
      </c>
      <c r="K122" s="3" t="n">
        <v>600</v>
      </c>
      <c r="L122" s="4" t="n">
        <v>28250</v>
      </c>
      <c r="M122" s="3" t="n">
        <v>87.1145054053498</v>
      </c>
      <c r="N122" s="12" t="n">
        <v>0.0212389380530973</v>
      </c>
      <c r="O122" s="4" t="n">
        <v>43.76</v>
      </c>
      <c r="P122" s="3" t="n">
        <v>191.934162491771</v>
      </c>
      <c r="Q122" s="4" t="n">
        <f aca="false">(P122-P$354)/P$355</f>
        <v>-0.442298496295237</v>
      </c>
      <c r="R122" s="4" t="n">
        <v>0.18</v>
      </c>
      <c r="S122" s="13" t="n">
        <f aca="false">P122/200000</f>
        <v>0.000959670812458856</v>
      </c>
      <c r="W122" s="4" t="n">
        <f aca="false">$X$2*($X$3*$G122+$X$4*$B122^$X$5*$N122^$X$6)*$S122^$X$7</f>
        <v>0.226965195758024</v>
      </c>
      <c r="X122" s="4" t="n">
        <f aca="false">W122/$R122</f>
        <v>1.26091775421125</v>
      </c>
      <c r="Z122" s="4" t="n">
        <f aca="false">$AA$2*$B122^$AA$3*$S122^$AA$4*($AA$5*$N122^$AA$6+$AA$7)</f>
        <v>0.223557577758463</v>
      </c>
      <c r="AA122" s="4" t="n">
        <f aca="false">Z122/$R122</f>
        <v>1.24198654310257</v>
      </c>
      <c r="AC122" s="4" t="n">
        <f aca="false">$AD$2*($AD$3+$AD$4*$F122/($N122*'Sem TS MC2020'!P114))*($AD$5*$G122+$AD$6*$B122/$N122)*'Sem TS MC2020'!R114*($J122-$M122)/($J122-$M122-$H122)</f>
        <v>0.187763754276578</v>
      </c>
      <c r="AD122" s="4" t="n">
        <f aca="false">AC122/$R122</f>
        <v>1.04313196820321</v>
      </c>
      <c r="AE122" s="24" t="n">
        <f aca="false">AC122-$R122</f>
        <v>0.00776375427657786</v>
      </c>
      <c r="AF122" s="25" t="n">
        <f aca="false">1/AD122</f>
        <v>0.958651475059762</v>
      </c>
      <c r="AG122" s="25" t="n">
        <f aca="false">AC122*(14.068*'Sem TS MC2020'!$P114^-0.457)/$R122</f>
        <v>1.13776721286513</v>
      </c>
      <c r="AH122" s="25"/>
      <c r="AP122" s="4" t="n">
        <f aca="false">$AQ$2*($AQ$3+$AQ$4*$F122/($N122*'Sem TS MC2020'!P114))*($AQ$5*$G122+$AQ$6*$B122/$N122)*('Sem TS MC2020'!P114^$AQ$7/200000)*($J122-$M122)/($J122-$M122-$H122)+('Sem TS MC2020'!P114-$C122/$AQ$8)*($AQ$5*$G122+$AQ$6*$B122/$N122)/200000</f>
        <v>0.200441375288832</v>
      </c>
      <c r="AQ122" s="4" t="n">
        <f aca="false">AP122/$R122</f>
        <v>1.11356319604907</v>
      </c>
      <c r="AR122" s="24" t="n">
        <f aca="false">AP122-$R122</f>
        <v>0.0204413752888317</v>
      </c>
    </row>
    <row r="123" customFormat="false" ht="14.25" hidden="false" customHeight="false" outlineLevel="0" collapsed="false">
      <c r="B123" s="2" t="n">
        <v>16</v>
      </c>
      <c r="C123" s="3" t="n">
        <v>500</v>
      </c>
      <c r="D123" s="3" t="n">
        <v>3</v>
      </c>
      <c r="E123" s="2" t="n">
        <v>76</v>
      </c>
      <c r="F123" s="4" t="n">
        <v>3.269</v>
      </c>
      <c r="G123" s="2" t="n">
        <v>25</v>
      </c>
      <c r="H123" s="2" t="n">
        <v>33</v>
      </c>
      <c r="I123" s="1" t="n">
        <v>250</v>
      </c>
      <c r="J123" s="2" t="n">
        <v>333</v>
      </c>
      <c r="K123" s="3" t="n">
        <v>600</v>
      </c>
      <c r="L123" s="4" t="n">
        <v>28250</v>
      </c>
      <c r="M123" s="3" t="n">
        <v>87.1145054053498</v>
      </c>
      <c r="N123" s="12" t="n">
        <v>0.0212389380530973</v>
      </c>
      <c r="O123" s="4" t="n">
        <v>46.68</v>
      </c>
      <c r="P123" s="3" t="n">
        <v>216.631873232522</v>
      </c>
      <c r="Q123" s="4" t="n">
        <f aca="false">(P123-P$354)/P$355</f>
        <v>-0.235239493230817</v>
      </c>
      <c r="R123" s="4" t="n">
        <v>0.2</v>
      </c>
      <c r="S123" s="13" t="n">
        <f aca="false">P123/200000</f>
        <v>0.00108315936616261</v>
      </c>
      <c r="W123" s="4" t="n">
        <f aca="false">$X$2*($X$3*$G123+$X$4*$B123^$X$5*$N123^$X$6)*$S123^$X$7</f>
        <v>0.244565391544294</v>
      </c>
      <c r="X123" s="4" t="n">
        <f aca="false">W123/$R123</f>
        <v>1.22282695772147</v>
      </c>
      <c r="Z123" s="4" t="n">
        <f aca="false">$AA$2*$B123^$AA$3*$S123^$AA$4*($AA$5*$N123^$AA$6+$AA$7)</f>
        <v>0.241214494752196</v>
      </c>
      <c r="AA123" s="4" t="n">
        <f aca="false">Z123/$R123</f>
        <v>1.20607247376098</v>
      </c>
      <c r="AC123" s="4" t="n">
        <f aca="false">$AD$2*($AD$3+$AD$4*$F123/($N123*'Sem TS MC2020'!P115))*($AD$5*$G123+$AD$6*$B123/$N123)*'Sem TS MC2020'!R115*($J123-$M123)/($J123-$M123-$H123)</f>
        <v>0.205950683573023</v>
      </c>
      <c r="AD123" s="4" t="n">
        <f aca="false">AC123/$R123</f>
        <v>1.02975341786511</v>
      </c>
      <c r="AE123" s="24" t="n">
        <f aca="false">AC123-$R123</f>
        <v>0.00595068357302289</v>
      </c>
      <c r="AF123" s="25" t="n">
        <f aca="false">1/AD123</f>
        <v>0.971106269375829</v>
      </c>
      <c r="AG123" s="25" t="n">
        <f aca="false">AC123*(14.068*'Sem TS MC2020'!$P115^-0.457)/$R123</f>
        <v>1.09050318010738</v>
      </c>
      <c r="AH123" s="25"/>
      <c r="AP123" s="4" t="n">
        <f aca="false">$AQ$2*($AQ$3+$AQ$4*$F123/($N123*'Sem TS MC2020'!P115))*($AQ$5*$G123+$AQ$6*$B123/$N123)*('Sem TS MC2020'!P115^$AQ$7/200000)*($J123-$M123)/($J123-$M123-$H123)+('Sem TS MC2020'!P115-$C123/$AQ$8)*($AQ$5*$G123+$AQ$6*$B123/$N123)/200000</f>
        <v>0.21864940119234</v>
      </c>
      <c r="AQ123" s="4" t="n">
        <f aca="false">AP123/$R123</f>
        <v>1.0932470059617</v>
      </c>
      <c r="AR123" s="24" t="n">
        <f aca="false">AP123-$R123</f>
        <v>0.01864940119234</v>
      </c>
    </row>
    <row r="124" customFormat="false" ht="14.25" hidden="false" customHeight="false" outlineLevel="0" collapsed="false">
      <c r="B124" s="2" t="n">
        <v>16</v>
      </c>
      <c r="C124" s="3" t="n">
        <v>500</v>
      </c>
      <c r="D124" s="3" t="n">
        <v>3</v>
      </c>
      <c r="E124" s="2" t="n">
        <v>76</v>
      </c>
      <c r="F124" s="4" t="n">
        <v>3.269</v>
      </c>
      <c r="G124" s="2" t="n">
        <v>25</v>
      </c>
      <c r="H124" s="2" t="n">
        <v>33</v>
      </c>
      <c r="I124" s="1" t="n">
        <v>250</v>
      </c>
      <c r="J124" s="2" t="n">
        <v>333</v>
      </c>
      <c r="K124" s="3" t="n">
        <v>600</v>
      </c>
      <c r="L124" s="4" t="n">
        <v>28250</v>
      </c>
      <c r="M124" s="3" t="n">
        <v>87.1145054053498</v>
      </c>
      <c r="N124" s="12" t="n">
        <v>0.0212389380530973</v>
      </c>
      <c r="O124" s="4" t="n">
        <v>49.6</v>
      </c>
      <c r="P124" s="3" t="n">
        <v>241.329583973274</v>
      </c>
      <c r="Q124" s="4" t="n">
        <f aca="false">(P124-P$354)/P$355</f>
        <v>-0.0281804901663954</v>
      </c>
      <c r="R124" s="4" t="n">
        <v>0.2</v>
      </c>
      <c r="S124" s="13" t="n">
        <f aca="false">P124/200000</f>
        <v>0.00120664791986637</v>
      </c>
      <c r="W124" s="4" t="n">
        <f aca="false">$X$2*($X$3*$G124+$X$4*$B124^$X$5*$N124^$X$6)*$S124^$X$7</f>
        <v>0.261411702197639</v>
      </c>
      <c r="X124" s="4" t="n">
        <f aca="false">W124/$R124</f>
        <v>1.30705851098819</v>
      </c>
      <c r="Z124" s="4" t="n">
        <f aca="false">$AA$2*$B124^$AA$3*$S124^$AA$4*($AA$5*$N124^$AA$6+$AA$7)</f>
        <v>0.258136368853816</v>
      </c>
      <c r="AA124" s="4" t="n">
        <f aca="false">Z124/$R124</f>
        <v>1.29068184426908</v>
      </c>
      <c r="AC124" s="4" t="n">
        <f aca="false">$AD$2*($AD$3+$AD$4*$F124/($N124*'Sem TS MC2020'!P116))*($AD$5*$G124+$AD$6*$B124/$N124)*'Sem TS MC2020'!R116*($J124-$M124)/($J124-$M124-$H124)</f>
        <v>0.224137612869468</v>
      </c>
      <c r="AD124" s="4" t="n">
        <f aca="false">AC124/$R124</f>
        <v>1.12068806434734</v>
      </c>
      <c r="AE124" s="24" t="n">
        <f aca="false">AC124-$R124</f>
        <v>0.0241376128694681</v>
      </c>
      <c r="AF124" s="25" t="n">
        <f aca="false">1/AD124</f>
        <v>0.892308958945123</v>
      </c>
      <c r="AG124" s="25" t="n">
        <f aca="false">AC124*(14.068*'Sem TS MC2020'!$P116^-0.457)/$R124</f>
        <v>1.15434629133248</v>
      </c>
      <c r="AH124" s="25"/>
      <c r="AP124" s="4" t="n">
        <f aca="false">$AQ$2*($AQ$3+$AQ$4*$F124/($N124*'Sem TS MC2020'!P116))*($AQ$5*$G124+$AQ$6*$B124/$N124)*('Sem TS MC2020'!P116^$AQ$7/200000)*($J124-$M124)/($J124-$M124-$H124)+('Sem TS MC2020'!P116-$C124/$AQ$8)*($AQ$5*$G124+$AQ$6*$B124/$N124)/200000</f>
        <v>0.236603692911253</v>
      </c>
      <c r="AQ124" s="4" t="n">
        <f aca="false">AP124/$R124</f>
        <v>1.18301846455626</v>
      </c>
      <c r="AR124" s="24" t="n">
        <f aca="false">AP124-$R124</f>
        <v>0.0366036929112528</v>
      </c>
    </row>
    <row r="125" customFormat="false" ht="14.25" hidden="false" customHeight="false" outlineLevel="0" collapsed="false">
      <c r="A125" s="1" t="s">
        <v>47</v>
      </c>
      <c r="B125" s="2" t="n">
        <v>16</v>
      </c>
      <c r="C125" s="3" t="n">
        <v>500</v>
      </c>
      <c r="D125" s="3" t="n">
        <v>3</v>
      </c>
      <c r="E125" s="2" t="n">
        <v>76</v>
      </c>
      <c r="F125" s="4" t="n">
        <v>3.269</v>
      </c>
      <c r="G125" s="2" t="n">
        <v>25</v>
      </c>
      <c r="H125" s="2" t="n">
        <v>33</v>
      </c>
      <c r="I125" s="1" t="n">
        <v>250</v>
      </c>
      <c r="J125" s="2" t="n">
        <v>333</v>
      </c>
      <c r="K125" s="3" t="n">
        <v>600</v>
      </c>
      <c r="L125" s="4" t="n">
        <v>28250</v>
      </c>
      <c r="M125" s="3" t="n">
        <v>87.1145054053498</v>
      </c>
      <c r="N125" s="12" t="n">
        <v>0.0212389380530973</v>
      </c>
      <c r="O125" s="4" t="n">
        <v>40.84</v>
      </c>
      <c r="P125" s="3" t="n">
        <v>167.23645175102</v>
      </c>
      <c r="Q125" s="4" t="n">
        <f aca="false">(P125-P$354)/P$355</f>
        <v>-0.649357499359658</v>
      </c>
      <c r="R125" s="4" t="n">
        <v>0.15</v>
      </c>
      <c r="S125" s="13" t="n">
        <f aca="false">P125/200000</f>
        <v>0.0008361822587551</v>
      </c>
      <c r="W125" s="4" t="n">
        <f aca="false">$X$2*($X$3*$G125+$X$4*$B125^$X$5*$N125^$X$6)*$S125^$X$7</f>
        <v>0.208472848131554</v>
      </c>
      <c r="X125" s="4" t="n">
        <f aca="false">W125/$R125</f>
        <v>1.38981898754369</v>
      </c>
      <c r="Z125" s="4" t="n">
        <f aca="false">$AA$2*$B125^$AA$3*$S125^$AA$4*($AA$5*$N125^$AA$6+$AA$7)</f>
        <v>0.205031975179339</v>
      </c>
      <c r="AA125" s="4" t="n">
        <f aca="false">Z125/$R125</f>
        <v>1.36687983452893</v>
      </c>
      <c r="AC125" s="4" t="n">
        <f aca="false">$AD$2*($AD$3+$AD$4*$F125/($N125*'Sem TS MC2020'!P117))*($AD$5*$G125+$AD$6*$B125/$N125)*'Sem TS MC2020'!R117*($J125-$M125)/($J125-$M125-$H125)</f>
        <v>0.169576824980133</v>
      </c>
      <c r="AD125" s="4" t="n">
        <f aca="false">AC125/$R125</f>
        <v>1.13051216653422</v>
      </c>
      <c r="AE125" s="24" t="n">
        <f aca="false">AC125-$R125</f>
        <v>0.0195768249801328</v>
      </c>
      <c r="AF125" s="25" t="n">
        <f aca="false">1/AD125</f>
        <v>0.884554832404567</v>
      </c>
      <c r="AG125" s="25" t="n">
        <f aca="false">AC125*(14.068*'Sem TS MC2020'!$P117^-0.457)/$R125</f>
        <v>1.27261064584631</v>
      </c>
      <c r="AH125" s="25"/>
      <c r="AP125" s="4" t="n">
        <f aca="false">$AQ$2*($AQ$3+$AQ$4*$F125/($N125*'Sem TS MC2020'!P117))*($AQ$5*$G125+$AQ$6*$B125/$N125)*('Sem TS MC2020'!P117^$AQ$7/200000)*($J125-$M125)/($J125-$M125-$H125)+('Sem TS MC2020'!P117-$C125/$AQ$8)*($AQ$5*$G125+$AQ$6*$B125/$N125)/200000</f>
        <v>0.181953989975426</v>
      </c>
      <c r="AQ125" s="4" t="n">
        <f aca="false">AP125/$R125</f>
        <v>1.21302659983618</v>
      </c>
      <c r="AR125" s="24" t="n">
        <f aca="false">AP125-$R125</f>
        <v>0.0319539899754262</v>
      </c>
    </row>
    <row r="126" customFormat="false" ht="14.25" hidden="false" customHeight="false" outlineLevel="0" collapsed="false">
      <c r="B126" s="2" t="n">
        <v>16</v>
      </c>
      <c r="C126" s="3" t="n">
        <v>500</v>
      </c>
      <c r="D126" s="3" t="n">
        <v>3</v>
      </c>
      <c r="E126" s="2" t="n">
        <v>76</v>
      </c>
      <c r="F126" s="4" t="n">
        <v>3.269</v>
      </c>
      <c r="G126" s="2" t="n">
        <v>25</v>
      </c>
      <c r="H126" s="2" t="n">
        <v>33</v>
      </c>
      <c r="I126" s="1" t="n">
        <v>250</v>
      </c>
      <c r="J126" s="2" t="n">
        <v>333</v>
      </c>
      <c r="K126" s="3" t="n">
        <v>600</v>
      </c>
      <c r="L126" s="4" t="n">
        <v>28250</v>
      </c>
      <c r="M126" s="3" t="n">
        <v>87.1145054053498</v>
      </c>
      <c r="N126" s="12" t="n">
        <v>0.0212389380530973</v>
      </c>
      <c r="O126" s="4" t="n">
        <v>43.76</v>
      </c>
      <c r="P126" s="3" t="n">
        <v>191.934162491771</v>
      </c>
      <c r="Q126" s="4" t="n">
        <f aca="false">(P126-P$354)/P$355</f>
        <v>-0.442298496295237</v>
      </c>
      <c r="R126" s="4" t="n">
        <v>0.18</v>
      </c>
      <c r="S126" s="13" t="n">
        <f aca="false">P126/200000</f>
        <v>0.000959670812458856</v>
      </c>
      <c r="W126" s="4" t="n">
        <f aca="false">$X$2*($X$3*$G126+$X$4*$B126^$X$5*$N126^$X$6)*$S126^$X$7</f>
        <v>0.226965195758024</v>
      </c>
      <c r="X126" s="4" t="n">
        <f aca="false">W126/$R126</f>
        <v>1.26091775421125</v>
      </c>
      <c r="Z126" s="4" t="n">
        <f aca="false">$AA$2*$B126^$AA$3*$S126^$AA$4*($AA$5*$N126^$AA$6+$AA$7)</f>
        <v>0.223557577758463</v>
      </c>
      <c r="AA126" s="4" t="n">
        <f aca="false">Z126/$R126</f>
        <v>1.24198654310257</v>
      </c>
      <c r="AC126" s="4" t="n">
        <f aca="false">$AD$2*($AD$3+$AD$4*$F126/($N126*'Sem TS MC2020'!P118))*($AD$5*$G126+$AD$6*$B126/$N126)*'Sem TS MC2020'!R118*($J126-$M126)/($J126-$M126-$H126)</f>
        <v>0.187763754276578</v>
      </c>
      <c r="AD126" s="4" t="n">
        <f aca="false">AC126/$R126</f>
        <v>1.04313196820321</v>
      </c>
      <c r="AE126" s="24" t="n">
        <f aca="false">AC126-$R126</f>
        <v>0.00776375427657786</v>
      </c>
      <c r="AF126" s="25" t="n">
        <f aca="false">1/AD126</f>
        <v>0.958651475059762</v>
      </c>
      <c r="AG126" s="25" t="n">
        <f aca="false">AC126*(14.068*'Sem TS MC2020'!$P118^-0.457)/$R126</f>
        <v>1.13776721286513</v>
      </c>
      <c r="AH126" s="25"/>
      <c r="AP126" s="4" t="n">
        <f aca="false">$AQ$2*($AQ$3+$AQ$4*$F126/($N126*'Sem TS MC2020'!P118))*($AQ$5*$G126+$AQ$6*$B126/$N126)*('Sem TS MC2020'!P118^$AQ$7/200000)*($J126-$M126)/($J126-$M126-$H126)+('Sem TS MC2020'!P118-$C126/$AQ$8)*($AQ$5*$G126+$AQ$6*$B126/$N126)/200000</f>
        <v>0.200441375288832</v>
      </c>
      <c r="AQ126" s="4" t="n">
        <f aca="false">AP126/$R126</f>
        <v>1.11356319604907</v>
      </c>
      <c r="AR126" s="24" t="n">
        <f aca="false">AP126-$R126</f>
        <v>0.0204413752888317</v>
      </c>
    </row>
    <row r="127" customFormat="false" ht="14.25" hidden="false" customHeight="false" outlineLevel="0" collapsed="false">
      <c r="B127" s="2" t="n">
        <v>16</v>
      </c>
      <c r="C127" s="3" t="n">
        <v>500</v>
      </c>
      <c r="D127" s="3" t="n">
        <v>3</v>
      </c>
      <c r="E127" s="2" t="n">
        <v>76</v>
      </c>
      <c r="F127" s="4" t="n">
        <v>3.269</v>
      </c>
      <c r="G127" s="2" t="n">
        <v>25</v>
      </c>
      <c r="H127" s="2" t="n">
        <v>33</v>
      </c>
      <c r="I127" s="1" t="n">
        <v>250</v>
      </c>
      <c r="J127" s="2" t="n">
        <v>333</v>
      </c>
      <c r="K127" s="3" t="n">
        <v>600</v>
      </c>
      <c r="L127" s="4" t="n">
        <v>28250</v>
      </c>
      <c r="M127" s="3" t="n">
        <v>87.1145054053498</v>
      </c>
      <c r="N127" s="12" t="n">
        <v>0.0212389380530973</v>
      </c>
      <c r="O127" s="4" t="n">
        <v>46.68</v>
      </c>
      <c r="P127" s="3" t="n">
        <v>216.631873232522</v>
      </c>
      <c r="Q127" s="4" t="n">
        <f aca="false">(P127-P$354)/P$355</f>
        <v>-0.235239493230817</v>
      </c>
      <c r="R127" s="4" t="n">
        <v>0.2</v>
      </c>
      <c r="S127" s="13" t="n">
        <f aca="false">P127/200000</f>
        <v>0.00108315936616261</v>
      </c>
      <c r="W127" s="4" t="n">
        <f aca="false">$X$2*($X$3*$G127+$X$4*$B127^$X$5*$N127^$X$6)*$S127^$X$7</f>
        <v>0.244565391544294</v>
      </c>
      <c r="X127" s="4" t="n">
        <f aca="false">W127/$R127</f>
        <v>1.22282695772147</v>
      </c>
      <c r="Z127" s="4" t="n">
        <f aca="false">$AA$2*$B127^$AA$3*$S127^$AA$4*($AA$5*$N127^$AA$6+$AA$7)</f>
        <v>0.241214494752196</v>
      </c>
      <c r="AA127" s="4" t="n">
        <f aca="false">Z127/$R127</f>
        <v>1.20607247376098</v>
      </c>
      <c r="AC127" s="4" t="n">
        <f aca="false">$AD$2*($AD$3+$AD$4*$F127/($N127*'Sem TS MC2020'!P119))*($AD$5*$G127+$AD$6*$B127/$N127)*'Sem TS MC2020'!R119*($J127-$M127)/($J127-$M127-$H127)</f>
        <v>0.205950683573023</v>
      </c>
      <c r="AD127" s="4" t="n">
        <f aca="false">AC127/$R127</f>
        <v>1.02975341786511</v>
      </c>
      <c r="AE127" s="24" t="n">
        <f aca="false">AC127-$R127</f>
        <v>0.00595068357302289</v>
      </c>
      <c r="AF127" s="25" t="n">
        <f aca="false">1/AD127</f>
        <v>0.971106269375829</v>
      </c>
      <c r="AG127" s="25" t="n">
        <f aca="false">AC127*(14.068*'Sem TS MC2020'!$P119^-0.457)/$R127</f>
        <v>1.09050318010738</v>
      </c>
      <c r="AH127" s="25"/>
      <c r="AP127" s="4" t="n">
        <f aca="false">$AQ$2*($AQ$3+$AQ$4*$F127/($N127*'Sem TS MC2020'!P119))*($AQ$5*$G127+$AQ$6*$B127/$N127)*('Sem TS MC2020'!P119^$AQ$7/200000)*($J127-$M127)/($J127-$M127-$H127)+('Sem TS MC2020'!P119-$C127/$AQ$8)*($AQ$5*$G127+$AQ$6*$B127/$N127)/200000</f>
        <v>0.21864940119234</v>
      </c>
      <c r="AQ127" s="4" t="n">
        <f aca="false">AP127/$R127</f>
        <v>1.0932470059617</v>
      </c>
      <c r="AR127" s="24" t="n">
        <f aca="false">AP127-$R127</f>
        <v>0.01864940119234</v>
      </c>
    </row>
    <row r="128" customFormat="false" ht="14.25" hidden="false" customHeight="false" outlineLevel="0" collapsed="false">
      <c r="B128" s="2" t="n">
        <v>16</v>
      </c>
      <c r="C128" s="3" t="n">
        <v>500</v>
      </c>
      <c r="D128" s="3" t="n">
        <v>3</v>
      </c>
      <c r="E128" s="2" t="n">
        <v>76</v>
      </c>
      <c r="F128" s="4" t="n">
        <v>3.269</v>
      </c>
      <c r="G128" s="2" t="n">
        <v>25</v>
      </c>
      <c r="H128" s="2" t="n">
        <v>33</v>
      </c>
      <c r="I128" s="1" t="n">
        <v>250</v>
      </c>
      <c r="J128" s="2" t="n">
        <v>333</v>
      </c>
      <c r="K128" s="3" t="n">
        <v>600</v>
      </c>
      <c r="L128" s="4" t="n">
        <v>28250</v>
      </c>
      <c r="M128" s="3" t="n">
        <v>87.1145054053498</v>
      </c>
      <c r="N128" s="12" t="n">
        <v>0.0212389380530973</v>
      </c>
      <c r="O128" s="4" t="n">
        <v>49.6</v>
      </c>
      <c r="P128" s="3" t="n">
        <v>241.329583973274</v>
      </c>
      <c r="Q128" s="4" t="n">
        <f aca="false">(P128-P$354)/P$355</f>
        <v>-0.0281804901663954</v>
      </c>
      <c r="R128" s="4" t="n">
        <v>0.2</v>
      </c>
      <c r="S128" s="13" t="n">
        <f aca="false">P128/200000</f>
        <v>0.00120664791986637</v>
      </c>
      <c r="W128" s="4" t="n">
        <f aca="false">$X$2*($X$3*$G128+$X$4*$B128^$X$5*$N128^$X$6)*$S128^$X$7</f>
        <v>0.261411702197639</v>
      </c>
      <c r="X128" s="4" t="n">
        <f aca="false">W128/$R128</f>
        <v>1.30705851098819</v>
      </c>
      <c r="Z128" s="4" t="n">
        <f aca="false">$AA$2*$B128^$AA$3*$S128^$AA$4*($AA$5*$N128^$AA$6+$AA$7)</f>
        <v>0.258136368853816</v>
      </c>
      <c r="AA128" s="4" t="n">
        <f aca="false">Z128/$R128</f>
        <v>1.29068184426908</v>
      </c>
      <c r="AC128" s="4" t="n">
        <f aca="false">$AD$2*($AD$3+$AD$4*$F128/($N128*'Sem TS MC2020'!P120))*($AD$5*$G128+$AD$6*$B128/$N128)*'Sem TS MC2020'!R120*($J128-$M128)/($J128-$M128-$H128)</f>
        <v>0.224137612869468</v>
      </c>
      <c r="AD128" s="4" t="n">
        <f aca="false">AC128/$R128</f>
        <v>1.12068806434734</v>
      </c>
      <c r="AE128" s="24" t="n">
        <f aca="false">AC128-$R128</f>
        <v>0.0241376128694681</v>
      </c>
      <c r="AF128" s="25" t="n">
        <f aca="false">1/AD128</f>
        <v>0.892308958945123</v>
      </c>
      <c r="AG128" s="25" t="n">
        <f aca="false">AC128*(14.068*'Sem TS MC2020'!$P120^-0.457)/$R128</f>
        <v>1.15434629133248</v>
      </c>
      <c r="AH128" s="25"/>
      <c r="AP128" s="4" t="n">
        <f aca="false">$AQ$2*($AQ$3+$AQ$4*$F128/($N128*'Sem TS MC2020'!P120))*($AQ$5*$G128+$AQ$6*$B128/$N128)*('Sem TS MC2020'!P120^$AQ$7/200000)*($J128-$M128)/($J128-$M128-$H128)+('Sem TS MC2020'!P120-$C128/$AQ$8)*($AQ$5*$G128+$AQ$6*$B128/$N128)/200000</f>
        <v>0.236603692911253</v>
      </c>
      <c r="AQ128" s="4" t="n">
        <f aca="false">AP128/$R128</f>
        <v>1.18301846455626</v>
      </c>
      <c r="AR128" s="24" t="n">
        <f aca="false">AP128-$R128</f>
        <v>0.0366036929112528</v>
      </c>
    </row>
    <row r="129" customFormat="false" ht="14.25" hidden="false" customHeight="false" outlineLevel="0" collapsed="false">
      <c r="A129" s="1" t="s">
        <v>48</v>
      </c>
      <c r="B129" s="2" t="n">
        <v>12</v>
      </c>
      <c r="C129" s="3" t="n">
        <v>500</v>
      </c>
      <c r="D129" s="3" t="n">
        <v>2</v>
      </c>
      <c r="E129" s="2" t="n">
        <v>296</v>
      </c>
      <c r="F129" s="4" t="n">
        <v>3.269</v>
      </c>
      <c r="G129" s="2" t="n">
        <v>25</v>
      </c>
      <c r="H129" s="2" t="n">
        <v>31</v>
      </c>
      <c r="I129" s="1" t="n">
        <v>400</v>
      </c>
      <c r="J129" s="2" t="n">
        <v>161</v>
      </c>
      <c r="K129" s="3" t="n">
        <v>220</v>
      </c>
      <c r="L129" s="4" t="n">
        <v>9646</v>
      </c>
      <c r="M129" s="3" t="n">
        <v>28.7588606062944</v>
      </c>
      <c r="N129" s="12" t="n">
        <v>0.0117247911599868</v>
      </c>
      <c r="O129" s="4" t="n">
        <v>4.67</v>
      </c>
      <c r="P129" s="3" t="n">
        <v>0</v>
      </c>
      <c r="Q129" s="4" t="n">
        <f aca="false">(P129-P$354)/P$355</f>
        <v>-2.05142319439841</v>
      </c>
      <c r="R129" s="4" t="n">
        <v>0.2</v>
      </c>
      <c r="S129" s="13" t="n">
        <f aca="false">P129/200000</f>
        <v>0</v>
      </c>
      <c r="W129" s="4" t="n">
        <f aca="false">$X$2*($X$3*$G129+$X$4*$B129^$X$5*$N129^$X$6)*$S129^$X$7</f>
        <v>0</v>
      </c>
      <c r="X129" s="4" t="n">
        <f aca="false">W129/$R129</f>
        <v>0</v>
      </c>
      <c r="Z129" s="4" t="n">
        <f aca="false">$AA$2*$B129^$AA$3*$S129^$AA$4*($AA$5*$N129^$AA$6+$AA$7)</f>
        <v>0</v>
      </c>
      <c r="AA129" s="4" t="n">
        <f aca="false">Z129/$R129</f>
        <v>0</v>
      </c>
      <c r="AC129" s="4" t="n">
        <f aca="false">$AD$2*($AD$3+$AD$4*$F129/($N129*'Sem TS MC2020'!P121))*($AD$5*$G129+$AD$6*$B129/$N129)*'Sem TS MC2020'!R121*($J129-$M129)/($J129-$M129-$H129)</f>
        <v>0.03634801695757</v>
      </c>
      <c r="AD129" s="4" t="n">
        <f aca="false">AC129/$R129</f>
        <v>0.18174008478785</v>
      </c>
      <c r="AE129" s="24" t="n">
        <f aca="false">AC129-$R129</f>
        <v>-0.16365198304243</v>
      </c>
      <c r="AF129" s="25" t="n">
        <f aca="false">1/AD129</f>
        <v>5.50236345034903</v>
      </c>
      <c r="AG129" s="25" t="n">
        <f aca="false">AC129*(14.068*'Sem TS MC2020'!$P121^-0.457)/$R129</f>
        <v>0.240525621356933</v>
      </c>
      <c r="AH129" s="25"/>
      <c r="AP129" s="4" t="n">
        <f aca="false">$AQ$2*($AQ$3+$AQ$4*$F129/($N129*'Sem TS MC2020'!P121))*($AQ$5*$G129+$AQ$6*$B129/$N129)*('Sem TS MC2020'!P121^$AQ$7/200000)*($J129-$M129)/($J129-$M129-$H129)+('Sem TS MC2020'!P121-$C129/$AQ$8)*($AQ$5*$G129+$AQ$6*$B129/$N129)/200000</f>
        <v>0.0304955679567299</v>
      </c>
      <c r="AQ129" s="4" t="n">
        <f aca="false">AP129/$R129</f>
        <v>0.152477839783649</v>
      </c>
      <c r="AR129" s="24" t="n">
        <f aca="false">AP129-$R129</f>
        <v>-0.16950443204327</v>
      </c>
    </row>
    <row r="130" customFormat="false" ht="14.25" hidden="false" customHeight="false" outlineLevel="0" collapsed="false">
      <c r="B130" s="2" t="n">
        <v>12</v>
      </c>
      <c r="C130" s="3" t="n">
        <v>500</v>
      </c>
      <c r="D130" s="3" t="n">
        <v>2</v>
      </c>
      <c r="E130" s="2" t="n">
        <v>296</v>
      </c>
      <c r="F130" s="4" t="n">
        <v>3.269</v>
      </c>
      <c r="G130" s="2" t="n">
        <v>25</v>
      </c>
      <c r="H130" s="2" t="n">
        <v>31</v>
      </c>
      <c r="I130" s="1" t="n">
        <v>400</v>
      </c>
      <c r="J130" s="2" t="n">
        <v>161</v>
      </c>
      <c r="K130" s="3" t="n">
        <v>220</v>
      </c>
      <c r="L130" s="4" t="n">
        <v>9646</v>
      </c>
      <c r="M130" s="3" t="n">
        <v>28.7588606062944</v>
      </c>
      <c r="N130" s="12" t="n">
        <v>0.0117247911599868</v>
      </c>
      <c r="O130" s="4" t="n">
        <v>6.42</v>
      </c>
      <c r="P130" s="3" t="n">
        <v>93.8749624813842</v>
      </c>
      <c r="Q130" s="4" t="n">
        <f aca="false">(P130-P$354)/P$355</f>
        <v>-1.26440060966819</v>
      </c>
      <c r="R130" s="4" t="n">
        <v>0.25</v>
      </c>
      <c r="S130" s="13" t="n">
        <f aca="false">P130/200000</f>
        <v>0.000469374812406921</v>
      </c>
      <c r="W130" s="4" t="n">
        <f aca="false">$X$2*($X$3*$G130+$X$4*$B130^$X$5*$N130^$X$6)*$S130^$X$7</f>
        <v>0.154165265300073</v>
      </c>
      <c r="X130" s="4" t="n">
        <f aca="false">W130/$R130</f>
        <v>0.616661061200292</v>
      </c>
      <c r="Z130" s="4" t="n">
        <f aca="false">$AA$2*$B130^$AA$3*$S130^$AA$4*($AA$5*$N130^$AA$6+$AA$7)</f>
        <v>0.153070915528009</v>
      </c>
      <c r="AA130" s="4" t="n">
        <f aca="false">Z130/$R130</f>
        <v>0.612283662112036</v>
      </c>
      <c r="AC130" s="4" t="n">
        <f aca="false">$AD$2*($AD$3+$AD$4*$F130/($N130*'Sem TS MC2020'!P122))*($AD$5*$G130+$AD$6*$B130/$N130)*'Sem TS MC2020'!R122*($J130-$M130)/($J130-$M130-$H130)</f>
        <v>0.13395010992863</v>
      </c>
      <c r="AD130" s="4" t="n">
        <f aca="false">AC130/$R130</f>
        <v>0.535800439714521</v>
      </c>
      <c r="AE130" s="24" t="n">
        <f aca="false">AC130-$R130</f>
        <v>-0.11604989007137</v>
      </c>
      <c r="AF130" s="25" t="n">
        <f aca="false">1/AD130</f>
        <v>1.86636651610963</v>
      </c>
      <c r="AG130" s="25" t="n">
        <f aca="false">AC130*(14.068*'Sem TS MC2020'!$P122^-0.457)/$R130</f>
        <v>0.61312354089136</v>
      </c>
      <c r="AH130" s="25"/>
      <c r="AP130" s="4" t="n">
        <f aca="false">$AQ$2*($AQ$3+$AQ$4*$F130/($N130*'Sem TS MC2020'!P122))*($AQ$5*$G130+$AQ$6*$B130/$N130)*('Sem TS MC2020'!P122^$AQ$7/200000)*($J130-$M130)/($J130-$M130-$H130)+('Sem TS MC2020'!P122-$C130/$AQ$8)*($AQ$5*$G130+$AQ$6*$B130/$N130)/200000</f>
        <v>0.14192346588992</v>
      </c>
      <c r="AQ130" s="4" t="n">
        <f aca="false">AP130/$R130</f>
        <v>0.567693863559681</v>
      </c>
      <c r="AR130" s="24" t="n">
        <f aca="false">AP130-$R130</f>
        <v>-0.10807653411008</v>
      </c>
    </row>
    <row r="131" customFormat="false" ht="14.25" hidden="false" customHeight="false" outlineLevel="0" collapsed="false">
      <c r="B131" s="2" t="n">
        <v>12</v>
      </c>
      <c r="C131" s="3" t="n">
        <v>500</v>
      </c>
      <c r="D131" s="3" t="n">
        <v>2</v>
      </c>
      <c r="E131" s="2" t="n">
        <v>296</v>
      </c>
      <c r="F131" s="4" t="n">
        <v>3.269</v>
      </c>
      <c r="G131" s="2" t="n">
        <v>25</v>
      </c>
      <c r="H131" s="2" t="n">
        <v>31</v>
      </c>
      <c r="I131" s="1" t="n">
        <v>400</v>
      </c>
      <c r="J131" s="2" t="n">
        <v>161</v>
      </c>
      <c r="K131" s="3" t="n">
        <v>220</v>
      </c>
      <c r="L131" s="4" t="n">
        <v>9646</v>
      </c>
      <c r="M131" s="3" t="n">
        <v>28.7588606062944</v>
      </c>
      <c r="N131" s="12" t="n">
        <v>0.0117247911599868</v>
      </c>
      <c r="O131" s="4" t="n">
        <v>8.17</v>
      </c>
      <c r="P131" s="3" t="n">
        <v>202.081566483245</v>
      </c>
      <c r="Q131" s="4" t="n">
        <f aca="false">(P131-P$354)/P$355</f>
        <v>-0.357225374489676</v>
      </c>
      <c r="R131" s="4" t="n">
        <v>0.33</v>
      </c>
      <c r="S131" s="13" t="n">
        <f aca="false">P131/200000</f>
        <v>0.00101040783241622</v>
      </c>
      <c r="W131" s="4" t="n">
        <f aca="false">$X$2*($X$3*$G131+$X$4*$B131^$X$5*$N131^$X$6)*$S131^$X$7</f>
        <v>0.247419141882804</v>
      </c>
      <c r="X131" s="4" t="n">
        <f aca="false">W131/$R131</f>
        <v>0.749754975402436</v>
      </c>
      <c r="Z131" s="4" t="n">
        <f aca="false">$AA$2*$B131^$AA$3*$S131^$AA$4*($AA$5*$N131^$AA$6+$AA$7)</f>
        <v>0.247743453677168</v>
      </c>
      <c r="AA131" s="4" t="n">
        <f aca="false">Z131/$R131</f>
        <v>0.75073773841566</v>
      </c>
      <c r="AC131" s="4" t="n">
        <f aca="false">$AD$2*($AD$3+$AD$4*$F131/($N131*'Sem TS MC2020'!P123))*($AD$5*$G131+$AD$6*$B131/$N131)*'Sem TS MC2020'!R123*($J131-$M131)/($J131-$M131-$H131)</f>
        <v>0.23155220289969</v>
      </c>
      <c r="AD131" s="4" t="n">
        <f aca="false">AC131/$R131</f>
        <v>0.701673342120274</v>
      </c>
      <c r="AE131" s="24" t="n">
        <f aca="false">AC131-$R131</f>
        <v>-0.0984477971003096</v>
      </c>
      <c r="AF131" s="25" t="n">
        <f aca="false">1/AD131</f>
        <v>1.42516458866495</v>
      </c>
      <c r="AG131" s="25" t="n">
        <f aca="false">AC131*(14.068*'Sem TS MC2020'!$P123^-0.457)/$R131</f>
        <v>0.719180545284093</v>
      </c>
      <c r="AH131" s="25"/>
      <c r="AP131" s="4" t="n">
        <f aca="false">$AQ$2*($AQ$3+$AQ$4*$F131/($N131*'Sem TS MC2020'!P123))*($AQ$5*$G131+$AQ$6*$B131/$N131)*('Sem TS MC2020'!P123^$AQ$7/200000)*($J131-$M131)/($J131-$M131-$H131)+('Sem TS MC2020'!P123-$C131/$AQ$8)*($AQ$5*$G131+$AQ$6*$B131/$N131)/200000</f>
        <v>0.244816469653209</v>
      </c>
      <c r="AQ131" s="4" t="n">
        <f aca="false">AP131/$R131</f>
        <v>0.741868089858208</v>
      </c>
      <c r="AR131" s="24" t="n">
        <f aca="false">AP131-$R131</f>
        <v>-0.0851835303467915</v>
      </c>
    </row>
    <row r="132" customFormat="false" ht="14.25" hidden="false" customHeight="false" outlineLevel="0" collapsed="false">
      <c r="A132" s="1" t="s">
        <v>49</v>
      </c>
      <c r="B132" s="2" t="n">
        <v>12</v>
      </c>
      <c r="C132" s="3" t="n">
        <v>500</v>
      </c>
      <c r="D132" s="3" t="n">
        <v>2</v>
      </c>
      <c r="E132" s="2" t="n">
        <v>296</v>
      </c>
      <c r="F132" s="4" t="n">
        <v>3.269</v>
      </c>
      <c r="G132" s="2" t="n">
        <v>25</v>
      </c>
      <c r="H132" s="2" t="n">
        <v>31</v>
      </c>
      <c r="I132" s="1" t="n">
        <v>400</v>
      </c>
      <c r="J132" s="2" t="n">
        <v>161</v>
      </c>
      <c r="K132" s="3" t="n">
        <v>220</v>
      </c>
      <c r="L132" s="4" t="n">
        <v>9646</v>
      </c>
      <c r="M132" s="3" t="n">
        <v>28.7588606062944</v>
      </c>
      <c r="N132" s="12" t="n">
        <v>0.0117247911599868</v>
      </c>
      <c r="O132" s="4" t="n">
        <v>6.42</v>
      </c>
      <c r="P132" s="3" t="n">
        <v>93.8749624813842</v>
      </c>
      <c r="Q132" s="4" t="n">
        <f aca="false">(P132-P$354)/P$355</f>
        <v>-1.26440060966819</v>
      </c>
      <c r="R132" s="4" t="n">
        <v>0.23</v>
      </c>
      <c r="S132" s="13" t="n">
        <f aca="false">P132/200000</f>
        <v>0.000469374812406921</v>
      </c>
      <c r="W132" s="4" t="n">
        <f aca="false">$X$2*($X$3*$G132+$X$4*$B132^$X$5*$N132^$X$6)*$S132^$X$7</f>
        <v>0.154165265300073</v>
      </c>
      <c r="X132" s="4" t="n">
        <f aca="false">W132/$R132</f>
        <v>0.670283762174231</v>
      </c>
      <c r="Z132" s="4" t="n">
        <f aca="false">$AA$2*$B132^$AA$3*$S132^$AA$4*($AA$5*$N132^$AA$6+$AA$7)</f>
        <v>0.153070915528009</v>
      </c>
      <c r="AA132" s="4" t="n">
        <f aca="false">Z132/$R132</f>
        <v>0.665525719686996</v>
      </c>
      <c r="AC132" s="4" t="n">
        <f aca="false">$AD$2*($AD$3+$AD$4*$F132/($N132*'Sem TS MC2020'!P124))*($AD$5*$G132+$AD$6*$B132/$N132)*'Sem TS MC2020'!R124*($J132-$M132)/($J132-$M132-$H132)</f>
        <v>0.13395010992863</v>
      </c>
      <c r="AD132" s="4" t="n">
        <f aca="false">AC132/$R132</f>
        <v>0.582391782298392</v>
      </c>
      <c r="AE132" s="24" t="n">
        <f aca="false">AC132-$R132</f>
        <v>-0.0960498900713699</v>
      </c>
      <c r="AF132" s="25" t="n">
        <f aca="false">1/AD132</f>
        <v>1.71705719482086</v>
      </c>
      <c r="AG132" s="25" t="n">
        <f aca="false">AC132*(14.068*'Sem TS MC2020'!$P124^-0.457)/$R132</f>
        <v>0.666438631403652</v>
      </c>
      <c r="AH132" s="25"/>
      <c r="AP132" s="4" t="n">
        <f aca="false">$AQ$2*($AQ$3+$AQ$4*$F132/($N132*'Sem TS MC2020'!P124))*($AQ$5*$G132+$AQ$6*$B132/$N132)*('Sem TS MC2020'!P124^$AQ$7/200000)*($J132-$M132)/($J132-$M132-$H132)+('Sem TS MC2020'!P124-$C132/$AQ$8)*($AQ$5*$G132+$AQ$6*$B132/$N132)/200000</f>
        <v>0.14192346588992</v>
      </c>
      <c r="AQ132" s="4" t="n">
        <f aca="false">AP132/$R132</f>
        <v>0.617058547347479</v>
      </c>
      <c r="AR132" s="24" t="n">
        <f aca="false">AP132-$R132</f>
        <v>-0.0880765341100799</v>
      </c>
    </row>
    <row r="133" customFormat="false" ht="14.25" hidden="false" customHeight="false" outlineLevel="0" collapsed="false">
      <c r="B133" s="2" t="n">
        <v>12</v>
      </c>
      <c r="C133" s="3" t="n">
        <v>500</v>
      </c>
      <c r="D133" s="3" t="n">
        <v>2</v>
      </c>
      <c r="E133" s="2" t="n">
        <v>296</v>
      </c>
      <c r="F133" s="4" t="n">
        <v>3.269</v>
      </c>
      <c r="G133" s="2" t="n">
        <v>25</v>
      </c>
      <c r="H133" s="2" t="n">
        <v>31</v>
      </c>
      <c r="I133" s="1" t="n">
        <v>400</v>
      </c>
      <c r="J133" s="2" t="n">
        <v>161</v>
      </c>
      <c r="K133" s="3" t="n">
        <v>220</v>
      </c>
      <c r="L133" s="4" t="n">
        <v>9646</v>
      </c>
      <c r="M133" s="3" t="n">
        <v>28.7588606062944</v>
      </c>
      <c r="N133" s="12" t="n">
        <v>0.0117247911599868</v>
      </c>
      <c r="O133" s="4" t="n">
        <v>8.17</v>
      </c>
      <c r="P133" s="3" t="n">
        <v>202.081566483245</v>
      </c>
      <c r="Q133" s="4" t="n">
        <f aca="false">(P133-P$354)/P$355</f>
        <v>-0.357225374489676</v>
      </c>
      <c r="R133" s="4" t="n">
        <v>0.28</v>
      </c>
      <c r="S133" s="13" t="n">
        <f aca="false">P133/200000</f>
        <v>0.00101040783241622</v>
      </c>
      <c r="W133" s="4" t="n">
        <f aca="false">$X$2*($X$3*$G133+$X$4*$B133^$X$5*$N133^$X$6)*$S133^$X$7</f>
        <v>0.247419141882804</v>
      </c>
      <c r="X133" s="4" t="n">
        <f aca="false">W133/$R133</f>
        <v>0.883639792438585</v>
      </c>
      <c r="Z133" s="4" t="n">
        <f aca="false">$AA$2*$B133^$AA$3*$S133^$AA$4*($AA$5*$N133^$AA$6+$AA$7)</f>
        <v>0.247743453677168</v>
      </c>
      <c r="AA133" s="4" t="n">
        <f aca="false">Z133/$R133</f>
        <v>0.884798048847027</v>
      </c>
      <c r="AC133" s="4" t="n">
        <f aca="false">$AD$2*($AD$3+$AD$4*$F133/($N133*'Sem TS MC2020'!P125))*($AD$5*$G133+$AD$6*$B133/$N133)*'Sem TS MC2020'!R125*($J133-$M133)/($J133-$M133-$H133)</f>
        <v>0.23155220289969</v>
      </c>
      <c r="AD133" s="4" t="n">
        <f aca="false">AC133/$R133</f>
        <v>0.82697215321318</v>
      </c>
      <c r="AE133" s="24" t="n">
        <f aca="false">AC133-$R133</f>
        <v>-0.0484477971003096</v>
      </c>
      <c r="AF133" s="25" t="n">
        <f aca="false">1/AD133</f>
        <v>1.20923056007935</v>
      </c>
      <c r="AG133" s="25" t="n">
        <f aca="false">AC133*(14.068*'Sem TS MC2020'!$P125^-0.457)/$R133</f>
        <v>0.847605642656252</v>
      </c>
      <c r="AH133" s="25"/>
      <c r="AP133" s="4" t="n">
        <f aca="false">$AQ$2*($AQ$3+$AQ$4*$F133/($N133*'Sem TS MC2020'!P125))*($AQ$5*$G133+$AQ$6*$B133/$N133)*('Sem TS MC2020'!P125^$AQ$7/200000)*($J133-$M133)/($J133-$M133-$H133)+('Sem TS MC2020'!P125-$C133/$AQ$8)*($AQ$5*$G133+$AQ$6*$B133/$N133)/200000</f>
        <v>0.244816469653209</v>
      </c>
      <c r="AQ133" s="4" t="n">
        <f aca="false">AP133/$R133</f>
        <v>0.874344534475745</v>
      </c>
      <c r="AR133" s="24" t="n">
        <f aca="false">AP133-$R133</f>
        <v>-0.0351835303467915</v>
      </c>
    </row>
    <row r="134" customFormat="false" ht="14.25" hidden="false" customHeight="false" outlineLevel="0" collapsed="false">
      <c r="A134" s="1" t="s">
        <v>50</v>
      </c>
      <c r="B134" s="2" t="n">
        <v>12</v>
      </c>
      <c r="C134" s="3" t="n">
        <v>500</v>
      </c>
      <c r="D134" s="3" t="n">
        <v>3</v>
      </c>
      <c r="E134" s="2" t="n">
        <v>142</v>
      </c>
      <c r="F134" s="4" t="n">
        <v>3.269</v>
      </c>
      <c r="G134" s="2" t="n">
        <v>25</v>
      </c>
      <c r="H134" s="2" t="n">
        <v>31</v>
      </c>
      <c r="I134" s="1" t="n">
        <v>400</v>
      </c>
      <c r="J134" s="2" t="n">
        <v>161</v>
      </c>
      <c r="K134" s="3" t="n">
        <v>330</v>
      </c>
      <c r="L134" s="4" t="n">
        <v>9646</v>
      </c>
      <c r="M134" s="3" t="n">
        <v>34.253185076506</v>
      </c>
      <c r="N134" s="12" t="n">
        <v>0.0117247911599868</v>
      </c>
      <c r="O134" s="4" t="n">
        <v>8.17</v>
      </c>
      <c r="P134" s="3" t="n">
        <v>38.8928744315686</v>
      </c>
      <c r="Q134" s="4" t="n">
        <f aca="false">(P134-P$354)/P$355</f>
        <v>-1.72535573451749</v>
      </c>
      <c r="R134" s="4" t="n">
        <v>0.18</v>
      </c>
      <c r="S134" s="13" t="n">
        <f aca="false">P134/200000</f>
        <v>0.000194464372157843</v>
      </c>
      <c r="W134" s="4" t="n">
        <f aca="false">$X$2*($X$3*$G134+$X$4*$B134^$X$5*$N134^$X$6)*$S134^$X$7</f>
        <v>0.0895103258552805</v>
      </c>
      <c r="X134" s="4" t="n">
        <f aca="false">W134/$R134</f>
        <v>0.497279588084892</v>
      </c>
      <c r="Z134" s="4" t="n">
        <f aca="false">$AA$2*$B134^$AA$3*$S134^$AA$4*($AA$5*$N134^$AA$6+$AA$7)</f>
        <v>0.0880176575230474</v>
      </c>
      <c r="AA134" s="4" t="n">
        <f aca="false">Z134/$R134</f>
        <v>0.488986986239152</v>
      </c>
      <c r="AC134" s="4" t="n">
        <f aca="false">$AD$2*($AD$3+$AD$4*$F134/($N134*'Sem TS MC2020'!P126))*($AD$5*$G134+$AD$6*$B134/$N134)*'Sem TS MC2020'!R126*($J134-$M134)/($J134-$M134-$H134)</f>
        <v>0.0854911582198967</v>
      </c>
      <c r="AD134" s="4" t="n">
        <f aca="false">AC134/$R134</f>
        <v>0.474950878999426</v>
      </c>
      <c r="AE134" s="24" t="n">
        <f aca="false">AC134-$R134</f>
        <v>-0.0945088417801033</v>
      </c>
      <c r="AF134" s="25" t="n">
        <f aca="false">1/AD134</f>
        <v>2.10548089121698</v>
      </c>
      <c r="AG134" s="25" t="n">
        <f aca="false">AC134*(14.068*'Sem TS MC2020'!$P126^-0.457)/$R134</f>
        <v>0.581813077919482</v>
      </c>
      <c r="AH134" s="25"/>
      <c r="AP134" s="4" t="n">
        <f aca="false">$AQ$2*($AQ$3+$AQ$4*$F134/($N134*'Sem TS MC2020'!P126))*($AQ$5*$G134+$AQ$6*$B134/$N134)*('Sem TS MC2020'!P126^$AQ$7/200000)*($J134-$M134)/($J134-$M134-$H134)+('Sem TS MC2020'!P126-$C134/$AQ$8)*($AQ$5*$G134+$AQ$6*$B134/$N134)/200000</f>
        <v>0.0878606625564897</v>
      </c>
      <c r="AQ134" s="4" t="n">
        <f aca="false">AP134/$R134</f>
        <v>0.488114791980498</v>
      </c>
      <c r="AR134" s="24" t="n">
        <f aca="false">AP134-$R134</f>
        <v>-0.0921393374435103</v>
      </c>
    </row>
    <row r="135" customFormat="false" ht="14.25" hidden="false" customHeight="false" outlineLevel="0" collapsed="false">
      <c r="B135" s="2" t="n">
        <v>12</v>
      </c>
      <c r="C135" s="3" t="n">
        <v>500</v>
      </c>
      <c r="D135" s="3" t="n">
        <v>3</v>
      </c>
      <c r="E135" s="2" t="n">
        <v>142</v>
      </c>
      <c r="F135" s="4" t="n">
        <v>3.269</v>
      </c>
      <c r="G135" s="2" t="n">
        <v>25</v>
      </c>
      <c r="H135" s="2" t="n">
        <v>31</v>
      </c>
      <c r="I135" s="1" t="n">
        <v>400</v>
      </c>
      <c r="J135" s="2" t="n">
        <v>161</v>
      </c>
      <c r="K135" s="3" t="n">
        <v>330</v>
      </c>
      <c r="L135" s="4" t="n">
        <v>9646</v>
      </c>
      <c r="M135" s="3" t="n">
        <v>34.253185076506</v>
      </c>
      <c r="N135" s="12" t="n">
        <v>0.0117247911599868</v>
      </c>
      <c r="O135" s="4" t="n">
        <v>9.92</v>
      </c>
      <c r="P135" s="3" t="n">
        <v>112.144740233866</v>
      </c>
      <c r="Q135" s="4" t="n">
        <f aca="false">(P135-P$354)/P$355</f>
        <v>-1.11123167804751</v>
      </c>
      <c r="R135" s="4" t="n">
        <v>0.23</v>
      </c>
      <c r="S135" s="13" t="n">
        <f aca="false">P135/200000</f>
        <v>0.000560723701169329</v>
      </c>
      <c r="W135" s="4" t="n">
        <f aca="false">$X$2*($X$3*$G135+$X$4*$B135^$X$5*$N135^$X$6)*$S135^$X$7</f>
        <v>0.172042961430911</v>
      </c>
      <c r="X135" s="4" t="n">
        <f aca="false">W135/$R135</f>
        <v>0.748012875786568</v>
      </c>
      <c r="Z135" s="4" t="n">
        <f aca="false">$AA$2*$B135^$AA$3*$S135^$AA$4*($AA$5*$N135^$AA$6+$AA$7)</f>
        <v>0.171156176137085</v>
      </c>
      <c r="AA135" s="4" t="n">
        <f aca="false">Z135/$R135</f>
        <v>0.744157287552542</v>
      </c>
      <c r="AC135" s="4" t="n">
        <f aca="false">$AD$2*($AD$3+$AD$4*$F135/($N135*'Sem TS MC2020'!P127))*($AD$5*$G135+$AD$6*$B135/$N135)*'Sem TS MC2020'!R127*($J135-$M135)/($J135-$M135-$H135)</f>
        <v>0.152452972976637</v>
      </c>
      <c r="AD135" s="4" t="n">
        <f aca="false">AC135/$R135</f>
        <v>0.6628390129419</v>
      </c>
      <c r="AE135" s="24" t="n">
        <f aca="false">AC135-$R135</f>
        <v>-0.0775470270233631</v>
      </c>
      <c r="AF135" s="25" t="n">
        <f aca="false">1/AD135</f>
        <v>1.50866195331755</v>
      </c>
      <c r="AG135" s="25" t="n">
        <f aca="false">AC135*(14.068*'Sem TS MC2020'!$P127^-0.457)/$R135</f>
        <v>0.743057617693713</v>
      </c>
      <c r="AH135" s="25"/>
      <c r="AP135" s="4" t="n">
        <f aca="false">$AQ$2*($AQ$3+$AQ$4*$F135/($N135*'Sem TS MC2020'!P127))*($AQ$5*$G135+$AQ$6*$B135/$N135)*('Sem TS MC2020'!P127^$AQ$7/200000)*($J135-$M135)/($J135-$M135-$H135)+('Sem TS MC2020'!P127-$C135/$AQ$8)*($AQ$5*$G135+$AQ$6*$B135/$N135)/200000</f>
        <v>0.16193665736015</v>
      </c>
      <c r="AQ135" s="4" t="n">
        <f aca="false">AP135/$R135</f>
        <v>0.704072423305001</v>
      </c>
      <c r="AR135" s="24" t="n">
        <f aca="false">AP135-$R135</f>
        <v>-0.0680633426398499</v>
      </c>
    </row>
    <row r="136" customFormat="false" ht="14.25" hidden="false" customHeight="false" outlineLevel="0" collapsed="false">
      <c r="B136" s="2" t="n">
        <v>12</v>
      </c>
      <c r="C136" s="3" t="n">
        <v>500</v>
      </c>
      <c r="D136" s="3" t="n">
        <v>3</v>
      </c>
      <c r="E136" s="2" t="n">
        <v>142</v>
      </c>
      <c r="F136" s="4" t="n">
        <v>3.269</v>
      </c>
      <c r="G136" s="2" t="n">
        <v>25</v>
      </c>
      <c r="H136" s="2" t="n">
        <v>31</v>
      </c>
      <c r="I136" s="1" t="n">
        <v>400</v>
      </c>
      <c r="J136" s="2" t="n">
        <v>161</v>
      </c>
      <c r="K136" s="3" t="n">
        <v>330</v>
      </c>
      <c r="L136" s="4" t="n">
        <v>9646</v>
      </c>
      <c r="M136" s="3" t="n">
        <v>34.253185076506</v>
      </c>
      <c r="N136" s="12" t="n">
        <v>0.0117247911599868</v>
      </c>
      <c r="O136" s="4" t="n">
        <v>11.67</v>
      </c>
      <c r="P136" s="3" t="n">
        <v>185.396606036163</v>
      </c>
      <c r="Q136" s="4" t="n">
        <f aca="false">(P136-P$354)/P$355</f>
        <v>-0.497107621577531</v>
      </c>
      <c r="R136" s="4" t="n">
        <v>0.25</v>
      </c>
      <c r="S136" s="13" t="n">
        <f aca="false">P136/200000</f>
        <v>0.000926983030180814</v>
      </c>
      <c r="W136" s="4" t="n">
        <f aca="false">$X$2*($X$3*$G136+$X$4*$B136^$X$5*$N136^$X$6)*$S136^$X$7</f>
        <v>0.234607623620309</v>
      </c>
      <c r="X136" s="4" t="n">
        <f aca="false">W136/$R136</f>
        <v>0.938430494481235</v>
      </c>
      <c r="Z136" s="4" t="n">
        <f aca="false">$AA$2*$B136^$AA$3*$S136^$AA$4*($AA$5*$N136^$AA$6+$AA$7)</f>
        <v>0.234692568337393</v>
      </c>
      <c r="AA136" s="4" t="n">
        <f aca="false">Z136/$R136</f>
        <v>0.938770273349572</v>
      </c>
      <c r="AC136" s="4" t="n">
        <f aca="false">$AD$2*($AD$3+$AD$4*$F136/($N136*'Sem TS MC2020'!P128))*($AD$5*$G136+$AD$6*$B136/$N136)*'Sem TS MC2020'!R128*($J136-$M136)/($J136-$M136-$H136)</f>
        <v>0.219414787733377</v>
      </c>
      <c r="AD136" s="4" t="n">
        <f aca="false">AC136/$R136</f>
        <v>0.877659150933508</v>
      </c>
      <c r="AE136" s="24" t="n">
        <f aca="false">AC136-$R136</f>
        <v>-0.0305852122666231</v>
      </c>
      <c r="AF136" s="25" t="n">
        <f aca="false">1/AD136</f>
        <v>1.13939448923465</v>
      </c>
      <c r="AG136" s="25" t="n">
        <f aca="false">AC136*(14.068*'Sem TS MC2020'!$P128^-0.457)/$R136</f>
        <v>0.913471006142374</v>
      </c>
      <c r="AH136" s="25"/>
      <c r="AP136" s="4" t="n">
        <f aca="false">$AQ$2*($AQ$3+$AQ$4*$F136/($N136*'Sem TS MC2020'!P128))*($AQ$5*$G136+$AQ$6*$B136/$N136)*('Sem TS MC2020'!P128^$AQ$7/200000)*($J136-$M136)/($J136-$M136-$H136)+('Sem TS MC2020'!P128-$C136/$AQ$8)*($AQ$5*$G136+$AQ$6*$B136/$N136)/200000</f>
        <v>0.232397473547188</v>
      </c>
      <c r="AQ136" s="4" t="n">
        <f aca="false">AP136/$R136</f>
        <v>0.929589894188751</v>
      </c>
      <c r="AR136" s="24" t="n">
        <f aca="false">AP136-$R136</f>
        <v>-0.0176025264528123</v>
      </c>
    </row>
    <row r="137" customFormat="false" ht="14.25" hidden="false" customHeight="false" outlineLevel="0" collapsed="false">
      <c r="A137" s="1" t="s">
        <v>51</v>
      </c>
      <c r="B137" s="2" t="n">
        <v>12</v>
      </c>
      <c r="C137" s="3" t="n">
        <v>500</v>
      </c>
      <c r="D137" s="3" t="n">
        <v>3</v>
      </c>
      <c r="E137" s="2" t="n">
        <v>142</v>
      </c>
      <c r="F137" s="4" t="n">
        <v>3.269</v>
      </c>
      <c r="G137" s="2" t="n">
        <v>25</v>
      </c>
      <c r="H137" s="2" t="n">
        <v>31</v>
      </c>
      <c r="I137" s="1" t="n">
        <v>400</v>
      </c>
      <c r="J137" s="2" t="n">
        <v>161</v>
      </c>
      <c r="K137" s="3" t="n">
        <v>330</v>
      </c>
      <c r="L137" s="4" t="n">
        <v>9646</v>
      </c>
      <c r="M137" s="3" t="n">
        <v>34.253185076506</v>
      </c>
      <c r="N137" s="12" t="n">
        <v>0.0117247911599868</v>
      </c>
      <c r="O137" s="4" t="n">
        <v>8.17</v>
      </c>
      <c r="P137" s="3" t="n">
        <v>38.8928744315686</v>
      </c>
      <c r="Q137" s="4" t="n">
        <f aca="false">(P137-P$354)/P$355</f>
        <v>-1.72535573451749</v>
      </c>
      <c r="R137" s="4" t="n">
        <v>0.18</v>
      </c>
      <c r="S137" s="13" t="n">
        <f aca="false">P137/200000</f>
        <v>0.000194464372157843</v>
      </c>
      <c r="W137" s="4" t="n">
        <f aca="false">$X$2*($X$3*$G137+$X$4*$B137^$X$5*$N137^$X$6)*$S137^$X$7</f>
        <v>0.0895103258552805</v>
      </c>
      <c r="X137" s="4" t="n">
        <f aca="false">W137/$R137</f>
        <v>0.497279588084892</v>
      </c>
      <c r="Z137" s="4" t="n">
        <f aca="false">$AA$2*$B137^$AA$3*$S137^$AA$4*($AA$5*$N137^$AA$6+$AA$7)</f>
        <v>0.0880176575230474</v>
      </c>
      <c r="AA137" s="4" t="n">
        <f aca="false">Z137/$R137</f>
        <v>0.488986986239152</v>
      </c>
      <c r="AC137" s="4" t="n">
        <f aca="false">$AD$2*($AD$3+$AD$4*$F137/($N137*'Sem TS MC2020'!P129))*($AD$5*$G137+$AD$6*$B137/$N137)*'Sem TS MC2020'!R129*($J137-$M137)/($J137-$M137-$H137)</f>
        <v>0.0854911582198967</v>
      </c>
      <c r="AD137" s="4" t="n">
        <f aca="false">AC137/$R137</f>
        <v>0.474950878999426</v>
      </c>
      <c r="AE137" s="24" t="n">
        <f aca="false">AC137-$R137</f>
        <v>-0.0945088417801033</v>
      </c>
      <c r="AF137" s="25" t="n">
        <f aca="false">1/AD137</f>
        <v>2.10548089121698</v>
      </c>
      <c r="AG137" s="25" t="n">
        <f aca="false">AC137*(14.068*'Sem TS MC2020'!$P129^-0.457)/$R137</f>
        <v>0.581813077919482</v>
      </c>
      <c r="AH137" s="25"/>
      <c r="AP137" s="4" t="n">
        <f aca="false">$AQ$2*($AQ$3+$AQ$4*$F137/($N137*'Sem TS MC2020'!P129))*($AQ$5*$G137+$AQ$6*$B137/$N137)*('Sem TS MC2020'!P129^$AQ$7/200000)*($J137-$M137)/($J137-$M137-$H137)+('Sem TS MC2020'!P129-$C137/$AQ$8)*($AQ$5*$G137+$AQ$6*$B137/$N137)/200000</f>
        <v>0.0878606625564897</v>
      </c>
      <c r="AQ137" s="4" t="n">
        <f aca="false">AP137/$R137</f>
        <v>0.488114791980498</v>
      </c>
      <c r="AR137" s="24" t="n">
        <f aca="false">AP137-$R137</f>
        <v>-0.0921393374435103</v>
      </c>
    </row>
    <row r="138" customFormat="false" ht="14.25" hidden="false" customHeight="false" outlineLevel="0" collapsed="false">
      <c r="B138" s="2" t="n">
        <v>12</v>
      </c>
      <c r="C138" s="3" t="n">
        <v>500</v>
      </c>
      <c r="D138" s="3" t="n">
        <v>3</v>
      </c>
      <c r="E138" s="2" t="n">
        <v>142</v>
      </c>
      <c r="F138" s="4" t="n">
        <v>3.269</v>
      </c>
      <c r="G138" s="2" t="n">
        <v>25</v>
      </c>
      <c r="H138" s="2" t="n">
        <v>31</v>
      </c>
      <c r="I138" s="1" t="n">
        <v>400</v>
      </c>
      <c r="J138" s="2" t="n">
        <v>161</v>
      </c>
      <c r="K138" s="3" t="n">
        <v>330</v>
      </c>
      <c r="L138" s="4" t="n">
        <v>9646</v>
      </c>
      <c r="M138" s="3" t="n">
        <v>34.253185076506</v>
      </c>
      <c r="N138" s="12" t="n">
        <v>0.0117247911599868</v>
      </c>
      <c r="O138" s="4" t="n">
        <v>9.92</v>
      </c>
      <c r="P138" s="3" t="n">
        <v>112.144740233866</v>
      </c>
      <c r="Q138" s="4" t="n">
        <f aca="false">(P138-P$354)/P$355</f>
        <v>-1.11123167804751</v>
      </c>
      <c r="R138" s="4" t="n">
        <v>0.23</v>
      </c>
      <c r="S138" s="13" t="n">
        <f aca="false">P138/200000</f>
        <v>0.000560723701169329</v>
      </c>
      <c r="W138" s="4" t="n">
        <f aca="false">$X$2*($X$3*$G138+$X$4*$B138^$X$5*$N138^$X$6)*$S138^$X$7</f>
        <v>0.172042961430911</v>
      </c>
      <c r="X138" s="4" t="n">
        <f aca="false">W138/$R138</f>
        <v>0.748012875786568</v>
      </c>
      <c r="Z138" s="4" t="n">
        <f aca="false">$AA$2*$B138^$AA$3*$S138^$AA$4*($AA$5*$N138^$AA$6+$AA$7)</f>
        <v>0.171156176137085</v>
      </c>
      <c r="AA138" s="4" t="n">
        <f aca="false">Z138/$R138</f>
        <v>0.744157287552542</v>
      </c>
      <c r="AC138" s="4" t="n">
        <f aca="false">$AD$2*($AD$3+$AD$4*$F138/($N138*'Sem TS MC2020'!P130))*($AD$5*$G138+$AD$6*$B138/$N138)*'Sem TS MC2020'!R130*($J138-$M138)/($J138-$M138-$H138)</f>
        <v>0.152452972976637</v>
      </c>
      <c r="AD138" s="4" t="n">
        <f aca="false">AC138/$R138</f>
        <v>0.6628390129419</v>
      </c>
      <c r="AE138" s="24" t="n">
        <f aca="false">AC138-$R138</f>
        <v>-0.0775470270233631</v>
      </c>
      <c r="AF138" s="25" t="n">
        <f aca="false">1/AD138</f>
        <v>1.50866195331755</v>
      </c>
      <c r="AG138" s="25" t="n">
        <f aca="false">AC138*(14.068*'Sem TS MC2020'!$P130^-0.457)/$R138</f>
        <v>0.743057617693713</v>
      </c>
      <c r="AH138" s="25"/>
      <c r="AP138" s="4" t="n">
        <f aca="false">$AQ$2*($AQ$3+$AQ$4*$F138/($N138*'Sem TS MC2020'!P130))*($AQ$5*$G138+$AQ$6*$B138/$N138)*('Sem TS MC2020'!P130^$AQ$7/200000)*($J138-$M138)/($J138-$M138-$H138)+('Sem TS MC2020'!P130-$C138/$AQ$8)*($AQ$5*$G138+$AQ$6*$B138/$N138)/200000</f>
        <v>0.16193665736015</v>
      </c>
      <c r="AQ138" s="4" t="n">
        <f aca="false">AP138/$R138</f>
        <v>0.704072423305001</v>
      </c>
      <c r="AR138" s="24" t="n">
        <f aca="false">AP138-$R138</f>
        <v>-0.0680633426398499</v>
      </c>
    </row>
    <row r="139" customFormat="false" ht="14.25" hidden="false" customHeight="false" outlineLevel="0" collapsed="false">
      <c r="B139" s="2" t="n">
        <v>12</v>
      </c>
      <c r="C139" s="3" t="n">
        <v>500</v>
      </c>
      <c r="D139" s="3" t="n">
        <v>3</v>
      </c>
      <c r="E139" s="2" t="n">
        <v>142</v>
      </c>
      <c r="F139" s="4" t="n">
        <v>3.269</v>
      </c>
      <c r="G139" s="2" t="n">
        <v>25</v>
      </c>
      <c r="H139" s="2" t="n">
        <v>31</v>
      </c>
      <c r="I139" s="1" t="n">
        <v>400</v>
      </c>
      <c r="J139" s="2" t="n">
        <v>161</v>
      </c>
      <c r="K139" s="3" t="n">
        <v>330</v>
      </c>
      <c r="L139" s="4" t="n">
        <v>9646</v>
      </c>
      <c r="M139" s="3" t="n">
        <v>34.253185076506</v>
      </c>
      <c r="N139" s="12" t="n">
        <v>0.0117247911599868</v>
      </c>
      <c r="O139" s="4" t="n">
        <v>11.67</v>
      </c>
      <c r="P139" s="3" t="n">
        <v>185.396606036163</v>
      </c>
      <c r="Q139" s="4" t="n">
        <f aca="false">(P139-P$354)/P$355</f>
        <v>-0.497107621577531</v>
      </c>
      <c r="R139" s="4" t="n">
        <v>0.25</v>
      </c>
      <c r="S139" s="13" t="n">
        <f aca="false">P139/200000</f>
        <v>0.000926983030180814</v>
      </c>
      <c r="W139" s="4" t="n">
        <f aca="false">$X$2*($X$3*$G139+$X$4*$B139^$X$5*$N139^$X$6)*$S139^$X$7</f>
        <v>0.234607623620309</v>
      </c>
      <c r="X139" s="4" t="n">
        <f aca="false">W139/$R139</f>
        <v>0.938430494481235</v>
      </c>
      <c r="Z139" s="4" t="n">
        <f aca="false">$AA$2*$B139^$AA$3*$S139^$AA$4*($AA$5*$N139^$AA$6+$AA$7)</f>
        <v>0.234692568337393</v>
      </c>
      <c r="AA139" s="4" t="n">
        <f aca="false">Z139/$R139</f>
        <v>0.938770273349572</v>
      </c>
      <c r="AC139" s="4" t="n">
        <f aca="false">$AD$2*($AD$3+$AD$4*$F139/($N139*'Sem TS MC2020'!P131))*($AD$5*$G139+$AD$6*$B139/$N139)*'Sem TS MC2020'!R131*($J139-$M139)/($J139-$M139-$H139)</f>
        <v>0.219414787733377</v>
      </c>
      <c r="AD139" s="4" t="n">
        <f aca="false">AC139/$R139</f>
        <v>0.877659150933508</v>
      </c>
      <c r="AE139" s="24" t="n">
        <f aca="false">AC139-$R139</f>
        <v>-0.0305852122666231</v>
      </c>
      <c r="AF139" s="25" t="n">
        <f aca="false">1/AD139</f>
        <v>1.13939448923465</v>
      </c>
      <c r="AG139" s="25" t="n">
        <f aca="false">AC139*(14.068*'Sem TS MC2020'!$P131^-0.457)/$R139</f>
        <v>0.913471006142374</v>
      </c>
      <c r="AH139" s="25"/>
      <c r="AP139" s="4" t="n">
        <f aca="false">$AQ$2*($AQ$3+$AQ$4*$F139/($N139*'Sem TS MC2020'!P131))*($AQ$5*$G139+$AQ$6*$B139/$N139)*('Sem TS MC2020'!P131^$AQ$7/200000)*($J139-$M139)/($J139-$M139-$H139)+('Sem TS MC2020'!P131-$C139/$AQ$8)*($AQ$5*$G139+$AQ$6*$B139/$N139)/200000</f>
        <v>0.232397473547188</v>
      </c>
      <c r="AQ139" s="4" t="n">
        <f aca="false">AP139/$R139</f>
        <v>0.929589894188751</v>
      </c>
      <c r="AR139" s="24" t="n">
        <f aca="false">AP139-$R139</f>
        <v>-0.0176025264528123</v>
      </c>
    </row>
    <row r="140" customFormat="false" ht="14.25" hidden="false" customHeight="false" outlineLevel="0" collapsed="false">
      <c r="A140" s="1" t="s">
        <v>52</v>
      </c>
      <c r="B140" s="2" t="n">
        <v>12</v>
      </c>
      <c r="C140" s="3" t="n">
        <v>500</v>
      </c>
      <c r="D140" s="3" t="n">
        <v>4</v>
      </c>
      <c r="E140" s="2" t="n">
        <v>90.67</v>
      </c>
      <c r="F140" s="4" t="n">
        <v>3.269</v>
      </c>
      <c r="G140" s="2" t="n">
        <v>25</v>
      </c>
      <c r="H140" s="2" t="n">
        <v>31</v>
      </c>
      <c r="I140" s="1" t="n">
        <v>400</v>
      </c>
      <c r="J140" s="2" t="n">
        <v>161</v>
      </c>
      <c r="K140" s="3" t="n">
        <v>440</v>
      </c>
      <c r="L140" s="4" t="n">
        <v>36400</v>
      </c>
      <c r="M140" s="3" t="n">
        <v>38.6362611891593</v>
      </c>
      <c r="N140" s="12" t="n">
        <v>0.0120879120879121</v>
      </c>
      <c r="O140" s="4" t="n">
        <v>11.67</v>
      </c>
      <c r="P140" s="3" t="n">
        <v>72.228463882631</v>
      </c>
      <c r="Q140" s="4" t="n">
        <f aca="false">(P140-P$354)/P$355</f>
        <v>-1.44587906598105</v>
      </c>
      <c r="R140" s="4" t="n">
        <v>0.15</v>
      </c>
      <c r="S140" s="13" t="n">
        <f aca="false">P140/200000</f>
        <v>0.000361142319413155</v>
      </c>
      <c r="W140" s="4" t="n">
        <f aca="false">$X$2*($X$3*$G140+$X$4*$B140^$X$5*$N140^$X$6)*$S140^$X$7</f>
        <v>0.129483909212585</v>
      </c>
      <c r="X140" s="4" t="n">
        <f aca="false">W140/$R140</f>
        <v>0.863226061417233</v>
      </c>
      <c r="Z140" s="4" t="n">
        <f aca="false">$AA$2*$B140^$AA$3*$S140^$AA$4*($AA$5*$N140^$AA$6+$AA$7)</f>
        <v>0.127952103099491</v>
      </c>
      <c r="AA140" s="4" t="n">
        <f aca="false">Z140/$R140</f>
        <v>0.853014020663272</v>
      </c>
      <c r="AC140" s="4" t="n">
        <f aca="false">$AD$2*($AD$3+$AD$4*$F140/($N140*'Sem TS MC2020'!P132))*($AD$5*$G140+$AD$6*$B140/$N140)*'Sem TS MC2020'!R132*($J140-$M140)/($J140-$M140-$H140)</f>
        <v>0.117097703347483</v>
      </c>
      <c r="AD140" s="4" t="n">
        <f aca="false">AC140/$R140</f>
        <v>0.780651355649887</v>
      </c>
      <c r="AE140" s="24" t="n">
        <f aca="false">AC140-$R140</f>
        <v>-0.032902296652517</v>
      </c>
      <c r="AF140" s="25" t="n">
        <f aca="false">1/AD140</f>
        <v>1.28098157104654</v>
      </c>
      <c r="AG140" s="25" t="n">
        <f aca="false">AC140*(14.068*'Sem TS MC2020'!$P132^-0.457)/$R140</f>
        <v>0.921430275634321</v>
      </c>
      <c r="AH140" s="25"/>
      <c r="AP140" s="4" t="n">
        <f aca="false">$AQ$2*($AQ$3+$AQ$4*$F140/($N140*'Sem TS MC2020'!P132))*($AQ$5*$G140+$AQ$6*$B140/$N140)*('Sem TS MC2020'!P132^$AQ$7/200000)*($J140-$M140)/($J140-$M140-$H140)+('Sem TS MC2020'!P132-$C140/$AQ$8)*($AQ$5*$G140+$AQ$6*$B140/$N140)/200000</f>
        <v>0.123531612391299</v>
      </c>
      <c r="AQ140" s="4" t="n">
        <f aca="false">AP140/$R140</f>
        <v>0.823544082608661</v>
      </c>
      <c r="AR140" s="24" t="n">
        <f aca="false">AP140-$R140</f>
        <v>-0.0264683876087009</v>
      </c>
    </row>
    <row r="141" customFormat="false" ht="14.25" hidden="false" customHeight="false" outlineLevel="0" collapsed="false">
      <c r="B141" s="2" t="n">
        <v>12</v>
      </c>
      <c r="C141" s="3" t="n">
        <v>500</v>
      </c>
      <c r="D141" s="3" t="n">
        <v>4</v>
      </c>
      <c r="E141" s="2" t="n">
        <v>90.67</v>
      </c>
      <c r="F141" s="4" t="n">
        <v>3.269</v>
      </c>
      <c r="G141" s="2" t="n">
        <v>25</v>
      </c>
      <c r="H141" s="2" t="n">
        <v>31</v>
      </c>
      <c r="I141" s="1" t="n">
        <v>400</v>
      </c>
      <c r="J141" s="2" t="n">
        <v>161</v>
      </c>
      <c r="K141" s="3" t="n">
        <v>440</v>
      </c>
      <c r="L141" s="4" t="n">
        <v>36400</v>
      </c>
      <c r="M141" s="3" t="n">
        <v>38.6362611891593</v>
      </c>
      <c r="N141" s="12" t="n">
        <v>0.0120879120879121</v>
      </c>
      <c r="O141" s="4" t="n">
        <v>13.42</v>
      </c>
      <c r="P141" s="3" t="n">
        <v>127.253993639138</v>
      </c>
      <c r="Q141" s="4" t="n">
        <f aca="false">(P141-P$354)/P$355</f>
        <v>-0.984559737478491</v>
      </c>
      <c r="R141" s="4" t="n">
        <v>0.15</v>
      </c>
      <c r="S141" s="13" t="n">
        <f aca="false">P141/200000</f>
        <v>0.000636269968195688</v>
      </c>
      <c r="W141" s="4" t="n">
        <f aca="false">$X$2*($X$3*$G141+$X$4*$B141^$X$5*$N141^$X$6)*$S141^$X$7</f>
        <v>0.183643262509844</v>
      </c>
      <c r="X141" s="4" t="n">
        <f aca="false">W141/$R141</f>
        <v>1.2242884167323</v>
      </c>
      <c r="Z141" s="4" t="n">
        <f aca="false">$AA$2*$B141^$AA$3*$S141^$AA$4*($AA$5*$N141^$AA$6+$AA$7)</f>
        <v>0.182604812514198</v>
      </c>
      <c r="AA141" s="4" t="n">
        <f aca="false">Z141/$R141</f>
        <v>1.21736541676132</v>
      </c>
      <c r="AC141" s="4" t="n">
        <f aca="false">$AD$2*($AD$3+$AD$4*$F141/($N141*'Sem TS MC2020'!P133))*($AD$5*$G141+$AD$6*$B141/$N141)*'Sem TS MC2020'!R133*($J141-$M141)/($J141-$M141-$H141)</f>
        <v>0.167225187493648</v>
      </c>
      <c r="AD141" s="4" t="n">
        <f aca="false">AC141/$R141</f>
        <v>1.11483458329099</v>
      </c>
      <c r="AE141" s="24" t="n">
        <f aca="false">AC141-$R141</f>
        <v>0.017225187493648</v>
      </c>
      <c r="AF141" s="25" t="n">
        <f aca="false">1/AD141</f>
        <v>0.896994060812147</v>
      </c>
      <c r="AG141" s="25" t="n">
        <f aca="false">AC141*(14.068*'Sem TS MC2020'!$P133^-0.457)/$R141</f>
        <v>1.23448061215716</v>
      </c>
      <c r="AH141" s="25"/>
      <c r="AP141" s="4" t="n">
        <f aca="false">$AQ$2*($AQ$3+$AQ$4*$F141/($N141*'Sem TS MC2020'!P133))*($AQ$5*$G141+$AQ$6*$B141/$N141)*('Sem TS MC2020'!P133^$AQ$7/200000)*($J141-$M141)/($J141-$M141-$H141)+('Sem TS MC2020'!P133-$C141/$AQ$8)*($AQ$5*$G141+$AQ$6*$B141/$N141)/200000</f>
        <v>0.177872075570276</v>
      </c>
      <c r="AQ141" s="4" t="n">
        <f aca="false">AP141/$R141</f>
        <v>1.18581383713517</v>
      </c>
      <c r="AR141" s="24" t="n">
        <f aca="false">AP141-$R141</f>
        <v>0.0278720755702755</v>
      </c>
    </row>
    <row r="142" customFormat="false" ht="14.25" hidden="false" customHeight="false" outlineLevel="0" collapsed="false">
      <c r="B142" s="2" t="n">
        <v>12</v>
      </c>
      <c r="C142" s="3" t="n">
        <v>500</v>
      </c>
      <c r="D142" s="3" t="n">
        <v>4</v>
      </c>
      <c r="E142" s="2" t="n">
        <v>90.67</v>
      </c>
      <c r="F142" s="4" t="n">
        <v>3.269</v>
      </c>
      <c r="G142" s="2" t="n">
        <v>25</v>
      </c>
      <c r="H142" s="2" t="n">
        <v>31</v>
      </c>
      <c r="I142" s="1" t="n">
        <v>400</v>
      </c>
      <c r="J142" s="2" t="n">
        <v>161</v>
      </c>
      <c r="K142" s="3" t="n">
        <v>440</v>
      </c>
      <c r="L142" s="4" t="n">
        <v>36400</v>
      </c>
      <c r="M142" s="3" t="n">
        <v>38.6362611891593</v>
      </c>
      <c r="N142" s="12" t="n">
        <v>0.0120879120879121</v>
      </c>
      <c r="O142" s="4" t="n">
        <v>15.17</v>
      </c>
      <c r="P142" s="3" t="n">
        <v>182.279523395644</v>
      </c>
      <c r="Q142" s="4" t="n">
        <f aca="false">(P142-P$354)/P$355</f>
        <v>-0.523240408975926</v>
      </c>
      <c r="R142" s="4" t="n">
        <v>0.18</v>
      </c>
      <c r="S142" s="13" t="n">
        <f aca="false">P142/200000</f>
        <v>0.000911397616978222</v>
      </c>
      <c r="W142" s="4" t="n">
        <f aca="false">$X$2*($X$3*$G142+$X$4*$B142^$X$5*$N142^$X$6)*$S142^$X$7</f>
        <v>0.229228180733557</v>
      </c>
      <c r="X142" s="4" t="n">
        <f aca="false">W142/$R142</f>
        <v>1.27348989296421</v>
      </c>
      <c r="Z142" s="4" t="n">
        <f aca="false">$AA$2*$B142^$AA$3*$S142^$AA$4*($AA$5*$N142^$AA$6+$AA$7)</f>
        <v>0.2288347409074</v>
      </c>
      <c r="AA142" s="4" t="n">
        <f aca="false">Z142/$R142</f>
        <v>1.27130411615222</v>
      </c>
      <c r="AC142" s="4" t="n">
        <f aca="false">$AD$2*($AD$3+$AD$4*$F142/($N142*'Sem TS MC2020'!P134))*($AD$5*$G142+$AD$6*$B142/$N142)*'Sem TS MC2020'!R134*($J142-$M142)/($J142-$M142-$H142)</f>
        <v>0.217352671639813</v>
      </c>
      <c r="AD142" s="4" t="n">
        <f aca="false">AC142/$R142</f>
        <v>1.20751484244341</v>
      </c>
      <c r="AE142" s="24" t="n">
        <f aca="false">AC142-$R142</f>
        <v>0.0373526716398132</v>
      </c>
      <c r="AF142" s="25" t="n">
        <f aca="false">1/AD142</f>
        <v>0.828147170412001</v>
      </c>
      <c r="AG142" s="25" t="n">
        <f aca="false">AC142*(14.068*'Sem TS MC2020'!$P134^-0.457)/$R142</f>
        <v>1.26426701751274</v>
      </c>
      <c r="AH142" s="25"/>
      <c r="AP142" s="4" t="n">
        <f aca="false">$AQ$2*($AQ$3+$AQ$4*$F142/($N142*'Sem TS MC2020'!P134))*($AQ$5*$G142+$AQ$6*$B142/$N142)*('Sem TS MC2020'!P134^$AQ$7/200000)*($J142-$M142)/($J142-$M142-$H142)+('Sem TS MC2020'!P134-$C142/$AQ$8)*($AQ$5*$G142+$AQ$6*$B142/$N142)/200000</f>
        <v>0.230286113781626</v>
      </c>
      <c r="AQ142" s="4" t="n">
        <f aca="false">AP142/$R142</f>
        <v>1.27936729878681</v>
      </c>
      <c r="AR142" s="24" t="n">
        <f aca="false">AP142-$R142</f>
        <v>0.0502861137816256</v>
      </c>
    </row>
    <row r="143" customFormat="false" ht="14.25" hidden="false" customHeight="false" outlineLevel="0" collapsed="false">
      <c r="A143" s="1" t="s">
        <v>53</v>
      </c>
      <c r="B143" s="2" t="n">
        <v>12</v>
      </c>
      <c r="C143" s="3" t="n">
        <v>500</v>
      </c>
      <c r="D143" s="3" t="n">
        <v>4</v>
      </c>
      <c r="E143" s="2" t="n">
        <v>90.67</v>
      </c>
      <c r="F143" s="4" t="n">
        <v>3.269</v>
      </c>
      <c r="G143" s="2" t="n">
        <v>25</v>
      </c>
      <c r="H143" s="2" t="n">
        <v>31</v>
      </c>
      <c r="I143" s="1" t="n">
        <v>400</v>
      </c>
      <c r="J143" s="2" t="n">
        <v>161</v>
      </c>
      <c r="K143" s="3" t="n">
        <v>440</v>
      </c>
      <c r="L143" s="4" t="n">
        <v>36400</v>
      </c>
      <c r="M143" s="3" t="n">
        <v>38.6362611891593</v>
      </c>
      <c r="N143" s="12" t="n">
        <v>0.0120879120879121</v>
      </c>
      <c r="O143" s="4" t="n">
        <v>11.67</v>
      </c>
      <c r="P143" s="3" t="n">
        <v>72.228463882631</v>
      </c>
      <c r="Q143" s="4" t="n">
        <f aca="false">(P143-P$354)/P$355</f>
        <v>-1.44587906598105</v>
      </c>
      <c r="R143" s="4" t="n">
        <v>0.18</v>
      </c>
      <c r="S143" s="13" t="n">
        <f aca="false">P143/200000</f>
        <v>0.000361142319413155</v>
      </c>
      <c r="W143" s="4" t="n">
        <f aca="false">$X$2*($X$3*$G143+$X$4*$B143^$X$5*$N143^$X$6)*$S143^$X$7</f>
        <v>0.129483909212585</v>
      </c>
      <c r="X143" s="4" t="n">
        <f aca="false">W143/$R143</f>
        <v>0.719355051181028</v>
      </c>
      <c r="Z143" s="4" t="n">
        <f aca="false">$AA$2*$B143^$AA$3*$S143^$AA$4*($AA$5*$N143^$AA$6+$AA$7)</f>
        <v>0.127952103099491</v>
      </c>
      <c r="AA143" s="4" t="n">
        <f aca="false">Z143/$R143</f>
        <v>0.710845017219393</v>
      </c>
      <c r="AC143" s="4" t="n">
        <f aca="false">$AD$2*($AD$3+$AD$4*$F143/($N143*'Sem TS MC2020'!P135))*($AD$5*$G143+$AD$6*$B143/$N143)*'Sem TS MC2020'!R135*($J143-$M143)/($J143-$M143-$H143)</f>
        <v>0.117097703347483</v>
      </c>
      <c r="AD143" s="4" t="n">
        <f aca="false">AC143/$R143</f>
        <v>0.650542796374906</v>
      </c>
      <c r="AE143" s="24" t="n">
        <f aca="false">AC143-$R143</f>
        <v>-0.062902296652517</v>
      </c>
      <c r="AF143" s="25" t="n">
        <f aca="false">1/AD143</f>
        <v>1.53717788525584</v>
      </c>
      <c r="AG143" s="25" t="n">
        <f aca="false">AC143*(14.068*'Sem TS MC2020'!$P135^-0.457)/$R143</f>
        <v>0.767858563028601</v>
      </c>
      <c r="AH143" s="25"/>
      <c r="AP143" s="4" t="n">
        <f aca="false">$AQ$2*($AQ$3+$AQ$4*$F143/($N143*'Sem TS MC2020'!P135))*($AQ$5*$G143+$AQ$6*$B143/$N143)*('Sem TS MC2020'!P135^$AQ$7/200000)*($J143-$M143)/($J143-$M143-$H143)+('Sem TS MC2020'!P135-$C143/$AQ$8)*($AQ$5*$G143+$AQ$6*$B143/$N143)/200000</f>
        <v>0.123531612391299</v>
      </c>
      <c r="AQ143" s="4" t="n">
        <f aca="false">AP143/$R143</f>
        <v>0.686286735507217</v>
      </c>
      <c r="AR143" s="24" t="n">
        <f aca="false">AP143-$R143</f>
        <v>-0.0564683876087009</v>
      </c>
    </row>
    <row r="144" customFormat="false" ht="14.25" hidden="false" customHeight="false" outlineLevel="0" collapsed="false">
      <c r="B144" s="2" t="n">
        <v>12</v>
      </c>
      <c r="C144" s="3" t="n">
        <v>500</v>
      </c>
      <c r="D144" s="3" t="n">
        <v>4</v>
      </c>
      <c r="E144" s="2" t="n">
        <v>90.67</v>
      </c>
      <c r="F144" s="4" t="n">
        <v>3.269</v>
      </c>
      <c r="G144" s="2" t="n">
        <v>25</v>
      </c>
      <c r="H144" s="2" t="n">
        <v>31</v>
      </c>
      <c r="I144" s="1" t="n">
        <v>400</v>
      </c>
      <c r="J144" s="2" t="n">
        <v>161</v>
      </c>
      <c r="K144" s="3" t="n">
        <v>440</v>
      </c>
      <c r="L144" s="4" t="n">
        <v>36400</v>
      </c>
      <c r="M144" s="3" t="n">
        <v>38.6362611891593</v>
      </c>
      <c r="N144" s="12" t="n">
        <v>0.0120879120879121</v>
      </c>
      <c r="O144" s="4" t="n">
        <v>13.42</v>
      </c>
      <c r="P144" s="3" t="n">
        <v>127.253993639138</v>
      </c>
      <c r="Q144" s="4" t="n">
        <f aca="false">(P144-P$354)/P$355</f>
        <v>-0.984559737478491</v>
      </c>
      <c r="R144" s="4" t="n">
        <v>0.2</v>
      </c>
      <c r="S144" s="13" t="n">
        <f aca="false">P144/200000</f>
        <v>0.000636269968195688</v>
      </c>
      <c r="W144" s="4" t="n">
        <f aca="false">$X$2*($X$3*$G144+$X$4*$B144^$X$5*$N144^$X$6)*$S144^$X$7</f>
        <v>0.183643262509844</v>
      </c>
      <c r="X144" s="4" t="n">
        <f aca="false">W144/$R144</f>
        <v>0.918216312549221</v>
      </c>
      <c r="Z144" s="4" t="n">
        <f aca="false">$AA$2*$B144^$AA$3*$S144^$AA$4*($AA$5*$N144^$AA$6+$AA$7)</f>
        <v>0.182604812514198</v>
      </c>
      <c r="AA144" s="4" t="n">
        <f aca="false">Z144/$R144</f>
        <v>0.913024062570989</v>
      </c>
      <c r="AC144" s="4" t="n">
        <f aca="false">$AD$2*($AD$3+$AD$4*$F144/($N144*'Sem TS MC2020'!P136))*($AD$5*$G144+$AD$6*$B144/$N144)*'Sem TS MC2020'!R136*($J144-$M144)/($J144-$M144-$H144)</f>
        <v>0.167225187493648</v>
      </c>
      <c r="AD144" s="4" t="n">
        <f aca="false">AC144/$R144</f>
        <v>0.83612593746824</v>
      </c>
      <c r="AE144" s="24" t="n">
        <f aca="false">AC144-$R144</f>
        <v>-0.032774812506352</v>
      </c>
      <c r="AF144" s="25" t="n">
        <f aca="false">1/AD144</f>
        <v>1.19599208108286</v>
      </c>
      <c r="AG144" s="25" t="n">
        <f aca="false">AC144*(14.068*'Sem TS MC2020'!$P136^-0.457)/$R144</f>
        <v>0.925860459117868</v>
      </c>
      <c r="AH144" s="25"/>
      <c r="AP144" s="4" t="n">
        <f aca="false">$AQ$2*($AQ$3+$AQ$4*$F144/($N144*'Sem TS MC2020'!P136))*($AQ$5*$G144+$AQ$6*$B144/$N144)*('Sem TS MC2020'!P136^$AQ$7/200000)*($J144-$M144)/($J144-$M144-$H144)+('Sem TS MC2020'!P136-$C144/$AQ$8)*($AQ$5*$G144+$AQ$6*$B144/$N144)/200000</f>
        <v>0.177872075570276</v>
      </c>
      <c r="AQ144" s="4" t="n">
        <f aca="false">AP144/$R144</f>
        <v>0.889360377851378</v>
      </c>
      <c r="AR144" s="24" t="n">
        <f aca="false">AP144-$R144</f>
        <v>-0.0221279244297245</v>
      </c>
    </row>
    <row r="145" customFormat="false" ht="14.25" hidden="false" customHeight="false" outlineLevel="0" collapsed="false">
      <c r="B145" s="2" t="n">
        <v>12</v>
      </c>
      <c r="C145" s="3" t="n">
        <v>500</v>
      </c>
      <c r="D145" s="3" t="n">
        <v>4</v>
      </c>
      <c r="E145" s="2" t="n">
        <v>90.67</v>
      </c>
      <c r="F145" s="4" t="n">
        <v>3.269</v>
      </c>
      <c r="G145" s="2" t="n">
        <v>25</v>
      </c>
      <c r="H145" s="2" t="n">
        <v>31</v>
      </c>
      <c r="I145" s="1" t="n">
        <v>400</v>
      </c>
      <c r="J145" s="2" t="n">
        <v>161</v>
      </c>
      <c r="K145" s="3" t="n">
        <v>440</v>
      </c>
      <c r="L145" s="4" t="n">
        <v>36400</v>
      </c>
      <c r="M145" s="3" t="n">
        <v>38.6362611891593</v>
      </c>
      <c r="N145" s="12" t="n">
        <v>0.0120879120879121</v>
      </c>
      <c r="O145" s="4" t="n">
        <v>15.17</v>
      </c>
      <c r="P145" s="3" t="n">
        <v>182.279523395644</v>
      </c>
      <c r="Q145" s="4" t="n">
        <f aca="false">(P145-P$354)/P$355</f>
        <v>-0.523240408975926</v>
      </c>
      <c r="R145" s="4" t="n">
        <v>0.23</v>
      </c>
      <c r="S145" s="13" t="n">
        <f aca="false">P145/200000</f>
        <v>0.000911397616978222</v>
      </c>
      <c r="W145" s="4" t="n">
        <f aca="false">$X$2*($X$3*$G145+$X$4*$B145^$X$5*$N145^$X$6)*$S145^$X$7</f>
        <v>0.229228180733557</v>
      </c>
      <c r="X145" s="4" t="n">
        <f aca="false">W145/$R145</f>
        <v>0.996644264058944</v>
      </c>
      <c r="Z145" s="4" t="n">
        <f aca="false">$AA$2*$B145^$AA$3*$S145^$AA$4*($AA$5*$N145^$AA$6+$AA$7)</f>
        <v>0.2288347409074</v>
      </c>
      <c r="AA145" s="4" t="n">
        <f aca="false">Z145/$R145</f>
        <v>0.994933656119129</v>
      </c>
      <c r="AC145" s="4" t="n">
        <f aca="false">$AD$2*($AD$3+$AD$4*$F145/($N145*'Sem TS MC2020'!P137))*($AD$5*$G145+$AD$6*$B145/$N145)*'Sem TS MC2020'!R137*($J145-$M145)/($J145-$M145-$H145)</f>
        <v>0.217352671639813</v>
      </c>
      <c r="AD145" s="4" t="n">
        <f aca="false">AC145/$R145</f>
        <v>0.945011615825275</v>
      </c>
      <c r="AE145" s="24" t="n">
        <f aca="false">AC145-$R145</f>
        <v>-0.0126473283601868</v>
      </c>
      <c r="AF145" s="25" t="n">
        <f aca="false">1/AD145</f>
        <v>1.058188051082</v>
      </c>
      <c r="AG145" s="25" t="n">
        <f aca="false">AC145*(14.068*'Sem TS MC2020'!$P137^-0.457)/$R145</f>
        <v>0.989426361531712</v>
      </c>
      <c r="AH145" s="25"/>
      <c r="AP145" s="4" t="n">
        <f aca="false">$AQ$2*($AQ$3+$AQ$4*$F145/($N145*'Sem TS MC2020'!P137))*($AQ$5*$G145+$AQ$6*$B145/$N145)*('Sem TS MC2020'!P137^$AQ$7/200000)*($J145-$M145)/($J145-$M145-$H145)+('Sem TS MC2020'!P137-$C145/$AQ$8)*($AQ$5*$G145+$AQ$6*$B145/$N145)/200000</f>
        <v>0.230286113781626</v>
      </c>
      <c r="AQ145" s="4" t="n">
        <f aca="false">AP145/$R145</f>
        <v>1.00124397296359</v>
      </c>
      <c r="AR145" s="24" t="n">
        <f aca="false">AP145-$R145</f>
        <v>0.000286113781625574</v>
      </c>
    </row>
    <row r="146" customFormat="false" ht="14.25" hidden="false" customHeight="false" outlineLevel="0" collapsed="false">
      <c r="A146" s="1" t="s">
        <v>54</v>
      </c>
      <c r="B146" s="2" t="n">
        <v>10</v>
      </c>
      <c r="C146" s="3" t="n">
        <v>528</v>
      </c>
      <c r="D146" s="3" t="n">
        <v>1</v>
      </c>
      <c r="E146" s="2" t="n">
        <v>45</v>
      </c>
      <c r="F146" s="4" t="n">
        <v>2.8</v>
      </c>
      <c r="G146" s="2" t="n">
        <v>40</v>
      </c>
      <c r="H146" s="2" t="n">
        <v>45</v>
      </c>
      <c r="I146" s="1" t="n">
        <v>100</v>
      </c>
      <c r="J146" s="2" t="n">
        <v>250</v>
      </c>
      <c r="K146" s="3" t="n">
        <v>78.5</v>
      </c>
      <c r="L146" s="4" t="n">
        <v>9500</v>
      </c>
      <c r="M146" s="3" t="n">
        <v>43.4459689087927</v>
      </c>
      <c r="N146" s="12" t="n">
        <v>0.00826315789473684</v>
      </c>
      <c r="O146" s="4" t="n">
        <v>4.1</v>
      </c>
      <c r="P146" s="3" t="n">
        <v>99.7811011722766</v>
      </c>
      <c r="Q146" s="4" t="n">
        <f aca="false">(P146-P$354)/P$355</f>
        <v>-1.21488512209393</v>
      </c>
      <c r="R146" s="4" t="n">
        <v>0.16</v>
      </c>
      <c r="S146" s="13" t="n">
        <f aca="false">P146/200000</f>
        <v>0.000498905505861383</v>
      </c>
      <c r="W146" s="4" t="n">
        <f aca="false">$X$2*($X$3*$G146+$X$4*$B146^$X$5*$N146^$X$6)*$S146^$X$7</f>
        <v>0.16375258304938</v>
      </c>
      <c r="X146" s="4" t="n">
        <f aca="false">W146/$R146</f>
        <v>1.02345364405863</v>
      </c>
      <c r="Z146" s="4" t="n">
        <f aca="false">$AA$2*$B146^$AA$3*$S146^$AA$4*($AA$5*$N146^$AA$6+$AA$7)</f>
        <v>0.166311128934563</v>
      </c>
      <c r="AA146" s="4" t="n">
        <f aca="false">Z146/$R146</f>
        <v>1.03944455584102</v>
      </c>
      <c r="AC146" s="4" t="n">
        <f aca="false">$AD$2*($AD$3+$AD$4*$F146/($N146*'Sem TS MC2020'!P138))*($AD$5*$G146+$AD$6*$B146/$N146)*'Sem TS MC2020'!R138*($J146-$M146)/($J146-$M146-$H146)</f>
        <v>0.161563401025151</v>
      </c>
      <c r="AD146" s="4" t="n">
        <f aca="false">AC146/$R146</f>
        <v>1.0097712564072</v>
      </c>
      <c r="AE146" s="24" t="n">
        <f aca="false">AC146-$R146</f>
        <v>0.00156340102515137</v>
      </c>
      <c r="AF146" s="25" t="n">
        <f aca="false">1/AD146</f>
        <v>0.990323297137648</v>
      </c>
      <c r="AG146" s="25" t="n">
        <f aca="false">AC146*(14.068*'Sem TS MC2020'!$P138^-0.457)/$R146</f>
        <v>1.09219288616003</v>
      </c>
      <c r="AH146" s="25"/>
      <c r="AP146" s="4" t="n">
        <f aca="false">$AQ$2*($AQ$3+$AQ$4*$F146/($N146*'Sem TS MC2020'!P138))*($AQ$5*$G146+$AQ$6*$B146/$N146)*('Sem TS MC2020'!P138^$AQ$7/200000)*($J146-$M146)/($J146-$M146-$H146)+('Sem TS MC2020'!P138-$C146/$AQ$8)*($AQ$5*$G146+$AQ$6*$B146/$N146)/200000</f>
        <v>0.166656737207231</v>
      </c>
      <c r="AQ146" s="4" t="n">
        <f aca="false">AP146/$R146</f>
        <v>1.0416046075452</v>
      </c>
      <c r="AR146" s="24" t="n">
        <f aca="false">AP146-$R146</f>
        <v>0.0066567372072314</v>
      </c>
    </row>
    <row r="147" customFormat="false" ht="14.25" hidden="false" customHeight="false" outlineLevel="0" collapsed="false">
      <c r="B147" s="2" t="n">
        <v>10</v>
      </c>
      <c r="C147" s="3" t="n">
        <v>528</v>
      </c>
      <c r="D147" s="3" t="n">
        <v>1</v>
      </c>
      <c r="E147" s="2" t="n">
        <v>45</v>
      </c>
      <c r="F147" s="4" t="n">
        <v>2.8</v>
      </c>
      <c r="G147" s="2" t="n">
        <v>40</v>
      </c>
      <c r="H147" s="2" t="n">
        <v>45</v>
      </c>
      <c r="I147" s="1" t="n">
        <v>100</v>
      </c>
      <c r="J147" s="2" t="n">
        <v>250</v>
      </c>
      <c r="K147" s="3" t="n">
        <v>78.5</v>
      </c>
      <c r="L147" s="4" t="n">
        <v>9500</v>
      </c>
      <c r="M147" s="3" t="n">
        <v>43.4459689087927</v>
      </c>
      <c r="N147" s="12" t="n">
        <v>0.00826315789473684</v>
      </c>
      <c r="O147" s="4" t="n">
        <v>4.4</v>
      </c>
      <c r="P147" s="3" t="n">
        <v>133.400989976617</v>
      </c>
      <c r="Q147" s="4" t="n">
        <f aca="false">(P147-P$354)/P$355</f>
        <v>-0.933024963796857</v>
      </c>
      <c r="R147" s="4" t="n">
        <v>0.18</v>
      </c>
      <c r="S147" s="13" t="n">
        <f aca="false">P147/200000</f>
        <v>0.000667004949883084</v>
      </c>
      <c r="W147" s="4" t="n">
        <f aca="false">$X$2*($X$3*$G147+$X$4*$B147^$X$5*$N147^$X$6)*$S147^$X$7</f>
        <v>0.195883790016133</v>
      </c>
      <c r="X147" s="4" t="n">
        <f aca="false">W147/$R147</f>
        <v>1.08824327786741</v>
      </c>
      <c r="Z147" s="4" t="n">
        <f aca="false">$AA$2*$B147^$AA$3*$S147^$AA$4*($AA$5*$N147^$AA$6+$AA$7)</f>
        <v>0.19958085045744</v>
      </c>
      <c r="AA147" s="4" t="n">
        <f aca="false">Z147/$R147</f>
        <v>1.10878250254133</v>
      </c>
      <c r="AC147" s="4" t="n">
        <f aca="false">$AD$2*($AD$3+$AD$4*$F147/($N147*'Sem TS MC2020'!P139))*($AD$5*$G147+$AD$6*$B147/$N147)*'Sem TS MC2020'!R139*($J147-$M147)/($J147-$M147-$H147)</f>
        <v>0.197655713434602</v>
      </c>
      <c r="AD147" s="4" t="n">
        <f aca="false">AC147/$R147</f>
        <v>1.0980872968589</v>
      </c>
      <c r="AE147" s="24" t="n">
        <f aca="false">AC147-$R147</f>
        <v>0.0176557134346021</v>
      </c>
      <c r="AF147" s="25" t="n">
        <f aca="false">1/AD147</f>
        <v>0.910674408911312</v>
      </c>
      <c r="AG147" s="25" t="n">
        <f aca="false">AC147*(14.068*'Sem TS MC2020'!$P139^-0.457)/$R147</f>
        <v>1.14999924752642</v>
      </c>
      <c r="AH147" s="25"/>
      <c r="AP147" s="4" t="n">
        <f aca="false">$AQ$2*($AQ$3+$AQ$4*$F147/($N147*'Sem TS MC2020'!P139))*($AQ$5*$G147+$AQ$6*$B147/$N147)*('Sem TS MC2020'!P139^$AQ$7/200000)*($J147-$M147)/($J147-$M147-$H147)+('Sem TS MC2020'!P139-$C147/$AQ$8)*($AQ$5*$G147+$AQ$6*$B147/$N147)/200000</f>
        <v>0.204859728445667</v>
      </c>
      <c r="AQ147" s="4" t="n">
        <f aca="false">AP147/$R147</f>
        <v>1.13810960247593</v>
      </c>
      <c r="AR147" s="24" t="n">
        <f aca="false">AP147-$R147</f>
        <v>0.0248597284456673</v>
      </c>
    </row>
    <row r="148" customFormat="false" ht="14.25" hidden="false" customHeight="false" outlineLevel="0" collapsed="false">
      <c r="B148" s="2" t="n">
        <v>10</v>
      </c>
      <c r="C148" s="3" t="n">
        <v>528</v>
      </c>
      <c r="D148" s="3" t="n">
        <v>1</v>
      </c>
      <c r="E148" s="2" t="n">
        <v>45</v>
      </c>
      <c r="F148" s="4" t="n">
        <v>2.8</v>
      </c>
      <c r="G148" s="2" t="n">
        <v>40</v>
      </c>
      <c r="H148" s="2" t="n">
        <v>45</v>
      </c>
      <c r="I148" s="1" t="n">
        <v>100</v>
      </c>
      <c r="J148" s="2" t="n">
        <v>250</v>
      </c>
      <c r="K148" s="3" t="n">
        <v>78.5</v>
      </c>
      <c r="L148" s="4" t="n">
        <v>9500</v>
      </c>
      <c r="M148" s="3" t="n">
        <v>43.4459689087927</v>
      </c>
      <c r="N148" s="12" t="n">
        <v>0.00826315789473684</v>
      </c>
      <c r="O148" s="4" t="n">
        <v>4.74</v>
      </c>
      <c r="P148" s="3" t="n">
        <v>171.503530621536</v>
      </c>
      <c r="Q148" s="4" t="n">
        <f aca="false">(P148-P$354)/P$355</f>
        <v>-0.613583451060178</v>
      </c>
      <c r="R148" s="4" t="n">
        <v>0.2</v>
      </c>
      <c r="S148" s="13" t="n">
        <f aca="false">P148/200000</f>
        <v>0.000857517653107678</v>
      </c>
      <c r="W148" s="4" t="n">
        <f aca="false">$X$2*($X$3*$G148+$X$4*$B148^$X$5*$N148^$X$6)*$S148^$X$7</f>
        <v>0.228729322701806</v>
      </c>
      <c r="X148" s="4" t="n">
        <f aca="false">W148/$R148</f>
        <v>1.14364661350903</v>
      </c>
      <c r="Z148" s="4" t="n">
        <f aca="false">$AA$2*$B148^$AA$3*$S148^$AA$4*($AA$5*$N148^$AA$6+$AA$7)</f>
        <v>0.233691259227613</v>
      </c>
      <c r="AA148" s="4" t="n">
        <f aca="false">Z148/$R148</f>
        <v>1.16845629613807</v>
      </c>
      <c r="AC148" s="4" t="n">
        <f aca="false">$AD$2*($AD$3+$AD$4*$F148/($N148*'Sem TS MC2020'!P140))*($AD$5*$G148+$AD$6*$B148/$N148)*'Sem TS MC2020'!R140*($J148-$M148)/($J148-$M148-$H148)</f>
        <v>0.238560334165313</v>
      </c>
      <c r="AD148" s="4" t="n">
        <f aca="false">AC148/$R148</f>
        <v>1.19280167082656</v>
      </c>
      <c r="AE148" s="24" t="n">
        <f aca="false">AC148-$R148</f>
        <v>0.0385603341653127</v>
      </c>
      <c r="AF148" s="25" t="n">
        <f aca="false">1/AD148</f>
        <v>0.838362340075396</v>
      </c>
      <c r="AG148" s="25" t="n">
        <f aca="false">AC148*(14.068*'Sem TS MC2020'!$P140^-0.457)/$R148</f>
        <v>1.20741369781178</v>
      </c>
      <c r="AH148" s="25"/>
      <c r="AP148" s="4" t="n">
        <f aca="false">$AQ$2*($AQ$3+$AQ$4*$F148/($N148*'Sem TS MC2020'!P140))*($AQ$5*$G148+$AQ$6*$B148/$N148)*('Sem TS MC2020'!P140^$AQ$7/200000)*($J148-$M148)/($J148-$M148-$H148)+('Sem TS MC2020'!P140-$C148/$AQ$8)*($AQ$5*$G148+$AQ$6*$B148/$N148)/200000</f>
        <v>0.247272206962896</v>
      </c>
      <c r="AQ148" s="4" t="n">
        <f aca="false">AP148/$R148</f>
        <v>1.23636103481448</v>
      </c>
      <c r="AR148" s="24" t="n">
        <f aca="false">AP148-$R148</f>
        <v>0.0472722069628958</v>
      </c>
    </row>
    <row r="149" customFormat="false" ht="14.25" hidden="false" customHeight="false" outlineLevel="0" collapsed="false">
      <c r="B149" s="2" t="n">
        <v>10</v>
      </c>
      <c r="C149" s="3" t="n">
        <v>528</v>
      </c>
      <c r="D149" s="3" t="n">
        <v>1</v>
      </c>
      <c r="E149" s="2" t="n">
        <v>45</v>
      </c>
      <c r="F149" s="4" t="n">
        <v>2.8</v>
      </c>
      <c r="G149" s="2" t="n">
        <v>40</v>
      </c>
      <c r="H149" s="2" t="n">
        <v>45</v>
      </c>
      <c r="I149" s="1" t="n">
        <v>100</v>
      </c>
      <c r="J149" s="2" t="n">
        <v>250</v>
      </c>
      <c r="K149" s="3" t="n">
        <v>78.5</v>
      </c>
      <c r="L149" s="4" t="n">
        <v>9500</v>
      </c>
      <c r="M149" s="3" t="n">
        <v>43.4459689087927</v>
      </c>
      <c r="N149" s="12" t="n">
        <v>0.00826315789473684</v>
      </c>
      <c r="O149" s="4" t="n">
        <v>5.04</v>
      </c>
      <c r="P149" s="3" t="n">
        <v>205.123419425876</v>
      </c>
      <c r="Q149" s="4" t="n">
        <f aca="false">(P149-P$354)/P$355</f>
        <v>-0.331723292763109</v>
      </c>
      <c r="R149" s="4" t="n">
        <v>0.22</v>
      </c>
      <c r="S149" s="13" t="n">
        <f aca="false">P149/200000</f>
        <v>0.00102561709712938</v>
      </c>
      <c r="W149" s="4" t="n">
        <f aca="false">$X$2*($X$3*$G149+$X$4*$B149^$X$5*$N149^$X$6)*$S149^$X$7</f>
        <v>0.255439920675464</v>
      </c>
      <c r="X149" s="4" t="n">
        <f aca="false">W149/$R149</f>
        <v>1.16109054852484</v>
      </c>
      <c r="Z149" s="4" t="n">
        <f aca="false">$AA$2*$B149^$AA$3*$S149^$AA$4*($AA$5*$N149^$AA$6+$AA$7)</f>
        <v>0.26149570461454</v>
      </c>
      <c r="AA149" s="4" t="n">
        <f aca="false">Z149/$R149</f>
        <v>1.188616839157</v>
      </c>
      <c r="AC149" s="4" t="n">
        <f aca="false">$AD$2*($AD$3+$AD$4*$F149/($N149*'Sem TS MC2020'!P141))*($AD$5*$G149+$AD$6*$B149/$N149)*'Sem TS MC2020'!R141*($J149-$M149)/($J149-$M149-$H149)</f>
        <v>0.274652646574763</v>
      </c>
      <c r="AD149" s="4" t="n">
        <f aca="false">AC149/$R149</f>
        <v>1.24842112079438</v>
      </c>
      <c r="AE149" s="24" t="n">
        <f aca="false">AC149-$R149</f>
        <v>0.0546526465747633</v>
      </c>
      <c r="AF149" s="25" t="n">
        <f aca="false">1/AD149</f>
        <v>0.801011760649879</v>
      </c>
      <c r="AG149" s="25" t="n">
        <f aca="false">AC149*(14.068*'Sem TS MC2020'!$P141^-0.457)/$R149</f>
        <v>1.22876523113939</v>
      </c>
      <c r="AH149" s="25"/>
      <c r="AP149" s="4" t="n">
        <f aca="false">$AQ$2*($AQ$3+$AQ$4*$F149/($N149*'Sem TS MC2020'!P141))*($AQ$5*$G149+$AQ$6*$B149/$N149)*('Sem TS MC2020'!P141^$AQ$7/200000)*($J149-$M149)/($J149-$M149-$H149)+('Sem TS MC2020'!P141-$C149/$AQ$8)*($AQ$5*$G149+$AQ$6*$B149/$N149)/200000</f>
        <v>0.283998428828016</v>
      </c>
      <c r="AQ149" s="4" t="n">
        <f aca="false">AP149/$R149</f>
        <v>1.29090194921826</v>
      </c>
      <c r="AR149" s="24" t="n">
        <f aca="false">AP149-$R149</f>
        <v>0.0639984288280163</v>
      </c>
    </row>
    <row r="150" customFormat="false" ht="14.25" hidden="false" customHeight="false" outlineLevel="0" collapsed="false">
      <c r="B150" s="2" t="n">
        <v>10</v>
      </c>
      <c r="C150" s="3" t="n">
        <v>528</v>
      </c>
      <c r="D150" s="3" t="n">
        <v>1</v>
      </c>
      <c r="E150" s="2" t="n">
        <v>45</v>
      </c>
      <c r="F150" s="4" t="n">
        <v>2.8</v>
      </c>
      <c r="G150" s="2" t="n">
        <v>40</v>
      </c>
      <c r="H150" s="2" t="n">
        <v>45</v>
      </c>
      <c r="I150" s="1" t="n">
        <v>100</v>
      </c>
      <c r="J150" s="2" t="n">
        <v>250</v>
      </c>
      <c r="K150" s="3" t="n">
        <v>78.5</v>
      </c>
      <c r="L150" s="4" t="n">
        <v>9500</v>
      </c>
      <c r="M150" s="3" t="n">
        <v>43.4459689087927</v>
      </c>
      <c r="N150" s="12" t="n">
        <v>0.00826315789473684</v>
      </c>
      <c r="O150" s="4" t="n">
        <v>5.38</v>
      </c>
      <c r="P150" s="3" t="n">
        <v>243.225960070795</v>
      </c>
      <c r="Q150" s="4" t="n">
        <f aca="false">(P150-P$354)/P$355</f>
        <v>-0.0122817800264314</v>
      </c>
      <c r="R150" s="4" t="n">
        <v>0.24</v>
      </c>
      <c r="S150" s="13" t="n">
        <f aca="false">P150/200000</f>
        <v>0.00121612980035397</v>
      </c>
      <c r="W150" s="4" t="n">
        <f aca="false">$X$2*($X$3*$G150+$X$4*$B150^$X$5*$N150^$X$6)*$S150^$X$7</f>
        <v>0.283754976822363</v>
      </c>
      <c r="X150" s="4" t="n">
        <f aca="false">W150/$R150</f>
        <v>1.18231240342651</v>
      </c>
      <c r="Z150" s="4" t="n">
        <f aca="false">$AA$2*$B150^$AA$3*$S150^$AA$4*($AA$5*$N150^$AA$6+$AA$7)</f>
        <v>0.291026956570946</v>
      </c>
      <c r="AA150" s="4" t="n">
        <f aca="false">Z150/$R150</f>
        <v>1.21261231904561</v>
      </c>
      <c r="AC150" s="4" t="n">
        <f aca="false">$AD$2*($AD$3+$AD$4*$F150/($N150*'Sem TS MC2020'!P142))*($AD$5*$G150+$AD$6*$B150/$N150)*'Sem TS MC2020'!R142*($J150-$M150)/($J150-$M150-$H150)</f>
        <v>0.315557267305474</v>
      </c>
      <c r="AD150" s="4" t="n">
        <f aca="false">AC150/$R150</f>
        <v>1.31482194710614</v>
      </c>
      <c r="AE150" s="24" t="n">
        <f aca="false">AC150-$R150</f>
        <v>0.0755572673054739</v>
      </c>
      <c r="AF150" s="25" t="n">
        <f aca="false">1/AD150</f>
        <v>0.760559254582684</v>
      </c>
      <c r="AG150" s="25" t="n">
        <f aca="false">AC150*(14.068*'Sem TS MC2020'!$P142^-0.457)/$R150</f>
        <v>1.25608204204728</v>
      </c>
      <c r="AH150" s="25"/>
      <c r="AP150" s="4" t="n">
        <f aca="false">$AQ$2*($AQ$3+$AQ$4*$F150/($N150*'Sem TS MC2020'!P142))*($AQ$5*$G150+$AQ$6*$B150/$N150)*('Sem TS MC2020'!P142^$AQ$7/200000)*($J150-$M150)/($J150-$M150-$H150)+('Sem TS MC2020'!P142-$C150/$AQ$8)*($AQ$5*$G150+$AQ$6*$B150/$N150)/200000</f>
        <v>0.324913834647165</v>
      </c>
      <c r="AQ150" s="4" t="n">
        <f aca="false">AP150/$R150</f>
        <v>1.35380764436319</v>
      </c>
      <c r="AR150" s="24" t="n">
        <f aca="false">AP150-$R150</f>
        <v>0.0849138346471646</v>
      </c>
    </row>
    <row r="151" customFormat="false" ht="14.25" hidden="false" customHeight="false" outlineLevel="0" collapsed="false">
      <c r="B151" s="2" t="n">
        <v>10</v>
      </c>
      <c r="C151" s="3" t="n">
        <v>528</v>
      </c>
      <c r="D151" s="3" t="n">
        <v>1</v>
      </c>
      <c r="E151" s="2" t="n">
        <v>45</v>
      </c>
      <c r="F151" s="4" t="n">
        <v>2.8</v>
      </c>
      <c r="G151" s="2" t="n">
        <v>40</v>
      </c>
      <c r="H151" s="2" t="n">
        <v>45</v>
      </c>
      <c r="I151" s="1" t="n">
        <v>100</v>
      </c>
      <c r="J151" s="2" t="n">
        <v>250</v>
      </c>
      <c r="K151" s="3" t="n">
        <v>78.5</v>
      </c>
      <c r="L151" s="4" t="n">
        <v>9500</v>
      </c>
      <c r="M151" s="3" t="n">
        <v>43.4459689087927</v>
      </c>
      <c r="N151" s="12" t="n">
        <v>0.00826315789473684</v>
      </c>
      <c r="O151" s="4" t="n">
        <v>5.68</v>
      </c>
      <c r="P151" s="3" t="n">
        <v>276.845848875135</v>
      </c>
      <c r="Q151" s="4" t="n">
        <f aca="false">(P151-P$354)/P$355</f>
        <v>0.269578378270638</v>
      </c>
      <c r="R151" s="4" t="n">
        <v>0.26</v>
      </c>
      <c r="S151" s="13" t="n">
        <f aca="false">P151/200000</f>
        <v>0.00138422924437567</v>
      </c>
      <c r="W151" s="4" t="n">
        <f aca="false">$X$2*($X$3*$G151+$X$4*$B151^$X$5*$N151^$X$6)*$S151^$X$7</f>
        <v>0.307352123991928</v>
      </c>
      <c r="X151" s="4" t="n">
        <f aca="false">W151/$R151</f>
        <v>1.18212355381511</v>
      </c>
      <c r="Z151" s="4" t="n">
        <f aca="false">$AA$2*$B151^$AA$3*$S151^$AA$4*($AA$5*$N151^$AA$6+$AA$7)</f>
        <v>0.315678102872625</v>
      </c>
      <c r="AA151" s="4" t="n">
        <f aca="false">Z151/$R151</f>
        <v>1.2141465495101</v>
      </c>
      <c r="AC151" s="4" t="n">
        <f aca="false">$AD$2*($AD$3+$AD$4*$F151/($N151*'Sem TS MC2020'!P143))*($AD$5*$G151+$AD$6*$B151/$N151)*'Sem TS MC2020'!R143*($J151-$M151)/($J151-$M151-$H151)</f>
        <v>0.351649579714924</v>
      </c>
      <c r="AD151" s="4" t="n">
        <f aca="false">AC151/$R151</f>
        <v>1.35249838351894</v>
      </c>
      <c r="AE151" s="24" t="n">
        <f aca="false">AC151-$R151</f>
        <v>0.0916495797149244</v>
      </c>
      <c r="AF151" s="25" t="n">
        <f aca="false">1/AD151</f>
        <v>0.73937241787912</v>
      </c>
      <c r="AG151" s="25" t="n">
        <f aca="false">AC151*(14.068*'Sem TS MC2020'!$P143^-0.457)/$R151</f>
        <v>1.26042824624254</v>
      </c>
      <c r="AH151" s="25"/>
      <c r="AP151" s="4" t="n">
        <f aca="false">$AQ$2*($AQ$3+$AQ$4*$F151/($N151*'Sem TS MC2020'!P143))*($AQ$5*$G151+$AQ$6*$B151/$N151)*('Sem TS MC2020'!P143^$AQ$7/200000)*($J151-$M151)/($J151-$M151-$H151)+('Sem TS MC2020'!P143-$C151/$AQ$8)*($AQ$5*$G151+$AQ$6*$B151/$N151)/200000</f>
        <v>0.360449255551958</v>
      </c>
      <c r="AQ151" s="4" t="n">
        <f aca="false">AP151/$R151</f>
        <v>1.38634329058445</v>
      </c>
      <c r="AR151" s="24" t="n">
        <f aca="false">AP151-$R151</f>
        <v>0.100449255551958</v>
      </c>
    </row>
    <row r="152" customFormat="false" ht="14.25" hidden="false" customHeight="false" outlineLevel="0" collapsed="false">
      <c r="B152" s="2" t="n">
        <v>10</v>
      </c>
      <c r="C152" s="3" t="n">
        <v>528</v>
      </c>
      <c r="D152" s="3" t="n">
        <v>1</v>
      </c>
      <c r="E152" s="2" t="n">
        <v>45</v>
      </c>
      <c r="F152" s="4" t="n">
        <v>2.8</v>
      </c>
      <c r="G152" s="2" t="n">
        <v>40</v>
      </c>
      <c r="H152" s="2" t="n">
        <v>45</v>
      </c>
      <c r="I152" s="1" t="n">
        <v>100</v>
      </c>
      <c r="J152" s="2" t="n">
        <v>250</v>
      </c>
      <c r="K152" s="3" t="n">
        <v>78.5</v>
      </c>
      <c r="L152" s="4" t="n">
        <v>9500</v>
      </c>
      <c r="M152" s="3" t="n">
        <v>43.4459689087927</v>
      </c>
      <c r="N152" s="12" t="n">
        <v>0.00826315789473684</v>
      </c>
      <c r="O152" s="4" t="n">
        <v>6.04</v>
      </c>
      <c r="P152" s="3" t="n">
        <v>317.189715440343</v>
      </c>
      <c r="Q152" s="4" t="n">
        <f aca="false">(P152-P$354)/P$355</f>
        <v>0.607810568227121</v>
      </c>
      <c r="R152" s="4" t="n">
        <v>0.28</v>
      </c>
      <c r="S152" s="13" t="n">
        <f aca="false">P152/200000</f>
        <v>0.00158594857720172</v>
      </c>
      <c r="W152" s="4" t="n">
        <f aca="false">$X$2*($X$3*$G152+$X$4*$B152^$X$5*$N152^$X$6)*$S152^$X$7</f>
        <v>0.334263722934685</v>
      </c>
      <c r="X152" s="4" t="n">
        <f aca="false">W152/$R152</f>
        <v>1.19379901048102</v>
      </c>
      <c r="Z152" s="4" t="n">
        <f aca="false">$AA$2*$B152^$AA$3*$S152^$AA$4*($AA$5*$N152^$AA$6+$AA$7)</f>
        <v>0.343832857880284</v>
      </c>
      <c r="AA152" s="4" t="n">
        <f aca="false">Z152/$R152</f>
        <v>1.22797449242959</v>
      </c>
      <c r="AC152" s="4" t="n">
        <f aca="false">$AD$2*($AD$3+$AD$4*$F152/($N152*'Sem TS MC2020'!P144))*($AD$5*$G152+$AD$6*$B152/$N152)*'Sem TS MC2020'!R144*($J152-$M152)/($J152-$M152-$H152)</f>
        <v>0.394960354606265</v>
      </c>
      <c r="AD152" s="4" t="n">
        <f aca="false">AC152/$R152</f>
        <v>1.41057269502238</v>
      </c>
      <c r="AE152" s="24" t="n">
        <f aca="false">AC152-$R152</f>
        <v>0.114960354606265</v>
      </c>
      <c r="AF152" s="25" t="n">
        <f aca="false">1/AD152</f>
        <v>0.708931913632524</v>
      </c>
      <c r="AG152" s="25" t="n">
        <f aca="false">AC152*(14.068*'Sem TS MC2020'!$P144^-0.457)/$R152</f>
        <v>1.27814508319544</v>
      </c>
      <c r="AH152" s="25"/>
      <c r="AP152" s="4" t="n">
        <f aca="false">$AQ$2*($AQ$3+$AQ$4*$F152/($N152*'Sem TS MC2020'!P144))*($AQ$5*$G152+$AQ$6*$B152/$N152)*('Sem TS MC2020'!P144^$AQ$7/200000)*($J152-$M152)/($J152-$M152-$H152)+('Sem TS MC2020'!P144-$C152/$AQ$8)*($AQ$5*$G152+$AQ$6*$B152/$N152)/200000</f>
        <v>0.402455406248479</v>
      </c>
      <c r="AQ152" s="4" t="n">
        <f aca="false">AP152/$R152</f>
        <v>1.43734073660171</v>
      </c>
      <c r="AR152" s="24" t="n">
        <f aca="false">AP152-$R152</f>
        <v>0.122455406248479</v>
      </c>
    </row>
    <row r="153" customFormat="false" ht="14.25" hidden="false" customHeight="false" outlineLevel="0" collapsed="false">
      <c r="A153" s="1" t="s">
        <v>55</v>
      </c>
      <c r="B153" s="2" t="n">
        <v>10</v>
      </c>
      <c r="C153" s="3" t="n">
        <v>528</v>
      </c>
      <c r="D153" s="3" t="n">
        <v>1</v>
      </c>
      <c r="E153" s="2" t="n">
        <v>45</v>
      </c>
      <c r="F153" s="4" t="n">
        <v>2.8</v>
      </c>
      <c r="G153" s="2" t="n">
        <v>40</v>
      </c>
      <c r="H153" s="2" t="n">
        <v>45</v>
      </c>
      <c r="I153" s="1" t="n">
        <v>100</v>
      </c>
      <c r="J153" s="2" t="n">
        <v>250</v>
      </c>
      <c r="K153" s="3" t="n">
        <v>78.5</v>
      </c>
      <c r="L153" s="4" t="n">
        <v>9500</v>
      </c>
      <c r="M153" s="3" t="n">
        <v>43.4459689087927</v>
      </c>
      <c r="N153" s="12" t="n">
        <v>0.00826315789473684</v>
      </c>
      <c r="O153" s="4" t="n">
        <v>3.76</v>
      </c>
      <c r="P153" s="3" t="n">
        <v>61.6785605273578</v>
      </c>
      <c r="Q153" s="4" t="n">
        <f aca="false">(P153-P$354)/P$355</f>
        <v>-1.5343266348306</v>
      </c>
      <c r="R153" s="4" t="n">
        <v>0.15</v>
      </c>
      <c r="S153" s="13" t="n">
        <f aca="false">P153/200000</f>
        <v>0.000308392802636789</v>
      </c>
      <c r="W153" s="4" t="n">
        <f aca="false">$X$2*($X$3*$G153+$X$4*$B153^$X$5*$N153^$X$6)*$S153^$X$7</f>
        <v>0.12169932864824</v>
      </c>
      <c r="X153" s="4" t="n">
        <f aca="false">W153/$R153</f>
        <v>0.811328857654934</v>
      </c>
      <c r="Z153" s="4" t="n">
        <f aca="false">$AA$2*$B153^$AA$3*$S153^$AA$4*($AA$5*$N153^$AA$6+$AA$7)</f>
        <v>0.122948512860364</v>
      </c>
      <c r="AA153" s="4" t="n">
        <f aca="false">Z153/$R153</f>
        <v>0.819656752402428</v>
      </c>
      <c r="AC153" s="4" t="n">
        <f aca="false">$AD$2*($AD$3+$AD$4*$F153/($N153*'Sem TS MC2020'!P145))*($AD$5*$G153+$AD$6*$B153/$N153)*'Sem TS MC2020'!R145*($J153-$M153)/($J153-$M153-$H153)</f>
        <v>0.120658780294441</v>
      </c>
      <c r="AD153" s="4" t="n">
        <f aca="false">AC153/$R153</f>
        <v>0.804391868629605</v>
      </c>
      <c r="AE153" s="24" t="n">
        <f aca="false">AC153-$R153</f>
        <v>-0.0293412197055592</v>
      </c>
      <c r="AF153" s="25" t="n">
        <f aca="false">1/AD153</f>
        <v>1.24317517244877</v>
      </c>
      <c r="AG153" s="25" t="n">
        <f aca="false">AC153*(14.068*'Sem TS MC2020'!$P145^-0.457)/$R153</f>
        <v>0.905160072444628</v>
      </c>
      <c r="AH153" s="25"/>
      <c r="AP153" s="4" t="n">
        <f aca="false">$AQ$2*($AQ$3+$AQ$4*$F153/($N153*'Sem TS MC2020'!P145))*($AQ$5*$G153+$AQ$6*$B153/$N153)*('Sem TS MC2020'!P145^$AQ$7/200000)*($J153-$M153)/($J153-$M153-$H153)+('Sem TS MC2020'!P145-$C153/$AQ$8)*($AQ$5*$G153+$AQ$6*$B153/$N153)/200000</f>
        <v>0.122354375432084</v>
      </c>
      <c r="AQ153" s="4" t="n">
        <f aca="false">AP153/$R153</f>
        <v>0.81569583621389</v>
      </c>
      <c r="AR153" s="24" t="n">
        <f aca="false">AP153-$R153</f>
        <v>-0.0276456245679164</v>
      </c>
    </row>
    <row r="154" customFormat="false" ht="14.25" hidden="false" customHeight="false" outlineLevel="0" collapsed="false">
      <c r="B154" s="2" t="n">
        <v>10</v>
      </c>
      <c r="C154" s="3" t="n">
        <v>528</v>
      </c>
      <c r="D154" s="3" t="n">
        <v>1</v>
      </c>
      <c r="E154" s="2" t="n">
        <v>45</v>
      </c>
      <c r="F154" s="4" t="n">
        <v>2.8</v>
      </c>
      <c r="G154" s="2" t="n">
        <v>40</v>
      </c>
      <c r="H154" s="2" t="n">
        <v>45</v>
      </c>
      <c r="I154" s="1" t="n">
        <v>100</v>
      </c>
      <c r="J154" s="2" t="n">
        <v>250</v>
      </c>
      <c r="K154" s="3" t="n">
        <v>78.5</v>
      </c>
      <c r="L154" s="4" t="n">
        <v>9500</v>
      </c>
      <c r="M154" s="3" t="n">
        <v>43.4459689087927</v>
      </c>
      <c r="N154" s="12" t="n">
        <v>0.00826315789473684</v>
      </c>
      <c r="O154" s="4" t="n">
        <v>4.1</v>
      </c>
      <c r="P154" s="3" t="n">
        <v>99.7811011722766</v>
      </c>
      <c r="Q154" s="4" t="n">
        <f aca="false">(P154-P$354)/P$355</f>
        <v>-1.21488512209393</v>
      </c>
      <c r="R154" s="4" t="n">
        <v>0.17</v>
      </c>
      <c r="S154" s="13" t="n">
        <f aca="false">P154/200000</f>
        <v>0.000498905505861383</v>
      </c>
      <c r="W154" s="4" t="n">
        <f aca="false">$X$2*($X$3*$G154+$X$4*$B154^$X$5*$N154^$X$6)*$S154^$X$7</f>
        <v>0.16375258304938</v>
      </c>
      <c r="X154" s="4" t="n">
        <f aca="false">W154/$R154</f>
        <v>0.963250488525765</v>
      </c>
      <c r="Z154" s="4" t="n">
        <f aca="false">$AA$2*$B154^$AA$3*$S154^$AA$4*($AA$5*$N154^$AA$6+$AA$7)</f>
        <v>0.166311128934563</v>
      </c>
      <c r="AA154" s="4" t="n">
        <f aca="false">Z154/$R154</f>
        <v>0.978300758438604</v>
      </c>
      <c r="AC154" s="4" t="n">
        <f aca="false">$AD$2*($AD$3+$AD$4*$F154/($N154*'Sem TS MC2020'!P146))*($AD$5*$G154+$AD$6*$B154/$N154)*'Sem TS MC2020'!R146*($J154-$M154)/($J154-$M154-$H154)</f>
        <v>0.161563401025151</v>
      </c>
      <c r="AD154" s="4" t="n">
        <f aca="false">AC154/$R154</f>
        <v>0.950372947206773</v>
      </c>
      <c r="AE154" s="24" t="n">
        <f aca="false">AC154-$R154</f>
        <v>-0.00843659897484864</v>
      </c>
      <c r="AF154" s="25" t="n">
        <f aca="false">1/AD154</f>
        <v>1.05221850320875</v>
      </c>
      <c r="AG154" s="25" t="n">
        <f aca="false">AC154*(14.068*'Sem TS MC2020'!$P146^-0.457)/$R154</f>
        <v>1.02794624579767</v>
      </c>
      <c r="AH154" s="25"/>
      <c r="AP154" s="4" t="n">
        <f aca="false">$AQ$2*($AQ$3+$AQ$4*$F154/($N154*'Sem TS MC2020'!P146))*($AQ$5*$G154+$AQ$6*$B154/$N154)*('Sem TS MC2020'!P146^$AQ$7/200000)*($J154-$M154)/($J154-$M154-$H154)+('Sem TS MC2020'!P146-$C154/$AQ$8)*($AQ$5*$G154+$AQ$6*$B154/$N154)/200000</f>
        <v>0.166656737207231</v>
      </c>
      <c r="AQ154" s="4" t="n">
        <f aca="false">AP154/$R154</f>
        <v>0.980333748277832</v>
      </c>
      <c r="AR154" s="24" t="n">
        <f aca="false">AP154-$R154</f>
        <v>-0.00334326279276861</v>
      </c>
    </row>
    <row r="155" customFormat="false" ht="14.25" hidden="false" customHeight="false" outlineLevel="0" collapsed="false">
      <c r="B155" s="2" t="n">
        <v>10</v>
      </c>
      <c r="C155" s="3" t="n">
        <v>528</v>
      </c>
      <c r="D155" s="3" t="n">
        <v>1</v>
      </c>
      <c r="E155" s="2" t="n">
        <v>45</v>
      </c>
      <c r="F155" s="4" t="n">
        <v>2.8</v>
      </c>
      <c r="G155" s="2" t="n">
        <v>40</v>
      </c>
      <c r="H155" s="2" t="n">
        <v>45</v>
      </c>
      <c r="I155" s="1" t="n">
        <v>100</v>
      </c>
      <c r="J155" s="2" t="n">
        <v>250</v>
      </c>
      <c r="K155" s="3" t="n">
        <v>78.5</v>
      </c>
      <c r="L155" s="4" t="n">
        <v>9500</v>
      </c>
      <c r="M155" s="3" t="n">
        <v>43.4459689087927</v>
      </c>
      <c r="N155" s="12" t="n">
        <v>0.00826315789473684</v>
      </c>
      <c r="O155" s="4" t="n">
        <v>4.42</v>
      </c>
      <c r="P155" s="3" t="n">
        <v>135.642315896906</v>
      </c>
      <c r="Q155" s="4" t="n">
        <f aca="false">(P155-P$354)/P$355</f>
        <v>-0.914234286577053</v>
      </c>
      <c r="R155" s="4" t="n">
        <v>0.19</v>
      </c>
      <c r="S155" s="13" t="n">
        <f aca="false">P155/200000</f>
        <v>0.000678211579484531</v>
      </c>
      <c r="W155" s="4" t="n">
        <f aca="false">$X$2*($X$3*$G155+$X$4*$B155^$X$5*$N155^$X$6)*$S155^$X$7</f>
        <v>0.197907931151018</v>
      </c>
      <c r="X155" s="4" t="n">
        <f aca="false">W155/$R155</f>
        <v>1.04162069026852</v>
      </c>
      <c r="Z155" s="4" t="n">
        <f aca="false">$AA$2*$B155^$AA$3*$S155^$AA$4*($AA$5*$N155^$AA$6+$AA$7)</f>
        <v>0.20168015530534</v>
      </c>
      <c r="AA155" s="4" t="n">
        <f aca="false">Z155/$R155</f>
        <v>1.06147450160705</v>
      </c>
      <c r="AC155" s="4" t="n">
        <f aca="false">$AD$2*($AD$3+$AD$4*$F155/($N155*'Sem TS MC2020'!P147))*($AD$5*$G155+$AD$6*$B155/$N155)*'Sem TS MC2020'!R147*($J155-$M155)/($J155-$M155-$H155)</f>
        <v>0.200061867595232</v>
      </c>
      <c r="AD155" s="4" t="n">
        <f aca="false">AC155/$R155</f>
        <v>1.05295719786964</v>
      </c>
      <c r="AE155" s="24" t="n">
        <f aca="false">AC155-$R155</f>
        <v>0.010061867595232</v>
      </c>
      <c r="AF155" s="25" t="n">
        <f aca="false">1/AD155</f>
        <v>0.949706219800021</v>
      </c>
      <c r="AG155" s="25" t="n">
        <f aca="false">AC155*(14.068*'Sem TS MC2020'!$P147^-0.457)/$R155</f>
        <v>1.10045250280758</v>
      </c>
      <c r="AH155" s="25"/>
      <c r="AP155" s="4" t="n">
        <f aca="false">$AQ$2*($AQ$3+$AQ$4*$F155/($N155*'Sem TS MC2020'!P147))*($AQ$5*$G155+$AQ$6*$B155/$N155)*('Sem TS MC2020'!P147^$AQ$7/200000)*($J155-$M155)/($J155-$M155-$H155)+('Sem TS MC2020'!P147-$C155/$AQ$8)*($AQ$5*$G155+$AQ$6*$B155/$N155)/200000</f>
        <v>0.207379545317589</v>
      </c>
      <c r="AQ155" s="4" t="n">
        <f aca="false">AP155/$R155</f>
        <v>1.0914712911452</v>
      </c>
      <c r="AR155" s="24" t="n">
        <f aca="false">AP155-$R155</f>
        <v>0.0173795453175886</v>
      </c>
    </row>
    <row r="156" customFormat="false" ht="14.25" hidden="false" customHeight="false" outlineLevel="0" collapsed="false">
      <c r="B156" s="2" t="n">
        <v>10</v>
      </c>
      <c r="C156" s="3" t="n">
        <v>528</v>
      </c>
      <c r="D156" s="3" t="n">
        <v>1</v>
      </c>
      <c r="E156" s="2" t="n">
        <v>45</v>
      </c>
      <c r="F156" s="4" t="n">
        <v>2.8</v>
      </c>
      <c r="G156" s="2" t="n">
        <v>40</v>
      </c>
      <c r="H156" s="2" t="n">
        <v>45</v>
      </c>
      <c r="I156" s="1" t="n">
        <v>100</v>
      </c>
      <c r="J156" s="2" t="n">
        <v>250</v>
      </c>
      <c r="K156" s="3" t="n">
        <v>78.5</v>
      </c>
      <c r="L156" s="4" t="n">
        <v>9500</v>
      </c>
      <c r="M156" s="3" t="n">
        <v>43.4459689087927</v>
      </c>
      <c r="N156" s="12" t="n">
        <v>0.00826315789473684</v>
      </c>
      <c r="O156" s="4" t="n">
        <v>4.71</v>
      </c>
      <c r="P156" s="3" t="n">
        <v>168.141541741102</v>
      </c>
      <c r="Q156" s="4" t="n">
        <f aca="false">(P156-P$354)/P$355</f>
        <v>-0.641769466889884</v>
      </c>
      <c r="R156" s="4" t="n">
        <v>0.2</v>
      </c>
      <c r="S156" s="13" t="n">
        <f aca="false">P156/200000</f>
        <v>0.000840707708705509</v>
      </c>
      <c r="W156" s="4" t="n">
        <f aca="false">$X$2*($X$3*$G156+$X$4*$B156^$X$5*$N156^$X$6)*$S156^$X$7</f>
        <v>0.225952345285683</v>
      </c>
      <c r="X156" s="4" t="n">
        <f aca="false">W156/$R156</f>
        <v>1.12976172642842</v>
      </c>
      <c r="Z156" s="4" t="n">
        <f aca="false">$AA$2*$B156^$AA$3*$S156^$AA$4*($AA$5*$N156^$AA$6+$AA$7)</f>
        <v>0.230803770747569</v>
      </c>
      <c r="AA156" s="4" t="n">
        <f aca="false">Z156/$R156</f>
        <v>1.15401885373785</v>
      </c>
      <c r="AC156" s="4" t="n">
        <f aca="false">$AD$2*($AD$3+$AD$4*$F156/($N156*'Sem TS MC2020'!P148))*($AD$5*$G156+$AD$6*$B156/$N156)*'Sem TS MC2020'!R148*($J156-$M156)/($J156-$M156-$H156)</f>
        <v>0.234951102924368</v>
      </c>
      <c r="AD156" s="4" t="n">
        <f aca="false">AC156/$R156</f>
        <v>1.17475551462184</v>
      </c>
      <c r="AE156" s="24" t="n">
        <f aca="false">AC156-$R156</f>
        <v>0.0349511029243677</v>
      </c>
      <c r="AF156" s="25" t="n">
        <f aca="false">1/AD156</f>
        <v>0.851240949757879</v>
      </c>
      <c r="AG156" s="25" t="n">
        <f aca="false">AC156*(14.068*'Sem TS MC2020'!$P148^-0.457)/$R156</f>
        <v>1.19260190768144</v>
      </c>
      <c r="AH156" s="25"/>
      <c r="AP156" s="4" t="n">
        <f aca="false">$AQ$2*($AQ$3+$AQ$4*$F156/($N156*'Sem TS MC2020'!P148))*($AQ$5*$G156+$AQ$6*$B156/$N156)*('Sem TS MC2020'!P148^$AQ$7/200000)*($J156-$M156)/($J156-$M156-$H156)+('Sem TS MC2020'!P148-$C156/$AQ$8)*($AQ$5*$G156+$AQ$6*$B156/$N156)/200000</f>
        <v>0.243564961396962</v>
      </c>
      <c r="AQ156" s="4" t="n">
        <f aca="false">AP156/$R156</f>
        <v>1.21782480698481</v>
      </c>
      <c r="AR156" s="24" t="n">
        <f aca="false">AP156-$R156</f>
        <v>0.0435649613969618</v>
      </c>
    </row>
    <row r="157" customFormat="false" ht="14.25" hidden="false" customHeight="false" outlineLevel="0" collapsed="false">
      <c r="B157" s="2" t="n">
        <v>10</v>
      </c>
      <c r="C157" s="3" t="n">
        <v>528</v>
      </c>
      <c r="D157" s="3" t="n">
        <v>1</v>
      </c>
      <c r="E157" s="2" t="n">
        <v>45</v>
      </c>
      <c r="F157" s="4" t="n">
        <v>2.8</v>
      </c>
      <c r="G157" s="2" t="n">
        <v>40</v>
      </c>
      <c r="H157" s="2" t="n">
        <v>45</v>
      </c>
      <c r="I157" s="1" t="n">
        <v>100</v>
      </c>
      <c r="J157" s="2" t="n">
        <v>250</v>
      </c>
      <c r="K157" s="3" t="n">
        <v>78.5</v>
      </c>
      <c r="L157" s="4" t="n">
        <v>9500</v>
      </c>
      <c r="M157" s="3" t="n">
        <v>43.4459689087927</v>
      </c>
      <c r="N157" s="12" t="n">
        <v>0.00826315789473684</v>
      </c>
      <c r="O157" s="4" t="n">
        <v>5.04</v>
      </c>
      <c r="P157" s="3" t="n">
        <v>205.123419425876</v>
      </c>
      <c r="Q157" s="4" t="n">
        <f aca="false">(P157-P$354)/P$355</f>
        <v>-0.331723292763109</v>
      </c>
      <c r="R157" s="4" t="n">
        <v>0.22</v>
      </c>
      <c r="S157" s="13" t="n">
        <f aca="false">P157/200000</f>
        <v>0.00102561709712938</v>
      </c>
      <c r="W157" s="4" t="n">
        <f aca="false">$X$2*($X$3*$G157+$X$4*$B157^$X$5*$N157^$X$6)*$S157^$X$7</f>
        <v>0.255439920675464</v>
      </c>
      <c r="X157" s="4" t="n">
        <f aca="false">W157/$R157</f>
        <v>1.16109054852484</v>
      </c>
      <c r="Z157" s="4" t="n">
        <f aca="false">$AA$2*$B157^$AA$3*$S157^$AA$4*($AA$5*$N157^$AA$6+$AA$7)</f>
        <v>0.26149570461454</v>
      </c>
      <c r="AA157" s="4" t="n">
        <f aca="false">Z157/$R157</f>
        <v>1.188616839157</v>
      </c>
      <c r="AC157" s="4" t="n">
        <f aca="false">$AD$2*($AD$3+$AD$4*$F157/($N157*'Sem TS MC2020'!P149))*($AD$5*$G157+$AD$6*$B157/$N157)*'Sem TS MC2020'!R149*($J157-$M157)/($J157-$M157-$H157)</f>
        <v>0.274652646574763</v>
      </c>
      <c r="AD157" s="4" t="n">
        <f aca="false">AC157/$R157</f>
        <v>1.24842112079438</v>
      </c>
      <c r="AE157" s="24" t="n">
        <f aca="false">AC157-$R157</f>
        <v>0.0546526465747633</v>
      </c>
      <c r="AF157" s="25" t="n">
        <f aca="false">1/AD157</f>
        <v>0.801011760649879</v>
      </c>
      <c r="AG157" s="25" t="n">
        <f aca="false">AC157*(14.068*'Sem TS MC2020'!$P149^-0.457)/$R157</f>
        <v>1.22876523113939</v>
      </c>
      <c r="AH157" s="25"/>
      <c r="AP157" s="4" t="n">
        <f aca="false">$AQ$2*($AQ$3+$AQ$4*$F157/($N157*'Sem TS MC2020'!P149))*($AQ$5*$G157+$AQ$6*$B157/$N157)*('Sem TS MC2020'!P149^$AQ$7/200000)*($J157-$M157)/($J157-$M157-$H157)+('Sem TS MC2020'!P149-$C157/$AQ$8)*($AQ$5*$G157+$AQ$6*$B157/$N157)/200000</f>
        <v>0.283998428828016</v>
      </c>
      <c r="AQ157" s="4" t="n">
        <f aca="false">AP157/$R157</f>
        <v>1.29090194921826</v>
      </c>
      <c r="AR157" s="24" t="n">
        <f aca="false">AP157-$R157</f>
        <v>0.0639984288280163</v>
      </c>
    </row>
    <row r="158" customFormat="false" ht="14.25" hidden="false" customHeight="false" outlineLevel="0" collapsed="false">
      <c r="B158" s="2" t="n">
        <v>10</v>
      </c>
      <c r="C158" s="3" t="n">
        <v>528</v>
      </c>
      <c r="D158" s="3" t="n">
        <v>1</v>
      </c>
      <c r="E158" s="2" t="n">
        <v>45</v>
      </c>
      <c r="F158" s="4" t="n">
        <v>2.8</v>
      </c>
      <c r="G158" s="2" t="n">
        <v>40</v>
      </c>
      <c r="H158" s="2" t="n">
        <v>45</v>
      </c>
      <c r="I158" s="1" t="n">
        <v>100</v>
      </c>
      <c r="J158" s="2" t="n">
        <v>250</v>
      </c>
      <c r="K158" s="3" t="n">
        <v>78.5</v>
      </c>
      <c r="L158" s="4" t="n">
        <v>9500</v>
      </c>
      <c r="M158" s="3" t="n">
        <v>43.4459689087927</v>
      </c>
      <c r="N158" s="12" t="n">
        <v>0.00826315789473684</v>
      </c>
      <c r="O158" s="4" t="n">
        <v>5.37</v>
      </c>
      <c r="P158" s="3" t="n">
        <v>242.10529711065</v>
      </c>
      <c r="Q158" s="4" t="n">
        <f aca="false">(P158-P$354)/P$355</f>
        <v>-0.0216771186363332</v>
      </c>
      <c r="R158" s="4" t="n">
        <v>0.24</v>
      </c>
      <c r="S158" s="13" t="n">
        <f aca="false">P158/200000</f>
        <v>0.00121052648555325</v>
      </c>
      <c r="W158" s="4" t="n">
        <f aca="false">$X$2*($X$3*$G158+$X$4*$B158^$X$5*$N158^$X$6)*$S158^$X$7</f>
        <v>0.282947597573317</v>
      </c>
      <c r="X158" s="4" t="n">
        <f aca="false">W158/$R158</f>
        <v>1.17894832322216</v>
      </c>
      <c r="Z158" s="4" t="n">
        <f aca="false">$AA$2*$B158^$AA$3*$S158^$AA$4*($AA$5*$N158^$AA$6+$AA$7)</f>
        <v>0.290184144460515</v>
      </c>
      <c r="AA158" s="4" t="n">
        <f aca="false">Z158/$R158</f>
        <v>1.20910060191881</v>
      </c>
      <c r="AC158" s="4" t="n">
        <f aca="false">$AD$2*($AD$3+$AD$4*$F158/($N158*'Sem TS MC2020'!P150))*($AD$5*$G158+$AD$6*$B158/$N158)*'Sem TS MC2020'!R150*($J158-$M158)/($J158-$M158-$H158)</f>
        <v>0.314354190225159</v>
      </c>
      <c r="AD158" s="4" t="n">
        <f aca="false">AC158/$R158</f>
        <v>1.30980912593816</v>
      </c>
      <c r="AE158" s="24" t="n">
        <f aca="false">AC158-$R158</f>
        <v>0.074354190225159</v>
      </c>
      <c r="AF158" s="25" t="n">
        <f aca="false">1/AD158</f>
        <v>0.763470020323565</v>
      </c>
      <c r="AG158" s="25" t="n">
        <f aca="false">AC158*(14.068*'Sem TS MC2020'!$P150^-0.457)/$R158</f>
        <v>1.25235751246421</v>
      </c>
      <c r="AH158" s="25"/>
      <c r="AP158" s="4" t="n">
        <f aca="false">$AQ$2*($AQ$3+$AQ$4*$F158/($N158*'Sem TS MC2020'!P150))*($AQ$5*$G158+$AQ$6*$B158/$N158)*('Sem TS MC2020'!P150^$AQ$7/200000)*($J158-$M158)/($J158-$M158-$H158)+('Sem TS MC2020'!P150-$C158/$AQ$8)*($AQ$5*$G158+$AQ$6*$B158/$N158)/200000</f>
        <v>0.323720477264139</v>
      </c>
      <c r="AQ158" s="4" t="n">
        <f aca="false">AP158/$R158</f>
        <v>1.34883532193391</v>
      </c>
      <c r="AR158" s="24" t="n">
        <f aca="false">AP158-$R158</f>
        <v>0.0837204772641394</v>
      </c>
    </row>
    <row r="159" customFormat="false" ht="14.25" hidden="false" customHeight="false" outlineLevel="0" collapsed="false">
      <c r="B159" s="2" t="n">
        <v>10</v>
      </c>
      <c r="C159" s="3" t="n">
        <v>528</v>
      </c>
      <c r="D159" s="3" t="n">
        <v>1</v>
      </c>
      <c r="E159" s="2" t="n">
        <v>45</v>
      </c>
      <c r="F159" s="4" t="n">
        <v>2.8</v>
      </c>
      <c r="G159" s="2" t="n">
        <v>40</v>
      </c>
      <c r="H159" s="2" t="n">
        <v>45</v>
      </c>
      <c r="I159" s="1" t="n">
        <v>100</v>
      </c>
      <c r="J159" s="2" t="n">
        <v>250</v>
      </c>
      <c r="K159" s="3" t="n">
        <v>78.5</v>
      </c>
      <c r="L159" s="4" t="n">
        <v>9500</v>
      </c>
      <c r="M159" s="3" t="n">
        <v>43.4459689087927</v>
      </c>
      <c r="N159" s="12" t="n">
        <v>0.00826315789473684</v>
      </c>
      <c r="O159" s="4" t="n">
        <v>5.65</v>
      </c>
      <c r="P159" s="3" t="n">
        <v>273.483859994701</v>
      </c>
      <c r="Q159" s="4" t="n">
        <f aca="false">(P159-P$354)/P$355</f>
        <v>0.241392362440931</v>
      </c>
      <c r="R159" s="4" t="n">
        <v>0.26</v>
      </c>
      <c r="S159" s="13" t="n">
        <f aca="false">P159/200000</f>
        <v>0.0013674192999735</v>
      </c>
      <c r="W159" s="4" t="n">
        <f aca="false">$X$2*($X$3*$G159+$X$4*$B159^$X$5*$N159^$X$6)*$S159^$X$7</f>
        <v>0.305043814030168</v>
      </c>
      <c r="X159" s="4" t="n">
        <f aca="false">W159/$R159</f>
        <v>1.17324543857757</v>
      </c>
      <c r="Z159" s="4" t="n">
        <f aca="false">$AA$2*$B159^$AA$3*$S159^$AA$4*($AA$5*$N159^$AA$6+$AA$7)</f>
        <v>0.313265156349246</v>
      </c>
      <c r="AA159" s="4" t="n">
        <f aca="false">Z159/$R159</f>
        <v>1.20486598595864</v>
      </c>
      <c r="AC159" s="4" t="n">
        <f aca="false">$AD$2*($AD$3+$AD$4*$F159/($N159*'Sem TS MC2020'!P151))*($AD$5*$G159+$AD$6*$B159/$N159)*'Sem TS MC2020'!R151*($J159-$M159)/($J159-$M159-$H159)</f>
        <v>0.348040348473979</v>
      </c>
      <c r="AD159" s="4" t="n">
        <f aca="false">AC159/$R159</f>
        <v>1.33861672489992</v>
      </c>
      <c r="AE159" s="24" t="n">
        <f aca="false">AC159-$R159</f>
        <v>0.0880403484739795</v>
      </c>
      <c r="AF159" s="25" t="n">
        <f aca="false">1/AD159</f>
        <v>0.747039822078096</v>
      </c>
      <c r="AG159" s="25" t="n">
        <f aca="false">AC159*(14.068*'Sem TS MC2020'!$P151^-0.457)/$R159</f>
        <v>1.25051431636285</v>
      </c>
      <c r="AH159" s="25"/>
      <c r="AP159" s="4" t="n">
        <f aca="false">$AQ$2*($AQ$3+$AQ$4*$F159/($N159*'Sem TS MC2020'!P151))*($AQ$5*$G159+$AQ$6*$B159/$N159)*('Sem TS MC2020'!P151^$AQ$7/200000)*($J159-$M159)/($J159-$M159-$H159)+('Sem TS MC2020'!P151-$C159/$AQ$8)*($AQ$5*$G159+$AQ$6*$B159/$N159)/200000</f>
        <v>0.356918201730684</v>
      </c>
      <c r="AQ159" s="4" t="n">
        <f aca="false">AP159/$R159</f>
        <v>1.37276231434879</v>
      </c>
      <c r="AR159" s="24" t="n">
        <f aca="false">AP159-$R159</f>
        <v>0.0969182017306843</v>
      </c>
    </row>
    <row r="160" customFormat="false" ht="14.25" hidden="false" customHeight="false" outlineLevel="0" collapsed="false">
      <c r="B160" s="2" t="n">
        <v>10</v>
      </c>
      <c r="C160" s="3" t="n">
        <v>528</v>
      </c>
      <c r="D160" s="3" t="n">
        <v>1</v>
      </c>
      <c r="E160" s="2" t="n">
        <v>45</v>
      </c>
      <c r="F160" s="4" t="n">
        <v>2.8</v>
      </c>
      <c r="G160" s="2" t="n">
        <v>40</v>
      </c>
      <c r="H160" s="2" t="n">
        <v>45</v>
      </c>
      <c r="I160" s="1" t="n">
        <v>100</v>
      </c>
      <c r="J160" s="2" t="n">
        <v>250</v>
      </c>
      <c r="K160" s="3" t="n">
        <v>78.5</v>
      </c>
      <c r="L160" s="4" t="n">
        <v>9500</v>
      </c>
      <c r="M160" s="3" t="n">
        <v>43.4459689087927</v>
      </c>
      <c r="N160" s="12" t="n">
        <v>0.00826315789473684</v>
      </c>
      <c r="O160" s="4" t="n">
        <v>5.92</v>
      </c>
      <c r="P160" s="3" t="n">
        <v>303.741759918607</v>
      </c>
      <c r="Q160" s="4" t="n">
        <f aca="false">(P160-P$354)/P$355</f>
        <v>0.495066504908293</v>
      </c>
      <c r="R160" s="4" t="n">
        <v>0.29</v>
      </c>
      <c r="S160" s="13" t="n">
        <f aca="false">P160/200000</f>
        <v>0.00151870879959303</v>
      </c>
      <c r="W160" s="4" t="n">
        <f aca="false">$X$2*($X$3*$G160+$X$4*$B160^$X$5*$N160^$X$6)*$S160^$X$7</f>
        <v>0.325447277205843</v>
      </c>
      <c r="X160" s="4" t="n">
        <f aca="false">W160/$R160</f>
        <v>1.12223199036498</v>
      </c>
      <c r="Z160" s="4" t="n">
        <f aca="false">$AA$2*$B160^$AA$3*$S160^$AA$4*($AA$5*$N160^$AA$6+$AA$7)</f>
        <v>0.334604527499891</v>
      </c>
      <c r="AA160" s="4" t="n">
        <f aca="false">Z160/$R160</f>
        <v>1.15380871551686</v>
      </c>
      <c r="AC160" s="4" t="n">
        <f aca="false">$AD$2*($AD$3+$AD$4*$F160/($N160*'Sem TS MC2020'!P152))*($AD$5*$G160+$AD$6*$B160/$N160)*'Sem TS MC2020'!R152*($J160-$M160)/($J160-$M160-$H160)</f>
        <v>0.380523429642485</v>
      </c>
      <c r="AD160" s="4" t="n">
        <f aca="false">AC160/$R160</f>
        <v>1.31214975738788</v>
      </c>
      <c r="AE160" s="24" t="n">
        <f aca="false">AC160-$R160</f>
        <v>0.090523429642485</v>
      </c>
      <c r="AF160" s="25" t="n">
        <f aca="false">1/AD160</f>
        <v>0.762108131613512</v>
      </c>
      <c r="AG160" s="25" t="n">
        <f aca="false">AC160*(14.068*'Sem TS MC2020'!$P152^-0.457)/$R160</f>
        <v>1.19991628181074</v>
      </c>
      <c r="AH160" s="25"/>
      <c r="AP160" s="4" t="n">
        <f aca="false">$AQ$2*($AQ$3+$AQ$4*$F160/($N160*'Sem TS MC2020'!P152))*($AQ$5*$G160+$AQ$6*$B160/$N160)*('Sem TS MC2020'!P152^$AQ$7/200000)*($J160-$M160)/($J160-$M160-$H160)+('Sem TS MC2020'!P152-$C160/$AQ$8)*($AQ$5*$G160+$AQ$6*$B160/$N160)/200000</f>
        <v>0.388526702838581</v>
      </c>
      <c r="AQ160" s="4" t="n">
        <f aca="false">AP160/$R160</f>
        <v>1.33974725116752</v>
      </c>
      <c r="AR160" s="24" t="n">
        <f aca="false">AP160-$R160</f>
        <v>0.098526702838581</v>
      </c>
    </row>
    <row r="161" customFormat="false" ht="14.25" hidden="false" customHeight="false" outlineLevel="0" collapsed="false">
      <c r="A161" s="1" t="s">
        <v>56</v>
      </c>
      <c r="B161" s="2" t="n">
        <v>20</v>
      </c>
      <c r="C161" s="3" t="n">
        <v>598</v>
      </c>
      <c r="D161" s="3" t="n">
        <v>1</v>
      </c>
      <c r="E161" s="2" t="n">
        <v>40</v>
      </c>
      <c r="F161" s="4" t="n">
        <v>2.8</v>
      </c>
      <c r="G161" s="2" t="n">
        <v>40</v>
      </c>
      <c r="H161" s="2" t="n">
        <v>50</v>
      </c>
      <c r="I161" s="1" t="n">
        <v>100</v>
      </c>
      <c r="J161" s="2" t="n">
        <v>250</v>
      </c>
      <c r="K161" s="3" t="n">
        <v>315</v>
      </c>
      <c r="L161" s="4" t="n">
        <v>15000</v>
      </c>
      <c r="M161" s="3" t="n">
        <v>75.4003930660822</v>
      </c>
      <c r="N161" s="12" t="n">
        <v>0.021</v>
      </c>
      <c r="O161" s="4" t="n">
        <v>11.09</v>
      </c>
      <c r="P161" s="3" t="n">
        <v>109.165243530495</v>
      </c>
      <c r="Q161" s="4" t="n">
        <f aca="false">(P161-P$354)/P$355</f>
        <v>-1.13621098173722</v>
      </c>
      <c r="R161" s="4" t="n">
        <v>0.17</v>
      </c>
      <c r="S161" s="13" t="n">
        <f aca="false">P161/200000</f>
        <v>0.000545826217652473</v>
      </c>
      <c r="W161" s="4" t="n">
        <f aca="false">$X$2*($X$3*$G161+$X$4*$B161^$X$5*$N161^$X$6)*$S161^$X$7</f>
        <v>0.186944510427119</v>
      </c>
      <c r="X161" s="4" t="n">
        <f aca="false">W161/$R161</f>
        <v>1.09967359074776</v>
      </c>
      <c r="Z161" s="4" t="n">
        <f aca="false">$AA$2*$B161^$AA$3*$S161^$AA$4*($AA$5*$N161^$AA$6+$AA$7)</f>
        <v>0.184312217036826</v>
      </c>
      <c r="AA161" s="4" t="n">
        <f aca="false">Z161/$R161</f>
        <v>1.08418951198133</v>
      </c>
      <c r="AC161" s="4" t="n">
        <f aca="false">$AD$2*($AD$3+$AD$4*$F161/($N161*'Sem TS MC2020'!P153))*($AD$5*$G161+$AD$6*$B161/$N161)*'Sem TS MC2020'!R153*($J161-$M161)/($J161-$M161-$H161)</f>
        <v>0.210160488098032</v>
      </c>
      <c r="AD161" s="4" t="n">
        <f aca="false">AC161/$R161</f>
        <v>1.23623816528254</v>
      </c>
      <c r="AE161" s="24" t="n">
        <f aca="false">AC161-$R161</f>
        <v>0.0401604880980324</v>
      </c>
      <c r="AF161" s="25" t="n">
        <f aca="false">1/AD161</f>
        <v>0.808905620359528</v>
      </c>
      <c r="AG161" s="25" t="n">
        <f aca="false">AC161*(14.068*'Sem TS MC2020'!$P153^-0.457)/$R161</f>
        <v>1.53973392212024</v>
      </c>
      <c r="AH161" s="25"/>
      <c r="AP161" s="4" t="n">
        <f aca="false">$AQ$2*($AQ$3+$AQ$4*$F161/($N161*'Sem TS MC2020'!P153))*($AQ$5*$G161+$AQ$6*$B161/$N161)*('Sem TS MC2020'!P153^$AQ$7/200000)*($J161-$M161)/($J161-$M161-$H161)+('Sem TS MC2020'!P153-$C161/$AQ$8)*($AQ$5*$G161+$AQ$6*$B161/$N161)/200000</f>
        <v>0.223091148061314</v>
      </c>
      <c r="AQ161" s="4" t="n">
        <f aca="false">AP161/$R161</f>
        <v>1.3123008709489</v>
      </c>
      <c r="AR161" s="24" t="n">
        <f aca="false">AP161-$R161</f>
        <v>0.0530911480613137</v>
      </c>
    </row>
    <row r="162" customFormat="false" ht="14.25" hidden="false" customHeight="false" outlineLevel="0" collapsed="false">
      <c r="B162" s="2" t="n">
        <v>20</v>
      </c>
      <c r="C162" s="3" t="n">
        <v>598</v>
      </c>
      <c r="D162" s="3" t="n">
        <v>1</v>
      </c>
      <c r="E162" s="2" t="n">
        <v>40</v>
      </c>
      <c r="F162" s="4" t="n">
        <v>2.8</v>
      </c>
      <c r="G162" s="2" t="n">
        <v>40</v>
      </c>
      <c r="H162" s="2" t="n">
        <v>50</v>
      </c>
      <c r="I162" s="1" t="n">
        <v>100</v>
      </c>
      <c r="J162" s="2" t="n">
        <v>250</v>
      </c>
      <c r="K162" s="3" t="n">
        <v>315</v>
      </c>
      <c r="L162" s="4" t="n">
        <v>15000</v>
      </c>
      <c r="M162" s="3" t="n">
        <v>75.4003930660822</v>
      </c>
      <c r="N162" s="12" t="n">
        <v>0.021</v>
      </c>
      <c r="O162" s="4" t="n">
        <v>12.96</v>
      </c>
      <c r="P162" s="3" t="n">
        <v>151.466537335881</v>
      </c>
      <c r="Q162" s="4" t="n">
        <f aca="false">(P162-P$354)/P$355</f>
        <v>-0.781568245184861</v>
      </c>
      <c r="R162" s="4" t="n">
        <v>0.2</v>
      </c>
      <c r="S162" s="13" t="n">
        <f aca="false">P162/200000</f>
        <v>0.000757332686679407</v>
      </c>
      <c r="W162" s="4" t="n">
        <f aca="false">$X$2*($X$3*$G162+$X$4*$B162^$X$5*$N162^$X$6)*$S162^$X$7</f>
        <v>0.228807392303539</v>
      </c>
      <c r="X162" s="4" t="n">
        <f aca="false">W162/$R162</f>
        <v>1.14403696151769</v>
      </c>
      <c r="Z162" s="4" t="n">
        <f aca="false">$AA$2*$B162^$AA$3*$S162^$AA$4*($AA$5*$N162^$AA$6+$AA$7)</f>
        <v>0.22639978669059</v>
      </c>
      <c r="AA162" s="4" t="n">
        <f aca="false">Z162/$R162</f>
        <v>1.13199893345295</v>
      </c>
      <c r="AC162" s="4" t="n">
        <f aca="false">$AD$2*($AD$3+$AD$4*$F162/($N162*'Sem TS MC2020'!P154))*($AD$5*$G162+$AD$6*$B162/$N162)*'Sem TS MC2020'!R154*($J162-$M162)/($J162-$M162-$H162)</f>
        <v>0.265556738887621</v>
      </c>
      <c r="AD162" s="4" t="n">
        <f aca="false">AC162/$R162</f>
        <v>1.32778369443811</v>
      </c>
      <c r="AE162" s="24" t="n">
        <f aca="false">AC162-$R162</f>
        <v>0.0655567388876214</v>
      </c>
      <c r="AF162" s="25" t="n">
        <f aca="false">1/AD162</f>
        <v>0.753134719298674</v>
      </c>
      <c r="AG162" s="25" t="n">
        <f aca="false">AC162*(14.068*'Sem TS MC2020'!$P154^-0.457)/$R162</f>
        <v>1.54008287880975</v>
      </c>
      <c r="AH162" s="25"/>
      <c r="AP162" s="4" t="n">
        <f aca="false">$AQ$2*($AQ$3+$AQ$4*$F162/($N162*'Sem TS MC2020'!P154))*($AQ$5*$G162+$AQ$6*$B162/$N162)*('Sem TS MC2020'!P154^$AQ$7/200000)*($J162-$M162)/($J162-$M162-$H162)+('Sem TS MC2020'!P154-$C162/$AQ$8)*($AQ$5*$G162+$AQ$6*$B162/$N162)/200000</f>
        <v>0.280046244682146</v>
      </c>
      <c r="AQ162" s="4" t="n">
        <f aca="false">AP162/$R162</f>
        <v>1.40023122341073</v>
      </c>
      <c r="AR162" s="24" t="n">
        <f aca="false">AP162-$R162</f>
        <v>0.0800462446821462</v>
      </c>
    </row>
    <row r="163" customFormat="false" ht="14.25" hidden="false" customHeight="false" outlineLevel="0" collapsed="false">
      <c r="B163" s="2" t="n">
        <v>20</v>
      </c>
      <c r="C163" s="3" t="n">
        <v>598</v>
      </c>
      <c r="D163" s="3" t="n">
        <v>1</v>
      </c>
      <c r="E163" s="2" t="n">
        <v>40</v>
      </c>
      <c r="F163" s="4" t="n">
        <v>2.8</v>
      </c>
      <c r="G163" s="2" t="n">
        <v>40</v>
      </c>
      <c r="H163" s="2" t="n">
        <v>50</v>
      </c>
      <c r="I163" s="1" t="n">
        <v>100</v>
      </c>
      <c r="J163" s="2" t="n">
        <v>250</v>
      </c>
      <c r="K163" s="3" t="n">
        <v>315</v>
      </c>
      <c r="L163" s="4" t="n">
        <v>15000</v>
      </c>
      <c r="M163" s="3" t="n">
        <v>75.4003930660822</v>
      </c>
      <c r="N163" s="12" t="n">
        <v>0.021</v>
      </c>
      <c r="O163" s="4" t="n">
        <v>14.77</v>
      </c>
      <c r="P163" s="3" t="n">
        <v>194.074012813532</v>
      </c>
      <c r="Q163" s="4" t="n">
        <f aca="false">(P163-P$354)/P$355</f>
        <v>-0.424358563360492</v>
      </c>
      <c r="R163" s="4" t="n">
        <v>0.24</v>
      </c>
      <c r="S163" s="13" t="n">
        <f aca="false">P163/200000</f>
        <v>0.000970370064067659</v>
      </c>
      <c r="W163" s="4" t="n">
        <f aca="false">$X$2*($X$3*$G163+$X$4*$B163^$X$5*$N163^$X$6)*$S163^$X$7</f>
        <v>0.266618650795356</v>
      </c>
      <c r="X163" s="4" t="n">
        <f aca="false">W163/$R163</f>
        <v>1.11091104498065</v>
      </c>
      <c r="Z163" s="4" t="n">
        <f aca="false">$AA$2*$B163^$AA$3*$S163^$AA$4*($AA$5*$N163^$AA$6+$AA$7)</f>
        <v>0.26453348033249</v>
      </c>
      <c r="AA163" s="4" t="n">
        <f aca="false">Z163/$R163</f>
        <v>1.10222283471871</v>
      </c>
      <c r="AC163" s="4" t="n">
        <f aca="false">$AD$2*($AD$3+$AD$4*$F163/($N163*'Sem TS MC2020'!P155))*($AD$5*$G163+$AD$6*$B163/$N163)*'Sem TS MC2020'!R155*($J163-$M163)/($J163-$M163-$H163)</f>
        <v>0.31917556986578</v>
      </c>
      <c r="AD163" s="4" t="n">
        <f aca="false">AC163/$R163</f>
        <v>1.32989820777408</v>
      </c>
      <c r="AE163" s="24" t="n">
        <f aca="false">AC163-$R163</f>
        <v>0.0791755698657797</v>
      </c>
      <c r="AF163" s="25" t="n">
        <f aca="false">1/AD163</f>
        <v>0.751937249147625</v>
      </c>
      <c r="AG163" s="25" t="n">
        <f aca="false">AC163*(14.068*'Sem TS MC2020'!$P155^-0.457)/$R163</f>
        <v>1.45307744570439</v>
      </c>
      <c r="AH163" s="25"/>
      <c r="AP163" s="4" t="n">
        <f aca="false">$AQ$2*($AQ$3+$AQ$4*$F163/($N163*'Sem TS MC2020'!P155))*($AQ$5*$G163+$AQ$6*$B163/$N163)*('Sem TS MC2020'!P155^$AQ$7/200000)*($J163-$M163)/($J163-$M163-$H163)+('Sem TS MC2020'!P155-$C163/$AQ$8)*($AQ$5*$G163+$AQ$6*$B163/$N163)/200000</f>
        <v>0.333385303366978</v>
      </c>
      <c r="AQ163" s="4" t="n">
        <f aca="false">AP163/$R163</f>
        <v>1.38910543069574</v>
      </c>
      <c r="AR163" s="24" t="n">
        <f aca="false">AP163-$R163</f>
        <v>0.0933853033669777</v>
      </c>
    </row>
    <row r="164" customFormat="false" ht="14.25" hidden="false" customHeight="false" outlineLevel="0" collapsed="false">
      <c r="B164" s="2" t="n">
        <v>20</v>
      </c>
      <c r="C164" s="3" t="n">
        <v>598</v>
      </c>
      <c r="D164" s="3" t="n">
        <v>1</v>
      </c>
      <c r="E164" s="2" t="n">
        <v>40</v>
      </c>
      <c r="F164" s="4" t="n">
        <v>2.8</v>
      </c>
      <c r="G164" s="2" t="n">
        <v>40</v>
      </c>
      <c r="H164" s="2" t="n">
        <v>50</v>
      </c>
      <c r="I164" s="1" t="n">
        <v>100</v>
      </c>
      <c r="J164" s="2" t="n">
        <v>250</v>
      </c>
      <c r="K164" s="3" t="n">
        <v>315</v>
      </c>
      <c r="L164" s="4" t="n">
        <v>15000</v>
      </c>
      <c r="M164" s="3" t="n">
        <v>75.4003930660822</v>
      </c>
      <c r="N164" s="12" t="n">
        <v>0.021</v>
      </c>
      <c r="O164" s="4" t="n">
        <v>16.57</v>
      </c>
      <c r="P164" s="3" t="n">
        <v>236.446087874179</v>
      </c>
      <c r="Q164" s="4" t="n">
        <f aca="false">(P164-P$354)/P$355</f>
        <v>-0.0691224156898489</v>
      </c>
      <c r="R164" s="4" t="n">
        <v>0.27</v>
      </c>
      <c r="S164" s="13" t="n">
        <f aca="false">P164/200000</f>
        <v>0.00118223043937089</v>
      </c>
      <c r="W164" s="4" t="n">
        <f aca="false">$X$2*($X$3*$G164+$X$4*$B164^$X$5*$N164^$X$6)*$S164^$X$7</f>
        <v>0.30116699475999</v>
      </c>
      <c r="X164" s="4" t="n">
        <f aca="false">W164/$R164</f>
        <v>1.11543331392589</v>
      </c>
      <c r="Z164" s="4" t="n">
        <f aca="false">$AA$2*$B164^$AA$3*$S164^$AA$4*($AA$5*$N164^$AA$6+$AA$7)</f>
        <v>0.299461438817519</v>
      </c>
      <c r="AA164" s="4" t="n">
        <f aca="false">Z164/$R164</f>
        <v>1.10911644006489</v>
      </c>
      <c r="AC164" s="4" t="n">
        <f aca="false">$AD$2*($AD$3+$AD$4*$F164/($N164*'Sem TS MC2020'!P156))*($AD$5*$G164+$AD$6*$B164/$N164)*'Sem TS MC2020'!R156*($J164-$M164)/($J164-$M164-$H164)</f>
        <v>0.372498164208699</v>
      </c>
      <c r="AD164" s="4" t="n">
        <f aca="false">AC164/$R164</f>
        <v>1.37962283040259</v>
      </c>
      <c r="AE164" s="24" t="n">
        <f aca="false">AC164-$R164</f>
        <v>0.102498164208699</v>
      </c>
      <c r="AF164" s="25" t="n">
        <f aca="false">1/AD164</f>
        <v>0.724835786972435</v>
      </c>
      <c r="AG164" s="25" t="n">
        <f aca="false">AC164*(14.068*'Sem TS MC2020'!$P156^-0.457)/$R164</f>
        <v>1.43023444671876</v>
      </c>
      <c r="AH164" s="25"/>
      <c r="AP164" s="4" t="n">
        <f aca="false">$AQ$2*($AQ$3+$AQ$4*$F164/($N164*'Sem TS MC2020'!P156))*($AQ$5*$G164+$AQ$6*$B164/$N164)*('Sem TS MC2020'!P156^$AQ$7/200000)*($J164-$M164)/($J164-$M164-$H164)+('Sem TS MC2020'!P156-$C164/$AQ$8)*($AQ$5*$G164+$AQ$6*$B164/$N164)/200000</f>
        <v>0.384996860919815</v>
      </c>
      <c r="AQ164" s="4" t="n">
        <f aca="false">AP164/$R164</f>
        <v>1.42591429970302</v>
      </c>
      <c r="AR164" s="24" t="n">
        <f aca="false">AP164-$R164</f>
        <v>0.114996860919814</v>
      </c>
    </row>
    <row r="165" customFormat="false" ht="14.25" hidden="false" customHeight="false" outlineLevel="0" collapsed="false">
      <c r="B165" s="2" t="n">
        <v>20</v>
      </c>
      <c r="C165" s="3" t="n">
        <v>598</v>
      </c>
      <c r="D165" s="3" t="n">
        <v>1</v>
      </c>
      <c r="E165" s="2" t="n">
        <v>40</v>
      </c>
      <c r="F165" s="4" t="n">
        <v>2.8</v>
      </c>
      <c r="G165" s="2" t="n">
        <v>40</v>
      </c>
      <c r="H165" s="2" t="n">
        <v>50</v>
      </c>
      <c r="I165" s="1" t="n">
        <v>100</v>
      </c>
      <c r="J165" s="2" t="n">
        <v>250</v>
      </c>
      <c r="K165" s="3" t="n">
        <v>315</v>
      </c>
      <c r="L165" s="4" t="n">
        <v>15000</v>
      </c>
      <c r="M165" s="3" t="n">
        <v>75.4003930660822</v>
      </c>
      <c r="N165" s="12" t="n">
        <v>0.021</v>
      </c>
      <c r="O165" s="4" t="n">
        <v>18.35</v>
      </c>
      <c r="P165" s="3" t="n">
        <v>278.347362100818</v>
      </c>
      <c r="Q165" s="4" t="n">
        <f aca="false">(P165-P$354)/P$355</f>
        <v>0.282166663673344</v>
      </c>
      <c r="R165" s="4" t="n">
        <v>0.32</v>
      </c>
      <c r="S165" s="13" t="n">
        <f aca="false">P165/200000</f>
        <v>0.00139173681050409</v>
      </c>
      <c r="W165" s="4" t="n">
        <f aca="false">$X$2*($X$3*$G165+$X$4*$B165^$X$5*$N165^$X$6)*$S165^$X$7</f>
        <v>0.33306185470397</v>
      </c>
      <c r="X165" s="4" t="n">
        <f aca="false">W165/$R165</f>
        <v>1.04081829594991</v>
      </c>
      <c r="Z165" s="4" t="n">
        <f aca="false">$AA$2*$B165^$AA$3*$S165^$AA$4*($AA$5*$N165^$AA$6+$AA$7)</f>
        <v>0.331770549817883</v>
      </c>
      <c r="AA165" s="4" t="n">
        <f aca="false">Z165/$R165</f>
        <v>1.03678296818088</v>
      </c>
      <c r="AC165" s="4" t="n">
        <f aca="false">$AD$2*($AD$3+$AD$4*$F165/($N165*'Sem TS MC2020'!P157))*($AD$5*$G165+$AD$6*$B165/$N165)*'Sem TS MC2020'!R157*($J165-$M165)/($J165-$M165-$H165)</f>
        <v>0.425228285281143</v>
      </c>
      <c r="AD165" s="4" t="n">
        <f aca="false">AC165/$R165</f>
        <v>1.32883839150357</v>
      </c>
      <c r="AE165" s="24" t="n">
        <f aca="false">AC165-$R165</f>
        <v>0.105228285281143</v>
      </c>
      <c r="AF165" s="25" t="n">
        <f aca="false">1/AD165</f>
        <v>0.752536957386148</v>
      </c>
      <c r="AG165" s="25" t="n">
        <f aca="false">AC165*(14.068*'Sem TS MC2020'!$P157^-0.457)/$R165</f>
        <v>1.31482432724637</v>
      </c>
      <c r="AH165" s="25"/>
      <c r="AP165" s="4" t="n">
        <f aca="false">$AQ$2*($AQ$3+$AQ$4*$F165/($N165*'Sem TS MC2020'!P157))*($AQ$5*$G165+$AQ$6*$B165/$N165)*('Sem TS MC2020'!P157^$AQ$7/200000)*($J165-$M165)/($J165-$M165-$H165)+('Sem TS MC2020'!P157-$C165/$AQ$8)*($AQ$5*$G165+$AQ$6*$B165/$N165)/200000</f>
        <v>0.434847055123442</v>
      </c>
      <c r="AQ165" s="4" t="n">
        <f aca="false">AP165/$R165</f>
        <v>1.35889704726076</v>
      </c>
      <c r="AR165" s="24" t="n">
        <f aca="false">AP165-$R165</f>
        <v>0.114847055123442</v>
      </c>
    </row>
    <row r="166" customFormat="false" ht="14.25" hidden="false" customHeight="false" outlineLevel="0" collapsed="false">
      <c r="B166" s="2" t="n">
        <v>20</v>
      </c>
      <c r="C166" s="3" t="n">
        <v>598</v>
      </c>
      <c r="D166" s="3" t="n">
        <v>1</v>
      </c>
      <c r="E166" s="2" t="n">
        <v>40</v>
      </c>
      <c r="F166" s="4" t="n">
        <v>2.8</v>
      </c>
      <c r="G166" s="2" t="n">
        <v>40</v>
      </c>
      <c r="H166" s="2" t="n">
        <v>50</v>
      </c>
      <c r="I166" s="1" t="n">
        <v>100</v>
      </c>
      <c r="J166" s="2" t="n">
        <v>250</v>
      </c>
      <c r="K166" s="3" t="n">
        <v>315</v>
      </c>
      <c r="L166" s="4" t="n">
        <v>15000</v>
      </c>
      <c r="M166" s="3" t="n">
        <v>75.4003930660822</v>
      </c>
      <c r="N166" s="12" t="n">
        <v>0.021</v>
      </c>
      <c r="O166" s="4" t="n">
        <v>20.18</v>
      </c>
      <c r="P166" s="3" t="n">
        <v>321.425638412476</v>
      </c>
      <c r="Q166" s="4" t="n">
        <f aca="false">(P166-P$354)/P$355</f>
        <v>0.643323413805163</v>
      </c>
      <c r="R166" s="4" t="n">
        <v>0.34</v>
      </c>
      <c r="S166" s="13" t="n">
        <f aca="false">P166/200000</f>
        <v>0.00160712819206238</v>
      </c>
      <c r="W166" s="4" t="n">
        <f aca="false">$X$2*($X$3*$G166+$X$4*$B166^$X$5*$N166^$X$6)*$S166^$X$7</f>
        <v>0.363984866494449</v>
      </c>
      <c r="X166" s="4" t="n">
        <f aca="false">W166/$R166</f>
        <v>1.07054372498367</v>
      </c>
      <c r="Z166" s="4" t="n">
        <f aca="false">$AA$2*$B166^$AA$3*$S166^$AA$4*($AA$5*$N166^$AA$6+$AA$7)</f>
        <v>0.363148028740427</v>
      </c>
      <c r="AA166" s="4" t="n">
        <f aca="false">Z166/$R166</f>
        <v>1.06808243747184</v>
      </c>
      <c r="AC166" s="4" t="n">
        <f aca="false">$AD$2*($AD$3+$AD$4*$F166/($N166*'Sem TS MC2020'!P158))*($AD$5*$G166+$AD$6*$B166/$N166)*'Sem TS MC2020'!R158*($J166-$M166)/($J166-$M166-$H166)</f>
        <v>0.479439589529778</v>
      </c>
      <c r="AD166" s="4" t="n">
        <f aca="false">AC166/$R166</f>
        <v>1.41011643979346</v>
      </c>
      <c r="AE166" s="24" t="n">
        <f aca="false">AC166-$R166</f>
        <v>0.139439589529778</v>
      </c>
      <c r="AF166" s="25" t="n">
        <f aca="false">1/AD166</f>
        <v>0.709161294613704</v>
      </c>
      <c r="AG166" s="25" t="n">
        <f aca="false">AC166*(14.068*'Sem TS MC2020'!$P158^-0.457)/$R166</f>
        <v>1.33592861475652</v>
      </c>
      <c r="AH166" s="25"/>
      <c r="AP166" s="4" t="n">
        <f aca="false">$AQ$2*($AQ$3+$AQ$4*$F166/($N166*'Sem TS MC2020'!P158))*($AQ$5*$G166+$AQ$6*$B166/$N166)*('Sem TS MC2020'!P158^$AQ$7/200000)*($J166-$M166)/($J166-$M166-$H166)+('Sem TS MC2020'!P158-$C166/$AQ$8)*($AQ$5*$G166+$AQ$6*$B166/$N166)/200000</f>
        <v>0.485036131311996</v>
      </c>
      <c r="AQ166" s="4" t="n">
        <f aca="false">AP166/$R166</f>
        <v>1.42657685679999</v>
      </c>
      <c r="AR166" s="24" t="n">
        <f aca="false">AP166-$R166</f>
        <v>0.145036131311996</v>
      </c>
    </row>
    <row r="167" customFormat="false" ht="14.25" hidden="false" customHeight="false" outlineLevel="0" collapsed="false">
      <c r="A167" s="1" t="s">
        <v>57</v>
      </c>
      <c r="B167" s="2" t="n">
        <v>20</v>
      </c>
      <c r="C167" s="3" t="n">
        <v>598</v>
      </c>
      <c r="D167" s="3" t="n">
        <v>1</v>
      </c>
      <c r="E167" s="2" t="n">
        <v>40</v>
      </c>
      <c r="F167" s="4" t="n">
        <v>2.8</v>
      </c>
      <c r="G167" s="2" t="n">
        <v>40</v>
      </c>
      <c r="H167" s="2" t="n">
        <v>50</v>
      </c>
      <c r="I167" s="1" t="n">
        <v>100</v>
      </c>
      <c r="J167" s="2" t="n">
        <v>250</v>
      </c>
      <c r="K167" s="3" t="n">
        <v>315</v>
      </c>
      <c r="L167" s="4" t="n">
        <v>15000</v>
      </c>
      <c r="M167" s="3" t="n">
        <v>75.4003930660822</v>
      </c>
      <c r="N167" s="12" t="n">
        <v>0.021</v>
      </c>
      <c r="O167" s="4" t="n">
        <v>9.35</v>
      </c>
      <c r="P167" s="3" t="n">
        <v>77.5765264357903</v>
      </c>
      <c r="Q167" s="4" t="n">
        <f aca="false">(P167-P$354)/P$355</f>
        <v>-1.40104233952461</v>
      </c>
      <c r="R167" s="4" t="n">
        <v>0.16</v>
      </c>
      <c r="S167" s="13" t="n">
        <f aca="false">P167/200000</f>
        <v>0.000387882632178952</v>
      </c>
      <c r="W167" s="4" t="n">
        <f aca="false">$X$2*($X$3*$G167+$X$4*$B167^$X$5*$N167^$X$6)*$S167^$X$7</f>
        <v>0.151418264037444</v>
      </c>
      <c r="X167" s="4" t="n">
        <f aca="false">W167/$R167</f>
        <v>0.946364150234025</v>
      </c>
      <c r="Z167" s="4" t="n">
        <f aca="false">$AA$2*$B167^$AA$3*$S167^$AA$4*($AA$5*$N167^$AA$6+$AA$7)</f>
        <v>0.148726300295447</v>
      </c>
      <c r="AA167" s="4" t="n">
        <f aca="false">Z167/$R167</f>
        <v>0.929539376846544</v>
      </c>
      <c r="AC167" s="4" t="n">
        <f aca="false">$AD$2*($AD$3+$AD$4*$F167/($N167*'Sem TS MC2020'!P159))*($AD$5*$G167+$AD$6*$B167/$N167)*'Sem TS MC2020'!R159*($J167-$M167)/($J167-$M167-$H167)</f>
        <v>0.158615313566543</v>
      </c>
      <c r="AD167" s="4" t="n">
        <f aca="false">AC167/$R167</f>
        <v>0.991345709790894</v>
      </c>
      <c r="AE167" s="24" t="n">
        <f aca="false">AC167-$R167</f>
        <v>-0.00138468643345699</v>
      </c>
      <c r="AF167" s="25" t="n">
        <f aca="false">1/AD167</f>
        <v>1.00872984078474</v>
      </c>
      <c r="AG167" s="25" t="n">
        <f aca="false">AC167*(14.068*'Sem TS MC2020'!$P159^-0.457)/$R167</f>
        <v>1.33487768389844</v>
      </c>
      <c r="AH167" s="25"/>
      <c r="AP167" s="4" t="n">
        <f aca="false">$AQ$2*($AQ$3+$AQ$4*$F167/($N167*'Sem TS MC2020'!P159))*($AQ$5*$G167+$AQ$6*$B167/$N167)*('Sem TS MC2020'!P159^$AQ$7/200000)*($J167-$M167)/($J167-$M167-$H167)+('Sem TS MC2020'!P159-$C167/$AQ$8)*($AQ$5*$G167+$AQ$6*$B167/$N167)/200000</f>
        <v>0.167974482864053</v>
      </c>
      <c r="AQ167" s="4" t="n">
        <f aca="false">AP167/$R167</f>
        <v>1.04984051790033</v>
      </c>
      <c r="AR167" s="24" t="n">
        <f aca="false">AP167-$R167</f>
        <v>0.00797448286405258</v>
      </c>
    </row>
    <row r="168" customFormat="false" ht="14.25" hidden="false" customHeight="false" outlineLevel="0" collapsed="false">
      <c r="B168" s="2" t="n">
        <v>20</v>
      </c>
      <c r="C168" s="3" t="n">
        <v>598</v>
      </c>
      <c r="D168" s="3" t="n">
        <v>1</v>
      </c>
      <c r="E168" s="2" t="n">
        <v>40</v>
      </c>
      <c r="F168" s="4" t="n">
        <v>2.8</v>
      </c>
      <c r="G168" s="2" t="n">
        <v>40</v>
      </c>
      <c r="H168" s="2" t="n">
        <v>50</v>
      </c>
      <c r="I168" s="1" t="n">
        <v>100</v>
      </c>
      <c r="J168" s="2" t="n">
        <v>250</v>
      </c>
      <c r="K168" s="3" t="n">
        <v>315</v>
      </c>
      <c r="L168" s="4" t="n">
        <v>15000</v>
      </c>
      <c r="M168" s="3" t="n">
        <v>75.4003930660822</v>
      </c>
      <c r="N168" s="12" t="n">
        <v>0.021</v>
      </c>
      <c r="O168" s="4" t="n">
        <v>11.12</v>
      </c>
      <c r="P168" s="3" t="n">
        <v>109.709876583852</v>
      </c>
      <c r="Q168" s="4" t="n">
        <f aca="false">(P168-P$354)/P$355</f>
        <v>-1.13164492384433</v>
      </c>
      <c r="R168" s="4" t="n">
        <v>0.2</v>
      </c>
      <c r="S168" s="13" t="n">
        <f aca="false">P168/200000</f>
        <v>0.000548549382919258</v>
      </c>
      <c r="W168" s="4" t="n">
        <f aca="false">$X$2*($X$3*$G168+$X$4*$B168^$X$5*$N168^$X$6)*$S168^$X$7</f>
        <v>0.187519424995349</v>
      </c>
      <c r="X168" s="4" t="n">
        <f aca="false">W168/$R168</f>
        <v>0.937597124976747</v>
      </c>
      <c r="Z168" s="4" t="n">
        <f aca="false">$AA$2*$B168^$AA$3*$S168^$AA$4*($AA$5*$N168^$AA$6+$AA$7)</f>
        <v>0.184889157625515</v>
      </c>
      <c r="AA168" s="4" t="n">
        <f aca="false">Z168/$R168</f>
        <v>0.924445788127573</v>
      </c>
      <c r="AC168" s="4" t="n">
        <f aca="false">$AD$2*($AD$3+$AD$4*$F168/($N168*'Sem TS MC2020'!P160))*($AD$5*$G168+$AD$6*$B168/$N168)*'Sem TS MC2020'!R160*($J168-$M168)/($J168-$M168-$H168)</f>
        <v>0.211049198003748</v>
      </c>
      <c r="AD168" s="4" t="n">
        <f aca="false">AC168/$R168</f>
        <v>1.05524599001874</v>
      </c>
      <c r="AE168" s="24" t="n">
        <f aca="false">AC168-$R168</f>
        <v>0.0110491980037477</v>
      </c>
      <c r="AF168" s="25" t="n">
        <f aca="false">1/AD168</f>
        <v>0.94764633977168</v>
      </c>
      <c r="AG168" s="25" t="n">
        <f aca="false">AC168*(14.068*'Sem TS MC2020'!$P160^-0.457)/$R168</f>
        <v>1.31268665498858</v>
      </c>
      <c r="AH168" s="25"/>
      <c r="AP168" s="4" t="n">
        <f aca="false">$AQ$2*($AQ$3+$AQ$4*$F168/($N168*'Sem TS MC2020'!P160))*($AQ$5*$G168+$AQ$6*$B168/$N168)*('Sem TS MC2020'!P160^$AQ$7/200000)*($J168-$M168)/($J168-$M168-$H168)+('Sem TS MC2020'!P160-$C168/$AQ$8)*($AQ$5*$G168+$AQ$6*$B168/$N168)/200000</f>
        <v>0.224021991417595</v>
      </c>
      <c r="AQ168" s="4" t="n">
        <f aca="false">AP168/$R168</f>
        <v>1.12010995708798</v>
      </c>
      <c r="AR168" s="24" t="n">
        <f aca="false">AP168-$R168</f>
        <v>0.0240219914175955</v>
      </c>
    </row>
    <row r="169" customFormat="false" ht="14.25" hidden="false" customHeight="false" outlineLevel="0" collapsed="false">
      <c r="B169" s="2" t="n">
        <v>20</v>
      </c>
      <c r="C169" s="3" t="n">
        <v>598</v>
      </c>
      <c r="D169" s="3" t="n">
        <v>1</v>
      </c>
      <c r="E169" s="2" t="n">
        <v>40</v>
      </c>
      <c r="F169" s="4" t="n">
        <v>2.8</v>
      </c>
      <c r="G169" s="2" t="n">
        <v>40</v>
      </c>
      <c r="H169" s="2" t="n">
        <v>50</v>
      </c>
      <c r="I169" s="1" t="n">
        <v>100</v>
      </c>
      <c r="J169" s="2" t="n">
        <v>250</v>
      </c>
      <c r="K169" s="3" t="n">
        <v>315</v>
      </c>
      <c r="L169" s="4" t="n">
        <v>15000</v>
      </c>
      <c r="M169" s="3" t="n">
        <v>75.4003930660822</v>
      </c>
      <c r="N169" s="12" t="n">
        <v>0.021</v>
      </c>
      <c r="O169" s="4" t="n">
        <v>12.93</v>
      </c>
      <c r="P169" s="3" t="n">
        <v>150.760336084871</v>
      </c>
      <c r="Q169" s="4" t="n">
        <f aca="false">(P169-P$354)/P$355</f>
        <v>-0.787488847646039</v>
      </c>
      <c r="R169" s="4" t="n">
        <v>0.24</v>
      </c>
      <c r="S169" s="13" t="n">
        <f aca="false">P169/200000</f>
        <v>0.000753801680424353</v>
      </c>
      <c r="W169" s="4" t="n">
        <f aca="false">$X$2*($X$3*$G169+$X$4*$B169^$X$5*$N169^$X$6)*$S169^$X$7</f>
        <v>0.228148589521229</v>
      </c>
      <c r="X169" s="4" t="n">
        <f aca="false">W169/$R169</f>
        <v>0.950619123005122</v>
      </c>
      <c r="Z169" s="4" t="n">
        <f aca="false">$AA$2*$B169^$AA$3*$S169^$AA$4*($AA$5*$N169^$AA$6+$AA$7)</f>
        <v>0.225736311468075</v>
      </c>
      <c r="AA169" s="4" t="n">
        <f aca="false">Z169/$R169</f>
        <v>0.940567964450311</v>
      </c>
      <c r="AC169" s="4" t="n">
        <f aca="false">$AD$2*($AD$3+$AD$4*$F169/($N169*'Sem TS MC2020'!P161))*($AD$5*$G169+$AD$6*$B169/$N169)*'Sem TS MC2020'!R161*($J169-$M169)/($J169-$M169-$H169)</f>
        <v>0.264668028981906</v>
      </c>
      <c r="AD169" s="4" t="n">
        <f aca="false">AC169/$R169</f>
        <v>1.10278345409128</v>
      </c>
      <c r="AE169" s="24" t="n">
        <f aca="false">AC169-$R169</f>
        <v>0.024668028981906</v>
      </c>
      <c r="AF169" s="25" t="n">
        <f aca="false">1/AD169</f>
        <v>0.906796340015845</v>
      </c>
      <c r="AG169" s="25" t="n">
        <f aca="false">AC169*(14.068*'Sem TS MC2020'!$P161^-0.457)/$R169</f>
        <v>1.28046279151053</v>
      </c>
      <c r="AH169" s="25"/>
      <c r="AP169" s="4" t="n">
        <f aca="false">$AQ$2*($AQ$3+$AQ$4*$F169/($N169*'Sem TS MC2020'!P161))*($AQ$5*$G169+$AQ$6*$B169/$N169)*('Sem TS MC2020'!P161^$AQ$7/200000)*($J169-$M169)/($J169-$M169-$H169)+('Sem TS MC2020'!P161-$C169/$AQ$8)*($AQ$5*$G169+$AQ$6*$B169/$N169)/200000</f>
        <v>0.279148401278385</v>
      </c>
      <c r="AQ169" s="4" t="n">
        <f aca="false">AP169/$R169</f>
        <v>1.16311833865994</v>
      </c>
      <c r="AR169" s="24" t="n">
        <f aca="false">AP169-$R169</f>
        <v>0.0391484012783851</v>
      </c>
    </row>
    <row r="170" customFormat="false" ht="14.25" hidden="false" customHeight="false" outlineLevel="0" collapsed="false">
      <c r="B170" s="2" t="n">
        <v>20</v>
      </c>
      <c r="C170" s="3" t="n">
        <v>598</v>
      </c>
      <c r="D170" s="3" t="n">
        <v>1</v>
      </c>
      <c r="E170" s="2" t="n">
        <v>40</v>
      </c>
      <c r="F170" s="4" t="n">
        <v>2.8</v>
      </c>
      <c r="G170" s="2" t="n">
        <v>40</v>
      </c>
      <c r="H170" s="2" t="n">
        <v>50</v>
      </c>
      <c r="I170" s="1" t="n">
        <v>100</v>
      </c>
      <c r="J170" s="2" t="n">
        <v>250</v>
      </c>
      <c r="K170" s="3" t="n">
        <v>315</v>
      </c>
      <c r="L170" s="4" t="n">
        <v>15000</v>
      </c>
      <c r="M170" s="3" t="n">
        <v>75.4003930660822</v>
      </c>
      <c r="N170" s="12" t="n">
        <v>0.021</v>
      </c>
      <c r="O170" s="4" t="n">
        <v>14.72</v>
      </c>
      <c r="P170" s="3" t="n">
        <v>192.897010728514</v>
      </c>
      <c r="Q170" s="4" t="n">
        <f aca="false">(P170-P$354)/P$355</f>
        <v>-0.434226234129121</v>
      </c>
      <c r="R170" s="4" t="n">
        <v>0.27</v>
      </c>
      <c r="S170" s="13" t="n">
        <f aca="false">P170/200000</f>
        <v>0.000964485053642569</v>
      </c>
      <c r="W170" s="4" t="n">
        <f aca="false">$X$2*($X$3*$G170+$X$4*$B170^$X$5*$N170^$X$6)*$S170^$X$7</f>
        <v>0.265619822024044</v>
      </c>
      <c r="X170" s="4" t="n">
        <f aca="false">W170/$R170</f>
        <v>0.98377711860757</v>
      </c>
      <c r="Z170" s="4" t="n">
        <f aca="false">$AA$2*$B170^$AA$3*$S170^$AA$4*($AA$5*$N170^$AA$6+$AA$7)</f>
        <v>0.263524828872221</v>
      </c>
      <c r="AA170" s="4" t="n">
        <f aca="false">Z170/$R170</f>
        <v>0.97601788471193</v>
      </c>
      <c r="AC170" s="4" t="n">
        <f aca="false">$AD$2*($AD$3+$AD$4*$F170/($N170*'Sem TS MC2020'!P162))*($AD$5*$G170+$AD$6*$B170/$N170)*'Sem TS MC2020'!R162*($J170-$M170)/($J170-$M170-$H170)</f>
        <v>0.317694386689588</v>
      </c>
      <c r="AD170" s="4" t="n">
        <f aca="false">AC170/$R170</f>
        <v>1.1766458766281</v>
      </c>
      <c r="AE170" s="24" t="n">
        <f aca="false">AC170-$R170</f>
        <v>0.0476943866895875</v>
      </c>
      <c r="AF170" s="25" t="n">
        <f aca="false">1/AD170</f>
        <v>0.849873373003003</v>
      </c>
      <c r="AG170" s="25" t="n">
        <f aca="false">AC170*(14.068*'Sem TS MC2020'!$P162^-0.457)/$R170</f>
        <v>1.28762427452393</v>
      </c>
      <c r="AH170" s="25"/>
      <c r="AP170" s="4" t="n">
        <f aca="false">$AQ$2*($AQ$3+$AQ$4*$F170/($N170*'Sem TS MC2020'!P162))*($AQ$5*$G170+$AQ$6*$B170/$N170)*('Sem TS MC2020'!P162^$AQ$7/200000)*($J170-$M170)/($J170-$M170-$H170)+('Sem TS MC2020'!P162-$C170/$AQ$8)*($AQ$5*$G170+$AQ$6*$B170/$N170)/200000</f>
        <v>0.331932444481565</v>
      </c>
      <c r="AQ170" s="4" t="n">
        <f aca="false">AP170/$R170</f>
        <v>1.2293794240058</v>
      </c>
      <c r="AR170" s="24" t="n">
        <f aca="false">AP170-$R170</f>
        <v>0.0619324444815654</v>
      </c>
    </row>
    <row r="171" customFormat="false" ht="14.25" hidden="false" customHeight="false" outlineLevel="0" collapsed="false">
      <c r="B171" s="2" t="n">
        <v>20</v>
      </c>
      <c r="C171" s="3" t="n">
        <v>598</v>
      </c>
      <c r="D171" s="3" t="n">
        <v>1</v>
      </c>
      <c r="E171" s="2" t="n">
        <v>40</v>
      </c>
      <c r="F171" s="4" t="n">
        <v>2.8</v>
      </c>
      <c r="G171" s="2" t="n">
        <v>40</v>
      </c>
      <c r="H171" s="2" t="n">
        <v>50</v>
      </c>
      <c r="I171" s="1" t="n">
        <v>100</v>
      </c>
      <c r="J171" s="2" t="n">
        <v>250</v>
      </c>
      <c r="K171" s="3" t="n">
        <v>315</v>
      </c>
      <c r="L171" s="4" t="n">
        <v>15000</v>
      </c>
      <c r="M171" s="3" t="n">
        <v>75.4003930660822</v>
      </c>
      <c r="N171" s="12" t="n">
        <v>0.021</v>
      </c>
      <c r="O171" s="4" t="n">
        <v>16.58</v>
      </c>
      <c r="P171" s="3" t="n">
        <v>236.681488291182</v>
      </c>
      <c r="Q171" s="4" t="n">
        <f aca="false">(P171-P$354)/P$355</f>
        <v>-0.067148881536123</v>
      </c>
      <c r="R171" s="4" t="n">
        <v>0.29</v>
      </c>
      <c r="S171" s="13" t="n">
        <f aca="false">P171/200000</f>
        <v>0.00118340744145591</v>
      </c>
      <c r="W171" s="4" t="n">
        <f aca="false">$X$2*($X$3*$G171+$X$4*$B171^$X$5*$N171^$X$6)*$S171^$X$7</f>
        <v>0.30135195776173</v>
      </c>
      <c r="X171" s="4" t="n">
        <f aca="false">W171/$R171</f>
        <v>1.039144681937</v>
      </c>
      <c r="Z171" s="4" t="n">
        <f aca="false">$AA$2*$B171^$AA$3*$S171^$AA$4*($AA$5*$N171^$AA$6+$AA$7)</f>
        <v>0.299648634252357</v>
      </c>
      <c r="AA171" s="4" t="n">
        <f aca="false">Z171/$R171</f>
        <v>1.03327115259433</v>
      </c>
      <c r="AC171" s="4" t="n">
        <f aca="false">$AD$2*($AD$3+$AD$4*$F171/($N171*'Sem TS MC2020'!P163))*($AD$5*$G171+$AD$6*$B171/$N171)*'Sem TS MC2020'!R163*($J171-$M171)/($J171-$M171-$H171)</f>
        <v>0.372794400843938</v>
      </c>
      <c r="AD171" s="4" t="n">
        <f aca="false">AC171/$R171</f>
        <v>1.28549793394461</v>
      </c>
      <c r="AE171" s="24" t="n">
        <f aca="false">AC171-$R171</f>
        <v>0.0827944008439379</v>
      </c>
      <c r="AF171" s="25" t="n">
        <f aca="false">1/AD171</f>
        <v>0.777908679270647</v>
      </c>
      <c r="AG171" s="25" t="n">
        <f aca="false">AC171*(14.068*'Sem TS MC2020'!$P163^-0.457)/$R171</f>
        <v>1.33228918332354</v>
      </c>
      <c r="AH171" s="25"/>
      <c r="AP171" s="4" t="n">
        <f aca="false">$AQ$2*($AQ$3+$AQ$4*$F171/($N171*'Sem TS MC2020'!P163))*($AQ$5*$G171+$AQ$6*$B171/$N171)*('Sem TS MC2020'!P163^$AQ$7/200000)*($J171-$M171)/($J171-$M171-$H171)+('Sem TS MC2020'!P163-$C171/$AQ$8)*($AQ$5*$G171+$AQ$6*$B171/$N171)/200000</f>
        <v>0.385280044262122</v>
      </c>
      <c r="AQ171" s="4" t="n">
        <f aca="false">AP171/$R171</f>
        <v>1.32855187676594</v>
      </c>
      <c r="AR171" s="24" t="n">
        <f aca="false">AP171-$R171</f>
        <v>0.0952800442621221</v>
      </c>
    </row>
    <row r="172" customFormat="false" ht="14.25" hidden="false" customHeight="false" outlineLevel="0" collapsed="false">
      <c r="B172" s="2" t="n">
        <v>20</v>
      </c>
      <c r="C172" s="3" t="n">
        <v>598</v>
      </c>
      <c r="D172" s="3" t="n">
        <v>1</v>
      </c>
      <c r="E172" s="2" t="n">
        <v>40</v>
      </c>
      <c r="F172" s="4" t="n">
        <v>2.8</v>
      </c>
      <c r="G172" s="2" t="n">
        <v>40</v>
      </c>
      <c r="H172" s="2" t="n">
        <v>50</v>
      </c>
      <c r="I172" s="1" t="n">
        <v>100</v>
      </c>
      <c r="J172" s="2" t="n">
        <v>250</v>
      </c>
      <c r="K172" s="3" t="n">
        <v>315</v>
      </c>
      <c r="L172" s="4" t="n">
        <v>15000</v>
      </c>
      <c r="M172" s="3" t="n">
        <v>75.4003930660822</v>
      </c>
      <c r="N172" s="12" t="n">
        <v>0.021</v>
      </c>
      <c r="O172" s="4" t="n">
        <v>18.35</v>
      </c>
      <c r="P172" s="3" t="n">
        <v>278.347362100818</v>
      </c>
      <c r="Q172" s="4" t="n">
        <f aca="false">(P172-P$354)/P$355</f>
        <v>0.282166663673344</v>
      </c>
      <c r="R172" s="4" t="n">
        <v>0.32</v>
      </c>
      <c r="S172" s="13" t="n">
        <f aca="false">P172/200000</f>
        <v>0.00139173681050409</v>
      </c>
      <c r="W172" s="4" t="n">
        <f aca="false">$X$2*($X$3*$G172+$X$4*$B172^$X$5*$N172^$X$6)*$S172^$X$7</f>
        <v>0.33306185470397</v>
      </c>
      <c r="X172" s="4" t="n">
        <f aca="false">W172/$R172</f>
        <v>1.04081829594991</v>
      </c>
      <c r="Z172" s="4" t="n">
        <f aca="false">$AA$2*$B172^$AA$3*$S172^$AA$4*($AA$5*$N172^$AA$6+$AA$7)</f>
        <v>0.331770549817883</v>
      </c>
      <c r="AA172" s="4" t="n">
        <f aca="false">Z172/$R172</f>
        <v>1.03678296818088</v>
      </c>
      <c r="AC172" s="4" t="n">
        <f aca="false">$AD$2*($AD$3+$AD$4*$F172/($N172*'Sem TS MC2020'!P164))*($AD$5*$G172+$AD$6*$B172/$N172)*'Sem TS MC2020'!R164*($J172-$M172)/($J172-$M172-$H172)</f>
        <v>0.425228285281143</v>
      </c>
      <c r="AD172" s="4" t="n">
        <f aca="false">AC172/$R172</f>
        <v>1.32883839150357</v>
      </c>
      <c r="AE172" s="24" t="n">
        <f aca="false">AC172-$R172</f>
        <v>0.105228285281143</v>
      </c>
      <c r="AF172" s="25" t="n">
        <f aca="false">1/AD172</f>
        <v>0.752536957386148</v>
      </c>
      <c r="AG172" s="25" t="n">
        <f aca="false">AC172*(14.068*'Sem TS MC2020'!$P164^-0.457)/$R172</f>
        <v>1.31482432724637</v>
      </c>
      <c r="AH172" s="25"/>
      <c r="AP172" s="4" t="n">
        <f aca="false">$AQ$2*($AQ$3+$AQ$4*$F172/($N172*'Sem TS MC2020'!P164))*($AQ$5*$G172+$AQ$6*$B172/$N172)*('Sem TS MC2020'!P164^$AQ$7/200000)*($J172-$M172)/($J172-$M172-$H172)+('Sem TS MC2020'!P164-$C172/$AQ$8)*($AQ$5*$G172+$AQ$6*$B172/$N172)/200000</f>
        <v>0.434847055123442</v>
      </c>
      <c r="AQ172" s="4" t="n">
        <f aca="false">AP172/$R172</f>
        <v>1.35889704726076</v>
      </c>
      <c r="AR172" s="24" t="n">
        <f aca="false">AP172-$R172</f>
        <v>0.114847055123442</v>
      </c>
    </row>
    <row r="173" customFormat="false" ht="14.25" hidden="false" customHeight="false" outlineLevel="0" collapsed="false">
      <c r="B173" s="2" t="n">
        <v>20</v>
      </c>
      <c r="C173" s="3" t="n">
        <v>598</v>
      </c>
      <c r="D173" s="3" t="n">
        <v>1</v>
      </c>
      <c r="E173" s="2" t="n">
        <v>40</v>
      </c>
      <c r="F173" s="4" t="n">
        <v>2.8</v>
      </c>
      <c r="G173" s="2" t="n">
        <v>40</v>
      </c>
      <c r="H173" s="2" t="n">
        <v>50</v>
      </c>
      <c r="I173" s="1" t="n">
        <v>100</v>
      </c>
      <c r="J173" s="2" t="n">
        <v>250</v>
      </c>
      <c r="K173" s="3" t="n">
        <v>315</v>
      </c>
      <c r="L173" s="4" t="n">
        <v>15000</v>
      </c>
      <c r="M173" s="3" t="n">
        <v>75.4003930660822</v>
      </c>
      <c r="N173" s="12" t="n">
        <v>0.021</v>
      </c>
      <c r="O173" s="4" t="n">
        <v>19.21</v>
      </c>
      <c r="P173" s="3" t="n">
        <v>298.591797963127</v>
      </c>
      <c r="Q173" s="4" t="n">
        <f aca="false">(P173-P$354)/P$355</f>
        <v>0.451890600893761</v>
      </c>
      <c r="R173" s="4" t="n">
        <v>0.33</v>
      </c>
      <c r="S173" s="13" t="n">
        <f aca="false">P173/200000</f>
        <v>0.00149295898981564</v>
      </c>
      <c r="W173" s="4" t="n">
        <f aca="false">$X$2*($X$3*$G173+$X$4*$B173^$X$5*$N173^$X$6)*$S173^$X$7</f>
        <v>0.347806502794298</v>
      </c>
      <c r="X173" s="4" t="n">
        <f aca="false">W173/$R173</f>
        <v>1.05395909937666</v>
      </c>
      <c r="Z173" s="4" t="n">
        <f aca="false">$AA$2*$B173^$AA$3*$S173^$AA$4*($AA$5*$N173^$AA$6+$AA$7)</f>
        <v>0.346725698960969</v>
      </c>
      <c r="AA173" s="4" t="n">
        <f aca="false">Z173/$R173</f>
        <v>1.05068393624536</v>
      </c>
      <c r="AC173" s="4" t="n">
        <f aca="false">$AD$2*($AD$3+$AD$4*$F173/($N173*'Sem TS MC2020'!P165))*($AD$5*$G173+$AD$6*$B173/$N173)*'Sem TS MC2020'!R165*($J173-$M173)/($J173-$M173-$H173)</f>
        <v>0.450704635911649</v>
      </c>
      <c r="AD173" s="4" t="n">
        <f aca="false">AC173/$R173</f>
        <v>1.36577162397469</v>
      </c>
      <c r="AE173" s="24" t="n">
        <f aca="false">AC173-$R173</f>
        <v>0.120704635911649</v>
      </c>
      <c r="AF173" s="25" t="n">
        <f aca="false">1/AD173</f>
        <v>0.732186833029802</v>
      </c>
      <c r="AG173" s="25" t="n">
        <f aca="false">AC173*(14.068*'Sem TS MC2020'!$P165^-0.457)/$R173</f>
        <v>1.32337622171872</v>
      </c>
      <c r="AH173" s="25"/>
      <c r="AP173" s="4" t="n">
        <f aca="false">$AQ$2*($AQ$3+$AQ$4*$F173/($N173*'Sem TS MC2020'!P165))*($AQ$5*$G173+$AQ$6*$B173/$N173)*('Sem TS MC2020'!P165^$AQ$7/200000)*($J173-$M173)/($J173-$M173-$H173)+('Sem TS MC2020'!P165-$C173/$AQ$8)*($AQ$5*$G173+$AQ$6*$B173/$N173)/200000</f>
        <v>0.458558319839606</v>
      </c>
      <c r="AQ173" s="4" t="n">
        <f aca="false">AP173/$R173</f>
        <v>1.38957066618062</v>
      </c>
      <c r="AR173" s="24" t="n">
        <f aca="false">AP173-$R173</f>
        <v>0.128558319839606</v>
      </c>
    </row>
    <row r="174" customFormat="false" ht="14.25" hidden="false" customHeight="false" outlineLevel="0" collapsed="false">
      <c r="A174" s="1" t="s">
        <v>58</v>
      </c>
      <c r="B174" s="2" t="n">
        <v>10</v>
      </c>
      <c r="C174" s="3" t="n">
        <v>528</v>
      </c>
      <c r="D174" s="3" t="n">
        <v>1</v>
      </c>
      <c r="E174" s="2" t="n">
        <v>45</v>
      </c>
      <c r="F174" s="4" t="n">
        <v>2.8</v>
      </c>
      <c r="G174" s="2" t="n">
        <v>40</v>
      </c>
      <c r="H174" s="2" t="n">
        <v>45</v>
      </c>
      <c r="I174" s="1" t="n">
        <v>100</v>
      </c>
      <c r="J174" s="2" t="n">
        <v>350</v>
      </c>
      <c r="K174" s="3" t="n">
        <v>78.5</v>
      </c>
      <c r="L174" s="4" t="n">
        <v>9500</v>
      </c>
      <c r="M174" s="3" t="n">
        <v>54.1386548495659</v>
      </c>
      <c r="N174" s="12" t="n">
        <v>0.00826315789473684</v>
      </c>
      <c r="O174" s="4" t="n">
        <v>6.99</v>
      </c>
      <c r="P174" s="3" t="n">
        <v>160.396623000304</v>
      </c>
      <c r="Q174" s="4" t="n">
        <f aca="false">(P174-P$354)/P$355</f>
        <v>-0.706700794741192</v>
      </c>
      <c r="R174" s="4" t="n">
        <v>0.15</v>
      </c>
      <c r="S174" s="13" t="n">
        <f aca="false">P174/200000</f>
        <v>0.000801983115001521</v>
      </c>
      <c r="W174" s="4" t="n">
        <f aca="false">$X$2*($X$3*$G174+$X$4*$B174^$X$5*$N174^$X$6)*$S174^$X$7</f>
        <v>0.219472855343461</v>
      </c>
      <c r="X174" s="4" t="n">
        <f aca="false">W174/$R174</f>
        <v>1.46315236895641</v>
      </c>
      <c r="Z174" s="4" t="n">
        <f aca="false">$AA$2*$B174^$AA$3*$S174^$AA$4*($AA$5*$N174^$AA$6+$AA$7)</f>
        <v>0.224068900110245</v>
      </c>
      <c r="AA174" s="4" t="n">
        <f aca="false">Z174/$R174</f>
        <v>1.49379266740163</v>
      </c>
      <c r="AC174" s="4" t="n">
        <f aca="false">$AD$2*($AD$3+$AD$4*$F174/($N174*'Sem TS MC2020'!P166))*($AD$5*$G174+$AD$6*$B174/$N174)*'Sem TS MC2020'!R166*($J174-$M174)/($J174-$M174-$H174)</f>
        <v>0.209058912689384</v>
      </c>
      <c r="AD174" s="4" t="n">
        <f aca="false">AC174/$R174</f>
        <v>1.39372608459589</v>
      </c>
      <c r="AE174" s="24" t="n">
        <f aca="false">AC174-$R174</f>
        <v>0.0590589126893842</v>
      </c>
      <c r="AF174" s="25" t="n">
        <f aca="false">1/AD174</f>
        <v>0.717501100863694</v>
      </c>
      <c r="AG174" s="25" t="n">
        <f aca="false">AC174*(14.068*'Sem TS MC2020'!$P166^-0.457)/$R174</f>
        <v>1.42448937432949</v>
      </c>
      <c r="AH174" s="25"/>
      <c r="AP174" s="4" t="n">
        <f aca="false">$AQ$2*($AQ$3+$AQ$4*$F174/($N174*'Sem TS MC2020'!P166))*($AQ$5*$G174+$AQ$6*$B174/$N174)*('Sem TS MC2020'!P166^$AQ$7/200000)*($J174-$M174)/($J174-$M174-$H174)+('Sem TS MC2020'!P166-$C174/$AQ$8)*($AQ$5*$G174+$AQ$6*$B174/$N174)/200000</f>
        <v>0.217185674987748</v>
      </c>
      <c r="AQ174" s="4" t="n">
        <f aca="false">AP174/$R174</f>
        <v>1.44790449991832</v>
      </c>
      <c r="AR174" s="24" t="n">
        <f aca="false">AP174-$R174</f>
        <v>0.0671856749877479</v>
      </c>
    </row>
    <row r="175" customFormat="false" ht="14.25" hidden="false" customHeight="false" outlineLevel="0" collapsed="false">
      <c r="B175" s="2" t="n">
        <v>10</v>
      </c>
      <c r="C175" s="3" t="n">
        <v>528</v>
      </c>
      <c r="D175" s="3" t="n">
        <v>1</v>
      </c>
      <c r="E175" s="2" t="n">
        <v>45</v>
      </c>
      <c r="F175" s="4" t="n">
        <v>2.8</v>
      </c>
      <c r="G175" s="2" t="n">
        <v>40</v>
      </c>
      <c r="H175" s="2" t="n">
        <v>45</v>
      </c>
      <c r="I175" s="1" t="n">
        <v>100</v>
      </c>
      <c r="J175" s="2" t="n">
        <v>350</v>
      </c>
      <c r="K175" s="3" t="n">
        <v>78.5</v>
      </c>
      <c r="L175" s="4" t="n">
        <v>9500</v>
      </c>
      <c r="M175" s="3" t="n">
        <v>54.1386548495659</v>
      </c>
      <c r="N175" s="12" t="n">
        <v>0.00826315789473684</v>
      </c>
      <c r="O175" s="4" t="n">
        <v>7.44</v>
      </c>
      <c r="P175" s="3" t="n">
        <v>193.878640306356</v>
      </c>
      <c r="Q175" s="4" t="n">
        <f aca="false">(P175-P$354)/P$355</f>
        <v>-0.425996514221062</v>
      </c>
      <c r="R175" s="4" t="n">
        <v>0.19</v>
      </c>
      <c r="S175" s="13" t="n">
        <f aca="false">P175/200000</f>
        <v>0.000969393201531782</v>
      </c>
      <c r="W175" s="4" t="n">
        <f aca="false">$X$2*($X$3*$G175+$X$4*$B175^$X$5*$N175^$X$6)*$S175^$X$7</f>
        <v>0.246706931405485</v>
      </c>
      <c r="X175" s="4" t="n">
        <f aca="false">W175/$R175</f>
        <v>1.29845753371308</v>
      </c>
      <c r="Z175" s="4" t="n">
        <f aca="false">$AA$2*$B175^$AA$3*$S175^$AA$4*($AA$5*$N175^$AA$6+$AA$7)</f>
        <v>0.252399100099323</v>
      </c>
      <c r="AA175" s="4" t="n">
        <f aca="false">Z175/$R175</f>
        <v>1.32841631631223</v>
      </c>
      <c r="AC175" s="4" t="n">
        <f aca="false">$AD$2*($AD$3+$AD$4*$F175/($N175*'Sem TS MC2020'!P167))*($AD$5*$G175+$AD$6*$B175/$N175)*'Sem TS MC2020'!R167*($J175-$M175)/($J175-$M175-$H175)</f>
        <v>0.242215410878619</v>
      </c>
      <c r="AD175" s="4" t="n">
        <f aca="false">AC175/$R175</f>
        <v>1.27481795199273</v>
      </c>
      <c r="AE175" s="24" t="n">
        <f aca="false">AC175-$R175</f>
        <v>0.052215410878619</v>
      </c>
      <c r="AF175" s="25" t="n">
        <f aca="false">1/AD175</f>
        <v>0.784425727953431</v>
      </c>
      <c r="AG175" s="25" t="n">
        <f aca="false">AC175*(14.068*'Sem TS MC2020'!$P167^-0.457)/$R175</f>
        <v>1.26633087039973</v>
      </c>
      <c r="AH175" s="25"/>
      <c r="AP175" s="4" t="n">
        <f aca="false">$AQ$2*($AQ$3+$AQ$4*$F175/($N175*'Sem TS MC2020'!P167))*($AQ$5*$G175+$AQ$6*$B175/$N175)*('Sem TS MC2020'!P167^$AQ$7/200000)*($J175-$M175)/($J175-$M175-$H175)+('Sem TS MC2020'!P167-$C175/$AQ$8)*($AQ$5*$G175+$AQ$6*$B175/$N175)/200000</f>
        <v>0.251294028248055</v>
      </c>
      <c r="AQ175" s="4" t="n">
        <f aca="false">AP175/$R175</f>
        <v>1.32260014867397</v>
      </c>
      <c r="AR175" s="24" t="n">
        <f aca="false">AP175-$R175</f>
        <v>0.0612940282480549</v>
      </c>
    </row>
    <row r="176" customFormat="false" ht="14.25" hidden="false" customHeight="false" outlineLevel="0" collapsed="false">
      <c r="B176" s="2" t="n">
        <v>10</v>
      </c>
      <c r="C176" s="3" t="n">
        <v>528</v>
      </c>
      <c r="D176" s="3" t="n">
        <v>1</v>
      </c>
      <c r="E176" s="2" t="n">
        <v>45</v>
      </c>
      <c r="F176" s="4" t="n">
        <v>2.8</v>
      </c>
      <c r="G176" s="2" t="n">
        <v>40</v>
      </c>
      <c r="H176" s="2" t="n">
        <v>45</v>
      </c>
      <c r="I176" s="1" t="n">
        <v>100</v>
      </c>
      <c r="J176" s="2" t="n">
        <v>350</v>
      </c>
      <c r="K176" s="3" t="n">
        <v>78.5</v>
      </c>
      <c r="L176" s="4" t="n">
        <v>9500</v>
      </c>
      <c r="M176" s="3" t="n">
        <v>54.1386548495659</v>
      </c>
      <c r="N176" s="12" t="n">
        <v>0.00826315789473684</v>
      </c>
      <c r="O176" s="4" t="n">
        <v>7.53</v>
      </c>
      <c r="P176" s="3" t="n">
        <v>200.575043767567</v>
      </c>
      <c r="Q176" s="4" t="n">
        <f aca="false">(P176-P$354)/P$355</f>
        <v>-0.369855658117035</v>
      </c>
      <c r="R176" s="4" t="n">
        <v>0.2</v>
      </c>
      <c r="S176" s="13" t="n">
        <f aca="false">P176/200000</f>
        <v>0.00100287521883783</v>
      </c>
      <c r="W176" s="4" t="n">
        <f aca="false">$X$2*($X$3*$G176+$X$4*$B176^$X$5*$N176^$X$6)*$S176^$X$7</f>
        <v>0.251930186106523</v>
      </c>
      <c r="X176" s="4" t="n">
        <f aca="false">W176/$R176</f>
        <v>1.25965093053261</v>
      </c>
      <c r="Z176" s="4" t="n">
        <f aca="false">$AA$2*$B176^$AA$3*$S176^$AA$4*($AA$5*$N176^$AA$6+$AA$7)</f>
        <v>0.257839158074584</v>
      </c>
      <c r="AA176" s="4" t="n">
        <f aca="false">Z176/$R176</f>
        <v>1.28919579037292</v>
      </c>
      <c r="AC176" s="4" t="n">
        <f aca="false">$AD$2*($AD$3+$AD$4*$F176/($N176*'Sem TS MC2020'!P168))*($AD$5*$G176+$AD$6*$B176/$N176)*'Sem TS MC2020'!R168*($J176-$M176)/($J176-$M176-$H176)</f>
        <v>0.248846710516466</v>
      </c>
      <c r="AD176" s="4" t="n">
        <f aca="false">AC176/$R176</f>
        <v>1.24423355258233</v>
      </c>
      <c r="AE176" s="24" t="n">
        <f aca="false">AC176-$R176</f>
        <v>0.048846710516466</v>
      </c>
      <c r="AF176" s="25" t="n">
        <f aca="false">1/AD176</f>
        <v>0.803707630231127</v>
      </c>
      <c r="AG176" s="25" t="n">
        <f aca="false">AC176*(14.068*'Sem TS MC2020'!$P168^-0.457)/$R176</f>
        <v>1.22917709702887</v>
      </c>
      <c r="AH176" s="25"/>
      <c r="AP176" s="4" t="n">
        <f aca="false">$AQ$2*($AQ$3+$AQ$4*$F176/($N176*'Sem TS MC2020'!P168))*($AQ$5*$G176+$AQ$6*$B176/$N176)*('Sem TS MC2020'!P168^$AQ$7/200000)*($J176-$M176)/($J176-$M176-$H176)+('Sem TS MC2020'!P168-$C176/$AQ$8)*($AQ$5*$G176+$AQ$6*$B176/$N176)/200000</f>
        <v>0.258047277838687</v>
      </c>
      <c r="AQ176" s="4" t="n">
        <f aca="false">AP176/$R176</f>
        <v>1.29023638919343</v>
      </c>
      <c r="AR176" s="24" t="n">
        <f aca="false">AP176-$R176</f>
        <v>0.0580472778386866</v>
      </c>
    </row>
    <row r="177" customFormat="false" ht="14.25" hidden="false" customHeight="false" outlineLevel="0" collapsed="false">
      <c r="B177" s="2" t="n">
        <v>10</v>
      </c>
      <c r="C177" s="3" t="n">
        <v>528</v>
      </c>
      <c r="D177" s="3" t="n">
        <v>1</v>
      </c>
      <c r="E177" s="2" t="n">
        <v>45</v>
      </c>
      <c r="F177" s="4" t="n">
        <v>2.8</v>
      </c>
      <c r="G177" s="2" t="n">
        <v>40</v>
      </c>
      <c r="H177" s="2" t="n">
        <v>45</v>
      </c>
      <c r="I177" s="1" t="n">
        <v>100</v>
      </c>
      <c r="J177" s="2" t="n">
        <v>350</v>
      </c>
      <c r="K177" s="3" t="n">
        <v>78.5</v>
      </c>
      <c r="L177" s="4" t="n">
        <v>9500</v>
      </c>
      <c r="M177" s="3" t="n">
        <v>54.1386548495659</v>
      </c>
      <c r="N177" s="12" t="n">
        <v>0.00826315789473684</v>
      </c>
      <c r="O177" s="4" t="n">
        <v>7.91</v>
      </c>
      <c r="P177" s="3" t="n">
        <v>228.848747270455</v>
      </c>
      <c r="Q177" s="4" t="n">
        <f aca="false">(P177-P$354)/P$355</f>
        <v>-0.132816487900038</v>
      </c>
      <c r="R177" s="4" t="n">
        <v>0.23</v>
      </c>
      <c r="S177" s="13" t="n">
        <f aca="false">P177/200000</f>
        <v>0.00114424373635228</v>
      </c>
      <c r="W177" s="4" t="n">
        <f aca="false">$X$2*($X$3*$G177+$X$4*$B177^$X$5*$N177^$X$6)*$S177^$X$7</f>
        <v>0.273285639836506</v>
      </c>
      <c r="X177" s="4" t="n">
        <f aca="false">W177/$R177</f>
        <v>1.18819843407176</v>
      </c>
      <c r="Z177" s="4" t="n">
        <f aca="false">$AA$2*$B177^$AA$3*$S177^$AA$4*($AA$5*$N177^$AA$6+$AA$7)</f>
        <v>0.280101520720949</v>
      </c>
      <c r="AA177" s="4" t="n">
        <f aca="false">Z177/$R177</f>
        <v>1.21783269878673</v>
      </c>
      <c r="AC177" s="4" t="n">
        <f aca="false">$AD$2*($AD$3+$AD$4*$F177/($N177*'Sem TS MC2020'!P169))*($AD$5*$G177+$AD$6*$B177/$N177)*'Sem TS MC2020'!R169*($J177-$M177)/($J177-$M177-$H177)</f>
        <v>0.276845531209597</v>
      </c>
      <c r="AD177" s="4" t="n">
        <f aca="false">AC177/$R177</f>
        <v>1.20367622265042</v>
      </c>
      <c r="AE177" s="24" t="n">
        <f aca="false">AC177-$R177</f>
        <v>0.0468455312095974</v>
      </c>
      <c r="AF177" s="25" t="n">
        <f aca="false">1/AD177</f>
        <v>0.830788198007318</v>
      </c>
      <c r="AG177" s="25" t="n">
        <f aca="false">AC177*(14.068*'Sem TS MC2020'!$P169^-0.457)/$R177</f>
        <v>1.16265505385277</v>
      </c>
      <c r="AH177" s="25"/>
      <c r="AP177" s="4" t="n">
        <f aca="false">$AQ$2*($AQ$3+$AQ$4*$F177/($N177*'Sem TS MC2020'!P169))*($AQ$5*$G177+$AQ$6*$B177/$N177)*('Sem TS MC2020'!P169^$AQ$7/200000)*($J177-$M177)/($J177-$M177-$H177)+('Sem TS MC2020'!P169-$C177/$AQ$8)*($AQ$5*$G177+$AQ$6*$B177/$N177)/200000</f>
        <v>0.286325866018011</v>
      </c>
      <c r="AQ177" s="4" t="n">
        <f aca="false">AP177/$R177</f>
        <v>1.24489506964353</v>
      </c>
      <c r="AR177" s="24" t="n">
        <f aca="false">AP177-$R177</f>
        <v>0.0563258660180115</v>
      </c>
    </row>
    <row r="178" customFormat="false" ht="14.25" hidden="false" customHeight="false" outlineLevel="0" collapsed="false">
      <c r="B178" s="2" t="n">
        <v>10</v>
      </c>
      <c r="C178" s="3" t="n">
        <v>528</v>
      </c>
      <c r="D178" s="3" t="n">
        <v>1</v>
      </c>
      <c r="E178" s="2" t="n">
        <v>45</v>
      </c>
      <c r="F178" s="4" t="n">
        <v>2.8</v>
      </c>
      <c r="G178" s="2" t="n">
        <v>40</v>
      </c>
      <c r="H178" s="2" t="n">
        <v>45</v>
      </c>
      <c r="I178" s="1" t="n">
        <v>100</v>
      </c>
      <c r="J178" s="2" t="n">
        <v>350</v>
      </c>
      <c r="K178" s="3" t="n">
        <v>78.5</v>
      </c>
      <c r="L178" s="4" t="n">
        <v>9500</v>
      </c>
      <c r="M178" s="3" t="n">
        <v>54.1386548495659</v>
      </c>
      <c r="N178" s="12" t="n">
        <v>0.00826315789473684</v>
      </c>
      <c r="O178" s="4" t="n">
        <v>8.17</v>
      </c>
      <c r="P178" s="3" t="n">
        <v>248.193912825063</v>
      </c>
      <c r="Q178" s="4" t="n">
        <f aca="false">(P178-P$354)/P$355</f>
        <v>0.0293682075115926</v>
      </c>
      <c r="R178" s="4" t="n">
        <v>0.25</v>
      </c>
      <c r="S178" s="13" t="n">
        <f aca="false">P178/200000</f>
        <v>0.00124096956412532</v>
      </c>
      <c r="W178" s="4" t="n">
        <f aca="false">$X$2*($X$3*$G178+$X$4*$B178^$X$5*$N178^$X$6)*$S178^$X$7</f>
        <v>0.287317108756472</v>
      </c>
      <c r="X178" s="4" t="n">
        <f aca="false">W178/$R178</f>
        <v>1.14926843502589</v>
      </c>
      <c r="Z178" s="4" t="n">
        <f aca="false">$AA$2*$B178^$AA$3*$S178^$AA$4*($AA$5*$N178^$AA$6+$AA$7)</f>
        <v>0.294745926002708</v>
      </c>
      <c r="AA178" s="4" t="n">
        <f aca="false">Z178/$R178</f>
        <v>1.17898370401083</v>
      </c>
      <c r="AC178" s="4" t="n">
        <f aca="false">$AD$2*($AD$3+$AD$4*$F178/($N178*'Sem TS MC2020'!P170))*($AD$5*$G178+$AD$6*$B178/$N178)*'Sem TS MC2020'!R170*($J178-$M178)/($J178-$M178-$H178)</f>
        <v>0.296002619052266</v>
      </c>
      <c r="AD178" s="4" t="n">
        <f aca="false">AC178/$R178</f>
        <v>1.18401047620906</v>
      </c>
      <c r="AE178" s="24" t="n">
        <f aca="false">AC178-$R178</f>
        <v>0.0460026190522662</v>
      </c>
      <c r="AF178" s="25" t="n">
        <f aca="false">1/AD178</f>
        <v>0.844587121561437</v>
      </c>
      <c r="AG178" s="25" t="n">
        <f aca="false">AC178*(14.068*'Sem TS MC2020'!$P170^-0.457)/$R178</f>
        <v>1.12688064689939</v>
      </c>
      <c r="AH178" s="25"/>
      <c r="AP178" s="4" t="n">
        <f aca="false">$AQ$2*($AQ$3+$AQ$4*$F178/($N178*'Sem TS MC2020'!P170))*($AQ$5*$G178+$AQ$6*$B178/$N178)*('Sem TS MC2020'!P170^$AQ$7/200000)*($J178-$M178)/($J178-$M178-$H178)+('Sem TS MC2020'!P170-$C178/$AQ$8)*($AQ$5*$G178+$AQ$6*$B178/$N178)/200000</f>
        <v>0.305466123738925</v>
      </c>
      <c r="AQ178" s="4" t="n">
        <f aca="false">AP178/$R178</f>
        <v>1.2218644949557</v>
      </c>
      <c r="AR178" s="24" t="n">
        <f aca="false">AP178-$R178</f>
        <v>0.0554661237389252</v>
      </c>
    </row>
    <row r="179" customFormat="false" ht="14.25" hidden="false" customHeight="false" outlineLevel="0" collapsed="false">
      <c r="B179" s="2" t="n">
        <v>10</v>
      </c>
      <c r="C179" s="3" t="n">
        <v>528</v>
      </c>
      <c r="D179" s="3" t="n">
        <v>1</v>
      </c>
      <c r="E179" s="2" t="n">
        <v>45</v>
      </c>
      <c r="F179" s="4" t="n">
        <v>2.8</v>
      </c>
      <c r="G179" s="2" t="n">
        <v>40</v>
      </c>
      <c r="H179" s="2" t="n">
        <v>45</v>
      </c>
      <c r="I179" s="1" t="n">
        <v>100</v>
      </c>
      <c r="J179" s="2" t="n">
        <v>350</v>
      </c>
      <c r="K179" s="3" t="n">
        <v>78.5</v>
      </c>
      <c r="L179" s="4" t="n">
        <v>9500</v>
      </c>
      <c r="M179" s="3" t="n">
        <v>54.1386548495659</v>
      </c>
      <c r="N179" s="12" t="n">
        <v>0.00826315789473684</v>
      </c>
      <c r="O179" s="4" t="n">
        <v>8.46</v>
      </c>
      <c r="P179" s="3" t="n">
        <v>269.771212866741</v>
      </c>
      <c r="Q179" s="4" t="n">
        <f aca="false">(P179-P$354)/P$355</f>
        <v>0.210266521624566</v>
      </c>
      <c r="R179" s="4" t="n">
        <v>0.28</v>
      </c>
      <c r="S179" s="13" t="n">
        <f aca="false">P179/200000</f>
        <v>0.00134885606433371</v>
      </c>
      <c r="W179" s="4" t="n">
        <f aca="false">$X$2*($X$3*$G179+$X$4*$B179^$X$5*$N179^$X$6)*$S179^$X$7</f>
        <v>0.302482080059109</v>
      </c>
      <c r="X179" s="4" t="n">
        <f aca="false">W179/$R179</f>
        <v>1.08029314306825</v>
      </c>
      <c r="Z179" s="4" t="n">
        <f aca="false">$AA$2*$B179^$AA$3*$S179^$AA$4*($AA$5*$N179^$AA$6+$AA$7)</f>
        <v>0.310587679189796</v>
      </c>
      <c r="AA179" s="4" t="n">
        <f aca="false">Z179/$R179</f>
        <v>1.10924171139213</v>
      </c>
      <c r="AC179" s="4" t="n">
        <f aca="false">$AD$2*($AD$3+$AD$4*$F179/($N179*'Sem TS MC2020'!P171))*($AD$5*$G179+$AD$6*$B179/$N179)*'Sem TS MC2020'!R171*($J179-$M179)/($J179-$M179-$H179)</f>
        <v>0.317370140107551</v>
      </c>
      <c r="AD179" s="4" t="n">
        <f aca="false">AC179/$R179</f>
        <v>1.1334647860984</v>
      </c>
      <c r="AE179" s="24" t="n">
        <f aca="false">AC179-$R179</f>
        <v>0.0373701401075509</v>
      </c>
      <c r="AF179" s="25" t="n">
        <f aca="false">1/AD179</f>
        <v>0.882250610927396</v>
      </c>
      <c r="AG179" s="25" t="n">
        <f aca="false">AC179*(14.068*'Sem TS MC2020'!$P171^-0.457)/$R179</f>
        <v>1.06171421354057</v>
      </c>
      <c r="AH179" s="25"/>
      <c r="AP179" s="4" t="n">
        <f aca="false">$AQ$2*($AQ$3+$AQ$4*$F179/($N179*'Sem TS MC2020'!P171))*($AQ$5*$G179+$AQ$6*$B179/$N179)*('Sem TS MC2020'!P171^$AQ$7/200000)*($J179-$M179)/($J179-$M179-$H179)+('Sem TS MC2020'!P171-$C179/$AQ$8)*($AQ$5*$G179+$AQ$6*$B179/$N179)/200000</f>
        <v>0.326627346031432</v>
      </c>
      <c r="AQ179" s="4" t="n">
        <f aca="false">AP179/$R179</f>
        <v>1.16652623582654</v>
      </c>
      <c r="AR179" s="24" t="n">
        <f aca="false">AP179-$R179</f>
        <v>0.0466273460314315</v>
      </c>
    </row>
    <row r="180" customFormat="false" ht="14.25" hidden="false" customHeight="false" outlineLevel="0" collapsed="false">
      <c r="B180" s="2" t="n">
        <v>10</v>
      </c>
      <c r="C180" s="3" t="n">
        <v>528</v>
      </c>
      <c r="D180" s="3" t="n">
        <v>1</v>
      </c>
      <c r="E180" s="2" t="n">
        <v>45</v>
      </c>
      <c r="F180" s="4" t="n">
        <v>2.8</v>
      </c>
      <c r="G180" s="2" t="n">
        <v>40</v>
      </c>
      <c r="H180" s="2" t="n">
        <v>45</v>
      </c>
      <c r="I180" s="1" t="n">
        <v>100</v>
      </c>
      <c r="J180" s="2" t="n">
        <v>350</v>
      </c>
      <c r="K180" s="3" t="n">
        <v>78.5</v>
      </c>
      <c r="L180" s="4" t="n">
        <v>9500</v>
      </c>
      <c r="M180" s="3" t="n">
        <v>54.1386548495659</v>
      </c>
      <c r="N180" s="12" t="n">
        <v>0.00826315789473684</v>
      </c>
      <c r="O180" s="4" t="n">
        <v>8.72</v>
      </c>
      <c r="P180" s="3" t="n">
        <v>289.116378421349</v>
      </c>
      <c r="Q180" s="4" t="n">
        <f aca="false">(P180-P$354)/P$355</f>
        <v>0.372451217036196</v>
      </c>
      <c r="R180" s="4" t="n">
        <v>0.31</v>
      </c>
      <c r="S180" s="13" t="n">
        <f aca="false">P180/200000</f>
        <v>0.00144558189210675</v>
      </c>
      <c r="W180" s="4" t="n">
        <f aca="false">$X$2*($X$3*$G180+$X$4*$B180^$X$5*$N180^$X$6)*$S180^$X$7</f>
        <v>0.315687376362366</v>
      </c>
      <c r="X180" s="4" t="n">
        <f aca="false">W180/$R180</f>
        <v>1.01834637536247</v>
      </c>
      <c r="Z180" s="4" t="n">
        <f aca="false">$AA$2*$B180^$AA$3*$S180^$AA$4*($AA$5*$N180^$AA$6+$AA$7)</f>
        <v>0.324393868223182</v>
      </c>
      <c r="AA180" s="4" t="n">
        <f aca="false">Z180/$R180</f>
        <v>1.04643183297801</v>
      </c>
      <c r="AC180" s="4" t="n">
        <f aca="false">$AD$2*($AD$3+$AD$4*$F180/($N180*'Sem TS MC2020'!P172))*($AD$5*$G180+$AD$6*$B180/$N180)*'Sem TS MC2020'!R172*($J180-$M180)/($J180-$M180-$H180)</f>
        <v>0.33652722795022</v>
      </c>
      <c r="AD180" s="4" t="n">
        <f aca="false">AC180/$R180</f>
        <v>1.08557170306523</v>
      </c>
      <c r="AE180" s="24" t="n">
        <f aca="false">AC180-$R180</f>
        <v>0.0265272279502198</v>
      </c>
      <c r="AF180" s="25" t="n">
        <f aca="false">1/AD180</f>
        <v>0.921173605738244</v>
      </c>
      <c r="AG180" s="25" t="n">
        <f aca="false">AC180*(14.068*'Sem TS MC2020'!$P172^-0.457)/$R180</f>
        <v>1.00288315293221</v>
      </c>
      <c r="AH180" s="25"/>
      <c r="AP180" s="4" t="n">
        <f aca="false">$AQ$2*($AQ$3+$AQ$4*$F180/($N180*'Sem TS MC2020'!P172))*($AQ$5*$G180+$AQ$6*$B180/$N180)*('Sem TS MC2020'!P172^$AQ$7/200000)*($J180-$M180)/($J180-$M180-$H180)+('Sem TS MC2020'!P172-$C180/$AQ$8)*($AQ$5*$G180+$AQ$6*$B180/$N180)/200000</f>
        <v>0.345439880651216</v>
      </c>
      <c r="AQ180" s="4" t="n">
        <f aca="false">AP180/$R180</f>
        <v>1.11432219564909</v>
      </c>
      <c r="AR180" s="24" t="n">
        <f aca="false">AP180-$R180</f>
        <v>0.0354398806512164</v>
      </c>
    </row>
    <row r="181" customFormat="false" ht="14.25" hidden="false" customHeight="false" outlineLevel="0" collapsed="false">
      <c r="B181" s="2" t="n">
        <v>10</v>
      </c>
      <c r="C181" s="3" t="n">
        <v>528</v>
      </c>
      <c r="D181" s="3" t="n">
        <v>1</v>
      </c>
      <c r="E181" s="2" t="n">
        <v>45</v>
      </c>
      <c r="F181" s="4" t="n">
        <v>2.8</v>
      </c>
      <c r="G181" s="2" t="n">
        <v>40</v>
      </c>
      <c r="H181" s="2" t="n">
        <v>45</v>
      </c>
      <c r="I181" s="1" t="n">
        <v>100</v>
      </c>
      <c r="J181" s="2" t="n">
        <v>350</v>
      </c>
      <c r="K181" s="3" t="n">
        <v>78.5</v>
      </c>
      <c r="L181" s="4" t="n">
        <v>9500</v>
      </c>
      <c r="M181" s="3" t="n">
        <v>54.1386548495659</v>
      </c>
      <c r="N181" s="12" t="n">
        <v>0.00826315789473684</v>
      </c>
      <c r="O181" s="4" t="n">
        <v>9.03</v>
      </c>
      <c r="P181" s="3" t="n">
        <v>312.181768121074</v>
      </c>
      <c r="Q181" s="4" t="n">
        <f aca="false">(P181-P$354)/P$355</f>
        <v>0.565825276950062</v>
      </c>
      <c r="R181" s="4" t="n">
        <v>0.36</v>
      </c>
      <c r="S181" s="13" t="n">
        <f aca="false">P181/200000</f>
        <v>0.00156090884060537</v>
      </c>
      <c r="W181" s="4" t="n">
        <f aca="false">$X$2*($X$3*$G181+$X$4*$B181^$X$5*$N181^$X$6)*$S181^$X$7</f>
        <v>0.330997575462498</v>
      </c>
      <c r="X181" s="4" t="n">
        <f aca="false">W181/$R181</f>
        <v>0.91943770961805</v>
      </c>
      <c r="Z181" s="4" t="n">
        <f aca="false">$AA$2*$B181^$AA$3*$S181^$AA$4*($AA$5*$N181^$AA$6+$AA$7)</f>
        <v>0.340413611073592</v>
      </c>
      <c r="AA181" s="4" t="n">
        <f aca="false">Z181/$R181</f>
        <v>0.945593364093311</v>
      </c>
      <c r="AC181" s="4" t="n">
        <f aca="false">$AD$2*($AD$3+$AD$4*$F181/($N181*'Sem TS MC2020'!P173))*($AD$5*$G181+$AD$6*$B181/$N181)*'Sem TS MC2020'!R173*($J181-$M181)/($J181-$M181-$H181)</f>
        <v>0.359368371147248</v>
      </c>
      <c r="AD181" s="4" t="n">
        <f aca="false">AC181/$R181</f>
        <v>0.998245475409022</v>
      </c>
      <c r="AE181" s="24" t="n">
        <f aca="false">AC181-$R181</f>
        <v>-0.000631628852752197</v>
      </c>
      <c r="AF181" s="25" t="n">
        <f aca="false">1/AD181</f>
        <v>1.00175760835806</v>
      </c>
      <c r="AG181" s="25" t="n">
        <f aca="false">AC181*(14.068*'Sem TS MC2020'!$P173^-0.457)/$R181</f>
        <v>0.907602960095828</v>
      </c>
      <c r="AH181" s="25"/>
      <c r="AP181" s="4" t="n">
        <f aca="false">$AQ$2*($AQ$3+$AQ$4*$F181/($N181*'Sem TS MC2020'!P173))*($AQ$5*$G181+$AQ$6*$B181/$N181)*('Sem TS MC2020'!P173^$AQ$7/200000)*($J181-$M181)/($J181-$M181-$H181)+('Sem TS MC2020'!P173-$C181/$AQ$8)*($AQ$5*$G181+$AQ$6*$B181/$N181)/200000</f>
        <v>0.367683222203138</v>
      </c>
      <c r="AQ181" s="4" t="n">
        <f aca="false">AP181/$R181</f>
        <v>1.02134228389761</v>
      </c>
      <c r="AR181" s="24" t="n">
        <f aca="false">AP181-$R181</f>
        <v>0.00768322220313844</v>
      </c>
    </row>
    <row r="182" customFormat="false" ht="14.25" hidden="false" customHeight="false" outlineLevel="0" collapsed="false">
      <c r="A182" s="1" t="s">
        <v>59</v>
      </c>
      <c r="B182" s="2" t="n">
        <v>10</v>
      </c>
      <c r="C182" s="3" t="n">
        <v>528</v>
      </c>
      <c r="D182" s="3" t="n">
        <v>1</v>
      </c>
      <c r="E182" s="2" t="n">
        <v>45</v>
      </c>
      <c r="F182" s="4" t="n">
        <v>2.8</v>
      </c>
      <c r="G182" s="2" t="n">
        <v>40</v>
      </c>
      <c r="H182" s="2" t="n">
        <v>45</v>
      </c>
      <c r="I182" s="1" t="n">
        <v>100</v>
      </c>
      <c r="J182" s="2" t="n">
        <v>350</v>
      </c>
      <c r="K182" s="3" t="n">
        <v>78.5</v>
      </c>
      <c r="L182" s="4" t="n">
        <v>9500</v>
      </c>
      <c r="M182" s="3" t="n">
        <v>54.1386548495659</v>
      </c>
      <c r="N182" s="12" t="n">
        <v>0.00826315789473684</v>
      </c>
      <c r="O182" s="4" t="n">
        <v>6.96</v>
      </c>
      <c r="P182" s="3" t="n">
        <v>158.164488513234</v>
      </c>
      <c r="Q182" s="4" t="n">
        <f aca="false">(P182-P$354)/P$355</f>
        <v>-0.725414413442533</v>
      </c>
      <c r="R182" s="4" t="n">
        <v>0.16</v>
      </c>
      <c r="S182" s="13" t="n">
        <f aca="false">P182/200000</f>
        <v>0.000790822442566171</v>
      </c>
      <c r="W182" s="4" t="n">
        <f aca="false">$X$2*($X$3*$G182+$X$4*$B182^$X$5*$N182^$X$6)*$S182^$X$7</f>
        <v>0.217583322570895</v>
      </c>
      <c r="X182" s="4" t="n">
        <f aca="false">W182/$R182</f>
        <v>1.35989576606809</v>
      </c>
      <c r="Z182" s="4" t="n">
        <f aca="false">$AA$2*$B182^$AA$3*$S182^$AA$4*($AA$5*$N182^$AA$6+$AA$7)</f>
        <v>0.222105556780117</v>
      </c>
      <c r="AA182" s="4" t="n">
        <f aca="false">Z182/$R182</f>
        <v>1.38815972987573</v>
      </c>
      <c r="AC182" s="4" t="n">
        <f aca="false">$AD$2*($AD$3+$AD$4*$F182/($N182*'Sem TS MC2020'!P174))*($AD$5*$G182+$AD$6*$B182/$N182)*'Sem TS MC2020'!R174*($J182-$M182)/($J182-$M182-$H182)</f>
        <v>0.206848479476769</v>
      </c>
      <c r="AD182" s="4" t="n">
        <f aca="false">AC182/$R182</f>
        <v>1.2928029967298</v>
      </c>
      <c r="AE182" s="24" t="n">
        <f aca="false">AC182-$R182</f>
        <v>0.0468484794767687</v>
      </c>
      <c r="AF182" s="25" t="n">
        <f aca="false">1/AD182</f>
        <v>0.773513058470269</v>
      </c>
      <c r="AG182" s="25" t="n">
        <f aca="false">AC182*(14.068*'Sem TS MC2020'!$P174^-0.457)/$R182</f>
        <v>1.32393841208417</v>
      </c>
      <c r="AH182" s="25"/>
      <c r="AP182" s="4" t="n">
        <f aca="false">$AQ$2*($AQ$3+$AQ$4*$F182/($N182*'Sem TS MC2020'!P174))*($AQ$5*$G182+$AQ$6*$B182/$N182)*('Sem TS MC2020'!P174^$AQ$7/200000)*($J182-$M182)/($J182-$M182-$H182)+('Sem TS MC2020'!P174-$C182/$AQ$8)*($AQ$5*$G182+$AQ$6*$B182/$N182)/200000</f>
        <v>0.214890621118379</v>
      </c>
      <c r="AQ182" s="4" t="n">
        <f aca="false">AP182/$R182</f>
        <v>1.34306638198987</v>
      </c>
      <c r="AR182" s="24" t="n">
        <f aca="false">AP182-$R182</f>
        <v>0.0548906211183791</v>
      </c>
    </row>
    <row r="183" customFormat="false" ht="14.25" hidden="false" customHeight="false" outlineLevel="0" collapsed="false">
      <c r="B183" s="2" t="n">
        <v>10</v>
      </c>
      <c r="C183" s="3" t="n">
        <v>528</v>
      </c>
      <c r="D183" s="3" t="n">
        <v>1</v>
      </c>
      <c r="E183" s="2" t="n">
        <v>45</v>
      </c>
      <c r="F183" s="4" t="n">
        <v>2.8</v>
      </c>
      <c r="G183" s="2" t="n">
        <v>40</v>
      </c>
      <c r="H183" s="2" t="n">
        <v>45</v>
      </c>
      <c r="I183" s="1" t="n">
        <v>100</v>
      </c>
      <c r="J183" s="2" t="n">
        <v>350</v>
      </c>
      <c r="K183" s="3" t="n">
        <v>78.5</v>
      </c>
      <c r="L183" s="4" t="n">
        <v>9500</v>
      </c>
      <c r="M183" s="3" t="n">
        <v>54.1386548495659</v>
      </c>
      <c r="N183" s="12" t="n">
        <v>0.00826315789473684</v>
      </c>
      <c r="O183" s="4" t="n">
        <v>7.26</v>
      </c>
      <c r="P183" s="3" t="n">
        <v>180.485833383936</v>
      </c>
      <c r="Q183" s="4" t="n">
        <f aca="false">(P183-P$354)/P$355</f>
        <v>-0.538278226429113</v>
      </c>
      <c r="R183" s="4" t="n">
        <v>0.18</v>
      </c>
      <c r="S183" s="13" t="n">
        <f aca="false">P183/200000</f>
        <v>0.000902429166919678</v>
      </c>
      <c r="W183" s="4" t="n">
        <f aca="false">$X$2*($X$3*$G183+$X$4*$B183^$X$5*$N183^$X$6)*$S183^$X$7</f>
        <v>0.236048240404471</v>
      </c>
      <c r="X183" s="4" t="n">
        <f aca="false">W183/$R183</f>
        <v>1.31137911335817</v>
      </c>
      <c r="Z183" s="4" t="n">
        <f aca="false">$AA$2*$B183^$AA$3*$S183^$AA$4*($AA$5*$N183^$AA$6+$AA$7)</f>
        <v>0.241304412079155</v>
      </c>
      <c r="AA183" s="4" t="n">
        <f aca="false">Z183/$R183</f>
        <v>1.34058006710642</v>
      </c>
      <c r="AC183" s="4" t="n">
        <f aca="false">$AD$2*($AD$3+$AD$4*$F183/($N183*'Sem TS MC2020'!P175))*($AD$5*$G183+$AD$6*$B183/$N183)*'Sem TS MC2020'!R175*($J183-$M183)/($J183-$M183-$H183)</f>
        <v>0.228952811602925</v>
      </c>
      <c r="AD183" s="4" t="n">
        <f aca="false">AC183/$R183</f>
        <v>1.2719600644607</v>
      </c>
      <c r="AE183" s="24" t="n">
        <f aca="false">AC183-$R183</f>
        <v>0.0489528116029251</v>
      </c>
      <c r="AF183" s="25" t="n">
        <f aca="false">1/AD183</f>
        <v>0.786188205070727</v>
      </c>
      <c r="AG183" s="25" t="n">
        <f aca="false">AC183*(14.068*'Sem TS MC2020'!$P175^-0.457)/$R183</f>
        <v>1.27771294703384</v>
      </c>
      <c r="AH183" s="25"/>
      <c r="AP183" s="4" t="n">
        <f aca="false">$AQ$2*($AQ$3+$AQ$4*$F183/($N183*'Sem TS MC2020'!P175))*($AQ$5*$G183+$AQ$6*$B183/$N183)*('Sem TS MC2020'!P175^$AQ$7/200000)*($J183-$M183)/($J183-$M183-$H183)+('Sem TS MC2020'!P175-$C183/$AQ$8)*($AQ$5*$G183+$AQ$6*$B183/$N183)/200000</f>
        <v>0.237720490951445</v>
      </c>
      <c r="AQ183" s="4" t="n">
        <f aca="false">AP183/$R183</f>
        <v>1.3206693941747</v>
      </c>
      <c r="AR183" s="24" t="n">
        <f aca="false">AP183-$R183</f>
        <v>0.0577204909514452</v>
      </c>
    </row>
    <row r="184" customFormat="false" ht="14.25" hidden="false" customHeight="false" outlineLevel="0" collapsed="false">
      <c r="B184" s="2" t="n">
        <v>10</v>
      </c>
      <c r="C184" s="3" t="n">
        <v>528</v>
      </c>
      <c r="D184" s="3" t="n">
        <v>1</v>
      </c>
      <c r="E184" s="2" t="n">
        <v>45</v>
      </c>
      <c r="F184" s="4" t="n">
        <v>2.8</v>
      </c>
      <c r="G184" s="2" t="n">
        <v>40</v>
      </c>
      <c r="H184" s="2" t="n">
        <v>45</v>
      </c>
      <c r="I184" s="1" t="n">
        <v>100</v>
      </c>
      <c r="J184" s="2" t="n">
        <v>350</v>
      </c>
      <c r="K184" s="3" t="n">
        <v>78.5</v>
      </c>
      <c r="L184" s="4" t="n">
        <v>9500</v>
      </c>
      <c r="M184" s="3" t="n">
        <v>54.1386548495659</v>
      </c>
      <c r="N184" s="12" t="n">
        <v>0.00826315789473684</v>
      </c>
      <c r="O184" s="4" t="n">
        <v>7.54</v>
      </c>
      <c r="P184" s="3" t="n">
        <v>201.31908859659</v>
      </c>
      <c r="Q184" s="4" t="n">
        <f aca="false">(P184-P$354)/P$355</f>
        <v>-0.363617785216588</v>
      </c>
      <c r="R184" s="4" t="n">
        <v>0.2</v>
      </c>
      <c r="S184" s="13" t="n">
        <f aca="false">P184/200000</f>
        <v>0.00100659544298295</v>
      </c>
      <c r="W184" s="4" t="n">
        <f aca="false">$X$2*($X$3*$G184+$X$4*$B184^$X$5*$N184^$X$6)*$S184^$X$7</f>
        <v>0.252506394369012</v>
      </c>
      <c r="X184" s="4" t="n">
        <f aca="false">W184/$R184</f>
        <v>1.26253197184506</v>
      </c>
      <c r="Z184" s="4" t="n">
        <f aca="false">$AA$2*$B184^$AA$3*$S184^$AA$4*($AA$5*$N184^$AA$6+$AA$7)</f>
        <v>0.25843940711695</v>
      </c>
      <c r="AA184" s="4" t="n">
        <f aca="false">Z184/$R184</f>
        <v>1.29219703558475</v>
      </c>
      <c r="AC184" s="4" t="n">
        <f aca="false">$AD$2*($AD$3+$AD$4*$F184/($N184*'Sem TS MC2020'!P176))*($AD$5*$G184+$AD$6*$B184/$N184)*'Sem TS MC2020'!R176*($J184-$M184)/($J184-$M184-$H184)</f>
        <v>0.249583521587338</v>
      </c>
      <c r="AD184" s="4" t="n">
        <f aca="false">AC184/$R184</f>
        <v>1.24791760793669</v>
      </c>
      <c r="AE184" s="24" t="n">
        <f aca="false">AC184-$R184</f>
        <v>0.0495835215873378</v>
      </c>
      <c r="AF184" s="25" t="n">
        <f aca="false">1/AD184</f>
        <v>0.80133495484001</v>
      </c>
      <c r="AG184" s="25" t="n">
        <f aca="false">AC184*(14.068*'Sem TS MC2020'!$P176^-0.457)/$R184</f>
        <v>1.23206909132855</v>
      </c>
      <c r="AH184" s="25"/>
      <c r="AP184" s="4" t="n">
        <f aca="false">$AQ$2*($AQ$3+$AQ$4*$F184/($N184*'Sem TS MC2020'!P176))*($AQ$5*$G184+$AQ$6*$B184/$N184)*('Sem TS MC2020'!P176^$AQ$7/200000)*($J184-$M184)/($J184-$M184-$H184)+('Sem TS MC2020'!P176-$C184/$AQ$8)*($AQ$5*$G184+$AQ$6*$B184/$N184)/200000</f>
        <v>0.258796287518489</v>
      </c>
      <c r="AQ184" s="4" t="n">
        <f aca="false">AP184/$R184</f>
        <v>1.29398143759245</v>
      </c>
      <c r="AR184" s="24" t="n">
        <f aca="false">AP184-$R184</f>
        <v>0.058796287518489</v>
      </c>
    </row>
    <row r="185" customFormat="false" ht="14.25" hidden="false" customHeight="false" outlineLevel="0" collapsed="false">
      <c r="B185" s="2" t="n">
        <v>10</v>
      </c>
      <c r="C185" s="3" t="n">
        <v>528</v>
      </c>
      <c r="D185" s="3" t="n">
        <v>1</v>
      </c>
      <c r="E185" s="2" t="n">
        <v>45</v>
      </c>
      <c r="F185" s="4" t="n">
        <v>2.8</v>
      </c>
      <c r="G185" s="2" t="n">
        <v>40</v>
      </c>
      <c r="H185" s="2" t="n">
        <v>45</v>
      </c>
      <c r="I185" s="1" t="n">
        <v>100</v>
      </c>
      <c r="J185" s="2" t="n">
        <v>350</v>
      </c>
      <c r="K185" s="3" t="n">
        <v>78.5</v>
      </c>
      <c r="L185" s="4" t="n">
        <v>9500</v>
      </c>
      <c r="M185" s="3" t="n">
        <v>54.1386548495659</v>
      </c>
      <c r="N185" s="12" t="n">
        <v>0.00826315789473684</v>
      </c>
      <c r="O185" s="4" t="n">
        <v>7.83</v>
      </c>
      <c r="P185" s="3" t="n">
        <v>222.896388638268</v>
      </c>
      <c r="Q185" s="4" t="n">
        <f aca="false">(P185-P$354)/P$355</f>
        <v>-0.182719471103616</v>
      </c>
      <c r="R185" s="4" t="n">
        <v>0.23</v>
      </c>
      <c r="S185" s="13" t="n">
        <f aca="false">P185/200000</f>
        <v>0.00111448194319134</v>
      </c>
      <c r="W185" s="4" t="n">
        <f aca="false">$X$2*($X$3*$G185+$X$4*$B185^$X$5*$N185^$X$6)*$S185^$X$7</f>
        <v>0.268877792372199</v>
      </c>
      <c r="X185" s="4" t="n">
        <f aca="false">W185/$R185</f>
        <v>1.16903387987913</v>
      </c>
      <c r="Z185" s="4" t="n">
        <f aca="false">$AA$2*$B185^$AA$3*$S185^$AA$4*($AA$5*$N185^$AA$6+$AA$7)</f>
        <v>0.275503860065619</v>
      </c>
      <c r="AA185" s="4" t="n">
        <f aca="false">Z185/$R185</f>
        <v>1.19784286985052</v>
      </c>
      <c r="AC185" s="4" t="n">
        <f aca="false">$AD$2*($AD$3+$AD$4*$F185/($N185*'Sem TS MC2020'!P177))*($AD$5*$G185+$AD$6*$B185/$N185)*'Sem TS MC2020'!R177*($J185-$M185)/($J185-$M185-$H185)</f>
        <v>0.270951042642622</v>
      </c>
      <c r="AD185" s="4" t="n">
        <f aca="false">AC185/$R185</f>
        <v>1.17804801148966</v>
      </c>
      <c r="AE185" s="24" t="n">
        <f aca="false">AC185-$R185</f>
        <v>0.0409510426426223</v>
      </c>
      <c r="AF185" s="25" t="n">
        <f aca="false">1/AD185</f>
        <v>0.848861837757769</v>
      </c>
      <c r="AG185" s="25" t="n">
        <f aca="false">AC185*(14.068*'Sem TS MC2020'!$P177^-0.457)/$R185</f>
        <v>1.14319869599354</v>
      </c>
      <c r="AH185" s="25"/>
      <c r="AP185" s="4" t="n">
        <f aca="false">$AQ$2*($AQ$3+$AQ$4*$F185/($N185*'Sem TS MC2020'!P177))*($AQ$5*$G185+$AQ$6*$B185/$N185)*('Sem TS MC2020'!P177^$AQ$7/200000)*($J185-$M185)/($J185-$M185-$H185)+('Sem TS MC2020'!P177-$C185/$AQ$8)*($AQ$5*$G185+$AQ$6*$B185/$N185)/200000</f>
        <v>0.280403216832245</v>
      </c>
      <c r="AQ185" s="4" t="n">
        <f aca="false">AP185/$R185</f>
        <v>1.21914442100976</v>
      </c>
      <c r="AR185" s="24" t="n">
        <f aca="false">AP185-$R185</f>
        <v>0.050403216832245</v>
      </c>
    </row>
    <row r="186" customFormat="false" ht="14.25" hidden="false" customHeight="false" outlineLevel="0" collapsed="false">
      <c r="B186" s="2" t="n">
        <v>10</v>
      </c>
      <c r="C186" s="3" t="n">
        <v>528</v>
      </c>
      <c r="D186" s="3" t="n">
        <v>1</v>
      </c>
      <c r="E186" s="2" t="n">
        <v>45</v>
      </c>
      <c r="F186" s="4" t="n">
        <v>2.8</v>
      </c>
      <c r="G186" s="2" t="n">
        <v>40</v>
      </c>
      <c r="H186" s="2" t="n">
        <v>45</v>
      </c>
      <c r="I186" s="1" t="n">
        <v>100</v>
      </c>
      <c r="J186" s="2" t="n">
        <v>350</v>
      </c>
      <c r="K186" s="3" t="n">
        <v>78.5</v>
      </c>
      <c r="L186" s="4" t="n">
        <v>9500</v>
      </c>
      <c r="M186" s="3" t="n">
        <v>54.1386548495659</v>
      </c>
      <c r="N186" s="12" t="n">
        <v>0.00826315789473684</v>
      </c>
      <c r="O186" s="4" t="n">
        <v>8.14</v>
      </c>
      <c r="P186" s="3" t="n">
        <v>245.961778337993</v>
      </c>
      <c r="Q186" s="4" t="n">
        <f aca="false">(P186-P$354)/P$355</f>
        <v>0.0106545888102519</v>
      </c>
      <c r="R186" s="4" t="n">
        <v>0.24</v>
      </c>
      <c r="S186" s="13" t="n">
        <f aca="false">P186/200000</f>
        <v>0.00122980889168997</v>
      </c>
      <c r="W186" s="4" t="n">
        <f aca="false">$X$2*($X$3*$G186+$X$4*$B186^$X$5*$N186^$X$6)*$S186^$X$7</f>
        <v>0.285720030051079</v>
      </c>
      <c r="X186" s="4" t="n">
        <f aca="false">W186/$R186</f>
        <v>1.19050012521283</v>
      </c>
      <c r="Z186" s="4" t="n">
        <f aca="false">$AA$2*$B186^$AA$3*$S186^$AA$4*($AA$5*$N186^$AA$6+$AA$7)</f>
        <v>0.293078427075516</v>
      </c>
      <c r="AA186" s="4" t="n">
        <f aca="false">Z186/$R186</f>
        <v>1.22116011281465</v>
      </c>
      <c r="AC186" s="4" t="n">
        <f aca="false">$AD$2*($AD$3+$AD$4*$F186/($N186*'Sem TS MC2020'!P178))*($AD$5*$G186+$AD$6*$B186/$N186)*'Sem TS MC2020'!R178*($J186-$M186)/($J186-$M186-$H186)</f>
        <v>0.293792185839651</v>
      </c>
      <c r="AD186" s="4" t="n">
        <f aca="false">AC186/$R186</f>
        <v>1.22413410766521</v>
      </c>
      <c r="AE186" s="24" t="n">
        <f aca="false">AC186-$R186</f>
        <v>0.0537921858396507</v>
      </c>
      <c r="AF186" s="25" t="n">
        <f aca="false">1/AD186</f>
        <v>0.816903959899702</v>
      </c>
      <c r="AG186" s="25" t="n">
        <f aca="false">AC186*(14.068*'Sem TS MC2020'!$P178^-0.457)/$R186</f>
        <v>1.16702860406047</v>
      </c>
      <c r="AH186" s="25"/>
      <c r="AP186" s="4" t="n">
        <f aca="false">$AQ$2*($AQ$3+$AQ$4*$F186/($N186*'Sem TS MC2020'!P178))*($AQ$5*$G186+$AQ$6*$B186/$N186)*('Sem TS MC2020'!P178^$AQ$7/200000)*($J186-$M186)/($J186-$M186-$H186)+('Sem TS MC2020'!P178-$C186/$AQ$8)*($AQ$5*$G186+$AQ$6*$B186/$N186)/200000</f>
        <v>0.303265915482536</v>
      </c>
      <c r="AQ186" s="4" t="n">
        <f aca="false">AP186/$R186</f>
        <v>1.26360798117723</v>
      </c>
      <c r="AR186" s="24" t="n">
        <f aca="false">AP186-$R186</f>
        <v>0.0632659154825361</v>
      </c>
    </row>
    <row r="187" customFormat="false" ht="14.25" hidden="false" customHeight="false" outlineLevel="0" collapsed="false">
      <c r="B187" s="2" t="n">
        <v>10</v>
      </c>
      <c r="C187" s="3" t="n">
        <v>528</v>
      </c>
      <c r="D187" s="3" t="n">
        <v>1</v>
      </c>
      <c r="E187" s="2" t="n">
        <v>45</v>
      </c>
      <c r="F187" s="4" t="n">
        <v>2.8</v>
      </c>
      <c r="G187" s="2" t="n">
        <v>40</v>
      </c>
      <c r="H187" s="2" t="n">
        <v>45</v>
      </c>
      <c r="I187" s="1" t="n">
        <v>100</v>
      </c>
      <c r="J187" s="2" t="n">
        <v>350</v>
      </c>
      <c r="K187" s="3" t="n">
        <v>78.5</v>
      </c>
      <c r="L187" s="4" t="n">
        <v>9500</v>
      </c>
      <c r="M187" s="3" t="n">
        <v>54.1386548495659</v>
      </c>
      <c r="N187" s="12" t="n">
        <v>0.00826315789473684</v>
      </c>
      <c r="O187" s="4" t="n">
        <v>8.46</v>
      </c>
      <c r="P187" s="3" t="n">
        <v>269.771212866741</v>
      </c>
      <c r="Q187" s="4" t="n">
        <f aca="false">(P187-P$354)/P$355</f>
        <v>0.210266521624566</v>
      </c>
      <c r="R187" s="4" t="n">
        <v>0.25</v>
      </c>
      <c r="S187" s="13" t="n">
        <f aca="false">P187/200000</f>
        <v>0.00134885606433371</v>
      </c>
      <c r="W187" s="4" t="n">
        <f aca="false">$X$2*($X$3*$G187+$X$4*$B187^$X$5*$N187^$X$6)*$S187^$X$7</f>
        <v>0.302482080059109</v>
      </c>
      <c r="X187" s="4" t="n">
        <f aca="false">W187/$R187</f>
        <v>1.20992832023644</v>
      </c>
      <c r="Z187" s="4" t="n">
        <f aca="false">$AA$2*$B187^$AA$3*$S187^$AA$4*($AA$5*$N187^$AA$6+$AA$7)</f>
        <v>0.310587679189796</v>
      </c>
      <c r="AA187" s="4" t="n">
        <f aca="false">Z187/$R187</f>
        <v>1.24235071675918</v>
      </c>
      <c r="AC187" s="4" t="n">
        <f aca="false">$AD$2*($AD$3+$AD$4*$F187/($N187*'Sem TS MC2020'!P179))*($AD$5*$G187+$AD$6*$B187/$N187)*'Sem TS MC2020'!R179*($J187-$M187)/($J187-$M187-$H187)</f>
        <v>0.317370140107551</v>
      </c>
      <c r="AD187" s="4" t="n">
        <f aca="false">AC187/$R187</f>
        <v>1.2694805604302</v>
      </c>
      <c r="AE187" s="24" t="n">
        <f aca="false">AC187-$R187</f>
        <v>0.0673701401075509</v>
      </c>
      <c r="AF187" s="25" t="n">
        <f aca="false">1/AD187</f>
        <v>0.787723759756604</v>
      </c>
      <c r="AG187" s="25" t="n">
        <f aca="false">AC187*(14.068*'Sem TS MC2020'!$P179^-0.457)/$R187</f>
        <v>1.18911991916543</v>
      </c>
      <c r="AH187" s="25"/>
      <c r="AP187" s="4" t="n">
        <f aca="false">$AQ$2*($AQ$3+$AQ$4*$F187/($N187*'Sem TS MC2020'!P179))*($AQ$5*$G187+$AQ$6*$B187/$N187)*('Sem TS MC2020'!P179^$AQ$7/200000)*($J187-$M187)/($J187-$M187-$H187)+('Sem TS MC2020'!P179-$C187/$AQ$8)*($AQ$5*$G187+$AQ$6*$B187/$N187)/200000</f>
        <v>0.326627346031432</v>
      </c>
      <c r="AQ187" s="4" t="n">
        <f aca="false">AP187/$R187</f>
        <v>1.30650938412573</v>
      </c>
      <c r="AR187" s="24" t="n">
        <f aca="false">AP187-$R187</f>
        <v>0.0766273460314316</v>
      </c>
    </row>
    <row r="188" customFormat="false" ht="14.25" hidden="false" customHeight="false" outlineLevel="0" collapsed="false">
      <c r="B188" s="2" t="n">
        <v>10</v>
      </c>
      <c r="C188" s="3" t="n">
        <v>528</v>
      </c>
      <c r="D188" s="3" t="n">
        <v>1</v>
      </c>
      <c r="E188" s="2" t="n">
        <v>45</v>
      </c>
      <c r="F188" s="4" t="n">
        <v>2.8</v>
      </c>
      <c r="G188" s="2" t="n">
        <v>40</v>
      </c>
      <c r="H188" s="2" t="n">
        <v>45</v>
      </c>
      <c r="I188" s="1" t="n">
        <v>100</v>
      </c>
      <c r="J188" s="2" t="n">
        <v>350</v>
      </c>
      <c r="K188" s="3" t="n">
        <v>78.5</v>
      </c>
      <c r="L188" s="4" t="n">
        <v>9500</v>
      </c>
      <c r="M188" s="3" t="n">
        <v>54.1386548495659</v>
      </c>
      <c r="N188" s="12" t="n">
        <v>0.00826315789473684</v>
      </c>
      <c r="O188" s="4" t="n">
        <v>8.75</v>
      </c>
      <c r="P188" s="3" t="n">
        <v>291.348512908419</v>
      </c>
      <c r="Q188" s="4" t="n">
        <f aca="false">(P188-P$354)/P$355</f>
        <v>0.391164835737538</v>
      </c>
      <c r="R188" s="4" t="n">
        <v>0.27</v>
      </c>
      <c r="S188" s="13" t="n">
        <f aca="false">P188/200000</f>
        <v>0.0014567425645421</v>
      </c>
      <c r="W188" s="4" t="n">
        <f aca="false">$X$2*($X$3*$G188+$X$4*$B188^$X$5*$N188^$X$6)*$S188^$X$7</f>
        <v>0.317188960763635</v>
      </c>
      <c r="X188" s="4" t="n">
        <f aca="false">W188/$R188</f>
        <v>1.17477392875421</v>
      </c>
      <c r="Z188" s="4" t="n">
        <f aca="false">$AA$2*$B188^$AA$3*$S188^$AA$4*($AA$5*$N188^$AA$6+$AA$7)</f>
        <v>0.325964440885536</v>
      </c>
      <c r="AA188" s="4" t="n">
        <f aca="false">Z188/$R188</f>
        <v>1.20727570698347</v>
      </c>
      <c r="AC188" s="4" t="n">
        <f aca="false">$AD$2*($AD$3+$AD$4*$F188/($N188*'Sem TS MC2020'!P180))*($AD$5*$G188+$AD$6*$B188/$N188)*'Sem TS MC2020'!R180*($J188-$M188)/($J188-$M188-$H188)</f>
        <v>0.338737661162835</v>
      </c>
      <c r="AD188" s="4" t="n">
        <f aca="false">AC188/$R188</f>
        <v>1.25458393023272</v>
      </c>
      <c r="AE188" s="24" t="n">
        <f aca="false">AC188-$R188</f>
        <v>0.0687376611628354</v>
      </c>
      <c r="AF188" s="25" t="n">
        <f aca="false">1/AD188</f>
        <v>0.797077003699945</v>
      </c>
      <c r="AG188" s="25" t="n">
        <f aca="false">AC188*(14.068*'Sem TS MC2020'!$P180^-0.457)/$R188</f>
        <v>1.15720391781286</v>
      </c>
      <c r="AH188" s="25"/>
      <c r="AP188" s="4" t="n">
        <f aca="false">$AQ$2*($AQ$3+$AQ$4*$F188/($N188*'Sem TS MC2020'!P180))*($AQ$5*$G188+$AQ$6*$B188/$N188)*('Sem TS MC2020'!P180^$AQ$7/200000)*($J188-$M188)/($J188-$M188-$H188)+('Sem TS MC2020'!P180-$C188/$AQ$8)*($AQ$5*$G188+$AQ$6*$B188/$N188)/200000</f>
        <v>0.347601194856555</v>
      </c>
      <c r="AQ188" s="4" t="n">
        <f aca="false">AP188/$R188</f>
        <v>1.28741183280205</v>
      </c>
      <c r="AR188" s="24" t="n">
        <f aca="false">AP188-$R188</f>
        <v>0.0776011948565545</v>
      </c>
    </row>
    <row r="189" customFormat="false" ht="14.25" hidden="false" customHeight="false" outlineLevel="0" collapsed="false">
      <c r="B189" s="2" t="n">
        <v>10</v>
      </c>
      <c r="C189" s="3" t="n">
        <v>528</v>
      </c>
      <c r="D189" s="3" t="n">
        <v>1</v>
      </c>
      <c r="E189" s="2" t="n">
        <v>45</v>
      </c>
      <c r="F189" s="4" t="n">
        <v>2.8</v>
      </c>
      <c r="G189" s="2" t="n">
        <v>40</v>
      </c>
      <c r="H189" s="2" t="n">
        <v>45</v>
      </c>
      <c r="I189" s="1" t="n">
        <v>100</v>
      </c>
      <c r="J189" s="2" t="n">
        <v>350</v>
      </c>
      <c r="K189" s="3" t="n">
        <v>78.5</v>
      </c>
      <c r="L189" s="4" t="n">
        <v>9500</v>
      </c>
      <c r="M189" s="3" t="n">
        <v>54.1386548495659</v>
      </c>
      <c r="N189" s="12" t="n">
        <v>0.00826315789473684</v>
      </c>
      <c r="O189" s="4" t="n">
        <v>9.01</v>
      </c>
      <c r="P189" s="3" t="n">
        <v>310.693678463027</v>
      </c>
      <c r="Q189" s="4" t="n">
        <f aca="false">(P189-P$354)/P$355</f>
        <v>0.553349531149168</v>
      </c>
      <c r="R189" s="4" t="n">
        <v>0.29</v>
      </c>
      <c r="S189" s="13" t="n">
        <f aca="false">P189/200000</f>
        <v>0.00155346839231514</v>
      </c>
      <c r="W189" s="4" t="n">
        <f aca="false">$X$2*($X$3*$G189+$X$4*$B189^$X$5*$N189^$X$6)*$S189^$X$7</f>
        <v>0.330023194772863</v>
      </c>
      <c r="X189" s="4" t="n">
        <f aca="false">W189/$R189</f>
        <v>1.13801101645815</v>
      </c>
      <c r="Z189" s="4" t="n">
        <f aca="false">$AA$2*$B189^$AA$3*$S189^$AA$4*($AA$5*$N189^$AA$6+$AA$7)</f>
        <v>0.339393672904549</v>
      </c>
      <c r="AA189" s="4" t="n">
        <f aca="false">Z189/$R189</f>
        <v>1.17032301001569</v>
      </c>
      <c r="AC189" s="4" t="n">
        <f aca="false">$AD$2*($AD$3+$AD$4*$F189/($N189*'Sem TS MC2020'!P181))*($AD$5*$G189+$AD$6*$B189/$N189)*'Sem TS MC2020'!R181*($J189-$M189)/($J189-$M189-$H189)</f>
        <v>0.357894749005504</v>
      </c>
      <c r="AD189" s="4" t="n">
        <f aca="false">AC189/$R189</f>
        <v>1.23411982415691</v>
      </c>
      <c r="AE189" s="24" t="n">
        <f aca="false">AC189-$R189</f>
        <v>0.0678947490055044</v>
      </c>
      <c r="AF189" s="25" t="n">
        <f aca="false">1/AD189</f>
        <v>0.81029409010843</v>
      </c>
      <c r="AG189" s="25" t="n">
        <f aca="false">AC189*(14.068*'Sem TS MC2020'!$P181^-0.457)/$R189</f>
        <v>1.12319705030405</v>
      </c>
      <c r="AH189" s="25"/>
      <c r="AP189" s="4" t="n">
        <f aca="false">$AQ$2*($AQ$3+$AQ$4*$F189/($N189*'Sem TS MC2020'!P181))*($AQ$5*$G189+$AQ$6*$B189/$N189)*('Sem TS MC2020'!P181^$AQ$7/200000)*($J189-$M189)/($J189-$M189-$H189)+('Sem TS MC2020'!P181-$C189/$AQ$8)*($AQ$5*$G189+$AQ$6*$B189/$N189)/200000</f>
        <v>0.366254104987486</v>
      </c>
      <c r="AQ189" s="4" t="n">
        <f aca="false">AP189/$R189</f>
        <v>1.26294518961202</v>
      </c>
      <c r="AR189" s="24" t="n">
        <f aca="false">AP189-$R189</f>
        <v>0.0762541049874861</v>
      </c>
    </row>
    <row r="190" customFormat="false" ht="14.25" hidden="false" customHeight="false" outlineLevel="0" collapsed="false">
      <c r="A190" s="1" t="s">
        <v>60</v>
      </c>
      <c r="B190" s="2" t="n">
        <v>10</v>
      </c>
      <c r="C190" s="3" t="n">
        <v>528</v>
      </c>
      <c r="D190" s="3" t="n">
        <v>1</v>
      </c>
      <c r="E190" s="2" t="n">
        <v>45</v>
      </c>
      <c r="F190" s="4" t="n">
        <v>2.8</v>
      </c>
      <c r="G190" s="2" t="n">
        <v>40</v>
      </c>
      <c r="H190" s="2" t="n">
        <v>45</v>
      </c>
      <c r="I190" s="1" t="n">
        <v>100</v>
      </c>
      <c r="J190" s="2" t="n">
        <v>350</v>
      </c>
      <c r="K190" s="3" t="n">
        <v>78.5</v>
      </c>
      <c r="L190" s="4" t="n">
        <v>9500</v>
      </c>
      <c r="M190" s="3" t="n">
        <v>54.1386548495659</v>
      </c>
      <c r="N190" s="12" t="n">
        <v>0.00826315789473684</v>
      </c>
      <c r="O190" s="4" t="n">
        <v>7.29</v>
      </c>
      <c r="P190" s="3" t="n">
        <v>182.717967871006</v>
      </c>
      <c r="Q190" s="4" t="n">
        <f aca="false">(P190-P$354)/P$355</f>
        <v>-0.519564607727771</v>
      </c>
      <c r="R190" s="4" t="n">
        <v>0.15</v>
      </c>
      <c r="S190" s="13" t="n">
        <f aca="false">P190/200000</f>
        <v>0.000913589839355029</v>
      </c>
      <c r="W190" s="4" t="n">
        <f aca="false">$X$2*($X$3*$G190+$X$4*$B190^$X$5*$N190^$X$6)*$S190^$X$7</f>
        <v>0.237845203770144</v>
      </c>
      <c r="X190" s="4" t="n">
        <f aca="false">W190/$R190</f>
        <v>1.58563469180096</v>
      </c>
      <c r="Z190" s="4" t="n">
        <f aca="false">$AA$2*$B190^$AA$3*$S190^$AA$4*($AA$5*$N190^$AA$6+$AA$7)</f>
        <v>0.243174265639411</v>
      </c>
      <c r="AA190" s="4" t="n">
        <f aca="false">Z190/$R190</f>
        <v>1.62116177092941</v>
      </c>
      <c r="AC190" s="4" t="n">
        <f aca="false">$AD$2*($AD$3+$AD$4*$F190/($N190*'Sem TS MC2020'!P182))*($AD$5*$G190+$AD$6*$B190/$N190)*'Sem TS MC2020'!R182*($J190-$M190)/($J190-$M190-$H190)</f>
        <v>0.231163244815541</v>
      </c>
      <c r="AD190" s="4" t="n">
        <f aca="false">AC190/$R190</f>
        <v>1.54108829877027</v>
      </c>
      <c r="AE190" s="24" t="n">
        <f aca="false">AC190-$R190</f>
        <v>0.0811632448155408</v>
      </c>
      <c r="AF190" s="25" t="n">
        <f aca="false">1/AD190</f>
        <v>0.648892085416495</v>
      </c>
      <c r="AG190" s="25" t="n">
        <f aca="false">AC190*(14.068*'Sem TS MC2020'!$P182^-0.457)/$R190</f>
        <v>1.54514377872098</v>
      </c>
      <c r="AH190" s="25"/>
      <c r="AP190" s="4" t="n">
        <f aca="false">$AQ$2*($AQ$3+$AQ$4*$F190/($N190*'Sem TS MC2020'!P182))*($AQ$5*$G190+$AQ$6*$B190/$N190)*('Sem TS MC2020'!P182^$AQ$7/200000)*($J190-$M190)/($J190-$M190-$H190)+('Sem TS MC2020'!P182-$C190/$AQ$8)*($AQ$5*$G190+$AQ$6*$B190/$N190)/200000</f>
        <v>0.239989064961359</v>
      </c>
      <c r="AQ190" s="4" t="n">
        <f aca="false">AP190/$R190</f>
        <v>1.59992709974239</v>
      </c>
      <c r="AR190" s="24" t="n">
        <f aca="false">AP190-$R190</f>
        <v>0.0899890649613589</v>
      </c>
    </row>
    <row r="191" customFormat="false" ht="14.25" hidden="false" customHeight="false" outlineLevel="0" collapsed="false">
      <c r="B191" s="2" t="n">
        <v>10</v>
      </c>
      <c r="C191" s="3" t="n">
        <v>528</v>
      </c>
      <c r="D191" s="3" t="n">
        <v>1</v>
      </c>
      <c r="E191" s="2" t="n">
        <v>45</v>
      </c>
      <c r="F191" s="4" t="n">
        <v>2.8</v>
      </c>
      <c r="G191" s="2" t="n">
        <v>40</v>
      </c>
      <c r="H191" s="2" t="n">
        <v>45</v>
      </c>
      <c r="I191" s="1" t="n">
        <v>100</v>
      </c>
      <c r="J191" s="2" t="n">
        <v>350</v>
      </c>
      <c r="K191" s="3" t="n">
        <v>78.5</v>
      </c>
      <c r="L191" s="4" t="n">
        <v>9500</v>
      </c>
      <c r="M191" s="3" t="n">
        <v>54.1386548495659</v>
      </c>
      <c r="N191" s="12" t="n">
        <v>0.00826315789473684</v>
      </c>
      <c r="O191" s="4" t="n">
        <v>7.58</v>
      </c>
      <c r="P191" s="3" t="n">
        <v>204.295267912684</v>
      </c>
      <c r="Q191" s="4" t="n">
        <f aca="false">(P191-P$354)/P$355</f>
        <v>-0.338666293614799</v>
      </c>
      <c r="R191" s="4" t="n">
        <v>0.16</v>
      </c>
      <c r="S191" s="13" t="n">
        <f aca="false">P191/200000</f>
        <v>0.00102147633956342</v>
      </c>
      <c r="W191" s="4" t="n">
        <f aca="false">$X$2*($X$3*$G191+$X$4*$B191^$X$5*$N191^$X$6)*$S191^$X$7</f>
        <v>0.254803118178727</v>
      </c>
      <c r="X191" s="4" t="n">
        <f aca="false">W191/$R191</f>
        <v>1.59251948861705</v>
      </c>
      <c r="Z191" s="4" t="n">
        <f aca="false">$AA$2*$B191^$AA$3*$S191^$AA$4*($AA$5*$N191^$AA$6+$AA$7)</f>
        <v>0.260832197831753</v>
      </c>
      <c r="AA191" s="4" t="n">
        <f aca="false">Z191/$R191</f>
        <v>1.63020123644846</v>
      </c>
      <c r="AC191" s="4" t="n">
        <f aca="false">$AD$2*($AD$3+$AD$4*$F191/($N191*'Sem TS MC2020'!P183))*($AD$5*$G191+$AD$6*$B191/$N191)*'Sem TS MC2020'!R183*($J191-$M191)/($J191-$M191-$H191)</f>
        <v>0.252530765870825</v>
      </c>
      <c r="AD191" s="4" t="n">
        <f aca="false">AC191/$R191</f>
        <v>1.57831728669266</v>
      </c>
      <c r="AE191" s="24" t="n">
        <f aca="false">AC191-$R191</f>
        <v>0.0925307658708253</v>
      </c>
      <c r="AF191" s="25" t="n">
        <f aca="false">1/AD191</f>
        <v>0.633586167009224</v>
      </c>
      <c r="AG191" s="25" t="n">
        <f aca="false">AC191*(14.068*'Sem TS MC2020'!$P183^-0.457)/$R191</f>
        <v>1.55450935997236</v>
      </c>
      <c r="AH191" s="25"/>
      <c r="AP191" s="4" t="n">
        <f aca="false">$AQ$2*($AQ$3+$AQ$4*$F191/($N191*'Sem TS MC2020'!P183))*($AQ$5*$G191+$AQ$6*$B191/$N191)*('Sem TS MC2020'!P183^$AQ$7/200000)*($J191-$M191)/($J191-$M191-$H191)+('Sem TS MC2020'!P183-$C191/$AQ$8)*($AQ$5*$G191+$AQ$6*$B191/$N191)/200000</f>
        <v>0.261789650639827</v>
      </c>
      <c r="AQ191" s="4" t="n">
        <f aca="false">AP191/$R191</f>
        <v>1.63618531649892</v>
      </c>
      <c r="AR191" s="24" t="n">
        <f aca="false">AP191-$R191</f>
        <v>0.101789650639827</v>
      </c>
    </row>
    <row r="192" customFormat="false" ht="14.25" hidden="false" customHeight="false" outlineLevel="0" collapsed="false">
      <c r="B192" s="2" t="n">
        <v>10</v>
      </c>
      <c r="C192" s="3" t="n">
        <v>528</v>
      </c>
      <c r="D192" s="3" t="n">
        <v>1</v>
      </c>
      <c r="E192" s="2" t="n">
        <v>45</v>
      </c>
      <c r="F192" s="4" t="n">
        <v>2.8</v>
      </c>
      <c r="G192" s="2" t="n">
        <v>40</v>
      </c>
      <c r="H192" s="2" t="n">
        <v>45</v>
      </c>
      <c r="I192" s="1" t="n">
        <v>100</v>
      </c>
      <c r="J192" s="2" t="n">
        <v>350</v>
      </c>
      <c r="K192" s="3" t="n">
        <v>78.5</v>
      </c>
      <c r="L192" s="4" t="n">
        <v>9500</v>
      </c>
      <c r="M192" s="3" t="n">
        <v>54.1386548495659</v>
      </c>
      <c r="N192" s="12" t="n">
        <v>0.00826315789473684</v>
      </c>
      <c r="O192" s="4" t="n">
        <v>7.99</v>
      </c>
      <c r="P192" s="3" t="n">
        <v>234.801105902642</v>
      </c>
      <c r="Q192" s="4" t="n">
        <f aca="false">(P192-P$354)/P$355</f>
        <v>-0.0829135046964586</v>
      </c>
      <c r="R192" s="4" t="n">
        <v>0.18</v>
      </c>
      <c r="S192" s="13" t="n">
        <f aca="false">P192/200000</f>
        <v>0.00117400552951321</v>
      </c>
      <c r="W192" s="4" t="n">
        <f aca="false">$X$2*($X$3*$G192+$X$4*$B192^$X$5*$N192^$X$6)*$S192^$X$7</f>
        <v>0.277649789200041</v>
      </c>
      <c r="X192" s="4" t="n">
        <f aca="false">W192/$R192</f>
        <v>1.54249882888912</v>
      </c>
      <c r="Z192" s="4" t="n">
        <f aca="false">$AA$2*$B192^$AA$3*$S192^$AA$4*($AA$5*$N192^$AA$6+$AA$7)</f>
        <v>0.284654904308646</v>
      </c>
      <c r="AA192" s="4" t="n">
        <f aca="false">Z192/$R192</f>
        <v>1.58141613504804</v>
      </c>
      <c r="AC192" s="4" t="n">
        <f aca="false">$AD$2*($AD$3+$AD$4*$F192/($N192*'Sem TS MC2020'!P184))*($AD$5*$G192+$AD$6*$B192/$N192)*'Sem TS MC2020'!R184*($J192-$M192)/($J192-$M192-$H192)</f>
        <v>0.282740019776573</v>
      </c>
      <c r="AD192" s="4" t="n">
        <f aca="false">AC192/$R192</f>
        <v>1.57077788764763</v>
      </c>
      <c r="AE192" s="24" t="n">
        <f aca="false">AC192-$R192</f>
        <v>0.102740019776573</v>
      </c>
      <c r="AF192" s="25" t="n">
        <f aca="false">1/AD192</f>
        <v>0.636627245560215</v>
      </c>
      <c r="AG192" s="25" t="n">
        <f aca="false">AC192*(14.068*'Sem TS MC2020'!$P184^-0.457)/$R192</f>
        <v>1.51028446746814</v>
      </c>
      <c r="AH192" s="25"/>
      <c r="AP192" s="4" t="n">
        <f aca="false">$AQ$2*($AQ$3+$AQ$4*$F192/($N192*'Sem TS MC2020'!P184))*($AQ$5*$G192+$AQ$6*$B192/$N192)*('Sem TS MC2020'!P184^$AQ$7/200000)*($J192-$M192)/($J192-$M192-$H192)+('Sem TS MC2020'!P184-$C192/$AQ$8)*($AQ$5*$G192+$AQ$6*$B192/$N192)/200000</f>
        <v>0.292232635994298</v>
      </c>
      <c r="AQ192" s="4" t="n">
        <f aca="false">AP192/$R192</f>
        <v>1.62351464441277</v>
      </c>
      <c r="AR192" s="24" t="n">
        <f aca="false">AP192-$R192</f>
        <v>0.112232635994298</v>
      </c>
    </row>
    <row r="193" customFormat="false" ht="14.25" hidden="false" customHeight="false" outlineLevel="0" collapsed="false">
      <c r="B193" s="2" t="n">
        <v>10</v>
      </c>
      <c r="C193" s="3" t="n">
        <v>528</v>
      </c>
      <c r="D193" s="3" t="n">
        <v>1</v>
      </c>
      <c r="E193" s="2" t="n">
        <v>45</v>
      </c>
      <c r="F193" s="4" t="n">
        <v>2.8</v>
      </c>
      <c r="G193" s="2" t="n">
        <v>40</v>
      </c>
      <c r="H193" s="2" t="n">
        <v>45</v>
      </c>
      <c r="I193" s="1" t="n">
        <v>100</v>
      </c>
      <c r="J193" s="2" t="n">
        <v>350</v>
      </c>
      <c r="K193" s="3" t="n">
        <v>78.5</v>
      </c>
      <c r="L193" s="4" t="n">
        <v>9500</v>
      </c>
      <c r="M193" s="3" t="n">
        <v>54.1386548495659</v>
      </c>
      <c r="N193" s="12" t="n">
        <v>0.00826315789473684</v>
      </c>
      <c r="O193" s="4" t="n">
        <v>8.23</v>
      </c>
      <c r="P193" s="3" t="n">
        <v>252.658181799204</v>
      </c>
      <c r="Q193" s="4" t="n">
        <f aca="false">(P193-P$354)/P$355</f>
        <v>0.0667954449142766</v>
      </c>
      <c r="R193" s="4" t="n">
        <v>0.18</v>
      </c>
      <c r="S193" s="13" t="n">
        <f aca="false">P193/200000</f>
        <v>0.00126329090899602</v>
      </c>
      <c r="W193" s="4" t="n">
        <f aca="false">$X$2*($X$3*$G193+$X$4*$B193^$X$5*$N193^$X$6)*$S193^$X$7</f>
        <v>0.290494858396368</v>
      </c>
      <c r="X193" s="4" t="n">
        <f aca="false">W193/$R193</f>
        <v>1.61386032442427</v>
      </c>
      <c r="Z193" s="4" t="n">
        <f aca="false">$AA$2*$B193^$AA$3*$S193^$AA$4*($AA$5*$N193^$AA$6+$AA$7)</f>
        <v>0.298064283272763</v>
      </c>
      <c r="AA193" s="4" t="n">
        <f aca="false">Z193/$R193</f>
        <v>1.65591268484868</v>
      </c>
      <c r="AC193" s="4" t="n">
        <f aca="false">$AD$2*($AD$3+$AD$4*$F193/($N193*'Sem TS MC2020'!P185))*($AD$5*$G193+$AD$6*$B193/$N193)*'Sem TS MC2020'!R185*($J193-$M193)/($J193-$M193-$H193)</f>
        <v>0.300423485477498</v>
      </c>
      <c r="AD193" s="4" t="n">
        <f aca="false">AC193/$R193</f>
        <v>1.66901936376388</v>
      </c>
      <c r="AE193" s="24" t="n">
        <f aca="false">AC193-$R193</f>
        <v>0.120423485477498</v>
      </c>
      <c r="AF193" s="25" t="n">
        <f aca="false">1/AD193</f>
        <v>0.599154222959318</v>
      </c>
      <c r="AG193" s="25" t="n">
        <f aca="false">AC193*(14.068*'Sem TS MC2020'!$P185^-0.457)/$R193</f>
        <v>1.583184414214</v>
      </c>
      <c r="AH193" s="25"/>
      <c r="AP193" s="4" t="n">
        <f aca="false">$AQ$2*($AQ$3+$AQ$4*$F193/($N193*'Sem TS MC2020'!P185))*($AQ$5*$G193+$AQ$6*$B193/$N193)*('Sem TS MC2020'!P185^$AQ$7/200000)*($J193-$M193)/($J193-$M193-$H193)+('Sem TS MC2020'!P185-$C193/$AQ$8)*($AQ$5*$G193+$AQ$6*$B193/$N193)/200000</f>
        <v>0.309860193963445</v>
      </c>
      <c r="AQ193" s="4" t="n">
        <f aca="false">AP193/$R193</f>
        <v>1.72144552201914</v>
      </c>
      <c r="AR193" s="24" t="n">
        <f aca="false">AP193-$R193</f>
        <v>0.129860193963445</v>
      </c>
    </row>
    <row r="194" customFormat="false" ht="14.25" hidden="false" customHeight="false" outlineLevel="0" collapsed="false">
      <c r="B194" s="2" t="n">
        <v>10</v>
      </c>
      <c r="C194" s="3" t="n">
        <v>528</v>
      </c>
      <c r="D194" s="3" t="n">
        <v>1</v>
      </c>
      <c r="E194" s="2" t="n">
        <v>45</v>
      </c>
      <c r="F194" s="4" t="n">
        <v>2.8</v>
      </c>
      <c r="G194" s="2" t="n">
        <v>40</v>
      </c>
      <c r="H194" s="2" t="n">
        <v>45</v>
      </c>
      <c r="I194" s="1" t="n">
        <v>100</v>
      </c>
      <c r="J194" s="2" t="n">
        <v>350</v>
      </c>
      <c r="K194" s="3" t="n">
        <v>78.5</v>
      </c>
      <c r="L194" s="4" t="n">
        <v>9500</v>
      </c>
      <c r="M194" s="3" t="n">
        <v>54.1386548495659</v>
      </c>
      <c r="N194" s="12" t="n">
        <v>0.00826315789473684</v>
      </c>
      <c r="O194" s="4" t="n">
        <v>8.46</v>
      </c>
      <c r="P194" s="3" t="n">
        <v>269.771212866741</v>
      </c>
      <c r="Q194" s="4" t="n">
        <f aca="false">(P194-P$354)/P$355</f>
        <v>0.210266521624566</v>
      </c>
      <c r="R194" s="4" t="n">
        <v>0.19</v>
      </c>
      <c r="S194" s="13" t="n">
        <f aca="false">P194/200000</f>
        <v>0.00134885606433371</v>
      </c>
      <c r="W194" s="4" t="n">
        <f aca="false">$X$2*($X$3*$G194+$X$4*$B194^$X$5*$N194^$X$6)*$S194^$X$7</f>
        <v>0.302482080059109</v>
      </c>
      <c r="X194" s="4" t="n">
        <f aca="false">W194/$R194</f>
        <v>1.59201094767952</v>
      </c>
      <c r="Z194" s="4" t="n">
        <f aca="false">$AA$2*$B194^$AA$3*$S194^$AA$4*($AA$5*$N194^$AA$6+$AA$7)</f>
        <v>0.310587679189796</v>
      </c>
      <c r="AA194" s="4" t="n">
        <f aca="false">Z194/$R194</f>
        <v>1.63467199573577</v>
      </c>
      <c r="AC194" s="4" t="n">
        <f aca="false">$AD$2*($AD$3+$AD$4*$F194/($N194*'Sem TS MC2020'!P186))*($AD$5*$G194+$AD$6*$B194/$N194)*'Sem TS MC2020'!R186*($J194-$M194)/($J194-$M194-$H194)</f>
        <v>0.317370140107551</v>
      </c>
      <c r="AD194" s="4" t="n">
        <f aca="false">AC194/$R194</f>
        <v>1.67036915846079</v>
      </c>
      <c r="AE194" s="24" t="n">
        <f aca="false">AC194-$R194</f>
        <v>0.127370140107551</v>
      </c>
      <c r="AF194" s="25" t="n">
        <f aca="false">1/AD194</f>
        <v>0.598670057415019</v>
      </c>
      <c r="AG194" s="25" t="n">
        <f aca="false">AC194*(14.068*'Sem TS MC2020'!$P186^-0.457)/$R194</f>
        <v>1.5646314725861</v>
      </c>
      <c r="AH194" s="25"/>
      <c r="AP194" s="4" t="n">
        <f aca="false">$AQ$2*($AQ$3+$AQ$4*$F194/($N194*'Sem TS MC2020'!P186))*($AQ$5*$G194+$AQ$6*$B194/$N194)*('Sem TS MC2020'!P186^$AQ$7/200000)*($J194-$M194)/($J194-$M194-$H194)+('Sem TS MC2020'!P186-$C194/$AQ$8)*($AQ$5*$G194+$AQ$6*$B194/$N194)/200000</f>
        <v>0.326627346031432</v>
      </c>
      <c r="AQ194" s="4" t="n">
        <f aca="false">AP194/$R194</f>
        <v>1.71909129490227</v>
      </c>
      <c r="AR194" s="24" t="n">
        <f aca="false">AP194-$R194</f>
        <v>0.136627346031432</v>
      </c>
    </row>
    <row r="195" customFormat="false" ht="14.25" hidden="false" customHeight="false" outlineLevel="0" collapsed="false">
      <c r="B195" s="2" t="n">
        <v>10</v>
      </c>
      <c r="C195" s="3" t="n">
        <v>528</v>
      </c>
      <c r="D195" s="3" t="n">
        <v>1</v>
      </c>
      <c r="E195" s="2" t="n">
        <v>45</v>
      </c>
      <c r="F195" s="4" t="n">
        <v>2.8</v>
      </c>
      <c r="G195" s="2" t="n">
        <v>40</v>
      </c>
      <c r="H195" s="2" t="n">
        <v>45</v>
      </c>
      <c r="I195" s="1" t="n">
        <v>100</v>
      </c>
      <c r="J195" s="2" t="n">
        <v>350</v>
      </c>
      <c r="K195" s="3" t="n">
        <v>78.5</v>
      </c>
      <c r="L195" s="4" t="n">
        <v>9500</v>
      </c>
      <c r="M195" s="3" t="n">
        <v>54.1386548495659</v>
      </c>
      <c r="N195" s="12" t="n">
        <v>0.00826315789473684</v>
      </c>
      <c r="O195" s="4" t="n">
        <v>8.71</v>
      </c>
      <c r="P195" s="3" t="n">
        <v>288.372333592326</v>
      </c>
      <c r="Q195" s="4" t="n">
        <f aca="false">(P195-P$354)/P$355</f>
        <v>0.366213344135749</v>
      </c>
      <c r="R195" s="4" t="n">
        <v>0.2</v>
      </c>
      <c r="S195" s="13" t="n">
        <f aca="false">P195/200000</f>
        <v>0.00144186166796163</v>
      </c>
      <c r="W195" s="4" t="n">
        <f aca="false">$X$2*($X$3*$G195+$X$4*$B195^$X$5*$N195^$X$6)*$S195^$X$7</f>
        <v>0.315185862408278</v>
      </c>
      <c r="X195" s="4" t="n">
        <f aca="false">W195/$R195</f>
        <v>1.57592931204139</v>
      </c>
      <c r="Z195" s="4" t="n">
        <f aca="false">$AA$2*$B195^$AA$3*$S195^$AA$4*($AA$5*$N195^$AA$6+$AA$7)</f>
        <v>0.323869342527694</v>
      </c>
      <c r="AA195" s="4" t="n">
        <f aca="false">Z195/$R195</f>
        <v>1.61934671263847</v>
      </c>
      <c r="AC195" s="4" t="n">
        <f aca="false">$AD$2*($AD$3+$AD$4*$F195/($N195*'Sem TS MC2020'!P187))*($AD$5*$G195+$AD$6*$B195/$N195)*'Sem TS MC2020'!R187*($J195-$M195)/($J195-$M195-$H195)</f>
        <v>0.335790416879348</v>
      </c>
      <c r="AD195" s="4" t="n">
        <f aca="false">AC195/$R195</f>
        <v>1.67895208439674</v>
      </c>
      <c r="AE195" s="24" t="n">
        <f aca="false">AC195-$R195</f>
        <v>0.135790416879348</v>
      </c>
      <c r="AF195" s="25" t="n">
        <f aca="false">1/AD195</f>
        <v>0.595609612265562</v>
      </c>
      <c r="AG195" s="25" t="n">
        <f aca="false">AC195*(14.068*'Sem TS MC2020'!$P187^-0.457)/$R195</f>
        <v>1.55187901418257</v>
      </c>
      <c r="AH195" s="25"/>
      <c r="AP195" s="4" t="n">
        <f aca="false">$AQ$2*($AQ$3+$AQ$4*$F195/($N195*'Sem TS MC2020'!P187))*($AQ$5*$G195+$AQ$6*$B195/$N195)*('Sem TS MC2020'!P187^$AQ$7/200000)*($J195-$M195)/($J195-$M195-$H195)+('Sem TS MC2020'!P187-$C195/$AQ$8)*($AQ$5*$G195+$AQ$6*$B195/$N195)/200000</f>
        <v>0.344719018684666</v>
      </c>
      <c r="AQ195" s="4" t="n">
        <f aca="false">AP195/$R195</f>
        <v>1.72359509342333</v>
      </c>
      <c r="AR195" s="24" t="n">
        <f aca="false">AP195-$R195</f>
        <v>0.144719018684666</v>
      </c>
    </row>
    <row r="196" customFormat="false" ht="14.25" hidden="false" customHeight="false" outlineLevel="0" collapsed="false">
      <c r="B196" s="2" t="n">
        <v>10</v>
      </c>
      <c r="C196" s="3" t="n">
        <v>528</v>
      </c>
      <c r="D196" s="3" t="n">
        <v>1</v>
      </c>
      <c r="E196" s="2" t="n">
        <v>45</v>
      </c>
      <c r="F196" s="4" t="n">
        <v>2.8</v>
      </c>
      <c r="G196" s="2" t="n">
        <v>40</v>
      </c>
      <c r="H196" s="2" t="n">
        <v>45</v>
      </c>
      <c r="I196" s="1" t="n">
        <v>100</v>
      </c>
      <c r="J196" s="2" t="n">
        <v>350</v>
      </c>
      <c r="K196" s="3" t="n">
        <v>78.5</v>
      </c>
      <c r="L196" s="4" t="n">
        <v>9500</v>
      </c>
      <c r="M196" s="3" t="n">
        <v>54.1386548495659</v>
      </c>
      <c r="N196" s="12" t="n">
        <v>0.00826315789473684</v>
      </c>
      <c r="O196" s="4" t="n">
        <v>9.04</v>
      </c>
      <c r="P196" s="3" t="n">
        <v>312.925812950098</v>
      </c>
      <c r="Q196" s="4" t="n">
        <f aca="false">(P196-P$354)/P$355</f>
        <v>0.572063149850511</v>
      </c>
      <c r="R196" s="4" t="n">
        <v>0.22</v>
      </c>
      <c r="S196" s="13" t="n">
        <f aca="false">P196/200000</f>
        <v>0.00156462906475049</v>
      </c>
      <c r="W196" s="4" t="n">
        <f aca="false">$X$2*($X$3*$G196+$X$4*$B196^$X$5*$N196^$X$6)*$S196^$X$7</f>
        <v>0.331484098598016</v>
      </c>
      <c r="X196" s="4" t="n">
        <f aca="false">W196/$R196</f>
        <v>1.50674590271825</v>
      </c>
      <c r="Z196" s="4" t="n">
        <f aca="false">$AA$2*$B196^$AA$3*$S196^$AA$4*($AA$5*$N196^$AA$6+$AA$7)</f>
        <v>0.340922901799999</v>
      </c>
      <c r="AA196" s="4" t="n">
        <f aca="false">Z196/$R196</f>
        <v>1.54964955363636</v>
      </c>
      <c r="AC196" s="4" t="n">
        <f aca="false">$AD$2*($AD$3+$AD$4*$F196/($N196*'Sem TS MC2020'!P188))*($AD$5*$G196+$AD$6*$B196/$N196)*'Sem TS MC2020'!R188*($J196-$M196)/($J196-$M196-$H196)</f>
        <v>0.36010518221812</v>
      </c>
      <c r="AD196" s="4" t="n">
        <f aca="false">AC196/$R196</f>
        <v>1.63684173735509</v>
      </c>
      <c r="AE196" s="24" t="n">
        <f aca="false">AC196-$R196</f>
        <v>0.14010518221812</v>
      </c>
      <c r="AF196" s="25" t="n">
        <f aca="false">1/AD196</f>
        <v>0.610932613201727</v>
      </c>
      <c r="AG196" s="25" t="n">
        <f aca="false">AC196*(14.068*'Sem TS MC2020'!$P188^-0.457)/$R196</f>
        <v>1.48746094913171</v>
      </c>
      <c r="AH196" s="25"/>
      <c r="AP196" s="4" t="n">
        <f aca="false">$AQ$2*($AQ$3+$AQ$4*$F196/($N196*'Sem TS MC2020'!P188))*($AQ$5*$G196+$AQ$6*$B196/$N196)*('Sem TS MC2020'!P188^$AQ$7/200000)*($J196-$M196)/($J196-$M196-$H196)+('Sem TS MC2020'!P188-$C196/$AQ$8)*($AQ$5*$G196+$AQ$6*$B196/$N196)/200000</f>
        <v>0.368397479491127</v>
      </c>
      <c r="AQ196" s="4" t="n">
        <f aca="false">AP196/$R196</f>
        <v>1.67453399768694</v>
      </c>
      <c r="AR196" s="24" t="n">
        <f aca="false">AP196-$R196</f>
        <v>0.148397479491127</v>
      </c>
    </row>
    <row r="197" customFormat="false" ht="14.25" hidden="false" customHeight="false" outlineLevel="0" collapsed="false">
      <c r="A197" s="1" t="s">
        <v>61</v>
      </c>
      <c r="B197" s="2" t="n">
        <v>20</v>
      </c>
      <c r="C197" s="3" t="n">
        <v>598</v>
      </c>
      <c r="D197" s="3" t="n">
        <v>1</v>
      </c>
      <c r="E197" s="2" t="n">
        <v>40</v>
      </c>
      <c r="F197" s="4" t="n">
        <v>2.8</v>
      </c>
      <c r="G197" s="2" t="n">
        <v>40</v>
      </c>
      <c r="H197" s="2" t="n">
        <v>50</v>
      </c>
      <c r="I197" s="1" t="n">
        <v>100</v>
      </c>
      <c r="J197" s="2" t="n">
        <v>350</v>
      </c>
      <c r="K197" s="3" t="n">
        <v>315</v>
      </c>
      <c r="L197" s="4" t="n">
        <v>15000</v>
      </c>
      <c r="M197" s="3" t="n">
        <v>96.3869213691258</v>
      </c>
      <c r="N197" s="12" t="n">
        <v>0.021</v>
      </c>
      <c r="O197" s="4" t="n">
        <v>18.98</v>
      </c>
      <c r="P197" s="3" t="n">
        <v>138.052653306689</v>
      </c>
      <c r="Q197" s="4" t="n">
        <f aca="false">(P197-P$354)/P$355</f>
        <v>-0.894026662220395</v>
      </c>
      <c r="R197" s="4" t="n">
        <v>0.16</v>
      </c>
      <c r="S197" s="13" t="n">
        <f aca="false">P197/200000</f>
        <v>0.000690263266533444</v>
      </c>
      <c r="W197" s="4" t="n">
        <f aca="false">$X$2*($X$3*$G197+$X$4*$B197^$X$5*$N197^$X$6)*$S197^$X$7</f>
        <v>0.216083828065326</v>
      </c>
      <c r="X197" s="4" t="n">
        <f aca="false">W197/$R197</f>
        <v>1.35052392540829</v>
      </c>
      <c r="Z197" s="4" t="n">
        <f aca="false">$AA$2*$B197^$AA$3*$S197^$AA$4*($AA$5*$N197^$AA$6+$AA$7)</f>
        <v>0.213592124524448</v>
      </c>
      <c r="AA197" s="4" t="n">
        <f aca="false">Z197/$R197</f>
        <v>1.3349507782778</v>
      </c>
      <c r="AC197" s="4" t="n">
        <f aca="false">$AD$2*($AD$3+$AD$4*$F197/($N197*'Sem TS MC2020'!P189))*($AD$5*$G197+$AD$6*$B197/$N197)*'Sem TS MC2020'!R189*($J197-$M197)/($J197-$M197-$H197)</f>
        <v>0.22104140045309</v>
      </c>
      <c r="AD197" s="4" t="n">
        <f aca="false">AC197/$R197</f>
        <v>1.38150875283181</v>
      </c>
      <c r="AE197" s="24" t="n">
        <f aca="false">AC197-$R197</f>
        <v>0.0610414004530898</v>
      </c>
      <c r="AF197" s="25" t="n">
        <f aca="false">1/AD197</f>
        <v>0.723846300611707</v>
      </c>
      <c r="AG197" s="25" t="n">
        <f aca="false">AC197*(14.068*'Sem TS MC2020'!$P189^-0.457)/$R197</f>
        <v>1.63566597759039</v>
      </c>
      <c r="AH197" s="25"/>
      <c r="AP197" s="4" t="n">
        <f aca="false">$AQ$2*($AQ$3+$AQ$4*$F197/($N197*'Sem TS MC2020'!P189))*($AQ$5*$G197+$AQ$6*$B197/$N197)*('Sem TS MC2020'!P189^$AQ$7/200000)*($J197-$M197)/($J197-$M197-$H197)+('Sem TS MC2020'!P189-$C197/$AQ$8)*($AQ$5*$G197+$AQ$6*$B197/$N197)/200000</f>
        <v>0.232916789302326</v>
      </c>
      <c r="AQ197" s="4" t="n">
        <f aca="false">AP197/$R197</f>
        <v>1.45572993313954</v>
      </c>
      <c r="AR197" s="24" t="n">
        <f aca="false">AP197-$R197</f>
        <v>0.0729167893023258</v>
      </c>
    </row>
    <row r="198" customFormat="false" ht="14.25" hidden="false" customHeight="false" outlineLevel="0" collapsed="false">
      <c r="B198" s="2" t="n">
        <v>20</v>
      </c>
      <c r="C198" s="3" t="n">
        <v>598</v>
      </c>
      <c r="D198" s="3" t="n">
        <v>1</v>
      </c>
      <c r="E198" s="2" t="n">
        <v>40</v>
      </c>
      <c r="F198" s="4" t="n">
        <v>2.8</v>
      </c>
      <c r="G198" s="2" t="n">
        <v>40</v>
      </c>
      <c r="H198" s="2" t="n">
        <v>50</v>
      </c>
      <c r="I198" s="1" t="n">
        <v>100</v>
      </c>
      <c r="J198" s="2" t="n">
        <v>350</v>
      </c>
      <c r="K198" s="3" t="n">
        <v>315</v>
      </c>
      <c r="L198" s="4" t="n">
        <v>15000</v>
      </c>
      <c r="M198" s="3" t="n">
        <v>96.3869213691258</v>
      </c>
      <c r="N198" s="12" t="n">
        <v>0.021</v>
      </c>
      <c r="O198" s="4" t="n">
        <v>21.93</v>
      </c>
      <c r="P198" s="3" t="n">
        <v>183.385209492254</v>
      </c>
      <c r="Q198" s="4" t="n">
        <f aca="false">(P198-P$354)/P$355</f>
        <v>-0.513970632385325</v>
      </c>
      <c r="R198" s="4" t="n">
        <v>0.2</v>
      </c>
      <c r="S198" s="13" t="n">
        <f aca="false">P198/200000</f>
        <v>0.000916926047461268</v>
      </c>
      <c r="W198" s="4" t="n">
        <f aca="false">$X$2*($X$3*$G198+$X$4*$B198^$X$5*$N198^$X$6)*$S198^$X$7</f>
        <v>0.257460391915019</v>
      </c>
      <c r="X198" s="4" t="n">
        <f aca="false">W198/$R198</f>
        <v>1.28730195957509</v>
      </c>
      <c r="Z198" s="4" t="n">
        <f aca="false">$AA$2*$B198^$AA$3*$S198^$AA$4*($AA$5*$N198^$AA$6+$AA$7)</f>
        <v>0.255287712299933</v>
      </c>
      <c r="AA198" s="4" t="n">
        <f aca="false">Z198/$R198</f>
        <v>1.27643856149967</v>
      </c>
      <c r="AC198" s="4" t="n">
        <f aca="false">$AD$2*($AD$3+$AD$4*$F198/($N198*'Sem TS MC2020'!P190))*($AD$5*$G198+$AD$6*$B198/$N198)*'Sem TS MC2020'!R190*($J198-$M198)/($J198-$M198-$H198)</f>
        <v>0.271749943542551</v>
      </c>
      <c r="AD198" s="4" t="n">
        <f aca="false">AC198/$R198</f>
        <v>1.35874971771275</v>
      </c>
      <c r="AE198" s="24" t="n">
        <f aca="false">AC198-$R198</f>
        <v>0.0717499435425509</v>
      </c>
      <c r="AF198" s="25" t="n">
        <f aca="false">1/AD198</f>
        <v>0.735970714079224</v>
      </c>
      <c r="AG198" s="25" t="n">
        <f aca="false">AC198*(14.068*'Sem TS MC2020'!$P190^-0.457)/$R198</f>
        <v>1.50593823090835</v>
      </c>
      <c r="AH198" s="25"/>
      <c r="AP198" s="4" t="n">
        <f aca="false">$AQ$2*($AQ$3+$AQ$4*$F198/($N198*'Sem TS MC2020'!P190))*($AQ$5*$G198+$AQ$6*$B198/$N198)*('Sem TS MC2020'!P190^$AQ$7/200000)*($J198-$M198)/($J198-$M198-$H198)+('Sem TS MC2020'!P190-$C198/$AQ$8)*($AQ$5*$G198+$AQ$6*$B198/$N198)/200000</f>
        <v>0.284163544929392</v>
      </c>
      <c r="AQ198" s="4" t="n">
        <f aca="false">AP198/$R198</f>
        <v>1.42081772464696</v>
      </c>
      <c r="AR198" s="24" t="n">
        <f aca="false">AP198-$R198</f>
        <v>0.0841635449293921</v>
      </c>
    </row>
    <row r="199" customFormat="false" ht="14.25" hidden="false" customHeight="false" outlineLevel="0" collapsed="false">
      <c r="B199" s="2" t="n">
        <v>20</v>
      </c>
      <c r="C199" s="3" t="n">
        <v>598</v>
      </c>
      <c r="D199" s="3" t="n">
        <v>1</v>
      </c>
      <c r="E199" s="2" t="n">
        <v>40</v>
      </c>
      <c r="F199" s="4" t="n">
        <v>2.8</v>
      </c>
      <c r="G199" s="2" t="n">
        <v>40</v>
      </c>
      <c r="H199" s="2" t="n">
        <v>50</v>
      </c>
      <c r="I199" s="1" t="n">
        <v>100</v>
      </c>
      <c r="J199" s="2" t="n">
        <v>350</v>
      </c>
      <c r="K199" s="3" t="n">
        <v>315</v>
      </c>
      <c r="L199" s="4" t="n">
        <v>15000</v>
      </c>
      <c r="M199" s="3" t="n">
        <v>96.3869213691258</v>
      </c>
      <c r="N199" s="12" t="n">
        <v>0.021</v>
      </c>
      <c r="O199" s="4" t="n">
        <v>24.87</v>
      </c>
      <c r="P199" s="3" t="n">
        <v>228.564095995833</v>
      </c>
      <c r="Q199" s="4" t="n">
        <f aca="false">(P199-P$354)/P$355</f>
        <v>-0.135202928075118</v>
      </c>
      <c r="R199" s="4" t="n">
        <v>0.23</v>
      </c>
      <c r="S199" s="13" t="n">
        <f aca="false">P199/200000</f>
        <v>0.00114282047997917</v>
      </c>
      <c r="W199" s="4" t="n">
        <f aca="false">$X$2*($X$3*$G199+$X$4*$B199^$X$5*$N199^$X$6)*$S199^$X$7</f>
        <v>0.294932472533676</v>
      </c>
      <c r="X199" s="4" t="n">
        <f aca="false">W199/$R199</f>
        <v>1.2823150979725</v>
      </c>
      <c r="Z199" s="4" t="n">
        <f aca="false">$AA$2*$B199^$AA$3*$S199^$AA$4*($AA$5*$N199^$AA$6+$AA$7)</f>
        <v>0.29315287514101</v>
      </c>
      <c r="AA199" s="4" t="n">
        <f aca="false">Z199/$R199</f>
        <v>1.27457771800439</v>
      </c>
      <c r="AC199" s="4" t="n">
        <f aca="false">$AD$2*($AD$3+$AD$4*$F199/($N199*'Sem TS MC2020'!P191))*($AD$5*$G199+$AD$6*$B199/$N199)*'Sem TS MC2020'!R191*($J199-$M199)/($J199-$M199-$H199)</f>
        <v>0.322286593265607</v>
      </c>
      <c r="AD199" s="4" t="n">
        <f aca="false">AC199/$R199</f>
        <v>1.40124605767655</v>
      </c>
      <c r="AE199" s="24" t="n">
        <f aca="false">AC199-$R199</f>
        <v>0.0922865932656072</v>
      </c>
      <c r="AF199" s="25" t="n">
        <f aca="false">1/AD199</f>
        <v>0.713650535908111</v>
      </c>
      <c r="AG199" s="25" t="n">
        <f aca="false">AC199*(14.068*'Sem TS MC2020'!$P191^-0.457)/$R199</f>
        <v>1.46626651402029</v>
      </c>
      <c r="AH199" s="25"/>
      <c r="AP199" s="4" t="n">
        <f aca="false">$AQ$2*($AQ$3+$AQ$4*$F199/($N199*'Sem TS MC2020'!P191))*($AQ$5*$G199+$AQ$6*$B199/$N199)*('Sem TS MC2020'!P191^$AQ$7/200000)*($J199-$M199)/($J199-$M199-$H199)+('Sem TS MC2020'!P191-$C199/$AQ$8)*($AQ$5*$G199+$AQ$6*$B199/$N199)/200000</f>
        <v>0.333721016040442</v>
      </c>
      <c r="AQ199" s="4" t="n">
        <f aca="false">AP199/$R199</f>
        <v>1.45096093930627</v>
      </c>
      <c r="AR199" s="24" t="n">
        <f aca="false">AP199-$R199</f>
        <v>0.103721016040442</v>
      </c>
    </row>
    <row r="200" customFormat="false" ht="14.25" hidden="false" customHeight="false" outlineLevel="0" collapsed="false">
      <c r="A200" s="1" t="s">
        <v>62</v>
      </c>
      <c r="B200" s="2" t="n">
        <v>20</v>
      </c>
      <c r="C200" s="3" t="n">
        <v>598</v>
      </c>
      <c r="D200" s="3" t="n">
        <v>1</v>
      </c>
      <c r="E200" s="2" t="n">
        <v>40</v>
      </c>
      <c r="F200" s="4" t="n">
        <v>2.8</v>
      </c>
      <c r="G200" s="2" t="n">
        <v>40</v>
      </c>
      <c r="H200" s="2" t="n">
        <v>50</v>
      </c>
      <c r="I200" s="1" t="n">
        <v>100</v>
      </c>
      <c r="J200" s="2" t="n">
        <v>350</v>
      </c>
      <c r="K200" s="3" t="n">
        <v>315</v>
      </c>
      <c r="L200" s="4" t="n">
        <v>15000</v>
      </c>
      <c r="M200" s="3" t="n">
        <v>96.3869213691258</v>
      </c>
      <c r="N200" s="12" t="n">
        <v>0.021</v>
      </c>
      <c r="O200" s="4" t="n">
        <v>18.98</v>
      </c>
      <c r="P200" s="3" t="n">
        <v>152.450291925162</v>
      </c>
      <c r="Q200" s="4" t="n">
        <f aca="false">(P200-P$354)/P$355</f>
        <v>-0.773320709749098</v>
      </c>
      <c r="R200" s="4" t="n">
        <v>0.14</v>
      </c>
      <c r="S200" s="13" t="n">
        <f aca="false">P200/200000</f>
        <v>0.000762251459625812</v>
      </c>
      <c r="W200" s="4" t="n">
        <f aca="false">$X$2*($X$3*$G200+$X$4*$B200^$X$5*$N200^$X$6)*$S200^$X$7</f>
        <v>0.229723162289864</v>
      </c>
      <c r="X200" s="4" t="n">
        <f aca="false">W200/$R200</f>
        <v>1.64087973064188</v>
      </c>
      <c r="Z200" s="4" t="n">
        <f aca="false">$AA$2*$B200^$AA$3*$S200^$AA$4*($AA$5*$N200^$AA$6+$AA$7)</f>
        <v>0.227322108166726</v>
      </c>
      <c r="AA200" s="4" t="n">
        <f aca="false">Z200/$R200</f>
        <v>1.62372934404804</v>
      </c>
      <c r="AC200" s="4" t="n">
        <f aca="false">$AD$2*($AD$3+$AD$4*$F200/($N200*'Sem TS MC2020'!P192))*($AD$5*$G200+$AD$6*$B200/$N200)*'Sem TS MC2020'!R192*($J200-$M200)/($J200-$M200-$H200)</f>
        <v>0.22104140045309</v>
      </c>
      <c r="AD200" s="4" t="n">
        <f aca="false">AC200/$R200</f>
        <v>1.5788671460935</v>
      </c>
      <c r="AE200" s="24" t="n">
        <f aca="false">AC200-$R200</f>
        <v>0.0810414004530898</v>
      </c>
      <c r="AF200" s="25" t="n">
        <f aca="false">1/AD200</f>
        <v>0.633365513035244</v>
      </c>
      <c r="AG200" s="25" t="n">
        <f aca="false">AC200*(14.068*'Sem TS MC2020'!$P192^-0.457)/$R200</f>
        <v>1.86933254581759</v>
      </c>
      <c r="AH200" s="25"/>
      <c r="AP200" s="4" t="n">
        <f aca="false">$AQ$2*($AQ$3+$AQ$4*$F200/($N200*'Sem TS MC2020'!P192))*($AQ$5*$G200+$AQ$6*$B200/$N200)*('Sem TS MC2020'!P192^$AQ$7/200000)*($J200-$M200)/($J200-$M200-$H200)+('Sem TS MC2020'!P192-$C200/$AQ$8)*($AQ$5*$G200+$AQ$6*$B200/$N200)/200000</f>
        <v>0.232916789302326</v>
      </c>
      <c r="AQ200" s="4" t="n">
        <f aca="false">AP200/$R200</f>
        <v>1.66369135215947</v>
      </c>
      <c r="AR200" s="24" t="n">
        <f aca="false">AP200-$R200</f>
        <v>0.0929167893023258</v>
      </c>
    </row>
    <row r="201" customFormat="false" ht="14.25" hidden="false" customHeight="false" outlineLevel="0" collapsed="false">
      <c r="B201" s="2" t="n">
        <v>20</v>
      </c>
      <c r="C201" s="3" t="n">
        <v>598</v>
      </c>
      <c r="D201" s="3" t="n">
        <v>1</v>
      </c>
      <c r="E201" s="2" t="n">
        <v>40</v>
      </c>
      <c r="F201" s="4" t="n">
        <v>2.8</v>
      </c>
      <c r="G201" s="2" t="n">
        <v>40</v>
      </c>
      <c r="H201" s="2" t="n">
        <v>50</v>
      </c>
      <c r="I201" s="1" t="n">
        <v>100</v>
      </c>
      <c r="J201" s="2" t="n">
        <v>350</v>
      </c>
      <c r="K201" s="3" t="n">
        <v>315</v>
      </c>
      <c r="L201" s="4" t="n">
        <v>15000</v>
      </c>
      <c r="M201" s="3" t="n">
        <v>96.3869213691258</v>
      </c>
      <c r="N201" s="12" t="n">
        <v>0.021</v>
      </c>
      <c r="O201" s="4" t="n">
        <v>21.89</v>
      </c>
      <c r="P201" s="3" t="n">
        <v>195.554342766269</v>
      </c>
      <c r="Q201" s="4" t="n">
        <f aca="false">(P201-P$354)/P$355</f>
        <v>-0.411947872854091</v>
      </c>
      <c r="R201" s="4" t="n">
        <v>0.17</v>
      </c>
      <c r="S201" s="13" t="n">
        <f aca="false">P201/200000</f>
        <v>0.000977771713831343</v>
      </c>
      <c r="W201" s="4" t="n">
        <f aca="false">$X$2*($X$3*$G201+$X$4*$B201^$X$5*$N201^$X$6)*$S201^$X$7</f>
        <v>0.26787160217618</v>
      </c>
      <c r="X201" s="4" t="n">
        <f aca="false">W201/$R201</f>
        <v>1.57571530691871</v>
      </c>
      <c r="Z201" s="4" t="n">
        <f aca="false">$AA$2*$B201^$AA$3*$S201^$AA$4*($AA$5*$N201^$AA$6+$AA$7)</f>
        <v>0.265798848727463</v>
      </c>
      <c r="AA201" s="4" t="n">
        <f aca="false">Z201/$R201</f>
        <v>1.56352263957331</v>
      </c>
      <c r="AC201" s="4" t="n">
        <f aca="false">$AD$2*($AD$3+$AD$4*$F201/($N201*'Sem TS MC2020'!P193))*($AD$5*$G201+$AD$6*$B201/$N201)*'Sem TS MC2020'!R193*($J201-$M201)/($J201-$M201-$H201)</f>
        <v>0.271062370076931</v>
      </c>
      <c r="AD201" s="4" t="n">
        <f aca="false">AC201/$R201</f>
        <v>1.5944845298643</v>
      </c>
      <c r="AE201" s="24" t="n">
        <f aca="false">AC201-$R201</f>
        <v>0.101062370076931</v>
      </c>
      <c r="AF201" s="25" t="n">
        <f aca="false">1/AD201</f>
        <v>0.62716193307006</v>
      </c>
      <c r="AG201" s="25" t="n">
        <f aca="false">AC201*(14.068*'Sem TS MC2020'!$P193^-0.457)/$R201</f>
        <v>1.76868439260115</v>
      </c>
      <c r="AH201" s="25"/>
      <c r="AP201" s="4" t="n">
        <f aca="false">$AQ$2*($AQ$3+$AQ$4*$F201/($N201*'Sem TS MC2020'!P193))*($AQ$5*$G201+$AQ$6*$B201/$N201)*('Sem TS MC2020'!P193^$AQ$7/200000)*($J201-$M201)/($J201-$M201-$H201)+('Sem TS MC2020'!P193-$C201/$AQ$8)*($AQ$5*$G201+$AQ$6*$B201/$N201)/200000</f>
        <v>0.283479542523006</v>
      </c>
      <c r="AQ201" s="4" t="n">
        <f aca="false">AP201/$R201</f>
        <v>1.66752672072356</v>
      </c>
      <c r="AR201" s="24" t="n">
        <f aca="false">AP201-$R201</f>
        <v>0.113479542523006</v>
      </c>
    </row>
    <row r="202" customFormat="false" ht="14.25" hidden="false" customHeight="false" outlineLevel="0" collapsed="false">
      <c r="B202" s="2" t="n">
        <v>20</v>
      </c>
      <c r="C202" s="3" t="n">
        <v>598</v>
      </c>
      <c r="D202" s="3" t="n">
        <v>1</v>
      </c>
      <c r="E202" s="2" t="n">
        <v>40</v>
      </c>
      <c r="F202" s="4" t="n">
        <v>2.8</v>
      </c>
      <c r="G202" s="2" t="n">
        <v>40</v>
      </c>
      <c r="H202" s="2" t="n">
        <v>50</v>
      </c>
      <c r="I202" s="1" t="n">
        <v>100</v>
      </c>
      <c r="J202" s="2" t="n">
        <v>350</v>
      </c>
      <c r="K202" s="3" t="n">
        <v>315</v>
      </c>
      <c r="L202" s="4" t="n">
        <v>15000</v>
      </c>
      <c r="M202" s="3" t="n">
        <v>96.3869213691258</v>
      </c>
      <c r="N202" s="12" t="n">
        <v>0.021</v>
      </c>
      <c r="O202" s="4" t="n">
        <v>24.82</v>
      </c>
      <c r="P202" s="3" t="n">
        <v>237.919989367084</v>
      </c>
      <c r="Q202" s="4" t="n">
        <f aca="false">(P202-P$354)/P$355</f>
        <v>-0.0567656196718009</v>
      </c>
      <c r="R202" s="4" t="n">
        <v>0.21</v>
      </c>
      <c r="S202" s="13" t="n">
        <f aca="false">P202/200000</f>
        <v>0.00118959994683542</v>
      </c>
      <c r="W202" s="4" t="n">
        <f aca="false">$X$2*($X$3*$G202+$X$4*$B202^$X$5*$N202^$X$6)*$S202^$X$7</f>
        <v>0.302323936826997</v>
      </c>
      <c r="X202" s="4" t="n">
        <f aca="false">W202/$R202</f>
        <v>1.43963779441427</v>
      </c>
      <c r="Z202" s="4" t="n">
        <f aca="false">$AA$2*$B202^$AA$3*$S202^$AA$4*($AA$5*$N202^$AA$6+$AA$7)</f>
        <v>0.300632378372085</v>
      </c>
      <c r="AA202" s="4" t="n">
        <f aca="false">Z202/$R202</f>
        <v>1.43158275415278</v>
      </c>
      <c r="AC202" s="4" t="n">
        <f aca="false">$AD$2*($AD$3+$AD$4*$F202/($N202*'Sem TS MC2020'!P194))*($AD$5*$G202+$AD$6*$B202/$N202)*'Sem TS MC2020'!R194*($J202-$M202)/($J202-$M202-$H202)</f>
        <v>0.321427126433582</v>
      </c>
      <c r="AD202" s="4" t="n">
        <f aca="false">AC202/$R202</f>
        <v>1.53060536396944</v>
      </c>
      <c r="AE202" s="24" t="n">
        <f aca="false">AC202-$R202</f>
        <v>0.111427126433582</v>
      </c>
      <c r="AF202" s="25" t="n">
        <f aca="false">1/AD202</f>
        <v>0.653336270432648</v>
      </c>
      <c r="AG202" s="25" t="n">
        <f aca="false">AC202*(14.068*'Sem TS MC2020'!$P194^-0.457)/$R202</f>
        <v>1.60310203488022</v>
      </c>
      <c r="AH202" s="25"/>
      <c r="AP202" s="4" t="n">
        <f aca="false">$AQ$2*($AQ$3+$AQ$4*$F202/($N202*'Sem TS MC2020'!P194))*($AQ$5*$G202+$AQ$6*$B202/$N202)*('Sem TS MC2020'!P194^$AQ$7/200000)*($J202-$M202)/($J202-$M202-$H202)+('Sem TS MC2020'!P194-$C202/$AQ$8)*($AQ$5*$G202+$AQ$6*$B202/$N202)/200000</f>
        <v>0.332889322980335</v>
      </c>
      <c r="AQ202" s="4" t="n">
        <f aca="false">AP202/$R202</f>
        <v>1.58518725228731</v>
      </c>
      <c r="AR202" s="24" t="n">
        <f aca="false">AP202-$R202</f>
        <v>0.122889322980335</v>
      </c>
    </row>
    <row r="203" customFormat="false" ht="14.25" hidden="false" customHeight="false" outlineLevel="0" collapsed="false">
      <c r="A203" s="1" t="s">
        <v>63</v>
      </c>
      <c r="B203" s="2" t="n">
        <v>20</v>
      </c>
      <c r="C203" s="3" t="n">
        <v>598</v>
      </c>
      <c r="D203" s="3" t="n">
        <v>1</v>
      </c>
      <c r="E203" s="2" t="n">
        <v>40</v>
      </c>
      <c r="F203" s="4" t="n">
        <v>2.8</v>
      </c>
      <c r="G203" s="2" t="n">
        <v>40</v>
      </c>
      <c r="H203" s="2" t="n">
        <v>50</v>
      </c>
      <c r="I203" s="1" t="n">
        <v>100</v>
      </c>
      <c r="J203" s="2" t="n">
        <v>350</v>
      </c>
      <c r="K203" s="3" t="n">
        <v>315</v>
      </c>
      <c r="L203" s="4" t="n">
        <v>15000</v>
      </c>
      <c r="M203" s="3" t="n">
        <v>96.3869213691258</v>
      </c>
      <c r="N203" s="12" t="n">
        <v>0.021</v>
      </c>
      <c r="O203" s="4" t="n">
        <v>13.02</v>
      </c>
      <c r="P203" s="3" t="n">
        <v>62.1356715374158</v>
      </c>
      <c r="Q203" s="4" t="n">
        <f aca="false">(P203-P$354)/P$355</f>
        <v>-1.5304943383467</v>
      </c>
      <c r="R203" s="4" t="n">
        <v>0.21</v>
      </c>
      <c r="S203" s="13" t="n">
        <f aca="false">P203/200000</f>
        <v>0.000310678357687079</v>
      </c>
      <c r="W203" s="4" t="n">
        <f aca="false">$X$2*($X$3*$G203+$X$4*$B203^$X$5*$N203^$X$6)*$S203^$X$7</f>
        <v>0.132040160676693</v>
      </c>
      <c r="X203" s="4" t="n">
        <f aca="false">W203/$R203</f>
        <v>0.628762669889015</v>
      </c>
      <c r="Z203" s="4" t="n">
        <f aca="false">$AA$2*$B203^$AA$3*$S203^$AA$4*($AA$5*$N203^$AA$6+$AA$7)</f>
        <v>0.129376462813933</v>
      </c>
      <c r="AA203" s="4" t="n">
        <f aca="false">Z203/$R203</f>
        <v>0.616078394352061</v>
      </c>
      <c r="AC203" s="4" t="n">
        <f aca="false">$AD$2*($AD$3+$AD$4*$F203/($N203*'Sem TS MC2020'!P195))*($AD$5*$G203+$AD$6*$B203/$N203)*'Sem TS MC2020'!R195*($J203-$M203)/($J203-$M203-$H203)</f>
        <v>0.118592954075738</v>
      </c>
      <c r="AD203" s="4" t="n">
        <f aca="false">AC203/$R203</f>
        <v>0.564728352741608</v>
      </c>
      <c r="AE203" s="24" t="n">
        <f aca="false">AC203-$R203</f>
        <v>-0.0914070459242623</v>
      </c>
      <c r="AF203" s="25" t="n">
        <f aca="false">1/AD203</f>
        <v>1.77076287235316</v>
      </c>
      <c r="AG203" s="25" t="n">
        <f aca="false">AC203*(14.068*'Sem TS MC2020'!$P195^-0.457)/$R203</f>
        <v>0.794300286590872</v>
      </c>
      <c r="AH203" s="25"/>
      <c r="AP203" s="4" t="n">
        <f aca="false">$AQ$2*($AQ$3+$AQ$4*$F203/($N203*'Sem TS MC2020'!P195))*($AQ$5*$G203+$AQ$6*$B203/$N203)*('Sem TS MC2020'!P195^$AQ$7/200000)*($J203-$M203)/($J203-$M203-$H203)+('Sem TS MC2020'!P195-$C203/$AQ$8)*($AQ$5*$G203+$AQ$6*$B203/$N203)/200000</f>
        <v>0.123022979698413</v>
      </c>
      <c r="AQ203" s="4" t="n">
        <f aca="false">AP203/$R203</f>
        <v>0.585823712849585</v>
      </c>
      <c r="AR203" s="24" t="n">
        <f aca="false">AP203-$R203</f>
        <v>-0.0869770203015871</v>
      </c>
    </row>
    <row r="204" customFormat="false" ht="14.25" hidden="false" customHeight="false" outlineLevel="0" collapsed="false">
      <c r="B204" s="2" t="n">
        <v>20</v>
      </c>
      <c r="C204" s="3" t="n">
        <v>598</v>
      </c>
      <c r="D204" s="3" t="n">
        <v>1</v>
      </c>
      <c r="E204" s="2" t="n">
        <v>40</v>
      </c>
      <c r="F204" s="4" t="n">
        <v>2.8</v>
      </c>
      <c r="G204" s="2" t="n">
        <v>40</v>
      </c>
      <c r="H204" s="2" t="n">
        <v>50</v>
      </c>
      <c r="I204" s="1" t="n">
        <v>100</v>
      </c>
      <c r="J204" s="2" t="n">
        <v>350</v>
      </c>
      <c r="K204" s="3" t="n">
        <v>315</v>
      </c>
      <c r="L204" s="4" t="n">
        <v>15000</v>
      </c>
      <c r="M204" s="3" t="n">
        <v>96.3869213691258</v>
      </c>
      <c r="N204" s="12" t="n">
        <v>0.021</v>
      </c>
      <c r="O204" s="4" t="n">
        <v>16.06</v>
      </c>
      <c r="P204" s="3" t="n">
        <v>98.1634338054311</v>
      </c>
      <c r="Q204" s="4" t="n">
        <f aca="false">(P204-P$354)/P$355</f>
        <v>-1.22844721275831</v>
      </c>
      <c r="R204" s="4" t="n">
        <v>0.25</v>
      </c>
      <c r="S204" s="13" t="n">
        <f aca="false">P204/200000</f>
        <v>0.000490817169027155</v>
      </c>
      <c r="W204" s="4" t="n">
        <f aca="false">$X$2*($X$3*$G204+$X$4*$B204^$X$5*$N204^$X$6)*$S204^$X$7</f>
        <v>0.175084475735561</v>
      </c>
      <c r="X204" s="4" t="n">
        <f aca="false">W204/$R204</f>
        <v>0.700337902942242</v>
      </c>
      <c r="Z204" s="4" t="n">
        <f aca="false">$AA$2*$B204^$AA$3*$S204^$AA$4*($AA$5*$N204^$AA$6+$AA$7)</f>
        <v>0.172417588021247</v>
      </c>
      <c r="AA204" s="4" t="n">
        <f aca="false">Z204/$R204</f>
        <v>0.689670352084987</v>
      </c>
      <c r="AC204" s="4" t="n">
        <f aca="false">$AD$2*($AD$3+$AD$4*$F204/($N204*'Sem TS MC2020'!P196))*($AD$5*$G204+$AD$6*$B204/$N204)*'Sem TS MC2020'!R196*($J204-$M204)/($J204-$M204-$H204)</f>
        <v>0.170848537462844</v>
      </c>
      <c r="AD204" s="4" t="n">
        <f aca="false">AC204/$R204</f>
        <v>0.683394149851374</v>
      </c>
      <c r="AE204" s="24" t="n">
        <f aca="false">AC204-$R204</f>
        <v>-0.0791514625371565</v>
      </c>
      <c r="AF204" s="25" t="n">
        <f aca="false">1/AD204</f>
        <v>1.46328440215282</v>
      </c>
      <c r="AG204" s="25" t="n">
        <f aca="false">AC204*(14.068*'Sem TS MC2020'!$P196^-0.457)/$R204</f>
        <v>0.873308909984425</v>
      </c>
      <c r="AH204" s="25"/>
      <c r="AP204" s="4" t="n">
        <f aca="false">$AQ$2*($AQ$3+$AQ$4*$F204/($N204*'Sem TS MC2020'!P196))*($AQ$5*$G204+$AQ$6*$B204/$N204)*('Sem TS MC2020'!P196^$AQ$7/200000)*($J204-$M204)/($J204-$M204-$H204)+('Sem TS MC2020'!P196-$C204/$AQ$8)*($AQ$5*$G204+$AQ$6*$B204/$N204)/200000</f>
        <v>0.180329761297329</v>
      </c>
      <c r="AQ204" s="4" t="n">
        <f aca="false">AP204/$R204</f>
        <v>0.721319045189317</v>
      </c>
      <c r="AR204" s="24" t="n">
        <f aca="false">AP204-$R204</f>
        <v>-0.0696702387026708</v>
      </c>
    </row>
    <row r="205" customFormat="false" ht="14.25" hidden="false" customHeight="false" outlineLevel="0" collapsed="false">
      <c r="B205" s="2" t="n">
        <v>20</v>
      </c>
      <c r="C205" s="3" t="n">
        <v>598</v>
      </c>
      <c r="D205" s="3" t="n">
        <v>1</v>
      </c>
      <c r="E205" s="2" t="n">
        <v>40</v>
      </c>
      <c r="F205" s="4" t="n">
        <v>2.8</v>
      </c>
      <c r="G205" s="2" t="n">
        <v>40</v>
      </c>
      <c r="H205" s="2" t="n">
        <v>50</v>
      </c>
      <c r="I205" s="1" t="n">
        <v>100</v>
      </c>
      <c r="J205" s="2" t="n">
        <v>350</v>
      </c>
      <c r="K205" s="3" t="n">
        <v>315</v>
      </c>
      <c r="L205" s="4" t="n">
        <v>15000</v>
      </c>
      <c r="M205" s="3" t="n">
        <v>96.3869213691258</v>
      </c>
      <c r="N205" s="12" t="n">
        <v>0.021</v>
      </c>
      <c r="O205" s="4" t="n">
        <v>18.93</v>
      </c>
      <c r="P205" s="3" t="n">
        <v>137.284304896764</v>
      </c>
      <c r="Q205" s="4" t="n">
        <f aca="false">(P205-P$354)/P$355</f>
        <v>-0.900468289844718</v>
      </c>
      <c r="R205" s="4" t="n">
        <v>0.29</v>
      </c>
      <c r="S205" s="13" t="n">
        <f aca="false">P205/200000</f>
        <v>0.00068642152448382</v>
      </c>
      <c r="W205" s="4" t="n">
        <f aca="false">$X$2*($X$3*$G205+$X$4*$B205^$X$5*$N205^$X$6)*$S205^$X$7</f>
        <v>0.215341006181485</v>
      </c>
      <c r="X205" s="4" t="n">
        <f aca="false">W205/$R205</f>
        <v>0.742555193729258</v>
      </c>
      <c r="Z205" s="4" t="n">
        <f aca="false">$AA$2*$B205^$AA$3*$S205^$AA$4*($AA$5*$N205^$AA$6+$AA$7)</f>
        <v>0.212844800719397</v>
      </c>
      <c r="AA205" s="4" t="n">
        <f aca="false">Z205/$R205</f>
        <v>0.733947588687575</v>
      </c>
      <c r="AC205" s="4" t="n">
        <f aca="false">$AD$2*($AD$3+$AD$4*$F205/($N205*'Sem TS MC2020'!P197))*($AD$5*$G205+$AD$6*$B205/$N205)*'Sem TS MC2020'!R197*($J205-$M205)/($J205-$M205-$H205)</f>
        <v>0.220181933621065</v>
      </c>
      <c r="AD205" s="4" t="n">
        <f aca="false">AC205/$R205</f>
        <v>0.75924804696919</v>
      </c>
      <c r="AE205" s="24" t="n">
        <f aca="false">AC205-$R205</f>
        <v>-0.069818066378935</v>
      </c>
      <c r="AF205" s="25" t="n">
        <f aca="false">1/AD205</f>
        <v>1.31709262077375</v>
      </c>
      <c r="AG205" s="25" t="n">
        <f aca="false">AC205*(14.068*'Sem TS MC2020'!$P197^-0.457)/$R205</f>
        <v>0.900011791618038</v>
      </c>
      <c r="AH205" s="25"/>
      <c r="AP205" s="4" t="n">
        <f aca="false">$AQ$2*($AQ$3+$AQ$4*$F205/($N205*'Sem TS MC2020'!P197))*($AQ$5*$G205+$AQ$6*$B205/$N205)*('Sem TS MC2020'!P197^$AQ$7/200000)*($J205-$M205)/($J205-$M205-$H205)+('Sem TS MC2020'!P197-$C205/$AQ$8)*($AQ$5*$G205+$AQ$6*$B205/$N205)/200000</f>
        <v>0.232033149630332</v>
      </c>
      <c r="AQ205" s="4" t="n">
        <f aca="false">AP205/$R205</f>
        <v>0.800114309070109</v>
      </c>
      <c r="AR205" s="24" t="n">
        <f aca="false">AP205-$R205</f>
        <v>-0.0579668503696685</v>
      </c>
    </row>
    <row r="206" customFormat="false" ht="14.25" hidden="false" customHeight="false" outlineLevel="0" collapsed="false">
      <c r="B206" s="2" t="n">
        <v>20</v>
      </c>
      <c r="C206" s="3" t="n">
        <v>598</v>
      </c>
      <c r="D206" s="3" t="n">
        <v>1</v>
      </c>
      <c r="E206" s="2" t="n">
        <v>40</v>
      </c>
      <c r="F206" s="4" t="n">
        <v>2.8</v>
      </c>
      <c r="G206" s="2" t="n">
        <v>40</v>
      </c>
      <c r="H206" s="2" t="n">
        <v>50</v>
      </c>
      <c r="I206" s="1" t="n">
        <v>100</v>
      </c>
      <c r="J206" s="2" t="n">
        <v>350</v>
      </c>
      <c r="K206" s="3" t="n">
        <v>315</v>
      </c>
      <c r="L206" s="4" t="n">
        <v>15000</v>
      </c>
      <c r="M206" s="3" t="n">
        <v>96.3869213691258</v>
      </c>
      <c r="N206" s="12" t="n">
        <v>0.021</v>
      </c>
      <c r="O206" s="4" t="n">
        <v>21.81</v>
      </c>
      <c r="P206" s="3" t="n">
        <v>181.541173308434</v>
      </c>
      <c r="Q206" s="4" t="n">
        <f aca="false">(P206-P$354)/P$355</f>
        <v>-0.529430538683701</v>
      </c>
      <c r="R206" s="4" t="n">
        <v>0.33</v>
      </c>
      <c r="S206" s="13" t="n">
        <f aca="false">P206/200000</f>
        <v>0.000907705866542169</v>
      </c>
      <c r="W206" s="4" t="n">
        <f aca="false">$X$2*($X$3*$G206+$X$4*$B206^$X$5*$N206^$X$6)*$S206^$X$7</f>
        <v>0.255859949311025</v>
      </c>
      <c r="X206" s="4" t="n">
        <f aca="false">W206/$R206</f>
        <v>0.77533317973038</v>
      </c>
      <c r="Z206" s="4" t="n">
        <f aca="false">$AA$2*$B206^$AA$3*$S206^$AA$4*($AA$5*$N206^$AA$6+$AA$7)</f>
        <v>0.253672573114093</v>
      </c>
      <c r="AA206" s="4" t="n">
        <f aca="false">Z206/$R206</f>
        <v>0.768704767012404</v>
      </c>
      <c r="AC206" s="4" t="n">
        <f aca="false">$AD$2*($AD$3+$AD$4*$F206/($N206*'Sem TS MC2020'!P198))*($AD$5*$G206+$AD$6*$B206/$N206)*'Sem TS MC2020'!R198*($J206-$M206)/($J206-$M206-$H206)</f>
        <v>0.269687223145691</v>
      </c>
      <c r="AD206" s="4" t="n">
        <f aca="false">AC206/$R206</f>
        <v>0.817234009532398</v>
      </c>
      <c r="AE206" s="24" t="n">
        <f aca="false">AC206-$R206</f>
        <v>-0.0603127768543086</v>
      </c>
      <c r="AF206" s="25" t="n">
        <f aca="false">1/AD206</f>
        <v>1.22363972660924</v>
      </c>
      <c r="AG206" s="25" t="n">
        <f aca="false">AC206*(14.068*'Sem TS MC2020'!$P198^-0.457)/$R206</f>
        <v>0.908036150924693</v>
      </c>
      <c r="AH206" s="25"/>
      <c r="AP206" s="4" t="n">
        <f aca="false">$AQ$2*($AQ$3+$AQ$4*$F206/($N206*'Sem TS MC2020'!P198))*($AQ$5*$G206+$AQ$6*$B206/$N206)*('Sem TS MC2020'!P198^$AQ$7/200000)*($J206-$M206)/($J206-$M206-$H206)+('Sem TS MC2020'!P198-$C206/$AQ$8)*($AQ$5*$G206+$AQ$6*$B206/$N206)/200000</f>
        <v>0.282110699569933</v>
      </c>
      <c r="AQ206" s="4" t="n">
        <f aca="false">AP206/$R206</f>
        <v>0.854880907787675</v>
      </c>
      <c r="AR206" s="24" t="n">
        <f aca="false">AP206-$R206</f>
        <v>-0.0478893004300673</v>
      </c>
    </row>
    <row r="207" customFormat="false" ht="14.25" hidden="false" customHeight="false" outlineLevel="0" collapsed="false">
      <c r="B207" s="2" t="n">
        <v>20</v>
      </c>
      <c r="C207" s="3" t="n">
        <v>598</v>
      </c>
      <c r="D207" s="3" t="n">
        <v>1</v>
      </c>
      <c r="E207" s="2" t="n">
        <v>40</v>
      </c>
      <c r="F207" s="4" t="n">
        <v>2.8</v>
      </c>
      <c r="G207" s="2" t="n">
        <v>40</v>
      </c>
      <c r="H207" s="2" t="n">
        <v>50</v>
      </c>
      <c r="I207" s="1" t="n">
        <v>100</v>
      </c>
      <c r="J207" s="2" t="n">
        <v>350</v>
      </c>
      <c r="K207" s="3" t="n">
        <v>315</v>
      </c>
      <c r="L207" s="4" t="n">
        <v>15000</v>
      </c>
      <c r="M207" s="3" t="n">
        <v>96.3869213691258</v>
      </c>
      <c r="N207" s="12" t="n">
        <v>0.021</v>
      </c>
      <c r="O207" s="4" t="n">
        <v>25.88</v>
      </c>
      <c r="P207" s="3" t="n">
        <v>244.084733876315</v>
      </c>
      <c r="Q207" s="4" t="n">
        <f aca="false">(P207-P$354)/P$355</f>
        <v>-0.00508205006378942</v>
      </c>
      <c r="R207" s="4" t="n">
        <v>0.37</v>
      </c>
      <c r="S207" s="13" t="n">
        <f aca="false">P207/200000</f>
        <v>0.00122042366938157</v>
      </c>
      <c r="W207" s="4" t="n">
        <f aca="false">$X$2*($X$3*$G207+$X$4*$B207^$X$5*$N207^$X$6)*$S207^$X$7</f>
        <v>0.3071335152509</v>
      </c>
      <c r="X207" s="4" t="n">
        <f aca="false">W207/$R207</f>
        <v>0.83009058175919</v>
      </c>
      <c r="Z207" s="4" t="n">
        <f aca="false">$AA$2*$B207^$AA$3*$S207^$AA$4*($AA$5*$N207^$AA$6+$AA$7)</f>
        <v>0.305500999441146</v>
      </c>
      <c r="AA207" s="4" t="n">
        <f aca="false">Z207/$R207</f>
        <v>0.825678376867962</v>
      </c>
      <c r="AC207" s="4" t="n">
        <f aca="false">$AD$2*($AD$3+$AD$4*$F207/($N207*'Sem TS MC2020'!P199))*($AD$5*$G207+$AD$6*$B207/$N207)*'Sem TS MC2020'!R199*($J207-$M207)/($J207-$M207-$H207)</f>
        <v>0.339647823272507</v>
      </c>
      <c r="AD207" s="4" t="n">
        <f aca="false">AC207/$R207</f>
        <v>0.917967089925695</v>
      </c>
      <c r="AE207" s="24" t="n">
        <f aca="false">AC207-$R207</f>
        <v>-0.0303521767274927</v>
      </c>
      <c r="AF207" s="25" t="n">
        <f aca="false">1/AD207</f>
        <v>1.0893636721562</v>
      </c>
      <c r="AG207" s="25" t="n">
        <f aca="false">AC207*(14.068*'Sem TS MC2020'!$P199^-0.457)/$R207</f>
        <v>0.943245595309036</v>
      </c>
      <c r="AH207" s="25"/>
      <c r="AP207" s="4" t="n">
        <f aca="false">$AQ$2*($AQ$3+$AQ$4*$F207/($N207*'Sem TS MC2020'!P199))*($AQ$5*$G207+$AQ$6*$B207/$N207)*('Sem TS MC2020'!P199^$AQ$7/200000)*($J207-$M207)/($J207-$M207-$H207)+('Sem TS MC2020'!P199-$C207/$AQ$8)*($AQ$5*$G207+$AQ$6*$B207/$N207)/200000</f>
        <v>0.350445090369138</v>
      </c>
      <c r="AQ207" s="4" t="n">
        <f aca="false">AP207/$R207</f>
        <v>0.947148892889563</v>
      </c>
      <c r="AR207" s="24" t="n">
        <f aca="false">AP207-$R207</f>
        <v>-0.0195549096308618</v>
      </c>
    </row>
    <row r="208" customFormat="false" ht="14.25" hidden="false" customHeight="false" outlineLevel="0" collapsed="false">
      <c r="A208" s="1" t="s">
        <v>64</v>
      </c>
      <c r="B208" s="2" t="n">
        <v>20</v>
      </c>
      <c r="C208" s="3" t="n">
        <v>430</v>
      </c>
      <c r="D208" s="3" t="n">
        <v>6</v>
      </c>
      <c r="E208" s="2" t="n">
        <v>84</v>
      </c>
      <c r="F208" s="4" t="n">
        <v>3.50882128585544</v>
      </c>
      <c r="G208" s="2" t="n">
        <v>50</v>
      </c>
      <c r="H208" s="2" t="n">
        <v>64</v>
      </c>
      <c r="I208" s="1" t="n">
        <v>600</v>
      </c>
      <c r="J208" s="2" t="n">
        <v>400</v>
      </c>
      <c r="K208" s="3" t="n">
        <v>1884</v>
      </c>
      <c r="L208" s="4" t="n">
        <v>98400</v>
      </c>
      <c r="M208" s="3" t="n">
        <v>96.251010941285</v>
      </c>
      <c r="N208" s="12" t="n">
        <v>0.0191463414634146</v>
      </c>
      <c r="O208" s="4" t="n">
        <v>103</v>
      </c>
      <c r="P208" s="3" t="n">
        <v>56.9759910016755</v>
      </c>
      <c r="Q208" s="4" t="n">
        <f aca="false">(P208-P$354)/P$355</f>
        <v>-1.57375172033953</v>
      </c>
      <c r="R208" s="4" t="n">
        <v>0.15</v>
      </c>
      <c r="S208" s="13" t="n">
        <f aca="false">P208/200000</f>
        <v>0.000284879955008378</v>
      </c>
      <c r="W208" s="4" t="n">
        <f aca="false">$X$2*($X$3*$G208+$X$4*$B208^$X$5*$N208^$X$6)*$S208^$X$7</f>
        <v>0.130032864245722</v>
      </c>
      <c r="X208" s="4" t="n">
        <f aca="false">W208/$R208</f>
        <v>0.866885761638147</v>
      </c>
      <c r="Z208" s="4" t="n">
        <f aca="false">$AA$2*$B208^$AA$3*$S208^$AA$4*($AA$5*$N208^$AA$6+$AA$7)</f>
        <v>0.127589249048793</v>
      </c>
      <c r="AA208" s="4" t="n">
        <f aca="false">Z208/$R208</f>
        <v>0.850594993658618</v>
      </c>
      <c r="AC208" s="4" t="n">
        <f aca="false">$AD$2*($AD$3+$AD$4*$F208/($N208*'Sem TS MC2020'!P200))*($AD$5*$G208+$AD$6*$B208/$N208)*'Sem TS MC2020'!R200*($J208-$M208)/($J208-$M208-$H208)</f>
        <v>0.133914962387391</v>
      </c>
      <c r="AD208" s="4" t="n">
        <f aca="false">AC208/$R208</f>
        <v>0.892766415915939</v>
      </c>
      <c r="AE208" s="24" t="n">
        <f aca="false">AC208-$R208</f>
        <v>-0.0160850376126092</v>
      </c>
      <c r="AF208" s="25" t="n">
        <f aca="false">1/AD208</f>
        <v>1.12011381944071</v>
      </c>
      <c r="AG208" s="25" t="n">
        <f aca="false">AC208*(14.068*'Sem TS MC2020'!$P200^-0.457)/$R208</f>
        <v>1.17066910607815</v>
      </c>
      <c r="AH208" s="25"/>
      <c r="AP208" s="4" t="n">
        <f aca="false">$AQ$2*($AQ$3+$AQ$4*$F208/($N208*'Sem TS MC2020'!P200))*($AQ$5*$G208+$AQ$6*$B208/$N208)*('Sem TS MC2020'!P200^$AQ$7/200000)*($J208-$M208)/($J208-$M208-$H208)+('Sem TS MC2020'!P200-$C208/$AQ$8)*($AQ$5*$G208+$AQ$6*$B208/$N208)/200000</f>
        <v>0.144564407548712</v>
      </c>
      <c r="AQ208" s="4" t="n">
        <f aca="false">AP208/$R208</f>
        <v>0.963762716991412</v>
      </c>
      <c r="AR208" s="24" t="n">
        <f aca="false">AP208-$R208</f>
        <v>-0.00543559245128825</v>
      </c>
    </row>
    <row r="209" customFormat="false" ht="14.25" hidden="false" customHeight="false" outlineLevel="0" collapsed="false">
      <c r="B209" s="2" t="n">
        <v>20</v>
      </c>
      <c r="C209" s="3" t="n">
        <v>430</v>
      </c>
      <c r="D209" s="3" t="n">
        <v>6</v>
      </c>
      <c r="E209" s="2" t="n">
        <v>84</v>
      </c>
      <c r="F209" s="4" t="n">
        <v>3.50882128585544</v>
      </c>
      <c r="G209" s="2" t="n">
        <v>50</v>
      </c>
      <c r="H209" s="2" t="n">
        <v>64</v>
      </c>
      <c r="I209" s="1" t="n">
        <v>600</v>
      </c>
      <c r="J209" s="2" t="n">
        <v>400</v>
      </c>
      <c r="K209" s="3" t="n">
        <v>1884</v>
      </c>
      <c r="L209" s="4" t="n">
        <v>98400</v>
      </c>
      <c r="M209" s="3" t="n">
        <v>96.251010941285</v>
      </c>
      <c r="N209" s="12" t="n">
        <v>0.0191463414634146</v>
      </c>
      <c r="O209" s="4" t="n">
        <v>129</v>
      </c>
      <c r="P209" s="3" t="n">
        <v>112.968616956582</v>
      </c>
      <c r="Q209" s="4" t="n">
        <f aca="false">(P209-P$354)/P$355</f>
        <v>-1.10432451589616</v>
      </c>
      <c r="R209" s="4" t="n">
        <v>0.23</v>
      </c>
      <c r="S209" s="13" t="n">
        <f aca="false">P209/200000</f>
        <v>0.00056484308478291</v>
      </c>
      <c r="W209" s="4" t="n">
        <f aca="false">$X$2*($X$3*$G209+$X$4*$B209^$X$5*$N209^$X$6)*$S209^$X$7</f>
        <v>0.198365528672106</v>
      </c>
      <c r="X209" s="4" t="n">
        <f aca="false">W209/$R209</f>
        <v>0.862458820313505</v>
      </c>
      <c r="Z209" s="4" t="n">
        <f aca="false">$AA$2*$B209^$AA$3*$S209^$AA$4*($AA$5*$N209^$AA$6+$AA$7)</f>
        <v>0.196108799742053</v>
      </c>
      <c r="AA209" s="4" t="n">
        <f aca="false">Z209/$R209</f>
        <v>0.852646955400232</v>
      </c>
      <c r="AC209" s="4" t="n">
        <f aca="false">$AD$2*($AD$3+$AD$4*$F209/($N209*'Sem TS MC2020'!P201))*($AD$5*$G209+$AD$6*$B209/$N209)*'Sem TS MC2020'!R201*($J209-$M209)/($J209-$M209-$H209)</f>
        <v>0.209750572842492</v>
      </c>
      <c r="AD209" s="4" t="n">
        <f aca="false">AC209/$R209</f>
        <v>0.911959012358659</v>
      </c>
      <c r="AE209" s="24" t="n">
        <f aca="false">AC209-$R209</f>
        <v>-0.0202494271575085</v>
      </c>
      <c r="AF209" s="25" t="n">
        <f aca="false">1/AD209</f>
        <v>1.09654050943982</v>
      </c>
      <c r="AG209" s="25" t="n">
        <f aca="false">AC209*(14.068*'Sem TS MC2020'!$P201^-0.457)/$R209</f>
        <v>1.07894360815505</v>
      </c>
      <c r="AH209" s="25"/>
      <c r="AP209" s="4" t="n">
        <f aca="false">$AQ$2*($AQ$3+$AQ$4*$F209/($N209*'Sem TS MC2020'!P201))*($AQ$5*$G209+$AQ$6*$B209/$N209)*('Sem TS MC2020'!P201^$AQ$7/200000)*($J209-$M209)/($J209-$M209-$H209)+('Sem TS MC2020'!P201-$C209/$AQ$8)*($AQ$5*$G209+$AQ$6*$B209/$N209)/200000</f>
        <v>0.226092313696009</v>
      </c>
      <c r="AQ209" s="4" t="n">
        <f aca="false">AP209/$R209</f>
        <v>0.983010059547867</v>
      </c>
      <c r="AR209" s="24" t="n">
        <f aca="false">AP209-$R209</f>
        <v>-0.00390768630399055</v>
      </c>
    </row>
    <row r="210" customFormat="false" ht="14.25" hidden="false" customHeight="false" outlineLevel="0" collapsed="false">
      <c r="B210" s="2" t="n">
        <v>20</v>
      </c>
      <c r="C210" s="3" t="n">
        <v>430</v>
      </c>
      <c r="D210" s="3" t="n">
        <v>6</v>
      </c>
      <c r="E210" s="2" t="n">
        <v>84</v>
      </c>
      <c r="F210" s="4" t="n">
        <v>3.50882128585544</v>
      </c>
      <c r="G210" s="2" t="n">
        <v>50</v>
      </c>
      <c r="H210" s="2" t="n">
        <v>64</v>
      </c>
      <c r="I210" s="1" t="n">
        <v>600</v>
      </c>
      <c r="J210" s="2" t="n">
        <v>400</v>
      </c>
      <c r="K210" s="3" t="n">
        <v>1884</v>
      </c>
      <c r="L210" s="4" t="n">
        <v>98400</v>
      </c>
      <c r="M210" s="3" t="n">
        <v>96.251010941285</v>
      </c>
      <c r="N210" s="12" t="n">
        <v>0.0191463414634146</v>
      </c>
      <c r="O210" s="4" t="n">
        <v>155</v>
      </c>
      <c r="P210" s="3" t="n">
        <v>177.025770772034</v>
      </c>
      <c r="Q210" s="4" t="n">
        <f aca="false">(P210-P$354)/P$355</f>
        <v>-0.567286466200048</v>
      </c>
      <c r="R210" s="4" t="n">
        <v>0.28</v>
      </c>
      <c r="S210" s="13" t="n">
        <f aca="false">P210/200000</f>
        <v>0.000885128853860168</v>
      </c>
      <c r="W210" s="4" t="n">
        <f aca="false">$X$2*($X$3*$G210+$X$4*$B210^$X$5*$N210^$X$6)*$S210^$X$7</f>
        <v>0.261715684778905</v>
      </c>
      <c r="X210" s="4" t="n">
        <f aca="false">W210/$R210</f>
        <v>0.934698874210376</v>
      </c>
      <c r="Z210" s="4" t="n">
        <f aca="false">$AA$2*$B210^$AA$3*$S210^$AA$4*($AA$5*$N210^$AA$6+$AA$7)</f>
        <v>0.260019844383968</v>
      </c>
      <c r="AA210" s="4" t="n">
        <f aca="false">Z210/$R210</f>
        <v>0.928642301371314</v>
      </c>
      <c r="AC210" s="4" t="n">
        <f aca="false">$AD$2*($AD$3+$AD$4*$F210/($N210*'Sem TS MC2020'!P202))*($AD$5*$G210+$AD$6*$B210/$N210)*'Sem TS MC2020'!R202*($J210-$M210)/($J210-$M210-$H210)</f>
        <v>0.285586183297592</v>
      </c>
      <c r="AD210" s="4" t="n">
        <f aca="false">AC210/$R210</f>
        <v>1.01995065463426</v>
      </c>
      <c r="AE210" s="24" t="n">
        <f aca="false">AC210-$R210</f>
        <v>0.00558618329759208</v>
      </c>
      <c r="AF210" s="25" t="n">
        <f aca="false">1/AD210</f>
        <v>0.980439588382429</v>
      </c>
      <c r="AG210" s="25" t="n">
        <f aca="false">AC210*(14.068*'Sem TS MC2020'!$P202^-0.457)/$R210</f>
        <v>1.10958480192764</v>
      </c>
      <c r="AH210" s="25"/>
      <c r="AP210" s="4" t="n">
        <f aca="false">$AQ$2*($AQ$3+$AQ$4*$F210/($N210*'Sem TS MC2020'!P202))*($AQ$5*$G210+$AQ$6*$B210/$N210)*('Sem TS MC2020'!P202^$AQ$7/200000)*($J210-$M210)/($J210-$M210-$H210)+('Sem TS MC2020'!P202-$C210/$AQ$8)*($AQ$5*$G210+$AQ$6*$B210/$N210)/200000</f>
        <v>0.303507966116626</v>
      </c>
      <c r="AQ210" s="4" t="n">
        <f aca="false">AP210/$R210</f>
        <v>1.08395702184509</v>
      </c>
      <c r="AR210" s="24" t="n">
        <f aca="false">AP210-$R210</f>
        <v>0.0235079661166258</v>
      </c>
    </row>
    <row r="211" customFormat="false" ht="14.25" hidden="false" customHeight="false" outlineLevel="0" collapsed="false">
      <c r="A211" s="1" t="s">
        <v>65</v>
      </c>
      <c r="B211" s="2" t="n">
        <v>20</v>
      </c>
      <c r="C211" s="3" t="n">
        <v>430</v>
      </c>
      <c r="D211" s="3" t="n">
        <v>9</v>
      </c>
      <c r="E211" s="2" t="n">
        <v>45</v>
      </c>
      <c r="F211" s="4" t="n">
        <v>3.50882128585544</v>
      </c>
      <c r="G211" s="2" t="n">
        <v>50</v>
      </c>
      <c r="H211" s="2" t="n">
        <v>64</v>
      </c>
      <c r="I211" s="1" t="n">
        <v>600</v>
      </c>
      <c r="J211" s="2" t="n">
        <v>400</v>
      </c>
      <c r="K211" s="3" t="n">
        <v>2826</v>
      </c>
      <c r="L211" s="4" t="n">
        <v>98400</v>
      </c>
      <c r="M211" s="3" t="n">
        <v>113.550333982961</v>
      </c>
      <c r="N211" s="12" t="n">
        <v>0.028719512195122</v>
      </c>
      <c r="O211" s="4" t="n">
        <v>149</v>
      </c>
      <c r="P211" s="3" t="n">
        <v>90.5801799423233</v>
      </c>
      <c r="Q211" s="4" t="n">
        <f aca="false">(P211-P$354)/P$355</f>
        <v>-1.29202318550176</v>
      </c>
      <c r="R211" s="4" t="n">
        <v>0.18</v>
      </c>
      <c r="S211" s="13" t="n">
        <f aca="false">P211/200000</f>
        <v>0.000452900899711616</v>
      </c>
      <c r="W211" s="4" t="n">
        <f aca="false">$X$2*($X$3*$G211+$X$4*$B211^$X$5*$N211^$X$6)*$S211^$X$7</f>
        <v>0.146108922623377</v>
      </c>
      <c r="X211" s="4" t="n">
        <f aca="false">W211/$R211</f>
        <v>0.81171623679654</v>
      </c>
      <c r="Z211" s="4" t="n">
        <f aca="false">$AA$2*$B211^$AA$3*$S211^$AA$4*($AA$5*$N211^$AA$6+$AA$7)</f>
        <v>0.143686084577002</v>
      </c>
      <c r="AA211" s="4" t="n">
        <f aca="false">Z211/$R211</f>
        <v>0.798256025427789</v>
      </c>
      <c r="AC211" s="4" t="n">
        <f aca="false">$AD$2*($AD$3+$AD$4*$F211/($N211*'Sem TS MC2020'!P203))*($AD$5*$G211+$AD$6*$B211/$N211)*'Sem TS MC2020'!R203*($J211-$M211)/($J211-$M211-$H211)</f>
        <v>0.14073849187619</v>
      </c>
      <c r="AD211" s="4" t="n">
        <f aca="false">AC211/$R211</f>
        <v>0.78188051042328</v>
      </c>
      <c r="AE211" s="24" t="n">
        <f aca="false">AC211-$R211</f>
        <v>-0.0392615081238096</v>
      </c>
      <c r="AF211" s="25" t="n">
        <f aca="false">1/AD211</f>
        <v>1.27896780475912</v>
      </c>
      <c r="AG211" s="25" t="n">
        <f aca="false">AC211*(14.068*'Sem TS MC2020'!$P203^-0.457)/$R211</f>
        <v>1.0333059603613</v>
      </c>
      <c r="AH211" s="25"/>
      <c r="AP211" s="4" t="n">
        <f aca="false">$AQ$2*($AQ$3+$AQ$4*$F211/($N211*'Sem TS MC2020'!P203))*($AQ$5*$G211+$AQ$6*$B211/$N211)*('Sem TS MC2020'!P203^$AQ$7/200000)*($J211-$M211)/($J211-$M211-$H211)+('Sem TS MC2020'!P203-$C211/$AQ$8)*($AQ$5*$G211+$AQ$6*$B211/$N211)/200000</f>
        <v>0.152381885267337</v>
      </c>
      <c r="AQ211" s="4" t="n">
        <f aca="false">AP211/$R211</f>
        <v>0.846566029262986</v>
      </c>
      <c r="AR211" s="24" t="n">
        <f aca="false">AP211-$R211</f>
        <v>-0.0276181147326626</v>
      </c>
    </row>
    <row r="212" customFormat="false" ht="14.25" hidden="false" customHeight="false" outlineLevel="0" collapsed="false">
      <c r="B212" s="2" t="n">
        <v>20</v>
      </c>
      <c r="C212" s="3" t="n">
        <v>430</v>
      </c>
      <c r="D212" s="3" t="n">
        <v>9</v>
      </c>
      <c r="E212" s="2" t="n">
        <v>45</v>
      </c>
      <c r="F212" s="4" t="n">
        <v>3.50882128585544</v>
      </c>
      <c r="G212" s="2" t="n">
        <v>50</v>
      </c>
      <c r="H212" s="2" t="n">
        <v>64</v>
      </c>
      <c r="I212" s="1" t="n">
        <v>600</v>
      </c>
      <c r="J212" s="2" t="n">
        <v>400</v>
      </c>
      <c r="K212" s="3" t="n">
        <v>2826</v>
      </c>
      <c r="L212" s="4" t="n">
        <v>98400</v>
      </c>
      <c r="M212" s="3" t="n">
        <v>113.550333982961</v>
      </c>
      <c r="N212" s="12" t="n">
        <v>0.028719512195122</v>
      </c>
      <c r="O212" s="4" t="n">
        <v>186</v>
      </c>
      <c r="P212" s="3" t="n">
        <v>140.611556966765</v>
      </c>
      <c r="Q212" s="4" t="n">
        <f aca="false">(P212-P$354)/P$355</f>
        <v>-0.872573498145593</v>
      </c>
      <c r="R212" s="4" t="n">
        <v>0.26</v>
      </c>
      <c r="S212" s="13" t="n">
        <f aca="false">P212/200000</f>
        <v>0.000703057784833826</v>
      </c>
      <c r="W212" s="4" t="n">
        <f aca="false">$X$2*($X$3*$G212+$X$4*$B212^$X$5*$N212^$X$6)*$S212^$X$7</f>
        <v>0.191653270363711</v>
      </c>
      <c r="X212" s="4" t="n">
        <f aca="false">W212/$R212</f>
        <v>0.737127962937349</v>
      </c>
      <c r="Z212" s="4" t="n">
        <f aca="false">$AA$2*$B212^$AA$3*$S212^$AA$4*($AA$5*$N212^$AA$6+$AA$7)</f>
        <v>0.189389140355416</v>
      </c>
      <c r="AA212" s="4" t="n">
        <f aca="false">Z212/$R212</f>
        <v>0.728419770597754</v>
      </c>
      <c r="AC212" s="4" t="n">
        <f aca="false">$AD$2*($AD$3+$AD$4*$F212/($N212*'Sem TS MC2020'!P204))*($AD$5*$G212+$AD$6*$B212/$N212)*'Sem TS MC2020'!R204*($J212-$M212)/($J212-$M212-$H212)</f>
        <v>0.196733939682637</v>
      </c>
      <c r="AD212" s="4" t="n">
        <f aca="false">AC212/$R212</f>
        <v>0.756668998779373</v>
      </c>
      <c r="AE212" s="24" t="n">
        <f aca="false">AC212-$R212</f>
        <v>-0.063266060317363</v>
      </c>
      <c r="AF212" s="25" t="n">
        <f aca="false">1/AD212</f>
        <v>1.32158182985316</v>
      </c>
      <c r="AG212" s="25" t="n">
        <f aca="false">AC212*(14.068*'Sem TS MC2020'!$P204^-0.457)/$R212</f>
        <v>0.903593705370392</v>
      </c>
      <c r="AH212" s="25"/>
      <c r="AP212" s="4" t="n">
        <f aca="false">$AQ$2*($AQ$3+$AQ$4*$F212/($N212*'Sem TS MC2020'!P204))*($AQ$5*$G212+$AQ$6*$B212/$N212)*('Sem TS MC2020'!P204^$AQ$7/200000)*($J212-$M212)/($J212-$M212-$H212)+('Sem TS MC2020'!P204-$C212/$AQ$8)*($AQ$5*$G212+$AQ$6*$B212/$N212)/200000</f>
        <v>0.209821826235882</v>
      </c>
      <c r="AQ212" s="4" t="n">
        <f aca="false">AP212/$R212</f>
        <v>0.807007023984163</v>
      </c>
      <c r="AR212" s="24" t="n">
        <f aca="false">AP212-$R212</f>
        <v>-0.0501781737641176</v>
      </c>
    </row>
    <row r="213" customFormat="false" ht="14.25" hidden="false" customHeight="false" outlineLevel="0" collapsed="false">
      <c r="B213" s="2" t="n">
        <v>20</v>
      </c>
      <c r="C213" s="3" t="n">
        <v>430</v>
      </c>
      <c r="D213" s="3" t="n">
        <v>9</v>
      </c>
      <c r="E213" s="2" t="n">
        <v>45</v>
      </c>
      <c r="F213" s="4" t="n">
        <v>3.50882128585544</v>
      </c>
      <c r="G213" s="2" t="n">
        <v>50</v>
      </c>
      <c r="H213" s="2" t="n">
        <v>64</v>
      </c>
      <c r="I213" s="1" t="n">
        <v>600</v>
      </c>
      <c r="J213" s="2" t="n">
        <v>400</v>
      </c>
      <c r="K213" s="3" t="n">
        <v>2826</v>
      </c>
      <c r="L213" s="4" t="n">
        <v>98400</v>
      </c>
      <c r="M213" s="3" t="n">
        <v>113.550333982961</v>
      </c>
      <c r="N213" s="12" t="n">
        <v>0.028719512195122</v>
      </c>
      <c r="O213" s="4" t="n">
        <v>223</v>
      </c>
      <c r="P213" s="3" t="n">
        <v>197.181217674082</v>
      </c>
      <c r="Q213" s="4" t="n">
        <f aca="false">(P213-P$354)/P$355</f>
        <v>-0.398308588628186</v>
      </c>
      <c r="R213" s="4" t="n">
        <v>0.34</v>
      </c>
      <c r="S213" s="13" t="n">
        <f aca="false">P213/200000</f>
        <v>0.000985906088370408</v>
      </c>
      <c r="W213" s="4" t="n">
        <f aca="false">$X$2*($X$3*$G213+$X$4*$B213^$X$5*$N213^$X$6)*$S213^$X$7</f>
        <v>0.236112678347646</v>
      </c>
      <c r="X213" s="4" t="n">
        <f aca="false">W213/$R213</f>
        <v>0.694449053963664</v>
      </c>
      <c r="Z213" s="4" t="n">
        <f aca="false">$AA$2*$B213^$AA$3*$S213^$AA$4*($AA$5*$N213^$AA$6+$AA$7)</f>
        <v>0.234192744325143</v>
      </c>
      <c r="AA213" s="4" t="n">
        <f aca="false">Z213/$R213</f>
        <v>0.688802189191598</v>
      </c>
      <c r="AC213" s="4" t="n">
        <f aca="false">$AD$2*($AD$3+$AD$4*$F213/($N213*'Sem TS MC2020'!P205))*($AD$5*$G213+$AD$6*$B213/$N213)*'Sem TS MC2020'!R205*($J213-$M213)/($J213-$M213-$H213)</f>
        <v>0.252729387489083</v>
      </c>
      <c r="AD213" s="4" t="n">
        <f aca="false">AC213/$R213</f>
        <v>0.743321727909069</v>
      </c>
      <c r="AE213" s="24" t="n">
        <f aca="false">AC213-$R213</f>
        <v>-0.0872706125109166</v>
      </c>
      <c r="AF213" s="25" t="n">
        <f aca="false">1/AD213</f>
        <v>1.34531248375176</v>
      </c>
      <c r="AG213" s="25" t="n">
        <f aca="false">AC213*(14.068*'Sem TS MC2020'!$P205^-0.457)/$R213</f>
        <v>0.817026563525819</v>
      </c>
      <c r="AH213" s="25"/>
      <c r="AP213" s="4" t="n">
        <f aca="false">$AQ$2*($AQ$3+$AQ$4*$F213/($N213*'Sem TS MC2020'!P205))*($AQ$5*$G213+$AQ$6*$B213/$N213)*('Sem TS MC2020'!P205^$AQ$7/200000)*($J213-$M213)/($J213-$M213-$H213)+('Sem TS MC2020'!P205-$C213/$AQ$8)*($AQ$5*$G213+$AQ$6*$B213/$N213)/200000</f>
        <v>0.264685007964475</v>
      </c>
      <c r="AQ213" s="4" t="n">
        <f aca="false">AP213/$R213</f>
        <v>0.778485317542572</v>
      </c>
      <c r="AR213" s="24" t="n">
        <f aca="false">AP213-$R213</f>
        <v>-0.0753149920355255</v>
      </c>
    </row>
    <row r="214" customFormat="false" ht="14.25" hidden="false" customHeight="false" outlineLevel="0" collapsed="false">
      <c r="A214" s="1" t="s">
        <v>66</v>
      </c>
      <c r="B214" s="2" t="n">
        <v>16</v>
      </c>
      <c r="C214" s="3" t="n">
        <v>528</v>
      </c>
      <c r="D214" s="3" t="n">
        <v>2</v>
      </c>
      <c r="E214" s="2" t="n">
        <v>52</v>
      </c>
      <c r="F214" s="4" t="n">
        <v>3.42</v>
      </c>
      <c r="G214" s="2" t="n">
        <v>27</v>
      </c>
      <c r="H214" s="2" t="n">
        <v>35</v>
      </c>
      <c r="I214" s="1" t="n">
        <v>150</v>
      </c>
      <c r="J214" s="2" t="n">
        <v>235</v>
      </c>
      <c r="K214" s="3" t="n">
        <v>402</v>
      </c>
      <c r="L214" s="4" t="n">
        <v>17250</v>
      </c>
      <c r="M214" s="3" t="n">
        <v>69.8404266407112</v>
      </c>
      <c r="N214" s="12" t="n">
        <v>0.023304347826087</v>
      </c>
      <c r="O214" s="4" t="n">
        <v>16.675</v>
      </c>
      <c r="P214" s="3" t="n">
        <v>148.381408652443</v>
      </c>
      <c r="Q214" s="4" t="n">
        <f aca="false">(P214-P$354)/P$355</f>
        <v>-0.807433139151095</v>
      </c>
      <c r="R214" s="4" t="n">
        <v>0.15</v>
      </c>
      <c r="S214" s="13" t="n">
        <f aca="false">P214/200000</f>
        <v>0.000741907043262214</v>
      </c>
      <c r="W214" s="4" t="n">
        <f aca="false">$X$2*($X$3*$G214+$X$4*$B214^$X$5*$N214^$X$6)*$S214^$X$7</f>
        <v>0.186259517225144</v>
      </c>
      <c r="X214" s="4" t="n">
        <f aca="false">W214/$R214</f>
        <v>1.24173011483429</v>
      </c>
      <c r="Z214" s="4" t="n">
        <f aca="false">$AA$2*$B214^$AA$3*$S214^$AA$4*($AA$5*$N214^$AA$6+$AA$7)</f>
        <v>0.18275811270502</v>
      </c>
      <c r="AA214" s="4" t="n">
        <f aca="false">Z214/$R214</f>
        <v>1.21838741803347</v>
      </c>
      <c r="AC214" s="4" t="n">
        <f aca="false">$AD$2*($AD$3+$AD$4*$F214/($N214*'Sem TS MC2020'!P206))*($AD$5*$G214+$AD$6*$B214/$N214)*'Sem TS MC2020'!R206*($J214-$M214)/($J214-$M214-$H214)</f>
        <v>0.162567232720173</v>
      </c>
      <c r="AD214" s="4" t="n">
        <f aca="false">AC214/$R214</f>
        <v>1.08378155146782</v>
      </c>
      <c r="AE214" s="24" t="n">
        <f aca="false">AC214-$R214</f>
        <v>0.0125672327201733</v>
      </c>
      <c r="AF214" s="25" t="n">
        <f aca="false">1/AD214</f>
        <v>0.922695167347744</v>
      </c>
      <c r="AG214" s="25" t="n">
        <f aca="false">AC214*(14.068*'Sem TS MC2020'!$P206^-0.457)/$R214</f>
        <v>1.25843484882133</v>
      </c>
      <c r="AH214" s="25"/>
      <c r="AP214" s="4" t="n">
        <f aca="false">$AQ$2*($AQ$3+$AQ$4*$F214/($N214*'Sem TS MC2020'!P206))*($AQ$5*$G214+$AQ$6*$B214/$N214)*('Sem TS MC2020'!P206^$AQ$7/200000)*($J214-$M214)/($J214-$M214-$H214)+('Sem TS MC2020'!P206-$C214/$AQ$8)*($AQ$5*$G214+$AQ$6*$B214/$N214)/200000</f>
        <v>0.173423925821931</v>
      </c>
      <c r="AQ214" s="4" t="n">
        <f aca="false">AP214/$R214</f>
        <v>1.15615950547954</v>
      </c>
      <c r="AR214" s="24" t="n">
        <f aca="false">AP214-$R214</f>
        <v>0.0234239258219313</v>
      </c>
    </row>
    <row r="215" customFormat="false" ht="14.25" hidden="false" customHeight="false" outlineLevel="0" collapsed="false">
      <c r="B215" s="2" t="n">
        <v>16</v>
      </c>
      <c r="C215" s="3" t="n">
        <v>528</v>
      </c>
      <c r="D215" s="3" t="n">
        <v>2</v>
      </c>
      <c r="E215" s="2" t="n">
        <v>52</v>
      </c>
      <c r="F215" s="4" t="n">
        <v>3.42</v>
      </c>
      <c r="G215" s="2" t="n">
        <v>27</v>
      </c>
      <c r="H215" s="2" t="n">
        <v>35</v>
      </c>
      <c r="I215" s="1" t="n">
        <v>150</v>
      </c>
      <c r="J215" s="2" t="n">
        <v>235</v>
      </c>
      <c r="K215" s="3" t="n">
        <v>402</v>
      </c>
      <c r="L215" s="4" t="n">
        <v>17250</v>
      </c>
      <c r="M215" s="3" t="n">
        <v>69.8404266407112</v>
      </c>
      <c r="N215" s="12" t="n">
        <v>0.023304347826087</v>
      </c>
      <c r="O215" s="4" t="n">
        <v>22.425</v>
      </c>
      <c r="P215" s="3" t="n">
        <v>258.397342308967</v>
      </c>
      <c r="Q215" s="4" t="n">
        <f aca="false">(P215-P$354)/P$355</f>
        <v>0.11491103206534</v>
      </c>
      <c r="R215" s="4" t="n">
        <v>0.19</v>
      </c>
      <c r="S215" s="13" t="n">
        <f aca="false">P215/200000</f>
        <v>0.00129198671154484</v>
      </c>
      <c r="W215" s="4" t="n">
        <f aca="false">$X$2*($X$3*$G215+$X$4*$B215^$X$5*$N215^$X$6)*$S215^$X$7</f>
        <v>0.262276301018198</v>
      </c>
      <c r="X215" s="4" t="n">
        <f aca="false">W215/$R215</f>
        <v>1.3804015843063</v>
      </c>
      <c r="Z215" s="4" t="n">
        <f aca="false">$AA$2*$B215^$AA$3*$S215^$AA$4*($AA$5*$N215^$AA$6+$AA$7)</f>
        <v>0.258920976173707</v>
      </c>
      <c r="AA215" s="4" t="n">
        <f aca="false">Z215/$R215</f>
        <v>1.36274197986162</v>
      </c>
      <c r="AC215" s="4" t="n">
        <f aca="false">$AD$2*($AD$3+$AD$4*$F215/($N215*'Sem TS MC2020'!P207))*($AD$5*$G215+$AD$6*$B215/$N215)*'Sem TS MC2020'!R207*($J215-$M215)/($J215-$M215-$H215)</f>
        <v>0.247522018918417</v>
      </c>
      <c r="AD215" s="4" t="n">
        <f aca="false">AC215/$R215</f>
        <v>1.30274746799167</v>
      </c>
      <c r="AE215" s="24" t="n">
        <f aca="false">AC215-$R215</f>
        <v>0.0575220189184168</v>
      </c>
      <c r="AF215" s="25" t="n">
        <f aca="false">1/AD215</f>
        <v>0.76760847713764</v>
      </c>
      <c r="AG215" s="25" t="n">
        <f aca="false">AC215*(14.068*'Sem TS MC2020'!$P207^-0.457)/$R215</f>
        <v>1.32113920257806</v>
      </c>
      <c r="AH215" s="25"/>
      <c r="AP215" s="4" t="n">
        <f aca="false">$AQ$2*($AQ$3+$AQ$4*$F215/($N215*'Sem TS MC2020'!P207))*($AQ$5*$G215+$AQ$6*$B215/$N215)*('Sem TS MC2020'!P207^$AQ$7/200000)*($J215-$M215)/($J215-$M215-$H215)+('Sem TS MC2020'!P207-$C215/$AQ$8)*($AQ$5*$G215+$AQ$6*$B215/$N215)/200000</f>
        <v>0.257502303142735</v>
      </c>
      <c r="AQ215" s="4" t="n">
        <f aca="false">AP215/$R215</f>
        <v>1.35527527969861</v>
      </c>
      <c r="AR215" s="24" t="n">
        <f aca="false">AP215-$R215</f>
        <v>0.0675023031427354</v>
      </c>
    </row>
    <row r="216" customFormat="false" ht="14.25" hidden="false" customHeight="false" outlineLevel="0" collapsed="false">
      <c r="B216" s="2" t="n">
        <v>16</v>
      </c>
      <c r="C216" s="3" t="n">
        <v>528</v>
      </c>
      <c r="D216" s="3" t="n">
        <v>2</v>
      </c>
      <c r="E216" s="2" t="n">
        <v>52</v>
      </c>
      <c r="F216" s="4" t="n">
        <v>3.42</v>
      </c>
      <c r="G216" s="2" t="n">
        <v>27</v>
      </c>
      <c r="H216" s="2" t="n">
        <v>35</v>
      </c>
      <c r="I216" s="1" t="n">
        <v>150</v>
      </c>
      <c r="J216" s="2" t="n">
        <v>235</v>
      </c>
      <c r="K216" s="3" t="n">
        <v>402</v>
      </c>
      <c r="L216" s="4" t="n">
        <v>17250</v>
      </c>
      <c r="M216" s="3" t="n">
        <v>69.8404266407112</v>
      </c>
      <c r="N216" s="12" t="n">
        <v>0.023304347826087</v>
      </c>
      <c r="O216" s="4" t="n">
        <v>25.875</v>
      </c>
      <c r="P216" s="3" t="n">
        <v>324.406902502882</v>
      </c>
      <c r="Q216" s="4" t="n">
        <f aca="false">(P216-P$354)/P$355</f>
        <v>0.668317534795201</v>
      </c>
      <c r="R216" s="4" t="n">
        <v>0.22</v>
      </c>
      <c r="S216" s="13" t="n">
        <f aca="false">P216/200000</f>
        <v>0.00162203451251441</v>
      </c>
      <c r="W216" s="4" t="n">
        <f aca="false">$X$2*($X$3*$G216+$X$4*$B216^$X$5*$N216^$X$6)*$S216^$X$7</f>
        <v>0.301800469468982</v>
      </c>
      <c r="X216" s="4" t="n">
        <f aca="false">W216/$R216</f>
        <v>1.3718203157681</v>
      </c>
      <c r="Z216" s="4" t="n">
        <f aca="false">$AA$2*$B216^$AA$3*$S216^$AA$4*($AA$5*$N216^$AA$6+$AA$7)</f>
        <v>0.298686035995675</v>
      </c>
      <c r="AA216" s="4" t="n">
        <f aca="false">Z216/$R216</f>
        <v>1.35766379998034</v>
      </c>
      <c r="AC216" s="4" t="n">
        <f aca="false">$AD$2*($AD$3+$AD$4*$F216/($N216*'Sem TS MC2020'!P208))*($AD$5*$G216+$AD$6*$B216/$N216)*'Sem TS MC2020'!R208*($J216-$M216)/($J216-$M216-$H216)</f>
        <v>0.298494890637363</v>
      </c>
      <c r="AD216" s="4" t="n">
        <f aca="false">AC216/$R216</f>
        <v>1.35679495744256</v>
      </c>
      <c r="AE216" s="24" t="n">
        <f aca="false">AC216-$R216</f>
        <v>0.0784948906373628</v>
      </c>
      <c r="AF216" s="25" t="n">
        <f aca="false">1/AD216</f>
        <v>0.73703104106822</v>
      </c>
      <c r="AG216" s="25" t="n">
        <f aca="false">AC216*(14.068*'Sem TS MC2020'!$P208^-0.457)/$R216</f>
        <v>1.28884582610252</v>
      </c>
      <c r="AH216" s="25"/>
      <c r="AP216" s="4" t="n">
        <f aca="false">$AQ$2*($AQ$3+$AQ$4*$F216/($N216*'Sem TS MC2020'!P208))*($AQ$5*$G216+$AQ$6*$B216/$N216)*('Sem TS MC2020'!P208^$AQ$7/200000)*($J216-$M216)/($J216-$M216-$H216)+('Sem TS MC2020'!P208-$C216/$AQ$8)*($AQ$5*$G216+$AQ$6*$B216/$N216)/200000</f>
        <v>0.305615217404576</v>
      </c>
      <c r="AQ216" s="4" t="n">
        <f aca="false">AP216/$R216</f>
        <v>1.38916007911171</v>
      </c>
      <c r="AR216" s="24" t="n">
        <f aca="false">AP216-$R216</f>
        <v>0.0856152174045762</v>
      </c>
    </row>
    <row r="217" customFormat="false" ht="14.25" hidden="false" customHeight="false" outlineLevel="0" collapsed="false">
      <c r="B217" s="2" t="n">
        <v>16</v>
      </c>
      <c r="C217" s="3" t="n">
        <v>528</v>
      </c>
      <c r="D217" s="3" t="n">
        <v>2</v>
      </c>
      <c r="E217" s="2" t="n">
        <v>52</v>
      </c>
      <c r="F217" s="4" t="n">
        <v>3.42</v>
      </c>
      <c r="G217" s="2" t="n">
        <v>27</v>
      </c>
      <c r="H217" s="2" t="n">
        <v>35</v>
      </c>
      <c r="I217" s="1" t="n">
        <v>150</v>
      </c>
      <c r="J217" s="2" t="n">
        <v>235</v>
      </c>
      <c r="K217" s="3" t="n">
        <v>402</v>
      </c>
      <c r="L217" s="4" t="n">
        <v>17250</v>
      </c>
      <c r="M217" s="3" t="n">
        <v>69.8404266407112</v>
      </c>
      <c r="N217" s="12" t="n">
        <v>0.023304347826087</v>
      </c>
      <c r="O217" s="4" t="n">
        <v>28.75</v>
      </c>
      <c r="P217" s="3" t="n">
        <v>379.414869331144</v>
      </c>
      <c r="Q217" s="4" t="n">
        <f aca="false">(P217-P$354)/P$355</f>
        <v>1.12948962040342</v>
      </c>
      <c r="R217" s="4" t="n">
        <v>0.22</v>
      </c>
      <c r="S217" s="13" t="n">
        <f aca="false">P217/200000</f>
        <v>0.00189707434665572</v>
      </c>
      <c r="W217" s="4" t="n">
        <f aca="false">$X$2*($X$3*$G217+$X$4*$B217^$X$5*$N217^$X$6)*$S217^$X$7</f>
        <v>0.332422858651355</v>
      </c>
      <c r="X217" s="4" t="n">
        <f aca="false">W217/$R217</f>
        <v>1.5110129938698</v>
      </c>
      <c r="Z217" s="4" t="n">
        <f aca="false">$AA$2*$B217^$AA$3*$S217^$AA$4*($AA$5*$N217^$AA$6+$AA$7)</f>
        <v>0.329559742542217</v>
      </c>
      <c r="AA217" s="4" t="n">
        <f aca="false">Z217/$R217</f>
        <v>1.49799882973735</v>
      </c>
      <c r="AC217" s="4" t="n">
        <f aca="false">$AD$2*($AD$3+$AD$4*$F217/($N217*'Sem TS MC2020'!P209))*($AD$5*$G217+$AD$6*$B217/$N217)*'Sem TS MC2020'!R209*($J217-$M217)/($J217-$M217-$H217)</f>
        <v>0.340972283736484</v>
      </c>
      <c r="AD217" s="4" t="n">
        <f aca="false">AC217/$R217</f>
        <v>1.54987401698402</v>
      </c>
      <c r="AE217" s="24" t="n">
        <f aca="false">AC217-$R217</f>
        <v>0.120972283736484</v>
      </c>
      <c r="AF217" s="25" t="n">
        <f aca="false">1/AD217</f>
        <v>0.645213732885174</v>
      </c>
      <c r="AG217" s="25" t="n">
        <f aca="false">AC217*(14.068*'Sem TS MC2020'!$P209^-0.457)/$R217</f>
        <v>1.40304620348843</v>
      </c>
      <c r="AH217" s="25"/>
      <c r="AP217" s="4" t="n">
        <f aca="false">$AQ$2*($AQ$3+$AQ$4*$F217/($N217*'Sem TS MC2020'!P209))*($AQ$5*$G217+$AQ$6*$B217/$N217)*('Sem TS MC2020'!P209^$AQ$7/200000)*($J217-$M217)/($J217-$M217-$H217)+('Sem TS MC2020'!P209-$C217/$AQ$8)*($AQ$5*$G217+$AQ$6*$B217/$N217)/200000</f>
        <v>0.344674215667988</v>
      </c>
      <c r="AQ217" s="4" t="n">
        <f aca="false">AP217/$R217</f>
        <v>1.56670098030904</v>
      </c>
      <c r="AR217" s="24" t="n">
        <f aca="false">AP217-$R217</f>
        <v>0.124674215667988</v>
      </c>
    </row>
    <row r="218" customFormat="false" ht="14.25" hidden="false" customHeight="false" outlineLevel="0" collapsed="false">
      <c r="B218" s="2" t="n">
        <v>16</v>
      </c>
      <c r="C218" s="3" t="n">
        <v>528</v>
      </c>
      <c r="D218" s="3" t="n">
        <v>2</v>
      </c>
      <c r="E218" s="2" t="n">
        <v>52</v>
      </c>
      <c r="F218" s="4" t="n">
        <v>3.42</v>
      </c>
      <c r="G218" s="2" t="n">
        <v>27</v>
      </c>
      <c r="H218" s="2" t="n">
        <v>35</v>
      </c>
      <c r="I218" s="1" t="n">
        <v>150</v>
      </c>
      <c r="J218" s="2" t="n">
        <v>235</v>
      </c>
      <c r="K218" s="3" t="n">
        <v>402</v>
      </c>
      <c r="L218" s="4" t="n">
        <v>17250</v>
      </c>
      <c r="M218" s="3" t="n">
        <v>69.8404266407112</v>
      </c>
      <c r="N218" s="12" t="n">
        <v>0.023304347826087</v>
      </c>
      <c r="O218" s="4" t="n">
        <v>33.35</v>
      </c>
      <c r="P218" s="3" t="n">
        <v>467.427616256363</v>
      </c>
      <c r="Q218" s="4" t="n">
        <f aca="false">(P218-P$354)/P$355</f>
        <v>1.86736495737656</v>
      </c>
      <c r="R218" s="4" t="n">
        <v>0.25</v>
      </c>
      <c r="S218" s="13" t="n">
        <f aca="false">P218/200000</f>
        <v>0.00233713808128182</v>
      </c>
      <c r="W218" s="4" t="n">
        <f aca="false">$X$2*($X$3*$G218+$X$4*$B218^$X$5*$N218^$X$6)*$S218^$X$7</f>
        <v>0.378086431993848</v>
      </c>
      <c r="X218" s="4" t="n">
        <f aca="false">W218/$R218</f>
        <v>1.51234572797539</v>
      </c>
      <c r="Z218" s="4" t="n">
        <f aca="false">$AA$2*$B218^$AA$3*$S218^$AA$4*($AA$5*$N218^$AA$6+$AA$7)</f>
        <v>0.375691152708181</v>
      </c>
      <c r="AA218" s="4" t="n">
        <f aca="false">Z218/$R218</f>
        <v>1.50276461083273</v>
      </c>
      <c r="AC218" s="4" t="n">
        <f aca="false">$AD$2*($AD$3+$AD$4*$F218/($N218*'Sem TS MC2020'!P210))*($AD$5*$G218+$AD$6*$B218/$N218)*'Sem TS MC2020'!R210*($J218-$M218)/($J218-$M218-$H218)</f>
        <v>0.408936112695079</v>
      </c>
      <c r="AD218" s="4" t="n">
        <f aca="false">AC218/$R218</f>
        <v>1.63574445078032</v>
      </c>
      <c r="AE218" s="24" t="n">
        <f aca="false">AC218-$R218</f>
        <v>0.158936112695079</v>
      </c>
      <c r="AF218" s="25" t="n">
        <f aca="false">1/AD218</f>
        <v>0.611342437703493</v>
      </c>
      <c r="AG218" s="25" t="n">
        <f aca="false">AC218*(14.068*'Sem TS MC2020'!$P210^-0.457)/$R218</f>
        <v>1.38367383933221</v>
      </c>
      <c r="AH218" s="25"/>
      <c r="AP218" s="4" t="n">
        <f aca="false">$AQ$2*($AQ$3+$AQ$4*$F218/($N218*'Sem TS MC2020'!P210))*($AQ$5*$G218+$AQ$6*$B218/$N218)*('Sem TS MC2020'!P210^$AQ$7/200000)*($J218-$M218)/($J218-$M218-$H218)+('Sem TS MC2020'!P210-$C218/$AQ$8)*($AQ$5*$G218+$AQ$6*$B218/$N218)/200000</f>
        <v>0.405545399385632</v>
      </c>
      <c r="AQ218" s="4" t="n">
        <f aca="false">AP218/$R218</f>
        <v>1.62218159754253</v>
      </c>
      <c r="AR218" s="24" t="n">
        <f aca="false">AP218-$R218</f>
        <v>0.155545399385632</v>
      </c>
    </row>
    <row r="219" customFormat="false" ht="14.25" hidden="false" customHeight="false" outlineLevel="0" collapsed="false">
      <c r="B219" s="2" t="n">
        <v>16</v>
      </c>
      <c r="C219" s="3" t="n">
        <v>528</v>
      </c>
      <c r="D219" s="3" t="n">
        <v>2</v>
      </c>
      <c r="E219" s="2" t="n">
        <v>52</v>
      </c>
      <c r="F219" s="4" t="n">
        <v>3.42</v>
      </c>
      <c r="G219" s="2" t="n">
        <v>27</v>
      </c>
      <c r="H219" s="2" t="n">
        <v>35</v>
      </c>
      <c r="I219" s="1" t="n">
        <v>150</v>
      </c>
      <c r="J219" s="2" t="n">
        <v>235</v>
      </c>
      <c r="K219" s="3" t="n">
        <v>402</v>
      </c>
      <c r="L219" s="4" t="n">
        <v>17250</v>
      </c>
      <c r="M219" s="3" t="n">
        <v>69.8404266407112</v>
      </c>
      <c r="N219" s="12" t="n">
        <v>0.023304347826087</v>
      </c>
      <c r="O219" s="4" t="n">
        <v>37.375</v>
      </c>
      <c r="P219" s="3" t="n">
        <v>526.101808707204</v>
      </c>
      <c r="Q219" s="4" t="n">
        <f aca="false">(P219-P$354)/P$355</f>
        <v>2.35927369831242</v>
      </c>
      <c r="R219" s="4" t="n">
        <v>0.29</v>
      </c>
      <c r="S219" s="13" t="n">
        <f aca="false">P219/200000</f>
        <v>0.00263050904353602</v>
      </c>
      <c r="W219" s="4" t="n">
        <f aca="false">$X$2*($X$3*$G219+$X$4*$B219^$X$5*$N219^$X$6)*$S219^$X$7</f>
        <v>0.406703014321194</v>
      </c>
      <c r="X219" s="4" t="n">
        <f aca="false">W219/$R219</f>
        <v>1.40242418731446</v>
      </c>
      <c r="Z219" s="4" t="n">
        <f aca="false">$AA$2*$B219^$AA$3*$S219^$AA$4*($AA$5*$N219^$AA$6+$AA$7)</f>
        <v>0.404652451858705</v>
      </c>
      <c r="AA219" s="4" t="n">
        <f aca="false">Z219/$R219</f>
        <v>1.3953532822714</v>
      </c>
      <c r="AC219" s="4" t="n">
        <f aca="false">$AD$2*($AD$3+$AD$4*$F219/($N219*'Sem TS MC2020'!P211))*($AD$5*$G219+$AD$6*$B219/$N219)*'Sem TS MC2020'!R211*($J219-$M219)/($J219-$M219-$H219)</f>
        <v>0.46840446303385</v>
      </c>
      <c r="AD219" s="4" t="n">
        <f aca="false">AC219/$R219</f>
        <v>1.615187803565</v>
      </c>
      <c r="AE219" s="24" t="n">
        <f aca="false">AC219-$R219</f>
        <v>0.17840446303385</v>
      </c>
      <c r="AF219" s="25" t="n">
        <f aca="false">1/AD219</f>
        <v>0.619123050454459</v>
      </c>
      <c r="AG219" s="25" t="n">
        <f aca="false">AC219*(14.068*'Sem TS MC2020'!$P211^-0.457)/$R219</f>
        <v>1.29695972487623</v>
      </c>
      <c r="AH219" s="25"/>
      <c r="AP219" s="4" t="n">
        <f aca="false">$AQ$2*($AQ$3+$AQ$4*$F219/($N219*'Sem TS MC2020'!P211))*($AQ$5*$G219+$AQ$6*$B219/$N219)*('Sem TS MC2020'!P211^$AQ$7/200000)*($J219-$M219)/($J219-$M219-$H219)+('Sem TS MC2020'!P211-$C219/$AQ$8)*($AQ$5*$G219+$AQ$6*$B219/$N219)/200000</f>
        <v>0.457426120185758</v>
      </c>
      <c r="AQ219" s="4" t="n">
        <f aca="false">AP219/$R219</f>
        <v>1.57733144891641</v>
      </c>
      <c r="AR219" s="24" t="n">
        <f aca="false">AP219-$R219</f>
        <v>0.167426120185758</v>
      </c>
    </row>
    <row r="220" customFormat="false" ht="14.25" hidden="false" customHeight="false" outlineLevel="0" collapsed="false">
      <c r="A220" s="1" t="s">
        <v>67</v>
      </c>
      <c r="B220" s="2" t="n">
        <v>20</v>
      </c>
      <c r="C220" s="3" t="n">
        <v>528</v>
      </c>
      <c r="D220" s="3" t="n">
        <v>2</v>
      </c>
      <c r="E220" s="2" t="n">
        <v>44</v>
      </c>
      <c r="F220" s="4" t="n">
        <v>3.42</v>
      </c>
      <c r="G220" s="2" t="n">
        <v>25</v>
      </c>
      <c r="H220" s="2" t="n">
        <v>35</v>
      </c>
      <c r="I220" s="1" t="n">
        <v>150</v>
      </c>
      <c r="J220" s="2" t="n">
        <v>235</v>
      </c>
      <c r="K220" s="3" t="n">
        <v>628</v>
      </c>
      <c r="L220" s="4" t="n">
        <v>18375</v>
      </c>
      <c r="M220" s="3" t="n">
        <v>82.8238244445564</v>
      </c>
      <c r="N220" s="12" t="n">
        <v>0.0341768707482993</v>
      </c>
      <c r="O220" s="4" t="n">
        <v>29.325</v>
      </c>
      <c r="P220" s="3" t="n">
        <v>217.581792256533</v>
      </c>
      <c r="Q220" s="4" t="n">
        <f aca="false">(P220-P$354)/P$355</f>
        <v>-0.227275626127177</v>
      </c>
      <c r="R220" s="4" t="n">
        <v>0.17</v>
      </c>
      <c r="S220" s="13" t="n">
        <f aca="false">P220/200000</f>
        <v>0.00108790896128266</v>
      </c>
      <c r="W220" s="4" t="n">
        <f aca="false">$X$2*($X$3*$G220+$X$4*$B220^$X$5*$N220^$X$6)*$S220^$X$7</f>
        <v>0.233620300199854</v>
      </c>
      <c r="X220" s="4" t="n">
        <f aca="false">W220/$R220</f>
        <v>1.37423705999914</v>
      </c>
      <c r="Z220" s="4" t="n">
        <f aca="false">$AA$2*$B220^$AA$3*$S220^$AA$4*($AA$5*$N220^$AA$6+$AA$7)</f>
        <v>0.232421919502999</v>
      </c>
      <c r="AA220" s="4" t="n">
        <f aca="false">Z220/$R220</f>
        <v>1.36718776178235</v>
      </c>
      <c r="AC220" s="4" t="n">
        <f aca="false">$AD$2*($AD$3+$AD$4*$F220/($N220*'Sem TS MC2020'!P212))*($AD$5*$G220+$AD$6*$B220/$N220)*'Sem TS MC2020'!R212*($J220-$M220)/($J220-$M220-$H220)</f>
        <v>0.201905867566179</v>
      </c>
      <c r="AD220" s="4" t="n">
        <f aca="false">AC220/$R220</f>
        <v>1.1876815739187</v>
      </c>
      <c r="AE220" s="24" t="n">
        <f aca="false">AC220-$R220</f>
        <v>0.0319058675661795</v>
      </c>
      <c r="AF220" s="25" t="n">
        <f aca="false">1/AD220</f>
        <v>0.841976521283011</v>
      </c>
      <c r="AG220" s="25" t="n">
        <f aca="false">AC220*(14.068*'Sem TS MC2020'!$P212^-0.457)/$R220</f>
        <v>1.29169668754193</v>
      </c>
      <c r="AH220" s="25"/>
      <c r="AP220" s="4" t="n">
        <f aca="false">$AQ$2*($AQ$3+$AQ$4*$F220/($N220*'Sem TS MC2020'!P212))*($AQ$5*$G220+$AQ$6*$B220/$N220)*('Sem TS MC2020'!P212^$AQ$7/200000)*($J220-$M220)/($J220-$M220-$H220)+('Sem TS MC2020'!P212-$C220/$AQ$8)*($AQ$5*$G220+$AQ$6*$B220/$N220)/200000</f>
        <v>0.213090934249486</v>
      </c>
      <c r="AQ220" s="4" t="n">
        <f aca="false">AP220/$R220</f>
        <v>1.2534760838205</v>
      </c>
      <c r="AR220" s="24" t="n">
        <f aca="false">AP220-$R220</f>
        <v>0.0430909342494858</v>
      </c>
    </row>
    <row r="221" customFormat="false" ht="14.25" hidden="false" customHeight="false" outlineLevel="0" collapsed="false">
      <c r="B221" s="2" t="n">
        <v>20</v>
      </c>
      <c r="C221" s="3" t="n">
        <v>528</v>
      </c>
      <c r="D221" s="3" t="n">
        <v>2</v>
      </c>
      <c r="E221" s="2" t="n">
        <v>44</v>
      </c>
      <c r="F221" s="4" t="n">
        <v>3.42</v>
      </c>
      <c r="G221" s="2" t="n">
        <v>25</v>
      </c>
      <c r="H221" s="2" t="n">
        <v>35</v>
      </c>
      <c r="I221" s="1" t="n">
        <v>150</v>
      </c>
      <c r="J221" s="2" t="n">
        <v>235</v>
      </c>
      <c r="K221" s="3" t="n">
        <v>628</v>
      </c>
      <c r="L221" s="4" t="n">
        <v>18375</v>
      </c>
      <c r="M221" s="3" t="n">
        <v>82.8238244445564</v>
      </c>
      <c r="N221" s="12" t="n">
        <v>0.0341768707482993</v>
      </c>
      <c r="O221" s="4" t="n">
        <v>33.35</v>
      </c>
      <c r="P221" s="3" t="n">
        <v>264.462650004919</v>
      </c>
      <c r="Q221" s="4" t="n">
        <f aca="false">(P221-P$354)/P$355</f>
        <v>0.165760950018692</v>
      </c>
      <c r="R221" s="4" t="n">
        <v>0.19</v>
      </c>
      <c r="S221" s="13" t="n">
        <f aca="false">P221/200000</f>
        <v>0.0013223132500246</v>
      </c>
      <c r="W221" s="4" t="n">
        <f aca="false">$X$2*($X$3*$G221+$X$4*$B221^$X$5*$N221^$X$6)*$S221^$X$7</f>
        <v>0.263509493088955</v>
      </c>
      <c r="X221" s="4" t="n">
        <f aca="false">W221/$R221</f>
        <v>1.38689206888924</v>
      </c>
      <c r="Z221" s="4" t="n">
        <f aca="false">$AA$2*$B221^$AA$3*$S221^$AA$4*($AA$5*$N221^$AA$6+$AA$7)</f>
        <v>0.262721086331175</v>
      </c>
      <c r="AA221" s="4" t="n">
        <f aca="false">Z221/$R221</f>
        <v>1.38274255963776</v>
      </c>
      <c r="AC221" s="4" t="n">
        <f aca="false">$AD$2*($AD$3+$AD$4*$F221/($N221*'Sem TS MC2020'!P213))*($AD$5*$G221+$AD$6*$B221/$N221)*'Sem TS MC2020'!R213*($J221-$M221)/($J221-$M221-$H221)</f>
        <v>0.236589304836322</v>
      </c>
      <c r="AD221" s="4" t="n">
        <f aca="false">AC221/$R221</f>
        <v>1.24520686755959</v>
      </c>
      <c r="AE221" s="24" t="n">
        <f aca="false">AC221-$R221</f>
        <v>0.0465893048363224</v>
      </c>
      <c r="AF221" s="25" t="n">
        <f aca="false">1/AD221</f>
        <v>0.803079412788529</v>
      </c>
      <c r="AG221" s="25" t="n">
        <f aca="false">AC221*(14.068*'Sem TS MC2020'!$P213^-0.457)/$R221</f>
        <v>1.27695329116409</v>
      </c>
      <c r="AH221" s="25"/>
      <c r="AP221" s="4" t="n">
        <f aca="false">$AQ$2*($AQ$3+$AQ$4*$F221/($N221*'Sem TS MC2020'!P213))*($AQ$5*$G221+$AQ$6*$B221/$N221)*('Sem TS MC2020'!P213^$AQ$7/200000)*($J221-$M221)/($J221-$M221-$H221)+('Sem TS MC2020'!P213-$C221/$AQ$8)*($AQ$5*$G221+$AQ$6*$B221/$N221)/200000</f>
        <v>0.246254396017291</v>
      </c>
      <c r="AQ221" s="4" t="n">
        <f aca="false">AP221/$R221</f>
        <v>1.29607576851206</v>
      </c>
      <c r="AR221" s="24" t="n">
        <f aca="false">AP221-$R221</f>
        <v>0.056254396017291</v>
      </c>
    </row>
    <row r="222" customFormat="false" ht="14.25" hidden="false" customHeight="false" outlineLevel="0" collapsed="false">
      <c r="B222" s="2" t="n">
        <v>20</v>
      </c>
      <c r="C222" s="3" t="n">
        <v>528</v>
      </c>
      <c r="D222" s="3" t="n">
        <v>2</v>
      </c>
      <c r="E222" s="2" t="n">
        <v>44</v>
      </c>
      <c r="F222" s="4" t="n">
        <v>3.42</v>
      </c>
      <c r="G222" s="2" t="n">
        <v>25</v>
      </c>
      <c r="H222" s="2" t="n">
        <v>35</v>
      </c>
      <c r="I222" s="1" t="n">
        <v>150</v>
      </c>
      <c r="J222" s="2" t="n">
        <v>235</v>
      </c>
      <c r="K222" s="3" t="n">
        <v>628</v>
      </c>
      <c r="L222" s="4" t="n">
        <v>18375</v>
      </c>
      <c r="M222" s="3" t="n">
        <v>82.8238244445564</v>
      </c>
      <c r="N222" s="12" t="n">
        <v>0.0341768707482993</v>
      </c>
      <c r="O222" s="4" t="n">
        <v>38.525</v>
      </c>
      <c r="P222" s="3" t="n">
        <v>324.73803853856</v>
      </c>
      <c r="Q222" s="4" t="n">
        <f aca="false">(P222-P$354)/P$355</f>
        <v>0.671093690777668</v>
      </c>
      <c r="R222" s="4" t="n">
        <v>0.21</v>
      </c>
      <c r="S222" s="13" t="n">
        <f aca="false">P222/200000</f>
        <v>0.0016236901926928</v>
      </c>
      <c r="W222" s="4" t="n">
        <f aca="false">$X$2*($X$3*$G222+$X$4*$B222^$X$5*$N222^$X$6)*$S222^$X$7</f>
        <v>0.29909794290332</v>
      </c>
      <c r="X222" s="4" t="n">
        <f aca="false">W222/$R222</f>
        <v>1.42427591858724</v>
      </c>
      <c r="Z222" s="4" t="n">
        <f aca="false">$AA$2*$B222^$AA$3*$S222^$AA$4*($AA$5*$N222^$AA$6+$AA$7)</f>
        <v>0.29887731206612</v>
      </c>
      <c r="AA222" s="4" t="n">
        <f aca="false">Z222/$R222</f>
        <v>1.42322529555295</v>
      </c>
      <c r="AC222" s="4" t="n">
        <f aca="false">$AD$2*($AD$3+$AD$4*$F222/($N222*'Sem TS MC2020'!P214))*($AD$5*$G222+$AD$6*$B222/$N222)*'Sem TS MC2020'!R214*($J222-$M222)/($J222-$M222-$H222)</f>
        <v>0.281182295612221</v>
      </c>
      <c r="AD222" s="4" t="n">
        <f aca="false">AC222/$R222</f>
        <v>1.33896331243915</v>
      </c>
      <c r="AE222" s="24" t="n">
        <f aca="false">AC222-$R222</f>
        <v>0.0711822956122208</v>
      </c>
      <c r="AF222" s="25" t="n">
        <f aca="false">1/AD222</f>
        <v>0.746846452557637</v>
      </c>
      <c r="AG222" s="25" t="n">
        <f aca="false">AC222*(14.068*'Sem TS MC2020'!$P214^-0.457)/$R222</f>
        <v>1.28550150753727</v>
      </c>
      <c r="AH222" s="25"/>
      <c r="AP222" s="4" t="n">
        <f aca="false">$AQ$2*($AQ$3+$AQ$4*$F222/($N222*'Sem TS MC2020'!P214))*($AQ$5*$G222+$AQ$6*$B222/$N222)*('Sem TS MC2020'!P214^$AQ$7/200000)*($J222-$M222)/($J222-$M222-$H222)+('Sem TS MC2020'!P214-$C222/$AQ$8)*($AQ$5*$G222+$AQ$6*$B222/$N222)/200000</f>
        <v>0.28772309279096</v>
      </c>
      <c r="AQ222" s="4" t="n">
        <f aca="false">AP222/$R222</f>
        <v>1.37010996567124</v>
      </c>
      <c r="AR222" s="24" t="n">
        <f aca="false">AP222-$R222</f>
        <v>0.0777230927909595</v>
      </c>
    </row>
    <row r="223" customFormat="false" ht="14.25" hidden="false" customHeight="false" outlineLevel="0" collapsed="false">
      <c r="B223" s="2" t="n">
        <v>20</v>
      </c>
      <c r="C223" s="3" t="n">
        <v>528</v>
      </c>
      <c r="D223" s="3" t="n">
        <v>2</v>
      </c>
      <c r="E223" s="2" t="n">
        <v>44</v>
      </c>
      <c r="F223" s="4" t="n">
        <v>3.42</v>
      </c>
      <c r="G223" s="2" t="n">
        <v>25</v>
      </c>
      <c r="H223" s="2" t="n">
        <v>35</v>
      </c>
      <c r="I223" s="1" t="n">
        <v>150</v>
      </c>
      <c r="J223" s="2" t="n">
        <v>235</v>
      </c>
      <c r="K223" s="3" t="n">
        <v>628</v>
      </c>
      <c r="L223" s="4" t="n">
        <v>18375</v>
      </c>
      <c r="M223" s="3" t="n">
        <v>82.8238244445564</v>
      </c>
      <c r="N223" s="12" t="n">
        <v>0.0341768707482993</v>
      </c>
      <c r="O223" s="4" t="n">
        <v>40.825</v>
      </c>
      <c r="P223" s="3" t="n">
        <v>351.527100109067</v>
      </c>
      <c r="Q223" s="4" t="n">
        <f aca="false">(P223-P$354)/P$355</f>
        <v>0.89568602000388</v>
      </c>
      <c r="R223" s="4" t="n">
        <v>0.23</v>
      </c>
      <c r="S223" s="13" t="n">
        <f aca="false">P223/200000</f>
        <v>0.00175763550054533</v>
      </c>
      <c r="W223" s="4" t="n">
        <f aca="false">$X$2*($X$3*$G223+$X$4*$B223^$X$5*$N223^$X$6)*$S223^$X$7</f>
        <v>0.314089957756596</v>
      </c>
      <c r="X223" s="4" t="n">
        <f aca="false">W223/$R223</f>
        <v>1.3656085119852</v>
      </c>
      <c r="Z223" s="4" t="n">
        <f aca="false">$AA$2*$B223^$AA$3*$S223^$AA$4*($AA$5*$N223^$AA$6+$AA$7)</f>
        <v>0.314132055380548</v>
      </c>
      <c r="AA223" s="4" t="n">
        <f aca="false">Z223/$R223</f>
        <v>1.36579154513282</v>
      </c>
      <c r="AC223" s="4" t="n">
        <f aca="false">$AD$2*($AD$3+$AD$4*$F223/($N223*'Sem TS MC2020'!P215))*($AD$5*$G223+$AD$6*$B223/$N223)*'Sem TS MC2020'!R215*($J223-$M223)/($J223-$M223-$H223)</f>
        <v>0.301001402623731</v>
      </c>
      <c r="AD223" s="4" t="n">
        <f aca="false">AC223/$R223</f>
        <v>1.30870175053796</v>
      </c>
      <c r="AE223" s="24" t="n">
        <f aca="false">AC223-$R223</f>
        <v>0.071001402623731</v>
      </c>
      <c r="AF223" s="25" t="n">
        <f aca="false">1/AD223</f>
        <v>0.764116040640227</v>
      </c>
      <c r="AG223" s="25" t="n">
        <f aca="false">AC223*(14.068*'Sem TS MC2020'!$P215^-0.457)/$R223</f>
        <v>1.22358942690748</v>
      </c>
      <c r="AH223" s="25"/>
      <c r="AP223" s="4" t="n">
        <f aca="false">$AQ$2*($AQ$3+$AQ$4*$F223/($N223*'Sem TS MC2020'!P215))*($AQ$5*$G223+$AQ$6*$B223/$N223)*('Sem TS MC2020'!P215^$AQ$7/200000)*($J223-$M223)/($J223-$M223-$H223)+('Sem TS MC2020'!P215-$C223/$AQ$8)*($AQ$5*$G223+$AQ$6*$B223/$N223)/200000</f>
        <v>0.305790119764535</v>
      </c>
      <c r="AQ223" s="4" t="n">
        <f aca="false">AP223/$R223</f>
        <v>1.32952225984581</v>
      </c>
      <c r="AR223" s="24" t="n">
        <f aca="false">AP223-$R223</f>
        <v>0.0757901197645353</v>
      </c>
    </row>
    <row r="224" customFormat="false" ht="14.25" hidden="false" customHeight="false" outlineLevel="0" collapsed="false">
      <c r="B224" s="2" t="n">
        <v>20</v>
      </c>
      <c r="C224" s="3" t="n">
        <v>528</v>
      </c>
      <c r="D224" s="3" t="n">
        <v>2</v>
      </c>
      <c r="E224" s="2" t="n">
        <v>44</v>
      </c>
      <c r="F224" s="4" t="n">
        <v>3.42</v>
      </c>
      <c r="G224" s="2" t="n">
        <v>25</v>
      </c>
      <c r="H224" s="2" t="n">
        <v>35</v>
      </c>
      <c r="I224" s="1" t="n">
        <v>150</v>
      </c>
      <c r="J224" s="2" t="n">
        <v>235</v>
      </c>
      <c r="K224" s="3" t="n">
        <v>628</v>
      </c>
      <c r="L224" s="4" t="n">
        <v>18375</v>
      </c>
      <c r="M224" s="3" t="n">
        <v>82.8238244445564</v>
      </c>
      <c r="N224" s="12" t="n">
        <v>0.0341768707482993</v>
      </c>
      <c r="O224" s="4" t="n">
        <v>46</v>
      </c>
      <c r="P224" s="3" t="n">
        <v>411.802488642707</v>
      </c>
      <c r="Q224" s="4" t="n">
        <f aca="false">(P224-P$354)/P$355</f>
        <v>1.40101876076286</v>
      </c>
      <c r="R224" s="4" t="n">
        <v>0.25</v>
      </c>
      <c r="S224" s="13" t="n">
        <f aca="false">P224/200000</f>
        <v>0.00205901244321354</v>
      </c>
      <c r="W224" s="4" t="n">
        <f aca="false">$X$2*($X$3*$G224+$X$4*$B224^$X$5*$N224^$X$6)*$S224^$X$7</f>
        <v>0.346306431324635</v>
      </c>
      <c r="X224" s="4" t="n">
        <f aca="false">W224/$R224</f>
        <v>1.38522572529854</v>
      </c>
      <c r="Z224" s="4" t="n">
        <f aca="false">$AA$2*$B224^$AA$3*$S224^$AA$4*($AA$5*$N224^$AA$6+$AA$7)</f>
        <v>0.346956312556142</v>
      </c>
      <c r="AA224" s="4" t="n">
        <f aca="false">Z224/$R224</f>
        <v>1.38782525022457</v>
      </c>
      <c r="AC224" s="4" t="n">
        <f aca="false">$AD$2*($AD$3+$AD$4*$F224/($N224*'Sem TS MC2020'!P216))*($AD$5*$G224+$AD$6*$B224/$N224)*'Sem TS MC2020'!R216*($J224-$M224)/($J224-$M224-$H224)</f>
        <v>0.345594393399629</v>
      </c>
      <c r="AD224" s="4" t="n">
        <f aca="false">AC224/$R224</f>
        <v>1.38237757359852</v>
      </c>
      <c r="AE224" s="24" t="n">
        <f aca="false">AC224-$R224</f>
        <v>0.0955943933996293</v>
      </c>
      <c r="AF224" s="25" t="n">
        <f aca="false">1/AD224</f>
        <v>0.723391365064513</v>
      </c>
      <c r="AG224" s="25" t="n">
        <f aca="false">AC224*(14.068*'Sem TS MC2020'!$P216^-0.457)/$R224</f>
        <v>1.22386820726233</v>
      </c>
      <c r="AH224" s="25"/>
      <c r="AP224" s="4" t="n">
        <f aca="false">$AQ$2*($AQ$3+$AQ$4*$F224/($N224*'Sem TS MC2020'!P216))*($AQ$5*$G224+$AQ$6*$B224/$N224)*('Sem TS MC2020'!P216^$AQ$7/200000)*($J224-$M224)/($J224-$M224-$H224)+('Sem TS MC2020'!P216-$C224/$AQ$8)*($AQ$5*$G224+$AQ$6*$B224/$N224)/200000</f>
        <v>0.345733642700108</v>
      </c>
      <c r="AQ224" s="4" t="n">
        <f aca="false">AP224/$R224</f>
        <v>1.38293457080043</v>
      </c>
      <c r="AR224" s="24" t="n">
        <f aca="false">AP224-$R224</f>
        <v>0.0957336427001082</v>
      </c>
    </row>
    <row r="225" customFormat="false" ht="14.25" hidden="false" customHeight="false" outlineLevel="0" collapsed="false">
      <c r="B225" s="2" t="n">
        <v>20</v>
      </c>
      <c r="C225" s="3" t="n">
        <v>528</v>
      </c>
      <c r="D225" s="3" t="n">
        <v>2</v>
      </c>
      <c r="E225" s="2" t="n">
        <v>44</v>
      </c>
      <c r="F225" s="4" t="n">
        <v>3.42</v>
      </c>
      <c r="G225" s="2" t="n">
        <v>25</v>
      </c>
      <c r="H225" s="2" t="n">
        <v>35</v>
      </c>
      <c r="I225" s="1" t="n">
        <v>150</v>
      </c>
      <c r="J225" s="2" t="n">
        <v>235</v>
      </c>
      <c r="K225" s="3" t="n">
        <v>628</v>
      </c>
      <c r="L225" s="4" t="n">
        <v>18375</v>
      </c>
      <c r="M225" s="3" t="n">
        <v>82.8238244445564</v>
      </c>
      <c r="N225" s="12" t="n">
        <v>0.0341768707482993</v>
      </c>
      <c r="O225" s="4" t="n">
        <v>56.925</v>
      </c>
      <c r="P225" s="3" t="n">
        <v>525.80672936788</v>
      </c>
      <c r="Q225" s="4" t="n">
        <f aca="false">(P225-P$354)/P$355</f>
        <v>2.35679983203119</v>
      </c>
      <c r="R225" s="4" t="n">
        <v>0.25</v>
      </c>
      <c r="S225" s="13" t="n">
        <f aca="false">P225/200000</f>
        <v>0.0026290336468394</v>
      </c>
      <c r="W225" s="4" t="n">
        <f aca="false">$X$2*($X$3*$G225+$X$4*$B225^$X$5*$N225^$X$6)*$S225^$X$7</f>
        <v>0.402668069711199</v>
      </c>
      <c r="X225" s="4" t="n">
        <f aca="false">W225/$R225</f>
        <v>1.6106722788448</v>
      </c>
      <c r="Z225" s="4" t="n">
        <f aca="false">$AA$2*$B225^$AA$3*$S225^$AA$4*($AA$5*$N225^$AA$6+$AA$7)</f>
        <v>0.404509698057385</v>
      </c>
      <c r="AA225" s="4" t="n">
        <f aca="false">Z225/$R225</f>
        <v>1.61803879222954</v>
      </c>
      <c r="AC225" s="4" t="n">
        <f aca="false">$AD$2*($AD$3+$AD$4*$F225/($N225*'Sem TS MC2020'!P217))*($AD$5*$G225+$AD$6*$B225/$N225)*'Sem TS MC2020'!R217*($J225-$M225)/($J225-$M225-$H225)</f>
        <v>0.439735151704303</v>
      </c>
      <c r="AD225" s="4" t="n">
        <f aca="false">AC225/$R225</f>
        <v>1.75894060681721</v>
      </c>
      <c r="AE225" s="24" t="n">
        <f aca="false">AC225-$R225</f>
        <v>0.189735151704303</v>
      </c>
      <c r="AF225" s="25" t="n">
        <f aca="false">1/AD225</f>
        <v>0.568524028681952</v>
      </c>
      <c r="AG225" s="25" t="n">
        <f aca="false">AC225*(14.068*'Sem TS MC2020'!$P217^-0.457)/$R225</f>
        <v>1.4127521886822</v>
      </c>
      <c r="AH225" s="25"/>
      <c r="AP225" s="4" t="n">
        <f aca="false">$AQ$2*($AQ$3+$AQ$4*$F225/($N225*'Sem TS MC2020'!P217))*($AQ$5*$G225+$AQ$6*$B225/$N225)*('Sem TS MC2020'!P217^$AQ$7/200000)*($J225-$M225)/($J225-$M225-$H225)+('Sem TS MC2020'!P217-$C225/$AQ$8)*($AQ$5*$G225+$AQ$6*$B225/$N225)/200000</f>
        <v>0.427367964801487</v>
      </c>
      <c r="AQ225" s="4" t="n">
        <f aca="false">AP225/$R225</f>
        <v>1.70947185920595</v>
      </c>
      <c r="AR225" s="24" t="n">
        <f aca="false">AP225-$R225</f>
        <v>0.177367964801487</v>
      </c>
    </row>
    <row r="226" customFormat="false" ht="14.25" hidden="false" customHeight="false" outlineLevel="0" collapsed="false">
      <c r="A226" s="1" t="s">
        <v>68</v>
      </c>
      <c r="B226" s="2" t="n">
        <v>20</v>
      </c>
      <c r="C226" s="3" t="n">
        <v>528</v>
      </c>
      <c r="D226" s="3" t="n">
        <v>3</v>
      </c>
      <c r="E226" s="2" t="n">
        <v>12</v>
      </c>
      <c r="F226" s="4" t="n">
        <v>3.42</v>
      </c>
      <c r="G226" s="2" t="n">
        <v>25</v>
      </c>
      <c r="H226" s="2" t="n">
        <v>35</v>
      </c>
      <c r="I226" s="1" t="n">
        <v>150</v>
      </c>
      <c r="J226" s="2" t="n">
        <v>235</v>
      </c>
      <c r="K226" s="3" t="n">
        <v>942</v>
      </c>
      <c r="L226" s="4" t="n">
        <v>18375</v>
      </c>
      <c r="M226" s="3" t="n">
        <v>95.7017321457163</v>
      </c>
      <c r="N226" s="12" t="n">
        <v>0.051265306122449</v>
      </c>
      <c r="O226" s="4" t="n">
        <v>39.1</v>
      </c>
      <c r="P226" s="3" t="n">
        <v>203.402157984646</v>
      </c>
      <c r="Q226" s="4" t="n">
        <f aca="false">(P226-P$354)/P$355</f>
        <v>-0.346153888447678</v>
      </c>
      <c r="R226" s="4" t="n">
        <v>0.18</v>
      </c>
      <c r="S226" s="13" t="n">
        <f aca="false">P226/200000</f>
        <v>0.00101701078992323</v>
      </c>
      <c r="W226" s="4" t="n">
        <f aca="false">$X$2*($X$3*$G226+$X$4*$B226^$X$5*$N226^$X$6)*$S226^$X$7</f>
        <v>0.189196091499573</v>
      </c>
      <c r="X226" s="4" t="n">
        <f aca="false">W226/$R226</f>
        <v>1.05108939721985</v>
      </c>
      <c r="Z226" s="4" t="n">
        <f aca="false">$AA$2*$B226^$AA$3*$S226^$AA$4*($AA$5*$N226^$AA$6+$AA$7)</f>
        <v>0.191632586880149</v>
      </c>
      <c r="AA226" s="4" t="n">
        <f aca="false">Z226/$R226</f>
        <v>1.06462548266749</v>
      </c>
      <c r="AC226" s="4" t="n">
        <f aca="false">$AD$2*($AD$3+$AD$4*$F226/($N226*'Sem TS MC2020'!P218))*($AD$5*$G226+$AD$6*$B226/$N226)*'Sem TS MC2020'!R218*($J226-$M226)/($J226-$M226-$H226)</f>
        <v>0.150392115603302</v>
      </c>
      <c r="AD226" s="4" t="n">
        <f aca="false">AC226/$R226</f>
        <v>0.83551175335168</v>
      </c>
      <c r="AE226" s="24" t="n">
        <f aca="false">AC226-$R226</f>
        <v>-0.0296078843966976</v>
      </c>
      <c r="AF226" s="25" t="n">
        <f aca="false">1/AD226</f>
        <v>1.19687125404098</v>
      </c>
      <c r="AG226" s="25" t="n">
        <f aca="false">AC226*(14.068*'Sem TS MC2020'!$P218^-0.457)/$R226</f>
        <v>0.947949432754833</v>
      </c>
      <c r="AH226" s="25"/>
      <c r="AP226" s="4" t="n">
        <f aca="false">$AQ$2*($AQ$3+$AQ$4*$F226/($N226*'Sem TS MC2020'!P218))*($AQ$5*$G226+$AQ$6*$B226/$N226)*('Sem TS MC2020'!P218^$AQ$7/200000)*($J226-$M226)/($J226-$M226-$H226)+('Sem TS MC2020'!P218-$C226/$AQ$8)*($AQ$5*$G226+$AQ$6*$B226/$N226)/200000</f>
        <v>0.15779083010308</v>
      </c>
      <c r="AQ226" s="4" t="n">
        <f aca="false">AP226/$R226</f>
        <v>0.876615722794888</v>
      </c>
      <c r="AR226" s="24" t="n">
        <f aca="false">AP226-$R226</f>
        <v>-0.0222091698969202</v>
      </c>
    </row>
    <row r="227" customFormat="false" ht="14.25" hidden="false" customHeight="false" outlineLevel="0" collapsed="false">
      <c r="B227" s="2" t="n">
        <v>20</v>
      </c>
      <c r="C227" s="3" t="n">
        <v>528</v>
      </c>
      <c r="D227" s="3" t="n">
        <v>3</v>
      </c>
      <c r="E227" s="2" t="n">
        <v>12</v>
      </c>
      <c r="F227" s="4" t="n">
        <v>3.42</v>
      </c>
      <c r="G227" s="2" t="n">
        <v>25</v>
      </c>
      <c r="H227" s="2" t="n">
        <v>35</v>
      </c>
      <c r="I227" s="1" t="n">
        <v>150</v>
      </c>
      <c r="J227" s="2" t="n">
        <v>235</v>
      </c>
      <c r="K227" s="3" t="n">
        <v>942</v>
      </c>
      <c r="L227" s="4" t="n">
        <v>18375</v>
      </c>
      <c r="M227" s="3" t="n">
        <v>95.7017321457163</v>
      </c>
      <c r="N227" s="12" t="n">
        <v>0.051265306122449</v>
      </c>
      <c r="O227" s="4" t="n">
        <v>44.85</v>
      </c>
      <c r="P227" s="3" t="n">
        <v>246.641129901166</v>
      </c>
      <c r="Q227" s="4" t="n">
        <f aca="false">(P227-P$354)/P$355</f>
        <v>0.0163500906677837</v>
      </c>
      <c r="R227" s="4" t="n">
        <v>0.19</v>
      </c>
      <c r="S227" s="13" t="n">
        <f aca="false">P227/200000</f>
        <v>0.00123320564950583</v>
      </c>
      <c r="W227" s="4" t="n">
        <f aca="false">$X$2*($X$3*$G227+$X$4*$B227^$X$5*$N227^$X$6)*$S227^$X$7</f>
        <v>0.213089081005033</v>
      </c>
      <c r="X227" s="4" t="n">
        <f aca="false">W227/$R227</f>
        <v>1.12152147897386</v>
      </c>
      <c r="Z227" s="4" t="n">
        <f aca="false">$AA$2*$B227^$AA$3*$S227^$AA$4*($AA$5*$N227^$AA$6+$AA$7)</f>
        <v>0.216291378098838</v>
      </c>
      <c r="AA227" s="4" t="n">
        <f aca="false">Z227/$R227</f>
        <v>1.13837567420441</v>
      </c>
      <c r="AC227" s="4" t="n">
        <f aca="false">$AD$2*($AD$3+$AD$4*$F227/($N227*'Sem TS MC2020'!P219))*($AD$5*$G227+$AD$6*$B227/$N227)*'Sem TS MC2020'!R219*($J227-$M227)/($J227-$M227-$H227)</f>
        <v>0.176319566101482</v>
      </c>
      <c r="AD227" s="4" t="n">
        <f aca="false">AC227/$R227</f>
        <v>0.92799771632359</v>
      </c>
      <c r="AE227" s="24" t="n">
        <f aca="false">AC227-$R227</f>
        <v>-0.0136804338985179</v>
      </c>
      <c r="AF227" s="25" t="n">
        <f aca="false">1/AD227</f>
        <v>1.07758885868993</v>
      </c>
      <c r="AG227" s="25" t="n">
        <f aca="false">AC227*(14.068*'Sem TS MC2020'!$P219^-0.457)/$R227</f>
        <v>0.988891979648702</v>
      </c>
      <c r="AH227" s="25"/>
      <c r="AP227" s="4" t="n">
        <f aca="false">$AQ$2*($AQ$3+$AQ$4*$F227/($N227*'Sem TS MC2020'!P219))*($AQ$5*$G227+$AQ$6*$B227/$N227)*('Sem TS MC2020'!P219^$AQ$7/200000)*($J227-$M227)/($J227-$M227-$H227)+('Sem TS MC2020'!P219-$C227/$AQ$8)*($AQ$5*$G227+$AQ$6*$B227/$N227)/200000</f>
        <v>0.182215096189737</v>
      </c>
      <c r="AQ227" s="4" t="n">
        <f aca="false">AP227/$R227</f>
        <v>0.959026822051246</v>
      </c>
      <c r="AR227" s="24" t="n">
        <f aca="false">AP227-$R227</f>
        <v>-0.00778490381026337</v>
      </c>
    </row>
    <row r="228" customFormat="false" ht="14.25" hidden="false" customHeight="false" outlineLevel="0" collapsed="false">
      <c r="B228" s="2" t="n">
        <v>20</v>
      </c>
      <c r="C228" s="3" t="n">
        <v>528</v>
      </c>
      <c r="D228" s="3" t="n">
        <v>3</v>
      </c>
      <c r="E228" s="2" t="n">
        <v>12</v>
      </c>
      <c r="F228" s="4" t="n">
        <v>3.42</v>
      </c>
      <c r="G228" s="2" t="n">
        <v>25</v>
      </c>
      <c r="H228" s="2" t="n">
        <v>35</v>
      </c>
      <c r="I228" s="1" t="n">
        <v>150</v>
      </c>
      <c r="J228" s="2" t="n">
        <v>235</v>
      </c>
      <c r="K228" s="3" t="n">
        <v>942</v>
      </c>
      <c r="L228" s="4" t="n">
        <v>18375</v>
      </c>
      <c r="M228" s="3" t="n">
        <v>95.7017321457163</v>
      </c>
      <c r="N228" s="12" t="n">
        <v>0.051265306122449</v>
      </c>
      <c r="O228" s="4" t="n">
        <v>50.025</v>
      </c>
      <c r="P228" s="3" t="n">
        <v>285.556204626033</v>
      </c>
      <c r="Q228" s="4" t="n">
        <f aca="false">(P228-P$354)/P$355</f>
        <v>0.342603671871699</v>
      </c>
      <c r="R228" s="4" t="n">
        <v>0.21</v>
      </c>
      <c r="S228" s="13" t="n">
        <f aca="false">P228/200000</f>
        <v>0.00142778102313016</v>
      </c>
      <c r="W228" s="4" t="n">
        <f aca="false">$X$2*($X$3*$G228+$X$4*$B228^$X$5*$N228^$X$6)*$S228^$X$7</f>
        <v>0.233248306884743</v>
      </c>
      <c r="X228" s="4" t="n">
        <f aca="false">W228/$R228</f>
        <v>1.11070622326068</v>
      </c>
      <c r="Z228" s="4" t="n">
        <f aca="false">$AA$2*$B228^$AA$3*$S228^$AA$4*($AA$5*$N228^$AA$6+$AA$7)</f>
        <v>0.237135403992654</v>
      </c>
      <c r="AA228" s="4" t="n">
        <f aca="false">Z228/$R228</f>
        <v>1.12921620948883</v>
      </c>
      <c r="AC228" s="4" t="n">
        <f aca="false">$AD$2*($AD$3+$AD$4*$F228/($N228*'Sem TS MC2020'!P220))*($AD$5*$G228+$AD$6*$B228/$N228)*'Sem TS MC2020'!R220*($J228-$M228)/($J228-$M228-$H228)</f>
        <v>0.199654271549844</v>
      </c>
      <c r="AD228" s="4" t="n">
        <f aca="false">AC228/$R228</f>
        <v>0.950734626427828</v>
      </c>
      <c r="AE228" s="24" t="n">
        <f aca="false">AC228-$R228</f>
        <v>-0.0103457284501562</v>
      </c>
      <c r="AF228" s="25" t="n">
        <f aca="false">1/AD228</f>
        <v>1.05181821741076</v>
      </c>
      <c r="AG228" s="25" t="n">
        <f aca="false">AC228*(14.068*'Sem TS MC2020'!$P220^-0.457)/$R228</f>
        <v>0.963802822052169</v>
      </c>
      <c r="AH228" s="25"/>
      <c r="AP228" s="4" t="n">
        <f aca="false">$AQ$2*($AQ$3+$AQ$4*$F228/($N228*'Sem TS MC2020'!P220))*($AQ$5*$G228+$AQ$6*$B228/$N228)*('Sem TS MC2020'!P220^$AQ$7/200000)*($J228-$M228)/($J228-$M228-$H228)+('Sem TS MC2020'!P220-$C228/$AQ$8)*($AQ$5*$G228+$AQ$6*$B228/$N228)/200000</f>
        <v>0.203677741793669</v>
      </c>
      <c r="AQ228" s="4" t="n">
        <f aca="false">AP228/$R228</f>
        <v>0.969894008541283</v>
      </c>
      <c r="AR228" s="24" t="n">
        <f aca="false">AP228-$R228</f>
        <v>-0.00632225820633053</v>
      </c>
    </row>
    <row r="229" customFormat="false" ht="14.25" hidden="false" customHeight="false" outlineLevel="0" collapsed="false">
      <c r="B229" s="2" t="n">
        <v>20</v>
      </c>
      <c r="C229" s="3" t="n">
        <v>528</v>
      </c>
      <c r="D229" s="3" t="n">
        <v>3</v>
      </c>
      <c r="E229" s="2" t="n">
        <v>12</v>
      </c>
      <c r="F229" s="4" t="n">
        <v>3.42</v>
      </c>
      <c r="G229" s="2" t="n">
        <v>25</v>
      </c>
      <c r="H229" s="2" t="n">
        <v>35</v>
      </c>
      <c r="I229" s="1" t="n">
        <v>150</v>
      </c>
      <c r="J229" s="2" t="n">
        <v>235</v>
      </c>
      <c r="K229" s="3" t="n">
        <v>942</v>
      </c>
      <c r="L229" s="4" t="n">
        <v>18375</v>
      </c>
      <c r="M229" s="3" t="n">
        <v>95.7017321457163</v>
      </c>
      <c r="N229" s="12" t="n">
        <v>0.051265306122449</v>
      </c>
      <c r="O229" s="4" t="n">
        <v>56.35</v>
      </c>
      <c r="P229" s="3" t="n">
        <v>333.119073734204</v>
      </c>
      <c r="Q229" s="4" t="n">
        <f aca="false">(P229-P$354)/P$355</f>
        <v>0.741358048898705</v>
      </c>
      <c r="R229" s="4" t="n">
        <v>0.23</v>
      </c>
      <c r="S229" s="13" t="n">
        <f aca="false">P229/200000</f>
        <v>0.00166559536867102</v>
      </c>
      <c r="W229" s="4" t="n">
        <f aca="false">$X$2*($X$3*$G229+$X$4*$B229^$X$5*$N229^$X$6)*$S229^$X$7</f>
        <v>0.25650785781651</v>
      </c>
      <c r="X229" s="4" t="n">
        <f aca="false">W229/$R229</f>
        <v>1.11525155572396</v>
      </c>
      <c r="Z229" s="4" t="n">
        <f aca="false">$AA$2*$B229^$AA$3*$S229^$AA$4*($AA$5*$N229^$AA$6+$AA$7)</f>
        <v>0.261224892475132</v>
      </c>
      <c r="AA229" s="4" t="n">
        <f aca="false">Z229/$R229</f>
        <v>1.13576040206579</v>
      </c>
      <c r="AC229" s="4" t="n">
        <f aca="false">$AD$2*($AD$3+$AD$4*$F229/($N229*'Sem TS MC2020'!P221))*($AD$5*$G229+$AD$6*$B229/$N229)*'Sem TS MC2020'!R221*($J229-$M229)/($J229-$M229-$H229)</f>
        <v>0.228174467097841</v>
      </c>
      <c r="AD229" s="4" t="n">
        <f aca="false">AC229/$R229</f>
        <v>0.992062900425397</v>
      </c>
      <c r="AE229" s="24" t="n">
        <f aca="false">AC229-$R229</f>
        <v>-0.00182553290215862</v>
      </c>
      <c r="AF229" s="25" t="n">
        <f aca="false">1/AD229</f>
        <v>1.00800060114253</v>
      </c>
      <c r="AG229" s="25" t="n">
        <f aca="false">AC229*(14.068*'Sem TS MC2020'!$P221^-0.457)/$R229</f>
        <v>0.952440979163205</v>
      </c>
      <c r="AH229" s="25"/>
      <c r="AP229" s="4" t="n">
        <f aca="false">$AQ$2*($AQ$3+$AQ$4*$F229/($N229*'Sem TS MC2020'!P221))*($AQ$5*$G229+$AQ$6*$B229/$N229)*('Sem TS MC2020'!P221^$AQ$7/200000)*($J229-$M229)/($J229-$M229-$H229)+('Sem TS MC2020'!P221-$C229/$AQ$8)*($AQ$5*$G229+$AQ$6*$B229/$N229)/200000</f>
        <v>0.22934169693424</v>
      </c>
      <c r="AQ229" s="4" t="n">
        <f aca="false">AP229/$R229</f>
        <v>0.997137812757563</v>
      </c>
      <c r="AR229" s="24" t="n">
        <f aca="false">AP229-$R229</f>
        <v>-0.000658303065760452</v>
      </c>
    </row>
    <row r="230" customFormat="false" ht="14.25" hidden="false" customHeight="false" outlineLevel="0" collapsed="false">
      <c r="B230" s="2" t="n">
        <v>20</v>
      </c>
      <c r="C230" s="3" t="n">
        <v>528</v>
      </c>
      <c r="D230" s="3" t="n">
        <v>3</v>
      </c>
      <c r="E230" s="2" t="n">
        <v>12</v>
      </c>
      <c r="F230" s="4" t="n">
        <v>3.42</v>
      </c>
      <c r="G230" s="2" t="n">
        <v>25</v>
      </c>
      <c r="H230" s="2" t="n">
        <v>35</v>
      </c>
      <c r="I230" s="1" t="n">
        <v>150</v>
      </c>
      <c r="J230" s="2" t="n">
        <v>235</v>
      </c>
      <c r="K230" s="3" t="n">
        <v>942</v>
      </c>
      <c r="L230" s="4" t="n">
        <v>18375</v>
      </c>
      <c r="M230" s="3" t="n">
        <v>95.7017321457163</v>
      </c>
      <c r="N230" s="12" t="n">
        <v>0.051265306122449</v>
      </c>
      <c r="O230" s="4" t="n">
        <v>62.675</v>
      </c>
      <c r="P230" s="3" t="n">
        <v>380.681942842375</v>
      </c>
      <c r="Q230" s="4" t="n">
        <f aca="false">(P230-P$354)/P$355</f>
        <v>1.14011242592571</v>
      </c>
      <c r="R230" s="4" t="n">
        <v>0.25</v>
      </c>
      <c r="S230" s="13" t="n">
        <f aca="false">P230/200000</f>
        <v>0.00190340971421188</v>
      </c>
      <c r="W230" s="4" t="n">
        <f aca="false">$X$2*($X$3*$G230+$X$4*$B230^$X$5*$N230^$X$6)*$S230^$X$7</f>
        <v>0.278524694840677</v>
      </c>
      <c r="X230" s="4" t="n">
        <f aca="false">W230/$R230</f>
        <v>1.11409877936271</v>
      </c>
      <c r="Z230" s="4" t="n">
        <f aca="false">$AA$2*$B230^$AA$3*$S230^$AA$4*($AA$5*$N230^$AA$6+$AA$7)</f>
        <v>0.284063335949051</v>
      </c>
      <c r="AA230" s="4" t="n">
        <f aca="false">Z230/$R230</f>
        <v>1.1362533437962</v>
      </c>
      <c r="AC230" s="4" t="n">
        <f aca="false">$AD$2*($AD$3+$AD$4*$F230/($N230*'Sem TS MC2020'!P222))*($AD$5*$G230+$AD$6*$B230/$N230)*'Sem TS MC2020'!R222*($J230-$M230)/($J230-$M230-$H230)</f>
        <v>0.256694662645839</v>
      </c>
      <c r="AD230" s="4" t="n">
        <f aca="false">AC230/$R230</f>
        <v>1.02677865058336</v>
      </c>
      <c r="AE230" s="24" t="n">
        <f aca="false">AC230-$R230</f>
        <v>0.00669466264583907</v>
      </c>
      <c r="AF230" s="25" t="n">
        <f aca="false">1/AD230</f>
        <v>0.973919743492775</v>
      </c>
      <c r="AG230" s="25" t="n">
        <f aca="false">AC230*(14.068*'Sem TS MC2020'!$P222^-0.457)/$R230</f>
        <v>0.93899245135914</v>
      </c>
      <c r="AH230" s="25"/>
      <c r="AP230" s="4" t="n">
        <f aca="false">$AQ$2*($AQ$3+$AQ$4*$F230/($N230*'Sem TS MC2020'!P222))*($AQ$5*$G230+$AQ$6*$B230/$N230)*('Sem TS MC2020'!P222^$AQ$7/200000)*($J230-$M230)/($J230-$M230-$H230)+('Sem TS MC2020'!P222-$C230/$AQ$8)*($AQ$5*$G230+$AQ$6*$B230/$N230)/200000</f>
        <v>0.254466035040815</v>
      </c>
      <c r="AQ230" s="4" t="n">
        <f aca="false">AP230/$R230</f>
        <v>1.01786414016326</v>
      </c>
      <c r="AR230" s="24" t="n">
        <f aca="false">AP230-$R230</f>
        <v>0.004466035040815</v>
      </c>
    </row>
    <row r="231" customFormat="false" ht="14.25" hidden="false" customHeight="false" outlineLevel="0" collapsed="false">
      <c r="B231" s="2" t="n">
        <v>20</v>
      </c>
      <c r="C231" s="3" t="n">
        <v>528</v>
      </c>
      <c r="D231" s="3" t="n">
        <v>3</v>
      </c>
      <c r="E231" s="2" t="n">
        <v>12</v>
      </c>
      <c r="F231" s="4" t="n">
        <v>3.42</v>
      </c>
      <c r="G231" s="2" t="n">
        <v>25</v>
      </c>
      <c r="H231" s="2" t="n">
        <v>35</v>
      </c>
      <c r="I231" s="1" t="n">
        <v>150</v>
      </c>
      <c r="J231" s="2" t="n">
        <v>235</v>
      </c>
      <c r="K231" s="3" t="n">
        <v>942</v>
      </c>
      <c r="L231" s="4" t="n">
        <v>18375</v>
      </c>
      <c r="M231" s="3" t="n">
        <v>95.7017321457163</v>
      </c>
      <c r="N231" s="12" t="n">
        <v>0.051265306122449</v>
      </c>
      <c r="O231" s="4" t="n">
        <v>68.425</v>
      </c>
      <c r="P231" s="3" t="n">
        <v>423.920914758895</v>
      </c>
      <c r="Q231" s="4" t="n">
        <f aca="false">(P231-P$354)/P$355</f>
        <v>1.50261640504117</v>
      </c>
      <c r="R231" s="4" t="n">
        <v>0.29</v>
      </c>
      <c r="S231" s="13" t="n">
        <f aca="false">P231/200000</f>
        <v>0.00211960457379447</v>
      </c>
      <c r="W231" s="4" t="n">
        <f aca="false">$X$2*($X$3*$G231+$X$4*$B231^$X$5*$N231^$X$6)*$S231^$X$7</f>
        <v>0.297640160898663</v>
      </c>
      <c r="X231" s="4" t="n">
        <f aca="false">W231/$R231</f>
        <v>1.02634538240918</v>
      </c>
      <c r="Z231" s="4" t="n">
        <f aca="false">$AA$2*$B231^$AA$3*$S231^$AA$4*($AA$5*$N231^$AA$6+$AA$7)</f>
        <v>0.303918372407168</v>
      </c>
      <c r="AA231" s="4" t="n">
        <f aca="false">Z231/$R231</f>
        <v>1.04799438761092</v>
      </c>
      <c r="AC231" s="4" t="n">
        <f aca="false">$AD$2*($AD$3+$AD$4*$F231/($N231*'Sem TS MC2020'!P223))*($AD$5*$G231+$AD$6*$B231/$N231)*'Sem TS MC2020'!R223*($J231-$M231)/($J231-$M231-$H231)</f>
        <v>0.282622113144019</v>
      </c>
      <c r="AD231" s="4" t="n">
        <f aca="false">AC231/$R231</f>
        <v>0.974559010841444</v>
      </c>
      <c r="AE231" s="24" t="n">
        <f aca="false">AC231-$R231</f>
        <v>-0.00737788685598118</v>
      </c>
      <c r="AF231" s="25" t="n">
        <f aca="false">1/AD231</f>
        <v>1.0261051294745</v>
      </c>
      <c r="AG231" s="25" t="n">
        <f aca="false">AC231*(14.068*'Sem TS MC2020'!$P223^-0.457)/$R231</f>
        <v>0.856194355763229</v>
      </c>
      <c r="AH231" s="25"/>
      <c r="AP231" s="4" t="n">
        <f aca="false">$AQ$2*($AQ$3+$AQ$4*$F231/($N231*'Sem TS MC2020'!P223))*($AQ$5*$G231+$AQ$6*$B231/$N231)*('Sem TS MC2020'!P223^$AQ$7/200000)*($J231-$M231)/($J231-$M231-$H231)+('Sem TS MC2020'!P223-$C231/$AQ$8)*($AQ$5*$G231+$AQ$6*$B231/$N231)/200000</f>
        <v>0.276897483981498</v>
      </c>
      <c r="AQ231" s="4" t="n">
        <f aca="false">AP231/$R231</f>
        <v>0.954818910281029</v>
      </c>
      <c r="AR231" s="24" t="n">
        <f aca="false">AP231-$R231</f>
        <v>-0.0131025160185017</v>
      </c>
    </row>
    <row r="232" customFormat="false" ht="14.25" hidden="false" customHeight="false" outlineLevel="0" collapsed="false">
      <c r="B232" s="2" t="n">
        <v>20</v>
      </c>
      <c r="C232" s="3" t="n">
        <v>528</v>
      </c>
      <c r="D232" s="3" t="n">
        <v>3</v>
      </c>
      <c r="E232" s="2" t="n">
        <v>12</v>
      </c>
      <c r="F232" s="4" t="n">
        <v>3.42</v>
      </c>
      <c r="G232" s="2" t="n">
        <v>25</v>
      </c>
      <c r="H232" s="2" t="n">
        <v>35</v>
      </c>
      <c r="I232" s="1" t="n">
        <v>150</v>
      </c>
      <c r="J232" s="2" t="n">
        <v>235</v>
      </c>
      <c r="K232" s="3" t="n">
        <v>942</v>
      </c>
      <c r="L232" s="4" t="n">
        <v>18375</v>
      </c>
      <c r="M232" s="3" t="n">
        <v>95.7017321457163</v>
      </c>
      <c r="N232" s="12" t="n">
        <v>0.051265306122449</v>
      </c>
      <c r="O232" s="4" t="n">
        <v>74.175</v>
      </c>
      <c r="P232" s="3" t="n">
        <v>467.159886675414</v>
      </c>
      <c r="Q232" s="4" t="n">
        <f aca="false">(P232-P$354)/P$355</f>
        <v>1.86512038415663</v>
      </c>
      <c r="R232" s="4" t="n">
        <v>0.31</v>
      </c>
      <c r="S232" s="13" t="n">
        <f aca="false">P232/200000</f>
        <v>0.00233579943337707</v>
      </c>
      <c r="W232" s="4" t="n">
        <f aca="false">$X$2*($X$3*$G232+$X$4*$B232^$X$5*$N232^$X$6)*$S232^$X$7</f>
        <v>0.31602178588391</v>
      </c>
      <c r="X232" s="4" t="n">
        <f aca="false">W232/$R232</f>
        <v>1.01942511575455</v>
      </c>
      <c r="Z232" s="4" t="n">
        <f aca="false">$AA$2*$B232^$AA$3*$S232^$AA$4*($AA$5*$N232^$AA$6+$AA$7)</f>
        <v>0.32303266091138</v>
      </c>
      <c r="AA232" s="4" t="n">
        <f aca="false">Z232/$R232</f>
        <v>1.04204084164961</v>
      </c>
      <c r="AC232" s="4" t="n">
        <f aca="false">$AD$2*($AD$3+$AD$4*$F232/($N232*'Sem TS MC2020'!P224))*($AD$5*$G232+$AD$6*$B232/$N232)*'Sem TS MC2020'!R224*($J232-$M232)/($J232-$M232-$H232)</f>
        <v>0.308549563642199</v>
      </c>
      <c r="AD232" s="4" t="n">
        <f aca="false">AC232/$R232</f>
        <v>0.99532117303935</v>
      </c>
      <c r="AE232" s="24" t="n">
        <f aca="false">AC232-$R232</f>
        <v>-0.00145043635780151</v>
      </c>
      <c r="AF232" s="25" t="n">
        <f aca="false">1/AD232</f>
        <v>1.00470082129004</v>
      </c>
      <c r="AG232" s="25" t="n">
        <f aca="false">AC232*(14.068*'Sem TS MC2020'!$P224^-0.457)/$R232</f>
        <v>0.842777486638019</v>
      </c>
      <c r="AH232" s="25"/>
      <c r="AP232" s="4" t="n">
        <f aca="false">$AQ$2*($AQ$3+$AQ$4*$F232/($N232*'Sem TS MC2020'!P224))*($AQ$5*$G232+$AQ$6*$B232/$N232)*('Sem TS MC2020'!P224^$AQ$7/200000)*($J232-$M232)/($J232-$M232-$H232)+('Sem TS MC2020'!P224-$C232/$AQ$8)*($AQ$5*$G232+$AQ$6*$B232/$N232)/200000</f>
        <v>0.298982948048125</v>
      </c>
      <c r="AQ232" s="4" t="n">
        <f aca="false">AP232/$R232</f>
        <v>0.964461122735889</v>
      </c>
      <c r="AR232" s="24" t="n">
        <f aca="false">AP232-$R232</f>
        <v>-0.0110170519518746</v>
      </c>
    </row>
    <row r="233" customFormat="false" ht="14.25" hidden="false" customHeight="false" outlineLevel="0" collapsed="false">
      <c r="B233" s="2" t="n">
        <v>20</v>
      </c>
      <c r="C233" s="3" t="n">
        <v>528</v>
      </c>
      <c r="D233" s="3" t="n">
        <v>3</v>
      </c>
      <c r="E233" s="2" t="n">
        <v>12</v>
      </c>
      <c r="F233" s="4" t="n">
        <v>3.42</v>
      </c>
      <c r="G233" s="2" t="n">
        <v>25</v>
      </c>
      <c r="H233" s="2" t="n">
        <v>35</v>
      </c>
      <c r="I233" s="1" t="n">
        <v>150</v>
      </c>
      <c r="J233" s="2" t="n">
        <v>235</v>
      </c>
      <c r="K233" s="3" t="n">
        <v>942</v>
      </c>
      <c r="L233" s="4" t="n">
        <v>18375</v>
      </c>
      <c r="M233" s="3" t="n">
        <v>95.7017321457163</v>
      </c>
      <c r="N233" s="12" t="n">
        <v>0.051265306122449</v>
      </c>
      <c r="O233" s="4" t="n">
        <v>79.35</v>
      </c>
      <c r="P233" s="3" t="n">
        <v>501.106235095073</v>
      </c>
      <c r="Q233" s="4" t="n">
        <f aca="false">(P233-P$354)/P$355</f>
        <v>2.14971749257828</v>
      </c>
      <c r="R233" s="4" t="n">
        <v>0.37</v>
      </c>
      <c r="S233" s="13" t="n">
        <f aca="false">P233/200000</f>
        <v>0.00250553117547537</v>
      </c>
      <c r="W233" s="4" t="n">
        <f aca="false">$X$2*($X$3*$G233+$X$4*$B233^$X$5*$N233^$X$6)*$S233^$X$7</f>
        <v>0.329999645050852</v>
      </c>
      <c r="X233" s="4" t="n">
        <f aca="false">W233/$R233</f>
        <v>0.89189093256987</v>
      </c>
      <c r="Z233" s="4" t="n">
        <f aca="false">$AA$2*$B233^$AA$3*$S233^$AA$4*($AA$5*$N233^$AA$6+$AA$7)</f>
        <v>0.337580996980732</v>
      </c>
      <c r="AA233" s="4" t="n">
        <f aca="false">Z233/$R233</f>
        <v>0.912381072920897</v>
      </c>
      <c r="AC233" s="4" t="n">
        <f aca="false">$AD$2*($AD$3+$AD$4*$F233/($N233*'Sem TS MC2020'!P225))*($AD$5*$G233+$AD$6*$B233/$N233)*'Sem TS MC2020'!R225*($J233-$M233)/($J233-$M233-$H233)</f>
        <v>0.33188426909056</v>
      </c>
      <c r="AD233" s="4" t="n">
        <f aca="false">AC233/$R233</f>
        <v>0.896984511055568</v>
      </c>
      <c r="AE233" s="24" t="n">
        <f aca="false">AC233-$R233</f>
        <v>-0.0381157309094399</v>
      </c>
      <c r="AF233" s="25" t="n">
        <f aca="false">1/AD233</f>
        <v>1.11484645239103</v>
      </c>
      <c r="AG233" s="25" t="n">
        <f aca="false">AC233*(14.068*'Sem TS MC2020'!$P225^-0.457)/$R233</f>
        <v>0.736460370098729</v>
      </c>
      <c r="AH233" s="25"/>
      <c r="AP233" s="4" t="n">
        <f aca="false">$AQ$2*($AQ$3+$AQ$4*$F233/($N233*'Sem TS MC2020'!P225))*($AQ$5*$G233+$AQ$6*$B233/$N233)*('Sem TS MC2020'!P225^$AQ$7/200000)*($J233-$M233)/($J233-$M233-$H233)+('Sem TS MC2020'!P225-$C233/$AQ$8)*($AQ$5*$G233+$AQ$6*$B233/$N233)/200000</f>
        <v>0.318592428184338</v>
      </c>
      <c r="AQ233" s="4" t="n">
        <f aca="false">AP233/$R233</f>
        <v>0.861060616714428</v>
      </c>
      <c r="AR233" s="24" t="n">
        <f aca="false">AP233-$R233</f>
        <v>-0.0514075718156616</v>
      </c>
    </row>
    <row r="234" customFormat="false" ht="14.25" hidden="false" customHeight="false" outlineLevel="0" collapsed="false">
      <c r="A234" s="1" t="s">
        <v>69</v>
      </c>
      <c r="B234" s="2" t="n">
        <v>16</v>
      </c>
      <c r="C234" s="3" t="n">
        <v>528</v>
      </c>
      <c r="D234" s="3" t="n">
        <v>2</v>
      </c>
      <c r="E234" s="2" t="n">
        <v>52</v>
      </c>
      <c r="F234" s="4" t="n">
        <v>2.98</v>
      </c>
      <c r="G234" s="2" t="n">
        <v>27</v>
      </c>
      <c r="H234" s="2" t="n">
        <v>35</v>
      </c>
      <c r="I234" s="1" t="n">
        <v>150</v>
      </c>
      <c r="J234" s="2" t="n">
        <v>235</v>
      </c>
      <c r="K234" s="3" t="n">
        <v>402</v>
      </c>
      <c r="L234" s="4" t="n">
        <v>17250</v>
      </c>
      <c r="M234" s="3" t="n">
        <v>67.594050734713</v>
      </c>
      <c r="N234" s="12" t="n">
        <v>0.023304347826087</v>
      </c>
      <c r="O234" s="4" t="n">
        <v>26.45</v>
      </c>
      <c r="P234" s="3" t="n">
        <v>338.456713481225</v>
      </c>
      <c r="Q234" s="4" t="n">
        <f aca="false">(P234-P$354)/P$355</f>
        <v>0.786107393335377</v>
      </c>
      <c r="R234" s="4" t="n">
        <v>0.16</v>
      </c>
      <c r="S234" s="13" t="n">
        <f aca="false">P234/200000</f>
        <v>0.00169228356740612</v>
      </c>
      <c r="W234" s="4" t="n">
        <f aca="false">$X$2*($X$3*$G234+$X$4*$B234^$X$5*$N234^$X$6)*$S234^$X$7</f>
        <v>0.309799534495655</v>
      </c>
      <c r="X234" s="4" t="n">
        <f aca="false">W234/$R234</f>
        <v>1.93624709059784</v>
      </c>
      <c r="Z234" s="4" t="n">
        <f aca="false">$AA$2*$B234^$AA$3*$S234^$AA$4*($AA$5*$N234^$AA$6+$AA$7)</f>
        <v>0.306745579286764</v>
      </c>
      <c r="AA234" s="4" t="n">
        <f aca="false">Z234/$R234</f>
        <v>1.91715987054227</v>
      </c>
      <c r="AC234" s="4" t="n">
        <f aca="false">$AD$2*($AD$3+$AD$4*$F234/($N234*'Sem TS MC2020'!P226))*($AD$5*$G234+$AD$6*$B234/$N234)*'Sem TS MC2020'!R226*($J234-$M234)/($J234-$M234-$H234)</f>
        <v>0.314986434559002</v>
      </c>
      <c r="AD234" s="4" t="n">
        <f aca="false">AC234/$R234</f>
        <v>1.96866521599376</v>
      </c>
      <c r="AE234" s="24" t="n">
        <f aca="false">AC234-$R234</f>
        <v>0.154986434559002</v>
      </c>
      <c r="AF234" s="25" t="n">
        <f aca="false">1/AD234</f>
        <v>0.507958383109447</v>
      </c>
      <c r="AG234" s="25" t="n">
        <f aca="false">AC234*(14.068*'Sem TS MC2020'!$P226^-0.457)/$R234</f>
        <v>1.85496445259083</v>
      </c>
      <c r="AH234" s="25"/>
      <c r="AP234" s="4" t="n">
        <f aca="false">$AQ$2*($AQ$3+$AQ$4*$F234/($N234*'Sem TS MC2020'!P226))*($AQ$5*$G234+$AQ$6*$B234/$N234)*('Sem TS MC2020'!P226^$AQ$7/200000)*($J234-$M234)/($J234-$M234-$H234)+('Sem TS MC2020'!P226-$C234/$AQ$8)*($AQ$5*$G234+$AQ$6*$B234/$N234)/200000</f>
        <v>0.321860019998145</v>
      </c>
      <c r="AQ234" s="4" t="n">
        <f aca="false">AP234/$R234</f>
        <v>2.0116251249884</v>
      </c>
      <c r="AR234" s="24" t="n">
        <f aca="false">AP234-$R234</f>
        <v>0.161860019998145</v>
      </c>
    </row>
    <row r="235" customFormat="false" ht="14.25" hidden="false" customHeight="false" outlineLevel="0" collapsed="false">
      <c r="B235" s="2" t="n">
        <v>16</v>
      </c>
      <c r="C235" s="3" t="n">
        <v>528</v>
      </c>
      <c r="D235" s="3" t="n">
        <v>2</v>
      </c>
      <c r="E235" s="2" t="n">
        <v>52</v>
      </c>
      <c r="F235" s="4" t="n">
        <v>2.98</v>
      </c>
      <c r="G235" s="2" t="n">
        <v>27</v>
      </c>
      <c r="H235" s="2" t="n">
        <v>35</v>
      </c>
      <c r="I235" s="1" t="n">
        <v>150</v>
      </c>
      <c r="J235" s="2" t="n">
        <v>235</v>
      </c>
      <c r="K235" s="3" t="n">
        <v>402</v>
      </c>
      <c r="L235" s="4" t="n">
        <v>17250</v>
      </c>
      <c r="M235" s="3" t="n">
        <v>67.594050734713</v>
      </c>
      <c r="N235" s="12" t="n">
        <v>0.023304347826087</v>
      </c>
      <c r="O235" s="4" t="n">
        <v>31.625</v>
      </c>
      <c r="P235" s="3" t="n">
        <v>433.448741301709</v>
      </c>
      <c r="Q235" s="4" t="n">
        <f aca="false">(P235-P$354)/P$355</f>
        <v>1.5824951551826</v>
      </c>
      <c r="R235" s="4" t="n">
        <v>0.2</v>
      </c>
      <c r="S235" s="13" t="n">
        <f aca="false">P235/200000</f>
        <v>0.00216724370650854</v>
      </c>
      <c r="W235" s="4" t="n">
        <f aca="false">$X$2*($X$3*$G235+$X$4*$B235^$X$5*$N235^$X$6)*$S235^$X$7</f>
        <v>0.36088424045636</v>
      </c>
      <c r="X235" s="4" t="n">
        <f aca="false">W235/$R235</f>
        <v>1.8044212022818</v>
      </c>
      <c r="Z235" s="4" t="n">
        <f aca="false">$AA$2*$B235^$AA$3*$S235^$AA$4*($AA$5*$N235^$AA$6+$AA$7)</f>
        <v>0.358300364182374</v>
      </c>
      <c r="AA235" s="4" t="n">
        <f aca="false">Z235/$R235</f>
        <v>1.79150182091187</v>
      </c>
      <c r="AC235" s="4" t="n">
        <f aca="false">$AD$2*($AD$3+$AD$4*$F235/($N235*'Sem TS MC2020'!P227))*($AD$5*$G235+$AD$6*$B235/$N235)*'Sem TS MC2020'!R227*($J235-$M235)/($J235-$M235-$H235)</f>
        <v>0.390849401161328</v>
      </c>
      <c r="AD235" s="4" t="n">
        <f aca="false">AC235/$R235</f>
        <v>1.95424700580664</v>
      </c>
      <c r="AE235" s="24" t="n">
        <f aca="false">AC235-$R235</f>
        <v>0.190849401161328</v>
      </c>
      <c r="AF235" s="25" t="n">
        <f aca="false">1/AD235</f>
        <v>0.511706041779113</v>
      </c>
      <c r="AG235" s="25" t="n">
        <f aca="false">AC235*(14.068*'Sem TS MC2020'!$P227^-0.457)/$R235</f>
        <v>1.69698404376843</v>
      </c>
      <c r="AH235" s="25"/>
      <c r="AP235" s="4" t="n">
        <f aca="false">$AQ$2*($AQ$3+$AQ$4*$F235/($N235*'Sem TS MC2020'!P227))*($AQ$5*$G235+$AQ$6*$B235/$N235)*('Sem TS MC2020'!P227^$AQ$7/200000)*($J235-$M235)/($J235-$M235-$H235)+('Sem TS MC2020'!P227-$C235/$AQ$8)*($AQ$5*$G235+$AQ$6*$B235/$N235)/200000</f>
        <v>0.390483935514498</v>
      </c>
      <c r="AQ235" s="4" t="n">
        <f aca="false">AP235/$R235</f>
        <v>1.95241967757249</v>
      </c>
      <c r="AR235" s="24" t="n">
        <f aca="false">AP235-$R235</f>
        <v>0.190483935514498</v>
      </c>
    </row>
    <row r="236" customFormat="false" ht="14.25" hidden="false" customHeight="false" outlineLevel="0" collapsed="false">
      <c r="B236" s="2" t="n">
        <v>16</v>
      </c>
      <c r="C236" s="3" t="n">
        <v>528</v>
      </c>
      <c r="D236" s="3" t="n">
        <v>2</v>
      </c>
      <c r="E236" s="2" t="n">
        <v>52</v>
      </c>
      <c r="F236" s="4" t="n">
        <v>2.98</v>
      </c>
      <c r="G236" s="2" t="n">
        <v>27</v>
      </c>
      <c r="H236" s="2" t="n">
        <v>35</v>
      </c>
      <c r="I236" s="1" t="n">
        <v>150</v>
      </c>
      <c r="J236" s="2" t="n">
        <v>235</v>
      </c>
      <c r="K236" s="3" t="n">
        <v>402</v>
      </c>
      <c r="L236" s="4" t="n">
        <v>17250</v>
      </c>
      <c r="M236" s="3" t="n">
        <v>67.594050734713</v>
      </c>
      <c r="N236" s="12" t="n">
        <v>0.023304347826087</v>
      </c>
      <c r="O236" s="4" t="n">
        <v>37.375</v>
      </c>
      <c r="P236" s="3" t="n">
        <v>523.882031807992</v>
      </c>
      <c r="Q236" s="4" t="n">
        <f aca="false">(P236-P$354)/P$355</f>
        <v>2.34066368232346</v>
      </c>
      <c r="R236" s="4" t="n">
        <v>0.26</v>
      </c>
      <c r="S236" s="13" t="n">
        <f aca="false">P236/200000</f>
        <v>0.00261941015903996</v>
      </c>
      <c r="W236" s="4" t="n">
        <f aca="false">$X$2*($X$3*$G236+$X$4*$B236^$X$5*$N236^$X$6)*$S236^$X$7</f>
        <v>0.405643386048848</v>
      </c>
      <c r="X236" s="4" t="n">
        <f aca="false">W236/$R236</f>
        <v>1.56016686941864</v>
      </c>
      <c r="Z236" s="4" t="n">
        <f aca="false">$AA$2*$B236^$AA$3*$S236^$AA$4*($AA$5*$N236^$AA$6+$AA$7)</f>
        <v>0.403579395069043</v>
      </c>
      <c r="AA236" s="4" t="n">
        <f aca="false">Z236/$R236</f>
        <v>1.55222844257324</v>
      </c>
      <c r="AC236" s="4" t="n">
        <f aca="false">$AD$2*($AD$3+$AD$4*$F236/($N236*'Sem TS MC2020'!P228))*($AD$5*$G236+$AD$6*$B236/$N236)*'Sem TS MC2020'!R228*($J236-$M236)/($J236-$M236-$H236)</f>
        <v>0.475141586275024</v>
      </c>
      <c r="AD236" s="4" t="n">
        <f aca="false">AC236/$R236</f>
        <v>1.82746763951932</v>
      </c>
      <c r="AE236" s="24" t="n">
        <f aca="false">AC236-$R236</f>
        <v>0.215141586275024</v>
      </c>
      <c r="AF236" s="25" t="n">
        <f aca="false">1/AD236</f>
        <v>0.547205312080398</v>
      </c>
      <c r="AG236" s="25" t="n">
        <f aca="false">AC236*(14.068*'Sem TS MC2020'!$P228^-0.457)/$R236</f>
        <v>1.47025391314392</v>
      </c>
      <c r="AH236" s="25"/>
      <c r="AP236" s="4" t="n">
        <f aca="false">$AQ$2*($AQ$3+$AQ$4*$F236/($N236*'Sem TS MC2020'!P228))*($AQ$5*$G236+$AQ$6*$B236/$N236)*('Sem TS MC2020'!P228^$AQ$7/200000)*($J236-$M236)/($J236-$M236-$H236)+('Sem TS MC2020'!P228-$C236/$AQ$8)*($AQ$5*$G236+$AQ$6*$B236/$N236)/200000</f>
        <v>0.464163524401072</v>
      </c>
      <c r="AQ236" s="4" t="n">
        <f aca="false">AP236/$R236</f>
        <v>1.78524432461951</v>
      </c>
      <c r="AR236" s="24" t="n">
        <f aca="false">AP236-$R236</f>
        <v>0.204163524401072</v>
      </c>
    </row>
    <row r="237" customFormat="false" ht="14.25" hidden="false" customHeight="false" outlineLevel="0" collapsed="false">
      <c r="A237" s="1" t="s">
        <v>70</v>
      </c>
      <c r="B237" s="2" t="n">
        <v>20</v>
      </c>
      <c r="C237" s="3" t="n">
        <v>528</v>
      </c>
      <c r="D237" s="3" t="n">
        <v>2</v>
      </c>
      <c r="E237" s="2" t="n">
        <v>44</v>
      </c>
      <c r="F237" s="4" t="n">
        <v>2.98</v>
      </c>
      <c r="G237" s="2" t="n">
        <v>25</v>
      </c>
      <c r="H237" s="2" t="n">
        <v>35</v>
      </c>
      <c r="I237" s="1" t="n">
        <v>150</v>
      </c>
      <c r="J237" s="2" t="n">
        <v>235</v>
      </c>
      <c r="K237" s="3" t="n">
        <v>628</v>
      </c>
      <c r="L237" s="4" t="n">
        <v>18375</v>
      </c>
      <c r="M237" s="3" t="n">
        <v>80.321192218195</v>
      </c>
      <c r="N237" s="12" t="n">
        <v>0.0341768707482993</v>
      </c>
      <c r="O237" s="4" t="n">
        <v>28.75</v>
      </c>
      <c r="P237" s="3" t="n">
        <v>217.081004934473</v>
      </c>
      <c r="Q237" s="4" t="n">
        <f aca="false">(P237-P$354)/P$355</f>
        <v>-0.231474093132536</v>
      </c>
      <c r="R237" s="4" t="n">
        <v>0.17</v>
      </c>
      <c r="S237" s="13" t="n">
        <f aca="false">P237/200000</f>
        <v>0.00108540502467237</v>
      </c>
      <c r="W237" s="4" t="n">
        <f aca="false">$X$2*($X$3*$G237+$X$4*$B237^$X$5*$N237^$X$6)*$S237^$X$7</f>
        <v>0.233288391911826</v>
      </c>
      <c r="X237" s="4" t="n">
        <f aca="false">W237/$R237</f>
        <v>1.37228465830486</v>
      </c>
      <c r="Z237" s="4" t="n">
        <f aca="false">$AA$2*$B237^$AA$3*$S237^$AA$4*($AA$5*$N237^$AA$6+$AA$7)</f>
        <v>0.232085831058883</v>
      </c>
      <c r="AA237" s="4" t="n">
        <f aca="false">Z237/$R237</f>
        <v>1.36521077093461</v>
      </c>
      <c r="AC237" s="4" t="n">
        <f aca="false">$AD$2*($AD$3+$AD$4*$F237/($N237*'Sem TS MC2020'!P229))*($AD$5*$G237+$AD$6*$B237/$N237)*'Sem TS MC2020'!R229*($J237-$M237)/($J237-$M237-$H237)</f>
        <v>0.201319217011829</v>
      </c>
      <c r="AD237" s="4" t="n">
        <f aca="false">AC237/$R237</f>
        <v>1.18423068830488</v>
      </c>
      <c r="AE237" s="24" t="n">
        <f aca="false">AC237-$R237</f>
        <v>0.0313192170118291</v>
      </c>
      <c r="AF237" s="25" t="n">
        <f aca="false">1/AD237</f>
        <v>0.844430067448609</v>
      </c>
      <c r="AG237" s="25" t="n">
        <f aca="false">AC237*(14.068*'Sem TS MC2020'!$P229^-0.457)/$R237</f>
        <v>1.30252244514654</v>
      </c>
      <c r="AH237" s="25"/>
      <c r="AP237" s="4" t="n">
        <f aca="false">$AQ$2*($AQ$3+$AQ$4*$F237/($N237*'Sem TS MC2020'!P229))*($AQ$5*$G237+$AQ$6*$B237/$N237)*('Sem TS MC2020'!P229^$AQ$7/200000)*($J237-$M237)/($J237-$M237-$H237)+('Sem TS MC2020'!P229-$C237/$AQ$8)*($AQ$5*$G237+$AQ$6*$B237/$N237)/200000</f>
        <v>0.213166371191751</v>
      </c>
      <c r="AQ237" s="4" t="n">
        <f aca="false">AP237/$R237</f>
        <v>1.25391983053971</v>
      </c>
      <c r="AR237" s="24" t="n">
        <f aca="false">AP237-$R237</f>
        <v>0.0431663711917511</v>
      </c>
    </row>
    <row r="238" customFormat="false" ht="14.25" hidden="false" customHeight="false" outlineLevel="0" collapsed="false">
      <c r="B238" s="2" t="n">
        <v>20</v>
      </c>
      <c r="C238" s="3" t="n">
        <v>528</v>
      </c>
      <c r="D238" s="3" t="n">
        <v>2</v>
      </c>
      <c r="E238" s="2" t="n">
        <v>44</v>
      </c>
      <c r="F238" s="4" t="n">
        <v>2.98</v>
      </c>
      <c r="G238" s="2" t="n">
        <v>25</v>
      </c>
      <c r="H238" s="2" t="n">
        <v>35</v>
      </c>
      <c r="I238" s="1" t="n">
        <v>150</v>
      </c>
      <c r="J238" s="2" t="n">
        <v>235</v>
      </c>
      <c r="K238" s="3" t="n">
        <v>628</v>
      </c>
      <c r="L238" s="4" t="n">
        <v>18375</v>
      </c>
      <c r="M238" s="3" t="n">
        <v>80.321192218195</v>
      </c>
      <c r="N238" s="12" t="n">
        <v>0.0341768707482993</v>
      </c>
      <c r="O238" s="4" t="n">
        <v>32.775</v>
      </c>
      <c r="P238" s="3" t="n">
        <v>262.365326159654</v>
      </c>
      <c r="Q238" s="4" t="n">
        <f aca="false">(P238-P$354)/P$355</f>
        <v>0.148177547691956</v>
      </c>
      <c r="R238" s="4" t="n">
        <v>0.19</v>
      </c>
      <c r="S238" s="13" t="n">
        <f aca="false">P238/200000</f>
        <v>0.00131182663079827</v>
      </c>
      <c r="W238" s="4" t="n">
        <f aca="false">$X$2*($X$3*$G238+$X$4*$B238^$X$5*$N238^$X$6)*$S238^$X$7</f>
        <v>0.262218142819818</v>
      </c>
      <c r="X238" s="4" t="n">
        <f aca="false">W238/$R238</f>
        <v>1.38009548852536</v>
      </c>
      <c r="Z238" s="4" t="n">
        <f aca="false">$AA$2*$B238^$AA$3*$S238^$AA$4*($AA$5*$N238^$AA$6+$AA$7)</f>
        <v>0.261410703482756</v>
      </c>
      <c r="AA238" s="4" t="n">
        <f aca="false">Z238/$R238</f>
        <v>1.37584580780398</v>
      </c>
      <c r="AC238" s="4" t="n">
        <f aca="false">$AD$2*($AD$3+$AD$4*$F238/($N238*'Sem TS MC2020'!P230))*($AD$5*$G238+$AD$6*$B238/$N238)*'Sem TS MC2020'!R230*($J238-$M238)/($J238-$M238-$H238)</f>
        <v>0.23566962110314</v>
      </c>
      <c r="AD238" s="4" t="n">
        <f aca="false">AC238/$R238</f>
        <v>1.24036642685863</v>
      </c>
      <c r="AE238" s="24" t="n">
        <f aca="false">AC238-$R238</f>
        <v>0.0456696211031399</v>
      </c>
      <c r="AF238" s="25" t="n">
        <f aca="false">1/AD238</f>
        <v>0.806213372392394</v>
      </c>
      <c r="AG238" s="25" t="n">
        <f aca="false">AC238*(14.068*'Sem TS MC2020'!$P230^-0.457)/$R238</f>
        <v>1.28497118870122</v>
      </c>
      <c r="AH238" s="25"/>
      <c r="AP238" s="4" t="n">
        <f aca="false">$AQ$2*($AQ$3+$AQ$4*$F238/($N238*'Sem TS MC2020'!P230))*($AQ$5*$G238+$AQ$6*$B238/$N238)*('Sem TS MC2020'!P230^$AQ$7/200000)*($J238-$M238)/($J238-$M238-$H238)+('Sem TS MC2020'!P230-$C238/$AQ$8)*($AQ$5*$G238+$AQ$6*$B238/$N238)/200000</f>
        <v>0.246016519307741</v>
      </c>
      <c r="AQ238" s="4" t="n">
        <f aca="false">AP238/$R238</f>
        <v>1.29482378583022</v>
      </c>
      <c r="AR238" s="24" t="n">
        <f aca="false">AP238-$R238</f>
        <v>0.0560165193077409</v>
      </c>
    </row>
    <row r="239" customFormat="false" ht="14.25" hidden="false" customHeight="false" outlineLevel="0" collapsed="false">
      <c r="B239" s="2" t="n">
        <v>20</v>
      </c>
      <c r="C239" s="3" t="n">
        <v>528</v>
      </c>
      <c r="D239" s="3" t="n">
        <v>2</v>
      </c>
      <c r="E239" s="2" t="n">
        <v>44</v>
      </c>
      <c r="F239" s="4" t="n">
        <v>2.98</v>
      </c>
      <c r="G239" s="2" t="n">
        <v>25</v>
      </c>
      <c r="H239" s="2" t="n">
        <v>35</v>
      </c>
      <c r="I239" s="1" t="n">
        <v>150</v>
      </c>
      <c r="J239" s="2" t="n">
        <v>235</v>
      </c>
      <c r="K239" s="3" t="n">
        <v>628</v>
      </c>
      <c r="L239" s="4" t="n">
        <v>18375</v>
      </c>
      <c r="M239" s="3" t="n">
        <v>80.321192218195</v>
      </c>
      <c r="N239" s="12" t="n">
        <v>0.0341768707482993</v>
      </c>
      <c r="O239" s="4" t="n">
        <v>37.95</v>
      </c>
      <c r="P239" s="3" t="n">
        <v>320.588024877743</v>
      </c>
      <c r="Q239" s="4" t="n">
        <f aca="false">(P239-P$354)/P$355</f>
        <v>0.636301085894875</v>
      </c>
      <c r="R239" s="4" t="n">
        <v>0.23</v>
      </c>
      <c r="S239" s="13" t="n">
        <f aca="false">P239/200000</f>
        <v>0.00160294012438872</v>
      </c>
      <c r="W239" s="4" t="n">
        <f aca="false">$X$2*($X$3*$G239+$X$4*$B239^$X$5*$N239^$X$6)*$S239^$X$7</f>
        <v>0.296733750633735</v>
      </c>
      <c r="X239" s="4" t="n">
        <f aca="false">W239/$R239</f>
        <v>1.29014674188581</v>
      </c>
      <c r="Z239" s="4" t="n">
        <f aca="false">$AA$2*$B239^$AA$3*$S239^$AA$4*($AA$5*$N239^$AA$6+$AA$7)</f>
        <v>0.296472915417035</v>
      </c>
      <c r="AA239" s="4" t="n">
        <f aca="false">Z239/$R239</f>
        <v>1.28901267572624</v>
      </c>
      <c r="AC239" s="4" t="n">
        <f aca="false">$AD$2*($AD$3+$AD$4*$F239/($N239*'Sem TS MC2020'!P231))*($AD$5*$G239+$AD$6*$B239/$N239)*'Sem TS MC2020'!R231*($J239-$M239)/($J239-$M239-$H239)</f>
        <v>0.279834426363397</v>
      </c>
      <c r="AD239" s="4" t="n">
        <f aca="false">AC239/$R239</f>
        <v>1.21667141897129</v>
      </c>
      <c r="AE239" s="24" t="n">
        <f aca="false">AC239-$R239</f>
        <v>0.0498344263633967</v>
      </c>
      <c r="AF239" s="25" t="n">
        <f aca="false">1/AD239</f>
        <v>0.821914597817636</v>
      </c>
      <c r="AG239" s="25" t="n">
        <f aca="false">AC239*(14.068*'Sem TS MC2020'!$P231^-0.457)/$R239</f>
        <v>1.17874516431528</v>
      </c>
      <c r="AH239" s="25"/>
      <c r="AP239" s="4" t="n">
        <f aca="false">$AQ$2*($AQ$3+$AQ$4*$F239/($N239*'Sem TS MC2020'!P231))*($AQ$5*$G239+$AQ$6*$B239/$N239)*('Sem TS MC2020'!P231^$AQ$7/200000)*($J239-$M239)/($J239-$M239-$H239)+('Sem TS MC2020'!P231-$C239/$AQ$8)*($AQ$5*$G239+$AQ$6*$B239/$N239)/200000</f>
        <v>0.287095145728701</v>
      </c>
      <c r="AQ239" s="4" t="n">
        <f aca="false">AP239/$R239</f>
        <v>1.24823976403783</v>
      </c>
      <c r="AR239" s="24" t="n">
        <f aca="false">AP239-$R239</f>
        <v>0.0570951457287007</v>
      </c>
    </row>
    <row r="240" customFormat="false" ht="14.25" hidden="false" customHeight="false" outlineLevel="0" collapsed="false">
      <c r="B240" s="2" t="n">
        <v>20</v>
      </c>
      <c r="C240" s="3" t="n">
        <v>528</v>
      </c>
      <c r="D240" s="3" t="n">
        <v>2</v>
      </c>
      <c r="E240" s="2" t="n">
        <v>44</v>
      </c>
      <c r="F240" s="4" t="n">
        <v>2.98</v>
      </c>
      <c r="G240" s="2" t="n">
        <v>25</v>
      </c>
      <c r="H240" s="2" t="n">
        <v>35</v>
      </c>
      <c r="I240" s="1" t="n">
        <v>150</v>
      </c>
      <c r="J240" s="2" t="n">
        <v>235</v>
      </c>
      <c r="K240" s="3" t="n">
        <v>628</v>
      </c>
      <c r="L240" s="4" t="n">
        <v>18375</v>
      </c>
      <c r="M240" s="3" t="n">
        <v>80.321192218195</v>
      </c>
      <c r="N240" s="12" t="n">
        <v>0.0341768707482993</v>
      </c>
      <c r="O240" s="4" t="n">
        <v>40.25</v>
      </c>
      <c r="P240" s="3" t="n">
        <v>346.464779863561</v>
      </c>
      <c r="Q240" s="4" t="n">
        <f aca="false">(P240-P$354)/P$355</f>
        <v>0.853244880651729</v>
      </c>
      <c r="R240" s="4" t="n">
        <v>0.25</v>
      </c>
      <c r="S240" s="13" t="n">
        <f aca="false">P240/200000</f>
        <v>0.0017323238993178</v>
      </c>
      <c r="W240" s="4" t="n">
        <f aca="false">$X$2*($X$3*$G240+$X$4*$B240^$X$5*$N240^$X$6)*$S240^$X$7</f>
        <v>0.311291401398984</v>
      </c>
      <c r="X240" s="4" t="n">
        <f aca="false">W240/$R240</f>
        <v>1.24516560559594</v>
      </c>
      <c r="Z240" s="4" t="n">
        <f aca="false">$AA$2*$B240^$AA$3*$S240^$AA$4*($AA$5*$N240^$AA$6+$AA$7)</f>
        <v>0.311283450950292</v>
      </c>
      <c r="AA240" s="4" t="n">
        <f aca="false">Z240/$R240</f>
        <v>1.24513380380117</v>
      </c>
      <c r="AC240" s="4" t="n">
        <f aca="false">$AD$2*($AD$3+$AD$4*$F240/($N240*'Sem TS MC2020'!P232))*($AD$5*$G240+$AD$6*$B240/$N240)*'Sem TS MC2020'!R232*($J240-$M240)/($J240-$M240-$H240)</f>
        <v>0.299463228701289</v>
      </c>
      <c r="AD240" s="4" t="n">
        <f aca="false">AC240/$R240</f>
        <v>1.19785291480515</v>
      </c>
      <c r="AE240" s="24" t="n">
        <f aca="false">AC240-$R240</f>
        <v>0.0494632287012887</v>
      </c>
      <c r="AF240" s="25" t="n">
        <f aca="false">1/AD240</f>
        <v>0.834827037310054</v>
      </c>
      <c r="AG240" s="25" t="n">
        <f aca="false">AC240*(14.068*'Sem TS MC2020'!$P232^-0.457)/$R240</f>
        <v>1.12972278054405</v>
      </c>
      <c r="AH240" s="25"/>
      <c r="AP240" s="4" t="n">
        <f aca="false">$AQ$2*($AQ$3+$AQ$4*$F240/($N240*'Sem TS MC2020'!P232))*($AQ$5*$G240+$AQ$6*$B240/$N240)*('Sem TS MC2020'!P232^$AQ$7/200000)*($J240-$M240)/($J240-$M240-$H240)+('Sem TS MC2020'!P232-$C240/$AQ$8)*($AQ$5*$G240+$AQ$6*$B240/$N240)/200000</f>
        <v>0.304992964496381</v>
      </c>
      <c r="AQ240" s="4" t="n">
        <f aca="false">AP240/$R240</f>
        <v>1.21997185798552</v>
      </c>
      <c r="AR240" s="24" t="n">
        <f aca="false">AP240-$R240</f>
        <v>0.0549929644963812</v>
      </c>
    </row>
    <row r="241" customFormat="false" ht="14.25" hidden="false" customHeight="false" outlineLevel="0" collapsed="false">
      <c r="B241" s="2" t="n">
        <v>20</v>
      </c>
      <c r="C241" s="3" t="n">
        <v>528</v>
      </c>
      <c r="D241" s="3" t="n">
        <v>2</v>
      </c>
      <c r="E241" s="2" t="n">
        <v>44</v>
      </c>
      <c r="F241" s="4" t="n">
        <v>2.98</v>
      </c>
      <c r="G241" s="2" t="n">
        <v>25</v>
      </c>
      <c r="H241" s="2" t="n">
        <v>35</v>
      </c>
      <c r="I241" s="1" t="n">
        <v>150</v>
      </c>
      <c r="J241" s="2" t="n">
        <v>235</v>
      </c>
      <c r="K241" s="3" t="n">
        <v>628</v>
      </c>
      <c r="L241" s="4" t="n">
        <v>18375</v>
      </c>
      <c r="M241" s="3" t="n">
        <v>80.321192218195</v>
      </c>
      <c r="N241" s="12" t="n">
        <v>0.0341768707482993</v>
      </c>
      <c r="O241" s="4" t="n">
        <v>43.7</v>
      </c>
      <c r="P241" s="3" t="n">
        <v>385.279912342287</v>
      </c>
      <c r="Q241" s="4" t="n">
        <f aca="false">(P241-P$354)/P$355</f>
        <v>1.17866057278701</v>
      </c>
      <c r="R241" s="4" t="n">
        <v>0.3</v>
      </c>
      <c r="S241" s="13" t="n">
        <f aca="false">P241/200000</f>
        <v>0.00192639956171143</v>
      </c>
      <c r="W241" s="4" t="n">
        <f aca="false">$X$2*($X$3*$G241+$X$4*$B241^$X$5*$N241^$X$6)*$S241^$X$7</f>
        <v>0.332369743957304</v>
      </c>
      <c r="X241" s="4" t="n">
        <f aca="false">W241/$R241</f>
        <v>1.10789914652435</v>
      </c>
      <c r="Z241" s="4" t="n">
        <f aca="false">$AA$2*$B241^$AA$3*$S241^$AA$4*($AA$5*$N241^$AA$6+$AA$7)</f>
        <v>0.332749705998829</v>
      </c>
      <c r="AA241" s="4" t="n">
        <f aca="false">Z241/$R241</f>
        <v>1.10916568666276</v>
      </c>
      <c r="AC241" s="4" t="n">
        <f aca="false">$AD$2*($AD$3+$AD$4*$F241/($N241*'Sem TS MC2020'!P233))*($AD$5*$G241+$AD$6*$B241/$N241)*'Sem TS MC2020'!R233*($J241-$M241)/($J241-$M241-$H241)</f>
        <v>0.328906432208127</v>
      </c>
      <c r="AD241" s="4" t="n">
        <f aca="false">AC241/$R241</f>
        <v>1.09635477402709</v>
      </c>
      <c r="AE241" s="24" t="n">
        <f aca="false">AC241-$R241</f>
        <v>0.0289064322081266</v>
      </c>
      <c r="AF241" s="25" t="n">
        <f aca="false">1/AD241</f>
        <v>0.912113508957359</v>
      </c>
      <c r="AG241" s="25" t="n">
        <f aca="false">AC241*(14.068*'Sem TS MC2020'!$P233^-0.457)/$R241</f>
        <v>0.995858184398524</v>
      </c>
      <c r="AH241" s="25"/>
      <c r="AP241" s="4" t="n">
        <f aca="false">$AQ$2*($AQ$3+$AQ$4*$F241/($N241*'Sem TS MC2020'!P233))*($AQ$5*$G241+$AQ$6*$B241/$N241)*('Sem TS MC2020'!P233^$AQ$7/200000)*($J241-$M241)/($J241-$M241-$H241)+('Sem TS MC2020'!P233-$C241/$AQ$8)*($AQ$5*$G241+$AQ$6*$B241/$N241)/200000</f>
        <v>0.331474798404235</v>
      </c>
      <c r="AQ241" s="4" t="n">
        <f aca="false">AP241/$R241</f>
        <v>1.10491599468078</v>
      </c>
      <c r="AR241" s="24" t="n">
        <f aca="false">AP241-$R241</f>
        <v>0.0314747984042348</v>
      </c>
    </row>
    <row r="242" customFormat="false" ht="14.25" hidden="false" customHeight="false" outlineLevel="0" collapsed="false">
      <c r="B242" s="2" t="n">
        <v>20</v>
      </c>
      <c r="C242" s="3" t="n">
        <v>528</v>
      </c>
      <c r="D242" s="3" t="n">
        <v>2</v>
      </c>
      <c r="E242" s="2" t="n">
        <v>44</v>
      </c>
      <c r="F242" s="4" t="n">
        <v>2.98</v>
      </c>
      <c r="G242" s="2" t="n">
        <v>25</v>
      </c>
      <c r="H242" s="2" t="n">
        <v>35</v>
      </c>
      <c r="I242" s="1" t="n">
        <v>150</v>
      </c>
      <c r="J242" s="2" t="n">
        <v>235</v>
      </c>
      <c r="K242" s="3" t="n">
        <v>628</v>
      </c>
      <c r="L242" s="4" t="n">
        <v>18375</v>
      </c>
      <c r="M242" s="3" t="n">
        <v>80.321192218195</v>
      </c>
      <c r="N242" s="12" t="n">
        <v>0.0341768707482993</v>
      </c>
      <c r="O242" s="4" t="n">
        <v>46</v>
      </c>
      <c r="P242" s="3" t="n">
        <v>411.156667328104</v>
      </c>
      <c r="Q242" s="4" t="n">
        <f aca="false">(P242-P$354)/P$355</f>
        <v>1.39560436754386</v>
      </c>
      <c r="R242" s="4" t="n">
        <v>0.32</v>
      </c>
      <c r="S242" s="13" t="n">
        <f aca="false">P242/200000</f>
        <v>0.00205578333664052</v>
      </c>
      <c r="W242" s="4" t="n">
        <f aca="false">$X$2*($X$3*$G242+$X$4*$B242^$X$5*$N242^$X$6)*$S242^$X$7</f>
        <v>0.345971234702902</v>
      </c>
      <c r="X242" s="4" t="n">
        <f aca="false">W242/$R242</f>
        <v>1.08116010844657</v>
      </c>
      <c r="Z242" s="4" t="n">
        <f aca="false">$AA$2*$B242^$AA$3*$S242^$AA$4*($AA$5*$N242^$AA$6+$AA$7)</f>
        <v>0.346614502684813</v>
      </c>
      <c r="AA242" s="4" t="n">
        <f aca="false">Z242/$R242</f>
        <v>1.08317032089004</v>
      </c>
      <c r="AC242" s="4" t="n">
        <f aca="false">$AD$2*($AD$3+$AD$4*$F242/($N242*'Sem TS MC2020'!P234))*($AD$5*$G242+$AD$6*$B242/$N242)*'Sem TS MC2020'!R234*($J242-$M242)/($J242-$M242-$H242)</f>
        <v>0.348535234546019</v>
      </c>
      <c r="AD242" s="4" t="n">
        <f aca="false">AC242/$R242</f>
        <v>1.08917260795631</v>
      </c>
      <c r="AE242" s="24" t="n">
        <f aca="false">AC242-$R242</f>
        <v>0.0285352345460186</v>
      </c>
      <c r="AF242" s="25" t="n">
        <f aca="false">1/AD242</f>
        <v>0.91812812101139</v>
      </c>
      <c r="AG242" s="25" t="n">
        <f aca="false">AC242*(14.068*'Sem TS MC2020'!$P234^-0.457)/$R242</f>
        <v>0.966413043821551</v>
      </c>
      <c r="AH242" s="25"/>
      <c r="AP242" s="4" t="n">
        <f aca="false">$AQ$2*($AQ$3+$AQ$4*$F242/($N242*'Sem TS MC2020'!P234))*($AQ$5*$G242+$AQ$6*$B242/$N242)*('Sem TS MC2020'!P234^$AQ$7/200000)*($J242-$M242)/($J242-$M242-$H242)+('Sem TS MC2020'!P234-$C242/$AQ$8)*($AQ$5*$G242+$AQ$6*$B242/$N242)/200000</f>
        <v>0.348906002896468</v>
      </c>
      <c r="AQ242" s="4" t="n">
        <f aca="false">AP242/$R242</f>
        <v>1.09033125905146</v>
      </c>
      <c r="AR242" s="24" t="n">
        <f aca="false">AP242-$R242</f>
        <v>0.0289060028964683</v>
      </c>
    </row>
    <row r="243" customFormat="false" ht="14.25" hidden="false" customHeight="false" outlineLevel="0" collapsed="false">
      <c r="B243" s="2" t="n">
        <v>20</v>
      </c>
      <c r="C243" s="3" t="n">
        <v>528</v>
      </c>
      <c r="D243" s="3" t="n">
        <v>2</v>
      </c>
      <c r="E243" s="2" t="n">
        <v>44</v>
      </c>
      <c r="F243" s="4" t="n">
        <v>2.98</v>
      </c>
      <c r="G243" s="2" t="n">
        <v>25</v>
      </c>
      <c r="H243" s="2" t="n">
        <v>35</v>
      </c>
      <c r="I243" s="1" t="n">
        <v>150</v>
      </c>
      <c r="J243" s="2" t="n">
        <v>235</v>
      </c>
      <c r="K243" s="3" t="n">
        <v>628</v>
      </c>
      <c r="L243" s="4" t="n">
        <v>18375</v>
      </c>
      <c r="M243" s="3" t="n">
        <v>80.321192218195</v>
      </c>
      <c r="N243" s="12" t="n">
        <v>0.0341768707482993</v>
      </c>
      <c r="O243" s="4" t="n">
        <v>51.635</v>
      </c>
      <c r="P243" s="3" t="n">
        <v>474.554717043357</v>
      </c>
      <c r="Q243" s="4" t="n">
        <f aca="false">(P243-P$354)/P$355</f>
        <v>1.92711666469815</v>
      </c>
      <c r="R243" s="4" t="n">
        <v>0.36</v>
      </c>
      <c r="S243" s="13" t="n">
        <f aca="false">P243/200000</f>
        <v>0.00237277358521679</v>
      </c>
      <c r="W243" s="4" t="n">
        <f aca="false">$X$2*($X$3*$G243+$X$4*$B243^$X$5*$N243^$X$6)*$S243^$X$7</f>
        <v>0.377977639262115</v>
      </c>
      <c r="X243" s="4" t="n">
        <f aca="false">W243/$R243</f>
        <v>1.04993788683921</v>
      </c>
      <c r="Z243" s="4" t="n">
        <f aca="false">$AA$2*$B243^$AA$3*$S243^$AA$4*($AA$5*$N243^$AA$6+$AA$7)</f>
        <v>0.379278229786509</v>
      </c>
      <c r="AA243" s="4" t="n">
        <f aca="false">Z243/$R243</f>
        <v>1.05355063829586</v>
      </c>
      <c r="AC243" s="4" t="n">
        <f aca="false">$AD$2*($AD$3+$AD$4*$F243/($N243*'Sem TS MC2020'!P235))*($AD$5*$G243+$AD$6*$B243/$N243)*'Sem TS MC2020'!R235*($J243-$M243)/($J243-$M243-$H243)</f>
        <v>0.396625800273854</v>
      </c>
      <c r="AD243" s="4" t="n">
        <f aca="false">AC243/$R243</f>
        <v>1.10173833409404</v>
      </c>
      <c r="AE243" s="24" t="n">
        <f aca="false">AC243-$R243</f>
        <v>0.0366258002738538</v>
      </c>
      <c r="AF243" s="25" t="n">
        <f aca="false">1/AD243</f>
        <v>0.907656536088764</v>
      </c>
      <c r="AG243" s="25" t="n">
        <f aca="false">AC243*(14.068*'Sem TS MC2020'!$P235^-0.457)/$R243</f>
        <v>0.927276751375844</v>
      </c>
      <c r="AH243" s="25"/>
      <c r="AP243" s="4" t="n">
        <f aca="false">$AQ$2*($AQ$3+$AQ$4*$F243/($N243*'Sem TS MC2020'!P235))*($AQ$5*$G243+$AQ$6*$B243/$N243)*('Sem TS MC2020'!P235^$AQ$7/200000)*($J243-$M243)/($J243-$M243-$H243)+('Sem TS MC2020'!P235-$C243/$AQ$8)*($AQ$5*$G243+$AQ$6*$B243/$N243)/200000</f>
        <v>0.390936232327376</v>
      </c>
      <c r="AQ243" s="4" t="n">
        <f aca="false">AP243/$R243</f>
        <v>1.08593397868715</v>
      </c>
      <c r="AR243" s="24" t="n">
        <f aca="false">AP243-$R243</f>
        <v>0.0309362323273756</v>
      </c>
    </row>
    <row r="244" customFormat="false" ht="14.25" hidden="false" customHeight="false" outlineLevel="0" collapsed="false">
      <c r="B244" s="2" t="n">
        <v>20</v>
      </c>
      <c r="C244" s="3" t="n">
        <v>528</v>
      </c>
      <c r="D244" s="3" t="n">
        <v>2</v>
      </c>
      <c r="E244" s="2" t="n">
        <v>44</v>
      </c>
      <c r="F244" s="4" t="n">
        <v>2.98</v>
      </c>
      <c r="G244" s="2" t="n">
        <v>25</v>
      </c>
      <c r="H244" s="2" t="n">
        <v>35</v>
      </c>
      <c r="I244" s="1" t="n">
        <v>150</v>
      </c>
      <c r="J244" s="2" t="n">
        <v>235</v>
      </c>
      <c r="K244" s="3" t="n">
        <v>628</v>
      </c>
      <c r="L244" s="4" t="n">
        <v>18375</v>
      </c>
      <c r="M244" s="3" t="n">
        <v>80.321192218195</v>
      </c>
      <c r="N244" s="12" t="n">
        <v>0.0341768707482993</v>
      </c>
      <c r="O244" s="4" t="n">
        <v>57.27</v>
      </c>
      <c r="P244" s="3" t="n">
        <v>526.445947864471</v>
      </c>
      <c r="Q244" s="4" t="n">
        <f aca="false">(P244-P$354)/P$355</f>
        <v>2.36215886898946</v>
      </c>
      <c r="R244" s="4" t="n">
        <v>0.47</v>
      </c>
      <c r="S244" s="13" t="n">
        <f aca="false">P244/200000</f>
        <v>0.00263222973932236</v>
      </c>
      <c r="W244" s="4" t="n">
        <f aca="false">$X$2*($X$3*$G244+$X$4*$B244^$X$5*$N244^$X$6)*$S244^$X$7</f>
        <v>0.402970033238085</v>
      </c>
      <c r="X244" s="4" t="n">
        <f aca="false">W244/$R244</f>
        <v>0.857383049442735</v>
      </c>
      <c r="Z244" s="4" t="n">
        <f aca="false">$AA$2*$B244^$AA$3*$S244^$AA$4*($AA$5*$N244^$AA$6+$AA$7)</f>
        <v>0.404818452785407</v>
      </c>
      <c r="AA244" s="4" t="n">
        <f aca="false">Z244/$R244</f>
        <v>0.861315856990227</v>
      </c>
      <c r="AC244" s="4" t="n">
        <f aca="false">$AD$2*($AD$3+$AD$4*$F244/($N244*'Sem TS MC2020'!P236))*($AD$5*$G244+$AD$6*$B244/$N244)*'Sem TS MC2020'!R236*($J244-$M244)/($J244-$M244-$H244)</f>
        <v>0.444716366001689</v>
      </c>
      <c r="AD244" s="4" t="n">
        <f aca="false">AC244/$R244</f>
        <v>0.946205034046147</v>
      </c>
      <c r="AE244" s="24" t="n">
        <f aca="false">AC244-$R244</f>
        <v>-0.0252836339983109</v>
      </c>
      <c r="AF244" s="25" t="n">
        <f aca="false">1/AD244</f>
        <v>1.05685339225455</v>
      </c>
      <c r="AG244" s="25" t="n">
        <f aca="false">AC244*(14.068*'Sem TS MC2020'!$P236^-0.457)/$R244</f>
        <v>0.75955448617796</v>
      </c>
      <c r="AH244" s="25"/>
      <c r="AP244" s="4" t="n">
        <f aca="false">$AQ$2*($AQ$3+$AQ$4*$F244/($N244*'Sem TS MC2020'!P236))*($AQ$5*$G244+$AQ$6*$B244/$N244)*('Sem TS MC2020'!P236^$AQ$7/200000)*($J244-$M244)/($J244-$M244-$H244)+('Sem TS MC2020'!P236-$C244/$AQ$8)*($AQ$5*$G244+$AQ$6*$B244/$N244)/200000</f>
        <v>0.43211397299647</v>
      </c>
      <c r="AQ244" s="4" t="n">
        <f aca="false">AP244/$R244</f>
        <v>0.919391431907382</v>
      </c>
      <c r="AR244" s="24" t="n">
        <f aca="false">AP244-$R244</f>
        <v>-0.0378860270035304</v>
      </c>
    </row>
    <row r="245" customFormat="false" ht="14.25" hidden="false" customHeight="false" outlineLevel="0" collapsed="false">
      <c r="A245" s="1" t="s">
        <v>71</v>
      </c>
      <c r="B245" s="2" t="n">
        <v>20</v>
      </c>
      <c r="C245" s="3" t="n">
        <v>528</v>
      </c>
      <c r="D245" s="3" t="n">
        <v>3</v>
      </c>
      <c r="E245" s="2" t="n">
        <v>12</v>
      </c>
      <c r="F245" s="4" t="n">
        <v>2.98</v>
      </c>
      <c r="G245" s="2" t="n">
        <v>25</v>
      </c>
      <c r="H245" s="2" t="n">
        <v>35</v>
      </c>
      <c r="I245" s="1" t="n">
        <v>150</v>
      </c>
      <c r="J245" s="2" t="n">
        <v>235</v>
      </c>
      <c r="K245" s="3" t="n">
        <v>942</v>
      </c>
      <c r="L245" s="4" t="n">
        <v>18375</v>
      </c>
      <c r="M245" s="3" t="n">
        <v>93.0113581251418</v>
      </c>
      <c r="N245" s="12" t="n">
        <v>0.051265306122449</v>
      </c>
      <c r="O245" s="4" t="n">
        <v>48.3</v>
      </c>
      <c r="P245" s="3" t="n">
        <v>275.466134573373</v>
      </c>
      <c r="Q245" s="4" t="n">
        <f aca="false">(P245-P$354)/P$355</f>
        <v>0.258011222478944</v>
      </c>
      <c r="R245" s="4" t="n">
        <v>0.16</v>
      </c>
      <c r="S245" s="13" t="n">
        <f aca="false">P245/200000</f>
        <v>0.00137733067286687</v>
      </c>
      <c r="W245" s="4" t="n">
        <f aca="false">$X$2*($X$3*$G245+$X$4*$B245^$X$5*$N245^$X$6)*$S245^$X$7</f>
        <v>0.228128145854576</v>
      </c>
      <c r="X245" s="4" t="n">
        <f aca="false">W245/$R245</f>
        <v>1.4258009115911</v>
      </c>
      <c r="Z245" s="4" t="n">
        <f aca="false">$AA$2*$B245^$AA$3*$S245^$AA$4*($AA$5*$N245^$AA$6+$AA$7)</f>
        <v>0.231838154963118</v>
      </c>
      <c r="AA245" s="4" t="n">
        <f aca="false">Z245/$R245</f>
        <v>1.44898846851949</v>
      </c>
      <c r="AC245" s="4" t="n">
        <f aca="false">$AD$2*($AD$3+$AD$4*$F245/($N245*'Sem TS MC2020'!P237))*($AD$5*$G245+$AD$6*$B245/$N245)*'Sem TS MC2020'!R237*($J245-$M245)/($J245-$M245-$H245)</f>
        <v>0.192828264060671</v>
      </c>
      <c r="AD245" s="4" t="n">
        <f aca="false">AC245/$R245</f>
        <v>1.20517665037919</v>
      </c>
      <c r="AE245" s="24" t="n">
        <f aca="false">AC245-$R245</f>
        <v>0.0328282640606708</v>
      </c>
      <c r="AF245" s="25" t="n">
        <f aca="false">1/AD245</f>
        <v>0.829753878558271</v>
      </c>
      <c r="AG245" s="25" t="n">
        <f aca="false">AC245*(14.068*'Sem TS MC2020'!$P237^-0.457)/$R245</f>
        <v>1.24451538546402</v>
      </c>
      <c r="AH245" s="25"/>
      <c r="AP245" s="4" t="n">
        <f aca="false">$AQ$2*($AQ$3+$AQ$4*$F245/($N245*'Sem TS MC2020'!P237))*($AQ$5*$G245+$AQ$6*$B245/$N245)*('Sem TS MC2020'!P237^$AQ$7/200000)*($J245-$M245)/($J245-$M245-$H245)+('Sem TS MC2020'!P237-$C245/$AQ$8)*($AQ$5*$G245+$AQ$6*$B245/$N245)/200000</f>
        <v>0.197729208766455</v>
      </c>
      <c r="AQ245" s="4" t="n">
        <f aca="false">AP245/$R245</f>
        <v>1.23580755479034</v>
      </c>
      <c r="AR245" s="24" t="n">
        <f aca="false">AP245-$R245</f>
        <v>0.0377292087664546</v>
      </c>
    </row>
    <row r="246" customFormat="false" ht="14.25" hidden="false" customHeight="false" outlineLevel="0" collapsed="false">
      <c r="B246" s="2" t="n">
        <v>20</v>
      </c>
      <c r="C246" s="3" t="n">
        <v>528</v>
      </c>
      <c r="D246" s="3" t="n">
        <v>3</v>
      </c>
      <c r="E246" s="2" t="n">
        <v>12</v>
      </c>
      <c r="F246" s="4" t="n">
        <v>2.98</v>
      </c>
      <c r="G246" s="2" t="n">
        <v>25</v>
      </c>
      <c r="H246" s="2" t="n">
        <v>35</v>
      </c>
      <c r="I246" s="1" t="n">
        <v>150</v>
      </c>
      <c r="J246" s="2" t="n">
        <v>235</v>
      </c>
      <c r="K246" s="3" t="n">
        <v>942</v>
      </c>
      <c r="L246" s="4" t="n">
        <v>18375</v>
      </c>
      <c r="M246" s="3" t="n">
        <v>93.0113581251418</v>
      </c>
      <c r="N246" s="12" t="n">
        <v>0.051265306122449</v>
      </c>
      <c r="O246" s="4" t="n">
        <v>50.6</v>
      </c>
      <c r="P246" s="3" t="n">
        <v>292.265185836028</v>
      </c>
      <c r="Q246" s="4" t="n">
        <f aca="false">(P246-P$354)/P$355</f>
        <v>0.398849976458442</v>
      </c>
      <c r="R246" s="4" t="n">
        <v>0.18</v>
      </c>
      <c r="S246" s="13" t="n">
        <f aca="false">P246/200000</f>
        <v>0.00146132592918014</v>
      </c>
      <c r="W246" s="4" t="n">
        <f aca="false">$X$2*($X$3*$G246+$X$4*$B246^$X$5*$N246^$X$6)*$S246^$X$7</f>
        <v>0.236614439519794</v>
      </c>
      <c r="X246" s="4" t="n">
        <f aca="false">W246/$R246</f>
        <v>1.31452466399886</v>
      </c>
      <c r="Z246" s="4" t="n">
        <f aca="false">$AA$2*$B246^$AA$3*$S246^$AA$4*($AA$5*$N246^$AA$6+$AA$7)</f>
        <v>0.240619091622107</v>
      </c>
      <c r="AA246" s="4" t="n">
        <f aca="false">Z246/$R246</f>
        <v>1.33677273123393</v>
      </c>
      <c r="AC246" s="4" t="n">
        <f aca="false">$AD$2*($AD$3+$AD$4*$F246/($N246*'Sem TS MC2020'!P238))*($AD$5*$G246+$AD$6*$B246/$N246)*'Sem TS MC2020'!R238*($J246-$M246)/($J246-$M246-$H246)</f>
        <v>0.203079031059153</v>
      </c>
      <c r="AD246" s="4" t="n">
        <f aca="false">AC246/$R246</f>
        <v>1.12821683921752</v>
      </c>
      <c r="AE246" s="24" t="n">
        <f aca="false">AC246-$R246</f>
        <v>0.0230790310591528</v>
      </c>
      <c r="AF246" s="25" t="n">
        <f aca="false">1/AD246</f>
        <v>0.886354435813561</v>
      </c>
      <c r="AG246" s="25" t="n">
        <f aca="false">AC246*(14.068*'Sem TS MC2020'!$P238^-0.457)/$R246</f>
        <v>1.14053650748295</v>
      </c>
      <c r="AH246" s="25"/>
      <c r="AP246" s="4" t="n">
        <f aca="false">$AQ$2*($AQ$3+$AQ$4*$F246/($N246*'Sem TS MC2020'!P238))*($AQ$5*$G246+$AQ$6*$B246/$N246)*('Sem TS MC2020'!P238^$AQ$7/200000)*($J246-$M246)/($J246-$M246-$H246)+('Sem TS MC2020'!P238-$C246/$AQ$8)*($AQ$5*$G246+$AQ$6*$B246/$N246)/200000</f>
        <v>0.207066256930296</v>
      </c>
      <c r="AQ246" s="4" t="n">
        <f aca="false">AP246/$R246</f>
        <v>1.1503680940572</v>
      </c>
      <c r="AR246" s="24" t="n">
        <f aca="false">AP246-$R246</f>
        <v>0.0270662569302957</v>
      </c>
    </row>
    <row r="247" customFormat="false" ht="14.25" hidden="false" customHeight="false" outlineLevel="0" collapsed="false">
      <c r="B247" s="2" t="n">
        <v>20</v>
      </c>
      <c r="C247" s="3" t="n">
        <v>528</v>
      </c>
      <c r="D247" s="3" t="n">
        <v>3</v>
      </c>
      <c r="E247" s="2" t="n">
        <v>12</v>
      </c>
      <c r="F247" s="4" t="n">
        <v>2.98</v>
      </c>
      <c r="G247" s="2" t="n">
        <v>25</v>
      </c>
      <c r="H247" s="2" t="n">
        <v>35</v>
      </c>
      <c r="I247" s="1" t="n">
        <v>150</v>
      </c>
      <c r="J247" s="2" t="n">
        <v>235</v>
      </c>
      <c r="K247" s="3" t="n">
        <v>942</v>
      </c>
      <c r="L247" s="4" t="n">
        <v>18375</v>
      </c>
      <c r="M247" s="3" t="n">
        <v>93.0113581251418</v>
      </c>
      <c r="N247" s="12" t="n">
        <v>0.051265306122449</v>
      </c>
      <c r="O247" s="4" t="n">
        <v>56.35</v>
      </c>
      <c r="P247" s="3" t="n">
        <v>334.262813992667</v>
      </c>
      <c r="Q247" s="4" t="n">
        <f aca="false">(P247-P$354)/P$355</f>
        <v>0.750946861407191</v>
      </c>
      <c r="R247" s="4" t="n">
        <v>0.18</v>
      </c>
      <c r="S247" s="13" t="n">
        <f aca="false">P247/200000</f>
        <v>0.00167131406996333</v>
      </c>
      <c r="W247" s="4" t="n">
        <f aca="false">$X$2*($X$3*$G247+$X$4*$B247^$X$5*$N247^$X$6)*$S247^$X$7</f>
        <v>0.257050893731725</v>
      </c>
      <c r="X247" s="4" t="n">
        <f aca="false">W247/$R247</f>
        <v>1.42806052073181</v>
      </c>
      <c r="Z247" s="4" t="n">
        <f aca="false">$AA$2*$B247^$AA$3*$S247^$AA$4*($AA$5*$N247^$AA$6+$AA$7)</f>
        <v>0.261787784517274</v>
      </c>
      <c r="AA247" s="4" t="n">
        <f aca="false">Z247/$R247</f>
        <v>1.45437658065152</v>
      </c>
      <c r="AC247" s="4" t="n">
        <f aca="false">$AD$2*($AD$3+$AD$4*$F247/($N247*'Sem TS MC2020'!P239))*($AD$5*$G247+$AD$6*$B247/$N247)*'Sem TS MC2020'!R239*($J247-$M247)/($J247-$M247-$H247)</f>
        <v>0.228705948555358</v>
      </c>
      <c r="AD247" s="4" t="n">
        <f aca="false">AC247/$R247</f>
        <v>1.27058860308532</v>
      </c>
      <c r="AE247" s="24" t="n">
        <f aca="false">AC247-$R247</f>
        <v>0.048705948555358</v>
      </c>
      <c r="AF247" s="25" t="n">
        <f aca="false">1/AD247</f>
        <v>0.787036809217191</v>
      </c>
      <c r="AG247" s="25" t="n">
        <f aca="false">AC247*(14.068*'Sem TS MC2020'!$P239^-0.457)/$R247</f>
        <v>1.22281239910419</v>
      </c>
      <c r="AH247" s="25"/>
      <c r="AP247" s="4" t="n">
        <f aca="false">$AQ$2*($AQ$3+$AQ$4*$F247/($N247*'Sem TS MC2020'!P239))*($AQ$5*$G247+$AQ$6*$B247/$N247)*('Sem TS MC2020'!P239^$AQ$7/200000)*($J247-$M247)/($J247-$M247-$H247)+('Sem TS MC2020'!P239-$C247/$AQ$8)*($AQ$5*$G247+$AQ$6*$B247/$N247)/200000</f>
        <v>0.23006999154992</v>
      </c>
      <c r="AQ247" s="4" t="n">
        <f aca="false">AP247/$R247</f>
        <v>1.27816661972178</v>
      </c>
      <c r="AR247" s="24" t="n">
        <f aca="false">AP247-$R247</f>
        <v>0.0500699915499197</v>
      </c>
    </row>
    <row r="248" customFormat="false" ht="14.25" hidden="false" customHeight="false" outlineLevel="0" collapsed="false">
      <c r="B248" s="2" t="n">
        <v>20</v>
      </c>
      <c r="C248" s="3" t="n">
        <v>528</v>
      </c>
      <c r="D248" s="3" t="n">
        <v>3</v>
      </c>
      <c r="E248" s="2" t="n">
        <v>12</v>
      </c>
      <c r="F248" s="4" t="n">
        <v>2.98</v>
      </c>
      <c r="G248" s="2" t="n">
        <v>25</v>
      </c>
      <c r="H248" s="2" t="n">
        <v>35</v>
      </c>
      <c r="I248" s="1" t="n">
        <v>150</v>
      </c>
      <c r="J248" s="2" t="n">
        <v>235</v>
      </c>
      <c r="K248" s="3" t="n">
        <v>942</v>
      </c>
      <c r="L248" s="4" t="n">
        <v>18375</v>
      </c>
      <c r="M248" s="3" t="n">
        <v>93.0113581251418</v>
      </c>
      <c r="N248" s="12" t="n">
        <v>0.051265306122449</v>
      </c>
      <c r="O248" s="4" t="n">
        <v>62.675</v>
      </c>
      <c r="P248" s="3" t="n">
        <v>380.460204964968</v>
      </c>
      <c r="Q248" s="4" t="n">
        <f aca="false">(P248-P$354)/P$355</f>
        <v>1.13825343485081</v>
      </c>
      <c r="R248" s="4" t="n">
        <v>0.2</v>
      </c>
      <c r="S248" s="13" t="n">
        <f aca="false">P248/200000</f>
        <v>0.00190230102482484</v>
      </c>
      <c r="W248" s="4" t="n">
        <f aca="false">$X$2*($X$3*$G248+$X$4*$B248^$X$5*$N248^$X$6)*$S248^$X$7</f>
        <v>0.278424585423451</v>
      </c>
      <c r="X248" s="4" t="n">
        <f aca="false">W248/$R248</f>
        <v>1.39212292711725</v>
      </c>
      <c r="Z248" s="4" t="n">
        <f aca="false">$AA$2*$B248^$AA$3*$S248^$AA$4*($AA$5*$N248^$AA$6+$AA$7)</f>
        <v>0.283959415863129</v>
      </c>
      <c r="AA248" s="4" t="n">
        <f aca="false">Z248/$R248</f>
        <v>1.41979707931564</v>
      </c>
      <c r="AC248" s="4" t="n">
        <f aca="false">$AD$2*($AD$3+$AD$4*$F248/($N248*'Sem TS MC2020'!P240))*($AD$5*$G248+$AD$6*$B248/$N248)*'Sem TS MC2020'!R240*($J248-$M248)/($J248-$M248-$H248)</f>
        <v>0.256895557801184</v>
      </c>
      <c r="AD248" s="4" t="n">
        <f aca="false">AC248/$R248</f>
        <v>1.28447778900592</v>
      </c>
      <c r="AE248" s="24" t="n">
        <f aca="false">AC248-$R248</f>
        <v>0.0568955578011837</v>
      </c>
      <c r="AF248" s="25" t="n">
        <f aca="false">1/AD248</f>
        <v>0.77852650202221</v>
      </c>
      <c r="AG248" s="25" t="n">
        <f aca="false">AC248*(14.068*'Sem TS MC2020'!$P240^-0.457)/$R248</f>
        <v>1.17751889354795</v>
      </c>
      <c r="AH248" s="25"/>
      <c r="AP248" s="4" t="n">
        <f aca="false">$AQ$2*($AQ$3+$AQ$4*$F248/($N248*'Sem TS MC2020'!P240))*($AQ$5*$G248+$AQ$6*$B248/$N248)*('Sem TS MC2020'!P240^$AQ$7/200000)*($J248-$M248)/($J248-$M248-$H248)+('Sem TS MC2020'!P240-$C248/$AQ$8)*($AQ$5*$G248+$AQ$6*$B248/$N248)/200000</f>
        <v>0.254875106880491</v>
      </c>
      <c r="AQ248" s="4" t="n">
        <f aca="false">AP248/$R248</f>
        <v>1.27437553440245</v>
      </c>
      <c r="AR248" s="24" t="n">
        <f aca="false">AP248-$R248</f>
        <v>0.0548751068804908</v>
      </c>
    </row>
    <row r="249" customFormat="false" ht="14.25" hidden="false" customHeight="false" outlineLevel="0" collapsed="false">
      <c r="B249" s="2" t="n">
        <v>20</v>
      </c>
      <c r="C249" s="3" t="n">
        <v>528</v>
      </c>
      <c r="D249" s="3" t="n">
        <v>3</v>
      </c>
      <c r="E249" s="2" t="n">
        <v>12</v>
      </c>
      <c r="F249" s="4" t="n">
        <v>2.98</v>
      </c>
      <c r="G249" s="2" t="n">
        <v>25</v>
      </c>
      <c r="H249" s="2" t="n">
        <v>35</v>
      </c>
      <c r="I249" s="1" t="n">
        <v>150</v>
      </c>
      <c r="J249" s="2" t="n">
        <v>235</v>
      </c>
      <c r="K249" s="3" t="n">
        <v>942</v>
      </c>
      <c r="L249" s="4" t="n">
        <v>18375</v>
      </c>
      <c r="M249" s="3" t="n">
        <v>93.0113581251418</v>
      </c>
      <c r="N249" s="12" t="n">
        <v>0.051265306122449</v>
      </c>
      <c r="O249" s="4" t="n">
        <v>68.425</v>
      </c>
      <c r="P249" s="3" t="n">
        <v>422.457833121606</v>
      </c>
      <c r="Q249" s="4" t="n">
        <f aca="false">(P249-P$354)/P$355</f>
        <v>1.49035031979956</v>
      </c>
      <c r="R249" s="4" t="n">
        <v>0.2</v>
      </c>
      <c r="S249" s="13" t="n">
        <f aca="false">P249/200000</f>
        <v>0.00211228916560803</v>
      </c>
      <c r="W249" s="4" t="n">
        <f aca="false">$X$2*($X$3*$G249+$X$4*$B249^$X$5*$N249^$X$6)*$S249^$X$7</f>
        <v>0.29700592939663</v>
      </c>
      <c r="X249" s="4" t="n">
        <f aca="false">W249/$R249</f>
        <v>1.48502964698315</v>
      </c>
      <c r="Z249" s="4" t="n">
        <f aca="false">$AA$2*$B249^$AA$3*$S249^$AA$4*($AA$5*$N249^$AA$6+$AA$7)</f>
        <v>0.30325922968973</v>
      </c>
      <c r="AA249" s="4" t="n">
        <f aca="false">Z249/$R249</f>
        <v>1.51629614844865</v>
      </c>
      <c r="AC249" s="4" t="n">
        <f aca="false">$AD$2*($AD$3+$AD$4*$F249/($N249*'Sem TS MC2020'!P241))*($AD$5*$G249+$AD$6*$B249/$N249)*'Sem TS MC2020'!R241*($J249-$M249)/($J249-$M249-$H249)</f>
        <v>0.282522475297389</v>
      </c>
      <c r="AD249" s="4" t="n">
        <f aca="false">AC249/$R249</f>
        <v>1.41261237648694</v>
      </c>
      <c r="AE249" s="24" t="n">
        <f aca="false">AC249-$R249</f>
        <v>0.0825224752973888</v>
      </c>
      <c r="AF249" s="25" t="n">
        <f aca="false">1/AD249</f>
        <v>0.707908281595919</v>
      </c>
      <c r="AG249" s="25" t="n">
        <f aca="false">AC249*(14.068*'Sem TS MC2020'!$P241^-0.457)/$R249</f>
        <v>1.24406548257975</v>
      </c>
      <c r="AH249" s="25"/>
      <c r="AP249" s="4" t="n">
        <f aca="false">$AQ$2*($AQ$3+$AQ$4*$F249/($N249*'Sem TS MC2020'!P241))*($AQ$5*$G249+$AQ$6*$B249/$N249)*('Sem TS MC2020'!P241^$AQ$7/200000)*($J249-$M249)/($J249-$M249-$H249)+('Sem TS MC2020'!P241-$C249/$AQ$8)*($AQ$5*$G249+$AQ$6*$B249/$N249)/200000</f>
        <v>0.27702668506448</v>
      </c>
      <c r="AQ249" s="4" t="n">
        <f aca="false">AP249/$R249</f>
        <v>1.3851334253224</v>
      </c>
      <c r="AR249" s="24" t="n">
        <f aca="false">AP249-$R249</f>
        <v>0.0770266850644796</v>
      </c>
    </row>
    <row r="250" customFormat="false" ht="14.25" hidden="false" customHeight="false" outlineLevel="0" collapsed="false">
      <c r="B250" s="2" t="n">
        <v>20</v>
      </c>
      <c r="C250" s="3" t="n">
        <v>528</v>
      </c>
      <c r="D250" s="3" t="n">
        <v>3</v>
      </c>
      <c r="E250" s="2" t="n">
        <v>12</v>
      </c>
      <c r="F250" s="4" t="n">
        <v>2.98</v>
      </c>
      <c r="G250" s="2" t="n">
        <v>25</v>
      </c>
      <c r="H250" s="2" t="n">
        <v>35</v>
      </c>
      <c r="I250" s="1" t="n">
        <v>150</v>
      </c>
      <c r="J250" s="2" t="n">
        <v>235</v>
      </c>
      <c r="K250" s="3" t="n">
        <v>942</v>
      </c>
      <c r="L250" s="4" t="n">
        <v>18375</v>
      </c>
      <c r="M250" s="3" t="n">
        <v>93.0113581251418</v>
      </c>
      <c r="N250" s="12" t="n">
        <v>0.051265306122449</v>
      </c>
      <c r="O250" s="4" t="n">
        <v>73.6</v>
      </c>
      <c r="P250" s="3" t="n">
        <v>460.255698462581</v>
      </c>
      <c r="Q250" s="4" t="n">
        <f aca="false">(P250-P$354)/P$355</f>
        <v>1.80723751625343</v>
      </c>
      <c r="R250" s="4" t="n">
        <v>0.2</v>
      </c>
      <c r="S250" s="13" t="n">
        <f aca="false">P250/200000</f>
        <v>0.0023012784923129</v>
      </c>
      <c r="W250" s="4" t="n">
        <f aca="false">$X$2*($X$3*$G250+$X$4*$B250^$X$5*$N250^$X$6)*$S250^$X$7</f>
        <v>0.313131870744999</v>
      </c>
      <c r="X250" s="4" t="n">
        <f aca="false">W250/$R250</f>
        <v>1.565659353725</v>
      </c>
      <c r="Z250" s="4" t="n">
        <f aca="false">$AA$2*$B250^$AA$3*$S250^$AA$4*($AA$5*$N250^$AA$6+$AA$7)</f>
        <v>0.320026214469764</v>
      </c>
      <c r="AA250" s="4" t="n">
        <f aca="false">Z250/$R250</f>
        <v>1.60013107234882</v>
      </c>
      <c r="AC250" s="4" t="n">
        <f aca="false">$AD$2*($AD$3+$AD$4*$F250/($N250*'Sem TS MC2020'!P242))*($AD$5*$G250+$AD$6*$B250/$N250)*'Sem TS MC2020'!R242*($J250-$M250)/($J250-$M250-$H250)</f>
        <v>0.305586701043973</v>
      </c>
      <c r="AD250" s="4" t="n">
        <f aca="false">AC250/$R250</f>
        <v>1.52793350521987</v>
      </c>
      <c r="AE250" s="24" t="n">
        <f aca="false">AC250-$R250</f>
        <v>0.105586701043973</v>
      </c>
      <c r="AF250" s="25" t="n">
        <f aca="false">1/AD250</f>
        <v>0.654478743075997</v>
      </c>
      <c r="AG250" s="25" t="n">
        <f aca="false">AC250*(14.068*'Sem TS MC2020'!$P242^-0.457)/$R250</f>
        <v>1.30153152892267</v>
      </c>
      <c r="AH250" s="25"/>
      <c r="AP250" s="4" t="n">
        <f aca="false">$AQ$2*($AQ$3+$AQ$4*$F250/($N250*'Sem TS MC2020'!P242))*($AQ$5*$G250+$AQ$6*$B250/$N250)*('Sem TS MC2020'!P242^$AQ$7/200000)*($J250-$M250)/($J250-$M250-$H250)+('Sem TS MC2020'!P242-$C250/$AQ$8)*($AQ$5*$G250+$AQ$6*$B250/$N250)/200000</f>
        <v>0.296673435869284</v>
      </c>
      <c r="AQ250" s="4" t="n">
        <f aca="false">AP250/$R250</f>
        <v>1.48336717934642</v>
      </c>
      <c r="AR250" s="24" t="n">
        <f aca="false">AP250-$R250</f>
        <v>0.0966734358692843</v>
      </c>
    </row>
    <row r="251" customFormat="false" ht="14.25" hidden="false" customHeight="false" outlineLevel="0" collapsed="false">
      <c r="B251" s="2" t="n">
        <v>20</v>
      </c>
      <c r="C251" s="3" t="n">
        <v>528</v>
      </c>
      <c r="D251" s="3" t="n">
        <v>3</v>
      </c>
      <c r="E251" s="2" t="n">
        <v>12</v>
      </c>
      <c r="F251" s="4" t="n">
        <v>2.98</v>
      </c>
      <c r="G251" s="2" t="n">
        <v>25</v>
      </c>
      <c r="H251" s="2" t="n">
        <v>35</v>
      </c>
      <c r="I251" s="1" t="n">
        <v>150</v>
      </c>
      <c r="J251" s="2" t="n">
        <v>235</v>
      </c>
      <c r="K251" s="3" t="n">
        <v>942</v>
      </c>
      <c r="L251" s="4" t="n">
        <v>18375</v>
      </c>
      <c r="M251" s="3" t="n">
        <v>93.0113581251418</v>
      </c>
      <c r="N251" s="12" t="n">
        <v>0.051265306122449</v>
      </c>
      <c r="O251" s="4" t="n">
        <v>79.925</v>
      </c>
      <c r="P251" s="3" t="n">
        <v>502.059011853244</v>
      </c>
      <c r="Q251" s="4" t="n">
        <f aca="false">(P251-P$354)/P$355</f>
        <v>2.15770531816101</v>
      </c>
      <c r="R251" s="4" t="n">
        <v>0.22</v>
      </c>
      <c r="S251" s="13" t="n">
        <f aca="false">P251/200000</f>
        <v>0.00251029505926622</v>
      </c>
      <c r="W251" s="4" t="n">
        <f aca="false">$X$2*($X$3*$G251+$X$4*$B251^$X$5*$N251^$X$6)*$S251^$X$7</f>
        <v>0.330386637030469</v>
      </c>
      <c r="X251" s="4" t="n">
        <f aca="false">W251/$R251</f>
        <v>1.50175744104759</v>
      </c>
      <c r="Z251" s="4" t="n">
        <f aca="false">$AA$2*$B251^$AA$3*$S251^$AA$4*($AA$5*$N251^$AA$6+$AA$7)</f>
        <v>0.337983941730069</v>
      </c>
      <c r="AA251" s="4" t="n">
        <f aca="false">Z251/$R251</f>
        <v>1.53629064422759</v>
      </c>
      <c r="AC251" s="4" t="n">
        <f aca="false">$AD$2*($AD$3+$AD$4*$F251/($N251*'Sem TS MC2020'!P243))*($AD$5*$G251+$AD$6*$B251/$N251)*'Sem TS MC2020'!R243*($J251-$M251)/($J251-$M251-$H251)</f>
        <v>0.333776310289799</v>
      </c>
      <c r="AD251" s="4" t="n">
        <f aca="false">AC251/$R251</f>
        <v>1.51716504677181</v>
      </c>
      <c r="AE251" s="24" t="n">
        <f aca="false">AC251-$R251</f>
        <v>0.113776310289799</v>
      </c>
      <c r="AF251" s="25" t="n">
        <f aca="false">1/AD251</f>
        <v>0.659124069677044</v>
      </c>
      <c r="AG251" s="25" t="n">
        <f aca="false">AC251*(14.068*'Sem TS MC2020'!$P243^-0.457)/$R251</f>
        <v>1.24457266957469</v>
      </c>
      <c r="AH251" s="25"/>
      <c r="AP251" s="4" t="n">
        <f aca="false">$AQ$2*($AQ$3+$AQ$4*$F251/($N251*'Sem TS MC2020'!P243))*($AQ$5*$G251+$AQ$6*$B251/$N251)*('Sem TS MC2020'!P243^$AQ$7/200000)*($J251-$M251)/($J251-$M251-$H251)+('Sem TS MC2020'!P243-$C251/$AQ$8)*($AQ$5*$G251+$AQ$6*$B251/$N251)/200000</f>
        <v>0.320349998868577</v>
      </c>
      <c r="AQ251" s="4" t="n">
        <f aca="false">AP251/$R251</f>
        <v>1.45613635849353</v>
      </c>
      <c r="AR251" s="24" t="n">
        <f aca="false">AP251-$R251</f>
        <v>0.100349998868577</v>
      </c>
    </row>
    <row r="252" customFormat="false" ht="14.25" hidden="false" customHeight="false" outlineLevel="0" collapsed="false">
      <c r="A252" s="1" t="s">
        <v>72</v>
      </c>
      <c r="B252" s="2" t="n">
        <v>28</v>
      </c>
      <c r="C252" s="3" t="n">
        <v>400</v>
      </c>
      <c r="D252" s="3" t="n">
        <v>4</v>
      </c>
      <c r="E252" s="2" t="n">
        <v>16</v>
      </c>
      <c r="F252" s="4" t="n">
        <v>5.30847435710111</v>
      </c>
      <c r="G252" s="2" t="n">
        <v>30</v>
      </c>
      <c r="H252" s="2" t="n">
        <v>44</v>
      </c>
      <c r="I252" s="1" t="n">
        <v>200</v>
      </c>
      <c r="J252" s="2" t="n">
        <v>300</v>
      </c>
      <c r="K252" s="3" t="n">
        <v>2463</v>
      </c>
      <c r="L252" s="4" t="n">
        <v>30800</v>
      </c>
      <c r="M252" s="3" t="n">
        <v>133.493416234983</v>
      </c>
      <c r="N252" s="12" t="n">
        <v>0.0799675324675325</v>
      </c>
      <c r="O252" s="4" t="n">
        <v>78.75</v>
      </c>
      <c r="P252" s="3" t="n">
        <v>92.5310334856492</v>
      </c>
      <c r="Q252" s="4" t="n">
        <f aca="false">(P252-P$354)/P$355</f>
        <v>-1.27566775102259</v>
      </c>
      <c r="R252" s="4" t="n">
        <v>0.22</v>
      </c>
      <c r="S252" s="13" t="n">
        <f aca="false">P252/200000</f>
        <v>0.000462655167428246</v>
      </c>
      <c r="W252" s="4" t="n">
        <f aca="false">$X$2*($X$3*$G252+$X$4*$B252^$X$5*$N252^$X$6)*$S252^$X$7</f>
        <v>0.121178995981108</v>
      </c>
      <c r="X252" s="4" t="n">
        <f aca="false">W252/$R252</f>
        <v>0.550813618095947</v>
      </c>
      <c r="Z252" s="4" t="n">
        <f aca="false">$AA$2*$B252^$AA$3*$S252^$AA$4*($AA$5*$N252^$AA$6+$AA$7)</f>
        <v>0.12775770887383</v>
      </c>
      <c r="AA252" s="4" t="n">
        <f aca="false">Z252/$R252</f>
        <v>0.580716858517411</v>
      </c>
      <c r="AC252" s="4" t="n">
        <f aca="false">$AD$2*($AD$3+$AD$4*$F252/($N252*'Sem TS MC2020'!P244))*($AD$5*$G252+$AD$6*$B252/$N252)*'Sem TS MC2020'!R244*($J252-$M252)/($J252-$M252-$H252)</f>
        <v>0.0829430340911861</v>
      </c>
      <c r="AD252" s="4" t="n">
        <f aca="false">AC252/$R252</f>
        <v>0.377013791323573</v>
      </c>
      <c r="AE252" s="24" t="n">
        <f aca="false">AC252-$R252</f>
        <v>-0.137056965908814</v>
      </c>
      <c r="AF252" s="25" t="n">
        <f aca="false">1/AD252</f>
        <v>2.65242286360222</v>
      </c>
      <c r="AG252" s="25" t="n">
        <f aca="false">AC252*(14.068*'Sem TS MC2020'!$P244^-0.457)/$R252</f>
        <v>0.535267931697532</v>
      </c>
      <c r="AH252" s="25"/>
      <c r="AP252" s="4" t="n">
        <f aca="false">$AQ$2*($AQ$3+$AQ$4*$F252/($N252*'Sem TS MC2020'!P244))*($AQ$5*$G252+$AQ$6*$B252/$N252)*('Sem TS MC2020'!P244^$AQ$7/200000)*($J252-$M252)/($J252-$M252-$H252)+('Sem TS MC2020'!P244-$C252/$AQ$8)*($AQ$5*$G252+$AQ$6*$B252/$N252)/200000</f>
        <v>0.0918235427333827</v>
      </c>
      <c r="AQ252" s="4" t="n">
        <f aca="false">AP252/$R252</f>
        <v>0.417379739697194</v>
      </c>
      <c r="AR252" s="24" t="n">
        <f aca="false">AP252-$R252</f>
        <v>-0.128176457266617</v>
      </c>
    </row>
    <row r="253" customFormat="false" ht="14.25" hidden="false" customHeight="false" outlineLevel="0" collapsed="false">
      <c r="B253" s="2" t="n">
        <v>28</v>
      </c>
      <c r="C253" s="3" t="n">
        <v>400</v>
      </c>
      <c r="D253" s="3" t="n">
        <v>4</v>
      </c>
      <c r="E253" s="2" t="n">
        <v>16</v>
      </c>
      <c r="F253" s="4" t="n">
        <v>5.30847435710111</v>
      </c>
      <c r="G253" s="2" t="n">
        <v>30</v>
      </c>
      <c r="H253" s="2" t="n">
        <v>44</v>
      </c>
      <c r="I253" s="1" t="n">
        <v>200</v>
      </c>
      <c r="J253" s="2" t="n">
        <v>300</v>
      </c>
      <c r="K253" s="3" t="n">
        <v>2463</v>
      </c>
      <c r="L253" s="4" t="n">
        <v>30800</v>
      </c>
      <c r="M253" s="3" t="n">
        <v>133.493416234983</v>
      </c>
      <c r="N253" s="12" t="n">
        <v>0.0799675324675325</v>
      </c>
      <c r="O253" s="4" t="n">
        <v>105.075</v>
      </c>
      <c r="P253" s="3" t="n">
        <v>145.469198364301</v>
      </c>
      <c r="Q253" s="4" t="n">
        <f aca="false">(P253-P$354)/P$355</f>
        <v>-0.831848331526865</v>
      </c>
      <c r="R253" s="4" t="n">
        <v>0.25</v>
      </c>
      <c r="S253" s="13" t="n">
        <f aca="false">P253/200000</f>
        <v>0.000727345991821506</v>
      </c>
      <c r="W253" s="4" t="n">
        <f aca="false">$X$2*($X$3*$G253+$X$4*$B253^$X$5*$N253^$X$6)*$S253^$X$7</f>
        <v>0.160198243985295</v>
      </c>
      <c r="X253" s="4" t="n">
        <f aca="false">W253/$R253</f>
        <v>0.640792975941179</v>
      </c>
      <c r="Z253" s="4" t="n">
        <f aca="false">$AA$2*$B253^$AA$3*$S253^$AA$4*($AA$5*$N253^$AA$6+$AA$7)</f>
        <v>0.169737904459013</v>
      </c>
      <c r="AA253" s="4" t="n">
        <f aca="false">Z253/$R253</f>
        <v>0.678951617836051</v>
      </c>
      <c r="AC253" s="4" t="n">
        <f aca="false">$AD$2*($AD$3+$AD$4*$F253/($N253*'Sem TS MC2020'!P245))*($AD$5*$G253+$AD$6*$B253/$N253)*'Sem TS MC2020'!R245*($J253-$M253)/($J253-$M253-$H253)</f>
        <v>0.119372784904822</v>
      </c>
      <c r="AD253" s="4" t="n">
        <f aca="false">AC253/$R253</f>
        <v>0.477491139619289</v>
      </c>
      <c r="AE253" s="24" t="n">
        <f aca="false">AC253-$R253</f>
        <v>-0.130627215095178</v>
      </c>
      <c r="AF253" s="25" t="n">
        <f aca="false">1/AD253</f>
        <v>2.09427969867109</v>
      </c>
      <c r="AG253" s="25" t="n">
        <f aca="false">AC253*(14.068*'Sem TS MC2020'!$P245^-0.457)/$R253</f>
        <v>0.594210863085168</v>
      </c>
      <c r="AH253" s="25"/>
      <c r="AP253" s="4" t="n">
        <f aca="false">$AQ$2*($AQ$3+$AQ$4*$F253/($N253*'Sem TS MC2020'!P245))*($AQ$5*$G253+$AQ$6*$B253/$N253)*('Sem TS MC2020'!P245^$AQ$7/200000)*($J253-$M253)/($J253-$M253-$H253)+('Sem TS MC2020'!P245-$C253/$AQ$8)*($AQ$5*$G253+$AQ$6*$B253/$N253)/200000</f>
        <v>0.128544562667349</v>
      </c>
      <c r="AQ253" s="4" t="n">
        <f aca="false">AP253/$R253</f>
        <v>0.514178250669398</v>
      </c>
      <c r="AR253" s="24" t="n">
        <f aca="false">AP253-$R253</f>
        <v>-0.121455437332651</v>
      </c>
    </row>
    <row r="254" customFormat="false" ht="14.25" hidden="false" customHeight="false" outlineLevel="0" collapsed="false">
      <c r="B254" s="2" t="n">
        <v>28</v>
      </c>
      <c r="C254" s="3" t="n">
        <v>400</v>
      </c>
      <c r="D254" s="3" t="n">
        <v>4</v>
      </c>
      <c r="E254" s="2" t="n">
        <v>16</v>
      </c>
      <c r="F254" s="4" t="n">
        <v>5.30847435710111</v>
      </c>
      <c r="G254" s="2" t="n">
        <v>30</v>
      </c>
      <c r="H254" s="2" t="n">
        <v>44</v>
      </c>
      <c r="I254" s="1" t="n">
        <v>200</v>
      </c>
      <c r="J254" s="2" t="n">
        <v>300</v>
      </c>
      <c r="K254" s="3" t="n">
        <v>2463</v>
      </c>
      <c r="L254" s="4" t="n">
        <v>30800</v>
      </c>
      <c r="M254" s="3" t="n">
        <v>133.493416234983</v>
      </c>
      <c r="N254" s="12" t="n">
        <v>0.0799675324675325</v>
      </c>
      <c r="O254" s="4" t="n">
        <v>120.15</v>
      </c>
      <c r="P254" s="3" t="n">
        <v>180.361434335736</v>
      </c>
      <c r="Q254" s="4" t="n">
        <f aca="false">(P254-P$354)/P$355</f>
        <v>-0.539321154786833</v>
      </c>
      <c r="R254" s="4" t="n">
        <v>0.29</v>
      </c>
      <c r="S254" s="13" t="n">
        <f aca="false">P254/200000</f>
        <v>0.000901807171678682</v>
      </c>
      <c r="W254" s="4" t="n">
        <f aca="false">$X$2*($X$3*$G254+$X$4*$B254^$X$5*$N254^$X$6)*$S254^$X$7</f>
        <v>0.18292314808877</v>
      </c>
      <c r="X254" s="4" t="n">
        <f aca="false">W254/$R254</f>
        <v>0.630769476168173</v>
      </c>
      <c r="Z254" s="4" t="n">
        <f aca="false">$AA$2*$B254^$AA$3*$S254^$AA$4*($AA$5*$N254^$AA$6+$AA$7)</f>
        <v>0.194274970127589</v>
      </c>
      <c r="AA254" s="4" t="n">
        <f aca="false">Z254/$R254</f>
        <v>0.669913690095135</v>
      </c>
      <c r="AC254" s="4" t="n">
        <f aca="false">$AD$2*($AD$3+$AD$4*$F254/($N254*'Sem TS MC2020'!P246))*($AD$5*$G254+$AD$6*$B254/$N254)*'Sem TS MC2020'!R246*($J254-$M254)/($J254-$M254-$H254)</f>
        <v>0.140234266139981</v>
      </c>
      <c r="AD254" s="4" t="n">
        <f aca="false">AC254/$R254</f>
        <v>0.483566434965453</v>
      </c>
      <c r="AE254" s="24" t="n">
        <f aca="false">AC254-$R254</f>
        <v>-0.149765733860019</v>
      </c>
      <c r="AF254" s="25" t="n">
        <f aca="false">1/AD254</f>
        <v>2.06796817912195</v>
      </c>
      <c r="AG254" s="25" t="n">
        <f aca="false">AC254*(14.068*'Sem TS MC2020'!$P246^-0.457)/$R254</f>
        <v>0.566008402119191</v>
      </c>
      <c r="AH254" s="25"/>
      <c r="AP254" s="4" t="n">
        <f aca="false">$AQ$2*($AQ$3+$AQ$4*$F254/($N254*'Sem TS MC2020'!P246))*($AQ$5*$G254+$AQ$6*$B254/$N254)*('Sem TS MC2020'!P246^$AQ$7/200000)*($J254-$M254)/($J254-$M254-$H254)+('Sem TS MC2020'!P246-$C254/$AQ$8)*($AQ$5*$G254+$AQ$6*$B254/$N254)/200000</f>
        <v>0.148690776764302</v>
      </c>
      <c r="AQ254" s="4" t="n">
        <f aca="false">AP254/$R254</f>
        <v>0.512726816428628</v>
      </c>
      <c r="AR254" s="24" t="n">
        <f aca="false">AP254-$R254</f>
        <v>-0.141309223235698</v>
      </c>
    </row>
    <row r="255" customFormat="false" ht="14.25" hidden="false" customHeight="false" outlineLevel="0" collapsed="false">
      <c r="B255" s="2" t="n">
        <v>28</v>
      </c>
      <c r="C255" s="3" t="n">
        <v>400</v>
      </c>
      <c r="D255" s="3" t="n">
        <v>4</v>
      </c>
      <c r="E255" s="2" t="n">
        <v>16</v>
      </c>
      <c r="F255" s="4" t="n">
        <v>5.30847435710111</v>
      </c>
      <c r="G255" s="2" t="n">
        <v>30</v>
      </c>
      <c r="H255" s="2" t="n">
        <v>44</v>
      </c>
      <c r="I255" s="1" t="n">
        <v>200</v>
      </c>
      <c r="J255" s="2" t="n">
        <v>300</v>
      </c>
      <c r="K255" s="3" t="n">
        <v>2463</v>
      </c>
      <c r="L255" s="4" t="n">
        <v>30800</v>
      </c>
      <c r="M255" s="3" t="n">
        <v>133.493416234983</v>
      </c>
      <c r="N255" s="12" t="n">
        <v>0.0799675324675325</v>
      </c>
      <c r="O255" s="4" t="n">
        <v>137.475</v>
      </c>
      <c r="P255" s="3" t="n">
        <v>220.461466720819</v>
      </c>
      <c r="Q255" s="4" t="n">
        <f aca="false">(P255-P$354)/P$355</f>
        <v>-0.203133205399036</v>
      </c>
      <c r="R255" s="4" t="n">
        <v>0.31</v>
      </c>
      <c r="S255" s="13" t="n">
        <f aca="false">P255/200000</f>
        <v>0.00110230733360409</v>
      </c>
      <c r="W255" s="4" t="n">
        <f aca="false">$X$2*($X$3*$G255+$X$4*$B255^$X$5*$N255^$X$6)*$S255^$X$7</f>
        <v>0.2070447808517</v>
      </c>
      <c r="X255" s="4" t="n">
        <f aca="false">W255/$R255</f>
        <v>0.667886389844193</v>
      </c>
      <c r="Z255" s="4" t="n">
        <f aca="false">$AA$2*$B255^$AA$3*$S255^$AA$4*($AA$5*$N255^$AA$6+$AA$7)</f>
        <v>0.220379681162094</v>
      </c>
      <c r="AA255" s="4" t="n">
        <f aca="false">Z255/$R255</f>
        <v>0.710902197297076</v>
      </c>
      <c r="AC255" s="4" t="n">
        <f aca="false">$AD$2*($AD$3+$AD$4*$F255/($N255*'Sem TS MC2020'!P247))*($AD$5*$G255+$AD$6*$B255/$N255)*'Sem TS MC2020'!R247*($J255-$M255)/($J255-$M255-$H255)</f>
        <v>0.164209401290836</v>
      </c>
      <c r="AD255" s="4" t="n">
        <f aca="false">AC255/$R255</f>
        <v>0.52970774609947</v>
      </c>
      <c r="AE255" s="24" t="n">
        <f aca="false">AC255-$R255</f>
        <v>-0.145790598709164</v>
      </c>
      <c r="AF255" s="25" t="n">
        <f aca="false">1/AD255</f>
        <v>1.88783344658173</v>
      </c>
      <c r="AG255" s="25" t="n">
        <f aca="false">AC255*(14.068*'Sem TS MC2020'!$P247^-0.457)/$R255</f>
        <v>0.583000027293956</v>
      </c>
      <c r="AH255" s="25"/>
      <c r="AP255" s="4" t="n">
        <f aca="false">$AQ$2*($AQ$3+$AQ$4*$F255/($N255*'Sem TS MC2020'!P247))*($AQ$5*$G255+$AQ$6*$B255/$N255)*('Sem TS MC2020'!P247^$AQ$7/200000)*($J255-$M255)/($J255-$M255-$H255)+('Sem TS MC2020'!P247-$C255/$AQ$8)*($AQ$5*$G255+$AQ$6*$B255/$N255)/200000</f>
        <v>0.171227060043266</v>
      </c>
      <c r="AQ255" s="4" t="n">
        <f aca="false">AP255/$R255</f>
        <v>0.552345354978278</v>
      </c>
      <c r="AR255" s="24" t="n">
        <f aca="false">AP255-$R255</f>
        <v>-0.138772939956734</v>
      </c>
    </row>
    <row r="256" customFormat="false" ht="14.25" hidden="false" customHeight="false" outlineLevel="0" collapsed="false">
      <c r="B256" s="2" t="n">
        <v>28</v>
      </c>
      <c r="C256" s="3" t="n">
        <v>400</v>
      </c>
      <c r="D256" s="3" t="n">
        <v>4</v>
      </c>
      <c r="E256" s="2" t="n">
        <v>16</v>
      </c>
      <c r="F256" s="4" t="n">
        <v>5.30847435710111</v>
      </c>
      <c r="G256" s="2" t="n">
        <v>30</v>
      </c>
      <c r="H256" s="2" t="n">
        <v>44</v>
      </c>
      <c r="I256" s="1" t="n">
        <v>200</v>
      </c>
      <c r="J256" s="2" t="n">
        <v>300</v>
      </c>
      <c r="K256" s="3" t="n">
        <v>2463</v>
      </c>
      <c r="L256" s="4" t="n">
        <v>30800</v>
      </c>
      <c r="M256" s="3" t="n">
        <v>133.493416234983</v>
      </c>
      <c r="N256" s="12" t="n">
        <v>0.0799675324675325</v>
      </c>
      <c r="O256" s="4" t="n">
        <v>164.475</v>
      </c>
      <c r="P256" s="3" t="n">
        <v>282.955023684583</v>
      </c>
      <c r="Q256" s="4" t="n">
        <f aca="false">(P256-P$354)/P$355</f>
        <v>0.320796066374155</v>
      </c>
      <c r="R256" s="4" t="n">
        <v>0.33</v>
      </c>
      <c r="S256" s="13" t="n">
        <f aca="false">P256/200000</f>
        <v>0.00141477511842292</v>
      </c>
      <c r="W256" s="4" t="n">
        <f aca="false">$X$2*($X$3*$G256+$X$4*$B256^$X$5*$N256^$X$6)*$S256^$X$7</f>
        <v>0.241511412231426</v>
      </c>
      <c r="X256" s="4" t="n">
        <f aca="false">W256/$R256</f>
        <v>0.731852764337655</v>
      </c>
      <c r="Z256" s="4" t="n">
        <f aca="false">$AA$2*$B256^$AA$3*$S256^$AA$4*($AA$5*$N256^$AA$6+$AA$7)</f>
        <v>0.257772837626319</v>
      </c>
      <c r="AA256" s="4" t="n">
        <f aca="false">Z256/$R256</f>
        <v>0.781129810988846</v>
      </c>
      <c r="AC256" s="4" t="n">
        <f aca="false">$AD$2*($AD$3+$AD$4*$F256/($N256*'Sem TS MC2020'!P248))*($AD$5*$G256+$AD$6*$B256/$N256)*'Sem TS MC2020'!R248*($J256-$M256)/($J256-$M256-$H256)</f>
        <v>0.20157324827918</v>
      </c>
      <c r="AD256" s="4" t="n">
        <f aca="false">AC256/$R256</f>
        <v>0.610828025088426</v>
      </c>
      <c r="AE256" s="24" t="n">
        <f aca="false">AC256-$R256</f>
        <v>-0.12842675172082</v>
      </c>
      <c r="AF256" s="25" t="n">
        <f aca="false">1/AD256</f>
        <v>1.63712200312885</v>
      </c>
      <c r="AG256" s="25" t="n">
        <f aca="false">AC256*(14.068*'Sem TS MC2020'!$P248^-0.457)/$R256</f>
        <v>0.619386588739317</v>
      </c>
      <c r="AH256" s="25"/>
      <c r="AP256" s="4" t="n">
        <f aca="false">$AQ$2*($AQ$3+$AQ$4*$F256/($N256*'Sem TS MC2020'!P248))*($AQ$5*$G256+$AQ$6*$B256/$N256)*('Sem TS MC2020'!P248^$AQ$7/200000)*($J256-$M256)/($J256-$M256-$H256)+('Sem TS MC2020'!P248-$C256/$AQ$8)*($AQ$5*$G256+$AQ$6*$B256/$N256)/200000</f>
        <v>0.205275783940273</v>
      </c>
      <c r="AQ256" s="4" t="n">
        <f aca="false">AP256/$R256</f>
        <v>0.62204783012204</v>
      </c>
      <c r="AR256" s="24" t="n">
        <f aca="false">AP256-$R256</f>
        <v>-0.124724216059727</v>
      </c>
    </row>
    <row r="257" customFormat="false" ht="14.25" hidden="false" customHeight="false" outlineLevel="0" collapsed="false">
      <c r="B257" s="2" t="n">
        <v>28</v>
      </c>
      <c r="C257" s="3" t="n">
        <v>400</v>
      </c>
      <c r="D257" s="3" t="n">
        <v>4</v>
      </c>
      <c r="E257" s="2" t="n">
        <v>16</v>
      </c>
      <c r="F257" s="4" t="n">
        <v>5.30847435710111</v>
      </c>
      <c r="G257" s="2" t="n">
        <v>30</v>
      </c>
      <c r="H257" s="2" t="n">
        <v>44</v>
      </c>
      <c r="I257" s="1" t="n">
        <v>200</v>
      </c>
      <c r="J257" s="2" t="n">
        <v>300</v>
      </c>
      <c r="K257" s="3" t="n">
        <v>2463</v>
      </c>
      <c r="L257" s="4" t="n">
        <v>30800</v>
      </c>
      <c r="M257" s="3" t="n">
        <v>133.493416234983</v>
      </c>
      <c r="N257" s="12" t="n">
        <v>0.0799675324675325</v>
      </c>
      <c r="O257" s="4" t="n">
        <v>178.2</v>
      </c>
      <c r="P257" s="3" t="n">
        <v>314.72258180783</v>
      </c>
      <c r="Q257" s="4" t="n">
        <f aca="false">(P257-P$354)/P$355</f>
        <v>0.587126779525528</v>
      </c>
      <c r="R257" s="4" t="n">
        <v>0.34</v>
      </c>
      <c r="S257" s="13" t="n">
        <f aca="false">P257/200000</f>
        <v>0.00157361290903915</v>
      </c>
      <c r="W257" s="4" t="n">
        <f aca="false">$X$2*($X$3*$G257+$X$4*$B257^$X$5*$N257^$X$6)*$S257^$X$7</f>
        <v>0.257898926084015</v>
      </c>
      <c r="X257" s="4" t="n">
        <f aca="false">W257/$R257</f>
        <v>0.758526253188281</v>
      </c>
      <c r="Z257" s="4" t="n">
        <f aca="false">$AA$2*$B257^$AA$3*$S257^$AA$4*($AA$5*$N257^$AA$6+$AA$7)</f>
        <v>0.275586122353563</v>
      </c>
      <c r="AA257" s="4" t="n">
        <f aca="false">Z257/$R257</f>
        <v>0.810547418686951</v>
      </c>
      <c r="AC257" s="4" t="n">
        <f aca="false">$AD$2*($AD$3+$AD$4*$F257/($N257*'Sem TS MC2020'!P249))*($AD$5*$G257+$AD$6*$B257/$N257)*'Sem TS MC2020'!R249*($J257-$M257)/($J257-$M257-$H257)</f>
        <v>0.220566537164922</v>
      </c>
      <c r="AD257" s="4" t="n">
        <f aca="false">AC257/$R257</f>
        <v>0.648725109308595</v>
      </c>
      <c r="AE257" s="24" t="n">
        <f aca="false">AC257-$R257</f>
        <v>-0.119433462835078</v>
      </c>
      <c r="AF257" s="25" t="n">
        <f aca="false">1/AD257</f>
        <v>1.54148496127395</v>
      </c>
      <c r="AG257" s="25" t="n">
        <f aca="false">AC257*(14.068*'Sem TS MC2020'!$P249^-0.457)/$R257</f>
        <v>0.634156406546869</v>
      </c>
      <c r="AH257" s="25"/>
      <c r="AP257" s="4" t="n">
        <f aca="false">$AQ$2*($AQ$3+$AQ$4*$F257/($N257*'Sem TS MC2020'!P249))*($AQ$5*$G257+$AQ$6*$B257/$N257)*('Sem TS MC2020'!P249^$AQ$7/200000)*($J257-$M257)/($J257-$M257-$H257)+('Sem TS MC2020'!P249-$C257/$AQ$8)*($AQ$5*$G257+$AQ$6*$B257/$N257)/200000</f>
        <v>0.222163012162346</v>
      </c>
      <c r="AQ257" s="4" t="n">
        <f aca="false">AP257/$R257</f>
        <v>0.653420624006901</v>
      </c>
      <c r="AR257" s="24" t="n">
        <f aca="false">AP257-$R257</f>
        <v>-0.117836987837654</v>
      </c>
    </row>
    <row r="258" customFormat="false" ht="14.25" hidden="false" customHeight="false" outlineLevel="0" collapsed="false">
      <c r="B258" s="2" t="n">
        <v>28</v>
      </c>
      <c r="C258" s="3" t="n">
        <v>400</v>
      </c>
      <c r="D258" s="3" t="n">
        <v>4</v>
      </c>
      <c r="E258" s="2" t="n">
        <v>16</v>
      </c>
      <c r="F258" s="4" t="n">
        <v>5.30847435710111</v>
      </c>
      <c r="G258" s="2" t="n">
        <v>30</v>
      </c>
      <c r="H258" s="2" t="n">
        <v>44</v>
      </c>
      <c r="I258" s="1" t="n">
        <v>200</v>
      </c>
      <c r="J258" s="2" t="n">
        <v>300</v>
      </c>
      <c r="K258" s="3" t="n">
        <v>2463</v>
      </c>
      <c r="L258" s="4" t="n">
        <v>30800</v>
      </c>
      <c r="M258" s="3" t="n">
        <v>133.493416234983</v>
      </c>
      <c r="N258" s="12" t="n">
        <v>0.0799675324675325</v>
      </c>
      <c r="O258" s="4" t="n">
        <v>198.225</v>
      </c>
      <c r="P258" s="3" t="n">
        <v>361.071969889289</v>
      </c>
      <c r="Q258" s="4" t="n">
        <f aca="false">(P258-P$354)/P$355</f>
        <v>0.975707656090643</v>
      </c>
      <c r="R258" s="4" t="n">
        <v>0.37</v>
      </c>
      <c r="S258" s="13" t="n">
        <f aca="false">P258/200000</f>
        <v>0.00180535984944645</v>
      </c>
      <c r="W258" s="4" t="n">
        <f aca="false">$X$2*($X$3*$G258+$X$4*$B258^$X$5*$N258^$X$6)*$S258^$X$7</f>
        <v>0.280713549383368</v>
      </c>
      <c r="X258" s="4" t="n">
        <f aca="false">W258/$R258</f>
        <v>0.758685268603697</v>
      </c>
      <c r="Z258" s="4" t="n">
        <f aca="false">$AA$2*$B258^$AA$3*$S258^$AA$4*($AA$5*$N258^$AA$6+$AA$7)</f>
        <v>0.300419079079592</v>
      </c>
      <c r="AA258" s="4" t="n">
        <f aca="false">Z258/$R258</f>
        <v>0.811943456971869</v>
      </c>
      <c r="AC258" s="4" t="n">
        <f aca="false">$AD$2*($AD$3+$AD$4*$F258/($N258*'Sem TS MC2020'!P250))*($AD$5*$G258+$AD$6*$B258/$N258)*'Sem TS MC2020'!R250*($J258-$M258)/($J258-$M258-$H258)</f>
        <v>0.248278057014611</v>
      </c>
      <c r="AD258" s="4" t="n">
        <f aca="false">AC258/$R258</f>
        <v>0.671021775715166</v>
      </c>
      <c r="AE258" s="24" t="n">
        <f aca="false">AC258-$R258</f>
        <v>-0.121721942985389</v>
      </c>
      <c r="AF258" s="25" t="n">
        <f aca="false">1/AD258</f>
        <v>1.49026460271608</v>
      </c>
      <c r="AG258" s="25" t="n">
        <f aca="false">AC258*(14.068*'Sem TS MC2020'!$P250^-0.457)/$R258</f>
        <v>0.624792356870026</v>
      </c>
      <c r="AH258" s="25"/>
      <c r="AP258" s="4" t="n">
        <f aca="false">$AQ$2*($AQ$3+$AQ$4*$F258/($N258*'Sem TS MC2020'!P250))*($AQ$5*$G258+$AQ$6*$B258/$N258)*('Sem TS MC2020'!P250^$AQ$7/200000)*($J258-$M258)/($J258-$M258-$H258)+('Sem TS MC2020'!P250-$C258/$AQ$8)*($AQ$5*$G258+$AQ$6*$B258/$N258)/200000</f>
        <v>0.246367898337216</v>
      </c>
      <c r="AQ258" s="4" t="n">
        <f aca="false">AP258/$R258</f>
        <v>0.66585918469518</v>
      </c>
      <c r="AR258" s="24" t="n">
        <f aca="false">AP258-$R258</f>
        <v>-0.123632101662784</v>
      </c>
    </row>
    <row r="259" customFormat="false" ht="14.25" hidden="false" customHeight="false" outlineLevel="0" collapsed="false">
      <c r="A259" s="1" t="s">
        <v>73</v>
      </c>
      <c r="B259" s="2" t="n">
        <v>15.9</v>
      </c>
      <c r="C259" s="3" t="n">
        <v>392</v>
      </c>
      <c r="D259" s="3" t="n">
        <v>2</v>
      </c>
      <c r="E259" s="2" t="n">
        <v>46</v>
      </c>
      <c r="F259" s="4" t="n">
        <v>2.82587739786632</v>
      </c>
      <c r="G259" s="2" t="n">
        <v>30</v>
      </c>
      <c r="H259" s="2" t="n">
        <v>38</v>
      </c>
      <c r="I259" s="1" t="n">
        <v>150</v>
      </c>
      <c r="J259" s="2" t="n">
        <v>250</v>
      </c>
      <c r="K259" s="3" t="n">
        <v>397.2</v>
      </c>
      <c r="L259" s="4" t="n">
        <v>17625</v>
      </c>
      <c r="M259" s="3" t="n">
        <v>70.0613812094831</v>
      </c>
      <c r="N259" s="12" t="n">
        <v>0.022536170212766</v>
      </c>
      <c r="O259" s="4" t="n">
        <v>27.1</v>
      </c>
      <c r="P259" s="3" t="n">
        <v>327.335668752827</v>
      </c>
      <c r="Q259" s="4" t="n">
        <f aca="false">(P259-P$354)/P$355</f>
        <v>0.69287152792792</v>
      </c>
      <c r="R259" s="4" t="n">
        <v>0.2</v>
      </c>
      <c r="S259" s="13" t="n">
        <f aca="false">P259/200000</f>
        <v>0.00163667834376413</v>
      </c>
      <c r="W259" s="4" t="n">
        <f aca="false">$X$2*($X$3*$G259+$X$4*$B259^$X$5*$N259^$X$6)*$S259^$X$7</f>
        <v>0.306410905915948</v>
      </c>
      <c r="X259" s="4" t="n">
        <f aca="false">W259/$R259</f>
        <v>1.53205452957974</v>
      </c>
      <c r="Z259" s="4" t="n">
        <f aca="false">$AA$2*$B259^$AA$3*$S259^$AA$4*($AA$5*$N259^$AA$6+$AA$7)</f>
        <v>0.303371941125563</v>
      </c>
      <c r="AA259" s="4" t="n">
        <f aca="false">Z259/$R259</f>
        <v>1.51685970562782</v>
      </c>
      <c r="AC259" s="4" t="n">
        <f aca="false">$AD$2*($AD$3+$AD$4*$F259/($N259*'Sem TS MC2020'!P251))*($AD$5*$G259+$AD$6*$B259/$N259)*'Sem TS MC2020'!R251*($J259-$M259)/($J259-$M259-$H259)</f>
        <v>0.321832912882017</v>
      </c>
      <c r="AD259" s="4" t="n">
        <f aca="false">AC259/$R259</f>
        <v>1.60916456441009</v>
      </c>
      <c r="AE259" s="24" t="n">
        <f aca="false">AC259-$R259</f>
        <v>0.121832912882017</v>
      </c>
      <c r="AF259" s="25" t="n">
        <f aca="false">1/AD259</f>
        <v>0.621440480431283</v>
      </c>
      <c r="AG259" s="25" t="n">
        <f aca="false">AC259*(14.068*'Sem TS MC2020'!$P251^-0.457)/$R259</f>
        <v>1.53350164900058</v>
      </c>
      <c r="AH259" s="25"/>
      <c r="AP259" s="4" t="n">
        <f aca="false">$AQ$2*($AQ$3+$AQ$4*$F259/($N259*'Sem TS MC2020'!P251))*($AQ$5*$G259+$AQ$6*$B259/$N259)*('Sem TS MC2020'!P251^$AQ$7/200000)*($J259-$M259)/($J259-$M259-$H259)+('Sem TS MC2020'!P251-$C259/$AQ$8)*($AQ$5*$G259+$AQ$6*$B259/$N259)/200000</f>
        <v>0.333598977027061</v>
      </c>
      <c r="AQ259" s="4" t="n">
        <f aca="false">AP259/$R259</f>
        <v>1.66799488513531</v>
      </c>
      <c r="AR259" s="24" t="n">
        <f aca="false">AP259-$R259</f>
        <v>0.133598977027061</v>
      </c>
    </row>
    <row r="260" customFormat="false" ht="14.25" hidden="false" customHeight="false" outlineLevel="0" collapsed="false">
      <c r="B260" s="2" t="n">
        <v>15.9</v>
      </c>
      <c r="C260" s="3" t="n">
        <v>392</v>
      </c>
      <c r="D260" s="3" t="n">
        <v>2</v>
      </c>
      <c r="E260" s="2" t="n">
        <v>46</v>
      </c>
      <c r="F260" s="4" t="n">
        <v>2.82587739786632</v>
      </c>
      <c r="G260" s="2" t="n">
        <v>30</v>
      </c>
      <c r="H260" s="2" t="n">
        <v>38</v>
      </c>
      <c r="I260" s="1" t="n">
        <v>150</v>
      </c>
      <c r="J260" s="2" t="n">
        <v>250</v>
      </c>
      <c r="K260" s="3" t="n">
        <v>397.2</v>
      </c>
      <c r="L260" s="4" t="n">
        <v>17625</v>
      </c>
      <c r="M260" s="3" t="n">
        <v>70.0613812094831</v>
      </c>
      <c r="N260" s="12" t="n">
        <v>0.022536170212766</v>
      </c>
      <c r="O260" s="4" t="n">
        <v>35.6</v>
      </c>
      <c r="P260" s="3" t="n">
        <v>367.240844430156</v>
      </c>
      <c r="Q260" s="4" t="n">
        <f aca="false">(P260-P$354)/P$355</f>
        <v>1.02742585077959</v>
      </c>
      <c r="R260" s="4" t="n">
        <v>0.35</v>
      </c>
      <c r="S260" s="13" t="n">
        <f aca="false">P260/200000</f>
        <v>0.00183620422215078</v>
      </c>
      <c r="W260" s="4" t="n">
        <f aca="false">$X$2*($X$3*$G260+$X$4*$B260^$X$5*$N260^$X$6)*$S260^$X$7</f>
        <v>0.328948633226126</v>
      </c>
      <c r="X260" s="4" t="n">
        <f aca="false">W260/$R260</f>
        <v>0.939853237788932</v>
      </c>
      <c r="Z260" s="4" t="n">
        <f aca="false">$AA$2*$B260^$AA$3*$S260^$AA$4*($AA$5*$N260^$AA$6+$AA$7)</f>
        <v>0.326098508105169</v>
      </c>
      <c r="AA260" s="4" t="n">
        <f aca="false">Z260/$R260</f>
        <v>0.931710023157625</v>
      </c>
      <c r="AC260" s="4" t="n">
        <f aca="false">$AD$2*($AD$3+$AD$4*$F260/($N260*'Sem TS MC2020'!P252))*($AD$5*$G260+$AD$6*$B260/$N260)*'Sem TS MC2020'!R252*($J260-$M260)/($J260-$M260-$H260)</f>
        <v>0.355425889299081</v>
      </c>
      <c r="AD260" s="4" t="n">
        <f aca="false">AC260/$R260</f>
        <v>1.01550254085452</v>
      </c>
      <c r="AE260" s="24" t="n">
        <f aca="false">AC260-$R260</f>
        <v>0.00542588929908133</v>
      </c>
      <c r="AF260" s="25" t="n">
        <f aca="false">1/AD260</f>
        <v>0.984734119088</v>
      </c>
      <c r="AG260" s="25" t="n">
        <f aca="false">AC260*(14.068*'Sem TS MC2020'!$P252^-0.457)/$R260</f>
        <v>0.932459133396676</v>
      </c>
      <c r="AH260" s="25"/>
      <c r="AP260" s="4" t="n">
        <f aca="false">$AQ$2*($AQ$3+$AQ$4*$F260/($N260*'Sem TS MC2020'!P252))*($AQ$5*$G260+$AQ$6*$B260/$N260)*('Sem TS MC2020'!P252^$AQ$7/200000)*($J260-$M260)/($J260-$M260-$H260)+('Sem TS MC2020'!P252-$C260/$AQ$8)*($AQ$5*$G260+$AQ$6*$B260/$N260)/200000</f>
        <v>0.36433441984259</v>
      </c>
      <c r="AQ260" s="4" t="n">
        <f aca="false">AP260/$R260</f>
        <v>1.04095548526454</v>
      </c>
      <c r="AR260" s="24" t="n">
        <f aca="false">AP260-$R260</f>
        <v>0.0143344198425902</v>
      </c>
    </row>
    <row r="261" customFormat="false" ht="14.25" hidden="false" customHeight="false" outlineLevel="0" collapsed="false">
      <c r="A261" s="1" t="s">
        <v>74</v>
      </c>
      <c r="B261" s="2" t="n">
        <v>15.9</v>
      </c>
      <c r="C261" s="3" t="n">
        <v>392</v>
      </c>
      <c r="D261" s="3" t="n">
        <v>2</v>
      </c>
      <c r="E261" s="2" t="n">
        <v>46</v>
      </c>
      <c r="F261" s="4" t="n">
        <v>2.82587739786632</v>
      </c>
      <c r="G261" s="2" t="n">
        <v>30</v>
      </c>
      <c r="H261" s="2" t="n">
        <v>38</v>
      </c>
      <c r="I261" s="1" t="n">
        <v>150</v>
      </c>
      <c r="J261" s="2" t="n">
        <v>250</v>
      </c>
      <c r="K261" s="3" t="n">
        <v>397.2</v>
      </c>
      <c r="L261" s="4" t="n">
        <v>17625</v>
      </c>
      <c r="M261" s="3" t="n">
        <v>70.0613812094831</v>
      </c>
      <c r="N261" s="12" t="n">
        <v>0.022536170212766</v>
      </c>
      <c r="O261" s="4" t="n">
        <v>27.2</v>
      </c>
      <c r="P261" s="3" t="n">
        <v>329.07434564323</v>
      </c>
      <c r="Q261" s="4" t="n">
        <f aca="false">(P261-P$354)/P$355</f>
        <v>0.707448130081742</v>
      </c>
      <c r="R261" s="4" t="n">
        <v>0.2</v>
      </c>
      <c r="S261" s="13" t="n">
        <f aca="false">P261/200000</f>
        <v>0.00164537172821615</v>
      </c>
      <c r="W261" s="4" t="n">
        <f aca="false">$X$2*($X$3*$G261+$X$4*$B261^$X$5*$N261^$X$6)*$S261^$X$7</f>
        <v>0.307414074759698</v>
      </c>
      <c r="X261" s="4" t="n">
        <f aca="false">W261/$R261</f>
        <v>1.53707037379849</v>
      </c>
      <c r="Z261" s="4" t="n">
        <f aca="false">$AA$2*$B261^$AA$3*$S261^$AA$4*($AA$5*$N261^$AA$6+$AA$7)</f>
        <v>0.304382897389447</v>
      </c>
      <c r="AA261" s="4" t="n">
        <f aca="false">Z261/$R261</f>
        <v>1.52191448694724</v>
      </c>
      <c r="AC261" s="4" t="n">
        <f aca="false">$AD$2*($AD$3+$AD$4*$F261/($N261*'Sem TS MC2020'!P253))*($AD$5*$G261+$AD$6*$B261/$N261)*'Sem TS MC2020'!R253*($J261-$M261)/($J261-$M261-$H261)</f>
        <v>0.323296565924131</v>
      </c>
      <c r="AD261" s="4" t="n">
        <f aca="false">AC261/$R261</f>
        <v>1.61648282962066</v>
      </c>
      <c r="AE261" s="24" t="n">
        <f aca="false">AC261-$R261</f>
        <v>0.123296565924131</v>
      </c>
      <c r="AF261" s="25" t="n">
        <f aca="false">1/AD261</f>
        <v>0.618627047362249</v>
      </c>
      <c r="AG261" s="25" t="n">
        <f aca="false">AC261*(14.068*'Sem TS MC2020'!$P253^-0.457)/$R261</f>
        <v>1.53788499512682</v>
      </c>
      <c r="AH261" s="25"/>
      <c r="AP261" s="4" t="n">
        <f aca="false">$AQ$2*($AQ$3+$AQ$4*$F261/($N261*'Sem TS MC2020'!P253))*($AQ$5*$G261+$AQ$6*$B261/$N261)*('Sem TS MC2020'!P253^$AQ$7/200000)*($J261-$M261)/($J261-$M261-$H261)+('Sem TS MC2020'!P253-$C261/$AQ$8)*($AQ$5*$G261+$AQ$6*$B261/$N261)/200000</f>
        <v>0.334948913861544</v>
      </c>
      <c r="AQ261" s="4" t="n">
        <f aca="false">AP261/$R261</f>
        <v>1.67474456930772</v>
      </c>
      <c r="AR261" s="24" t="n">
        <f aca="false">AP261-$R261</f>
        <v>0.134948913861544</v>
      </c>
    </row>
    <row r="262" customFormat="false" ht="14.25" hidden="false" customHeight="false" outlineLevel="0" collapsed="false">
      <c r="B262" s="2" t="n">
        <v>15.9</v>
      </c>
      <c r="C262" s="3" t="n">
        <v>392</v>
      </c>
      <c r="D262" s="3" t="n">
        <v>2</v>
      </c>
      <c r="E262" s="2" t="n">
        <v>46</v>
      </c>
      <c r="F262" s="4" t="n">
        <v>2.82587739786632</v>
      </c>
      <c r="G262" s="2" t="n">
        <v>30</v>
      </c>
      <c r="H262" s="2" t="n">
        <v>38</v>
      </c>
      <c r="I262" s="1" t="n">
        <v>150</v>
      </c>
      <c r="J262" s="2" t="n">
        <v>250</v>
      </c>
      <c r="K262" s="3" t="n">
        <v>397.2</v>
      </c>
      <c r="L262" s="4" t="n">
        <v>17625</v>
      </c>
      <c r="M262" s="3" t="n">
        <v>70.0613812094831</v>
      </c>
      <c r="N262" s="12" t="n">
        <v>0.022536170212766</v>
      </c>
      <c r="O262" s="4" t="n">
        <v>35.6</v>
      </c>
      <c r="P262" s="3" t="n">
        <v>367.240844430156</v>
      </c>
      <c r="Q262" s="4" t="n">
        <f aca="false">(P262-P$354)/P$355</f>
        <v>1.02742585077959</v>
      </c>
      <c r="R262" s="4" t="n">
        <v>0.25</v>
      </c>
      <c r="S262" s="13" t="n">
        <f aca="false">P262/200000</f>
        <v>0.00183620422215078</v>
      </c>
      <c r="W262" s="4" t="n">
        <f aca="false">$X$2*($X$3*$G262+$X$4*$B262^$X$5*$N262^$X$6)*$S262^$X$7</f>
        <v>0.328948633226126</v>
      </c>
      <c r="X262" s="4" t="n">
        <f aca="false">W262/$R262</f>
        <v>1.3157945329045</v>
      </c>
      <c r="Z262" s="4" t="n">
        <f aca="false">$AA$2*$B262^$AA$3*$S262^$AA$4*($AA$5*$N262^$AA$6+$AA$7)</f>
        <v>0.326098508105169</v>
      </c>
      <c r="AA262" s="4" t="n">
        <f aca="false">Z262/$R262</f>
        <v>1.30439403242067</v>
      </c>
      <c r="AC262" s="4" t="n">
        <f aca="false">$AD$2*($AD$3+$AD$4*$F262/($N262*'Sem TS MC2020'!P254))*($AD$5*$G262+$AD$6*$B262/$N262)*'Sem TS MC2020'!R254*($J262-$M262)/($J262-$M262-$H262)</f>
        <v>0.355425889299081</v>
      </c>
      <c r="AD262" s="4" t="n">
        <f aca="false">AC262/$R262</f>
        <v>1.42170355719633</v>
      </c>
      <c r="AE262" s="24" t="n">
        <f aca="false">AC262-$R262</f>
        <v>0.105425889299081</v>
      </c>
      <c r="AF262" s="25" t="n">
        <f aca="false">1/AD262</f>
        <v>0.703381513634286</v>
      </c>
      <c r="AG262" s="25" t="n">
        <f aca="false">AC262*(14.068*'Sem TS MC2020'!$P254^-0.457)/$R262</f>
        <v>1.30544278675535</v>
      </c>
      <c r="AH262" s="25"/>
      <c r="AP262" s="4" t="n">
        <f aca="false">$AQ$2*($AQ$3+$AQ$4*$F262/($N262*'Sem TS MC2020'!P254))*($AQ$5*$G262+$AQ$6*$B262/$N262)*('Sem TS MC2020'!P254^$AQ$7/200000)*($J262-$M262)/($J262-$M262-$H262)+('Sem TS MC2020'!P254-$C262/$AQ$8)*($AQ$5*$G262+$AQ$6*$B262/$N262)/200000</f>
        <v>0.36433441984259</v>
      </c>
      <c r="AQ262" s="4" t="n">
        <f aca="false">AP262/$R262</f>
        <v>1.45733767937036</v>
      </c>
      <c r="AR262" s="24" t="n">
        <f aca="false">AP262-$R262</f>
        <v>0.11433441984259</v>
      </c>
    </row>
    <row r="263" customFormat="false" ht="14.25" hidden="false" customHeight="false" outlineLevel="0" collapsed="false">
      <c r="A263" s="1" t="s">
        <v>75</v>
      </c>
      <c r="B263" s="2" t="n">
        <v>15.9</v>
      </c>
      <c r="C263" s="3" t="n">
        <v>392</v>
      </c>
      <c r="D263" s="3" t="n">
        <v>2</v>
      </c>
      <c r="E263" s="2" t="n">
        <v>46</v>
      </c>
      <c r="F263" s="4" t="n">
        <v>2.82587739786632</v>
      </c>
      <c r="G263" s="2" t="n">
        <v>30</v>
      </c>
      <c r="H263" s="2" t="n">
        <v>38</v>
      </c>
      <c r="I263" s="1" t="n">
        <v>150</v>
      </c>
      <c r="J263" s="2" t="n">
        <v>250</v>
      </c>
      <c r="K263" s="3" t="n">
        <v>397.2</v>
      </c>
      <c r="L263" s="4" t="n">
        <v>17625</v>
      </c>
      <c r="M263" s="3" t="n">
        <v>70.0613812094831</v>
      </c>
      <c r="N263" s="12" t="n">
        <v>0.022536170212766</v>
      </c>
      <c r="O263" s="4" t="n">
        <v>27.2</v>
      </c>
      <c r="P263" s="3" t="n">
        <v>329.07434564323</v>
      </c>
      <c r="Q263" s="4" t="n">
        <f aca="false">(P263-P$354)/P$355</f>
        <v>0.707448130081742</v>
      </c>
      <c r="R263" s="4" t="n">
        <v>0.2</v>
      </c>
      <c r="S263" s="13" t="n">
        <f aca="false">P263/200000</f>
        <v>0.00164537172821615</v>
      </c>
      <c r="W263" s="4" t="n">
        <f aca="false">$X$2*($X$3*$G263+$X$4*$B263^$X$5*$N263^$X$6)*$S263^$X$7</f>
        <v>0.307414074759698</v>
      </c>
      <c r="X263" s="4" t="n">
        <f aca="false">W263/$R263</f>
        <v>1.53707037379849</v>
      </c>
      <c r="Z263" s="4" t="n">
        <f aca="false">$AA$2*$B263^$AA$3*$S263^$AA$4*($AA$5*$N263^$AA$6+$AA$7)</f>
        <v>0.304382897389447</v>
      </c>
      <c r="AA263" s="4" t="n">
        <f aca="false">Z263/$R263</f>
        <v>1.52191448694724</v>
      </c>
      <c r="AC263" s="4" t="n">
        <f aca="false">$AD$2*($AD$3+$AD$4*$F263/($N263*'Sem TS MC2020'!P255))*($AD$5*$G263+$AD$6*$B263/$N263)*'Sem TS MC2020'!R255*($J263-$M263)/($J263-$M263-$H263)</f>
        <v>0.323296565924131</v>
      </c>
      <c r="AD263" s="4" t="n">
        <f aca="false">AC263/$R263</f>
        <v>1.61648282962066</v>
      </c>
      <c r="AE263" s="24" t="n">
        <f aca="false">AC263-$R263</f>
        <v>0.123296565924131</v>
      </c>
      <c r="AF263" s="25" t="n">
        <f aca="false">1/AD263</f>
        <v>0.618627047362249</v>
      </c>
      <c r="AG263" s="25" t="n">
        <f aca="false">AC263*(14.068*'Sem TS MC2020'!$P255^-0.457)/$R263</f>
        <v>1.53788499512682</v>
      </c>
      <c r="AH263" s="25"/>
      <c r="AP263" s="4" t="n">
        <f aca="false">$AQ$2*($AQ$3+$AQ$4*$F263/($N263*'Sem TS MC2020'!P255))*($AQ$5*$G263+$AQ$6*$B263/$N263)*('Sem TS MC2020'!P255^$AQ$7/200000)*($J263-$M263)/($J263-$M263-$H263)+('Sem TS MC2020'!P255-$C263/$AQ$8)*($AQ$5*$G263+$AQ$6*$B263/$N263)/200000</f>
        <v>0.334948913861544</v>
      </c>
      <c r="AQ263" s="4" t="n">
        <f aca="false">AP263/$R263</f>
        <v>1.67474456930772</v>
      </c>
      <c r="AR263" s="24" t="n">
        <f aca="false">AP263-$R263</f>
        <v>0.134948913861544</v>
      </c>
    </row>
    <row r="264" customFormat="false" ht="14.25" hidden="false" customHeight="false" outlineLevel="0" collapsed="false">
      <c r="B264" s="2" t="n">
        <v>15.9</v>
      </c>
      <c r="C264" s="3" t="n">
        <v>392</v>
      </c>
      <c r="D264" s="3" t="n">
        <v>2</v>
      </c>
      <c r="E264" s="2" t="n">
        <v>46</v>
      </c>
      <c r="F264" s="4" t="n">
        <v>2.82587739786632</v>
      </c>
      <c r="G264" s="2" t="n">
        <v>30</v>
      </c>
      <c r="H264" s="2" t="n">
        <v>38</v>
      </c>
      <c r="I264" s="1" t="n">
        <v>150</v>
      </c>
      <c r="J264" s="2" t="n">
        <v>250</v>
      </c>
      <c r="K264" s="3" t="n">
        <v>397.2</v>
      </c>
      <c r="L264" s="4" t="n">
        <v>17625</v>
      </c>
      <c r="M264" s="3" t="n">
        <v>70.0613812094831</v>
      </c>
      <c r="N264" s="12" t="n">
        <v>0.022536170212766</v>
      </c>
      <c r="O264" s="4" t="n">
        <v>35.6</v>
      </c>
      <c r="P264" s="3" t="n">
        <v>367.240844430156</v>
      </c>
      <c r="Q264" s="4" t="n">
        <f aca="false">(P264-P$354)/P$355</f>
        <v>1.02742585077959</v>
      </c>
      <c r="R264" s="4" t="n">
        <v>0.25</v>
      </c>
      <c r="S264" s="13" t="n">
        <f aca="false">P264/200000</f>
        <v>0.00183620422215078</v>
      </c>
      <c r="W264" s="4" t="n">
        <f aca="false">$X$2*($X$3*$G264+$X$4*$B264^$X$5*$N264^$X$6)*$S264^$X$7</f>
        <v>0.328948633226126</v>
      </c>
      <c r="X264" s="4" t="n">
        <f aca="false">W264/$R264</f>
        <v>1.3157945329045</v>
      </c>
      <c r="Z264" s="4" t="n">
        <f aca="false">$AA$2*$B264^$AA$3*$S264^$AA$4*($AA$5*$N264^$AA$6+$AA$7)</f>
        <v>0.326098508105169</v>
      </c>
      <c r="AA264" s="4" t="n">
        <f aca="false">Z264/$R264</f>
        <v>1.30439403242067</v>
      </c>
      <c r="AC264" s="4" t="n">
        <f aca="false">$AD$2*($AD$3+$AD$4*$F264/($N264*'Sem TS MC2020'!P256))*($AD$5*$G264+$AD$6*$B264/$N264)*'Sem TS MC2020'!R256*($J264-$M264)/($J264-$M264-$H264)</f>
        <v>0.355425889299081</v>
      </c>
      <c r="AD264" s="4" t="n">
        <f aca="false">AC264/$R264</f>
        <v>1.42170355719633</v>
      </c>
      <c r="AE264" s="24" t="n">
        <f aca="false">AC264-$R264</f>
        <v>0.105425889299081</v>
      </c>
      <c r="AF264" s="25" t="n">
        <f aca="false">1/AD264</f>
        <v>0.703381513634286</v>
      </c>
      <c r="AG264" s="25" t="n">
        <f aca="false">AC264*(14.068*'Sem TS MC2020'!$P256^-0.457)/$R264</f>
        <v>1.30544278675535</v>
      </c>
      <c r="AH264" s="25"/>
      <c r="AP264" s="4" t="n">
        <f aca="false">$AQ$2*($AQ$3+$AQ$4*$F264/($N264*'Sem TS MC2020'!P256))*($AQ$5*$G264+$AQ$6*$B264/$N264)*('Sem TS MC2020'!P256^$AQ$7/200000)*($J264-$M264)/($J264-$M264-$H264)+('Sem TS MC2020'!P256-$C264/$AQ$8)*($AQ$5*$G264+$AQ$6*$B264/$N264)/200000</f>
        <v>0.36433441984259</v>
      </c>
      <c r="AQ264" s="4" t="n">
        <f aca="false">AP264/$R264</f>
        <v>1.45733767937036</v>
      </c>
      <c r="AR264" s="24" t="n">
        <f aca="false">AP264-$R264</f>
        <v>0.11433441984259</v>
      </c>
    </row>
    <row r="265" customFormat="false" ht="14.25" hidden="false" customHeight="false" outlineLevel="0" collapsed="false">
      <c r="A265" s="1" t="s">
        <v>76</v>
      </c>
      <c r="B265" s="2" t="n">
        <v>15.9</v>
      </c>
      <c r="C265" s="3" t="n">
        <v>392</v>
      </c>
      <c r="D265" s="3" t="n">
        <v>2</v>
      </c>
      <c r="E265" s="2" t="n">
        <v>46</v>
      </c>
      <c r="F265" s="4" t="n">
        <v>2.82587739786632</v>
      </c>
      <c r="G265" s="2" t="n">
        <v>30</v>
      </c>
      <c r="H265" s="2" t="n">
        <v>38</v>
      </c>
      <c r="I265" s="1" t="n">
        <v>150</v>
      </c>
      <c r="J265" s="2" t="n">
        <v>250</v>
      </c>
      <c r="K265" s="3" t="n">
        <v>397.2</v>
      </c>
      <c r="L265" s="4" t="n">
        <v>17625</v>
      </c>
      <c r="M265" s="3" t="n">
        <v>70.0613812094831</v>
      </c>
      <c r="N265" s="12" t="n">
        <v>0.022536170212766</v>
      </c>
      <c r="O265" s="4" t="n">
        <v>27.3</v>
      </c>
      <c r="P265" s="3" t="n">
        <v>330.813022533634</v>
      </c>
      <c r="Q265" s="4" t="n">
        <f aca="false">(P265-P$354)/P$355</f>
        <v>0.722024732235565</v>
      </c>
      <c r="R265" s="4" t="n">
        <v>0.2</v>
      </c>
      <c r="S265" s="13" t="n">
        <f aca="false">P265/200000</f>
        <v>0.00165406511266817</v>
      </c>
      <c r="W265" s="4" t="n">
        <f aca="false">$X$2*($X$3*$G265+$X$4*$B265^$X$5*$N265^$X$6)*$S265^$X$7</f>
        <v>0.308415215637185</v>
      </c>
      <c r="X265" s="4" t="n">
        <f aca="false">W265/$R265</f>
        <v>1.54207607818593</v>
      </c>
      <c r="Z265" s="4" t="n">
        <f aca="false">$AA$2*$B265^$AA$3*$S265^$AA$4*($AA$5*$N265^$AA$6+$AA$7)</f>
        <v>0.305391868583318</v>
      </c>
      <c r="AA265" s="4" t="n">
        <f aca="false">Z265/$R265</f>
        <v>1.52695934291659</v>
      </c>
      <c r="AC265" s="4" t="n">
        <f aca="false">$AD$2*($AD$3+$AD$4*$F265/($N265*'Sem TS MC2020'!P257))*($AD$5*$G265+$AD$6*$B265/$N265)*'Sem TS MC2020'!R257*($J265-$M265)/($J265-$M265-$H265)</f>
        <v>0.324760218966245</v>
      </c>
      <c r="AD265" s="4" t="n">
        <f aca="false">AC265/$R265</f>
        <v>1.62380109483123</v>
      </c>
      <c r="AE265" s="24" t="n">
        <f aca="false">AC265-$R265</f>
        <v>0.124760218966245</v>
      </c>
      <c r="AF265" s="25" t="n">
        <f aca="false">1/AD265</f>
        <v>0.615838973863937</v>
      </c>
      <c r="AG265" s="25" t="n">
        <f aca="false">AC265*(14.068*'Sem TS MC2020'!$P257^-0.457)/$R265</f>
        <v>1.54225878620013</v>
      </c>
      <c r="AH265" s="25"/>
      <c r="AP265" s="4" t="n">
        <f aca="false">$AQ$2*($AQ$3+$AQ$4*$F265/($N265*'Sem TS MC2020'!P257))*($AQ$5*$G265+$AQ$6*$B265/$N265)*('Sem TS MC2020'!P257^$AQ$7/200000)*($J265-$M265)/($J265-$M265-$H265)+('Sem TS MC2020'!P257-$C265/$AQ$8)*($AQ$5*$G265+$AQ$6*$B265/$N265)/200000</f>
        <v>0.336297833156856</v>
      </c>
      <c r="AQ265" s="4" t="n">
        <f aca="false">AP265/$R265</f>
        <v>1.68148916578428</v>
      </c>
      <c r="AR265" s="24" t="n">
        <f aca="false">AP265-$R265</f>
        <v>0.136297833156856</v>
      </c>
    </row>
    <row r="266" customFormat="false" ht="14.25" hidden="false" customHeight="false" outlineLevel="0" collapsed="false">
      <c r="B266" s="2" t="n">
        <v>15.9</v>
      </c>
      <c r="C266" s="3" t="n">
        <v>392</v>
      </c>
      <c r="D266" s="3" t="n">
        <v>2</v>
      </c>
      <c r="E266" s="2" t="n">
        <v>46</v>
      </c>
      <c r="F266" s="4" t="n">
        <v>2.82587739786632</v>
      </c>
      <c r="G266" s="2" t="n">
        <v>30</v>
      </c>
      <c r="H266" s="2" t="n">
        <v>38</v>
      </c>
      <c r="I266" s="1" t="n">
        <v>150</v>
      </c>
      <c r="J266" s="2" t="n">
        <v>250</v>
      </c>
      <c r="K266" s="3" t="n">
        <v>397.2</v>
      </c>
      <c r="L266" s="4" t="n">
        <v>17625</v>
      </c>
      <c r="M266" s="3" t="n">
        <v>70.0613812094831</v>
      </c>
      <c r="N266" s="12" t="n">
        <v>0.022536170212766</v>
      </c>
      <c r="O266" s="4" t="n">
        <v>35.7</v>
      </c>
      <c r="P266" s="3" t="n">
        <v>367.240844430156</v>
      </c>
      <c r="Q266" s="4" t="n">
        <f aca="false">(P266-P$354)/P$355</f>
        <v>1.02742585077959</v>
      </c>
      <c r="R266" s="4" t="n">
        <v>0.3</v>
      </c>
      <c r="S266" s="13" t="n">
        <f aca="false">P266/200000</f>
        <v>0.00183620422215078</v>
      </c>
      <c r="W266" s="4" t="n">
        <f aca="false">$X$2*($X$3*$G266+$X$4*$B266^$X$5*$N266^$X$6)*$S266^$X$7</f>
        <v>0.328948633226126</v>
      </c>
      <c r="X266" s="4" t="n">
        <f aca="false">W266/$R266</f>
        <v>1.09649544408709</v>
      </c>
      <c r="Z266" s="4" t="n">
        <f aca="false">$AA$2*$B266^$AA$3*$S266^$AA$4*($AA$5*$N266^$AA$6+$AA$7)</f>
        <v>0.326098508105169</v>
      </c>
      <c r="AA266" s="4" t="n">
        <f aca="false">Z266/$R266</f>
        <v>1.08699502701723</v>
      </c>
      <c r="AC266" s="4" t="n">
        <f aca="false">$AD$2*($AD$3+$AD$4*$F266/($N266*'Sem TS MC2020'!P258))*($AD$5*$G266+$AD$6*$B266/$N266)*'Sem TS MC2020'!R258*($J266-$M266)/($J266-$M266-$H266)</f>
        <v>0.355425889299081</v>
      </c>
      <c r="AD266" s="4" t="n">
        <f aca="false">AC266/$R266</f>
        <v>1.18475296433027</v>
      </c>
      <c r="AE266" s="24" t="n">
        <f aca="false">AC266-$R266</f>
        <v>0.0554258892990813</v>
      </c>
      <c r="AF266" s="25" t="n">
        <f aca="false">1/AD266</f>
        <v>0.844057816361143</v>
      </c>
      <c r="AG266" s="25" t="n">
        <f aca="false">AC266*(14.068*'Sem TS MC2020'!$P258^-0.457)/$R266</f>
        <v>1.08786898896279</v>
      </c>
      <c r="AH266" s="25"/>
      <c r="AP266" s="4" t="n">
        <f aca="false">$AQ$2*($AQ$3+$AQ$4*$F266/($N266*'Sem TS MC2020'!P258))*($AQ$5*$G266+$AQ$6*$B266/$N266)*('Sem TS MC2020'!P258^$AQ$7/200000)*($J266-$M266)/($J266-$M266-$H266)+('Sem TS MC2020'!P258-$C266/$AQ$8)*($AQ$5*$G266+$AQ$6*$B266/$N266)/200000</f>
        <v>0.36433441984259</v>
      </c>
      <c r="AQ266" s="4" t="n">
        <f aca="false">AP266/$R266</f>
        <v>1.21444806614197</v>
      </c>
      <c r="AR266" s="24" t="n">
        <f aca="false">AP266-$R266</f>
        <v>0.0643344198425902</v>
      </c>
    </row>
    <row r="267" customFormat="false" ht="14.25" hidden="false" customHeight="false" outlineLevel="0" collapsed="false">
      <c r="A267" s="1" t="s">
        <v>77</v>
      </c>
      <c r="B267" s="2" t="n">
        <v>12.7</v>
      </c>
      <c r="C267" s="3" t="n">
        <v>392</v>
      </c>
      <c r="D267" s="3" t="n">
        <v>2</v>
      </c>
      <c r="E267" s="2" t="n">
        <v>52</v>
      </c>
      <c r="F267" s="4" t="n">
        <v>2.92087587098479</v>
      </c>
      <c r="G267" s="2" t="n">
        <v>30</v>
      </c>
      <c r="H267" s="2" t="n">
        <v>36.5</v>
      </c>
      <c r="I267" s="1" t="n">
        <v>150</v>
      </c>
      <c r="J267" s="2" t="n">
        <v>250</v>
      </c>
      <c r="K267" s="3" t="n">
        <v>253.4</v>
      </c>
      <c r="L267" s="4" t="n">
        <v>15000</v>
      </c>
      <c r="M267" s="3" t="n">
        <v>58.0759426324872</v>
      </c>
      <c r="N267" s="12" t="n">
        <v>0.0168933333333333</v>
      </c>
      <c r="O267" s="4" t="n">
        <v>15.6</v>
      </c>
      <c r="P267" s="3" t="n">
        <v>253.375476752134</v>
      </c>
      <c r="Q267" s="4" t="n">
        <f aca="false">(P267-P$354)/P$355</f>
        <v>0.0728090540060674</v>
      </c>
      <c r="R267" s="4" t="n">
        <v>0.15</v>
      </c>
      <c r="S267" s="13" t="n">
        <f aca="false">P267/200000</f>
        <v>0.00126687738376067</v>
      </c>
      <c r="W267" s="4" t="n">
        <f aca="false">$X$2*($X$3*$G267+$X$4*$B267^$X$5*$N267^$X$6)*$S267^$X$7</f>
        <v>0.253667533698052</v>
      </c>
      <c r="X267" s="4" t="n">
        <f aca="false">W267/$R267</f>
        <v>1.69111689132035</v>
      </c>
      <c r="Z267" s="4" t="n">
        <f aca="false">$AA$2*$B267^$AA$3*$S267^$AA$4*($AA$5*$N267^$AA$6+$AA$7)</f>
        <v>0.25054566105321</v>
      </c>
      <c r="AA267" s="4" t="n">
        <f aca="false">Z267/$R267</f>
        <v>1.6703044070214</v>
      </c>
      <c r="AC267" s="4" t="n">
        <f aca="false">$AD$2*($AD$3+$AD$4*$F267/($N267*'Sem TS MC2020'!P259))*($AD$5*$G267+$AD$6*$B267/$N267)*'Sem TS MC2020'!R259*($J267-$M267)/($J267-$M267-$H267)</f>
        <v>0.250260491829465</v>
      </c>
      <c r="AD267" s="4" t="n">
        <f aca="false">AC267/$R267</f>
        <v>1.6684032788631</v>
      </c>
      <c r="AE267" s="24" t="n">
        <f aca="false">AC267-$R267</f>
        <v>0.100260491829465</v>
      </c>
      <c r="AF267" s="25" t="n">
        <f aca="false">1/AD267</f>
        <v>0.59937547034877</v>
      </c>
      <c r="AG267" s="25" t="n">
        <f aca="false">AC267*(14.068*'Sem TS MC2020'!$P259^-0.457)/$R267</f>
        <v>1.68843763167309</v>
      </c>
      <c r="AH267" s="25"/>
      <c r="AP267" s="4" t="n">
        <f aca="false">$AQ$2*($AQ$3+$AQ$4*$F267/($N267*'Sem TS MC2020'!P259))*($AQ$5*$G267+$AQ$6*$B267/$N267)*('Sem TS MC2020'!P259^$AQ$7/200000)*($J267-$M267)/($J267-$M267-$H267)+('Sem TS MC2020'!P259-$C267/$AQ$8)*($AQ$5*$G267+$AQ$6*$B267/$N267)/200000</f>
        <v>0.265005921722085</v>
      </c>
      <c r="AQ267" s="4" t="n">
        <f aca="false">AP267/$R267</f>
        <v>1.7667061448139</v>
      </c>
      <c r="AR267" s="24" t="n">
        <f aca="false">AP267-$R267</f>
        <v>0.115005921722085</v>
      </c>
    </row>
    <row r="268" customFormat="false" ht="14.25" hidden="false" customHeight="false" outlineLevel="0" collapsed="false">
      <c r="B268" s="2" t="n">
        <v>12.7</v>
      </c>
      <c r="C268" s="3" t="n">
        <v>392</v>
      </c>
      <c r="D268" s="3" t="n">
        <v>2</v>
      </c>
      <c r="E268" s="2" t="n">
        <v>52</v>
      </c>
      <c r="F268" s="4" t="n">
        <v>2.92087587098479</v>
      </c>
      <c r="G268" s="2" t="n">
        <v>30</v>
      </c>
      <c r="H268" s="2" t="n">
        <v>36.5</v>
      </c>
      <c r="I268" s="1" t="n">
        <v>150</v>
      </c>
      <c r="J268" s="2" t="n">
        <v>250</v>
      </c>
      <c r="K268" s="3" t="n">
        <v>253.4</v>
      </c>
      <c r="L268" s="4" t="n">
        <v>15000</v>
      </c>
      <c r="M268" s="3" t="n">
        <v>58.0759426324872</v>
      </c>
      <c r="N268" s="12" t="n">
        <v>0.0168933333333333</v>
      </c>
      <c r="O268" s="4" t="n">
        <v>19.6</v>
      </c>
      <c r="P268" s="3" t="n">
        <v>358.910938394982</v>
      </c>
      <c r="Q268" s="4" t="n">
        <f aca="false">(P268-P$354)/P$355</f>
        <v>0.957590145868789</v>
      </c>
      <c r="R268" s="4" t="n">
        <v>0.2</v>
      </c>
      <c r="S268" s="13" t="n">
        <f aca="false">P268/200000</f>
        <v>0.00179455469197491</v>
      </c>
      <c r="W268" s="4" t="n">
        <f aca="false">$X$2*($X$3*$G268+$X$4*$B268^$X$5*$N268^$X$6)*$S268^$X$7</f>
        <v>0.314462549926314</v>
      </c>
      <c r="X268" s="4" t="n">
        <f aca="false">W268/$R268</f>
        <v>1.57231274963157</v>
      </c>
      <c r="Z268" s="4" t="n">
        <f aca="false">$AA$2*$B268^$AA$3*$S268^$AA$4*($AA$5*$N268^$AA$6+$AA$7)</f>
        <v>0.311784394910623</v>
      </c>
      <c r="AA268" s="4" t="n">
        <f aca="false">Z268/$R268</f>
        <v>1.55892197455312</v>
      </c>
      <c r="AC268" s="4" t="n">
        <f aca="false">$AD$2*($AD$3+$AD$4*$F268/($N268*'Sem TS MC2020'!P260))*($AD$5*$G268+$AD$6*$B268/$N268)*'Sem TS MC2020'!R260*($J268-$M268)/($J268-$M268-$H268)</f>
        <v>0.334636113843871</v>
      </c>
      <c r="AD268" s="4" t="n">
        <f aca="false">AC268/$R268</f>
        <v>1.67318056921936</v>
      </c>
      <c r="AE268" s="24" t="n">
        <f aca="false">AC268-$R268</f>
        <v>0.134636113843871</v>
      </c>
      <c r="AF268" s="25" t="n">
        <f aca="false">1/AD268</f>
        <v>0.597664124480338</v>
      </c>
      <c r="AG268" s="25" t="n">
        <f aca="false">AC268*(14.068*'Sem TS MC2020'!$P260^-0.457)/$R268</f>
        <v>1.53635509594845</v>
      </c>
      <c r="AH268" s="25"/>
      <c r="AP268" s="4" t="n">
        <f aca="false">$AQ$2*($AQ$3+$AQ$4*$F268/($N268*'Sem TS MC2020'!P260))*($AQ$5*$G268+$AQ$6*$B268/$N268)*('Sem TS MC2020'!P260^$AQ$7/200000)*($J268-$M268)/($J268-$M268-$H268)+('Sem TS MC2020'!P260-$C268/$AQ$8)*($AQ$5*$G268+$AQ$6*$B268/$N268)/200000</f>
        <v>0.344689099882611</v>
      </c>
      <c r="AQ268" s="4" t="n">
        <f aca="false">AP268/$R268</f>
        <v>1.72344549941305</v>
      </c>
      <c r="AR268" s="24" t="n">
        <f aca="false">AP268-$R268</f>
        <v>0.144689099882611</v>
      </c>
    </row>
    <row r="269" customFormat="false" ht="14.25" hidden="false" customHeight="false" outlineLevel="0" collapsed="false">
      <c r="A269" s="1" t="s">
        <v>78</v>
      </c>
      <c r="B269" s="2" t="n">
        <v>12.7</v>
      </c>
      <c r="C269" s="3" t="n">
        <v>392</v>
      </c>
      <c r="D269" s="3" t="n">
        <v>2</v>
      </c>
      <c r="E269" s="2" t="n">
        <v>52</v>
      </c>
      <c r="F269" s="4" t="n">
        <v>2.92087587098479</v>
      </c>
      <c r="G269" s="2" t="n">
        <v>30</v>
      </c>
      <c r="H269" s="2" t="n">
        <v>36.5</v>
      </c>
      <c r="I269" s="1" t="n">
        <v>150</v>
      </c>
      <c r="J269" s="2" t="n">
        <v>250</v>
      </c>
      <c r="K269" s="3" t="n">
        <v>253.4</v>
      </c>
      <c r="L269" s="4" t="n">
        <v>15000</v>
      </c>
      <c r="M269" s="3" t="n">
        <v>58.0759426324872</v>
      </c>
      <c r="N269" s="12" t="n">
        <v>0.0168933333333333</v>
      </c>
      <c r="O269" s="4" t="n">
        <v>15.7</v>
      </c>
      <c r="P269" s="3" t="n">
        <v>256.228277855071</v>
      </c>
      <c r="Q269" s="4" t="n">
        <f aca="false">(P269-P$354)/P$355</f>
        <v>0.0967261756581778</v>
      </c>
      <c r="R269" s="4" t="n">
        <v>0.15</v>
      </c>
      <c r="S269" s="13" t="n">
        <f aca="false">P269/200000</f>
        <v>0.00128114138927536</v>
      </c>
      <c r="W269" s="4" t="n">
        <f aca="false">$X$2*($X$3*$G269+$X$4*$B269^$X$5*$N269^$X$6)*$S269^$X$7</f>
        <v>0.255425960909694</v>
      </c>
      <c r="X269" s="4" t="n">
        <f aca="false">W269/$R269</f>
        <v>1.70283973939796</v>
      </c>
      <c r="Z269" s="4" t="n">
        <f aca="false">$AA$2*$B269^$AA$3*$S269^$AA$4*($AA$5*$N269^$AA$6+$AA$7)</f>
        <v>0.252313520159003</v>
      </c>
      <c r="AA269" s="4" t="n">
        <f aca="false">Z269/$R269</f>
        <v>1.68209013439335</v>
      </c>
      <c r="AC269" s="4" t="n">
        <f aca="false">$AD$2*($AD$3+$AD$4*$F269/($N269*'Sem TS MC2020'!P261))*($AD$5*$G269+$AD$6*$B269/$N269)*'Sem TS MC2020'!R261*($J269-$M269)/($J269-$M269-$H269)</f>
        <v>0.252541306863546</v>
      </c>
      <c r="AD269" s="4" t="n">
        <f aca="false">AC269/$R269</f>
        <v>1.68360871242364</v>
      </c>
      <c r="AE269" s="24" t="n">
        <f aca="false">AC269-$R269</f>
        <v>0.102541306863546</v>
      </c>
      <c r="AF269" s="25" t="n">
        <f aca="false">1/AD269</f>
        <v>0.593962238743972</v>
      </c>
      <c r="AG269" s="25" t="n">
        <f aca="false">AC269*(14.068*'Sem TS MC2020'!$P261^-0.457)/$R269</f>
        <v>1.69885750538542</v>
      </c>
      <c r="AH269" s="25"/>
      <c r="AP269" s="4" t="n">
        <f aca="false">$AQ$2*($AQ$3+$AQ$4*$F269/($N269*'Sem TS MC2020'!P261))*($AQ$5*$G269+$AQ$6*$B269/$N269)*('Sem TS MC2020'!P261^$AQ$7/200000)*($J269-$M269)/($J269-$M269-$H269)+('Sem TS MC2020'!P261-$C269/$AQ$8)*($AQ$5*$G269+$AQ$6*$B269/$N269)/200000</f>
        <v>0.267211379651566</v>
      </c>
      <c r="AQ269" s="4" t="n">
        <f aca="false">AP269/$R269</f>
        <v>1.78140919767711</v>
      </c>
      <c r="AR269" s="24" t="n">
        <f aca="false">AP269-$R269</f>
        <v>0.117211379651566</v>
      </c>
    </row>
    <row r="270" customFormat="false" ht="14.25" hidden="false" customHeight="false" outlineLevel="0" collapsed="false">
      <c r="B270" s="2" t="n">
        <v>12.7</v>
      </c>
      <c r="C270" s="3" t="n">
        <v>392</v>
      </c>
      <c r="D270" s="3" t="n">
        <v>2</v>
      </c>
      <c r="E270" s="2" t="n">
        <v>52</v>
      </c>
      <c r="F270" s="4" t="n">
        <v>2.92087587098479</v>
      </c>
      <c r="G270" s="2" t="n">
        <v>30</v>
      </c>
      <c r="H270" s="2" t="n">
        <v>36.5</v>
      </c>
      <c r="I270" s="1" t="n">
        <v>150</v>
      </c>
      <c r="J270" s="2" t="n">
        <v>250</v>
      </c>
      <c r="K270" s="3" t="n">
        <v>253.4</v>
      </c>
      <c r="L270" s="4" t="n">
        <v>15000</v>
      </c>
      <c r="M270" s="3" t="n">
        <v>58.0759426324872</v>
      </c>
      <c r="N270" s="12" t="n">
        <v>0.0168933333333333</v>
      </c>
      <c r="O270" s="4" t="n">
        <v>19.6</v>
      </c>
      <c r="P270" s="3" t="n">
        <v>358.910938394982</v>
      </c>
      <c r="Q270" s="4" t="n">
        <f aca="false">(P270-P$354)/P$355</f>
        <v>0.957590145868789</v>
      </c>
      <c r="R270" s="4" t="n">
        <v>0.2</v>
      </c>
      <c r="S270" s="13" t="n">
        <f aca="false">P270/200000</f>
        <v>0.00179455469197491</v>
      </c>
      <c r="W270" s="4" t="n">
        <f aca="false">$X$2*($X$3*$G270+$X$4*$B270^$X$5*$N270^$X$6)*$S270^$X$7</f>
        <v>0.314462549926314</v>
      </c>
      <c r="X270" s="4" t="n">
        <f aca="false">W270/$R270</f>
        <v>1.57231274963157</v>
      </c>
      <c r="Z270" s="4" t="n">
        <f aca="false">$AA$2*$B270^$AA$3*$S270^$AA$4*($AA$5*$N270^$AA$6+$AA$7)</f>
        <v>0.311784394910623</v>
      </c>
      <c r="AA270" s="4" t="n">
        <f aca="false">Z270/$R270</f>
        <v>1.55892197455312</v>
      </c>
      <c r="AC270" s="4" t="n">
        <f aca="false">$AD$2*($AD$3+$AD$4*$F270/($N270*'Sem TS MC2020'!P262))*($AD$5*$G270+$AD$6*$B270/$N270)*'Sem TS MC2020'!R262*($J270-$M270)/($J270-$M270-$H270)</f>
        <v>0.334636113843871</v>
      </c>
      <c r="AD270" s="4" t="n">
        <f aca="false">AC270/$R270</f>
        <v>1.67318056921936</v>
      </c>
      <c r="AE270" s="24" t="n">
        <f aca="false">AC270-$R270</f>
        <v>0.134636113843871</v>
      </c>
      <c r="AF270" s="25" t="n">
        <f aca="false">1/AD270</f>
        <v>0.597664124480338</v>
      </c>
      <c r="AG270" s="25" t="n">
        <f aca="false">AC270*(14.068*'Sem TS MC2020'!$P262^-0.457)/$R270</f>
        <v>1.53635509594845</v>
      </c>
      <c r="AH270" s="25"/>
      <c r="AP270" s="4" t="n">
        <f aca="false">$AQ$2*($AQ$3+$AQ$4*$F270/($N270*'Sem TS MC2020'!P262))*($AQ$5*$G270+$AQ$6*$B270/$N270)*('Sem TS MC2020'!P262^$AQ$7/200000)*($J270-$M270)/($J270-$M270-$H270)+('Sem TS MC2020'!P262-$C270/$AQ$8)*($AQ$5*$G270+$AQ$6*$B270/$N270)/200000</f>
        <v>0.344689099882611</v>
      </c>
      <c r="AQ270" s="4" t="n">
        <f aca="false">AP270/$R270</f>
        <v>1.72344549941305</v>
      </c>
      <c r="AR270" s="24" t="n">
        <f aca="false">AP270-$R270</f>
        <v>0.144689099882611</v>
      </c>
    </row>
    <row r="271" customFormat="false" ht="14.25" hidden="false" customHeight="false" outlineLevel="0" collapsed="false">
      <c r="A271" s="1" t="s">
        <v>79</v>
      </c>
      <c r="B271" s="2" t="n">
        <v>15.9</v>
      </c>
      <c r="C271" s="3" t="n">
        <v>392</v>
      </c>
      <c r="D271" s="3" t="n">
        <v>2</v>
      </c>
      <c r="E271" s="2" t="n">
        <v>46</v>
      </c>
      <c r="F271" s="4" t="n">
        <v>2.92087587098479</v>
      </c>
      <c r="G271" s="2" t="n">
        <v>30</v>
      </c>
      <c r="H271" s="2" t="n">
        <v>38</v>
      </c>
      <c r="I271" s="1" t="n">
        <v>150</v>
      </c>
      <c r="J271" s="2" t="n">
        <v>250</v>
      </c>
      <c r="K271" s="3" t="n">
        <v>397.2</v>
      </c>
      <c r="L271" s="4" t="n">
        <v>17625</v>
      </c>
      <c r="M271" s="3" t="n">
        <v>69.5979672777495</v>
      </c>
      <c r="N271" s="12" t="n">
        <v>0.022536170212766</v>
      </c>
      <c r="O271" s="4" t="n">
        <v>19.5</v>
      </c>
      <c r="P271" s="3" t="n">
        <v>192.871553468033</v>
      </c>
      <c r="Q271" s="4" t="n">
        <f aca="false">(P271-P$354)/P$355</f>
        <v>-0.434439660994113</v>
      </c>
      <c r="R271" s="4" t="n">
        <v>0.15</v>
      </c>
      <c r="S271" s="13" t="n">
        <f aca="false">P271/200000</f>
        <v>0.000964357767340166</v>
      </c>
      <c r="W271" s="4" t="n">
        <f aca="false">$X$2*($X$3*$G271+$X$4*$B271^$X$5*$N271^$X$6)*$S271^$X$7</f>
        <v>0.221087301734822</v>
      </c>
      <c r="X271" s="4" t="n">
        <f aca="false">W271/$R271</f>
        <v>1.47391534489881</v>
      </c>
      <c r="Z271" s="4" t="n">
        <f aca="false">$AA$2*$B271^$AA$3*$S271^$AA$4*($AA$5*$N271^$AA$6+$AA$7)</f>
        <v>0.217624614212579</v>
      </c>
      <c r="AA271" s="4" t="n">
        <f aca="false">Z271/$R271</f>
        <v>1.4508307614172</v>
      </c>
      <c r="AC271" s="4" t="n">
        <f aca="false">$AD$2*($AD$3+$AD$4*$F271/($N271*'Sem TS MC2020'!P263))*($AD$5*$G271+$AD$6*$B271/$N271)*'Sem TS MC2020'!R263*($J271-$M271)/($J271-$M271-$H271)</f>
        <v>0.207703773373147</v>
      </c>
      <c r="AD271" s="4" t="n">
        <f aca="false">AC271/$R271</f>
        <v>1.38469182248764</v>
      </c>
      <c r="AE271" s="24" t="n">
        <f aca="false">AC271-$R271</f>
        <v>0.0577037733731467</v>
      </c>
      <c r="AF271" s="25" t="n">
        <f aca="false">1/AD271</f>
        <v>0.722182354051508</v>
      </c>
      <c r="AG271" s="25" t="n">
        <f aca="false">AC271*(14.068*'Sem TS MC2020'!$P263^-0.457)/$R271</f>
        <v>1.53433613775723</v>
      </c>
      <c r="AH271" s="25"/>
      <c r="AP271" s="4" t="n">
        <f aca="false">$AQ$2*($AQ$3+$AQ$4*$F271/($N271*'Sem TS MC2020'!P263))*($AQ$5*$G271+$AQ$6*$B271/$N271)*('Sem TS MC2020'!P263^$AQ$7/200000)*($J271-$M271)/($J271-$M271-$H271)+('Sem TS MC2020'!P263-$C271/$AQ$8)*($AQ$5*$G271+$AQ$6*$B271/$N271)/200000</f>
        <v>0.224423848466796</v>
      </c>
      <c r="AQ271" s="4" t="n">
        <f aca="false">AP271/$R271</f>
        <v>1.49615898977864</v>
      </c>
      <c r="AR271" s="24" t="n">
        <f aca="false">AP271-$R271</f>
        <v>0.0744238484667959</v>
      </c>
    </row>
    <row r="272" customFormat="false" ht="14.25" hidden="false" customHeight="false" outlineLevel="0" collapsed="false">
      <c r="B272" s="2" t="n">
        <v>15.9</v>
      </c>
      <c r="C272" s="3" t="n">
        <v>392</v>
      </c>
      <c r="D272" s="3" t="n">
        <v>2</v>
      </c>
      <c r="E272" s="2" t="n">
        <v>46</v>
      </c>
      <c r="F272" s="4" t="n">
        <v>2.92087587098479</v>
      </c>
      <c r="G272" s="2" t="n">
        <v>30</v>
      </c>
      <c r="H272" s="2" t="n">
        <v>38</v>
      </c>
      <c r="I272" s="1" t="n">
        <v>150</v>
      </c>
      <c r="J272" s="2" t="n">
        <v>250</v>
      </c>
      <c r="K272" s="3" t="n">
        <v>397.2</v>
      </c>
      <c r="L272" s="4" t="n">
        <v>17625</v>
      </c>
      <c r="M272" s="3" t="n">
        <v>69.5979672777495</v>
      </c>
      <c r="N272" s="12" t="n">
        <v>0.022536170212766</v>
      </c>
      <c r="O272" s="4" t="n">
        <v>27.4</v>
      </c>
      <c r="P272" s="3" t="n">
        <v>331.117624925515</v>
      </c>
      <c r="Q272" s="4" t="n">
        <f aca="false">(P272-P$354)/P$355</f>
        <v>0.724578437243124</v>
      </c>
      <c r="R272" s="4" t="n">
        <v>0.25</v>
      </c>
      <c r="S272" s="13" t="n">
        <f aca="false">P272/200000</f>
        <v>0.00165558812462757</v>
      </c>
      <c r="W272" s="4" t="n">
        <f aca="false">$X$2*($X$3*$G272+$X$4*$B272^$X$5*$N272^$X$6)*$S272^$X$7</f>
        <v>0.308590399911945</v>
      </c>
      <c r="X272" s="4" t="n">
        <f aca="false">W272/$R272</f>
        <v>1.23436159964778</v>
      </c>
      <c r="Z272" s="4" t="n">
        <f aca="false">$AA$2*$B272^$AA$3*$S272^$AA$4*($AA$5*$N272^$AA$6+$AA$7)</f>
        <v>0.305568429051323</v>
      </c>
      <c r="AA272" s="4" t="n">
        <f aca="false">Z272/$R272</f>
        <v>1.22227371620529</v>
      </c>
      <c r="AC272" s="4" t="n">
        <f aca="false">$AD$2*($AD$3+$AD$4*$F272/($N272*'Sem TS MC2020'!P264))*($AD$5*$G272+$AD$6*$B272/$N272)*'Sem TS MC2020'!R264*($J272-$M272)/($J272-$M272-$H272)</f>
        <v>0.323158359447096</v>
      </c>
      <c r="AD272" s="4" t="n">
        <f aca="false">AC272/$R272</f>
        <v>1.29263343778839</v>
      </c>
      <c r="AE272" s="24" t="n">
        <f aca="false">AC272-$R272</f>
        <v>0.0731583594470963</v>
      </c>
      <c r="AF272" s="25" t="n">
        <f aca="false">1/AD272</f>
        <v>0.773614522699442</v>
      </c>
      <c r="AG272" s="25" t="n">
        <f aca="false">AC272*(14.068*'Sem TS MC2020'!$P264^-0.457)/$R272</f>
        <v>1.22613018135334</v>
      </c>
      <c r="AH272" s="25"/>
      <c r="AP272" s="4" t="n">
        <f aca="false">$AQ$2*($AQ$3+$AQ$4*$F272/($N272*'Sem TS MC2020'!P264))*($AQ$5*$G272+$AQ$6*$B272/$N272)*('Sem TS MC2020'!P264^$AQ$7/200000)*($J272-$M272)/($J272-$M272-$H272)+('Sem TS MC2020'!P264-$C272/$AQ$8)*($AQ$5*$G272+$AQ$6*$B272/$N272)/200000</f>
        <v>0.334550498317742</v>
      </c>
      <c r="AQ272" s="4" t="n">
        <f aca="false">AP272/$R272</f>
        <v>1.33820199327097</v>
      </c>
      <c r="AR272" s="24" t="n">
        <f aca="false">AP272-$R272</f>
        <v>0.0845504983177415</v>
      </c>
    </row>
    <row r="273" customFormat="false" ht="14.25" hidden="false" customHeight="false" outlineLevel="0" collapsed="false">
      <c r="B273" s="2" t="n">
        <v>15.9</v>
      </c>
      <c r="C273" s="3" t="n">
        <v>392</v>
      </c>
      <c r="D273" s="3" t="n">
        <v>2</v>
      </c>
      <c r="E273" s="2" t="n">
        <v>46</v>
      </c>
      <c r="F273" s="4" t="n">
        <v>2.92087587098479</v>
      </c>
      <c r="G273" s="2" t="n">
        <v>30</v>
      </c>
      <c r="H273" s="2" t="n">
        <v>38</v>
      </c>
      <c r="I273" s="1" t="n">
        <v>150</v>
      </c>
      <c r="J273" s="2" t="n">
        <v>250</v>
      </c>
      <c r="K273" s="3" t="n">
        <v>397.2</v>
      </c>
      <c r="L273" s="4" t="n">
        <v>17625</v>
      </c>
      <c r="M273" s="3" t="n">
        <v>69.5979672777495</v>
      </c>
      <c r="N273" s="12" t="n">
        <v>0.022536170212766</v>
      </c>
      <c r="O273" s="4" t="n">
        <v>31.3</v>
      </c>
      <c r="P273" s="3" t="n">
        <v>366.452902703315</v>
      </c>
      <c r="Q273" s="4" t="n">
        <f aca="false">(P273-P$354)/P$355</f>
        <v>1.02081995802519</v>
      </c>
      <c r="R273" s="4" t="n">
        <v>0.3</v>
      </c>
      <c r="S273" s="13" t="n">
        <f aca="false">P273/200000</f>
        <v>0.00183226451351658</v>
      </c>
      <c r="W273" s="4" t="n">
        <f aca="false">$X$2*($X$3*$G273+$X$4*$B273^$X$5*$N273^$X$6)*$S273^$X$7</f>
        <v>0.328512985998598</v>
      </c>
      <c r="X273" s="4" t="n">
        <f aca="false">W273/$R273</f>
        <v>1.09504328666199</v>
      </c>
      <c r="Z273" s="4" t="n">
        <f aca="false">$AA$2*$B273^$AA$3*$S273^$AA$4*($AA$5*$N273^$AA$6+$AA$7)</f>
        <v>0.325658941156013</v>
      </c>
      <c r="AA273" s="4" t="n">
        <f aca="false">Z273/$R273</f>
        <v>1.08552980385338</v>
      </c>
      <c r="AC273" s="4" t="n">
        <f aca="false">$AD$2*($AD$3+$AD$4*$F273/($N273*'Sem TS MC2020'!P265))*($AD$5*$G273+$AD$6*$B273/$N273)*'Sem TS MC2020'!R265*($J273-$M273)/($J273-$M273-$H273)</f>
        <v>0.352668202487365</v>
      </c>
      <c r="AD273" s="4" t="n">
        <f aca="false">AC273/$R273</f>
        <v>1.17556067495788</v>
      </c>
      <c r="AE273" s="24" t="n">
        <f aca="false">AC273-$R273</f>
        <v>0.0526682024873646</v>
      </c>
      <c r="AF273" s="25" t="n">
        <f aca="false">1/AD273</f>
        <v>0.850657921196477</v>
      </c>
      <c r="AG273" s="25" t="n">
        <f aca="false">AC273*(14.068*'Sem TS MC2020'!$P265^-0.457)/$R273</f>
        <v>1.07942840527415</v>
      </c>
      <c r="AH273" s="25"/>
      <c r="AP273" s="4" t="n">
        <f aca="false">$AQ$2*($AQ$3+$AQ$4*$F273/($N273*'Sem TS MC2020'!P265))*($AQ$5*$G273+$AQ$6*$B273/$N273)*('Sem TS MC2020'!P265^$AQ$7/200000)*($J273-$M273)/($J273-$M273-$H273)+('Sem TS MC2020'!P265-$C273/$AQ$8)*($AQ$5*$G273+$AQ$6*$B273/$N273)/200000</f>
        <v>0.361556684369187</v>
      </c>
      <c r="AQ273" s="4" t="n">
        <f aca="false">AP273/$R273</f>
        <v>1.20518894789729</v>
      </c>
      <c r="AR273" s="24" t="n">
        <f aca="false">AP273-$R273</f>
        <v>0.0615566843691874</v>
      </c>
    </row>
    <row r="274" customFormat="false" ht="14.25" hidden="false" customHeight="false" outlineLevel="0" collapsed="false">
      <c r="A274" s="1" t="s">
        <v>80</v>
      </c>
      <c r="B274" s="2" t="n">
        <v>15.9</v>
      </c>
      <c r="C274" s="3" t="n">
        <v>392</v>
      </c>
      <c r="D274" s="3" t="n">
        <v>2</v>
      </c>
      <c r="E274" s="2" t="n">
        <v>46</v>
      </c>
      <c r="F274" s="4" t="n">
        <v>2.92087587098479</v>
      </c>
      <c r="G274" s="2" t="n">
        <v>30</v>
      </c>
      <c r="H274" s="2" t="n">
        <v>38</v>
      </c>
      <c r="I274" s="1" t="n">
        <v>150</v>
      </c>
      <c r="J274" s="2" t="n">
        <v>250</v>
      </c>
      <c r="K274" s="3" t="n">
        <v>397.2</v>
      </c>
      <c r="L274" s="4" t="n">
        <v>17625</v>
      </c>
      <c r="M274" s="3" t="n">
        <v>69.5979672777495</v>
      </c>
      <c r="N274" s="12" t="n">
        <v>0.022536170212766</v>
      </c>
      <c r="O274" s="4" t="n">
        <v>19.6</v>
      </c>
      <c r="P274" s="3" t="n">
        <v>194.621503739647</v>
      </c>
      <c r="Q274" s="4" t="n">
        <f aca="false">(P274-P$354)/P$355</f>
        <v>-0.419768545826552</v>
      </c>
      <c r="R274" s="4" t="n">
        <v>0.15</v>
      </c>
      <c r="S274" s="13" t="n">
        <f aca="false">P274/200000</f>
        <v>0.000973107518698235</v>
      </c>
      <c r="W274" s="4" t="n">
        <f aca="false">$X$2*($X$3*$G274+$X$4*$B274^$X$5*$N274^$X$6)*$S274^$X$7</f>
        <v>0.222322834854474</v>
      </c>
      <c r="X274" s="4" t="n">
        <f aca="false">W274/$R274</f>
        <v>1.48215223236316</v>
      </c>
      <c r="Z274" s="4" t="n">
        <f aca="false">$AA$2*$B274^$AA$3*$S274^$AA$4*($AA$5*$N274^$AA$6+$AA$7)</f>
        <v>0.218862540202492</v>
      </c>
      <c r="AA274" s="4" t="n">
        <f aca="false">Z274/$R274</f>
        <v>1.45908360134995</v>
      </c>
      <c r="AC274" s="4" t="n">
        <f aca="false">$AD$2*($AD$3+$AD$4*$F274/($N274*'Sem TS MC2020'!P266))*($AD$5*$G274+$AD$6*$B274/$N274)*'Sem TS MC2020'!R266*($J274-$M274)/($J274-$M274-$H274)</f>
        <v>0.209165223829779</v>
      </c>
      <c r="AD274" s="4" t="n">
        <f aca="false">AC274/$R274</f>
        <v>1.39443482553186</v>
      </c>
      <c r="AE274" s="24" t="n">
        <f aca="false">AC274-$R274</f>
        <v>0.0591652238297791</v>
      </c>
      <c r="AF274" s="25" t="n">
        <f aca="false">1/AD274</f>
        <v>0.717136420928518</v>
      </c>
      <c r="AG274" s="25" t="n">
        <f aca="false">AC274*(14.068*'Sem TS MC2020'!$P266^-0.457)/$R274</f>
        <v>1.54152438787687</v>
      </c>
      <c r="AH274" s="25"/>
      <c r="AP274" s="4" t="n">
        <f aca="false">$AQ$2*($AQ$3+$AQ$4*$F274/($N274*'Sem TS MC2020'!P266))*($AQ$5*$G274+$AQ$6*$B274/$N274)*('Sem TS MC2020'!P266^$AQ$7/200000)*($J274-$M274)/($J274-$M274-$H274)+('Sem TS MC2020'!P266-$C274/$AQ$8)*($AQ$5*$G274+$AQ$6*$B274/$N274)/200000</f>
        <v>0.225871909942167</v>
      </c>
      <c r="AQ274" s="4" t="n">
        <f aca="false">AP274/$R274</f>
        <v>1.50581273294778</v>
      </c>
      <c r="AR274" s="24" t="n">
        <f aca="false">AP274-$R274</f>
        <v>0.0758719099421669</v>
      </c>
    </row>
    <row r="275" customFormat="false" ht="14.25" hidden="false" customHeight="false" outlineLevel="0" collapsed="false">
      <c r="B275" s="2" t="n">
        <v>15.9</v>
      </c>
      <c r="C275" s="3" t="n">
        <v>392</v>
      </c>
      <c r="D275" s="3" t="n">
        <v>2</v>
      </c>
      <c r="E275" s="2" t="n">
        <v>46</v>
      </c>
      <c r="F275" s="4" t="n">
        <v>2.92087587098479</v>
      </c>
      <c r="G275" s="2" t="n">
        <v>30</v>
      </c>
      <c r="H275" s="2" t="n">
        <v>38</v>
      </c>
      <c r="I275" s="1" t="n">
        <v>150</v>
      </c>
      <c r="J275" s="2" t="n">
        <v>250</v>
      </c>
      <c r="K275" s="3" t="n">
        <v>397.2</v>
      </c>
      <c r="L275" s="4" t="n">
        <v>17625</v>
      </c>
      <c r="M275" s="3" t="n">
        <v>69.5979672777495</v>
      </c>
      <c r="N275" s="12" t="n">
        <v>0.022536170212766</v>
      </c>
      <c r="O275" s="4" t="n">
        <v>27.5</v>
      </c>
      <c r="P275" s="3" t="n">
        <v>332.867575197129</v>
      </c>
      <c r="Q275" s="4" t="n">
        <f aca="false">(P275-P$354)/P$355</f>
        <v>0.739249552410684</v>
      </c>
      <c r="R275" s="4" t="n">
        <v>0.25</v>
      </c>
      <c r="S275" s="13" t="n">
        <f aca="false">P275/200000</f>
        <v>0.00166433787598564</v>
      </c>
      <c r="W275" s="4" t="n">
        <f aca="false">$X$2*($X$3*$G275+$X$4*$B275^$X$5*$N275^$X$6)*$S275^$X$7</f>
        <v>0.309595645770367</v>
      </c>
      <c r="X275" s="4" t="n">
        <f aca="false">W275/$R275</f>
        <v>1.23838258308147</v>
      </c>
      <c r="Z275" s="4" t="n">
        <f aca="false">$AA$2*$B275^$AA$3*$S275^$AA$4*($AA$5*$N275^$AA$6+$AA$7)</f>
        <v>0.306581606325413</v>
      </c>
      <c r="AA275" s="4" t="n">
        <f aca="false">Z275/$R275</f>
        <v>1.22632642530165</v>
      </c>
      <c r="AC275" s="4" t="n">
        <f aca="false">$AD$2*($AD$3+$AD$4*$F275/($N275*'Sem TS MC2020'!P267))*($AD$5*$G275+$AD$6*$B275/$N275)*'Sem TS MC2020'!R267*($J275-$M275)/($J275-$M275-$H275)</f>
        <v>0.324619809903729</v>
      </c>
      <c r="AD275" s="4" t="n">
        <f aca="false">AC275/$R275</f>
        <v>1.29847923961491</v>
      </c>
      <c r="AE275" s="24" t="n">
        <f aca="false">AC275-$R275</f>
        <v>0.0746198099037286</v>
      </c>
      <c r="AF275" s="25" t="n">
        <f aca="false">1/AD275</f>
        <v>0.770131681347918</v>
      </c>
      <c r="AG275" s="25" t="n">
        <f aca="false">AC275*(14.068*'Sem TS MC2020'!$P267^-0.457)/$R275</f>
        <v>1.22962638419208</v>
      </c>
      <c r="AH275" s="25"/>
      <c r="AP275" s="4" t="n">
        <f aca="false">$AQ$2*($AQ$3+$AQ$4*$F275/($N275*'Sem TS MC2020'!P267))*($AQ$5*$G275+$AQ$6*$B275/$N275)*('Sem TS MC2020'!P267^$AQ$7/200000)*($J275-$M275)/($J275-$M275-$H275)+('Sem TS MC2020'!P267-$C275/$AQ$8)*($AQ$5*$G275+$AQ$6*$B275/$N275)/200000</f>
        <v>0.335897345049754</v>
      </c>
      <c r="AQ275" s="4" t="n">
        <f aca="false">AP275/$R275</f>
        <v>1.34358938019902</v>
      </c>
      <c r="AR275" s="24" t="n">
        <f aca="false">AP275-$R275</f>
        <v>0.0858973450497539</v>
      </c>
    </row>
    <row r="276" customFormat="false" ht="14.25" hidden="false" customHeight="false" outlineLevel="0" collapsed="false">
      <c r="A276" s="1" t="s">
        <v>81</v>
      </c>
      <c r="B276" s="2" t="n">
        <v>19.1</v>
      </c>
      <c r="C276" s="3" t="n">
        <v>392</v>
      </c>
      <c r="D276" s="3" t="n">
        <v>2</v>
      </c>
      <c r="E276" s="2" t="n">
        <v>40</v>
      </c>
      <c r="F276" s="4" t="n">
        <v>2.92087587098479</v>
      </c>
      <c r="G276" s="2" t="n">
        <v>30</v>
      </c>
      <c r="H276" s="2" t="n">
        <v>39.5</v>
      </c>
      <c r="I276" s="1" t="n">
        <v>150</v>
      </c>
      <c r="J276" s="2" t="n">
        <v>250</v>
      </c>
      <c r="K276" s="3" t="n">
        <v>573</v>
      </c>
      <c r="L276" s="4" t="n">
        <v>20250</v>
      </c>
      <c r="M276" s="3" t="n">
        <v>80.017825486464</v>
      </c>
      <c r="N276" s="12" t="n">
        <v>0.0282962962962963</v>
      </c>
      <c r="O276" s="4" t="n">
        <v>19.7</v>
      </c>
      <c r="P276" s="3" t="n">
        <v>113.834697759034</v>
      </c>
      <c r="Q276" s="4" t="n">
        <f aca="false">(P276-P$354)/P$355</f>
        <v>-1.09706352602502</v>
      </c>
      <c r="R276" s="4" t="n">
        <v>0.15</v>
      </c>
      <c r="S276" s="13" t="n">
        <f aca="false">P276/200000</f>
        <v>0.00056917348879517</v>
      </c>
      <c r="W276" s="4" t="n">
        <f aca="false">$X$2*($X$3*$G276+$X$4*$B276^$X$5*$N276^$X$6)*$S276^$X$7</f>
        <v>0.164281950114527</v>
      </c>
      <c r="X276" s="4" t="n">
        <f aca="false">W276/$R276</f>
        <v>1.09521300076352</v>
      </c>
      <c r="Z276" s="4" t="n">
        <f aca="false">$AA$2*$B276^$AA$3*$S276^$AA$4*($AA$5*$N276^$AA$6+$AA$7)</f>
        <v>0.161565777526796</v>
      </c>
      <c r="AA276" s="4" t="n">
        <f aca="false">Z276/$R276</f>
        <v>1.07710518351197</v>
      </c>
      <c r="AC276" s="4" t="n">
        <f aca="false">$AD$2*($AD$3+$AD$4*$F276/($N276*'Sem TS MC2020'!P268))*($AD$5*$G276+$AD$6*$B276/$N276)*'Sem TS MC2020'!R268*($J276-$M276)/($J276-$M276-$H276)</f>
        <v>0.142584800685983</v>
      </c>
      <c r="AD276" s="4" t="n">
        <f aca="false">AC276/$R276</f>
        <v>0.950565337906556</v>
      </c>
      <c r="AE276" s="24" t="n">
        <f aca="false">AC276-$R276</f>
        <v>-0.0074151993140166</v>
      </c>
      <c r="AF276" s="25" t="n">
        <f aca="false">1/AD276</f>
        <v>1.05200553830662</v>
      </c>
      <c r="AG276" s="25" t="n">
        <f aca="false">AC276*(14.068*'Sem TS MC2020'!$P268^-0.457)/$R276</f>
        <v>1.22449045189177</v>
      </c>
      <c r="AH276" s="25"/>
      <c r="AP276" s="4" t="n">
        <f aca="false">$AQ$2*($AQ$3+$AQ$4*$F276/($N276*'Sem TS MC2020'!P268))*($AQ$5*$G276+$AQ$6*$B276/$N276)*('Sem TS MC2020'!P268^$AQ$7/200000)*($J276-$M276)/($J276-$M276-$H276)+('Sem TS MC2020'!P268-$C276/$AQ$8)*($AQ$5*$G276+$AQ$6*$B276/$N276)/200000</f>
        <v>0.159156058045214</v>
      </c>
      <c r="AQ276" s="4" t="n">
        <f aca="false">AP276/$R276</f>
        <v>1.06104038696809</v>
      </c>
      <c r="AR276" s="24" t="n">
        <f aca="false">AP276-$R276</f>
        <v>0.00915605804521399</v>
      </c>
    </row>
    <row r="277" customFormat="false" ht="14.25" hidden="false" customHeight="false" outlineLevel="0" collapsed="false">
      <c r="B277" s="2" t="n">
        <v>19.1</v>
      </c>
      <c r="C277" s="3" t="n">
        <v>392</v>
      </c>
      <c r="D277" s="3" t="n">
        <v>2</v>
      </c>
      <c r="E277" s="2" t="n">
        <v>40</v>
      </c>
      <c r="F277" s="4" t="n">
        <v>2.92087587098479</v>
      </c>
      <c r="G277" s="2" t="n">
        <v>30</v>
      </c>
      <c r="H277" s="2" t="n">
        <v>39.5</v>
      </c>
      <c r="I277" s="1" t="n">
        <v>150</v>
      </c>
      <c r="J277" s="2" t="n">
        <v>250</v>
      </c>
      <c r="K277" s="3" t="n">
        <v>573</v>
      </c>
      <c r="L277" s="4" t="n">
        <v>20250</v>
      </c>
      <c r="M277" s="3" t="n">
        <v>80.017825486464</v>
      </c>
      <c r="N277" s="12" t="n">
        <v>0.0282962962962963</v>
      </c>
      <c r="O277" s="4" t="n">
        <v>27.5</v>
      </c>
      <c r="P277" s="3" t="n">
        <v>206.130330837803</v>
      </c>
      <c r="Q277" s="4" t="n">
        <f aca="false">(P277-P$354)/P$355</f>
        <v>-0.323281616718054</v>
      </c>
      <c r="R277" s="4" t="n">
        <v>0.2</v>
      </c>
      <c r="S277" s="13" t="n">
        <f aca="false">P277/200000</f>
        <v>0.00103065165418902</v>
      </c>
      <c r="W277" s="4" t="n">
        <f aca="false">$X$2*($X$3*$G277+$X$4*$B277^$X$5*$N277^$X$6)*$S277^$X$7</f>
        <v>0.236970310462656</v>
      </c>
      <c r="X277" s="4" t="n">
        <f aca="false">W277/$R277</f>
        <v>1.18485155231328</v>
      </c>
      <c r="Z277" s="4" t="n">
        <f aca="false">$AA$2*$B277^$AA$3*$S277^$AA$4*($AA$5*$N277^$AA$6+$AA$7)</f>
        <v>0.234579471034568</v>
      </c>
      <c r="AA277" s="4" t="n">
        <f aca="false">Z277/$R277</f>
        <v>1.17289735517284</v>
      </c>
      <c r="AC277" s="4" t="n">
        <f aca="false">$AD$2*($AD$3+$AD$4*$F277/($N277*'Sem TS MC2020'!P269))*($AD$5*$G277+$AD$6*$B277/$N277)*'Sem TS MC2020'!R269*($J277-$M277)/($J277-$M277-$H277)</f>
        <v>0.223265944741464</v>
      </c>
      <c r="AD277" s="4" t="n">
        <f aca="false">AC277/$R277</f>
        <v>1.11632972370732</v>
      </c>
      <c r="AE277" s="24" t="n">
        <f aca="false">AC277-$R277</f>
        <v>0.0232659447414641</v>
      </c>
      <c r="AF277" s="25" t="n">
        <f aca="false">1/AD277</f>
        <v>0.895792684511713</v>
      </c>
      <c r="AG277" s="25" t="n">
        <f aca="false">AC277*(14.068*'Sem TS MC2020'!$P269^-0.457)/$R277</f>
        <v>1.23470140404646</v>
      </c>
      <c r="AH277" s="25"/>
      <c r="AP277" s="4" t="n">
        <f aca="false">$AQ$2*($AQ$3+$AQ$4*$F277/($N277*'Sem TS MC2020'!P269))*($AQ$5*$G277+$AQ$6*$B277/$N277)*('Sem TS MC2020'!P269^$AQ$7/200000)*($J277-$M277)/($J277-$M277-$H277)+('Sem TS MC2020'!P269-$C277/$AQ$8)*($AQ$5*$G277+$AQ$6*$B277/$N277)/200000</f>
        <v>0.240679255660399</v>
      </c>
      <c r="AQ277" s="4" t="n">
        <f aca="false">AP277/$R277</f>
        <v>1.20339627830199</v>
      </c>
      <c r="AR277" s="24" t="n">
        <f aca="false">AP277-$R277</f>
        <v>0.0406792556603989</v>
      </c>
    </row>
    <row r="278" customFormat="false" ht="14.25" hidden="false" customHeight="false" outlineLevel="0" collapsed="false">
      <c r="B278" s="2" t="n">
        <v>19.1</v>
      </c>
      <c r="C278" s="3" t="n">
        <v>392</v>
      </c>
      <c r="D278" s="3" t="n">
        <v>2</v>
      </c>
      <c r="E278" s="2" t="n">
        <v>40</v>
      </c>
      <c r="F278" s="4" t="n">
        <v>2.92087587098479</v>
      </c>
      <c r="G278" s="2" t="n">
        <v>30</v>
      </c>
      <c r="H278" s="2" t="n">
        <v>39.5</v>
      </c>
      <c r="I278" s="1" t="n">
        <v>150</v>
      </c>
      <c r="J278" s="2" t="n">
        <v>250</v>
      </c>
      <c r="K278" s="3" t="n">
        <v>573</v>
      </c>
      <c r="L278" s="4" t="n">
        <v>20250</v>
      </c>
      <c r="M278" s="3" t="n">
        <v>80.017825486464</v>
      </c>
      <c r="N278" s="12" t="n">
        <v>0.0282962962962963</v>
      </c>
      <c r="O278" s="4" t="n">
        <v>35.4</v>
      </c>
      <c r="P278" s="3" t="n">
        <v>300.388936553062</v>
      </c>
      <c r="Q278" s="4" t="n">
        <f aca="false">(P278-P$354)/P$355</f>
        <v>0.466957330304699</v>
      </c>
      <c r="R278" s="4" t="n">
        <v>0.3</v>
      </c>
      <c r="S278" s="13" t="n">
        <f aca="false">P278/200000</f>
        <v>0.00150194468276531</v>
      </c>
      <c r="W278" s="4" t="n">
        <f aca="false">$X$2*($X$3*$G278+$X$4*$B278^$X$5*$N278^$X$6)*$S278^$X$7</f>
        <v>0.298950560451436</v>
      </c>
      <c r="X278" s="4" t="n">
        <f aca="false">W278/$R278</f>
        <v>0.996501868171455</v>
      </c>
      <c r="Z278" s="4" t="n">
        <f aca="false">$AA$2*$B278^$AA$3*$S278^$AA$4*($AA$5*$N278^$AA$6+$AA$7)</f>
        <v>0.297162770988944</v>
      </c>
      <c r="AA278" s="4" t="n">
        <f aca="false">Z278/$R278</f>
        <v>0.990542569963148</v>
      </c>
      <c r="AC278" s="4" t="n">
        <f aca="false">$AD$2*($AD$3+$AD$4*$F278/($N278*'Sem TS MC2020'!P270))*($AD$5*$G278+$AD$6*$B278/$N278)*'Sem TS MC2020'!R270*($J278-$M278)/($J278-$M278-$H278)</f>
        <v>0.304981462438682</v>
      </c>
      <c r="AD278" s="4" t="n">
        <f aca="false">AC278/$R278</f>
        <v>1.01660487479561</v>
      </c>
      <c r="AE278" s="24" t="n">
        <f aca="false">AC278-$R278</f>
        <v>0.00498146243868197</v>
      </c>
      <c r="AF278" s="25" t="n">
        <f aca="false">1/AD278</f>
        <v>0.983666343525113</v>
      </c>
      <c r="AG278" s="25" t="n">
        <f aca="false">AC278*(14.068*'Sem TS MC2020'!$P270^-0.457)/$R278</f>
        <v>1.00184882158732</v>
      </c>
      <c r="AH278" s="25"/>
      <c r="AP278" s="4" t="n">
        <f aca="false">$AQ$2*($AQ$3+$AQ$4*$F278/($N278*'Sem TS MC2020'!P270))*($AQ$5*$G278+$AQ$6*$B278/$N278)*('Sem TS MC2020'!P270^$AQ$7/200000)*($J278-$M278)/($J278-$M278-$H278)+('Sem TS MC2020'!P270-$C278/$AQ$8)*($AQ$5*$G278+$AQ$6*$B278/$N278)/200000</f>
        <v>0.318314092274056</v>
      </c>
      <c r="AQ278" s="4" t="n">
        <f aca="false">AP278/$R278</f>
        <v>1.06104697424685</v>
      </c>
      <c r="AR278" s="24" t="n">
        <f aca="false">AP278-$R278</f>
        <v>0.0183140922740558</v>
      </c>
    </row>
    <row r="279" customFormat="false" ht="14.25" hidden="false" customHeight="false" outlineLevel="0" collapsed="false">
      <c r="B279" s="2" t="n">
        <v>19.1</v>
      </c>
      <c r="C279" s="3" t="n">
        <v>392</v>
      </c>
      <c r="D279" s="3" t="n">
        <v>2</v>
      </c>
      <c r="E279" s="2" t="n">
        <v>40</v>
      </c>
      <c r="F279" s="4" t="n">
        <v>2.92087587098479</v>
      </c>
      <c r="G279" s="2" t="n">
        <v>30</v>
      </c>
      <c r="H279" s="2" t="n">
        <v>39.5</v>
      </c>
      <c r="I279" s="1" t="n">
        <v>150</v>
      </c>
      <c r="J279" s="2" t="n">
        <v>250</v>
      </c>
      <c r="K279" s="3" t="n">
        <v>573</v>
      </c>
      <c r="L279" s="4" t="n">
        <v>20250</v>
      </c>
      <c r="M279" s="3" t="n">
        <v>80.017825486464</v>
      </c>
      <c r="N279" s="12" t="n">
        <v>0.0282962962962963</v>
      </c>
      <c r="O279" s="4" t="n">
        <v>43.3</v>
      </c>
      <c r="P279" s="3" t="n">
        <v>371.049164141272</v>
      </c>
      <c r="Q279" s="4" t="n">
        <f aca="false">(P279-P$354)/P$355</f>
        <v>1.05935378495177</v>
      </c>
      <c r="R279" s="4" t="n">
        <v>0.33</v>
      </c>
      <c r="S279" s="13" t="n">
        <f aca="false">P279/200000</f>
        <v>0.00185524582070636</v>
      </c>
      <c r="W279" s="4" t="n">
        <f aca="false">$X$2*($X$3*$G279+$X$4*$B279^$X$5*$N279^$X$6)*$S279^$X$7</f>
        <v>0.340570944979316</v>
      </c>
      <c r="X279" s="4" t="n">
        <f aca="false">W279/$R279</f>
        <v>1.03203316660399</v>
      </c>
      <c r="Z279" s="4" t="n">
        <f aca="false">$AA$2*$B279^$AA$3*$S279^$AA$4*($AA$5*$N279^$AA$6+$AA$7)</f>
        <v>0.339321864443275</v>
      </c>
      <c r="AA279" s="4" t="n">
        <f aca="false">Z279/$R279</f>
        <v>1.02824807407053</v>
      </c>
      <c r="AC279" s="4" t="n">
        <f aca="false">$AD$2*($AD$3+$AD$4*$F279/($N279*'Sem TS MC2020'!P271))*($AD$5*$G279+$AD$6*$B279/$N279)*'Sem TS MC2020'!R271*($J279-$M279)/($J279-$M279-$H279)</f>
        <v>0.366238862059215</v>
      </c>
      <c r="AD279" s="4" t="n">
        <f aca="false">AC279/$R279</f>
        <v>1.10981473351277</v>
      </c>
      <c r="AE279" s="24" t="n">
        <f aca="false">AC279-$R279</f>
        <v>0.0362388620592149</v>
      </c>
      <c r="AF279" s="25" t="n">
        <f aca="false">1/AD279</f>
        <v>0.901051292439425</v>
      </c>
      <c r="AG279" s="25" t="n">
        <f aca="false">AC279*(14.068*'Sem TS MC2020'!$P271^-0.457)/$R279</f>
        <v>1.01905888268027</v>
      </c>
      <c r="AH279" s="25"/>
      <c r="AP279" s="4" t="n">
        <f aca="false">$AQ$2*($AQ$3+$AQ$4*$F279/($N279*'Sem TS MC2020'!P271))*($AQ$5*$G279+$AQ$6*$B279/$N279)*('Sem TS MC2020'!P271^$AQ$7/200000)*($J279-$M279)/($J279-$M279-$H279)+('Sem TS MC2020'!P271-$C279/$AQ$8)*($AQ$5*$G279+$AQ$6*$B279/$N279)/200000</f>
        <v>0.374192395567314</v>
      </c>
      <c r="AQ279" s="4" t="n">
        <f aca="false">AP279/$R279</f>
        <v>1.13391635020398</v>
      </c>
      <c r="AR279" s="24" t="n">
        <f aca="false">AP279-$R279</f>
        <v>0.0441923955673139</v>
      </c>
    </row>
    <row r="280" customFormat="false" ht="14.25" hidden="false" customHeight="false" outlineLevel="0" collapsed="false">
      <c r="A280" s="1" t="s">
        <v>82</v>
      </c>
      <c r="B280" s="2" t="n">
        <v>19.1</v>
      </c>
      <c r="C280" s="3" t="n">
        <v>392</v>
      </c>
      <c r="D280" s="3" t="n">
        <v>2</v>
      </c>
      <c r="E280" s="2" t="n">
        <v>40</v>
      </c>
      <c r="F280" s="4" t="n">
        <v>2.92087587098479</v>
      </c>
      <c r="G280" s="2" t="n">
        <v>30</v>
      </c>
      <c r="H280" s="2" t="n">
        <v>39.5</v>
      </c>
      <c r="I280" s="1" t="n">
        <v>150</v>
      </c>
      <c r="J280" s="2" t="n">
        <v>250</v>
      </c>
      <c r="K280" s="3" t="n">
        <v>573</v>
      </c>
      <c r="L280" s="4" t="n">
        <v>20250</v>
      </c>
      <c r="M280" s="3" t="n">
        <v>80.017825486464</v>
      </c>
      <c r="N280" s="12" t="n">
        <v>0.0282962962962963</v>
      </c>
      <c r="O280" s="4" t="n">
        <v>19.6</v>
      </c>
      <c r="P280" s="3" t="n">
        <v>112.885328525321</v>
      </c>
      <c r="Q280" s="4" t="n">
        <f aca="false">(P280-P$354)/P$355</f>
        <v>-1.10502278383381</v>
      </c>
      <c r="R280" s="4" t="n">
        <v>0.15</v>
      </c>
      <c r="S280" s="13" t="n">
        <f aca="false">P280/200000</f>
        <v>0.000564426642626607</v>
      </c>
      <c r="W280" s="4" t="n">
        <f aca="false">$X$2*($X$3*$G280+$X$4*$B280^$X$5*$N280^$X$6)*$S280^$X$7</f>
        <v>0.163435246843041</v>
      </c>
      <c r="X280" s="4" t="n">
        <f aca="false">W280/$R280</f>
        <v>1.08956831228694</v>
      </c>
      <c r="Z280" s="4" t="n">
        <f aca="false">$AA$2*$B280^$AA$3*$S280^$AA$4*($AA$5*$N280^$AA$6+$AA$7)</f>
        <v>0.160718266697998</v>
      </c>
      <c r="AA280" s="4" t="n">
        <f aca="false">Z280/$R280</f>
        <v>1.07145511131999</v>
      </c>
      <c r="AC280" s="4" t="n">
        <f aca="false">$AD$2*($AD$3+$AD$4*$F280/($N280*'Sem TS MC2020'!P272))*($AD$5*$G280+$AD$6*$B280/$N280)*'Sem TS MC2020'!R272*($J280-$M280)/($J280-$M280-$H280)</f>
        <v>0.141550427044246</v>
      </c>
      <c r="AD280" s="4" t="n">
        <f aca="false">AC280/$R280</f>
        <v>0.94366951362831</v>
      </c>
      <c r="AE280" s="24" t="n">
        <f aca="false">AC280-$R280</f>
        <v>-0.00844957295575352</v>
      </c>
      <c r="AF280" s="25" t="n">
        <f aca="false">1/AD280</f>
        <v>1.05969302341357</v>
      </c>
      <c r="AG280" s="25" t="n">
        <f aca="false">AC280*(14.068*'Sem TS MC2020'!$P272^-0.457)/$R280</f>
        <v>1.21843788699573</v>
      </c>
      <c r="AH280" s="25"/>
      <c r="AP280" s="4" t="n">
        <f aca="false">$AQ$2*($AQ$3+$AQ$4*$F280/($N280*'Sem TS MC2020'!P272))*($AQ$5*$G280+$AQ$6*$B280/$N280)*('Sem TS MC2020'!P272^$AQ$7/200000)*($J280-$M280)/($J280-$M280-$H280)+('Sem TS MC2020'!P272-$C280/$AQ$8)*($AQ$5*$G280+$AQ$6*$B280/$N280)/200000</f>
        <v>0.158068774099756</v>
      </c>
      <c r="AQ280" s="4" t="n">
        <f aca="false">AP280/$R280</f>
        <v>1.05379182733171</v>
      </c>
      <c r="AR280" s="24" t="n">
        <f aca="false">AP280-$R280</f>
        <v>0.00806877409975634</v>
      </c>
    </row>
    <row r="281" customFormat="false" ht="14.25" hidden="false" customHeight="false" outlineLevel="0" collapsed="false">
      <c r="B281" s="2" t="n">
        <v>19.1</v>
      </c>
      <c r="C281" s="3" t="n">
        <v>392</v>
      </c>
      <c r="D281" s="3" t="n">
        <v>2</v>
      </c>
      <c r="E281" s="2" t="n">
        <v>40</v>
      </c>
      <c r="F281" s="4" t="n">
        <v>2.92087587098479</v>
      </c>
      <c r="G281" s="2" t="n">
        <v>30</v>
      </c>
      <c r="H281" s="2" t="n">
        <v>39.5</v>
      </c>
      <c r="I281" s="1" t="n">
        <v>150</v>
      </c>
      <c r="J281" s="2" t="n">
        <v>250</v>
      </c>
      <c r="K281" s="3" t="n">
        <v>573</v>
      </c>
      <c r="L281" s="4" t="n">
        <v>20250</v>
      </c>
      <c r="M281" s="3" t="n">
        <v>80.017825486464</v>
      </c>
      <c r="N281" s="12" t="n">
        <v>0.0282962962962963</v>
      </c>
      <c r="O281" s="4" t="n">
        <v>27.3</v>
      </c>
      <c r="P281" s="3" t="n">
        <v>203.744037022227</v>
      </c>
      <c r="Q281" s="4" t="n">
        <f aca="false">(P281-P$354)/P$355</f>
        <v>-0.34328766600977</v>
      </c>
      <c r="R281" s="4" t="n">
        <v>0.25</v>
      </c>
      <c r="S281" s="13" t="n">
        <f aca="false">P281/200000</f>
        <v>0.00101872018511114</v>
      </c>
      <c r="W281" s="4" t="n">
        <f aca="false">$X$2*($X$3*$G281+$X$4*$B281^$X$5*$N281^$X$6)*$S281^$X$7</f>
        <v>0.235273911447416</v>
      </c>
      <c r="X281" s="4" t="n">
        <f aca="false">W281/$R281</f>
        <v>0.941095645789664</v>
      </c>
      <c r="Z281" s="4" t="n">
        <f aca="false">$AA$2*$B281^$AA$3*$S281^$AA$4*($AA$5*$N281^$AA$6+$AA$7)</f>
        <v>0.232870358038216</v>
      </c>
      <c r="AA281" s="4" t="n">
        <f aca="false">Z281/$R281</f>
        <v>0.931481432152865</v>
      </c>
      <c r="AC281" s="4" t="n">
        <f aca="false">$AD$2*($AD$3+$AD$4*$F281/($N281*'Sem TS MC2020'!P273))*($AD$5*$G281+$AD$6*$B281/$N281)*'Sem TS MC2020'!R273*($J281-$M281)/($J281-$M281-$H281)</f>
        <v>0.22119719745799</v>
      </c>
      <c r="AD281" s="4" t="n">
        <f aca="false">AC281/$R281</f>
        <v>0.884788789831961</v>
      </c>
      <c r="AE281" s="24" t="n">
        <f aca="false">AC281-$R281</f>
        <v>-0.0288028025420097</v>
      </c>
      <c r="AF281" s="25" t="n">
        <f aca="false">1/AD281</f>
        <v>1.13021323449399</v>
      </c>
      <c r="AG281" s="25" t="n">
        <f aca="false">AC281*(14.068*'Sem TS MC2020'!$P273^-0.457)/$R281</f>
        <v>0.981878558583142</v>
      </c>
      <c r="AH281" s="25"/>
      <c r="AP281" s="4" t="n">
        <f aca="false">$AQ$2*($AQ$3+$AQ$4*$F281/($N281*'Sem TS MC2020'!P273))*($AQ$5*$G281+$AQ$6*$B281/$N281)*('Sem TS MC2020'!P273^$AQ$7/200000)*($J281-$M281)/($J281-$M281-$H281)+('Sem TS MC2020'!P273-$C281/$AQ$8)*($AQ$5*$G281+$AQ$6*$B281/$N281)/200000</f>
        <v>0.238657957010942</v>
      </c>
      <c r="AQ281" s="4" t="n">
        <f aca="false">AP281/$R281</f>
        <v>0.954631828043767</v>
      </c>
      <c r="AR281" s="24" t="n">
        <f aca="false">AP281-$R281</f>
        <v>-0.0113420429890583</v>
      </c>
    </row>
    <row r="282" customFormat="false" ht="14.25" hidden="false" customHeight="false" outlineLevel="0" collapsed="false">
      <c r="B282" s="2" t="n">
        <v>19.1</v>
      </c>
      <c r="C282" s="3" t="n">
        <v>392</v>
      </c>
      <c r="D282" s="3" t="n">
        <v>2</v>
      </c>
      <c r="E282" s="2" t="n">
        <v>40</v>
      </c>
      <c r="F282" s="4" t="n">
        <v>2.92087587098479</v>
      </c>
      <c r="G282" s="2" t="n">
        <v>30</v>
      </c>
      <c r="H282" s="2" t="n">
        <v>39.5</v>
      </c>
      <c r="I282" s="1" t="n">
        <v>150</v>
      </c>
      <c r="J282" s="2" t="n">
        <v>250</v>
      </c>
      <c r="K282" s="3" t="n">
        <v>573</v>
      </c>
      <c r="L282" s="4" t="n">
        <v>20250</v>
      </c>
      <c r="M282" s="3" t="n">
        <v>80.017825486464</v>
      </c>
      <c r="N282" s="12" t="n">
        <v>0.0282962962962963</v>
      </c>
      <c r="O282" s="4" t="n">
        <v>35.1</v>
      </c>
      <c r="P282" s="3" t="n">
        <v>296.809495829698</v>
      </c>
      <c r="Q282" s="4" t="n">
        <f aca="false">(P282-P$354)/P$355</f>
        <v>0.436948256367127</v>
      </c>
      <c r="R282" s="4" t="n">
        <v>0.28</v>
      </c>
      <c r="S282" s="13" t="n">
        <f aca="false">P282/200000</f>
        <v>0.00148404747914849</v>
      </c>
      <c r="W282" s="4" t="n">
        <f aca="false">$X$2*($X$3*$G282+$X$4*$B282^$X$5*$N282^$X$6)*$S282^$X$7</f>
        <v>0.296747577464912</v>
      </c>
      <c r="X282" s="4" t="n">
        <f aca="false">W282/$R282</f>
        <v>1.0598127766604</v>
      </c>
      <c r="Z282" s="4" t="n">
        <f aca="false">$AA$2*$B282^$AA$3*$S282^$AA$4*($AA$5*$N282^$AA$6+$AA$7)</f>
        <v>0.294934068735704</v>
      </c>
      <c r="AA282" s="4" t="n">
        <f aca="false">Z282/$R282</f>
        <v>1.05333595977037</v>
      </c>
      <c r="AC282" s="4" t="n">
        <f aca="false">$AD$2*($AD$3+$AD$4*$F282/($N282*'Sem TS MC2020'!P274))*($AD$5*$G282+$AD$6*$B282/$N282)*'Sem TS MC2020'!R274*($J282-$M282)/($J282-$M282-$H282)</f>
        <v>0.301878341513471</v>
      </c>
      <c r="AD282" s="4" t="n">
        <f aca="false">AC282/$R282</f>
        <v>1.07813693397668</v>
      </c>
      <c r="AE282" s="24" t="n">
        <f aca="false">AC282-$R282</f>
        <v>0.0218783415134711</v>
      </c>
      <c r="AF282" s="25" t="n">
        <f aca="false">1/AD282</f>
        <v>0.927525964917576</v>
      </c>
      <c r="AG282" s="25" t="n">
        <f aca="false">AC282*(14.068*'Sem TS MC2020'!$P274^-0.457)/$R282</f>
        <v>1.0666282116996</v>
      </c>
      <c r="AH282" s="25"/>
      <c r="AP282" s="4" t="n">
        <f aca="false">$AQ$2*($AQ$3+$AQ$4*$F282/($N282*'Sem TS MC2020'!P274))*($AQ$5*$G282+$AQ$6*$B282/$N282)*('Sem TS MC2020'!P274^$AQ$7/200000)*($J282-$M282)/($J282-$M282-$H282)+('Sem TS MC2020'!P274-$C282/$AQ$8)*($AQ$5*$G282+$AQ$6*$B282/$N282)/200000</f>
        <v>0.315435878897294</v>
      </c>
      <c r="AQ282" s="4" t="n">
        <f aca="false">AP282/$R282</f>
        <v>1.12655671034748</v>
      </c>
      <c r="AR282" s="24" t="n">
        <f aca="false">AP282-$R282</f>
        <v>0.0354358788972942</v>
      </c>
    </row>
    <row r="283" customFormat="false" ht="14.25" hidden="false" customHeight="false" outlineLevel="0" collapsed="false">
      <c r="A283" s="1" t="s">
        <v>83</v>
      </c>
      <c r="B283" s="2" t="n">
        <v>15.9</v>
      </c>
      <c r="C283" s="3" t="n">
        <v>392</v>
      </c>
      <c r="D283" s="3" t="n">
        <v>2</v>
      </c>
      <c r="E283" s="2" t="n">
        <v>46</v>
      </c>
      <c r="F283" s="4" t="n">
        <v>3.35387948274239</v>
      </c>
      <c r="G283" s="2" t="n">
        <v>30</v>
      </c>
      <c r="H283" s="2" t="n">
        <v>38</v>
      </c>
      <c r="I283" s="1" t="n">
        <v>150</v>
      </c>
      <c r="J283" s="2" t="n">
        <v>250</v>
      </c>
      <c r="K283" s="3" t="n">
        <v>397.2</v>
      </c>
      <c r="L283" s="4" t="n">
        <v>17625</v>
      </c>
      <c r="M283" s="3" t="n">
        <v>67.6841386130991</v>
      </c>
      <c r="N283" s="12" t="n">
        <v>0.022536170212766</v>
      </c>
      <c r="O283" s="4" t="n">
        <v>27.5</v>
      </c>
      <c r="P283" s="3" t="n">
        <v>326.505076813976</v>
      </c>
      <c r="Q283" s="4" t="n">
        <f aca="false">(P283-P$354)/P$355</f>
        <v>0.685908067200042</v>
      </c>
      <c r="R283" s="4" t="n">
        <v>0.2</v>
      </c>
      <c r="S283" s="13" t="n">
        <f aca="false">P283/200000</f>
        <v>0.00163252538406988</v>
      </c>
      <c r="W283" s="4" t="n">
        <f aca="false">$X$2*($X$3*$G283+$X$4*$B283^$X$5*$N283^$X$6)*$S283^$X$7</f>
        <v>0.305930957027117</v>
      </c>
      <c r="X283" s="4" t="n">
        <f aca="false">W283/$R283</f>
        <v>1.52965478513558</v>
      </c>
      <c r="Z283" s="4" t="n">
        <f aca="false">$AA$2*$B283^$AA$3*$S283^$AA$4*($AA$5*$N283^$AA$6+$AA$7)</f>
        <v>0.302888287336216</v>
      </c>
      <c r="AA283" s="4" t="n">
        <f aca="false">Z283/$R283</f>
        <v>1.51444143668108</v>
      </c>
      <c r="AC283" s="4" t="n">
        <f aca="false">$AD$2*($AD$3+$AD$4*$F283/($N283*'Sem TS MC2020'!P275))*($AD$5*$G283+$AD$6*$B283/$N283)*'Sem TS MC2020'!R275*($J283-$M283)/($J283-$M283-$H283)</f>
        <v>0.310939199162914</v>
      </c>
      <c r="AD283" s="4" t="n">
        <f aca="false">AC283/$R283</f>
        <v>1.55469599581457</v>
      </c>
      <c r="AE283" s="24" t="n">
        <f aca="false">AC283-$R283</f>
        <v>0.110939199162914</v>
      </c>
      <c r="AF283" s="25" t="n">
        <f aca="false">1/AD283</f>
        <v>0.643212565473971</v>
      </c>
      <c r="AG283" s="25" t="n">
        <f aca="false">AC283*(14.068*'Sem TS MC2020'!$P275^-0.457)/$R283</f>
        <v>1.4745283805689</v>
      </c>
      <c r="AH283" s="25"/>
      <c r="AP283" s="4" t="n">
        <f aca="false">$AQ$2*($AQ$3+$AQ$4*$F283/($N283*'Sem TS MC2020'!P275))*($AQ$5*$G283+$AQ$6*$B283/$N283)*('Sem TS MC2020'!P275^$AQ$7/200000)*($J283-$M283)/($J283-$M283-$H283)+('Sem TS MC2020'!P275-$C283/$AQ$8)*($AQ$5*$G283+$AQ$6*$B283/$N283)/200000</f>
        <v>0.322070068101845</v>
      </c>
      <c r="AQ283" s="4" t="n">
        <f aca="false">AP283/$R283</f>
        <v>1.61035034050923</v>
      </c>
      <c r="AR283" s="24" t="n">
        <f aca="false">AP283-$R283</f>
        <v>0.122070068101845</v>
      </c>
    </row>
    <row r="284" customFormat="false" ht="14.25" hidden="false" customHeight="false" outlineLevel="0" collapsed="false">
      <c r="B284" s="2" t="n">
        <v>15.9</v>
      </c>
      <c r="C284" s="3" t="n">
        <v>392</v>
      </c>
      <c r="D284" s="3" t="n">
        <v>2</v>
      </c>
      <c r="E284" s="2" t="n">
        <v>46</v>
      </c>
      <c r="F284" s="4" t="n">
        <v>3.35387948274239</v>
      </c>
      <c r="G284" s="2" t="n">
        <v>30</v>
      </c>
      <c r="H284" s="2" t="n">
        <v>38</v>
      </c>
      <c r="I284" s="1" t="n">
        <v>150</v>
      </c>
      <c r="J284" s="2" t="n">
        <v>250</v>
      </c>
      <c r="K284" s="3" t="n">
        <v>397.2</v>
      </c>
      <c r="L284" s="4" t="n">
        <v>17625</v>
      </c>
      <c r="M284" s="3" t="n">
        <v>67.6841386130991</v>
      </c>
      <c r="N284" s="12" t="n">
        <v>0.022536170212766</v>
      </c>
      <c r="O284" s="4" t="n">
        <v>31.4</v>
      </c>
      <c r="P284" s="3" t="n">
        <v>362.871830387689</v>
      </c>
      <c r="Q284" s="4" t="n">
        <f aca="false">(P284-P$354)/P$355</f>
        <v>0.990797205254354</v>
      </c>
      <c r="R284" s="4" t="n">
        <v>0.22</v>
      </c>
      <c r="S284" s="13" t="n">
        <f aca="false">P284/200000</f>
        <v>0.00181435915193844</v>
      </c>
      <c r="W284" s="4" t="n">
        <f aca="false">$X$2*($X$3*$G284+$X$4*$B284^$X$5*$N284^$X$6)*$S284^$X$7</f>
        <v>0.326528498897199</v>
      </c>
      <c r="X284" s="4" t="n">
        <f aca="false">W284/$R284</f>
        <v>1.48422044953272</v>
      </c>
      <c r="Z284" s="4" t="n">
        <f aca="false">$AA$2*$B284^$AA$3*$S284^$AA$4*($AA$5*$N284^$AA$6+$AA$7)</f>
        <v>0.323656730392182</v>
      </c>
      <c r="AA284" s="4" t="n">
        <f aca="false">Z284/$R284</f>
        <v>1.4711669563281</v>
      </c>
      <c r="AC284" s="4" t="n">
        <f aca="false">$AD$2*($AD$3+$AD$4*$F284/($N284*'Sem TS MC2020'!P276))*($AD$5*$G284+$AD$6*$B284/$N284)*'Sem TS MC2020'!R276*($J284-$M284)/($J284-$M284-$H284)</f>
        <v>0.340258873261634</v>
      </c>
      <c r="AD284" s="4" t="n">
        <f aca="false">AC284/$R284</f>
        <v>1.54663124209834</v>
      </c>
      <c r="AE284" s="24" t="n">
        <f aca="false">AC284-$R284</f>
        <v>0.120258873261634</v>
      </c>
      <c r="AF284" s="25" t="n">
        <f aca="false">1/AD284</f>
        <v>0.646566532978659</v>
      </c>
      <c r="AG284" s="25" t="n">
        <f aca="false">AC284*(14.068*'Sem TS MC2020'!$P276^-0.457)/$R284</f>
        <v>1.4201544256873</v>
      </c>
      <c r="AH284" s="25"/>
      <c r="AP284" s="4" t="n">
        <f aca="false">$AQ$2*($AQ$3+$AQ$4*$F284/($N284*'Sem TS MC2020'!P276))*($AQ$5*$G284+$AQ$6*$B284/$N284)*('Sem TS MC2020'!P276^$AQ$7/200000)*($J284-$M284)/($J284-$M284-$H284)+('Sem TS MC2020'!P276-$C284/$AQ$8)*($AQ$5*$G284+$AQ$6*$B284/$N284)/200000</f>
        <v>0.349054691889379</v>
      </c>
      <c r="AQ284" s="4" t="n">
        <f aca="false">AP284/$R284</f>
        <v>1.58661223586081</v>
      </c>
      <c r="AR284" s="24" t="n">
        <f aca="false">AP284-$R284</f>
        <v>0.129054691889379</v>
      </c>
    </row>
    <row r="285" customFormat="false" ht="14.25" hidden="false" customHeight="false" outlineLevel="0" collapsed="false">
      <c r="A285" s="1" t="s">
        <v>84</v>
      </c>
      <c r="B285" s="2" t="n">
        <v>15.9</v>
      </c>
      <c r="C285" s="3" t="n">
        <v>392</v>
      </c>
      <c r="D285" s="3" t="n">
        <v>2</v>
      </c>
      <c r="E285" s="2" t="n">
        <v>46</v>
      </c>
      <c r="F285" s="4" t="n">
        <v>3.35387948274239</v>
      </c>
      <c r="G285" s="2" t="n">
        <v>30</v>
      </c>
      <c r="H285" s="2" t="n">
        <v>38</v>
      </c>
      <c r="I285" s="1" t="n">
        <v>150</v>
      </c>
      <c r="J285" s="2" t="n">
        <v>250</v>
      </c>
      <c r="K285" s="3" t="n">
        <v>397.2</v>
      </c>
      <c r="L285" s="4" t="n">
        <v>17625</v>
      </c>
      <c r="M285" s="3" t="n">
        <v>67.6841386130991</v>
      </c>
      <c r="N285" s="12" t="n">
        <v>0.022536170212766</v>
      </c>
      <c r="O285" s="4" t="n">
        <v>27.5</v>
      </c>
      <c r="P285" s="3" t="n">
        <v>326.505076813976</v>
      </c>
      <c r="Q285" s="4" t="n">
        <f aca="false">(P285-P$354)/P$355</f>
        <v>0.685908067200042</v>
      </c>
      <c r="R285" s="4" t="n">
        <v>0.17</v>
      </c>
      <c r="S285" s="13" t="n">
        <f aca="false">P285/200000</f>
        <v>0.00163252538406988</v>
      </c>
      <c r="W285" s="4" t="n">
        <f aca="false">$X$2*($X$3*$G285+$X$4*$B285^$X$5*$N285^$X$6)*$S285^$X$7</f>
        <v>0.305930957027117</v>
      </c>
      <c r="X285" s="4" t="n">
        <f aca="false">W285/$R285</f>
        <v>1.79959386486539</v>
      </c>
      <c r="Z285" s="4" t="n">
        <f aca="false">$AA$2*$B285^$AA$3*$S285^$AA$4*($AA$5*$N285^$AA$6+$AA$7)</f>
        <v>0.302888287336216</v>
      </c>
      <c r="AA285" s="4" t="n">
        <f aca="false">Z285/$R285</f>
        <v>1.78169580786009</v>
      </c>
      <c r="AC285" s="4" t="n">
        <f aca="false">$AD$2*($AD$3+$AD$4*$F285/($N285*'Sem TS MC2020'!P277))*($AD$5*$G285+$AD$6*$B285/$N285)*'Sem TS MC2020'!R277*($J285-$M285)/($J285-$M285-$H285)</f>
        <v>0.310939199162914</v>
      </c>
      <c r="AD285" s="4" t="n">
        <f aca="false">AC285/$R285</f>
        <v>1.82905411272302</v>
      </c>
      <c r="AE285" s="24" t="n">
        <f aca="false">AC285-$R285</f>
        <v>0.140939199162914</v>
      </c>
      <c r="AF285" s="25" t="n">
        <f aca="false">1/AD285</f>
        <v>0.546730680652876</v>
      </c>
      <c r="AG285" s="25" t="n">
        <f aca="false">AC285*(14.068*'Sem TS MC2020'!$P277^-0.457)/$R285</f>
        <v>1.73473927125753</v>
      </c>
      <c r="AH285" s="25"/>
      <c r="AP285" s="4" t="n">
        <f aca="false">$AQ$2*($AQ$3+$AQ$4*$F285/($N285*'Sem TS MC2020'!P277))*($AQ$5*$G285+$AQ$6*$B285/$N285)*('Sem TS MC2020'!P277^$AQ$7/200000)*($J285-$M285)/($J285-$M285-$H285)+('Sem TS MC2020'!P277-$C285/$AQ$8)*($AQ$5*$G285+$AQ$6*$B285/$N285)/200000</f>
        <v>0.322070068101845</v>
      </c>
      <c r="AQ285" s="4" t="n">
        <f aca="false">AP285/$R285</f>
        <v>1.8945298123638</v>
      </c>
      <c r="AR285" s="24" t="n">
        <f aca="false">AP285-$R285</f>
        <v>0.152070068101845</v>
      </c>
    </row>
    <row r="286" customFormat="false" ht="14.25" hidden="false" customHeight="false" outlineLevel="0" collapsed="false">
      <c r="B286" s="2" t="n">
        <v>15.9</v>
      </c>
      <c r="C286" s="3" t="n">
        <v>392</v>
      </c>
      <c r="D286" s="3" t="n">
        <v>2</v>
      </c>
      <c r="E286" s="2" t="n">
        <v>46</v>
      </c>
      <c r="F286" s="4" t="n">
        <v>3.35387948274239</v>
      </c>
      <c r="G286" s="2" t="n">
        <v>30</v>
      </c>
      <c r="H286" s="2" t="n">
        <v>38</v>
      </c>
      <c r="I286" s="1" t="n">
        <v>150</v>
      </c>
      <c r="J286" s="2" t="n">
        <v>250</v>
      </c>
      <c r="K286" s="3" t="n">
        <v>397.2</v>
      </c>
      <c r="L286" s="4" t="n">
        <v>17625</v>
      </c>
      <c r="M286" s="3" t="n">
        <v>67.6841386130991</v>
      </c>
      <c r="N286" s="12" t="n">
        <v>0.022536170212766</v>
      </c>
      <c r="O286" s="4" t="n">
        <v>31.4</v>
      </c>
      <c r="P286" s="3" t="n">
        <v>362.871830387689</v>
      </c>
      <c r="Q286" s="4" t="n">
        <f aca="false">(P286-P$354)/P$355</f>
        <v>0.990797205254354</v>
      </c>
      <c r="R286" s="4" t="n">
        <v>0.21</v>
      </c>
      <c r="S286" s="13" t="n">
        <f aca="false">P286/200000</f>
        <v>0.00181435915193844</v>
      </c>
      <c r="W286" s="4" t="n">
        <f aca="false">$X$2*($X$3*$G286+$X$4*$B286^$X$5*$N286^$X$6)*$S286^$X$7</f>
        <v>0.326528498897199</v>
      </c>
      <c r="X286" s="4" t="n">
        <f aca="false">W286/$R286</f>
        <v>1.55489761379619</v>
      </c>
      <c r="Z286" s="4" t="n">
        <f aca="false">$AA$2*$B286^$AA$3*$S286^$AA$4*($AA$5*$N286^$AA$6+$AA$7)</f>
        <v>0.323656730392182</v>
      </c>
      <c r="AA286" s="4" t="n">
        <f aca="false">Z286/$R286</f>
        <v>1.54122252567706</v>
      </c>
      <c r="AC286" s="4" t="n">
        <f aca="false">$AD$2*($AD$3+$AD$4*$F286/($N286*'Sem TS MC2020'!P278))*($AD$5*$G286+$AD$6*$B286/$N286)*'Sem TS MC2020'!R278*($J286-$M286)/($J286-$M286-$H286)</f>
        <v>0.340258873261634</v>
      </c>
      <c r="AD286" s="4" t="n">
        <f aca="false">AC286/$R286</f>
        <v>1.62028034886493</v>
      </c>
      <c r="AE286" s="24" t="n">
        <f aca="false">AC286-$R286</f>
        <v>0.130258873261634</v>
      </c>
      <c r="AF286" s="25" t="n">
        <f aca="false">1/AD286</f>
        <v>0.617177145115993</v>
      </c>
      <c r="AG286" s="25" t="n">
        <f aca="false">AC286*(14.068*'Sem TS MC2020'!$P278^-0.457)/$R286</f>
        <v>1.4877808269105</v>
      </c>
      <c r="AH286" s="25"/>
      <c r="AP286" s="4" t="n">
        <f aca="false">$AQ$2*($AQ$3+$AQ$4*$F286/($N286*'Sem TS MC2020'!P278))*($AQ$5*$G286+$AQ$6*$B286/$N286)*('Sem TS MC2020'!P278^$AQ$7/200000)*($J286-$M286)/($J286-$M286-$H286)+('Sem TS MC2020'!P278-$C286/$AQ$8)*($AQ$5*$G286+$AQ$6*$B286/$N286)/200000</f>
        <v>0.349054691889379</v>
      </c>
      <c r="AQ286" s="4" t="n">
        <f aca="false">AP286/$R286</f>
        <v>1.66216519947323</v>
      </c>
      <c r="AR286" s="24" t="n">
        <f aca="false">AP286-$R286</f>
        <v>0.139054691889379</v>
      </c>
    </row>
    <row r="287" customFormat="false" ht="14.25" hidden="false" customHeight="false" outlineLevel="0" collapsed="false">
      <c r="A287" s="1" t="s">
        <v>85</v>
      </c>
      <c r="B287" s="2" t="n">
        <v>19.1</v>
      </c>
      <c r="C287" s="3" t="n">
        <v>392</v>
      </c>
      <c r="D287" s="3" t="n">
        <v>2</v>
      </c>
      <c r="E287" s="2" t="n">
        <v>40</v>
      </c>
      <c r="F287" s="4" t="n">
        <v>3.35387948274239</v>
      </c>
      <c r="G287" s="2" t="n">
        <v>30</v>
      </c>
      <c r="H287" s="2" t="n">
        <v>39.5</v>
      </c>
      <c r="I287" s="1" t="n">
        <v>150</v>
      </c>
      <c r="J287" s="2" t="n">
        <v>250</v>
      </c>
      <c r="K287" s="3" t="n">
        <v>573</v>
      </c>
      <c r="L287" s="4" t="n">
        <v>20250</v>
      </c>
      <c r="M287" s="3" t="n">
        <v>77.9189777125861</v>
      </c>
      <c r="N287" s="12" t="n">
        <v>0.0282962962962963</v>
      </c>
      <c r="O287" s="4" t="n">
        <v>23.4</v>
      </c>
      <c r="P287" s="3" t="n">
        <v>147.261960689549</v>
      </c>
      <c r="Q287" s="4" t="n">
        <f aca="false">(P287-P$354)/P$355</f>
        <v>-0.81681829154892</v>
      </c>
      <c r="R287" s="4" t="n">
        <v>0.17</v>
      </c>
      <c r="S287" s="13" t="n">
        <f aca="false">P287/200000</f>
        <v>0.000736309803447744</v>
      </c>
      <c r="W287" s="4" t="n">
        <f aca="false">$X$2*($X$3*$G287+$X$4*$B287^$X$5*$N287^$X$6)*$S287^$X$7</f>
        <v>0.192566293837444</v>
      </c>
      <c r="X287" s="4" t="n">
        <f aca="false">W287/$R287</f>
        <v>1.13274290492614</v>
      </c>
      <c r="Z287" s="4" t="n">
        <f aca="false">$AA$2*$B287^$AA$3*$S287^$AA$4*($AA$5*$N287^$AA$6+$AA$7)</f>
        <v>0.189919593715323</v>
      </c>
      <c r="AA287" s="4" t="n">
        <f aca="false">Z287/$R287</f>
        <v>1.11717408067837</v>
      </c>
      <c r="AC287" s="4" t="n">
        <f aca="false">$AD$2*($AD$3+$AD$4*$F287/($N287*'Sem TS MC2020'!P279))*($AD$5*$G287+$AD$6*$B287/$N287)*'Sem TS MC2020'!R279*($J287-$M287)/($J287-$M287-$H287)</f>
        <v>0.170239765887731</v>
      </c>
      <c r="AD287" s="4" t="n">
        <f aca="false">AC287/$R287</f>
        <v>1.00141038757489</v>
      </c>
      <c r="AE287" s="24" t="n">
        <f aca="false">AC287-$R287</f>
        <v>0.00023976588773128</v>
      </c>
      <c r="AF287" s="25" t="n">
        <f aca="false">1/AD287</f>
        <v>0.99859159881664</v>
      </c>
      <c r="AG287" s="25" t="n">
        <f aca="false">AC287*(14.068*'Sem TS MC2020'!$P279^-0.457)/$R287</f>
        <v>1.19447993547676</v>
      </c>
      <c r="AH287" s="25"/>
      <c r="AP287" s="4" t="n">
        <f aca="false">$AQ$2*($AQ$3+$AQ$4*$F287/($N287*'Sem TS MC2020'!P279))*($AQ$5*$G287+$AQ$6*$B287/$N287)*('Sem TS MC2020'!P279^$AQ$7/200000)*($J287-$M287)/($J287-$M287-$H287)+('Sem TS MC2020'!P279-$C287/$AQ$8)*($AQ$5*$G287+$AQ$6*$B287/$N287)/200000</f>
        <v>0.186828123086453</v>
      </c>
      <c r="AQ287" s="4" t="n">
        <f aca="false">AP287/$R287</f>
        <v>1.09898895933208</v>
      </c>
      <c r="AR287" s="24" t="n">
        <f aca="false">AP287-$R287</f>
        <v>0.0168281230864532</v>
      </c>
    </row>
    <row r="288" customFormat="false" ht="14.25" hidden="false" customHeight="false" outlineLevel="0" collapsed="false">
      <c r="B288" s="2" t="n">
        <v>19.1</v>
      </c>
      <c r="C288" s="3" t="n">
        <v>392</v>
      </c>
      <c r="D288" s="3" t="n">
        <v>2</v>
      </c>
      <c r="E288" s="2" t="n">
        <v>40</v>
      </c>
      <c r="F288" s="4" t="n">
        <v>3.35387948274239</v>
      </c>
      <c r="G288" s="2" t="n">
        <v>30</v>
      </c>
      <c r="H288" s="2" t="n">
        <v>39.5</v>
      </c>
      <c r="I288" s="1" t="n">
        <v>150</v>
      </c>
      <c r="J288" s="2" t="n">
        <v>250</v>
      </c>
      <c r="K288" s="3" t="n">
        <v>573</v>
      </c>
      <c r="L288" s="4" t="n">
        <v>20250</v>
      </c>
      <c r="M288" s="3" t="n">
        <v>77.9189777125861</v>
      </c>
      <c r="N288" s="12" t="n">
        <v>0.0282962962962963</v>
      </c>
      <c r="O288" s="4" t="n">
        <v>27.4</v>
      </c>
      <c r="P288" s="3" t="n">
        <v>196.132394675069</v>
      </c>
      <c r="Q288" s="4" t="n">
        <f aca="false">(P288-P$354)/P$355</f>
        <v>-0.407101640212852</v>
      </c>
      <c r="R288" s="4" t="n">
        <v>0.18</v>
      </c>
      <c r="S288" s="13" t="n">
        <f aca="false">P288/200000</f>
        <v>0.000980661973375345</v>
      </c>
      <c r="W288" s="4" t="n">
        <f aca="false">$X$2*($X$3*$G288+$X$4*$B288^$X$5*$N288^$X$6)*$S288^$X$7</f>
        <v>0.22981126969008</v>
      </c>
      <c r="X288" s="4" t="n">
        <f aca="false">W288/$R288</f>
        <v>1.276729276056</v>
      </c>
      <c r="Z288" s="4" t="n">
        <f aca="false">$AA$2*$B288^$AA$3*$S288^$AA$4*($AA$5*$N288^$AA$6+$AA$7)</f>
        <v>0.227368276125747</v>
      </c>
      <c r="AA288" s="4" t="n">
        <f aca="false">Z288/$R288</f>
        <v>1.26315708958748</v>
      </c>
      <c r="AC288" s="4" t="n">
        <f aca="false">$AD$2*($AD$3+$AD$4*$F288/($N288*'Sem TS MC2020'!P280))*($AD$5*$G288+$AD$6*$B288/$N288)*'Sem TS MC2020'!R280*($J288-$M288)/($J288-$M288-$H288)</f>
        <v>0.21130621397534</v>
      </c>
      <c r="AD288" s="4" t="n">
        <f aca="false">AC288/$R288</f>
        <v>1.17392341097411</v>
      </c>
      <c r="AE288" s="24" t="n">
        <f aca="false">AC288-$R288</f>
        <v>0.0313062139753402</v>
      </c>
      <c r="AF288" s="25" t="n">
        <f aca="false">1/AD288</f>
        <v>0.851844328728573</v>
      </c>
      <c r="AG288" s="25" t="n">
        <f aca="false">AC288*(14.068*'Sem TS MC2020'!$P280^-0.457)/$R288</f>
        <v>1.30282525970227</v>
      </c>
      <c r="AH288" s="25"/>
      <c r="AP288" s="4" t="n">
        <f aca="false">$AQ$2*($AQ$3+$AQ$4*$F288/($N288*'Sem TS MC2020'!P280))*($AQ$5*$G288+$AQ$6*$B288/$N288)*('Sem TS MC2020'!P280^$AQ$7/200000)*($J288-$M288)/($J288-$M288-$H288)+('Sem TS MC2020'!P280-$C288/$AQ$8)*($AQ$5*$G288+$AQ$6*$B288/$N288)/200000</f>
        <v>0.227945569686319</v>
      </c>
      <c r="AQ288" s="4" t="n">
        <f aca="false">AP288/$R288</f>
        <v>1.2663642760351</v>
      </c>
      <c r="AR288" s="24" t="n">
        <f aca="false">AP288-$R288</f>
        <v>0.0479455696863186</v>
      </c>
    </row>
    <row r="289" customFormat="false" ht="14.25" hidden="false" customHeight="false" outlineLevel="0" collapsed="false">
      <c r="B289" s="2" t="n">
        <v>19.1</v>
      </c>
      <c r="C289" s="3" t="n">
        <v>392</v>
      </c>
      <c r="D289" s="3" t="n">
        <v>2</v>
      </c>
      <c r="E289" s="2" t="n">
        <v>40</v>
      </c>
      <c r="F289" s="4" t="n">
        <v>3.35387948274239</v>
      </c>
      <c r="G289" s="2" t="n">
        <v>30</v>
      </c>
      <c r="H289" s="2" t="n">
        <v>39.5</v>
      </c>
      <c r="I289" s="1" t="n">
        <v>150</v>
      </c>
      <c r="J289" s="2" t="n">
        <v>250</v>
      </c>
      <c r="K289" s="3" t="n">
        <v>573</v>
      </c>
      <c r="L289" s="4" t="n">
        <v>20250</v>
      </c>
      <c r="M289" s="3" t="n">
        <v>77.9189777125861</v>
      </c>
      <c r="N289" s="12" t="n">
        <v>0.0282962962962963</v>
      </c>
      <c r="O289" s="4" t="n">
        <v>31.3</v>
      </c>
      <c r="P289" s="3" t="n">
        <v>243.781067810951</v>
      </c>
      <c r="Q289" s="4" t="n">
        <f aca="false">(P289-P$354)/P$355</f>
        <v>-0.00762790516018591</v>
      </c>
      <c r="R289" s="4" t="n">
        <v>0.2</v>
      </c>
      <c r="S289" s="13" t="n">
        <f aca="false">P289/200000</f>
        <v>0.00121890533905476</v>
      </c>
      <c r="W289" s="4" t="n">
        <f aca="false">$X$2*($X$3*$G289+$X$4*$B289^$X$5*$N289^$X$6)*$S289^$X$7</f>
        <v>0.262813318251536</v>
      </c>
      <c r="X289" s="4" t="n">
        <f aca="false">W289/$R289</f>
        <v>1.31406659125768</v>
      </c>
      <c r="Z289" s="4" t="n">
        <f aca="false">$AA$2*$B289^$AA$3*$S289^$AA$4*($AA$5*$N289^$AA$6+$AA$7)</f>
        <v>0.260642284519754</v>
      </c>
      <c r="AA289" s="4" t="n">
        <f aca="false">Z289/$R289</f>
        <v>1.30321142259877</v>
      </c>
      <c r="AC289" s="4" t="n">
        <f aca="false">$AD$2*($AD$3+$AD$4*$F289/($N289*'Sem TS MC2020'!P281))*($AD$5*$G289+$AD$6*$B289/$N289)*'Sem TS MC2020'!R281*($J289-$M289)/($J289-$M289-$H289)</f>
        <v>0.251346000860759</v>
      </c>
      <c r="AD289" s="4" t="n">
        <f aca="false">AC289/$R289</f>
        <v>1.25673000430379</v>
      </c>
      <c r="AE289" s="24" t="n">
        <f aca="false">AC289-$R289</f>
        <v>0.051346000860759</v>
      </c>
      <c r="AF289" s="25" t="n">
        <f aca="false">1/AD289</f>
        <v>0.795715863053641</v>
      </c>
      <c r="AG289" s="25" t="n">
        <f aca="false">AC289*(14.068*'Sem TS MC2020'!$P281^-0.457)/$R289</f>
        <v>1.31243146998009</v>
      </c>
      <c r="AH289" s="25"/>
      <c r="AP289" s="4" t="n">
        <f aca="false">$AQ$2*($AQ$3+$AQ$4*$F289/($N289*'Sem TS MC2020'!P281))*($AQ$5*$G289+$AQ$6*$B289/$N289)*('Sem TS MC2020'!P281^$AQ$7/200000)*($J289-$M289)/($J289-$M289-$H289)+('Sem TS MC2020'!P281-$C289/$AQ$8)*($AQ$5*$G289+$AQ$6*$B289/$N289)/200000</f>
        <v>0.266785930444537</v>
      </c>
      <c r="AQ289" s="4" t="n">
        <f aca="false">AP289/$R289</f>
        <v>1.33392965222269</v>
      </c>
      <c r="AR289" s="24" t="n">
        <f aca="false">AP289-$R289</f>
        <v>0.0667859304445371</v>
      </c>
    </row>
    <row r="290" customFormat="false" ht="14.25" hidden="false" customHeight="false" outlineLevel="0" collapsed="false">
      <c r="B290" s="2" t="n">
        <v>19.1</v>
      </c>
      <c r="C290" s="3" t="n">
        <v>392</v>
      </c>
      <c r="D290" s="3" t="n">
        <v>2</v>
      </c>
      <c r="E290" s="2" t="n">
        <v>40</v>
      </c>
      <c r="F290" s="4" t="n">
        <v>3.35387948274239</v>
      </c>
      <c r="G290" s="2" t="n">
        <v>30</v>
      </c>
      <c r="H290" s="2" t="n">
        <v>39.5</v>
      </c>
      <c r="I290" s="1" t="n">
        <v>150</v>
      </c>
      <c r="J290" s="2" t="n">
        <v>250</v>
      </c>
      <c r="K290" s="3" t="n">
        <v>573</v>
      </c>
      <c r="L290" s="4" t="n">
        <v>20250</v>
      </c>
      <c r="M290" s="3" t="n">
        <v>77.9189777125861</v>
      </c>
      <c r="N290" s="12" t="n">
        <v>0.0282962962962963</v>
      </c>
      <c r="O290" s="4" t="n">
        <v>35.3</v>
      </c>
      <c r="P290" s="3" t="n">
        <v>292.651501796471</v>
      </c>
      <c r="Q290" s="4" t="n">
        <f aca="false">(P290-P$354)/P$355</f>
        <v>0.402088746175881</v>
      </c>
      <c r="R290" s="4" t="n">
        <v>0.2</v>
      </c>
      <c r="S290" s="13" t="n">
        <f aca="false">P290/200000</f>
        <v>0.00146325750898236</v>
      </c>
      <c r="W290" s="4" t="n">
        <f aca="false">$X$2*($X$3*$G290+$X$4*$B290^$X$5*$N290^$X$6)*$S290^$X$7</f>
        <v>0.29417570449969</v>
      </c>
      <c r="X290" s="4" t="n">
        <f aca="false">W290/$R290</f>
        <v>1.47087852249845</v>
      </c>
      <c r="Z290" s="4" t="n">
        <f aca="false">$AA$2*$B290^$AA$3*$S290^$AA$4*($AA$5*$N290^$AA$6+$AA$7)</f>
        <v>0.292332543137701</v>
      </c>
      <c r="AA290" s="4" t="n">
        <f aca="false">Z290/$R290</f>
        <v>1.4616627156885</v>
      </c>
      <c r="AC290" s="4" t="n">
        <f aca="false">$AD$2*($AD$3+$AD$4*$F290/($N290*'Sem TS MC2020'!P282))*($AD$5*$G290+$AD$6*$B290/$N290)*'Sem TS MC2020'!R282*($J290-$M290)/($J290-$M290-$H290)</f>
        <v>0.292412448948368</v>
      </c>
      <c r="AD290" s="4" t="n">
        <f aca="false">AC290/$R290</f>
        <v>1.46206224474184</v>
      </c>
      <c r="AE290" s="24" t="n">
        <f aca="false">AC290-$R290</f>
        <v>0.0924124489483679</v>
      </c>
      <c r="AF290" s="25" t="n">
        <f aca="false">1/AD290</f>
        <v>0.683965408173558</v>
      </c>
      <c r="AG290" s="25" t="n">
        <f aca="false">AC290*(14.068*'Sem TS MC2020'!$P282^-0.457)/$R290</f>
        <v>1.44521092459513</v>
      </c>
      <c r="AH290" s="25"/>
      <c r="AP290" s="4" t="n">
        <f aca="false">$AQ$2*($AQ$3+$AQ$4*$F290/($N290*'Sem TS MC2020'!P282))*($AQ$5*$G290+$AQ$6*$B290/$N290)*('Sem TS MC2020'!P282^$AQ$7/200000)*($J290-$M290)/($J290-$M290-$H290)+('Sem TS MC2020'!P282-$C290/$AQ$8)*($AQ$5*$G290+$AQ$6*$B290/$N290)/200000</f>
        <v>0.305568955177351</v>
      </c>
      <c r="AQ290" s="4" t="n">
        <f aca="false">AP290/$R290</f>
        <v>1.52784477588675</v>
      </c>
      <c r="AR290" s="24" t="n">
        <f aca="false">AP290-$R290</f>
        <v>0.105568955177351</v>
      </c>
    </row>
    <row r="291" customFormat="false" ht="14.25" hidden="false" customHeight="false" outlineLevel="0" collapsed="false">
      <c r="B291" s="2" t="n">
        <v>19.1</v>
      </c>
      <c r="C291" s="3" t="n">
        <v>392</v>
      </c>
      <c r="D291" s="3" t="n">
        <v>2</v>
      </c>
      <c r="E291" s="2" t="n">
        <v>40</v>
      </c>
      <c r="F291" s="4" t="n">
        <v>3.35387948274239</v>
      </c>
      <c r="G291" s="2" t="n">
        <v>30</v>
      </c>
      <c r="H291" s="2" t="n">
        <v>39.5</v>
      </c>
      <c r="I291" s="1" t="n">
        <v>150</v>
      </c>
      <c r="J291" s="2" t="n">
        <v>250</v>
      </c>
      <c r="K291" s="3" t="n">
        <v>573</v>
      </c>
      <c r="L291" s="4" t="n">
        <v>20250</v>
      </c>
      <c r="M291" s="3" t="n">
        <v>77.9189777125861</v>
      </c>
      <c r="N291" s="12" t="n">
        <v>0.0282962962962963</v>
      </c>
      <c r="O291" s="4" t="n">
        <v>39.1</v>
      </c>
      <c r="P291" s="3" t="n">
        <v>339.078414082716</v>
      </c>
      <c r="Q291" s="4" t="n">
        <f aca="false">(P291-P$354)/P$355</f>
        <v>0.791319564945146</v>
      </c>
      <c r="R291" s="4" t="n">
        <v>0.25</v>
      </c>
      <c r="S291" s="13" t="n">
        <f aca="false">P291/200000</f>
        <v>0.00169539207041358</v>
      </c>
      <c r="W291" s="4" t="n">
        <f aca="false">$X$2*($X$3*$G291+$X$4*$B291^$X$5*$N291^$X$6)*$S291^$X$7</f>
        <v>0.322154033617502</v>
      </c>
      <c r="X291" s="4" t="n">
        <f aca="false">W291/$R291</f>
        <v>1.28861613447001</v>
      </c>
      <c r="Z291" s="4" t="n">
        <f aca="false">$AA$2*$B291^$AA$3*$S291^$AA$4*($AA$5*$N291^$AA$6+$AA$7)</f>
        <v>0.320654529608791</v>
      </c>
      <c r="AA291" s="4" t="n">
        <f aca="false">Z291/$R291</f>
        <v>1.28261811843516</v>
      </c>
      <c r="AC291" s="4" t="n">
        <f aca="false">$AD$2*($AD$3+$AD$4*$F291/($N291*'Sem TS MC2020'!P283))*($AD$5*$G291+$AD$6*$B291/$N291)*'Sem TS MC2020'!R283*($J291-$M291)/($J291-$M291-$H291)</f>
        <v>0.331425574631597</v>
      </c>
      <c r="AD291" s="4" t="n">
        <f aca="false">AC291/$R291</f>
        <v>1.32570229852639</v>
      </c>
      <c r="AE291" s="24" t="n">
        <f aca="false">AC291-$R291</f>
        <v>0.0814255746315965</v>
      </c>
      <c r="AF291" s="25" t="n">
        <f aca="false">1/AD291</f>
        <v>0.754317165408533</v>
      </c>
      <c r="AG291" s="25" t="n">
        <f aca="false">AC291*(14.068*'Sem TS MC2020'!$P283^-0.457)/$R291</f>
        <v>1.25060351494389</v>
      </c>
      <c r="AH291" s="25"/>
      <c r="AP291" s="4" t="n">
        <f aca="false">$AQ$2*($AQ$3+$AQ$4*$F291/($N291*'Sem TS MC2020'!P283))*($AQ$5*$G291+$AQ$6*$B291/$N291)*('Sem TS MC2020'!P283^$AQ$7/200000)*($J291-$M291)/($J291-$M291-$H291)+('Sem TS MC2020'!P283-$C291/$AQ$8)*($AQ$5*$G291+$AQ$6*$B291/$N291)/200000</f>
        <v>0.341576659304624</v>
      </c>
      <c r="AQ291" s="4" t="n">
        <f aca="false">AP291/$R291</f>
        <v>1.3663066372185</v>
      </c>
      <c r="AR291" s="24" t="n">
        <f aca="false">AP291-$R291</f>
        <v>0.0915766593046241</v>
      </c>
    </row>
    <row r="292" customFormat="false" ht="14.25" hidden="false" customHeight="false" outlineLevel="0" collapsed="false">
      <c r="B292" s="2" t="n">
        <v>19.1</v>
      </c>
      <c r="C292" s="3" t="n">
        <v>392</v>
      </c>
      <c r="D292" s="3" t="n">
        <v>2</v>
      </c>
      <c r="E292" s="2" t="n">
        <v>40</v>
      </c>
      <c r="F292" s="4" t="n">
        <v>3.35387948274239</v>
      </c>
      <c r="G292" s="2" t="n">
        <v>30</v>
      </c>
      <c r="H292" s="2" t="n">
        <v>39.5</v>
      </c>
      <c r="I292" s="1" t="n">
        <v>150</v>
      </c>
      <c r="J292" s="2" t="n">
        <v>250</v>
      </c>
      <c r="K292" s="3" t="n">
        <v>573</v>
      </c>
      <c r="L292" s="4" t="n">
        <v>20250</v>
      </c>
      <c r="M292" s="3" t="n">
        <v>77.9189777125861</v>
      </c>
      <c r="N292" s="12" t="n">
        <v>0.0282962962962963</v>
      </c>
      <c r="O292" s="4" t="n">
        <v>43.1</v>
      </c>
      <c r="P292" s="3" t="n">
        <v>368.149462034831</v>
      </c>
      <c r="Q292" s="4" t="n">
        <f aca="false">(P292-P$354)/P$355</f>
        <v>1.03504345782688</v>
      </c>
      <c r="R292" s="4" t="n">
        <v>0.27</v>
      </c>
      <c r="S292" s="13" t="n">
        <f aca="false">P292/200000</f>
        <v>0.00184074731017416</v>
      </c>
      <c r="W292" s="4" t="n">
        <f aca="false">$X$2*($X$3*$G292+$X$4*$B292^$X$5*$N292^$X$6)*$S292^$X$7</f>
        <v>0.33892632148312</v>
      </c>
      <c r="X292" s="4" t="n">
        <f aca="false">W292/$R292</f>
        <v>1.25528267215971</v>
      </c>
      <c r="Z292" s="4" t="n">
        <f aca="false">$AA$2*$B292^$AA$3*$S292^$AA$4*($AA$5*$N292^$AA$6+$AA$7)</f>
        <v>0.337654131545695</v>
      </c>
      <c r="AA292" s="4" t="n">
        <f aca="false">Z292/$R292</f>
        <v>1.25057085757665</v>
      </c>
      <c r="AC292" s="4" t="n">
        <f aca="false">$AD$2*($AD$3+$AD$4*$F292/($N292*'Sem TS MC2020'!P284))*($AD$5*$G292+$AD$6*$B292/$N292)*'Sem TS MC2020'!R284*($J292-$M292)/($J292-$M292-$H292)</f>
        <v>0.355854346472085</v>
      </c>
      <c r="AD292" s="4" t="n">
        <f aca="false">AC292/$R292</f>
        <v>1.31797906100772</v>
      </c>
      <c r="AE292" s="24" t="n">
        <f aca="false">AC292-$R292</f>
        <v>0.0858543464720852</v>
      </c>
      <c r="AF292" s="25" t="n">
        <f aca="false">1/AD292</f>
        <v>0.758737395444965</v>
      </c>
      <c r="AG292" s="25" t="n">
        <f aca="false">AC292*(14.068*'Sem TS MC2020'!$P284^-0.457)/$R292</f>
        <v>1.2102004314318</v>
      </c>
      <c r="AH292" s="25"/>
      <c r="AP292" s="4" t="n">
        <f aca="false">$AQ$2*($AQ$3+$AQ$4*$F292/($N292*'Sem TS MC2020'!P284))*($AQ$5*$G292+$AQ$6*$B292/$N292)*('Sem TS MC2020'!P284^$AQ$7/200000)*($J292-$M292)/($J292-$M292-$H292)+('Sem TS MC2020'!P284-$C292/$AQ$8)*($AQ$5*$G292+$AQ$6*$B292/$N292)/200000</f>
        <v>0.363759237923015</v>
      </c>
      <c r="AQ292" s="4" t="n">
        <f aca="false">AP292/$R292</f>
        <v>1.34725643675191</v>
      </c>
      <c r="AR292" s="24" t="n">
        <f aca="false">AP292-$R292</f>
        <v>0.0937592379230148</v>
      </c>
    </row>
    <row r="293" customFormat="false" ht="14.25" hidden="false" customHeight="false" outlineLevel="0" collapsed="false">
      <c r="A293" s="1" t="s">
        <v>86</v>
      </c>
      <c r="B293" s="2" t="n">
        <v>19.1</v>
      </c>
      <c r="C293" s="3" t="n">
        <v>392</v>
      </c>
      <c r="D293" s="3" t="n">
        <v>2</v>
      </c>
      <c r="E293" s="2" t="n">
        <v>40</v>
      </c>
      <c r="F293" s="4" t="n">
        <v>3.35387948274239</v>
      </c>
      <c r="G293" s="2" t="n">
        <v>30</v>
      </c>
      <c r="H293" s="2" t="n">
        <v>39.5</v>
      </c>
      <c r="I293" s="1" t="n">
        <v>150</v>
      </c>
      <c r="J293" s="2" t="n">
        <v>250</v>
      </c>
      <c r="K293" s="3" t="n">
        <v>573</v>
      </c>
      <c r="L293" s="4" t="n">
        <v>20250</v>
      </c>
      <c r="M293" s="3" t="n">
        <v>77.9189777125861</v>
      </c>
      <c r="N293" s="12" t="n">
        <v>0.0282962962962963</v>
      </c>
      <c r="O293" s="4" t="n">
        <v>31.3</v>
      </c>
      <c r="P293" s="3" t="n">
        <v>243.781067810951</v>
      </c>
      <c r="Q293" s="4" t="n">
        <f aca="false">(P293-P$354)/P$355</f>
        <v>-0.00762790516018591</v>
      </c>
      <c r="R293" s="4" t="n">
        <v>0.18</v>
      </c>
      <c r="S293" s="13" t="n">
        <f aca="false">P293/200000</f>
        <v>0.00121890533905476</v>
      </c>
      <c r="W293" s="4" t="n">
        <f aca="false">$X$2*($X$3*$G293+$X$4*$B293^$X$5*$N293^$X$6)*$S293^$X$7</f>
        <v>0.262813318251536</v>
      </c>
      <c r="X293" s="4" t="n">
        <f aca="false">W293/$R293</f>
        <v>1.46007399028631</v>
      </c>
      <c r="Z293" s="4" t="n">
        <f aca="false">$AA$2*$B293^$AA$3*$S293^$AA$4*($AA$5*$N293^$AA$6+$AA$7)</f>
        <v>0.260642284519754</v>
      </c>
      <c r="AA293" s="4" t="n">
        <f aca="false">Z293/$R293</f>
        <v>1.44801269177641</v>
      </c>
      <c r="AC293" s="4" t="n">
        <f aca="false">$AD$2*($AD$3+$AD$4*$F293/($N293*'Sem TS MC2020'!P285))*($AD$5*$G293+$AD$6*$B293/$N293)*'Sem TS MC2020'!R285*($J293-$M293)/($J293-$M293-$H293)</f>
        <v>0.251346000860759</v>
      </c>
      <c r="AD293" s="4" t="n">
        <f aca="false">AC293/$R293</f>
        <v>1.39636667144866</v>
      </c>
      <c r="AE293" s="24" t="n">
        <f aca="false">AC293-$R293</f>
        <v>0.071346000860759</v>
      </c>
      <c r="AF293" s="25" t="n">
        <f aca="false">1/AD293</f>
        <v>0.716144276748277</v>
      </c>
      <c r="AG293" s="25" t="n">
        <f aca="false">AC293*(14.068*'Sem TS MC2020'!$P285^-0.457)/$R293</f>
        <v>1.45825718886677</v>
      </c>
      <c r="AH293" s="25"/>
      <c r="AP293" s="4" t="n">
        <f aca="false">$AQ$2*($AQ$3+$AQ$4*$F293/($N293*'Sem TS MC2020'!P285))*($AQ$5*$G293+$AQ$6*$B293/$N293)*('Sem TS MC2020'!P285^$AQ$7/200000)*($J293-$M293)/($J293-$M293-$H293)+('Sem TS MC2020'!P285-$C293/$AQ$8)*($AQ$5*$G293+$AQ$6*$B293/$N293)/200000</f>
        <v>0.266785930444537</v>
      </c>
      <c r="AQ293" s="4" t="n">
        <f aca="false">AP293/$R293</f>
        <v>1.48214405802521</v>
      </c>
      <c r="AR293" s="24" t="n">
        <f aca="false">AP293-$R293</f>
        <v>0.0867859304445371</v>
      </c>
    </row>
    <row r="294" customFormat="false" ht="14.25" hidden="false" customHeight="false" outlineLevel="0" collapsed="false">
      <c r="B294" s="2" t="n">
        <v>19.1</v>
      </c>
      <c r="C294" s="3" t="n">
        <v>392</v>
      </c>
      <c r="D294" s="3" t="n">
        <v>2</v>
      </c>
      <c r="E294" s="2" t="n">
        <v>40</v>
      </c>
      <c r="F294" s="4" t="n">
        <v>3.35387948274239</v>
      </c>
      <c r="G294" s="2" t="n">
        <v>30</v>
      </c>
      <c r="H294" s="2" t="n">
        <v>39.5</v>
      </c>
      <c r="I294" s="1" t="n">
        <v>150</v>
      </c>
      <c r="J294" s="2" t="n">
        <v>250</v>
      </c>
      <c r="K294" s="3" t="n">
        <v>573</v>
      </c>
      <c r="L294" s="4" t="n">
        <v>20250</v>
      </c>
      <c r="M294" s="3" t="n">
        <v>77.9189777125861</v>
      </c>
      <c r="N294" s="12" t="n">
        <v>0.0282962962962963</v>
      </c>
      <c r="O294" s="4" t="n">
        <v>35.1</v>
      </c>
      <c r="P294" s="3" t="n">
        <v>290.207980097195</v>
      </c>
      <c r="Q294" s="4" t="n">
        <f aca="false">(P294-P$354)/P$355</f>
        <v>0.381602913609078</v>
      </c>
      <c r="R294" s="4" t="n">
        <v>0.19</v>
      </c>
      <c r="S294" s="13" t="n">
        <f aca="false">P294/200000</f>
        <v>0.00145103990048598</v>
      </c>
      <c r="W294" s="4" t="n">
        <f aca="false">$X$2*($X$3*$G294+$X$4*$B294^$X$5*$N294^$X$6)*$S294^$X$7</f>
        <v>0.292657766788178</v>
      </c>
      <c r="X294" s="4" t="n">
        <f aca="false">W294/$R294</f>
        <v>1.54030403572725</v>
      </c>
      <c r="Z294" s="4" t="n">
        <f aca="false">$AA$2*$B294^$AA$3*$S294^$AA$4*($AA$5*$N294^$AA$6+$AA$7)</f>
        <v>0.290797294281135</v>
      </c>
      <c r="AA294" s="4" t="n">
        <f aca="false">Z294/$R294</f>
        <v>1.53051207516387</v>
      </c>
      <c r="AC294" s="4" t="n">
        <f aca="false">$AD$2*($AD$3+$AD$4*$F294/($N294*'Sem TS MC2020'!P286))*($AD$5*$G294+$AD$6*$B294/$N294)*'Sem TS MC2020'!R286*($J294-$M294)/($J294-$M294-$H294)</f>
        <v>0.290359126543987</v>
      </c>
      <c r="AD294" s="4" t="n">
        <f aca="false">AC294/$R294</f>
        <v>1.52820592917888</v>
      </c>
      <c r="AE294" s="24" t="n">
        <f aca="false">AC294-$R294</f>
        <v>0.100359126543987</v>
      </c>
      <c r="AF294" s="25" t="n">
        <f aca="false">1/AD294</f>
        <v>0.654362073138474</v>
      </c>
      <c r="AG294" s="25" t="n">
        <f aca="false">AC294*(14.068*'Sem TS MC2020'!$P286^-0.457)/$R294</f>
        <v>1.51451975297076</v>
      </c>
      <c r="AH294" s="25"/>
      <c r="AP294" s="4" t="n">
        <f aca="false">$AQ$2*($AQ$3+$AQ$4*$F294/($N294*'Sem TS MC2020'!P286))*($AQ$5*$G294+$AQ$6*$B294/$N294)*('Sem TS MC2020'!P286^$AQ$7/200000)*($J294-$M294)/($J294-$M294-$H294)+('Sem TS MC2020'!P286-$C294/$AQ$8)*($AQ$5*$G294+$AQ$6*$B294/$N294)/200000</f>
        <v>0.303652385935247</v>
      </c>
      <c r="AQ294" s="4" t="n">
        <f aca="false">AP294/$R294</f>
        <v>1.59817045229077</v>
      </c>
      <c r="AR294" s="24" t="n">
        <f aca="false">AP294-$R294</f>
        <v>0.113652385935247</v>
      </c>
    </row>
    <row r="295" customFormat="false" ht="14.25" hidden="false" customHeight="false" outlineLevel="0" collapsed="false">
      <c r="B295" s="2" t="n">
        <v>19.1</v>
      </c>
      <c r="C295" s="3" t="n">
        <v>392</v>
      </c>
      <c r="D295" s="3" t="n">
        <v>2</v>
      </c>
      <c r="E295" s="2" t="n">
        <v>40</v>
      </c>
      <c r="F295" s="4" t="n">
        <v>3.35387948274239</v>
      </c>
      <c r="G295" s="2" t="n">
        <v>30</v>
      </c>
      <c r="H295" s="2" t="n">
        <v>39.5</v>
      </c>
      <c r="I295" s="1" t="n">
        <v>150</v>
      </c>
      <c r="J295" s="2" t="n">
        <v>250</v>
      </c>
      <c r="K295" s="3" t="n">
        <v>573</v>
      </c>
      <c r="L295" s="4" t="n">
        <v>20250</v>
      </c>
      <c r="M295" s="3" t="n">
        <v>77.9189777125861</v>
      </c>
      <c r="N295" s="12" t="n">
        <v>0.0282962962962963</v>
      </c>
      <c r="O295" s="4" t="n">
        <v>39.1</v>
      </c>
      <c r="P295" s="3" t="n">
        <v>339.078414082716</v>
      </c>
      <c r="Q295" s="4" t="n">
        <f aca="false">(P295-P$354)/P$355</f>
        <v>0.791319564945146</v>
      </c>
      <c r="R295" s="4" t="n">
        <v>0.21</v>
      </c>
      <c r="S295" s="13" t="n">
        <f aca="false">P295/200000</f>
        <v>0.00169539207041358</v>
      </c>
      <c r="W295" s="4" t="n">
        <f aca="false">$X$2*($X$3*$G295+$X$4*$B295^$X$5*$N295^$X$6)*$S295^$X$7</f>
        <v>0.322154033617502</v>
      </c>
      <c r="X295" s="4" t="n">
        <f aca="false">W295/$R295</f>
        <v>1.53406682675001</v>
      </c>
      <c r="Z295" s="4" t="n">
        <f aca="false">$AA$2*$B295^$AA$3*$S295^$AA$4*($AA$5*$N295^$AA$6+$AA$7)</f>
        <v>0.320654529608791</v>
      </c>
      <c r="AA295" s="4" t="n">
        <f aca="false">Z295/$R295</f>
        <v>1.52692633147043</v>
      </c>
      <c r="AC295" s="4" t="n">
        <f aca="false">$AD$2*($AD$3+$AD$4*$F295/($N295*'Sem TS MC2020'!P287))*($AD$5*$G295+$AD$6*$B295/$N295)*'Sem TS MC2020'!R287*($J295-$M295)/($J295-$M295-$H295)</f>
        <v>0.331425574631597</v>
      </c>
      <c r="AD295" s="4" t="n">
        <f aca="false">AC295/$R295</f>
        <v>1.57821702205522</v>
      </c>
      <c r="AE295" s="24" t="n">
        <f aca="false">AC295-$R295</f>
        <v>0.121425574631597</v>
      </c>
      <c r="AF295" s="25" t="n">
        <f aca="false">1/AD295</f>
        <v>0.633626418943168</v>
      </c>
      <c r="AG295" s="25" t="n">
        <f aca="false">AC295*(14.068*'Sem TS MC2020'!$P287^-0.457)/$R295</f>
        <v>1.48881370826654</v>
      </c>
      <c r="AH295" s="25"/>
      <c r="AP295" s="4" t="n">
        <f aca="false">$AQ$2*($AQ$3+$AQ$4*$F295/($N295*'Sem TS MC2020'!P287))*($AQ$5*$G295+$AQ$6*$B295/$N295)*('Sem TS MC2020'!P287^$AQ$7/200000)*($J295-$M295)/($J295-$M295-$H295)+('Sem TS MC2020'!P287-$C295/$AQ$8)*($AQ$5*$G295+$AQ$6*$B295/$N295)/200000</f>
        <v>0.341576659304624</v>
      </c>
      <c r="AQ295" s="4" t="n">
        <f aca="false">AP295/$R295</f>
        <v>1.62655552049821</v>
      </c>
      <c r="AR295" s="24" t="n">
        <f aca="false">AP295-$R295</f>
        <v>0.131576659304624</v>
      </c>
    </row>
    <row r="296" customFormat="false" ht="14.25" hidden="false" customHeight="false" outlineLevel="0" collapsed="false">
      <c r="B296" s="2" t="n">
        <v>19.1</v>
      </c>
      <c r="C296" s="3" t="n">
        <v>392</v>
      </c>
      <c r="D296" s="3" t="n">
        <v>2</v>
      </c>
      <c r="E296" s="2" t="n">
        <v>40</v>
      </c>
      <c r="F296" s="4" t="n">
        <v>3.35387948274239</v>
      </c>
      <c r="G296" s="2" t="n">
        <v>30</v>
      </c>
      <c r="H296" s="2" t="n">
        <v>39.5</v>
      </c>
      <c r="I296" s="1" t="n">
        <v>150</v>
      </c>
      <c r="J296" s="2" t="n">
        <v>250</v>
      </c>
      <c r="K296" s="3" t="n">
        <v>573</v>
      </c>
      <c r="L296" s="4" t="n">
        <v>20250</v>
      </c>
      <c r="M296" s="3" t="n">
        <v>77.9189777125861</v>
      </c>
      <c r="N296" s="12" t="n">
        <v>0.0282962962962963</v>
      </c>
      <c r="O296" s="4" t="n">
        <v>43.1</v>
      </c>
      <c r="P296" s="3" t="n">
        <v>368.149462034831</v>
      </c>
      <c r="Q296" s="4" t="n">
        <f aca="false">(P296-P$354)/P$355</f>
        <v>1.03504345782688</v>
      </c>
      <c r="R296" s="4" t="n">
        <v>0.26</v>
      </c>
      <c r="S296" s="13" t="n">
        <f aca="false">P296/200000</f>
        <v>0.00184074731017416</v>
      </c>
      <c r="W296" s="4" t="n">
        <f aca="false">$X$2*($X$3*$G296+$X$4*$B296^$X$5*$N296^$X$6)*$S296^$X$7</f>
        <v>0.33892632148312</v>
      </c>
      <c r="X296" s="4" t="n">
        <f aca="false">W296/$R296</f>
        <v>1.30356277493508</v>
      </c>
      <c r="Z296" s="4" t="n">
        <f aca="false">$AA$2*$B296^$AA$3*$S296^$AA$4*($AA$5*$N296^$AA$6+$AA$7)</f>
        <v>0.337654131545695</v>
      </c>
      <c r="AA296" s="4" t="n">
        <f aca="false">Z296/$R296</f>
        <v>1.29866973671421</v>
      </c>
      <c r="AC296" s="4" t="n">
        <f aca="false">$AD$2*($AD$3+$AD$4*$F296/($N296*'Sem TS MC2020'!P288))*($AD$5*$G296+$AD$6*$B296/$N296)*'Sem TS MC2020'!R288*($J296-$M296)/($J296-$M296-$H296)</f>
        <v>0.355854346472085</v>
      </c>
      <c r="AD296" s="4" t="n">
        <f aca="false">AC296/$R296</f>
        <v>1.36867056335417</v>
      </c>
      <c r="AE296" s="24" t="n">
        <f aca="false">AC296-$R296</f>
        <v>0.0958543464720852</v>
      </c>
      <c r="AF296" s="25" t="n">
        <f aca="false">1/AD296</f>
        <v>0.730636010428485</v>
      </c>
      <c r="AG296" s="25" t="n">
        <f aca="false">AC296*(14.068*'Sem TS MC2020'!$P288^-0.457)/$R296</f>
        <v>1.25674660187148</v>
      </c>
      <c r="AH296" s="25"/>
      <c r="AP296" s="4" t="n">
        <f aca="false">$AQ$2*($AQ$3+$AQ$4*$F296/($N296*'Sem TS MC2020'!P288))*($AQ$5*$G296+$AQ$6*$B296/$N296)*('Sem TS MC2020'!P288^$AQ$7/200000)*($J296-$M296)/($J296-$M296-$H296)+('Sem TS MC2020'!P288-$C296/$AQ$8)*($AQ$5*$G296+$AQ$6*$B296/$N296)/200000</f>
        <v>0.363759237923015</v>
      </c>
      <c r="AQ296" s="4" t="n">
        <f aca="false">AP296/$R296</f>
        <v>1.3990739920116</v>
      </c>
      <c r="AR296" s="24" t="n">
        <f aca="false">AP296-$R296</f>
        <v>0.103759237923015</v>
      </c>
    </row>
    <row r="297" customFormat="false" ht="14.25" hidden="false" customHeight="false" outlineLevel="0" collapsed="false">
      <c r="A297" s="1" t="s">
        <v>87</v>
      </c>
      <c r="B297" s="2" t="n">
        <v>19.1</v>
      </c>
      <c r="C297" s="3" t="n">
        <v>276</v>
      </c>
      <c r="D297" s="3" t="n">
        <v>2</v>
      </c>
      <c r="E297" s="2" t="n">
        <v>69.8</v>
      </c>
      <c r="F297" s="4" t="n">
        <v>2.90032882517908</v>
      </c>
      <c r="G297" s="2" t="n">
        <v>31.8</v>
      </c>
      <c r="H297" s="2" t="n">
        <v>41.4</v>
      </c>
      <c r="I297" s="1" t="n">
        <v>152.4</v>
      </c>
      <c r="J297" s="2" t="n">
        <v>381</v>
      </c>
      <c r="K297" s="3" t="n">
        <v>568</v>
      </c>
      <c r="L297" s="4" t="n">
        <v>20863.56</v>
      </c>
      <c r="M297" s="3" t="n">
        <v>105.951899677992</v>
      </c>
      <c r="N297" s="12" t="n">
        <v>0.0272245005166903</v>
      </c>
      <c r="O297" s="4" t="n">
        <v>35.0889</v>
      </c>
      <c r="P297" s="3" t="n">
        <v>131.312184311943</v>
      </c>
      <c r="Q297" s="4" t="n">
        <f aca="false">(P297-P$354)/P$355</f>
        <v>-0.950536951975135</v>
      </c>
      <c r="R297" s="4" t="n">
        <v>0.17</v>
      </c>
      <c r="S297" s="13" t="n">
        <f aca="false">P297/200000</f>
        <v>0.000656560921559717</v>
      </c>
      <c r="W297" s="4" t="n">
        <f aca="false">$X$2*($X$3*$G297+$X$4*$B297^$X$5*$N297^$X$6)*$S297^$X$7</f>
        <v>0.182316488701642</v>
      </c>
      <c r="X297" s="4" t="n">
        <f aca="false">W297/$R297</f>
        <v>1.07244993353907</v>
      </c>
      <c r="Z297" s="4" t="n">
        <f aca="false">$AA$2*$B297^$AA$3*$S297^$AA$4*($AA$5*$N297^$AA$6+$AA$7)</f>
        <v>0.17954866730319</v>
      </c>
      <c r="AA297" s="4" t="n">
        <f aca="false">Z297/$R297</f>
        <v>1.05616863119523</v>
      </c>
      <c r="AC297" s="4" t="n">
        <f aca="false">$AD$2*($AD$3+$AD$4*$F297/($N297*'Sem TS MC2020'!P289))*($AD$5*$G297+$AD$6*$B297/$N297)*'Sem TS MC2020'!R289*($J297-$M297)/($J297-$M297-$H297)</f>
        <v>0.14915156231418</v>
      </c>
      <c r="AD297" s="4" t="n">
        <f aca="false">AC297/$R297</f>
        <v>0.877362131259884</v>
      </c>
      <c r="AE297" s="24" t="n">
        <f aca="false">AC297-$R297</f>
        <v>-0.0208484376858197</v>
      </c>
      <c r="AF297" s="25" t="n">
        <f aca="false">1/AD297</f>
        <v>1.13978021659541</v>
      </c>
      <c r="AG297" s="25" t="n">
        <f aca="false">AC297*(14.068*'Sem TS MC2020'!$P289^-0.457)/$R297</f>
        <v>1.08858805742404</v>
      </c>
      <c r="AH297" s="25"/>
      <c r="AP297" s="4" t="n">
        <f aca="false">$AQ$2*($AQ$3+$AQ$4*$F297/($N297*'Sem TS MC2020'!P289))*($AQ$5*$G297+$AQ$6*$B297/$N297)*('Sem TS MC2020'!P289^$AQ$7/200000)*($J297-$M297)/($J297-$M297-$H297)+('Sem TS MC2020'!P289-$C297/$AQ$8)*($AQ$5*$G297+$AQ$6*$B297/$N297)/200000</f>
        <v>0.169212826954167</v>
      </c>
      <c r="AQ297" s="4" t="n">
        <f aca="false">AP297/$R297</f>
        <v>0.99536957031863</v>
      </c>
      <c r="AR297" s="24" t="n">
        <f aca="false">AP297-$R297</f>
        <v>-0.000787173045832867</v>
      </c>
    </row>
    <row r="298" customFormat="false" ht="14.25" hidden="false" customHeight="false" outlineLevel="0" collapsed="false">
      <c r="B298" s="2" t="n">
        <v>19.1</v>
      </c>
      <c r="C298" s="3" t="n">
        <v>276</v>
      </c>
      <c r="D298" s="3" t="n">
        <v>2</v>
      </c>
      <c r="E298" s="2" t="n">
        <v>69.8</v>
      </c>
      <c r="F298" s="4" t="n">
        <v>2.90032882517908</v>
      </c>
      <c r="G298" s="2" t="n">
        <v>31.8</v>
      </c>
      <c r="H298" s="2" t="n">
        <v>41.4</v>
      </c>
      <c r="I298" s="1" t="n">
        <v>152.4</v>
      </c>
      <c r="J298" s="2" t="n">
        <v>381</v>
      </c>
      <c r="K298" s="3" t="n">
        <v>568</v>
      </c>
      <c r="L298" s="4" t="n">
        <v>20863.56</v>
      </c>
      <c r="M298" s="3" t="n">
        <v>105.951899677992</v>
      </c>
      <c r="N298" s="12" t="n">
        <v>0.0272245005166903</v>
      </c>
      <c r="O298" s="4" t="n">
        <v>42.2576</v>
      </c>
      <c r="P298" s="3" t="n">
        <v>183.72363442548</v>
      </c>
      <c r="Q298" s="4" t="n">
        <f aca="false">(P298-P$354)/P$355</f>
        <v>-0.511133368234746</v>
      </c>
      <c r="R298" s="4" t="n">
        <v>0.23</v>
      </c>
      <c r="S298" s="13" t="n">
        <f aca="false">P298/200000</f>
        <v>0.000918618172127402</v>
      </c>
      <c r="W298" s="4" t="n">
        <f aca="false">$X$2*($X$3*$G298+$X$4*$B298^$X$5*$N298^$X$6)*$S298^$X$7</f>
        <v>0.224296021107049</v>
      </c>
      <c r="X298" s="4" t="n">
        <f aca="false">W298/$R298</f>
        <v>0.975200091769778</v>
      </c>
      <c r="Z298" s="4" t="n">
        <f aca="false">$AA$2*$B298^$AA$3*$S298^$AA$4*($AA$5*$N298^$AA$6+$AA$7)</f>
        <v>0.221708461071436</v>
      </c>
      <c r="AA298" s="4" t="n">
        <f aca="false">Z298/$R298</f>
        <v>0.963949830745372</v>
      </c>
      <c r="AC298" s="4" t="n">
        <f aca="false">$AD$2*($AD$3+$AD$4*$F298/($N298*'Sem TS MC2020'!P290))*($AD$5*$G298+$AD$6*$B298/$N298)*'Sem TS MC2020'!R290*($J298-$M298)/($J298-$M298-$H298)</f>
        <v>0.191798107579206</v>
      </c>
      <c r="AD298" s="4" t="n">
        <f aca="false">AC298/$R298</f>
        <v>0.833904815561767</v>
      </c>
      <c r="AE298" s="24" t="n">
        <f aca="false">AC298-$R298</f>
        <v>-0.0382018924207936</v>
      </c>
      <c r="AF298" s="25" t="n">
        <f aca="false">1/AD298</f>
        <v>1.19917762955517</v>
      </c>
      <c r="AG298" s="25" t="n">
        <f aca="false">AC298*(14.068*'Sem TS MC2020'!$P290^-0.457)/$R298</f>
        <v>0.950397385585458</v>
      </c>
      <c r="AH298" s="25"/>
      <c r="AP298" s="4" t="n">
        <f aca="false">$AQ$2*($AQ$3+$AQ$4*$F298/($N298*'Sem TS MC2020'!P290))*($AQ$5*$G298+$AQ$6*$B298/$N298)*('Sem TS MC2020'!P290^$AQ$7/200000)*($J298-$M298)/($J298-$M298-$H298)+('Sem TS MC2020'!P290-$C298/$AQ$8)*($AQ$5*$G298+$AQ$6*$B298/$N298)/200000</f>
        <v>0.212590035505286</v>
      </c>
      <c r="AQ298" s="4" t="n">
        <f aca="false">AP298/$R298</f>
        <v>0.924304502196896</v>
      </c>
      <c r="AR298" s="24" t="n">
        <f aca="false">AP298-$R298</f>
        <v>-0.0174099644947139</v>
      </c>
    </row>
    <row r="299" customFormat="false" ht="14.25" hidden="false" customHeight="false" outlineLevel="0" collapsed="false">
      <c r="B299" s="2" t="n">
        <v>19.1</v>
      </c>
      <c r="C299" s="3" t="n">
        <v>276</v>
      </c>
      <c r="D299" s="3" t="n">
        <v>2</v>
      </c>
      <c r="E299" s="2" t="n">
        <v>69.8</v>
      </c>
      <c r="F299" s="4" t="n">
        <v>2.90032882517908</v>
      </c>
      <c r="G299" s="2" t="n">
        <v>31.8</v>
      </c>
      <c r="H299" s="2" t="n">
        <v>41.4</v>
      </c>
      <c r="I299" s="1" t="n">
        <v>152.4</v>
      </c>
      <c r="J299" s="2" t="n">
        <v>381</v>
      </c>
      <c r="K299" s="3" t="n">
        <v>568</v>
      </c>
      <c r="L299" s="4" t="n">
        <v>20863.56</v>
      </c>
      <c r="M299" s="3" t="n">
        <v>105.951899677992</v>
      </c>
      <c r="N299" s="12" t="n">
        <v>0.0272245005166903</v>
      </c>
      <c r="O299" s="4" t="n">
        <v>48.8089</v>
      </c>
      <c r="P299" s="3" t="n">
        <v>223.274212459054</v>
      </c>
      <c r="Q299" s="4" t="n">
        <f aca="false">(P299-P$354)/P$355</f>
        <v>-0.179551897214394</v>
      </c>
      <c r="R299" s="4" t="n">
        <v>0.27</v>
      </c>
      <c r="S299" s="13" t="n">
        <f aca="false">P299/200000</f>
        <v>0.00111637106229527</v>
      </c>
      <c r="W299" s="4" t="n">
        <f aca="false">$X$2*($X$3*$G299+$X$4*$B299^$X$5*$N299^$X$6)*$S299^$X$7</f>
        <v>0.252967740998189</v>
      </c>
      <c r="X299" s="4" t="n">
        <f aca="false">W299/$R299</f>
        <v>0.93691755925255</v>
      </c>
      <c r="Z299" s="4" t="n">
        <f aca="false">$AA$2*$B299^$AA$3*$S299^$AA$4*($AA$5*$N299^$AA$6+$AA$7)</f>
        <v>0.250586257142966</v>
      </c>
      <c r="AA299" s="4" t="n">
        <f aca="false">Z299/$R299</f>
        <v>0.928097248677652</v>
      </c>
      <c r="AC299" s="4" t="n">
        <f aca="false">$AD$2*($AD$3+$AD$4*$F299/($N299*'Sem TS MC2020'!P291))*($AD$5*$G299+$AD$6*$B299/$N299)*'Sem TS MC2020'!R291*($J299-$M299)/($J299-$M299-$H299)</f>
        <v>0.223979921146909</v>
      </c>
      <c r="AD299" s="4" t="n">
        <f aca="false">AC299/$R299</f>
        <v>0.829555263507069</v>
      </c>
      <c r="AE299" s="24" t="n">
        <f aca="false">AC299-$R299</f>
        <v>-0.0460200788530913</v>
      </c>
      <c r="AF299" s="25" t="n">
        <f aca="false">1/AD299</f>
        <v>1.20546519802954</v>
      </c>
      <c r="AG299" s="25" t="n">
        <f aca="false">AC299*(14.068*'Sem TS MC2020'!$P291^-0.457)/$R299</f>
        <v>0.894800267465327</v>
      </c>
      <c r="AH299" s="25"/>
      <c r="AP299" s="4" t="n">
        <f aca="false">$AQ$2*($AQ$3+$AQ$4*$F299/($N299*'Sem TS MC2020'!P291))*($AQ$5*$G299+$AQ$6*$B299/$N299)*('Sem TS MC2020'!P291^$AQ$7/200000)*($J299-$M299)/($J299-$M299-$H299)+('Sem TS MC2020'!P291-$C299/$AQ$8)*($AQ$5*$G299+$AQ$6*$B299/$N299)/200000</f>
        <v>0.244270032670709</v>
      </c>
      <c r="AQ299" s="4" t="n">
        <f aca="false">AP299/$R299</f>
        <v>0.904703824706331</v>
      </c>
      <c r="AR299" s="24" t="n">
        <f aca="false">AP299-$R299</f>
        <v>-0.0257299673292906</v>
      </c>
    </row>
    <row r="300" customFormat="false" ht="14.25" hidden="false" customHeight="false" outlineLevel="0" collapsed="false">
      <c r="A300" s="1" t="s">
        <v>88</v>
      </c>
      <c r="B300" s="2" t="n">
        <v>19.1</v>
      </c>
      <c r="C300" s="3" t="n">
        <v>276</v>
      </c>
      <c r="D300" s="3" t="n">
        <v>2</v>
      </c>
      <c r="E300" s="2" t="n">
        <v>69.8</v>
      </c>
      <c r="F300" s="4" t="n">
        <v>2.84669189571421</v>
      </c>
      <c r="G300" s="2" t="n">
        <v>31.8</v>
      </c>
      <c r="H300" s="2" t="n">
        <v>41.4</v>
      </c>
      <c r="I300" s="1" t="n">
        <v>152.4</v>
      </c>
      <c r="J300" s="2" t="n">
        <v>381</v>
      </c>
      <c r="K300" s="3" t="n">
        <v>568</v>
      </c>
      <c r="L300" s="4" t="n">
        <v>20863.56</v>
      </c>
      <c r="M300" s="3" t="n">
        <v>106.355513236104</v>
      </c>
      <c r="N300" s="12" t="n">
        <v>0.0272245005166903</v>
      </c>
      <c r="O300" s="4" t="n">
        <v>48.8089</v>
      </c>
      <c r="P300" s="3" t="n">
        <v>224.17342621352</v>
      </c>
      <c r="Q300" s="4" t="n">
        <f aca="false">(P300-P$354)/P$355</f>
        <v>-0.172013129532812</v>
      </c>
      <c r="R300" s="4" t="n">
        <v>0.16</v>
      </c>
      <c r="S300" s="13" t="n">
        <f aca="false">P300/200000</f>
        <v>0.0011208671310676</v>
      </c>
      <c r="W300" s="4" t="n">
        <f aca="false">$X$2*($X$3*$G300+$X$4*$B300^$X$5*$N300^$X$6)*$S300^$X$7</f>
        <v>0.253595857531737</v>
      </c>
      <c r="X300" s="4" t="n">
        <f aca="false">W300/$R300</f>
        <v>1.58497410957335</v>
      </c>
      <c r="Z300" s="4" t="n">
        <f aca="false">$AA$2*$B300^$AA$3*$S300^$AA$4*($AA$5*$N300^$AA$6+$AA$7)</f>
        <v>0.251219567246186</v>
      </c>
      <c r="AA300" s="4" t="n">
        <f aca="false">Z300/$R300</f>
        <v>1.57012229528866</v>
      </c>
      <c r="AC300" s="4" t="n">
        <f aca="false">$AD$2*($AD$3+$AD$4*$F300/($N300*'Sem TS MC2020'!P292))*($AD$5*$G300+$AD$6*$B300/$N300)*'Sem TS MC2020'!R292*($J300-$M300)/($J300-$M300-$H300)</f>
        <v>0.225140606128658</v>
      </c>
      <c r="AD300" s="4" t="n">
        <f aca="false">AC300/$R300</f>
        <v>1.40712878830411</v>
      </c>
      <c r="AE300" s="24" t="n">
        <f aca="false">AC300-$R300</f>
        <v>0.0651406061286582</v>
      </c>
      <c r="AF300" s="25" t="n">
        <f aca="false">1/AD300</f>
        <v>0.710667003839222</v>
      </c>
      <c r="AG300" s="25" t="n">
        <f aca="false">AC300*(14.068*'Sem TS MC2020'!$P292^-0.457)/$R300</f>
        <v>1.51780028591423</v>
      </c>
      <c r="AH300" s="25"/>
      <c r="AP300" s="4" t="n">
        <f aca="false">$AQ$2*($AQ$3+$AQ$4*$F300/($N300*'Sem TS MC2020'!P292))*($AQ$5*$G300+$AQ$6*$B300/$N300)*('Sem TS MC2020'!P292^$AQ$7/200000)*($J300-$M300)/($J300-$M300-$H300)+('Sem TS MC2020'!P292-$C300/$AQ$8)*($AQ$5*$G300+$AQ$6*$B300/$N300)/200000</f>
        <v>0.245513575578921</v>
      </c>
      <c r="AQ300" s="4" t="n">
        <f aca="false">AP300/$R300</f>
        <v>1.53445984736826</v>
      </c>
      <c r="AR300" s="24" t="n">
        <f aca="false">AP300-$R300</f>
        <v>0.0855135755789209</v>
      </c>
    </row>
    <row r="301" customFormat="false" ht="14.25" hidden="false" customHeight="false" outlineLevel="0" collapsed="false">
      <c r="A301" s="1" t="s">
        <v>89</v>
      </c>
      <c r="B301" s="2" t="n">
        <v>19.1</v>
      </c>
      <c r="C301" s="3" t="n">
        <v>276</v>
      </c>
      <c r="D301" s="3" t="n">
        <v>2</v>
      </c>
      <c r="E301" s="2" t="n">
        <v>69.8</v>
      </c>
      <c r="F301" s="4" t="n">
        <v>2.71132147348833</v>
      </c>
      <c r="G301" s="2" t="n">
        <v>38.2</v>
      </c>
      <c r="H301" s="2" t="n">
        <v>47.7</v>
      </c>
      <c r="I301" s="1" t="n">
        <v>152.4</v>
      </c>
      <c r="J301" s="2" t="n">
        <v>381</v>
      </c>
      <c r="K301" s="3" t="n">
        <v>568</v>
      </c>
      <c r="L301" s="4" t="n">
        <v>21823.68</v>
      </c>
      <c r="M301" s="3" t="n">
        <v>106.225416011626</v>
      </c>
      <c r="N301" s="12" t="n">
        <v>0.0260267745861376</v>
      </c>
      <c r="O301" s="4" t="n">
        <v>42.2576</v>
      </c>
      <c r="P301" s="3" t="n">
        <v>191.764922934407</v>
      </c>
      <c r="Q301" s="4" t="n">
        <f aca="false">(P301-P$354)/P$355</f>
        <v>-0.443717355492135</v>
      </c>
      <c r="R301" s="4" t="n">
        <v>0.16</v>
      </c>
      <c r="S301" s="13" t="n">
        <f aca="false">P301/200000</f>
        <v>0.000958824614672037</v>
      </c>
      <c r="W301" s="4" t="n">
        <f aca="false">$X$2*($X$3*$G301+$X$4*$B301^$X$5*$N301^$X$6)*$S301^$X$7</f>
        <v>0.234595710615558</v>
      </c>
      <c r="X301" s="4" t="n">
        <f aca="false">W301/$R301</f>
        <v>1.46622319134723</v>
      </c>
      <c r="Z301" s="4" t="n">
        <f aca="false">$AA$2*$B301^$AA$3*$S301^$AA$4*($AA$5*$N301^$AA$6+$AA$7)</f>
        <v>0.232034793540884</v>
      </c>
      <c r="AA301" s="4" t="n">
        <f aca="false">Z301/$R301</f>
        <v>1.45021745963053</v>
      </c>
      <c r="AC301" s="4" t="n">
        <f aca="false">$AD$2*($AD$3+$AD$4*$F301/($N301*'Sem TS MC2020'!P293))*($AD$5*$G301+$AD$6*$B301/$N301)*'Sem TS MC2020'!R293*($J301-$M301)/($J301-$M301-$H301)</f>
        <v>0.221157719842859</v>
      </c>
      <c r="AD301" s="4" t="n">
        <f aca="false">AC301/$R301</f>
        <v>1.38223574901787</v>
      </c>
      <c r="AE301" s="24" t="n">
        <f aca="false">AC301-$R301</f>
        <v>0.061157719842859</v>
      </c>
      <c r="AF301" s="25" t="n">
        <f aca="false">1/AD301</f>
        <v>0.723465588782911</v>
      </c>
      <c r="AG301" s="25" t="n">
        <f aca="false">AC301*(14.068*'Sem TS MC2020'!$P293^-0.457)/$R301</f>
        <v>1.56011904773966</v>
      </c>
      <c r="AH301" s="25"/>
      <c r="AP301" s="4" t="n">
        <f aca="false">$AQ$2*($AQ$3+$AQ$4*$F301/($N301*'Sem TS MC2020'!P293))*($AQ$5*$G301+$AQ$6*$B301/$N301)*('Sem TS MC2020'!P293^$AQ$7/200000)*($J301-$M301)/($J301-$M301-$H301)+('Sem TS MC2020'!P293-$C301/$AQ$8)*($AQ$5*$G301+$AQ$6*$B301/$N301)/200000</f>
        <v>0.242779264339827</v>
      </c>
      <c r="AQ301" s="4" t="n">
        <f aca="false">AP301/$R301</f>
        <v>1.51737040212392</v>
      </c>
      <c r="AR301" s="24" t="n">
        <f aca="false">AP301-$R301</f>
        <v>0.0827792643398273</v>
      </c>
    </row>
    <row r="302" customFormat="false" ht="14.25" hidden="false" customHeight="false" outlineLevel="0" collapsed="false">
      <c r="B302" s="2" t="n">
        <v>19.1</v>
      </c>
      <c r="C302" s="3" t="n">
        <v>276</v>
      </c>
      <c r="D302" s="3" t="n">
        <v>2</v>
      </c>
      <c r="E302" s="2" t="n">
        <v>69.8</v>
      </c>
      <c r="F302" s="4" t="n">
        <v>2.71132147348833</v>
      </c>
      <c r="G302" s="2" t="n">
        <v>38.2</v>
      </c>
      <c r="H302" s="2" t="n">
        <v>47.7</v>
      </c>
      <c r="I302" s="1" t="n">
        <v>152.4</v>
      </c>
      <c r="J302" s="2" t="n">
        <v>381</v>
      </c>
      <c r="K302" s="3" t="n">
        <v>568</v>
      </c>
      <c r="L302" s="4" t="n">
        <v>21823.68</v>
      </c>
      <c r="M302" s="3" t="n">
        <v>106.225416011626</v>
      </c>
      <c r="N302" s="12" t="n">
        <v>0.0260267745861376</v>
      </c>
      <c r="O302" s="4" t="n">
        <v>48.8089</v>
      </c>
      <c r="P302" s="3" t="n">
        <v>224.52366430869</v>
      </c>
      <c r="Q302" s="4" t="n">
        <f aca="false">(P302-P$354)/P$355</f>
        <v>-0.169076826991162</v>
      </c>
      <c r="R302" s="4" t="n">
        <v>0.2</v>
      </c>
      <c r="S302" s="13" t="n">
        <f aca="false">P302/200000</f>
        <v>0.00112261832154345</v>
      </c>
      <c r="W302" s="4" t="n">
        <f aca="false">$X$2*($X$3*$G302+$X$4*$B302^$X$5*$N302^$X$6)*$S302^$X$7</f>
        <v>0.258571239941536</v>
      </c>
      <c r="X302" s="4" t="n">
        <f aca="false">W302/$R302</f>
        <v>1.29285619970768</v>
      </c>
      <c r="Z302" s="4" t="n">
        <f aca="false">$AA$2*$B302^$AA$3*$S302^$AA$4*($AA$5*$N302^$AA$6+$AA$7)</f>
        <v>0.256192661490719</v>
      </c>
      <c r="AA302" s="4" t="n">
        <f aca="false">Z302/$R302</f>
        <v>1.28096330745359</v>
      </c>
      <c r="AC302" s="4" t="n">
        <f aca="false">$AD$2*($AD$3+$AD$4*$F302/($N302*'Sem TS MC2020'!P294))*($AD$5*$G302+$AD$6*$B302/$N302)*'Sem TS MC2020'!R294*($J302-$M302)/($J302-$M302-$H302)</f>
        <v>0.251002060217717</v>
      </c>
      <c r="AD302" s="4" t="n">
        <f aca="false">AC302/$R302</f>
        <v>1.25501030108859</v>
      </c>
      <c r="AE302" s="24" t="n">
        <f aca="false">AC302-$R302</f>
        <v>0.051002060217717</v>
      </c>
      <c r="AF302" s="25" t="n">
        <f aca="false">1/AD302</f>
        <v>0.796806208787776</v>
      </c>
      <c r="AG302" s="25" t="n">
        <f aca="false">AC302*(14.068*'Sem TS MC2020'!$P294^-0.457)/$R302</f>
        <v>1.3537175912045</v>
      </c>
      <c r="AH302" s="25"/>
      <c r="AP302" s="4" t="n">
        <f aca="false">$AQ$2*($AQ$3+$AQ$4*$F302/($N302*'Sem TS MC2020'!P294))*($AQ$5*$G302+$AQ$6*$B302/$N302)*('Sem TS MC2020'!P294^$AQ$7/200000)*($J302-$M302)/($J302-$M302-$H302)+('Sem TS MC2020'!P294-$C302/$AQ$8)*($AQ$5*$G302+$AQ$6*$B302/$N302)/200000</f>
        <v>0.271841553429914</v>
      </c>
      <c r="AQ302" s="4" t="n">
        <f aca="false">AP302/$R302</f>
        <v>1.35920776714957</v>
      </c>
      <c r="AR302" s="24" t="n">
        <f aca="false">AP302-$R302</f>
        <v>0.0718415534299137</v>
      </c>
    </row>
    <row r="303" customFormat="false" ht="14.25" hidden="false" customHeight="false" outlineLevel="0" collapsed="false">
      <c r="A303" s="1" t="s">
        <v>90</v>
      </c>
      <c r="B303" s="2" t="n">
        <v>22.2</v>
      </c>
      <c r="C303" s="3" t="n">
        <v>276</v>
      </c>
      <c r="D303" s="3" t="n">
        <v>2</v>
      </c>
      <c r="E303" s="2" t="n">
        <v>63.6</v>
      </c>
      <c r="F303" s="4" t="n">
        <v>2.68798662700617</v>
      </c>
      <c r="G303" s="2" t="n">
        <v>12.8</v>
      </c>
      <c r="H303" s="2" t="n">
        <v>23.9</v>
      </c>
      <c r="I303" s="1" t="n">
        <v>152.4</v>
      </c>
      <c r="J303" s="2" t="n">
        <v>381</v>
      </c>
      <c r="K303" s="3" t="n">
        <v>774</v>
      </c>
      <c r="L303" s="4" t="n">
        <v>12748.26</v>
      </c>
      <c r="M303" s="3" t="n">
        <v>125.501027414761</v>
      </c>
      <c r="N303" s="12" t="n">
        <v>0.0607141680511693</v>
      </c>
      <c r="O303" s="4" t="n">
        <v>66.199</v>
      </c>
      <c r="P303" s="3" t="n">
        <v>244.579711304794</v>
      </c>
      <c r="Q303" s="4" t="n">
        <f aca="false">(P303-P$354)/P$355</f>
        <v>-0.000932291652728114</v>
      </c>
      <c r="R303" s="4" t="n">
        <v>0.17</v>
      </c>
      <c r="S303" s="13" t="n">
        <f aca="false">P303/200000</f>
        <v>0.00122289855652397</v>
      </c>
      <c r="W303" s="4" t="n">
        <f aca="false">$X$2*($X$3*$G303+$X$4*$B303^$X$5*$N303^$X$6)*$S303^$X$7</f>
        <v>0.212070619461791</v>
      </c>
      <c r="X303" s="4" t="n">
        <f aca="false">W303/$R303</f>
        <v>1.24747423212818</v>
      </c>
      <c r="Z303" s="4" t="n">
        <f aca="false">$AA$2*$B303^$AA$3*$S303^$AA$4*($AA$5*$N303^$AA$6+$AA$7)</f>
        <v>0.218414627234451</v>
      </c>
      <c r="AA303" s="4" t="n">
        <f aca="false">Z303/$R303</f>
        <v>1.28479192490854</v>
      </c>
      <c r="AC303" s="4" t="n">
        <f aca="false">$AD$2*($AD$3+$AD$4*$F303/($N303*'Sem TS MC2020'!P295))*($AD$5*$G303+$AD$6*$B303/$N303)*'Sem TS MC2020'!R295*($J303-$M303)/($J303-$M303-$H303)</f>
        <v>0.117260283268708</v>
      </c>
      <c r="AD303" s="4" t="n">
        <f aca="false">AC303/$R303</f>
        <v>0.68976637216887</v>
      </c>
      <c r="AE303" s="24" t="n">
        <f aca="false">AC303-$R303</f>
        <v>-0.0527397167312922</v>
      </c>
      <c r="AF303" s="25" t="n">
        <f aca="false">1/AD303</f>
        <v>1.4497662402063</v>
      </c>
      <c r="AG303" s="25" t="n">
        <f aca="false">AC303*(14.068*'Sem TS MC2020'!$P295^-0.457)/$R303</f>
        <v>0.749644827483713</v>
      </c>
      <c r="AH303" s="25"/>
      <c r="AP303" s="4" t="n">
        <f aca="false">$AQ$2*($AQ$3+$AQ$4*$F303/($N303*'Sem TS MC2020'!P295))*($AQ$5*$G303+$AQ$6*$B303/$N303)*('Sem TS MC2020'!P295^$AQ$7/200000)*($J303-$M303)/($J303-$M303-$H303)+('Sem TS MC2020'!P295-$C303/$AQ$8)*($AQ$5*$G303+$AQ$6*$B303/$N303)/200000</f>
        <v>0.129431558386304</v>
      </c>
      <c r="AQ303" s="4" t="n">
        <f aca="false">AP303/$R303</f>
        <v>0.761362108154727</v>
      </c>
      <c r="AR303" s="24" t="n">
        <f aca="false">AP303-$R303</f>
        <v>-0.0405684416136965</v>
      </c>
    </row>
    <row r="304" customFormat="false" ht="14.25" hidden="false" customHeight="false" outlineLevel="0" collapsed="false">
      <c r="A304" s="1" t="s">
        <v>91</v>
      </c>
      <c r="B304" s="2" t="n">
        <v>22.2</v>
      </c>
      <c r="C304" s="3" t="n">
        <v>276</v>
      </c>
      <c r="D304" s="3" t="n">
        <v>2</v>
      </c>
      <c r="E304" s="2" t="n">
        <v>63.6</v>
      </c>
      <c r="F304" s="4" t="n">
        <v>2.38460157103714</v>
      </c>
      <c r="G304" s="2" t="n">
        <v>38</v>
      </c>
      <c r="H304" s="2" t="n">
        <v>49.1</v>
      </c>
      <c r="I304" s="1" t="n">
        <v>152.4</v>
      </c>
      <c r="J304" s="2" t="n">
        <v>381</v>
      </c>
      <c r="K304" s="3" t="n">
        <v>774</v>
      </c>
      <c r="L304" s="4" t="n">
        <v>24399.24</v>
      </c>
      <c r="M304" s="3" t="n">
        <v>122.856933294706</v>
      </c>
      <c r="N304" s="12" t="n">
        <v>0.0317222995470351</v>
      </c>
      <c r="O304" s="4" t="n">
        <v>43.9383</v>
      </c>
      <c r="P304" s="3" t="n">
        <v>140.827277262883</v>
      </c>
      <c r="Q304" s="4" t="n">
        <f aca="false">(P304-P$354)/P$355</f>
        <v>-0.87076495686321</v>
      </c>
      <c r="R304" s="4" t="n">
        <v>0.15</v>
      </c>
      <c r="S304" s="13" t="n">
        <f aca="false">P304/200000</f>
        <v>0.000704136386314418</v>
      </c>
      <c r="W304" s="4" t="n">
        <f aca="false">$X$2*($X$3*$G304+$X$4*$B304^$X$5*$N304^$X$6)*$S304^$X$7</f>
        <v>0.197545485474929</v>
      </c>
      <c r="X304" s="4" t="n">
        <f aca="false">W304/$R304</f>
        <v>1.3169699031662</v>
      </c>
      <c r="Z304" s="4" t="n">
        <f aca="false">$AA$2*$B304^$AA$3*$S304^$AA$4*($AA$5*$N304^$AA$6+$AA$7)</f>
        <v>0.19595799200592</v>
      </c>
      <c r="AA304" s="4" t="n">
        <f aca="false">Z304/$R304</f>
        <v>1.3063866133728</v>
      </c>
      <c r="AC304" s="4" t="n">
        <f aca="false">$AD$2*($AD$3+$AD$4*$F304/($N304*'Sem TS MC2020'!P296))*($AD$5*$G304+$AD$6*$B304/$N304)*'Sem TS MC2020'!R296*($J304-$M304)/($J304-$M304-$H304)</f>
        <v>0.173915354249492</v>
      </c>
      <c r="AD304" s="4" t="n">
        <f aca="false">AC304/$R304</f>
        <v>1.15943569499662</v>
      </c>
      <c r="AE304" s="24" t="n">
        <f aca="false">AC304-$R304</f>
        <v>0.0239153542494923</v>
      </c>
      <c r="AF304" s="25" t="n">
        <f aca="false">1/AD304</f>
        <v>0.86248854017119</v>
      </c>
      <c r="AG304" s="25" t="n">
        <f aca="false">AC304*(14.068*'Sem TS MC2020'!$P296^-0.457)/$R304</f>
        <v>1.46493277254172</v>
      </c>
      <c r="AH304" s="25"/>
      <c r="AP304" s="4" t="n">
        <f aca="false">$AQ$2*($AQ$3+$AQ$4*$F304/($N304*'Sem TS MC2020'!P296))*($AQ$5*$G304+$AQ$6*$B304/$N304)*('Sem TS MC2020'!P296^$AQ$7/200000)*($J304-$M304)/($J304-$M304-$H304)+('Sem TS MC2020'!P296-$C304/$AQ$8)*($AQ$5*$G304+$AQ$6*$B304/$N304)/200000</f>
        <v>0.196542860961993</v>
      </c>
      <c r="AQ304" s="4" t="n">
        <f aca="false">AP304/$R304</f>
        <v>1.31028573974662</v>
      </c>
      <c r="AR304" s="24" t="n">
        <f aca="false">AP304-$R304</f>
        <v>0.0465428609619931</v>
      </c>
    </row>
    <row r="305" customFormat="false" ht="14.25" hidden="false" customHeight="false" outlineLevel="0" collapsed="false">
      <c r="B305" s="2" t="n">
        <v>22.2</v>
      </c>
      <c r="C305" s="3" t="n">
        <v>276</v>
      </c>
      <c r="D305" s="3" t="n">
        <v>2</v>
      </c>
      <c r="E305" s="2" t="n">
        <v>63.6</v>
      </c>
      <c r="F305" s="4" t="n">
        <v>2.38460157103714</v>
      </c>
      <c r="G305" s="2" t="n">
        <v>38</v>
      </c>
      <c r="H305" s="2" t="n">
        <v>49.1</v>
      </c>
      <c r="I305" s="1" t="n">
        <v>152.4</v>
      </c>
      <c r="J305" s="2" t="n">
        <v>381</v>
      </c>
      <c r="K305" s="3" t="n">
        <v>774</v>
      </c>
      <c r="L305" s="4" t="n">
        <v>24399.24</v>
      </c>
      <c r="M305" s="3" t="n">
        <v>122.856933294706</v>
      </c>
      <c r="N305" s="12" t="n">
        <v>0.0317222995470351</v>
      </c>
      <c r="O305" s="4" t="n">
        <v>51.107</v>
      </c>
      <c r="P305" s="3" t="n">
        <v>178.833845243026</v>
      </c>
      <c r="Q305" s="4" t="n">
        <f aca="false">(P305-P$354)/P$355</f>
        <v>-0.552128053286413</v>
      </c>
      <c r="R305" s="4" t="n">
        <v>0.19</v>
      </c>
      <c r="S305" s="13" t="n">
        <f aca="false">P305/200000</f>
        <v>0.000894169226215128</v>
      </c>
      <c r="W305" s="4" t="n">
        <f aca="false">$X$2*($X$3*$G305+$X$4*$B305^$X$5*$N305^$X$6)*$S305^$X$7</f>
        <v>0.228922688767398</v>
      </c>
      <c r="X305" s="4" t="n">
        <f aca="false">W305/$R305</f>
        <v>1.20485625667052</v>
      </c>
      <c r="Z305" s="4" t="n">
        <f aca="false">$AA$2*$B305^$AA$3*$S305^$AA$4*($AA$5*$N305^$AA$6+$AA$7)</f>
        <v>0.227680639119605</v>
      </c>
      <c r="AA305" s="4" t="n">
        <f aca="false">Z305/$R305</f>
        <v>1.19831915326108</v>
      </c>
      <c r="AC305" s="4" t="n">
        <f aca="false">$AD$2*($AD$3+$AD$4*$F305/($N305*'Sem TS MC2020'!P297))*($AD$5*$G305+$AD$6*$B305/$N305)*'Sem TS MC2020'!R297*($J305-$M305)/($J305-$M305-$H305)</f>
        <v>0.209814932244443</v>
      </c>
      <c r="AD305" s="4" t="n">
        <f aca="false">AC305/$R305</f>
        <v>1.10428911707601</v>
      </c>
      <c r="AE305" s="24" t="n">
        <f aca="false">AC305-$R305</f>
        <v>0.0198149322444428</v>
      </c>
      <c r="AF305" s="25" t="n">
        <f aca="false">1/AD305</f>
        <v>0.905559952132684</v>
      </c>
      <c r="AG305" s="25" t="n">
        <f aca="false">AC305*(14.068*'Sem TS MC2020'!$P297^-0.457)/$R305</f>
        <v>1.30213990388448</v>
      </c>
      <c r="AH305" s="25"/>
      <c r="AP305" s="4" t="n">
        <f aca="false">$AQ$2*($AQ$3+$AQ$4*$F305/($N305*'Sem TS MC2020'!P297))*($AQ$5*$G305+$AQ$6*$B305/$N305)*('Sem TS MC2020'!P297^$AQ$7/200000)*($J305-$M305)/($J305-$M305-$H305)+('Sem TS MC2020'!P297-$C305/$AQ$8)*($AQ$5*$G305+$AQ$6*$B305/$N305)/200000</f>
        <v>0.232546131042501</v>
      </c>
      <c r="AQ305" s="4" t="n">
        <f aca="false">AP305/$R305</f>
        <v>1.22392700548685</v>
      </c>
      <c r="AR305" s="24" t="n">
        <f aca="false">AP305-$R305</f>
        <v>0.0425461310425015</v>
      </c>
    </row>
    <row r="306" customFormat="false" ht="14.25" hidden="false" customHeight="false" outlineLevel="0" collapsed="false">
      <c r="B306" s="2" t="n">
        <v>22.2</v>
      </c>
      <c r="C306" s="3" t="n">
        <v>276</v>
      </c>
      <c r="D306" s="3" t="n">
        <v>2</v>
      </c>
      <c r="E306" s="2" t="n">
        <v>63.6</v>
      </c>
      <c r="F306" s="4" t="n">
        <v>2.38460157103714</v>
      </c>
      <c r="G306" s="2" t="n">
        <v>38</v>
      </c>
      <c r="H306" s="2" t="n">
        <v>49.1</v>
      </c>
      <c r="I306" s="1" t="n">
        <v>152.4</v>
      </c>
      <c r="J306" s="2" t="n">
        <v>381</v>
      </c>
      <c r="K306" s="3" t="n">
        <v>774</v>
      </c>
      <c r="L306" s="4" t="n">
        <v>24399.24</v>
      </c>
      <c r="M306" s="3" t="n">
        <v>122.856933294706</v>
      </c>
      <c r="N306" s="12" t="n">
        <v>0.0317222995470351</v>
      </c>
      <c r="O306" s="4" t="n">
        <v>58.7559</v>
      </c>
      <c r="P306" s="3" t="n">
        <v>219.386307729015</v>
      </c>
      <c r="Q306" s="4" t="n">
        <f aca="false">(P306-P$354)/P$355</f>
        <v>-0.212147050905427</v>
      </c>
      <c r="R306" s="4" t="n">
        <v>0.22</v>
      </c>
      <c r="S306" s="13" t="n">
        <f aca="false">P306/200000</f>
        <v>0.00109693153864507</v>
      </c>
      <c r="W306" s="4" t="n">
        <f aca="false">$X$2*($X$3*$G306+$X$4*$B306^$X$5*$N306^$X$6)*$S306^$X$7</f>
        <v>0.2596890498782</v>
      </c>
      <c r="X306" s="4" t="n">
        <f aca="false">W306/$R306</f>
        <v>1.18040477217363</v>
      </c>
      <c r="Z306" s="4" t="n">
        <f aca="false">$AA$2*$B306^$AA$3*$S306^$AA$4*($AA$5*$N306^$AA$6+$AA$7)</f>
        <v>0.258861378122874</v>
      </c>
      <c r="AA306" s="4" t="n">
        <f aca="false">Z306/$R306</f>
        <v>1.17664262783125</v>
      </c>
      <c r="AC306" s="4" t="n">
        <f aca="false">$AD$2*($AD$3+$AD$4*$F306/($N306*'Sem TS MC2020'!P298))*($AD$5*$G306+$AD$6*$B306/$N306)*'Sem TS MC2020'!R298*($J306-$M306)/($J306-$M306-$H306)</f>
        <v>0.248119266660108</v>
      </c>
      <c r="AD306" s="4" t="n">
        <f aca="false">AC306/$R306</f>
        <v>1.12781484845503</v>
      </c>
      <c r="AE306" s="24" t="n">
        <f aca="false">AC306-$R306</f>
        <v>0.0281192666601076</v>
      </c>
      <c r="AF306" s="25" t="n">
        <f aca="false">1/AD306</f>
        <v>0.886670362045574</v>
      </c>
      <c r="AG306" s="25" t="n">
        <f aca="false">AC306*(14.068*'Sem TS MC2020'!$P298^-0.457)/$R306</f>
        <v>1.24776176567774</v>
      </c>
      <c r="AH306" s="25"/>
      <c r="AP306" s="4" t="n">
        <f aca="false">$AQ$2*($AQ$3+$AQ$4*$F306/($N306*'Sem TS MC2020'!P298))*($AQ$5*$G306+$AQ$6*$B306/$N306)*('Sem TS MC2020'!P298^$AQ$7/200000)*($J306-$M306)/($J306-$M306-$H306)+('Sem TS MC2020'!P298-$C306/$AQ$8)*($AQ$5*$G306+$AQ$6*$B306/$N306)/200000</f>
        <v>0.269838091672923</v>
      </c>
      <c r="AQ306" s="4" t="n">
        <f aca="false">AP306/$R306</f>
        <v>1.22653678033147</v>
      </c>
      <c r="AR306" s="24" t="n">
        <f aca="false">AP306-$R306</f>
        <v>0.0498380916729233</v>
      </c>
    </row>
    <row r="307" customFormat="false" ht="14.25" hidden="false" customHeight="false" outlineLevel="0" collapsed="false">
      <c r="B307" s="2" t="n">
        <v>22.2</v>
      </c>
      <c r="C307" s="3" t="n">
        <v>276</v>
      </c>
      <c r="D307" s="3" t="n">
        <v>2</v>
      </c>
      <c r="E307" s="2" t="n">
        <v>63.6</v>
      </c>
      <c r="F307" s="4" t="n">
        <v>2.38460157103714</v>
      </c>
      <c r="G307" s="2" t="n">
        <v>38</v>
      </c>
      <c r="H307" s="2" t="n">
        <v>49.1</v>
      </c>
      <c r="I307" s="1" t="n">
        <v>152.4</v>
      </c>
      <c r="J307" s="2" t="n">
        <v>381</v>
      </c>
      <c r="K307" s="3" t="n">
        <v>774</v>
      </c>
      <c r="L307" s="4" t="n">
        <v>24399.24</v>
      </c>
      <c r="M307" s="3" t="n">
        <v>122.856933294706</v>
      </c>
      <c r="N307" s="12" t="n">
        <v>0.0317222995470351</v>
      </c>
      <c r="O307" s="4" t="n">
        <v>66.199</v>
      </c>
      <c r="P307" s="3" t="n">
        <v>237.160226827859</v>
      </c>
      <c r="Q307" s="4" t="n">
        <f aca="false">(P307-P$354)/P$355</f>
        <v>-0.0631352656519058</v>
      </c>
      <c r="R307" s="4" t="n">
        <v>0.27</v>
      </c>
      <c r="S307" s="13" t="n">
        <f aca="false">P307/200000</f>
        <v>0.0011858011341393</v>
      </c>
      <c r="W307" s="4" t="n">
        <f aca="false">$X$2*($X$3*$G307+$X$4*$B307^$X$5*$N307^$X$6)*$S307^$X$7</f>
        <v>0.27247595912415</v>
      </c>
      <c r="X307" s="4" t="n">
        <f aca="false">W307/$R307</f>
        <v>1.00917021897833</v>
      </c>
      <c r="Z307" s="4" t="n">
        <f aca="false">$AA$2*$B307^$AA$3*$S307^$AA$4*($AA$5*$N307^$AA$6+$AA$7)</f>
        <v>0.271840379119031</v>
      </c>
      <c r="AA307" s="4" t="n">
        <f aca="false">Z307/$R307</f>
        <v>1.00681621895937</v>
      </c>
      <c r="AC307" s="4" t="n">
        <f aca="false">$AD$2*($AD$3+$AD$4*$F307/($N307*'Sem TS MC2020'!P299))*($AD$5*$G307+$AD$6*$B307/$N307)*'Sem TS MC2020'!R299*($J307-$M307)/($J307-$M307-$H307)</f>
        <v>0.264907843710745</v>
      </c>
      <c r="AD307" s="4" t="n">
        <f aca="false">AC307/$R307</f>
        <v>0.981140161891648</v>
      </c>
      <c r="AE307" s="24" t="n">
        <f aca="false">AC307-$R307</f>
        <v>-0.00509215628925491</v>
      </c>
      <c r="AF307" s="25" t="n">
        <f aca="false">1/AD307</f>
        <v>1.01922236887336</v>
      </c>
      <c r="AG307" s="25" t="n">
        <f aca="false">AC307*(14.068*'Sem TS MC2020'!$P299^-0.457)/$R307</f>
        <v>1.0583074062722</v>
      </c>
      <c r="AH307" s="25"/>
      <c r="AP307" s="4" t="n">
        <f aca="false">$AQ$2*($AQ$3+$AQ$4*$F307/($N307*'Sem TS MC2020'!P299))*($AQ$5*$G307+$AQ$6*$B307/$N307)*('Sem TS MC2020'!P299^$AQ$7/200000)*($J307-$M307)/($J307-$M307-$H307)+('Sem TS MC2020'!P299-$C307/$AQ$8)*($AQ$5*$G307+$AQ$6*$B307/$N307)/200000</f>
        <v>0.285870712335672</v>
      </c>
      <c r="AQ307" s="4" t="n">
        <f aca="false">AP307/$R307</f>
        <v>1.05878041605804</v>
      </c>
      <c r="AR307" s="24" t="n">
        <f aca="false">AP307-$R307</f>
        <v>0.0158707123356721</v>
      </c>
    </row>
    <row r="308" customFormat="false" ht="14.25" hidden="false" customHeight="false" outlineLevel="0" collapsed="false">
      <c r="A308" s="1" t="s">
        <v>92</v>
      </c>
      <c r="B308" s="2" t="n">
        <v>22.2</v>
      </c>
      <c r="C308" s="3" t="n">
        <v>276</v>
      </c>
      <c r="D308" s="3" t="n">
        <v>2</v>
      </c>
      <c r="E308" s="2" t="n">
        <v>63.6</v>
      </c>
      <c r="F308" s="4" t="n">
        <v>2.86484234762008</v>
      </c>
      <c r="G308" s="2" t="n">
        <v>38</v>
      </c>
      <c r="H308" s="2" t="n">
        <v>49.1</v>
      </c>
      <c r="I308" s="1" t="n">
        <v>152.4</v>
      </c>
      <c r="J308" s="2" t="n">
        <v>381</v>
      </c>
      <c r="K308" s="3" t="n">
        <v>774</v>
      </c>
      <c r="L308" s="4" t="n">
        <v>24399.24</v>
      </c>
      <c r="M308" s="3" t="n">
        <v>118.551137802315</v>
      </c>
      <c r="N308" s="12" t="n">
        <v>0.0317222995470351</v>
      </c>
      <c r="O308" s="4" t="n">
        <v>58.7559</v>
      </c>
      <c r="P308" s="3" t="n">
        <v>210.253502991345</v>
      </c>
      <c r="Q308" s="4" t="n">
        <f aca="false">(P308-P$354)/P$355</f>
        <v>-0.28871404385525</v>
      </c>
      <c r="R308" s="4" t="n">
        <v>0.17</v>
      </c>
      <c r="S308" s="13" t="n">
        <f aca="false">P308/200000</f>
        <v>0.00105126751495673</v>
      </c>
      <c r="W308" s="4" t="n">
        <f aca="false">$X$2*($X$3*$G308+$X$4*$B308^$X$5*$N308^$X$6)*$S308^$X$7</f>
        <v>0.252964712638195</v>
      </c>
      <c r="X308" s="4" t="n">
        <f aca="false">W308/$R308</f>
        <v>1.48802772140115</v>
      </c>
      <c r="Z308" s="4" t="n">
        <f aca="false">$AA$2*$B308^$AA$3*$S308^$AA$4*($AA$5*$N308^$AA$6+$AA$7)</f>
        <v>0.252040559974672</v>
      </c>
      <c r="AA308" s="4" t="n">
        <f aca="false">Z308/$R308</f>
        <v>1.48259152926278</v>
      </c>
      <c r="AC308" s="4" t="n">
        <f aca="false">$AD$2*($AD$3+$AD$4*$F308/($N308*'Sem TS MC2020'!P300))*($AD$5*$G308+$AD$6*$B308/$N308)*'Sem TS MC2020'!R300*($J308-$M308)/($J308-$M308-$H308)</f>
        <v>0.23647544196198</v>
      </c>
      <c r="AD308" s="4" t="n">
        <f aca="false">AC308/$R308</f>
        <v>1.39103201154106</v>
      </c>
      <c r="AE308" s="24" t="n">
        <f aca="false">AC308-$R308</f>
        <v>0.0664754419619796</v>
      </c>
      <c r="AF308" s="25" t="n">
        <f aca="false">1/AD308</f>
        <v>0.718890716894537</v>
      </c>
      <c r="AG308" s="25" t="n">
        <f aca="false">AC308*(14.068*'Sem TS MC2020'!$P300^-0.457)/$R308</f>
        <v>1.54243780806807</v>
      </c>
      <c r="AH308" s="25"/>
      <c r="AP308" s="4" t="n">
        <f aca="false">$AQ$2*($AQ$3+$AQ$4*$F308/($N308*'Sem TS MC2020'!P300))*($AQ$5*$G308+$AQ$6*$B308/$N308)*('Sem TS MC2020'!P300^$AQ$7/200000)*($J308-$M308)/($J308-$M308-$H308)+('Sem TS MC2020'!P300-$C308/$AQ$8)*($AQ$5*$G308+$AQ$6*$B308/$N308)/200000</f>
        <v>0.257496995895017</v>
      </c>
      <c r="AQ308" s="4" t="n">
        <f aca="false">AP308/$R308</f>
        <v>1.51468821114716</v>
      </c>
      <c r="AR308" s="24" t="n">
        <f aca="false">AP308-$R308</f>
        <v>0.0874969958950165</v>
      </c>
    </row>
    <row r="309" customFormat="false" ht="14.25" hidden="false" customHeight="false" outlineLevel="0" collapsed="false">
      <c r="B309" s="2" t="n">
        <v>22.2</v>
      </c>
      <c r="C309" s="3" t="n">
        <v>276</v>
      </c>
      <c r="D309" s="3" t="n">
        <v>2</v>
      </c>
      <c r="E309" s="2" t="n">
        <v>63.6</v>
      </c>
      <c r="F309" s="4" t="n">
        <v>2.86484234762008</v>
      </c>
      <c r="G309" s="2" t="n">
        <v>38</v>
      </c>
      <c r="H309" s="2" t="n">
        <v>49.1</v>
      </c>
      <c r="I309" s="1" t="n">
        <v>152.4</v>
      </c>
      <c r="J309" s="2" t="n">
        <v>381</v>
      </c>
      <c r="K309" s="3" t="n">
        <v>774</v>
      </c>
      <c r="L309" s="4" t="n">
        <v>24399.24</v>
      </c>
      <c r="M309" s="3" t="n">
        <v>118.551137802315</v>
      </c>
      <c r="N309" s="12" t="n">
        <v>0.0317222995470351</v>
      </c>
      <c r="O309" s="4" t="n">
        <v>66.199</v>
      </c>
      <c r="P309" s="3" t="n">
        <v>230.127226740313</v>
      </c>
      <c r="Q309" s="4" t="n">
        <f aca="false">(P309-P$354)/P$355</f>
        <v>-0.122098057870399</v>
      </c>
      <c r="R309" s="4" t="n">
        <v>0.2</v>
      </c>
      <c r="S309" s="13" t="n">
        <f aca="false">P309/200000</f>
        <v>0.00115063613370156</v>
      </c>
      <c r="W309" s="4" t="n">
        <f aca="false">$X$2*($X$3*$G309+$X$4*$B309^$X$5*$N309^$X$6)*$S309^$X$7</f>
        <v>0.267461713469159</v>
      </c>
      <c r="X309" s="4" t="n">
        <f aca="false">W309/$R309</f>
        <v>1.33730856734579</v>
      </c>
      <c r="Z309" s="4" t="n">
        <f aca="false">$AA$2*$B309^$AA$3*$S309^$AA$4*($AA$5*$N309^$AA$6+$AA$7)</f>
        <v>0.266749483622288</v>
      </c>
      <c r="AA309" s="4" t="n">
        <f aca="false">Z309/$R309</f>
        <v>1.33374741811144</v>
      </c>
      <c r="AC309" s="4" t="n">
        <f aca="false">$AD$2*($AD$3+$AD$4*$F309/($N309*'Sem TS MC2020'!P301))*($AD$5*$G309+$AD$6*$B309/$N309)*'Sem TS MC2020'!R301*($J309-$M309)/($J309-$M309-$H309)</f>
        <v>0.254638405020447</v>
      </c>
      <c r="AD309" s="4" t="n">
        <f aca="false">AC309/$R309</f>
        <v>1.27319202510223</v>
      </c>
      <c r="AE309" s="24" t="n">
        <f aca="false">AC309-$R309</f>
        <v>0.0546384050204468</v>
      </c>
      <c r="AF309" s="25" t="n">
        <f aca="false">1/AD309</f>
        <v>0.785427476990129</v>
      </c>
      <c r="AG309" s="25" t="n">
        <f aca="false">AC309*(14.068*'Sem TS MC2020'!$P301^-0.457)/$R309</f>
        <v>1.37332931838662</v>
      </c>
      <c r="AH309" s="25"/>
      <c r="AP309" s="4" t="n">
        <f aca="false">$AQ$2*($AQ$3+$AQ$4*$F309/($N309*'Sem TS MC2020'!P301))*($AQ$5*$G309+$AQ$6*$B309/$N309)*('Sem TS MC2020'!P301^$AQ$7/200000)*($J309-$M309)/($J309-$M309-$H309)+('Sem TS MC2020'!P301-$C309/$AQ$8)*($AQ$5*$G309+$AQ$6*$B309/$N309)/200000</f>
        <v>0.274962678980618</v>
      </c>
      <c r="AQ309" s="4" t="n">
        <f aca="false">AP309/$R309</f>
        <v>1.37481339490309</v>
      </c>
      <c r="AR309" s="24" t="n">
        <f aca="false">AP309-$R309</f>
        <v>0.0749626789806175</v>
      </c>
    </row>
    <row r="310" customFormat="false" ht="14.25" hidden="false" customHeight="false" outlineLevel="0" collapsed="false">
      <c r="A310" s="1" t="s">
        <v>93</v>
      </c>
      <c r="B310" s="2" t="n">
        <v>22.2</v>
      </c>
      <c r="C310" s="3" t="n">
        <v>276</v>
      </c>
      <c r="D310" s="3" t="n">
        <v>2</v>
      </c>
      <c r="E310" s="2" t="n">
        <v>63.6</v>
      </c>
      <c r="F310" s="4" t="n">
        <v>2.83369179024989</v>
      </c>
      <c r="G310" s="2" t="n">
        <v>38</v>
      </c>
      <c r="H310" s="2" t="n">
        <v>49.1</v>
      </c>
      <c r="I310" s="1" t="n">
        <v>152.4</v>
      </c>
      <c r="J310" s="2" t="n">
        <v>381</v>
      </c>
      <c r="K310" s="3" t="n">
        <v>774</v>
      </c>
      <c r="L310" s="4" t="n">
        <v>24399.24</v>
      </c>
      <c r="M310" s="3" t="n">
        <v>118.804893272016</v>
      </c>
      <c r="N310" s="12" t="n">
        <v>0.0317222995470351</v>
      </c>
      <c r="O310" s="4" t="n">
        <v>43.9383</v>
      </c>
      <c r="P310" s="3" t="n">
        <v>130.478542700382</v>
      </c>
      <c r="Q310" s="4" t="n">
        <f aca="false">(P310-P$354)/P$355</f>
        <v>-0.957525980343586</v>
      </c>
      <c r="R310" s="4" t="n">
        <v>0.15</v>
      </c>
      <c r="S310" s="13" t="n">
        <f aca="false">P310/200000</f>
        <v>0.000652392713501911</v>
      </c>
      <c r="W310" s="4" t="n">
        <f aca="false">$X$2*($X$3*$G310+$X$4*$B310^$X$5*$N310^$X$6)*$S310^$X$7</f>
        <v>0.188458177677582</v>
      </c>
      <c r="X310" s="4" t="n">
        <f aca="false">W310/$R310</f>
        <v>1.25638785118388</v>
      </c>
      <c r="Z310" s="4" t="n">
        <f aca="false">$AA$2*$B310^$AA$3*$S310^$AA$4*($AA$5*$N310^$AA$6+$AA$7)</f>
        <v>0.186786822490308</v>
      </c>
      <c r="AA310" s="4" t="n">
        <f aca="false">Z310/$R310</f>
        <v>1.24524548326872</v>
      </c>
      <c r="AC310" s="4" t="n">
        <f aca="false">$AD$2*($AD$3+$AD$4*$F310/($N310*'Sem TS MC2020'!P302))*($AD$5*$G310+$AD$6*$B310/$N310)*'Sem TS MC2020'!R302*($J310-$M310)/($J310-$M310-$H310)</f>
        <v>0.163618955759809</v>
      </c>
      <c r="AD310" s="4" t="n">
        <f aca="false">AC310/$R310</f>
        <v>1.09079303839873</v>
      </c>
      <c r="AE310" s="24" t="n">
        <f aca="false">AC310-$R310</f>
        <v>0.0136189557598094</v>
      </c>
      <c r="AF310" s="25" t="n">
        <f aca="false">1/AD310</f>
        <v>0.916764193387214</v>
      </c>
      <c r="AG310" s="25" t="n">
        <f aca="false">AC310*(14.068*'Sem TS MC2020'!$P302^-0.457)/$R310</f>
        <v>1.38112387291623</v>
      </c>
      <c r="AH310" s="25"/>
      <c r="AP310" s="4" t="n">
        <f aca="false">$AQ$2*($AQ$3+$AQ$4*$F310/($N310*'Sem TS MC2020'!P302))*($AQ$5*$G310+$AQ$6*$B310/$N310)*('Sem TS MC2020'!P302^$AQ$7/200000)*($J310-$M310)/($J310-$M310-$H310)+('Sem TS MC2020'!P302-$C310/$AQ$8)*($AQ$5*$G310+$AQ$6*$B310/$N310)/200000</f>
        <v>0.185001020311493</v>
      </c>
      <c r="AQ310" s="4" t="n">
        <f aca="false">AP310/$R310</f>
        <v>1.23334013540995</v>
      </c>
      <c r="AR310" s="24" t="n">
        <f aca="false">AP310-$R310</f>
        <v>0.0350010203114932</v>
      </c>
    </row>
    <row r="311" customFormat="false" ht="14.25" hidden="false" customHeight="false" outlineLevel="0" collapsed="false">
      <c r="B311" s="2" t="n">
        <v>22.2</v>
      </c>
      <c r="C311" s="3" t="n">
        <v>276</v>
      </c>
      <c r="D311" s="3" t="n">
        <v>2</v>
      </c>
      <c r="E311" s="2" t="n">
        <v>63.6</v>
      </c>
      <c r="F311" s="4" t="n">
        <v>2.83369179024989</v>
      </c>
      <c r="G311" s="2" t="n">
        <v>38</v>
      </c>
      <c r="H311" s="2" t="n">
        <v>49.1</v>
      </c>
      <c r="I311" s="1" t="n">
        <v>152.4</v>
      </c>
      <c r="J311" s="2" t="n">
        <v>381</v>
      </c>
      <c r="K311" s="3" t="n">
        <v>774</v>
      </c>
      <c r="L311" s="4" t="n">
        <v>24399.24</v>
      </c>
      <c r="M311" s="3" t="n">
        <v>118.804893272016</v>
      </c>
      <c r="N311" s="12" t="n">
        <v>0.0317222995470351</v>
      </c>
      <c r="O311" s="4" t="n">
        <v>51.107</v>
      </c>
      <c r="P311" s="3" t="n">
        <v>169.355626890377</v>
      </c>
      <c r="Q311" s="4" t="n">
        <f aca="false">(P311-P$354)/P$355</f>
        <v>-0.631590901625964</v>
      </c>
      <c r="R311" s="4" t="n">
        <v>0.18</v>
      </c>
      <c r="S311" s="13" t="n">
        <f aca="false">P311/200000</f>
        <v>0.000846778134451883</v>
      </c>
      <c r="W311" s="4" t="n">
        <f aca="false">$X$2*($X$3*$G311+$X$4*$B311^$X$5*$N311^$X$6)*$S311^$X$7</f>
        <v>0.22135877175296</v>
      </c>
      <c r="X311" s="4" t="n">
        <f aca="false">W311/$R311</f>
        <v>1.22977095418311</v>
      </c>
      <c r="Z311" s="4" t="n">
        <f aca="false">$AA$2*$B311^$AA$3*$S311^$AA$4*($AA$5*$N311^$AA$6+$AA$7)</f>
        <v>0.220025921783559</v>
      </c>
      <c r="AA311" s="4" t="n">
        <f aca="false">Z311/$R311</f>
        <v>1.22236623213089</v>
      </c>
      <c r="AC311" s="4" t="n">
        <f aca="false">$AD$2*($AD$3+$AD$4*$F311/($N311*'Sem TS MC2020'!P303))*($AD$5*$G311+$AD$6*$B311/$N311)*'Sem TS MC2020'!R303*($J311-$M311)/($J311-$M311-$H311)</f>
        <v>0.1992234049304</v>
      </c>
      <c r="AD311" s="4" t="n">
        <f aca="false">AC311/$R311</f>
        <v>1.10679669405778</v>
      </c>
      <c r="AE311" s="24" t="n">
        <f aca="false">AC311-$R311</f>
        <v>0.0192234049304001</v>
      </c>
      <c r="AF311" s="25" t="n">
        <f aca="false">1/AD311</f>
        <v>0.903508300457389</v>
      </c>
      <c r="AG311" s="25" t="n">
        <f aca="false">AC311*(14.068*'Sem TS MC2020'!$P303^-0.457)/$R311</f>
        <v>1.30786210238512</v>
      </c>
      <c r="AH311" s="25"/>
      <c r="AP311" s="4" t="n">
        <f aca="false">$AQ$2*($AQ$3+$AQ$4*$F311/($N311*'Sem TS MC2020'!P303))*($AQ$5*$G311+$AQ$6*$B311/$N311)*('Sem TS MC2020'!P303^$AQ$7/200000)*($J311-$M311)/($J311-$M311-$H311)+('Sem TS MC2020'!P303-$C311/$AQ$8)*($AQ$5*$G311+$AQ$6*$B311/$N311)/200000</f>
        <v>0.221014356671026</v>
      </c>
      <c r="AQ311" s="4" t="n">
        <f aca="false">AP311/$R311</f>
        <v>1.22785753706125</v>
      </c>
      <c r="AR311" s="24" t="n">
        <f aca="false">AP311-$R311</f>
        <v>0.0410143566710259</v>
      </c>
    </row>
    <row r="312" customFormat="false" ht="14.25" hidden="false" customHeight="false" outlineLevel="0" collapsed="false">
      <c r="B312" s="2" t="n">
        <v>22.2</v>
      </c>
      <c r="C312" s="3" t="n">
        <v>276</v>
      </c>
      <c r="D312" s="3" t="n">
        <v>2</v>
      </c>
      <c r="E312" s="2" t="n">
        <v>63.6</v>
      </c>
      <c r="F312" s="4" t="n">
        <v>2.83369179024989</v>
      </c>
      <c r="G312" s="2" t="n">
        <v>38</v>
      </c>
      <c r="H312" s="2" t="n">
        <v>49.1</v>
      </c>
      <c r="I312" s="1" t="n">
        <v>152.4</v>
      </c>
      <c r="J312" s="2" t="n">
        <v>381</v>
      </c>
      <c r="K312" s="3" t="n">
        <v>774</v>
      </c>
      <c r="L312" s="4" t="n">
        <v>24399.24</v>
      </c>
      <c r="M312" s="3" t="n">
        <v>118.804893272016</v>
      </c>
      <c r="N312" s="12" t="n">
        <v>0.0317222995470351</v>
      </c>
      <c r="O312" s="4" t="n">
        <v>58.7559</v>
      </c>
      <c r="P312" s="3" t="n">
        <v>210.83691767683</v>
      </c>
      <c r="Q312" s="4" t="n">
        <f aca="false">(P312-P$354)/P$355</f>
        <v>-0.283822851128214</v>
      </c>
      <c r="R312" s="4" t="n">
        <v>0.22</v>
      </c>
      <c r="S312" s="13" t="n">
        <f aca="false">P312/200000</f>
        <v>0.00105418458838415</v>
      </c>
      <c r="W312" s="4" t="n">
        <f aca="false">$X$2*($X$3*$G312+$X$4*$B312^$X$5*$N312^$X$6)*$S312^$X$7</f>
        <v>0.253397573862425</v>
      </c>
      <c r="X312" s="4" t="n">
        <f aca="false">W312/$R312</f>
        <v>1.15180715392011</v>
      </c>
      <c r="Z312" s="4" t="n">
        <f aca="false">$AA$2*$B312^$AA$3*$S312^$AA$4*($AA$5*$N312^$AA$6+$AA$7)</f>
        <v>0.252479535468671</v>
      </c>
      <c r="AA312" s="4" t="n">
        <f aca="false">Z312/$R312</f>
        <v>1.14763425213032</v>
      </c>
      <c r="AC312" s="4" t="n">
        <f aca="false">$AD$2*($AD$3+$AD$4*$F312/($N312*'Sem TS MC2020'!P304))*($AD$5*$G312+$AD$6*$B312/$N312)*'Sem TS MC2020'!R304*($J312-$M312)/($J312-$M312-$H312)</f>
        <v>0.237212841126772</v>
      </c>
      <c r="AD312" s="4" t="n">
        <f aca="false">AC312/$R312</f>
        <v>1.07824018693987</v>
      </c>
      <c r="AE312" s="24" t="n">
        <f aca="false">AC312-$R312</f>
        <v>0.0172128411267718</v>
      </c>
      <c r="AF312" s="25" t="n">
        <f aca="false">1/AD312</f>
        <v>0.927437144443741</v>
      </c>
      <c r="AG312" s="25" t="n">
        <f aca="false">AC312*(14.068*'Sem TS MC2020'!$P304^-0.457)/$R312</f>
        <v>1.19544232022975</v>
      </c>
      <c r="AH312" s="25"/>
      <c r="AP312" s="4" t="n">
        <f aca="false">$AQ$2*($AQ$3+$AQ$4*$F312/($N312*'Sem TS MC2020'!P304))*($AQ$5*$G312+$AQ$6*$B312/$N312)*('Sem TS MC2020'!P304^$AQ$7/200000)*($J312-$M312)/($J312-$M312-$H312)+('Sem TS MC2020'!P304-$C312/$AQ$8)*($AQ$5*$G312+$AQ$6*$B312/$N312)/200000</f>
        <v>0.258280033527379</v>
      </c>
      <c r="AQ312" s="4" t="n">
        <f aca="false">AP312/$R312</f>
        <v>1.17400015239718</v>
      </c>
      <c r="AR312" s="24" t="n">
        <f aca="false">AP312-$R312</f>
        <v>0.0382800335273786</v>
      </c>
    </row>
    <row r="313" customFormat="false" ht="14.25" hidden="false" customHeight="false" outlineLevel="0" collapsed="false">
      <c r="B313" s="2" t="n">
        <v>22.2</v>
      </c>
      <c r="C313" s="3" t="n">
        <v>276</v>
      </c>
      <c r="D313" s="3" t="n">
        <v>2</v>
      </c>
      <c r="E313" s="2" t="n">
        <v>63.6</v>
      </c>
      <c r="F313" s="4" t="n">
        <v>2.83369179024989</v>
      </c>
      <c r="G313" s="2" t="n">
        <v>38</v>
      </c>
      <c r="H313" s="2" t="n">
        <v>49.1</v>
      </c>
      <c r="I313" s="1" t="n">
        <v>152.4</v>
      </c>
      <c r="J313" s="2" t="n">
        <v>381</v>
      </c>
      <c r="K313" s="3" t="n">
        <v>774</v>
      </c>
      <c r="L313" s="4" t="n">
        <v>24399.24</v>
      </c>
      <c r="M313" s="3" t="n">
        <v>118.804893272016</v>
      </c>
      <c r="N313" s="12" t="n">
        <v>0.0317222995470351</v>
      </c>
      <c r="O313" s="4" t="n">
        <v>66.199</v>
      </c>
      <c r="P313" s="3" t="n">
        <v>230.581592187972</v>
      </c>
      <c r="Q313" s="4" t="n">
        <f aca="false">(P313-P$354)/P$355</f>
        <v>-0.118288779447517</v>
      </c>
      <c r="R313" s="4" t="n">
        <v>0.25</v>
      </c>
      <c r="S313" s="13" t="n">
        <f aca="false">P313/200000</f>
        <v>0.00115290796093986</v>
      </c>
      <c r="W313" s="4" t="n">
        <f aca="false">$X$2*($X$3*$G313+$X$4*$B313^$X$5*$N313^$X$6)*$S313^$X$7</f>
        <v>0.267787415144474</v>
      </c>
      <c r="X313" s="4" t="n">
        <f aca="false">W313/$R313</f>
        <v>1.0711496605779</v>
      </c>
      <c r="Z313" s="4" t="n">
        <f aca="false">$AA$2*$B313^$AA$3*$S313^$AA$4*($AA$5*$N313^$AA$6+$AA$7)</f>
        <v>0.267080112779004</v>
      </c>
      <c r="AA313" s="4" t="n">
        <f aca="false">Z313/$R313</f>
        <v>1.06832045111601</v>
      </c>
      <c r="AC313" s="4" t="n">
        <f aca="false">$AD$2*($AD$3+$AD$4*$F313/($N313*'Sem TS MC2020'!P305))*($AD$5*$G313+$AD$6*$B313/$N313)*'Sem TS MC2020'!R305*($J313-$M313)/($J313-$M313-$H313)</f>
        <v>0.255295428200078</v>
      </c>
      <c r="AD313" s="4" t="n">
        <f aca="false">AC313/$R313</f>
        <v>1.02118171280031</v>
      </c>
      <c r="AE313" s="24" t="n">
        <f aca="false">AC313-$R313</f>
        <v>0.005295428200078</v>
      </c>
      <c r="AF313" s="25" t="n">
        <f aca="false">1/AD313</f>
        <v>0.97925764578938</v>
      </c>
      <c r="AG313" s="25" t="n">
        <f aca="false">AC313*(14.068*'Sem TS MC2020'!$P305^-0.457)/$R313</f>
        <v>1.10149824844868</v>
      </c>
      <c r="AH313" s="25"/>
      <c r="AP313" s="4" t="n">
        <f aca="false">$AQ$2*($AQ$3+$AQ$4*$F313/($N313*'Sem TS MC2020'!P305))*($AQ$5*$G313+$AQ$6*$B313/$N313)*('Sem TS MC2020'!P305^$AQ$7/200000)*($J313-$M313)/($J313-$M313-$H313)+('Sem TS MC2020'!P305-$C313/$AQ$8)*($AQ$5*$G313+$AQ$6*$B313/$N313)/200000</f>
        <v>0.275660705101841</v>
      </c>
      <c r="AQ313" s="4" t="n">
        <f aca="false">AP313/$R313</f>
        <v>1.10264282040737</v>
      </c>
      <c r="AR313" s="24" t="n">
        <f aca="false">AP313-$R313</f>
        <v>0.0256607051018413</v>
      </c>
    </row>
    <row r="314" customFormat="false" ht="14.25" hidden="false" customHeight="false" outlineLevel="0" collapsed="false">
      <c r="A314" s="1" t="s">
        <v>94</v>
      </c>
      <c r="B314" s="2" t="n">
        <v>22.2</v>
      </c>
      <c r="C314" s="3" t="n">
        <v>276</v>
      </c>
      <c r="D314" s="3" t="n">
        <v>2</v>
      </c>
      <c r="E314" s="2" t="n">
        <v>63.6</v>
      </c>
      <c r="F314" s="4" t="n">
        <v>2.75637342683892</v>
      </c>
      <c r="G314" s="2" t="n">
        <v>38</v>
      </c>
      <c r="H314" s="2" t="n">
        <v>49.1</v>
      </c>
      <c r="I314" s="1" t="n">
        <v>152.4</v>
      </c>
      <c r="J314" s="2" t="n">
        <v>381</v>
      </c>
      <c r="K314" s="3" t="n">
        <v>774</v>
      </c>
      <c r="L314" s="4" t="n">
        <v>24399.24</v>
      </c>
      <c r="M314" s="3" t="n">
        <v>119.448592270941</v>
      </c>
      <c r="N314" s="12" t="n">
        <v>0.0317222995470351</v>
      </c>
      <c r="O314" s="4" t="n">
        <v>43.9383</v>
      </c>
      <c r="P314" s="3" t="n">
        <v>132.243766638631</v>
      </c>
      <c r="Q314" s="4" t="n">
        <f aca="false">(P314-P$354)/P$355</f>
        <v>-0.942726814838897</v>
      </c>
      <c r="R314" s="4" t="n">
        <v>0.2</v>
      </c>
      <c r="S314" s="13" t="n">
        <f aca="false">P314/200000</f>
        <v>0.000661218833193157</v>
      </c>
      <c r="W314" s="4" t="n">
        <f aca="false">$X$2*($X$3*$G314+$X$4*$B314^$X$5*$N314^$X$6)*$S314^$X$7</f>
        <v>0.19002724371719</v>
      </c>
      <c r="X314" s="4" t="n">
        <f aca="false">W314/$R314</f>
        <v>0.950136218585951</v>
      </c>
      <c r="Z314" s="4" t="n">
        <f aca="false">$AA$2*$B314^$AA$3*$S314^$AA$4*($AA$5*$N314^$AA$6+$AA$7)</f>
        <v>0.188369815848595</v>
      </c>
      <c r="AA314" s="4" t="n">
        <f aca="false">Z314/$R314</f>
        <v>0.941849079242976</v>
      </c>
      <c r="AC314" s="4" t="n">
        <f aca="false">$AD$2*($AD$3+$AD$4*$F314/($N314*'Sem TS MC2020'!P306))*($AD$5*$G314+$AD$6*$B314/$N314)*'Sem TS MC2020'!R306*($J314-$M314)/($J314-$M314-$H314)</f>
        <v>0.165363020375408</v>
      </c>
      <c r="AD314" s="4" t="n">
        <f aca="false">AC314/$R314</f>
        <v>0.82681510187704</v>
      </c>
      <c r="AE314" s="24" t="n">
        <f aca="false">AC314-$R314</f>
        <v>-0.0346369796245919</v>
      </c>
      <c r="AF314" s="25" t="n">
        <f aca="false">1/AD314</f>
        <v>1.20946025021773</v>
      </c>
      <c r="AG314" s="25" t="n">
        <f aca="false">AC314*(14.068*'Sem TS MC2020'!$P306^-0.457)/$R314</f>
        <v>1.04653300537634</v>
      </c>
      <c r="AH314" s="25"/>
      <c r="AP314" s="4" t="n">
        <f aca="false">$AQ$2*($AQ$3+$AQ$4*$F314/($N314*'Sem TS MC2020'!P306))*($AQ$5*$G314+$AQ$6*$B314/$N314)*('Sem TS MC2020'!P306^$AQ$7/200000)*($J314-$M314)/($J314-$M314-$H314)+('Sem TS MC2020'!P306-$C314/$AQ$8)*($AQ$5*$G314+$AQ$6*$B314/$N314)/200000</f>
        <v>0.18695878862055</v>
      </c>
      <c r="AQ314" s="4" t="n">
        <f aca="false">AP314/$R314</f>
        <v>0.934793943102749</v>
      </c>
      <c r="AR314" s="24" t="n">
        <f aca="false">AP314-$R314</f>
        <v>-0.0130412113794502</v>
      </c>
    </row>
    <row r="315" customFormat="false" ht="14.25" hidden="false" customHeight="false" outlineLevel="0" collapsed="false">
      <c r="B315" s="2" t="n">
        <v>22.2</v>
      </c>
      <c r="C315" s="3" t="n">
        <v>276</v>
      </c>
      <c r="D315" s="3" t="n">
        <v>2</v>
      </c>
      <c r="E315" s="2" t="n">
        <v>63.6</v>
      </c>
      <c r="F315" s="4" t="n">
        <v>2.75637342683892</v>
      </c>
      <c r="G315" s="2" t="n">
        <v>38</v>
      </c>
      <c r="H315" s="2" t="n">
        <v>49.1</v>
      </c>
      <c r="I315" s="1" t="n">
        <v>152.4</v>
      </c>
      <c r="J315" s="2" t="n">
        <v>381</v>
      </c>
      <c r="K315" s="3" t="n">
        <v>774</v>
      </c>
      <c r="L315" s="4" t="n">
        <v>24399.24</v>
      </c>
      <c r="M315" s="3" t="n">
        <v>119.448592270941</v>
      </c>
      <c r="N315" s="12" t="n">
        <v>0.0317222995470351</v>
      </c>
      <c r="O315" s="4" t="n">
        <v>51.107</v>
      </c>
      <c r="P315" s="3" t="n">
        <v>170.969776347295</v>
      </c>
      <c r="Q315" s="4" t="n">
        <f aca="false">(P315-P$354)/P$355</f>
        <v>-0.61805830417777</v>
      </c>
      <c r="R315" s="4" t="n">
        <v>0.25</v>
      </c>
      <c r="S315" s="13" t="n">
        <f aca="false">P315/200000</f>
        <v>0.000854848881736476</v>
      </c>
      <c r="W315" s="4" t="n">
        <f aca="false">$X$2*($X$3*$G315+$X$4*$B315^$X$5*$N315^$X$6)*$S315^$X$7</f>
        <v>0.222658151461831</v>
      </c>
      <c r="X315" s="4" t="n">
        <f aca="false">W315/$R315</f>
        <v>0.890632605847322</v>
      </c>
      <c r="Z315" s="4" t="n">
        <f aca="false">$AA$2*$B315^$AA$3*$S315^$AA$4*($AA$5*$N315^$AA$6+$AA$7)</f>
        <v>0.221340572413008</v>
      </c>
      <c r="AA315" s="4" t="n">
        <f aca="false">Z315/$R315</f>
        <v>0.88536228965203</v>
      </c>
      <c r="AC315" s="4" t="n">
        <f aca="false">$AD$2*($AD$3+$AD$4*$F315/($N315*'Sem TS MC2020'!P307))*($AD$5*$G315+$AD$6*$B315/$N315)*'Sem TS MC2020'!R307*($J315-$M315)/($J315-$M315-$H315)</f>
        <v>0.201013841142553</v>
      </c>
      <c r="AD315" s="4" t="n">
        <f aca="false">AC315/$R315</f>
        <v>0.804055364570211</v>
      </c>
      <c r="AE315" s="24" t="n">
        <f aca="false">AC315-$R315</f>
        <v>-0.0489861588574473</v>
      </c>
      <c r="AF315" s="25" t="n">
        <f aca="false">1/AD315</f>
        <v>1.24369545191024</v>
      </c>
      <c r="AG315" s="25" t="n">
        <f aca="false">AC315*(14.068*'Sem TS MC2020'!$P307^-0.457)/$R315</f>
        <v>0.949804691896087</v>
      </c>
      <c r="AH315" s="25"/>
      <c r="AP315" s="4" t="n">
        <f aca="false">$AQ$2*($AQ$3+$AQ$4*$F315/($N315*'Sem TS MC2020'!P307))*($AQ$5*$G315+$AQ$6*$B315/$N315)*('Sem TS MC2020'!P307^$AQ$7/200000)*($J315-$M315)/($J315-$M315-$H315)+('Sem TS MC2020'!P307-$C315/$AQ$8)*($AQ$5*$G315+$AQ$6*$B315/$N315)/200000</f>
        <v>0.222966672884959</v>
      </c>
      <c r="AQ315" s="4" t="n">
        <f aca="false">AP315/$R315</f>
        <v>0.891866691539836</v>
      </c>
      <c r="AR315" s="24" t="n">
        <f aca="false">AP315-$R315</f>
        <v>-0.0270333271150409</v>
      </c>
    </row>
    <row r="316" customFormat="false" ht="14.25" hidden="false" customHeight="false" outlineLevel="0" collapsed="false">
      <c r="B316" s="2" t="n">
        <v>22.2</v>
      </c>
      <c r="C316" s="3" t="n">
        <v>276</v>
      </c>
      <c r="D316" s="3" t="n">
        <v>2</v>
      </c>
      <c r="E316" s="2" t="n">
        <v>63.6</v>
      </c>
      <c r="F316" s="4" t="n">
        <v>2.75637342683892</v>
      </c>
      <c r="G316" s="2" t="n">
        <v>38</v>
      </c>
      <c r="H316" s="2" t="n">
        <v>49.1</v>
      </c>
      <c r="I316" s="1" t="n">
        <v>152.4</v>
      </c>
      <c r="J316" s="2" t="n">
        <v>381</v>
      </c>
      <c r="K316" s="3" t="n">
        <v>774</v>
      </c>
      <c r="L316" s="4" t="n">
        <v>24399.24</v>
      </c>
      <c r="M316" s="3" t="n">
        <v>119.448592270941</v>
      </c>
      <c r="N316" s="12" t="n">
        <v>0.0317222995470351</v>
      </c>
      <c r="O316" s="4" t="n">
        <v>58.7559</v>
      </c>
      <c r="P316" s="3" t="n">
        <v>212.289872830702</v>
      </c>
      <c r="Q316" s="4" t="n">
        <f aca="false">(P316-P$354)/P$355</f>
        <v>-0.271641663615897</v>
      </c>
      <c r="R316" s="4" t="n">
        <v>0.3</v>
      </c>
      <c r="S316" s="13" t="n">
        <f aca="false">P316/200000</f>
        <v>0.00106144936415351</v>
      </c>
      <c r="W316" s="4" t="n">
        <f aca="false">$X$2*($X$3*$G316+$X$4*$B316^$X$5*$N316^$X$6)*$S316^$X$7</f>
        <v>0.254473596647764</v>
      </c>
      <c r="X316" s="4" t="n">
        <f aca="false">W316/$R316</f>
        <v>0.848245322159214</v>
      </c>
      <c r="Z316" s="4" t="n">
        <f aca="false">$AA$2*$B316^$AA$3*$S316^$AA$4*($AA$5*$N316^$AA$6+$AA$7)</f>
        <v>0.253570815211746</v>
      </c>
      <c r="AA316" s="4" t="n">
        <f aca="false">Z316/$R316</f>
        <v>0.84523605070582</v>
      </c>
      <c r="AC316" s="4" t="n">
        <f aca="false">$AD$2*($AD$3+$AD$4*$F316/($N316*'Sem TS MC2020'!P308))*($AD$5*$G316+$AD$6*$B316/$N316)*'Sem TS MC2020'!R308*($J316-$M316)/($J316-$M316-$H316)</f>
        <v>0.239052755166827</v>
      </c>
      <c r="AD316" s="4" t="n">
        <f aca="false">AC316/$R316</f>
        <v>0.796842517222756</v>
      </c>
      <c r="AE316" s="24" t="n">
        <f aca="false">AC316-$R316</f>
        <v>-0.0609472448331733</v>
      </c>
      <c r="AF316" s="25" t="n">
        <f aca="false">1/AD316</f>
        <v>1.25495311606277</v>
      </c>
      <c r="AG316" s="25" t="n">
        <f aca="false">AC316*(14.068*'Sem TS MC2020'!$P308^-0.457)/$R316</f>
        <v>0.88316096487148</v>
      </c>
      <c r="AH316" s="25"/>
      <c r="AP316" s="4" t="n">
        <f aca="false">$AQ$2*($AQ$3+$AQ$4*$F316/($N316*'Sem TS MC2020'!P308))*($AQ$5*$G316+$AQ$6*$B316/$N316)*('Sem TS MC2020'!P308^$AQ$7/200000)*($J316-$M316)/($J316-$M316-$H316)+('Sem TS MC2020'!P308-$C316/$AQ$8)*($AQ$5*$G316+$AQ$6*$B316/$N316)/200000</f>
        <v>0.260233000608209</v>
      </c>
      <c r="AQ316" s="4" t="n">
        <f aca="false">AP316/$R316</f>
        <v>0.867443335360696</v>
      </c>
      <c r="AR316" s="24" t="n">
        <f aca="false">AP316-$R316</f>
        <v>-0.0397669993917912</v>
      </c>
    </row>
    <row r="317" customFormat="false" ht="14.25" hidden="false" customHeight="false" outlineLevel="0" collapsed="false">
      <c r="B317" s="2" t="n">
        <v>22.2</v>
      </c>
      <c r="C317" s="3" t="n">
        <v>276</v>
      </c>
      <c r="D317" s="3" t="n">
        <v>2</v>
      </c>
      <c r="E317" s="2" t="n">
        <v>63.6</v>
      </c>
      <c r="F317" s="4" t="n">
        <v>2.75637342683892</v>
      </c>
      <c r="G317" s="2" t="n">
        <v>38</v>
      </c>
      <c r="H317" s="2" t="n">
        <v>49.1</v>
      </c>
      <c r="I317" s="1" t="n">
        <v>152.4</v>
      </c>
      <c r="J317" s="2" t="n">
        <v>381</v>
      </c>
      <c r="K317" s="3" t="n">
        <v>774</v>
      </c>
      <c r="L317" s="4" t="n">
        <v>24399.24</v>
      </c>
      <c r="M317" s="3" t="n">
        <v>119.448592270941</v>
      </c>
      <c r="N317" s="12" t="n">
        <v>0.0317222995470351</v>
      </c>
      <c r="O317" s="4" t="n">
        <v>66.199</v>
      </c>
      <c r="P317" s="3" t="n">
        <v>231.710386616697</v>
      </c>
      <c r="Q317" s="4" t="n">
        <f aca="false">(P317-P$354)/P$355</f>
        <v>-0.108825268779266</v>
      </c>
      <c r="R317" s="4" t="n">
        <v>0.35</v>
      </c>
      <c r="S317" s="13" t="n">
        <f aca="false">P317/200000</f>
        <v>0.00115855193308349</v>
      </c>
      <c r="W317" s="4" t="n">
        <f aca="false">$X$2*($X$3*$G317+$X$4*$B317^$X$5*$N317^$X$6)*$S317^$X$7</f>
        <v>0.268595504036958</v>
      </c>
      <c r="X317" s="4" t="n">
        <f aca="false">W317/$R317</f>
        <v>0.767415725819881</v>
      </c>
      <c r="Z317" s="4" t="n">
        <f aca="false">$AA$2*$B317^$AA$3*$S317^$AA$4*($AA$5*$N317^$AA$6+$AA$7)</f>
        <v>0.267900458043429</v>
      </c>
      <c r="AA317" s="4" t="n">
        <f aca="false">Z317/$R317</f>
        <v>0.765429880124084</v>
      </c>
      <c r="AC317" s="4" t="n">
        <f aca="false">$AD$2*($AD$3+$AD$4*$F317/($N317*'Sem TS MC2020'!P309))*($AD$5*$G317+$AD$6*$B317/$N317)*'Sem TS MC2020'!R309*($J317-$M317)/($J317-$M317-$H317)</f>
        <v>0.256931107762382</v>
      </c>
      <c r="AD317" s="4" t="n">
        <f aca="false">AC317/$R317</f>
        <v>0.734088879321091</v>
      </c>
      <c r="AE317" s="24" t="n">
        <f aca="false">AC317-$R317</f>
        <v>-0.0930688922376181</v>
      </c>
      <c r="AF317" s="25" t="n">
        <f aca="false">1/AD317</f>
        <v>1.36223286875675</v>
      </c>
      <c r="AG317" s="25" t="n">
        <f aca="false">AC317*(14.068*'Sem TS MC2020'!$P309^-0.457)/$R317</f>
        <v>0.791825396638252</v>
      </c>
      <c r="AH317" s="25"/>
      <c r="AP317" s="4" t="n">
        <f aca="false">$AQ$2*($AQ$3+$AQ$4*$F317/($N317*'Sem TS MC2020'!P309))*($AQ$5*$G317+$AQ$6*$B317/$N317)*('Sem TS MC2020'!P309^$AQ$7/200000)*($J317-$M317)/($J317-$M317-$H317)+('Sem TS MC2020'!P309-$C317/$AQ$8)*($AQ$5*$G317+$AQ$6*$B317/$N317)/200000</f>
        <v>0.277398383191841</v>
      </c>
      <c r="AQ317" s="4" t="n">
        <f aca="false">AP317/$R317</f>
        <v>0.792566809119545</v>
      </c>
      <c r="AR317" s="24" t="n">
        <f aca="false">AP317-$R317</f>
        <v>-0.0726016168081591</v>
      </c>
    </row>
    <row r="318" customFormat="false" ht="14.25" hidden="false" customHeight="false" outlineLevel="0" collapsed="false">
      <c r="A318" s="1" t="s">
        <v>95</v>
      </c>
      <c r="B318" s="2" t="n">
        <v>28.7</v>
      </c>
      <c r="C318" s="3" t="n">
        <v>276</v>
      </c>
      <c r="D318" s="3" t="n">
        <v>2</v>
      </c>
      <c r="E318" s="2" t="n">
        <v>50.6</v>
      </c>
      <c r="F318" s="4" t="n">
        <v>2.77481740215607</v>
      </c>
      <c r="G318" s="2" t="n">
        <v>22.2</v>
      </c>
      <c r="H318" s="2" t="n">
        <v>36.6</v>
      </c>
      <c r="I318" s="1" t="n">
        <v>152.4</v>
      </c>
      <c r="J318" s="2" t="n">
        <v>381</v>
      </c>
      <c r="K318" s="3" t="n">
        <v>1290</v>
      </c>
      <c r="L318" s="4" t="n">
        <v>19522.44</v>
      </c>
      <c r="M318" s="3" t="n">
        <v>148.014985731185</v>
      </c>
      <c r="N318" s="12" t="n">
        <v>0.0660778058480395</v>
      </c>
      <c r="O318" s="4" t="n">
        <v>89.1114</v>
      </c>
      <c r="P318" s="3" t="n">
        <v>203.543390285314</v>
      </c>
      <c r="Q318" s="4" t="n">
        <f aca="false">(P318-P$354)/P$355</f>
        <v>-0.344969834602215</v>
      </c>
      <c r="R318" s="4" t="n">
        <v>0.17</v>
      </c>
      <c r="S318" s="13" t="n">
        <f aca="false">P318/200000</f>
        <v>0.00101771695142657</v>
      </c>
      <c r="W318" s="4" t="n">
        <f aca="false">$X$2*($X$3*$G318+$X$4*$B318^$X$5*$N318^$X$6)*$S318^$X$7</f>
        <v>0.217118224994981</v>
      </c>
      <c r="X318" s="4" t="n">
        <f aca="false">W318/$R318</f>
        <v>1.27716602938224</v>
      </c>
      <c r="Z318" s="4" t="n">
        <f aca="false">$AA$2*$B318^$AA$3*$S318^$AA$4*($AA$5*$N318^$AA$6+$AA$7)</f>
        <v>0.226570323927194</v>
      </c>
      <c r="AA318" s="4" t="n">
        <f aca="false">Z318/$R318</f>
        <v>1.33276661133644</v>
      </c>
      <c r="AC318" s="4" t="n">
        <f aca="false">$AD$2*($AD$3+$AD$4*$F318/($N318*'Sem TS MC2020'!P310))*($AD$5*$G318+$AD$6*$B318/$N318)*'Sem TS MC2020'!R310*($J318-$M318)/($J318-$M318-$H318)</f>
        <v>0.139741026126834</v>
      </c>
      <c r="AD318" s="4" t="n">
        <f aca="false">AC318/$R318</f>
        <v>0.822006036040198</v>
      </c>
      <c r="AE318" s="24" t="n">
        <f aca="false">AC318-$R318</f>
        <v>-0.0302589738731663</v>
      </c>
      <c r="AF318" s="25" t="n">
        <f aca="false">1/AD318</f>
        <v>1.21653607900161</v>
      </c>
      <c r="AG318" s="25" t="n">
        <f aca="false">AC318*(14.068*'Sem TS MC2020'!$P310^-0.457)/$R318</f>
        <v>0.955603011495589</v>
      </c>
      <c r="AH318" s="25"/>
      <c r="AP318" s="4" t="n">
        <f aca="false">$AQ$2*($AQ$3+$AQ$4*$F318/($N318*'Sem TS MC2020'!P310))*($AQ$5*$G318+$AQ$6*$B318/$N318)*('Sem TS MC2020'!P310^$AQ$7/200000)*($J318-$M318)/($J318-$M318-$H318)+('Sem TS MC2020'!P310-$C318/$AQ$8)*($AQ$5*$G318+$AQ$6*$B318/$N318)/200000</f>
        <v>0.154726863161304</v>
      </c>
      <c r="AQ318" s="4" t="n">
        <f aca="false">AP318/$R318</f>
        <v>0.910158018595904</v>
      </c>
      <c r="AR318" s="24" t="n">
        <f aca="false">AP318-$R318</f>
        <v>-0.0152731368386964</v>
      </c>
    </row>
    <row r="319" customFormat="false" ht="14.25" hidden="false" customHeight="false" outlineLevel="0" collapsed="false">
      <c r="B319" s="2" t="n">
        <v>28.7</v>
      </c>
      <c r="C319" s="3" t="n">
        <v>276</v>
      </c>
      <c r="D319" s="3" t="n">
        <v>2</v>
      </c>
      <c r="E319" s="2" t="n">
        <v>50.6</v>
      </c>
      <c r="F319" s="4" t="n">
        <v>2.77481740215607</v>
      </c>
      <c r="G319" s="2" t="n">
        <v>22.2</v>
      </c>
      <c r="H319" s="2" t="n">
        <v>36.6</v>
      </c>
      <c r="I319" s="1" t="n">
        <v>152.4</v>
      </c>
      <c r="J319" s="2" t="n">
        <v>381</v>
      </c>
      <c r="K319" s="3" t="n">
        <v>1290</v>
      </c>
      <c r="L319" s="4" t="n">
        <v>19522.44</v>
      </c>
      <c r="M319" s="3" t="n">
        <v>148.014985731185</v>
      </c>
      <c r="N319" s="12" t="n">
        <v>0.0660778058480395</v>
      </c>
      <c r="O319" s="4" t="n">
        <v>104.615</v>
      </c>
      <c r="P319" s="3" t="n">
        <v>249.4431202379</v>
      </c>
      <c r="Q319" s="4" t="n">
        <f aca="false">(P319-P$354)/P$355</f>
        <v>0.0398412284420637</v>
      </c>
      <c r="R319" s="4" t="n">
        <v>0.2</v>
      </c>
      <c r="S319" s="13" t="n">
        <f aca="false">P319/200000</f>
        <v>0.0012472156011895</v>
      </c>
      <c r="W319" s="4" t="n">
        <f aca="false">$X$2*($X$3*$G319+$X$4*$B319^$X$5*$N319^$X$6)*$S319^$X$7</f>
        <v>0.246142350001028</v>
      </c>
      <c r="X319" s="4" t="n">
        <f aca="false">W319/$R319</f>
        <v>1.23071175000514</v>
      </c>
      <c r="Z319" s="4" t="n">
        <f aca="false">$AA$2*$B319^$AA$3*$S319^$AA$4*($AA$5*$N319^$AA$6+$AA$7)</f>
        <v>0.257433195828106</v>
      </c>
      <c r="AA319" s="4" t="n">
        <f aca="false">Z319/$R319</f>
        <v>1.28716597914053</v>
      </c>
      <c r="AC319" s="4" t="n">
        <f aca="false">$AD$2*($AD$3+$AD$4*$F319/($N319*'Sem TS MC2020'!P311))*($AD$5*$G319+$AD$6*$B319/$N319)*'Sem TS MC2020'!R311*($J319-$M319)/($J319-$M319-$H319)</f>
        <v>0.166682204164478</v>
      </c>
      <c r="AD319" s="4" t="n">
        <f aca="false">AC319/$R319</f>
        <v>0.833411020822388</v>
      </c>
      <c r="AE319" s="24" t="n">
        <f aca="false">AC319-$R319</f>
        <v>-0.0333177958355225</v>
      </c>
      <c r="AF319" s="25" t="n">
        <f aca="false">1/AD319</f>
        <v>1.19988814044387</v>
      </c>
      <c r="AG319" s="25" t="n">
        <f aca="false">AC319*(14.068*'Sem TS MC2020'!$P311^-0.457)/$R319</f>
        <v>0.900382003205465</v>
      </c>
      <c r="AH319" s="25"/>
      <c r="AP319" s="4" t="n">
        <f aca="false">$AQ$2*($AQ$3+$AQ$4*$F319/($N319*'Sem TS MC2020'!P311))*($AQ$5*$G319+$AQ$6*$B319/$N319)*('Sem TS MC2020'!P311^$AQ$7/200000)*($J319-$M319)/($J319-$M319-$H319)+('Sem TS MC2020'!P311-$C319/$AQ$8)*($AQ$5*$G319+$AQ$6*$B319/$N319)/200000</f>
        <v>0.180502259181001</v>
      </c>
      <c r="AQ319" s="4" t="n">
        <f aca="false">AP319/$R319</f>
        <v>0.902511295905006</v>
      </c>
      <c r="AR319" s="24" t="n">
        <f aca="false">AP319-$R319</f>
        <v>-0.0194977408189989</v>
      </c>
    </row>
    <row r="320" customFormat="false" ht="14.25" hidden="false" customHeight="false" outlineLevel="0" collapsed="false">
      <c r="A320" s="1" t="s">
        <v>96</v>
      </c>
      <c r="B320" s="2" t="n">
        <v>28.7</v>
      </c>
      <c r="C320" s="3" t="n">
        <v>276</v>
      </c>
      <c r="D320" s="3" t="n">
        <v>2</v>
      </c>
      <c r="E320" s="2" t="n">
        <v>50.6</v>
      </c>
      <c r="F320" s="4" t="n">
        <v>2.80171464705939</v>
      </c>
      <c r="G320" s="2" t="n">
        <v>38.2</v>
      </c>
      <c r="H320" s="2" t="n">
        <v>52.5</v>
      </c>
      <c r="I320" s="1" t="n">
        <v>152.4</v>
      </c>
      <c r="J320" s="2" t="n">
        <v>381</v>
      </c>
      <c r="K320" s="3" t="n">
        <v>1290</v>
      </c>
      <c r="L320" s="4" t="n">
        <v>28003.5</v>
      </c>
      <c r="M320" s="3" t="n">
        <v>143.366253802848</v>
      </c>
      <c r="N320" s="12" t="n">
        <v>0.0460656703626332</v>
      </c>
      <c r="O320" s="4" t="n">
        <v>64.9985</v>
      </c>
      <c r="P320" s="3" t="n">
        <v>131.979351866831</v>
      </c>
      <c r="Q320" s="4" t="n">
        <f aca="false">(P320-P$354)/P$355</f>
        <v>-0.944943597585246</v>
      </c>
      <c r="R320" s="4" t="n">
        <v>0.17</v>
      </c>
      <c r="S320" s="13" t="n">
        <f aca="false">P320/200000</f>
        <v>0.000659896759334156</v>
      </c>
      <c r="W320" s="4" t="n">
        <f aca="false">$X$2*($X$3*$G320+$X$4*$B320^$X$5*$N320^$X$6)*$S320^$X$7</f>
        <v>0.193053347621714</v>
      </c>
      <c r="X320" s="4" t="n">
        <f aca="false">W320/$R320</f>
        <v>1.13560792718656</v>
      </c>
      <c r="Z320" s="4" t="n">
        <f aca="false">$AA$2*$B320^$AA$3*$S320^$AA$4*($AA$5*$N320^$AA$6+$AA$7)</f>
        <v>0.195452096469142</v>
      </c>
      <c r="AA320" s="4" t="n">
        <f aca="false">Z320/$R320</f>
        <v>1.14971821452436</v>
      </c>
      <c r="AC320" s="4" t="n">
        <f aca="false">$AD$2*($AD$3+$AD$4*$F320/($N320*'Sem TS MC2020'!P312))*($AD$5*$G320+$AD$6*$B320/$N320)*'Sem TS MC2020'!R312*($J320-$M320)/($J320-$M320-$H320)</f>
        <v>0.158276820917127</v>
      </c>
      <c r="AD320" s="4" t="n">
        <f aca="false">AC320/$R320</f>
        <v>0.931040123041925</v>
      </c>
      <c r="AE320" s="24" t="n">
        <f aca="false">AC320-$R320</f>
        <v>-0.0117231790828728</v>
      </c>
      <c r="AF320" s="25" t="n">
        <f aca="false">1/AD320</f>
        <v>1.07406756728461</v>
      </c>
      <c r="AG320" s="25" t="n">
        <f aca="false">AC320*(14.068*'Sem TS MC2020'!$P312^-0.457)/$R320</f>
        <v>1.222075863461</v>
      </c>
      <c r="AH320" s="25"/>
      <c r="AP320" s="4" t="n">
        <f aca="false">$AQ$2*($AQ$3+$AQ$4*$F320/($N320*'Sem TS MC2020'!P312))*($AQ$5*$G320+$AQ$6*$B320/$N320)*('Sem TS MC2020'!P312^$AQ$7/200000)*($J320-$M320)/($J320-$M320-$H320)+('Sem TS MC2020'!P312-$C320/$AQ$8)*($AQ$5*$G320+$AQ$6*$B320/$N320)/200000</f>
        <v>0.179652690550453</v>
      </c>
      <c r="AQ320" s="4" t="n">
        <f aca="false">AP320/$R320</f>
        <v>1.05678053264972</v>
      </c>
      <c r="AR320" s="24" t="n">
        <f aca="false">AP320-$R320</f>
        <v>0.00965269055045256</v>
      </c>
    </row>
    <row r="321" customFormat="false" ht="14.25" hidden="false" customHeight="false" outlineLevel="0" collapsed="false">
      <c r="B321" s="2" t="n">
        <v>28.7</v>
      </c>
      <c r="C321" s="3" t="n">
        <v>276</v>
      </c>
      <c r="D321" s="3" t="n">
        <v>2</v>
      </c>
      <c r="E321" s="2" t="n">
        <v>50.6</v>
      </c>
      <c r="F321" s="4" t="n">
        <v>2.80171464705939</v>
      </c>
      <c r="G321" s="2" t="n">
        <v>38.2</v>
      </c>
      <c r="H321" s="2" t="n">
        <v>52.5</v>
      </c>
      <c r="I321" s="1" t="n">
        <v>152.4</v>
      </c>
      <c r="J321" s="2" t="n">
        <v>381</v>
      </c>
      <c r="K321" s="3" t="n">
        <v>1290</v>
      </c>
      <c r="L321" s="4" t="n">
        <v>28003.5</v>
      </c>
      <c r="M321" s="3" t="n">
        <v>143.366253802848</v>
      </c>
      <c r="N321" s="12" t="n">
        <v>0.0460656703626332</v>
      </c>
      <c r="O321" s="4" t="n">
        <v>77.0378</v>
      </c>
      <c r="P321" s="3" t="n">
        <v>169.013580919241</v>
      </c>
      <c r="Q321" s="4" t="n">
        <f aca="false">(P321-P$354)/P$355</f>
        <v>-0.634458523590164</v>
      </c>
      <c r="R321" s="4" t="n">
        <v>0.2</v>
      </c>
      <c r="S321" s="13" t="n">
        <f aca="false">P321/200000</f>
        <v>0.000845067904596202</v>
      </c>
      <c r="W321" s="4" t="n">
        <f aca="false">$X$2*($X$3*$G321+$X$4*$B321^$X$5*$N321^$X$6)*$S321^$X$7</f>
        <v>0.224881002939563</v>
      </c>
      <c r="X321" s="4" t="n">
        <f aca="false">W321/$R321</f>
        <v>1.12440501469781</v>
      </c>
      <c r="Z321" s="4" t="n">
        <f aca="false">$AA$2*$B321^$AA$3*$S321^$AA$4*($AA$5*$N321^$AA$6+$AA$7)</f>
        <v>0.22829549287567</v>
      </c>
      <c r="AA321" s="4" t="n">
        <f aca="false">Z321/$R321</f>
        <v>1.14147746437835</v>
      </c>
      <c r="AC321" s="4" t="n">
        <f aca="false">$AD$2*($AD$3+$AD$4*$F321/($N321*'Sem TS MC2020'!P313))*($AD$5*$G321+$AD$6*$B321/$N321)*'Sem TS MC2020'!R313*($J321-$M321)/($J321-$M321-$H321)</f>
        <v>0.194219232188559</v>
      </c>
      <c r="AD321" s="4" t="n">
        <f aca="false">AC321/$R321</f>
        <v>0.971096160942796</v>
      </c>
      <c r="AE321" s="24" t="n">
        <f aca="false">AC321-$R321</f>
        <v>-0.00578076781144074</v>
      </c>
      <c r="AF321" s="25" t="n">
        <f aca="false">1/AD321</f>
        <v>1.02976413687924</v>
      </c>
      <c r="AG321" s="25" t="n">
        <f aca="false">AC321*(14.068*'Sem TS MC2020'!$P313^-0.457)/$R321</f>
        <v>1.17941096460822</v>
      </c>
      <c r="AH321" s="25"/>
      <c r="AP321" s="4" t="n">
        <f aca="false">$AQ$2*($AQ$3+$AQ$4*$F321/($N321*'Sem TS MC2020'!P313))*($AQ$5*$G321+$AQ$6*$B321/$N321)*('Sem TS MC2020'!P313^$AQ$7/200000)*($J321-$M321)/($J321-$M321-$H321)+('Sem TS MC2020'!P313-$C321/$AQ$8)*($AQ$5*$G321+$AQ$6*$B321/$N321)/200000</f>
        <v>0.215676665907051</v>
      </c>
      <c r="AQ321" s="4" t="n">
        <f aca="false">AP321/$R321</f>
        <v>1.07838332953526</v>
      </c>
      <c r="AR321" s="24" t="n">
        <f aca="false">AP321-$R321</f>
        <v>0.0156766659070515</v>
      </c>
    </row>
    <row r="322" customFormat="false" ht="14.25" hidden="false" customHeight="false" outlineLevel="0" collapsed="false">
      <c r="B322" s="2" t="n">
        <v>28.7</v>
      </c>
      <c r="C322" s="3" t="n">
        <v>276</v>
      </c>
      <c r="D322" s="3" t="n">
        <v>2</v>
      </c>
      <c r="E322" s="2" t="n">
        <v>50.6</v>
      </c>
      <c r="F322" s="4" t="n">
        <v>2.80171464705939</v>
      </c>
      <c r="G322" s="2" t="n">
        <v>38.2</v>
      </c>
      <c r="H322" s="2" t="n">
        <v>52.5</v>
      </c>
      <c r="I322" s="1" t="n">
        <v>152.4</v>
      </c>
      <c r="J322" s="2" t="n">
        <v>381</v>
      </c>
      <c r="K322" s="3" t="n">
        <v>1290</v>
      </c>
      <c r="L322" s="4" t="n">
        <v>28003.5</v>
      </c>
      <c r="M322" s="3" t="n">
        <v>143.366253802848</v>
      </c>
      <c r="N322" s="12" t="n">
        <v>0.0460656703626332</v>
      </c>
      <c r="O322" s="4" t="n">
        <v>88.8027</v>
      </c>
      <c r="P322" s="3" t="n">
        <v>206.918796245383</v>
      </c>
      <c r="Q322" s="4" t="n">
        <f aca="false">(P322-P$354)/P$355</f>
        <v>-0.316671333564366</v>
      </c>
      <c r="R322" s="4" t="n">
        <v>0.25</v>
      </c>
      <c r="S322" s="13" t="n">
        <f aca="false">P322/200000</f>
        <v>0.00103459398122692</v>
      </c>
      <c r="W322" s="4" t="n">
        <f aca="false">$X$2*($X$3*$G322+$X$4*$B322^$X$5*$N322^$X$6)*$S322^$X$7</f>
        <v>0.254784911471389</v>
      </c>
      <c r="X322" s="4" t="n">
        <f aca="false">W322/$R322</f>
        <v>1.01913964588556</v>
      </c>
      <c r="Z322" s="4" t="n">
        <f aca="false">$AA$2*$B322^$AA$3*$S322^$AA$4*($AA$5*$N322^$AA$6+$AA$7)</f>
        <v>0.259229806080513</v>
      </c>
      <c r="AA322" s="4" t="n">
        <f aca="false">Z322/$R322</f>
        <v>1.03691922432205</v>
      </c>
      <c r="AC322" s="4" t="n">
        <f aca="false">$AD$2*($AD$3+$AD$4*$F322/($N322*'Sem TS MC2020'!P314))*($AD$5*$G322+$AD$6*$B322/$N322)*'Sem TS MC2020'!R314*($J322-$M322)/($J322-$M322-$H322)</f>
        <v>0.229342443203093</v>
      </c>
      <c r="AD322" s="4" t="n">
        <f aca="false">AC322/$R322</f>
        <v>0.91736977281237</v>
      </c>
      <c r="AE322" s="24" t="n">
        <f aca="false">AC322-$R322</f>
        <v>-0.0206575567969074</v>
      </c>
      <c r="AF322" s="25" t="n">
        <f aca="false">1/AD322</f>
        <v>1.09007297780731</v>
      </c>
      <c r="AG322" s="25" t="n">
        <f aca="false">AC322*(14.068*'Sem TS MC2020'!$P314^-0.457)/$R322</f>
        <v>1.04409558520043</v>
      </c>
      <c r="AH322" s="25"/>
      <c r="AP322" s="4" t="n">
        <f aca="false">$AQ$2*($AQ$3+$AQ$4*$F322/($N322*'Sem TS MC2020'!P314))*($AQ$5*$G322+$AQ$6*$B322/$N322)*('Sem TS MC2020'!P314^$AQ$7/200000)*($J322-$M322)/($J322-$M322-$H322)+('Sem TS MC2020'!P314-$C322/$AQ$8)*($AQ$5*$G322+$AQ$6*$B322/$N322)/200000</f>
        <v>0.249799826836955</v>
      </c>
      <c r="AQ322" s="4" t="n">
        <f aca="false">AP322/$R322</f>
        <v>0.99919930734782</v>
      </c>
      <c r="AR322" s="24" t="n">
        <f aca="false">AP322-$R322</f>
        <v>-0.000200173163045131</v>
      </c>
    </row>
    <row r="323" customFormat="false" ht="14.25" hidden="false" customHeight="false" outlineLevel="0" collapsed="false">
      <c r="B323" s="2" t="n">
        <v>28.7</v>
      </c>
      <c r="C323" s="3" t="n">
        <v>276</v>
      </c>
      <c r="D323" s="3" t="n">
        <v>2</v>
      </c>
      <c r="E323" s="2" t="n">
        <v>50.6</v>
      </c>
      <c r="F323" s="4" t="n">
        <v>2.80171464705939</v>
      </c>
      <c r="G323" s="2" t="n">
        <v>38.2</v>
      </c>
      <c r="H323" s="2" t="n">
        <v>52.5</v>
      </c>
      <c r="I323" s="1" t="n">
        <v>152.4</v>
      </c>
      <c r="J323" s="2" t="n">
        <v>381</v>
      </c>
      <c r="K323" s="3" t="n">
        <v>1290</v>
      </c>
      <c r="L323" s="4" t="n">
        <v>28003.5</v>
      </c>
      <c r="M323" s="3" t="n">
        <v>143.366253802848</v>
      </c>
      <c r="N323" s="12" t="n">
        <v>0.0460656703626332</v>
      </c>
      <c r="O323" s="4" t="n">
        <v>104.615</v>
      </c>
      <c r="P323" s="3" t="n">
        <v>242.58289538577</v>
      </c>
      <c r="Q323" s="4" t="n">
        <f aca="false">(P323-P$354)/P$355</f>
        <v>-0.0176730624001207</v>
      </c>
      <c r="R323" s="4" t="n">
        <v>0.29</v>
      </c>
      <c r="S323" s="13" t="n">
        <f aca="false">P323/200000</f>
        <v>0.00121291447692885</v>
      </c>
      <c r="W323" s="4" t="n">
        <f aca="false">$X$2*($X$3*$G323+$X$4*$B323^$X$5*$N323^$X$6)*$S323^$X$7</f>
        <v>0.281050180426813</v>
      </c>
      <c r="X323" s="4" t="n">
        <f aca="false">W323/$R323</f>
        <v>0.969138553195907</v>
      </c>
      <c r="Z323" s="4" t="n">
        <f aca="false">$AA$2*$B323^$AA$3*$S323^$AA$4*($AA$5*$N323^$AA$6+$AA$7)</f>
        <v>0.286453914050984</v>
      </c>
      <c r="AA323" s="4" t="n">
        <f aca="false">Z323/$R323</f>
        <v>0.987772117417185</v>
      </c>
      <c r="AC323" s="4" t="n">
        <f aca="false">$AD$2*($AD$3+$AD$4*$F323/($N323*'Sem TS MC2020'!P315))*($AD$5*$G323+$AD$6*$B323/$N323)*'Sem TS MC2020'!R315*($J323-$M323)/($J323-$M323-$H323)</f>
        <v>0.262389021859173</v>
      </c>
      <c r="AD323" s="4" t="n">
        <f aca="false">AC323/$R323</f>
        <v>0.904789730548874</v>
      </c>
      <c r="AE323" s="24" t="n">
        <f aca="false">AC323-$R323</f>
        <v>-0.0276109781408266</v>
      </c>
      <c r="AF323" s="25" t="n">
        <f aca="false">1/AD323</f>
        <v>1.10522916677378</v>
      </c>
      <c r="AG323" s="25" t="n">
        <f aca="false">AC323*(14.068*'Sem TS MC2020'!$P315^-0.457)/$R323</f>
        <v>0.975951969097613</v>
      </c>
      <c r="AH323" s="25"/>
      <c r="AP323" s="4" t="n">
        <f aca="false">$AQ$2*($AQ$3+$AQ$4*$F323/($N323*'Sem TS MC2020'!P315))*($AQ$5*$G323+$AQ$6*$B323/$N323)*('Sem TS MC2020'!P315^$AQ$7/200000)*($J323-$M323)/($J323-$M323-$H323)+('Sem TS MC2020'!P315-$C323/$AQ$8)*($AQ$5*$G323+$AQ$6*$B323/$N323)/200000</f>
        <v>0.281101959075313</v>
      </c>
      <c r="AQ323" s="4" t="n">
        <f aca="false">AP323/$R323</f>
        <v>0.969317100259702</v>
      </c>
      <c r="AR323" s="24" t="n">
        <f aca="false">AP323-$R323</f>
        <v>-0.00889804092468655</v>
      </c>
    </row>
    <row r="324" customFormat="false" ht="14.25" hidden="false" customHeight="false" outlineLevel="0" collapsed="false">
      <c r="A324" s="1" t="s">
        <v>97</v>
      </c>
      <c r="B324" s="2" t="n">
        <v>28.7</v>
      </c>
      <c r="C324" s="3" t="n">
        <v>276</v>
      </c>
      <c r="D324" s="3" t="n">
        <v>2</v>
      </c>
      <c r="E324" s="2" t="n">
        <v>50.6</v>
      </c>
      <c r="F324" s="4" t="n">
        <v>2.71531164579845</v>
      </c>
      <c r="G324" s="2" t="n">
        <v>38.2</v>
      </c>
      <c r="H324" s="2" t="n">
        <v>52.5</v>
      </c>
      <c r="I324" s="1" t="n">
        <v>152.4</v>
      </c>
      <c r="J324" s="2" t="n">
        <v>381</v>
      </c>
      <c r="K324" s="3" t="n">
        <v>1290</v>
      </c>
      <c r="L324" s="4" t="n">
        <v>28003.5</v>
      </c>
      <c r="M324" s="3" t="n">
        <v>144.176756028631</v>
      </c>
      <c r="N324" s="12" t="n">
        <v>0.0460656703626332</v>
      </c>
      <c r="O324" s="4" t="n">
        <v>77.0378</v>
      </c>
      <c r="P324" s="3" t="n">
        <v>170.44511898843</v>
      </c>
      <c r="Q324" s="4" t="n">
        <f aca="false">(P324-P$354)/P$355</f>
        <v>-0.622456891189226</v>
      </c>
      <c r="R324" s="4" t="n">
        <v>0.17</v>
      </c>
      <c r="S324" s="13" t="n">
        <f aca="false">P324/200000</f>
        <v>0.000852225594942151</v>
      </c>
      <c r="W324" s="4" t="n">
        <f aca="false">$X$2*($X$3*$G324+$X$4*$B324^$X$5*$N324^$X$6)*$S324^$X$7</f>
        <v>0.22605432429934</v>
      </c>
      <c r="X324" s="4" t="n">
        <f aca="false">W324/$R324</f>
        <v>1.32973131940788</v>
      </c>
      <c r="Z324" s="4" t="n">
        <f aca="false">$AA$2*$B324^$AA$3*$S324^$AA$4*($AA$5*$N324^$AA$6+$AA$7)</f>
        <v>0.229507921520722</v>
      </c>
      <c r="AA324" s="4" t="n">
        <f aca="false">Z324/$R324</f>
        <v>1.35004659718072</v>
      </c>
      <c r="AC324" s="4" t="n">
        <f aca="false">$AD$2*($AD$3+$AD$4*$F324/($N324*'Sem TS MC2020'!P316))*($AD$5*$G324+$AD$6*$B324/$N324)*'Sem TS MC2020'!R316*($J324-$M324)/($J324-$M324-$H324)</f>
        <v>0.195733921547322</v>
      </c>
      <c r="AD324" s="4" t="n">
        <f aca="false">AC324/$R324</f>
        <v>1.15137600910189</v>
      </c>
      <c r="AE324" s="24" t="n">
        <f aca="false">AC324-$R324</f>
        <v>0.0257339215473218</v>
      </c>
      <c r="AF324" s="25" t="n">
        <f aca="false">1/AD324</f>
        <v>0.86852600027686</v>
      </c>
      <c r="AG324" s="25" t="n">
        <f aca="false">AC324*(14.068*'Sem TS MC2020'!$P316^-0.457)/$R324</f>
        <v>1.39774835554404</v>
      </c>
      <c r="AH324" s="25"/>
      <c r="AP324" s="4" t="n">
        <f aca="false">$AQ$2*($AQ$3+$AQ$4*$F324/($N324*'Sem TS MC2020'!P316))*($AQ$5*$G324+$AQ$6*$B324/$N324)*('Sem TS MC2020'!P316^$AQ$7/200000)*($J324-$M324)/($J324-$M324-$H324)+('Sem TS MC2020'!P316-$C324/$AQ$8)*($AQ$5*$G324+$AQ$6*$B324/$N324)/200000</f>
        <v>0.217324550875495</v>
      </c>
      <c r="AQ324" s="4" t="n">
        <f aca="false">AP324/$R324</f>
        <v>1.27837971103232</v>
      </c>
      <c r="AR324" s="24" t="n">
        <f aca="false">AP324-$R324</f>
        <v>0.0473245508754948</v>
      </c>
    </row>
    <row r="325" customFormat="false" ht="14.25" hidden="false" customHeight="false" outlineLevel="0" collapsed="false">
      <c r="A325" s="1" t="s">
        <v>98</v>
      </c>
      <c r="B325" s="2" t="n">
        <v>28.7</v>
      </c>
      <c r="C325" s="3" t="n">
        <v>276</v>
      </c>
      <c r="D325" s="3" t="n">
        <v>2</v>
      </c>
      <c r="E325" s="2" t="n">
        <v>50.6</v>
      </c>
      <c r="F325" s="4" t="n">
        <v>2.80171464705939</v>
      </c>
      <c r="G325" s="2" t="n">
        <v>38.2</v>
      </c>
      <c r="H325" s="2" t="n">
        <v>52.5</v>
      </c>
      <c r="I325" s="1" t="n">
        <v>152.4</v>
      </c>
      <c r="J325" s="2" t="n">
        <v>381</v>
      </c>
      <c r="K325" s="3" t="n">
        <v>1290</v>
      </c>
      <c r="L325" s="4" t="n">
        <v>28003.5</v>
      </c>
      <c r="M325" s="3" t="n">
        <v>143.366253802848</v>
      </c>
      <c r="N325" s="12" t="n">
        <v>0.0460656703626332</v>
      </c>
      <c r="O325" s="4" t="n">
        <v>64.9985</v>
      </c>
      <c r="P325" s="3" t="n">
        <v>131.979351866831</v>
      </c>
      <c r="Q325" s="4" t="n">
        <f aca="false">(P325-P$354)/P$355</f>
        <v>-0.944943597585246</v>
      </c>
      <c r="R325" s="4" t="n">
        <v>0.15</v>
      </c>
      <c r="S325" s="13" t="n">
        <f aca="false">P325/200000</f>
        <v>0.000659896759334156</v>
      </c>
      <c r="W325" s="4" t="n">
        <f aca="false">$X$2*($X$3*$G325+$X$4*$B325^$X$5*$N325^$X$6)*$S325^$X$7</f>
        <v>0.193053347621714</v>
      </c>
      <c r="X325" s="4" t="n">
        <f aca="false">W325/$R325</f>
        <v>1.2870223174781</v>
      </c>
      <c r="Z325" s="4" t="n">
        <f aca="false">$AA$2*$B325^$AA$3*$S325^$AA$4*($AA$5*$N325^$AA$6+$AA$7)</f>
        <v>0.195452096469142</v>
      </c>
      <c r="AA325" s="4" t="n">
        <f aca="false">Z325/$R325</f>
        <v>1.30301397646095</v>
      </c>
      <c r="AC325" s="4" t="n">
        <f aca="false">$AD$2*($AD$3+$AD$4*$F325/($N325*'Sem TS MC2020'!P317))*($AD$5*$G325+$AD$6*$B325/$N325)*'Sem TS MC2020'!R317*($J325-$M325)/($J325-$M325-$H325)</f>
        <v>0.158276820917127</v>
      </c>
      <c r="AD325" s="4" t="n">
        <f aca="false">AC325/$R325</f>
        <v>1.05517880611418</v>
      </c>
      <c r="AE325" s="24" t="n">
        <f aca="false">AC325-$R325</f>
        <v>0.00827682091712723</v>
      </c>
      <c r="AF325" s="25" t="n">
        <f aca="false">1/AD325</f>
        <v>0.947706677015828</v>
      </c>
      <c r="AG325" s="25" t="n">
        <f aca="false">AC325*(14.068*'Sem TS MC2020'!$P317^-0.457)/$R325</f>
        <v>1.38501931192247</v>
      </c>
      <c r="AH325" s="25"/>
      <c r="AP325" s="4" t="n">
        <f aca="false">$AQ$2*($AQ$3+$AQ$4*$F325/($N325*'Sem TS MC2020'!P317))*($AQ$5*$G325+$AQ$6*$B325/$N325)*('Sem TS MC2020'!P317^$AQ$7/200000)*($J325-$M325)/($J325-$M325-$H325)+('Sem TS MC2020'!P317-$C325/$AQ$8)*($AQ$5*$G325+$AQ$6*$B325/$N325)/200000</f>
        <v>0.179652690550453</v>
      </c>
      <c r="AQ325" s="4" t="n">
        <f aca="false">AP325/$R325</f>
        <v>1.19768460366968</v>
      </c>
      <c r="AR325" s="24" t="n">
        <f aca="false">AP325-$R325</f>
        <v>0.0296526905504526</v>
      </c>
    </row>
    <row r="326" customFormat="false" ht="14.25" hidden="false" customHeight="false" outlineLevel="0" collapsed="false">
      <c r="B326" s="2" t="n">
        <v>28.7</v>
      </c>
      <c r="C326" s="3" t="n">
        <v>276</v>
      </c>
      <c r="D326" s="3" t="n">
        <v>2</v>
      </c>
      <c r="E326" s="2" t="n">
        <v>50.6</v>
      </c>
      <c r="F326" s="4" t="n">
        <v>2.80171464705939</v>
      </c>
      <c r="G326" s="2" t="n">
        <v>38.2</v>
      </c>
      <c r="H326" s="2" t="n">
        <v>52.5</v>
      </c>
      <c r="I326" s="1" t="n">
        <v>152.4</v>
      </c>
      <c r="J326" s="2" t="n">
        <v>381</v>
      </c>
      <c r="K326" s="3" t="n">
        <v>1290</v>
      </c>
      <c r="L326" s="4" t="n">
        <v>28003.5</v>
      </c>
      <c r="M326" s="3" t="n">
        <v>143.366253802848</v>
      </c>
      <c r="N326" s="12" t="n">
        <v>0.0460656703626332</v>
      </c>
      <c r="O326" s="4" t="n">
        <v>77.0378</v>
      </c>
      <c r="P326" s="3" t="n">
        <v>169.013580919241</v>
      </c>
      <c r="Q326" s="4" t="n">
        <f aca="false">(P326-P$354)/P$355</f>
        <v>-0.634458523590164</v>
      </c>
      <c r="R326" s="4" t="n">
        <v>0.16</v>
      </c>
      <c r="S326" s="13" t="n">
        <f aca="false">P326/200000</f>
        <v>0.000845067904596202</v>
      </c>
      <c r="W326" s="4" t="n">
        <f aca="false">$X$2*($X$3*$G326+$X$4*$B326^$X$5*$N326^$X$6)*$S326^$X$7</f>
        <v>0.224881002939563</v>
      </c>
      <c r="X326" s="4" t="n">
        <f aca="false">W326/$R326</f>
        <v>1.40550626837227</v>
      </c>
      <c r="Z326" s="4" t="n">
        <f aca="false">$AA$2*$B326^$AA$3*$S326^$AA$4*($AA$5*$N326^$AA$6+$AA$7)</f>
        <v>0.22829549287567</v>
      </c>
      <c r="AA326" s="4" t="n">
        <f aca="false">Z326/$R326</f>
        <v>1.42684683047294</v>
      </c>
      <c r="AC326" s="4" t="n">
        <f aca="false">$AD$2*($AD$3+$AD$4*$F326/($N326*'Sem TS MC2020'!P318))*($AD$5*$G326+$AD$6*$B326/$N326)*'Sem TS MC2020'!R318*($J326-$M326)/($J326-$M326-$H326)</f>
        <v>0.194219232188559</v>
      </c>
      <c r="AD326" s="4" t="n">
        <f aca="false">AC326/$R326</f>
        <v>1.2138702011785</v>
      </c>
      <c r="AE326" s="24" t="n">
        <f aca="false">AC326-$R326</f>
        <v>0.0342192321885593</v>
      </c>
      <c r="AF326" s="25" t="n">
        <f aca="false">1/AD326</f>
        <v>0.82381130950339</v>
      </c>
      <c r="AG326" s="25" t="n">
        <f aca="false">AC326*(14.068*'Sem TS MC2020'!$P318^-0.457)/$R326</f>
        <v>1.47426370576028</v>
      </c>
      <c r="AH326" s="25"/>
      <c r="AP326" s="4" t="n">
        <f aca="false">$AQ$2*($AQ$3+$AQ$4*$F326/($N326*'Sem TS MC2020'!P318))*($AQ$5*$G326+$AQ$6*$B326/$N326)*('Sem TS MC2020'!P318^$AQ$7/200000)*($J326-$M326)/($J326-$M326-$H326)+('Sem TS MC2020'!P318-$C326/$AQ$8)*($AQ$5*$G326+$AQ$6*$B326/$N326)/200000</f>
        <v>0.215676665907051</v>
      </c>
      <c r="AQ326" s="4" t="n">
        <f aca="false">AP326/$R326</f>
        <v>1.34797916191907</v>
      </c>
      <c r="AR326" s="24" t="n">
        <f aca="false">AP326-$R326</f>
        <v>0.0556766659070515</v>
      </c>
    </row>
    <row r="327" customFormat="false" ht="14.25" hidden="false" customHeight="false" outlineLevel="0" collapsed="false">
      <c r="B327" s="2" t="n">
        <v>28.7</v>
      </c>
      <c r="C327" s="3" t="n">
        <v>276</v>
      </c>
      <c r="D327" s="3" t="n">
        <v>2</v>
      </c>
      <c r="E327" s="2" t="n">
        <v>50.6</v>
      </c>
      <c r="F327" s="4" t="n">
        <v>2.80171464705939</v>
      </c>
      <c r="G327" s="2" t="n">
        <v>38.2</v>
      </c>
      <c r="H327" s="2" t="n">
        <v>52.5</v>
      </c>
      <c r="I327" s="1" t="n">
        <v>152.4</v>
      </c>
      <c r="J327" s="2" t="n">
        <v>381</v>
      </c>
      <c r="K327" s="3" t="n">
        <v>1290</v>
      </c>
      <c r="L327" s="4" t="n">
        <v>28003.5</v>
      </c>
      <c r="M327" s="3" t="n">
        <v>143.366253802848</v>
      </c>
      <c r="N327" s="12" t="n">
        <v>0.0460656703626332</v>
      </c>
      <c r="O327" s="4" t="n">
        <v>88.8027</v>
      </c>
      <c r="P327" s="3" t="n">
        <v>206.918796245383</v>
      </c>
      <c r="Q327" s="4" t="n">
        <f aca="false">(P327-P$354)/P$355</f>
        <v>-0.316671333564366</v>
      </c>
      <c r="R327" s="4" t="n">
        <v>0.22</v>
      </c>
      <c r="S327" s="13" t="n">
        <f aca="false">P327/200000</f>
        <v>0.00103459398122692</v>
      </c>
      <c r="W327" s="4" t="n">
        <f aca="false">$X$2*($X$3*$G327+$X$4*$B327^$X$5*$N327^$X$6)*$S327^$X$7</f>
        <v>0.254784911471389</v>
      </c>
      <c r="X327" s="4" t="n">
        <f aca="false">W327/$R327</f>
        <v>1.15811323396086</v>
      </c>
      <c r="Z327" s="4" t="n">
        <f aca="false">$AA$2*$B327^$AA$3*$S327^$AA$4*($AA$5*$N327^$AA$6+$AA$7)</f>
        <v>0.259229806080513</v>
      </c>
      <c r="AA327" s="4" t="n">
        <f aca="false">Z327/$R327</f>
        <v>1.17831730036597</v>
      </c>
      <c r="AC327" s="4" t="n">
        <f aca="false">$AD$2*($AD$3+$AD$4*$F327/($N327*'Sem TS MC2020'!P319))*($AD$5*$G327+$AD$6*$B327/$N327)*'Sem TS MC2020'!R319*($J327-$M327)/($J327-$M327-$H327)</f>
        <v>0.229342443203093</v>
      </c>
      <c r="AD327" s="4" t="n">
        <f aca="false">AC327/$R327</f>
        <v>1.04246565092315</v>
      </c>
      <c r="AE327" s="24" t="n">
        <f aca="false">AC327-$R327</f>
        <v>0.0093424432030926</v>
      </c>
      <c r="AF327" s="25" t="n">
        <f aca="false">1/AD327</f>
        <v>0.959264220470437</v>
      </c>
      <c r="AG327" s="25" t="n">
        <f aca="false">AC327*(14.068*'Sem TS MC2020'!$P319^-0.457)/$R327</f>
        <v>1.18647225590958</v>
      </c>
      <c r="AH327" s="25"/>
      <c r="AP327" s="4" t="n">
        <f aca="false">$AQ$2*($AQ$3+$AQ$4*$F327/($N327*'Sem TS MC2020'!P319))*($AQ$5*$G327+$AQ$6*$B327/$N327)*('Sem TS MC2020'!P319^$AQ$7/200000)*($J327-$M327)/($J327-$M327-$H327)+('Sem TS MC2020'!P319-$C327/$AQ$8)*($AQ$5*$G327+$AQ$6*$B327/$N327)/200000</f>
        <v>0.249799826836955</v>
      </c>
      <c r="AQ327" s="4" t="n">
        <f aca="false">AP327/$R327</f>
        <v>1.13545375834979</v>
      </c>
      <c r="AR327" s="24" t="n">
        <f aca="false">AP327-$R327</f>
        <v>0.0297998268369549</v>
      </c>
    </row>
    <row r="328" customFormat="false" ht="14.25" hidden="false" customHeight="false" outlineLevel="0" collapsed="false">
      <c r="B328" s="2" t="n">
        <v>28.7</v>
      </c>
      <c r="C328" s="3" t="n">
        <v>276</v>
      </c>
      <c r="D328" s="3" t="n">
        <v>2</v>
      </c>
      <c r="E328" s="2" t="n">
        <v>50.6</v>
      </c>
      <c r="F328" s="4" t="n">
        <v>2.80171464705939</v>
      </c>
      <c r="G328" s="2" t="n">
        <v>38.2</v>
      </c>
      <c r="H328" s="2" t="n">
        <v>52.5</v>
      </c>
      <c r="I328" s="1" t="n">
        <v>152.4</v>
      </c>
      <c r="J328" s="2" t="n">
        <v>381</v>
      </c>
      <c r="K328" s="3" t="n">
        <v>1290</v>
      </c>
      <c r="L328" s="4" t="n">
        <v>28003.5</v>
      </c>
      <c r="M328" s="3" t="n">
        <v>143.366253802848</v>
      </c>
      <c r="N328" s="12" t="n">
        <v>0.0460656703626332</v>
      </c>
      <c r="O328" s="4" t="n">
        <v>104.615</v>
      </c>
      <c r="P328" s="3" t="n">
        <v>242.58289538577</v>
      </c>
      <c r="Q328" s="4" t="n">
        <f aca="false">(P328-P$354)/P$355</f>
        <v>-0.0176730624001207</v>
      </c>
      <c r="R328" s="4" t="n">
        <v>0.26</v>
      </c>
      <c r="S328" s="13" t="n">
        <f aca="false">P328/200000</f>
        <v>0.00121291447692885</v>
      </c>
      <c r="W328" s="4" t="n">
        <f aca="false">$X$2*($X$3*$G328+$X$4*$B328^$X$5*$N328^$X$6)*$S328^$X$7</f>
        <v>0.281050180426813</v>
      </c>
      <c r="X328" s="4" t="n">
        <f aca="false">W328/$R328</f>
        <v>1.08096223241082</v>
      </c>
      <c r="Z328" s="4" t="n">
        <f aca="false">$AA$2*$B328^$AA$3*$S328^$AA$4*($AA$5*$N328^$AA$6+$AA$7)</f>
        <v>0.286453914050984</v>
      </c>
      <c r="AA328" s="4" t="n">
        <f aca="false">Z328/$R328</f>
        <v>1.10174582327301</v>
      </c>
      <c r="AC328" s="4" t="n">
        <f aca="false">$AD$2*($AD$3+$AD$4*$F328/($N328*'Sem TS MC2020'!P320))*($AD$5*$G328+$AD$6*$B328/$N328)*'Sem TS MC2020'!R320*($J328-$M328)/($J328-$M328-$H328)</f>
        <v>0.262389021859173</v>
      </c>
      <c r="AD328" s="4" t="n">
        <f aca="false">AC328/$R328</f>
        <v>1.00918854561221</v>
      </c>
      <c r="AE328" s="24" t="n">
        <f aca="false">AC328-$R328</f>
        <v>0.00238902185917333</v>
      </c>
      <c r="AF328" s="25" t="n">
        <f aca="false">1/AD328</f>
        <v>0.990895115038557</v>
      </c>
      <c r="AG328" s="25" t="n">
        <f aca="false">AC328*(14.068*'Sem TS MC2020'!$P320^-0.457)/$R328</f>
        <v>1.0885618116858</v>
      </c>
      <c r="AH328" s="25"/>
      <c r="AP328" s="4" t="n">
        <f aca="false">$AQ$2*($AQ$3+$AQ$4*$F328/($N328*'Sem TS MC2020'!P320))*($AQ$5*$G328+$AQ$6*$B328/$N328)*('Sem TS MC2020'!P320^$AQ$7/200000)*($J328-$M328)/($J328-$M328-$H328)+('Sem TS MC2020'!P320-$C328/$AQ$8)*($AQ$5*$G328+$AQ$6*$B328/$N328)/200000</f>
        <v>0.281101959075313</v>
      </c>
      <c r="AQ328" s="4" t="n">
        <f aca="false">AP328/$R328</f>
        <v>1.0811613810589</v>
      </c>
      <c r="AR328" s="24" t="n">
        <f aca="false">AP328-$R328</f>
        <v>0.0211019590753134</v>
      </c>
    </row>
    <row r="329" customFormat="false" ht="14.25" hidden="false" customHeight="false" outlineLevel="0" collapsed="false">
      <c r="A329" s="1" t="s">
        <v>99</v>
      </c>
      <c r="B329" s="2" t="n">
        <v>28.7</v>
      </c>
      <c r="C329" s="3" t="n">
        <v>276</v>
      </c>
      <c r="D329" s="3" t="n">
        <v>2</v>
      </c>
      <c r="E329" s="2" t="n">
        <v>50.6</v>
      </c>
      <c r="F329" s="4" t="n">
        <v>2.52444806810338</v>
      </c>
      <c r="G329" s="2" t="n">
        <v>38.2</v>
      </c>
      <c r="H329" s="2" t="n">
        <v>52.5</v>
      </c>
      <c r="I329" s="1" t="n">
        <v>152.4</v>
      </c>
      <c r="J329" s="2" t="n">
        <v>381</v>
      </c>
      <c r="K329" s="3" t="n">
        <v>1290</v>
      </c>
      <c r="L329" s="4" t="n">
        <v>28003.5</v>
      </c>
      <c r="M329" s="3" t="n">
        <v>146.0713467674</v>
      </c>
      <c r="N329" s="12" t="n">
        <v>0.0460656703626332</v>
      </c>
      <c r="O329" s="4" t="n">
        <v>77.0378</v>
      </c>
      <c r="P329" s="3" t="n">
        <v>173.642021432502</v>
      </c>
      <c r="Q329" s="4" t="n">
        <f aca="false">(P329-P$354)/P$355</f>
        <v>-0.595654915900421</v>
      </c>
      <c r="R329" s="4" t="n">
        <v>0.17</v>
      </c>
      <c r="S329" s="13" t="n">
        <f aca="false">P329/200000</f>
        <v>0.000868210107162509</v>
      </c>
      <c r="W329" s="4" t="n">
        <f aca="false">$X$2*($X$3*$G329+$X$4*$B329^$X$5*$N329^$X$6)*$S329^$X$7</f>
        <v>0.228661038829003</v>
      </c>
      <c r="X329" s="4" t="n">
        <f aca="false">W329/$R329</f>
        <v>1.34506493428825</v>
      </c>
      <c r="Z329" s="4" t="n">
        <f aca="false">$AA$2*$B329^$AA$3*$S329^$AA$4*($AA$5*$N329^$AA$6+$AA$7)</f>
        <v>0.232201919620443</v>
      </c>
      <c r="AA329" s="4" t="n">
        <f aca="false">Z329/$R329</f>
        <v>1.36589364482613</v>
      </c>
      <c r="AC329" s="4" t="n">
        <f aca="false">$AD$2*($AD$3+$AD$4*$F329/($N329*'Sem TS MC2020'!P321))*($AD$5*$G329+$AD$6*$B329/$N329)*'Sem TS MC2020'!R321*($J329-$M329)/($J329-$M329-$H329)</f>
        <v>0.199150703387494</v>
      </c>
      <c r="AD329" s="4" t="n">
        <f aca="false">AC329/$R329</f>
        <v>1.17147472580879</v>
      </c>
      <c r="AE329" s="24" t="n">
        <f aca="false">AC329-$R329</f>
        <v>0.0291507033874944</v>
      </c>
      <c r="AF329" s="25" t="n">
        <f aca="false">1/AD329</f>
        <v>0.853624903695294</v>
      </c>
      <c r="AG329" s="25" t="n">
        <f aca="false">AC329*(14.068*'Sem TS MC2020'!$P321^-0.457)/$R329</f>
        <v>1.42068334577605</v>
      </c>
      <c r="AH329" s="25"/>
      <c r="AP329" s="4" t="n">
        <f aca="false">$AQ$2*($AQ$3+$AQ$4*$F329/($N329*'Sem TS MC2020'!P321))*($AQ$5*$G329+$AQ$6*$B329/$N329)*('Sem TS MC2020'!P321^$AQ$7/200000)*($J329-$M329)/($J329-$M329-$H329)+('Sem TS MC2020'!P321-$C329/$AQ$8)*($AQ$5*$G329+$AQ$6*$B329/$N329)/200000</f>
        <v>0.221036726143124</v>
      </c>
      <c r="AQ329" s="4" t="n">
        <f aca="false">AP329/$R329</f>
        <v>1.30021603613602</v>
      </c>
      <c r="AR329" s="24" t="n">
        <f aca="false">AP329-$R329</f>
        <v>0.051036726143124</v>
      </c>
    </row>
    <row r="330" customFormat="false" ht="14.25" hidden="false" customHeight="false" outlineLevel="0" collapsed="false">
      <c r="B330" s="2" t="n">
        <v>28.7</v>
      </c>
      <c r="C330" s="3" t="n">
        <v>276</v>
      </c>
      <c r="D330" s="3" t="n">
        <v>2</v>
      </c>
      <c r="E330" s="2" t="n">
        <v>50.6</v>
      </c>
      <c r="F330" s="4" t="n">
        <v>2.52444806810338</v>
      </c>
      <c r="G330" s="2" t="n">
        <v>38.2</v>
      </c>
      <c r="H330" s="2" t="n">
        <v>52.5</v>
      </c>
      <c r="I330" s="1" t="n">
        <v>152.4</v>
      </c>
      <c r="J330" s="2" t="n">
        <v>381</v>
      </c>
      <c r="K330" s="3" t="n">
        <v>1290</v>
      </c>
      <c r="L330" s="4" t="n">
        <v>28003.5</v>
      </c>
      <c r="M330" s="3" t="n">
        <v>146.0713467674</v>
      </c>
      <c r="N330" s="12" t="n">
        <v>0.0460656703626332</v>
      </c>
      <c r="O330" s="4" t="n">
        <v>88.8027</v>
      </c>
      <c r="P330" s="3" t="n">
        <v>211.192425244779</v>
      </c>
      <c r="Q330" s="4" t="n">
        <f aca="false">(P330-P$354)/P$355</f>
        <v>-0.280842370735754</v>
      </c>
      <c r="R330" s="4" t="n">
        <v>0.2</v>
      </c>
      <c r="S330" s="13" t="n">
        <f aca="false">P330/200000</f>
        <v>0.0010559621262239</v>
      </c>
      <c r="W330" s="4" t="n">
        <f aca="false">$X$2*($X$3*$G330+$X$4*$B330^$X$5*$N330^$X$6)*$S330^$X$7</f>
        <v>0.258018992133688</v>
      </c>
      <c r="X330" s="4" t="n">
        <f aca="false">W330/$R330</f>
        <v>1.29009496066844</v>
      </c>
      <c r="Z330" s="4" t="n">
        <f aca="false">$AA$2*$B330^$AA$3*$S330^$AA$4*($AA$5*$N330^$AA$6+$AA$7)</f>
        <v>0.262579348574086</v>
      </c>
      <c r="AA330" s="4" t="n">
        <f aca="false">Z330/$R330</f>
        <v>1.31289674287043</v>
      </c>
      <c r="AC330" s="4" t="n">
        <f aca="false">$AD$2*($AD$3+$AD$4*$F330/($N330*'Sem TS MC2020'!P322))*($AD$5*$G330+$AD$6*$B330/$N330)*'Sem TS MC2020'!R322*($J330-$M330)/($J330-$M330-$H330)</f>
        <v>0.234502533867511</v>
      </c>
      <c r="AD330" s="4" t="n">
        <f aca="false">AC330/$R330</f>
        <v>1.17251266933756</v>
      </c>
      <c r="AE330" s="24" t="n">
        <f aca="false">AC330-$R330</f>
        <v>0.0345025338675113</v>
      </c>
      <c r="AF330" s="25" t="n">
        <f aca="false">1/AD330</f>
        <v>0.852869249220973</v>
      </c>
      <c r="AG330" s="25" t="n">
        <f aca="false">AC330*(14.068*'Sem TS MC2020'!$P322^-0.457)/$R330</f>
        <v>1.33252332491296</v>
      </c>
      <c r="AH330" s="25"/>
      <c r="AP330" s="4" t="n">
        <f aca="false">$AQ$2*($AQ$3+$AQ$4*$F330/($N330*'Sem TS MC2020'!P322))*($AQ$5*$G330+$AQ$6*$B330/$N330)*('Sem TS MC2020'!P322^$AQ$7/200000)*($J330-$M330)/($J330-$M330-$H330)+('Sem TS MC2020'!P322-$C330/$AQ$8)*($AQ$5*$G330+$AQ$6*$B330/$N330)/200000</f>
        <v>0.255253537637159</v>
      </c>
      <c r="AQ330" s="4" t="n">
        <f aca="false">AP330/$R330</f>
        <v>1.27626768818579</v>
      </c>
      <c r="AR330" s="24" t="n">
        <f aca="false">AP330-$R330</f>
        <v>0.0552535376371589</v>
      </c>
    </row>
    <row r="331" customFormat="false" ht="14.25" hidden="false" customHeight="false" outlineLevel="0" collapsed="false">
      <c r="B331" s="2" t="n">
        <v>28.7</v>
      </c>
      <c r="C331" s="3" t="n">
        <v>276</v>
      </c>
      <c r="D331" s="3" t="n">
        <v>2</v>
      </c>
      <c r="E331" s="2" t="n">
        <v>50.6</v>
      </c>
      <c r="F331" s="4" t="n">
        <v>2.52444806810338</v>
      </c>
      <c r="G331" s="2" t="n">
        <v>38.2</v>
      </c>
      <c r="H331" s="2" t="n">
        <v>52.5</v>
      </c>
      <c r="I331" s="1" t="n">
        <v>152.4</v>
      </c>
      <c r="J331" s="2" t="n">
        <v>381</v>
      </c>
      <c r="K331" s="3" t="n">
        <v>1290</v>
      </c>
      <c r="L331" s="4" t="n">
        <v>28003.5</v>
      </c>
      <c r="M331" s="3" t="n">
        <v>146.0713467674</v>
      </c>
      <c r="N331" s="12" t="n">
        <v>0.0460656703626332</v>
      </c>
      <c r="O331" s="4" t="n">
        <v>104.615</v>
      </c>
      <c r="P331" s="3" t="n">
        <v>245.49875842798</v>
      </c>
      <c r="Q331" s="4" t="n">
        <f aca="false">(P331-P$354)/P$355</f>
        <v>0.00677275368906635</v>
      </c>
      <c r="R331" s="4" t="n">
        <v>0.24</v>
      </c>
      <c r="S331" s="13" t="n">
        <f aca="false">P331/200000</f>
        <v>0.0012274937921399</v>
      </c>
      <c r="W331" s="4" t="n">
        <f aca="false">$X$2*($X$3*$G331+$X$4*$B331^$X$5*$N331^$X$6)*$S331^$X$7</f>
        <v>0.283129784508533</v>
      </c>
      <c r="X331" s="4" t="n">
        <f aca="false">W331/$R331</f>
        <v>1.17970743545222</v>
      </c>
      <c r="Z331" s="4" t="n">
        <f aca="false">$AA$2*$B331^$AA$3*$S331^$AA$4*($AA$5*$N331^$AA$6+$AA$7)</f>
        <v>0.288611432950466</v>
      </c>
      <c r="AA331" s="4" t="n">
        <f aca="false">Z331/$R331</f>
        <v>1.20254763729361</v>
      </c>
      <c r="AC331" s="4" t="n">
        <f aca="false">$AD$2*($AD$3+$AD$4*$F331/($N331*'Sem TS MC2020'!P323))*($AD$5*$G331+$AD$6*$B331/$N331)*'Sem TS MC2020'!R323*($J331-$M331)/($J331-$M331-$H331)</f>
        <v>0.266800233810939</v>
      </c>
      <c r="AD331" s="4" t="n">
        <f aca="false">AC331/$R331</f>
        <v>1.11166764087891</v>
      </c>
      <c r="AE331" s="24" t="n">
        <f aca="false">AC331-$R331</f>
        <v>0.0268002338109391</v>
      </c>
      <c r="AF331" s="25" t="n">
        <f aca="false">1/AD331</f>
        <v>0.899549436564848</v>
      </c>
      <c r="AG331" s="25" t="n">
        <f aca="false">AC331*(14.068*'Sem TS MC2020'!$P323^-0.457)/$R331</f>
        <v>1.19910094739881</v>
      </c>
      <c r="AH331" s="25"/>
      <c r="AP331" s="4" t="n">
        <f aca="false">$AQ$2*($AQ$3+$AQ$4*$F331/($N331*'Sem TS MC2020'!P323))*($AQ$5*$G331+$AQ$6*$B331/$N331)*('Sem TS MC2020'!P323^$AQ$7/200000)*($J331-$M331)/($J331-$M331-$H331)+('Sem TS MC2020'!P323-$C331/$AQ$8)*($AQ$5*$G331+$AQ$6*$B331/$N331)/200000</f>
        <v>0.285752416553656</v>
      </c>
      <c r="AQ331" s="4" t="n">
        <f aca="false">AP331/$R331</f>
        <v>1.19063506897357</v>
      </c>
      <c r="AR331" s="24" t="n">
        <f aca="false">AP331-$R331</f>
        <v>0.0457524165536561</v>
      </c>
    </row>
    <row r="332" customFormat="false" ht="14.25" hidden="false" customHeight="false" outlineLevel="0" collapsed="false">
      <c r="A332" s="1" t="s">
        <v>100</v>
      </c>
      <c r="B332" s="2" t="n">
        <v>32.3</v>
      </c>
      <c r="C332" s="3" t="n">
        <v>276</v>
      </c>
      <c r="D332" s="3" t="n">
        <v>1</v>
      </c>
      <c r="E332" s="2" t="n">
        <v>60</v>
      </c>
      <c r="F332" s="4" t="n">
        <v>2.53821845332793</v>
      </c>
      <c r="G332" s="2" t="n">
        <v>38.3</v>
      </c>
      <c r="H332" s="2" t="n">
        <v>54.4</v>
      </c>
      <c r="I332" s="1" t="n">
        <v>152.4</v>
      </c>
      <c r="J332" s="2" t="n">
        <v>381</v>
      </c>
      <c r="K332" s="3" t="n">
        <v>819</v>
      </c>
      <c r="L332" s="4" t="n">
        <v>29016.96</v>
      </c>
      <c r="M332" s="3" t="n">
        <v>122.838831239211</v>
      </c>
      <c r="N332" s="12" t="n">
        <v>0.0282248726262158</v>
      </c>
      <c r="O332" s="4" t="n">
        <v>39.9595</v>
      </c>
      <c r="P332" s="3" t="n">
        <v>106.353203774331</v>
      </c>
      <c r="Q332" s="4" t="n">
        <f aca="false">(P332-P$354)/P$355</f>
        <v>-1.15978637115693</v>
      </c>
      <c r="R332" s="4" t="n">
        <v>0.17</v>
      </c>
      <c r="S332" s="13" t="n">
        <f aca="false">P332/200000</f>
        <v>0.000531766018871657</v>
      </c>
      <c r="W332" s="4" t="n">
        <f aca="false">$X$2*($X$3*$G332+$X$4*$B332^$X$5*$N332^$X$6)*$S332^$X$7</f>
        <v>0.224508267192583</v>
      </c>
      <c r="X332" s="4" t="n">
        <f aca="false">W332/$R332</f>
        <v>1.32063686583872</v>
      </c>
      <c r="Z332" s="4" t="n">
        <f aca="false">$AA$2*$B332^$AA$3*$S332^$AA$4*($AA$5*$N332^$AA$6+$AA$7)</f>
        <v>0.223976881402866</v>
      </c>
      <c r="AA332" s="4" t="n">
        <f aca="false">Z332/$R332</f>
        <v>1.31751106707568</v>
      </c>
      <c r="AC332" s="4" t="n">
        <f aca="false">$AD$2*($AD$3+$AD$4*$F332/($N332*'Sem TS MC2020'!P324))*($AD$5*$G332+$AD$6*$B332/$N332)*'Sem TS MC2020'!R324*($J332-$M332)/($J332-$M332-$H332)</f>
        <v>0.205983432455117</v>
      </c>
      <c r="AD332" s="4" t="n">
        <f aca="false">AC332/$R332</f>
        <v>1.21166724973598</v>
      </c>
      <c r="AE332" s="24" t="n">
        <f aca="false">AC332-$R332</f>
        <v>0.0359834324551171</v>
      </c>
      <c r="AF332" s="25" t="n">
        <f aca="false">1/AD332</f>
        <v>0.825309093909979</v>
      </c>
      <c r="AG332" s="25" t="n">
        <f aca="false">AC332*(14.068*'Sem TS MC2020'!$P324^-0.457)/$R332</f>
        <v>1.62691528927357</v>
      </c>
      <c r="AH332" s="25"/>
      <c r="AP332" s="4" t="n">
        <f aca="false">$AQ$2*($AQ$3+$AQ$4*$F332/($N332*'Sem TS MC2020'!P324))*($AQ$5*$G332+$AQ$6*$B332/$N332)*('Sem TS MC2020'!P324^$AQ$7/200000)*($J332-$M332)/($J332-$M332-$H332)+('Sem TS MC2020'!P324-$C332/$AQ$8)*($AQ$5*$G332+$AQ$6*$B332/$N332)/200000</f>
        <v>0.240748327512597</v>
      </c>
      <c r="AQ332" s="4" t="n">
        <f aca="false">AP332/$R332</f>
        <v>1.41616663242704</v>
      </c>
      <c r="AR332" s="24" t="n">
        <f aca="false">AP332-$R332</f>
        <v>0.0707483275125974</v>
      </c>
    </row>
    <row r="333" customFormat="false" ht="14.25" hidden="false" customHeight="false" outlineLevel="0" collapsed="false">
      <c r="B333" s="2" t="n">
        <v>32.3</v>
      </c>
      <c r="C333" s="3" t="n">
        <v>276</v>
      </c>
      <c r="D333" s="3" t="n">
        <v>1</v>
      </c>
      <c r="E333" s="2" t="n">
        <v>60</v>
      </c>
      <c r="F333" s="4" t="n">
        <v>2.53821845332793</v>
      </c>
      <c r="G333" s="2" t="n">
        <v>38.3</v>
      </c>
      <c r="H333" s="2" t="n">
        <v>54.4</v>
      </c>
      <c r="I333" s="1" t="n">
        <v>152.4</v>
      </c>
      <c r="J333" s="2" t="n">
        <v>381</v>
      </c>
      <c r="K333" s="3" t="n">
        <v>819</v>
      </c>
      <c r="L333" s="4" t="n">
        <v>29016.96</v>
      </c>
      <c r="M333" s="3" t="n">
        <v>122.838831239211</v>
      </c>
      <c r="N333" s="12" t="n">
        <v>0.0282248726262158</v>
      </c>
      <c r="O333" s="4" t="n">
        <v>49.1862</v>
      </c>
      <c r="P333" s="3" t="n">
        <v>150.363502382333</v>
      </c>
      <c r="Q333" s="4" t="n">
        <f aca="false">(P333-P$354)/P$355</f>
        <v>-0.790815795300913</v>
      </c>
      <c r="R333" s="4" t="n">
        <v>0.23</v>
      </c>
      <c r="S333" s="13" t="n">
        <f aca="false">P333/200000</f>
        <v>0.000751817511911667</v>
      </c>
      <c r="W333" s="4" t="n">
        <f aca="false">$X$2*($X$3*$G333+$X$4*$B333^$X$5*$N333^$X$6)*$S333^$X$7</f>
        <v>0.27798676082605</v>
      </c>
      <c r="X333" s="4" t="n">
        <f aca="false">W333/$R333</f>
        <v>1.20863809054804</v>
      </c>
      <c r="Z333" s="4" t="n">
        <f aca="false">$AA$2*$B333^$AA$3*$S333^$AA$4*($AA$5*$N333^$AA$6+$AA$7)</f>
        <v>0.278387210253052</v>
      </c>
      <c r="AA333" s="4" t="n">
        <f aca="false">Z333/$R333</f>
        <v>1.21037917501327</v>
      </c>
      <c r="AC333" s="4" t="n">
        <f aca="false">$AD$2*($AD$3+$AD$4*$F333/($N333*'Sem TS MC2020'!P325))*($AD$5*$G333+$AD$6*$B333/$N333)*'Sem TS MC2020'!R325*($J333-$M333)/($J333-$M333-$H333)</f>
        <v>0.272637671995831</v>
      </c>
      <c r="AD333" s="4" t="n">
        <f aca="false">AC333/$R333</f>
        <v>1.18538118259057</v>
      </c>
      <c r="AE333" s="24" t="n">
        <f aca="false">AC333-$R333</f>
        <v>0.042637671995831</v>
      </c>
      <c r="AF333" s="25" t="n">
        <f aca="false">1/AD333</f>
        <v>0.843610489762094</v>
      </c>
      <c r="AG333" s="25" t="n">
        <f aca="false">AC333*(14.068*'Sem TS MC2020'!$P325^-0.457)/$R333</f>
        <v>1.4474633813405</v>
      </c>
      <c r="AH333" s="25"/>
      <c r="AP333" s="4" t="n">
        <f aca="false">$AQ$2*($AQ$3+$AQ$4*$F333/($N333*'Sem TS MC2020'!P325))*($AQ$5*$G333+$AQ$6*$B333/$N333)*('Sem TS MC2020'!P325^$AQ$7/200000)*($J333-$M333)/($J333-$M333-$H333)+('Sem TS MC2020'!P325-$C333/$AQ$8)*($AQ$5*$G333+$AQ$6*$B333/$N333)/200000</f>
        <v>0.310835605930239</v>
      </c>
      <c r="AQ333" s="4" t="n">
        <f aca="false">AP333/$R333</f>
        <v>1.35145915621843</v>
      </c>
      <c r="AR333" s="24" t="n">
        <f aca="false">AP333-$R333</f>
        <v>0.0808356059302388</v>
      </c>
    </row>
    <row r="334" customFormat="false" ht="14.25" hidden="false" customHeight="false" outlineLevel="0" collapsed="false">
      <c r="B334" s="2" t="n">
        <v>32.3</v>
      </c>
      <c r="C334" s="3" t="n">
        <v>276</v>
      </c>
      <c r="D334" s="3" t="n">
        <v>1</v>
      </c>
      <c r="E334" s="2" t="n">
        <v>60</v>
      </c>
      <c r="F334" s="4" t="n">
        <v>2.53821845332793</v>
      </c>
      <c r="G334" s="2" t="n">
        <v>38.3</v>
      </c>
      <c r="H334" s="2" t="n">
        <v>54.4</v>
      </c>
      <c r="I334" s="1" t="n">
        <v>152.4</v>
      </c>
      <c r="J334" s="2" t="n">
        <v>381</v>
      </c>
      <c r="K334" s="3" t="n">
        <v>819</v>
      </c>
      <c r="L334" s="4" t="n">
        <v>29016.96</v>
      </c>
      <c r="M334" s="3" t="n">
        <v>122.838831239211</v>
      </c>
      <c r="N334" s="12" t="n">
        <v>0.0282248726262158</v>
      </c>
      <c r="O334" s="4" t="n">
        <v>57.3496</v>
      </c>
      <c r="P334" s="3" t="n">
        <v>193.147127255323</v>
      </c>
      <c r="Q334" s="4" t="n">
        <f aca="false">(P334-P$354)/P$355</f>
        <v>-0.432129324045642</v>
      </c>
      <c r="R334" s="4" t="n">
        <v>0.27</v>
      </c>
      <c r="S334" s="13" t="n">
        <f aca="false">P334/200000</f>
        <v>0.000965735636276617</v>
      </c>
      <c r="W334" s="4" t="n">
        <f aca="false">$X$2*($X$3*$G334+$X$4*$B334^$X$5*$N334^$X$6)*$S334^$X$7</f>
        <v>0.324429460244446</v>
      </c>
      <c r="X334" s="4" t="n">
        <f aca="false">W334/$R334</f>
        <v>1.20159059349795</v>
      </c>
      <c r="Z334" s="4" t="n">
        <f aca="false">$AA$2*$B334^$AA$3*$S334^$AA$4*($AA$5*$N334^$AA$6+$AA$7)</f>
        <v>0.325792928800257</v>
      </c>
      <c r="AA334" s="4" t="n">
        <f aca="false">Z334/$R334</f>
        <v>1.20664047703799</v>
      </c>
      <c r="AC334" s="4" t="n">
        <f aca="false">$AD$2*($AD$3+$AD$4*$F334/($N334*'Sem TS MC2020'!P326))*($AD$5*$G334+$AD$6*$B334/$N334)*'Sem TS MC2020'!R326*($J334-$M334)/($J334-$M334-$H334)</f>
        <v>0.331610567946351</v>
      </c>
      <c r="AD334" s="4" t="n">
        <f aca="false">AC334/$R334</f>
        <v>1.22818728869019</v>
      </c>
      <c r="AE334" s="24" t="n">
        <f aca="false">AC334-$R334</f>
        <v>0.061610567946351</v>
      </c>
      <c r="AF334" s="25" t="n">
        <f aca="false">1/AD334</f>
        <v>0.814208068434301</v>
      </c>
      <c r="AG334" s="25" t="n">
        <f aca="false">AC334*(14.068*'Sem TS MC2020'!$P326^-0.457)/$R334</f>
        <v>1.39809969329163</v>
      </c>
      <c r="AH334" s="25"/>
      <c r="AP334" s="4" t="n">
        <f aca="false">$AQ$2*($AQ$3+$AQ$4*$F334/($N334*'Sem TS MC2020'!P326))*($AQ$5*$G334+$AQ$6*$B334/$N334)*('Sem TS MC2020'!P326^$AQ$7/200000)*($J334-$M334)/($J334-$M334-$H334)+('Sem TS MC2020'!P326-$C334/$AQ$8)*($AQ$5*$G334+$AQ$6*$B334/$N334)/200000</f>
        <v>0.370491691724593</v>
      </c>
      <c r="AQ334" s="4" t="n">
        <f aca="false">AP334/$R334</f>
        <v>1.37219145083182</v>
      </c>
      <c r="AR334" s="24" t="n">
        <f aca="false">AP334-$R334</f>
        <v>0.100491691724592</v>
      </c>
    </row>
    <row r="335" customFormat="false" ht="14.25" hidden="false" customHeight="false" outlineLevel="0" collapsed="false">
      <c r="B335" s="2" t="n">
        <v>32.3</v>
      </c>
      <c r="C335" s="3" t="n">
        <v>276</v>
      </c>
      <c r="D335" s="3" t="n">
        <v>1</v>
      </c>
      <c r="E335" s="2" t="n">
        <v>60</v>
      </c>
      <c r="F335" s="4" t="n">
        <v>2.53821845332793</v>
      </c>
      <c r="G335" s="2" t="n">
        <v>38.3</v>
      </c>
      <c r="H335" s="2" t="n">
        <v>54.4</v>
      </c>
      <c r="I335" s="1" t="n">
        <v>152.4</v>
      </c>
      <c r="J335" s="2" t="n">
        <v>381</v>
      </c>
      <c r="K335" s="3" t="n">
        <v>819</v>
      </c>
      <c r="L335" s="4" t="n">
        <v>29016.96</v>
      </c>
      <c r="M335" s="3" t="n">
        <v>122.838831239211</v>
      </c>
      <c r="N335" s="12" t="n">
        <v>0.0282248726262158</v>
      </c>
      <c r="O335" s="4" t="n">
        <v>63.1806</v>
      </c>
      <c r="P335" s="3" t="n">
        <v>223.706859307459</v>
      </c>
      <c r="Q335" s="4" t="n">
        <f aca="false">(P335-P$354)/P$355</f>
        <v>-0.175924701720447</v>
      </c>
      <c r="R335" s="4" t="n">
        <v>0.31</v>
      </c>
      <c r="S335" s="13" t="n">
        <f aca="false">P335/200000</f>
        <v>0.0011185342965373</v>
      </c>
      <c r="W335" s="4" t="n">
        <f aca="false">$X$2*($X$3*$G335+$X$4*$B335^$X$5*$N335^$X$6)*$S335^$X$7</f>
        <v>0.355205237106312</v>
      </c>
      <c r="X335" s="4" t="n">
        <f aca="false">W335/$R335</f>
        <v>1.14582334550423</v>
      </c>
      <c r="Z335" s="4" t="n">
        <f aca="false">$AA$2*$B335^$AA$3*$S335^$AA$4*($AA$5*$N335^$AA$6+$AA$7)</f>
        <v>0.35727483863757</v>
      </c>
      <c r="AA335" s="4" t="n">
        <f aca="false">Z335/$R335</f>
        <v>1.15249947947603</v>
      </c>
      <c r="AC335" s="4" t="n">
        <f aca="false">$AD$2*($AD$3+$AD$4*$F335/($N335*'Sem TS MC2020'!P327))*($AD$5*$G335+$AD$6*$B335/$N335)*'Sem TS MC2020'!R327*($J335-$M335)/($J335-$M335-$H335)</f>
        <v>0.373734065053865</v>
      </c>
      <c r="AD335" s="4" t="n">
        <f aca="false">AC335/$R335</f>
        <v>1.20559375823828</v>
      </c>
      <c r="AE335" s="24" t="n">
        <f aca="false">AC335-$R335</f>
        <v>0.0637340650538653</v>
      </c>
      <c r="AF335" s="25" t="n">
        <f aca="false">1/AD335</f>
        <v>0.829466802699188</v>
      </c>
      <c r="AG335" s="25" t="n">
        <f aca="false">AC335*(14.068*'Sem TS MC2020'!$P327^-0.457)/$R335</f>
        <v>1.31297407457275</v>
      </c>
      <c r="AH335" s="25"/>
      <c r="AP335" s="4" t="n">
        <f aca="false">$AQ$2*($AQ$3+$AQ$4*$F335/($N335*'Sem TS MC2020'!P327))*($AQ$5*$G335+$AQ$6*$B335/$N335)*('Sem TS MC2020'!P327^$AQ$7/200000)*($J335-$M335)/($J335-$M335-$H335)+('Sem TS MC2020'!P327-$C335/$AQ$8)*($AQ$5*$G335+$AQ$6*$B335/$N335)/200000</f>
        <v>0.412011223086678</v>
      </c>
      <c r="AQ335" s="4" t="n">
        <f aca="false">AP335/$R335</f>
        <v>1.32906846156993</v>
      </c>
      <c r="AR335" s="24" t="n">
        <f aca="false">AP335-$R335</f>
        <v>0.102011223086678</v>
      </c>
    </row>
    <row r="336" customFormat="false" ht="14.25" hidden="false" customHeight="false" outlineLevel="0" collapsed="false">
      <c r="B336" s="2" t="n">
        <v>32.3</v>
      </c>
      <c r="C336" s="3" t="n">
        <v>276</v>
      </c>
      <c r="D336" s="3" t="n">
        <v>1</v>
      </c>
      <c r="E336" s="2" t="n">
        <v>60</v>
      </c>
      <c r="F336" s="4" t="n">
        <v>2.53821845332793</v>
      </c>
      <c r="G336" s="2" t="n">
        <v>38.3</v>
      </c>
      <c r="H336" s="2" t="n">
        <v>54.4</v>
      </c>
      <c r="I336" s="1" t="n">
        <v>152.4</v>
      </c>
      <c r="J336" s="2" t="n">
        <v>381</v>
      </c>
      <c r="K336" s="3" t="n">
        <v>819</v>
      </c>
      <c r="L336" s="4" t="n">
        <v>29016.96</v>
      </c>
      <c r="M336" s="3" t="n">
        <v>122.838831239211</v>
      </c>
      <c r="N336" s="12" t="n">
        <v>0.0282248726262158</v>
      </c>
      <c r="O336" s="4" t="n">
        <v>67.1251</v>
      </c>
      <c r="P336" s="3" t="n">
        <v>230.744979239284</v>
      </c>
      <c r="Q336" s="4" t="n">
        <f aca="false">(P336-P$354)/P$355</f>
        <v>-0.116918986096493</v>
      </c>
      <c r="R336" s="4" t="n">
        <v>0.35</v>
      </c>
      <c r="S336" s="13" t="n">
        <f aca="false">P336/200000</f>
        <v>0.00115372489619642</v>
      </c>
      <c r="W336" s="4" t="n">
        <f aca="false">$X$2*($X$3*$G336+$X$4*$B336^$X$5*$N336^$X$6)*$S336^$X$7</f>
        <v>0.362059407421074</v>
      </c>
      <c r="X336" s="4" t="n">
        <f aca="false">W336/$R336</f>
        <v>1.0344554497745</v>
      </c>
      <c r="Z336" s="4" t="n">
        <f aca="false">$AA$2*$B336^$AA$3*$S336^$AA$4*($AA$5*$N336^$AA$6+$AA$7)</f>
        <v>0.364293053692447</v>
      </c>
      <c r="AA336" s="4" t="n">
        <f aca="false">Z336/$R336</f>
        <v>1.04083729626414</v>
      </c>
      <c r="AC336" s="4" t="n">
        <f aca="false">$AD$2*($AD$3+$AD$4*$F336/($N336*'Sem TS MC2020'!P328))*($AD$5*$G336+$AD$6*$B336/$N336)*'Sem TS MC2020'!R328*($J336-$M336)/($J336-$M336-$H336)</f>
        <v>0.38343540091914</v>
      </c>
      <c r="AD336" s="4" t="n">
        <f aca="false">AC336/$R336</f>
        <v>1.09552971691183</v>
      </c>
      <c r="AE336" s="24" t="n">
        <f aca="false">AC336-$R336</f>
        <v>0.0334354009191397</v>
      </c>
      <c r="AF336" s="25" t="n">
        <f aca="false">1/AD336</f>
        <v>0.912800433035158</v>
      </c>
      <c r="AG336" s="25" t="n">
        <f aca="false">AC336*(14.068*'Sem TS MC2020'!$P328^-0.457)/$R336</f>
        <v>1.18169376632563</v>
      </c>
      <c r="AH336" s="25"/>
      <c r="AP336" s="4" t="n">
        <f aca="false">$AQ$2*($AQ$3+$AQ$4*$F336/($N336*'Sem TS MC2020'!P328))*($AQ$5*$G336+$AQ$6*$B336/$N336)*('Sem TS MC2020'!P328^$AQ$7/200000)*($J336-$M336)/($J336-$M336-$H336)+('Sem TS MC2020'!P328-$C336/$AQ$8)*($AQ$5*$G336+$AQ$6*$B336/$N336)/200000</f>
        <v>0.421459665129983</v>
      </c>
      <c r="AQ336" s="4" t="n">
        <f aca="false">AP336/$R336</f>
        <v>1.20417047179995</v>
      </c>
      <c r="AR336" s="24" t="n">
        <f aca="false">AP336-$R336</f>
        <v>0.0714596651299826</v>
      </c>
    </row>
    <row r="337" customFormat="false" ht="14.25" hidden="false" customHeight="false" outlineLevel="0" collapsed="false">
      <c r="A337" s="1" t="s">
        <v>101</v>
      </c>
      <c r="B337" s="2" t="n">
        <v>32.3</v>
      </c>
      <c r="C337" s="3" t="n">
        <v>276</v>
      </c>
      <c r="D337" s="3" t="n">
        <v>1</v>
      </c>
      <c r="E337" s="2" t="n">
        <v>60</v>
      </c>
      <c r="F337" s="4" t="n">
        <v>2.81086951894943</v>
      </c>
      <c r="G337" s="2" t="n">
        <v>38.3</v>
      </c>
      <c r="H337" s="2" t="n">
        <v>54.4</v>
      </c>
      <c r="I337" s="1" t="n">
        <v>152.4</v>
      </c>
      <c r="J337" s="2" t="n">
        <v>381</v>
      </c>
      <c r="K337" s="3" t="n">
        <v>819</v>
      </c>
      <c r="L337" s="4" t="n">
        <v>29016.96</v>
      </c>
      <c r="M337" s="3" t="n">
        <v>120.446116576203</v>
      </c>
      <c r="N337" s="12" t="n">
        <v>0.0282248726262158</v>
      </c>
      <c r="O337" s="4" t="n">
        <v>39.9595</v>
      </c>
      <c r="P337" s="3" t="n">
        <v>99.532458974282</v>
      </c>
      <c r="Q337" s="4" t="n">
        <f aca="false">(P337-P$354)/P$355</f>
        <v>-1.21696967179883</v>
      </c>
      <c r="R337" s="4" t="n">
        <v>0.19</v>
      </c>
      <c r="S337" s="13" t="n">
        <f aca="false">P337/200000</f>
        <v>0.00049766229487141</v>
      </c>
      <c r="W337" s="4" t="n">
        <f aca="false">$X$2*($X$3*$G337+$X$4*$B337^$X$5*$N337^$X$6)*$S337^$X$7</f>
        <v>0.215512007527389</v>
      </c>
      <c r="X337" s="4" t="n">
        <f aca="false">W337/$R337</f>
        <v>1.13427372382836</v>
      </c>
      <c r="Z337" s="4" t="n">
        <f aca="false">$AA$2*$B337^$AA$3*$S337^$AA$4*($AA$5*$N337^$AA$6+$AA$7)</f>
        <v>0.214845214022315</v>
      </c>
      <c r="AA337" s="4" t="n">
        <f aca="false">Z337/$R337</f>
        <v>1.13076428432797</v>
      </c>
      <c r="AC337" s="4" t="n">
        <f aca="false">$AD$2*($AD$3+$AD$4*$F337/($N337*'Sem TS MC2020'!P329))*($AD$5*$G337+$AD$6*$B337/$N337)*'Sem TS MC2020'!R329*($J337-$M337)/($J337-$M337-$H337)</f>
        <v>0.195817561262521</v>
      </c>
      <c r="AD337" s="4" t="n">
        <f aca="false">AC337/$R337</f>
        <v>1.03061874348695</v>
      </c>
      <c r="AE337" s="24" t="n">
        <f aca="false">AC337-$R337</f>
        <v>0.00581756126252064</v>
      </c>
      <c r="AF337" s="25" t="n">
        <f aca="false">1/AD337</f>
        <v>0.970290911473862</v>
      </c>
      <c r="AG337" s="25" t="n">
        <f aca="false">AC337*(14.068*'Sem TS MC2020'!$P329^-0.457)/$R337</f>
        <v>1.38558441317645</v>
      </c>
      <c r="AH337" s="25"/>
      <c r="AP337" s="4" t="n">
        <f aca="false">$AQ$2*($AQ$3+$AQ$4*$F337/($N337*'Sem TS MC2020'!P329))*($AQ$5*$G337+$AQ$6*$B337/$N337)*('Sem TS MC2020'!P329^$AQ$7/200000)*($J337-$M337)/($J337-$M337-$H337)+('Sem TS MC2020'!P329-$C337/$AQ$8)*($AQ$5*$G337+$AQ$6*$B337/$N337)/200000</f>
        <v>0.228822299573939</v>
      </c>
      <c r="AQ337" s="4" t="n">
        <f aca="false">AP337/$R337</f>
        <v>1.20432789249441</v>
      </c>
      <c r="AR337" s="24" t="n">
        <f aca="false">AP337-$R337</f>
        <v>0.0388222995739388</v>
      </c>
    </row>
    <row r="338" customFormat="false" ht="14.25" hidden="false" customHeight="false" outlineLevel="0" collapsed="false">
      <c r="B338" s="2" t="n">
        <v>32.3</v>
      </c>
      <c r="C338" s="3" t="n">
        <v>276</v>
      </c>
      <c r="D338" s="3" t="n">
        <v>1</v>
      </c>
      <c r="E338" s="2" t="n">
        <v>60</v>
      </c>
      <c r="F338" s="4" t="n">
        <v>2.81086951894943</v>
      </c>
      <c r="G338" s="2" t="n">
        <v>38.3</v>
      </c>
      <c r="H338" s="2" t="n">
        <v>54.4</v>
      </c>
      <c r="I338" s="1" t="n">
        <v>152.4</v>
      </c>
      <c r="J338" s="2" t="n">
        <v>381</v>
      </c>
      <c r="K338" s="3" t="n">
        <v>819</v>
      </c>
      <c r="L338" s="4" t="n">
        <v>29016.96</v>
      </c>
      <c r="M338" s="3" t="n">
        <v>120.446116576203</v>
      </c>
      <c r="N338" s="12" t="n">
        <v>0.0282248726262158</v>
      </c>
      <c r="O338" s="4" t="n">
        <v>49.1862</v>
      </c>
      <c r="P338" s="3" t="n">
        <v>143.737632833922</v>
      </c>
      <c r="Q338" s="4" t="n">
        <f aca="false">(P338-P$354)/P$355</f>
        <v>-0.846365313939709</v>
      </c>
      <c r="R338" s="4" t="n">
        <v>0.24</v>
      </c>
      <c r="S338" s="13" t="n">
        <f aca="false">P338/200000</f>
        <v>0.000718688164169611</v>
      </c>
      <c r="W338" s="4" t="n">
        <f aca="false">$X$2*($X$3*$G338+$X$4*$B338^$X$5*$N338^$X$6)*$S338^$X$7</f>
        <v>0.270363601572051</v>
      </c>
      <c r="X338" s="4" t="n">
        <f aca="false">W338/$R338</f>
        <v>1.12651500655021</v>
      </c>
      <c r="Z338" s="4" t="n">
        <f aca="false">$AA$2*$B338^$AA$3*$S338^$AA$4*($AA$5*$N338^$AA$6+$AA$7)</f>
        <v>0.27061888330095</v>
      </c>
      <c r="AA338" s="4" t="n">
        <f aca="false">Z338/$R338</f>
        <v>1.12757868042062</v>
      </c>
      <c r="AC338" s="4" t="n">
        <f aca="false">$AD$2*($AD$3+$AD$4*$F338/($N338*'Sem TS MC2020'!P330))*($AD$5*$G338+$AD$6*$B338/$N338)*'Sem TS MC2020'!R330*($J338-$M338)/($J338-$M338-$H338)</f>
        <v>0.262123650238331</v>
      </c>
      <c r="AD338" s="4" t="n">
        <f aca="false">AC338/$R338</f>
        <v>1.09218187599305</v>
      </c>
      <c r="AE338" s="24" t="n">
        <f aca="false">AC338-$R338</f>
        <v>0.022123650238331</v>
      </c>
      <c r="AF338" s="25" t="n">
        <f aca="false">1/AD338</f>
        <v>0.915598419989133</v>
      </c>
      <c r="AG338" s="25" t="n">
        <f aca="false">AC338*(14.068*'Sem TS MC2020'!$P330^-0.457)/$R338</f>
        <v>1.33535858803357</v>
      </c>
      <c r="AH338" s="25"/>
      <c r="AP338" s="4" t="n">
        <f aca="false">$AQ$2*($AQ$3+$AQ$4*$F338/($N338*'Sem TS MC2020'!P330))*($AQ$5*$G338+$AQ$6*$B338/$N338)*('Sem TS MC2020'!P330^$AQ$7/200000)*($J338-$M338)/($J338-$M338-$H338)+('Sem TS MC2020'!P330-$C338/$AQ$8)*($AQ$5*$G338+$AQ$6*$B338/$N338)/200000</f>
        <v>0.29898152666542</v>
      </c>
      <c r="AQ338" s="4" t="n">
        <f aca="false">AP338/$R338</f>
        <v>1.24575636110592</v>
      </c>
      <c r="AR338" s="24" t="n">
        <f aca="false">AP338-$R338</f>
        <v>0.05898152666542</v>
      </c>
    </row>
    <row r="339" customFormat="false" ht="14.25" hidden="false" customHeight="false" outlineLevel="0" collapsed="false">
      <c r="B339" s="2" t="n">
        <v>32.3</v>
      </c>
      <c r="C339" s="3" t="n">
        <v>276</v>
      </c>
      <c r="D339" s="3" t="n">
        <v>1</v>
      </c>
      <c r="E339" s="2" t="n">
        <v>60</v>
      </c>
      <c r="F339" s="4" t="n">
        <v>2.81086951894943</v>
      </c>
      <c r="G339" s="2" t="n">
        <v>38.3</v>
      </c>
      <c r="H339" s="2" t="n">
        <v>54.4</v>
      </c>
      <c r="I339" s="1" t="n">
        <v>152.4</v>
      </c>
      <c r="J339" s="2" t="n">
        <v>381</v>
      </c>
      <c r="K339" s="3" t="n">
        <v>819</v>
      </c>
      <c r="L339" s="4" t="n">
        <v>29016.96</v>
      </c>
      <c r="M339" s="3" t="n">
        <v>120.446116576203</v>
      </c>
      <c r="N339" s="12" t="n">
        <v>0.0282248726262158</v>
      </c>
      <c r="O339" s="4" t="n">
        <v>57.3496</v>
      </c>
      <c r="P339" s="3" t="n">
        <v>187.176740338077</v>
      </c>
      <c r="Q339" s="4" t="n">
        <f aca="false">(P339-P$354)/P$355</f>
        <v>-0.482183451570672</v>
      </c>
      <c r="R339" s="4" t="n">
        <v>0.29</v>
      </c>
      <c r="S339" s="13" t="n">
        <f aca="false">P339/200000</f>
        <v>0.000935883701690386</v>
      </c>
      <c r="W339" s="4" t="n">
        <f aca="false">$X$2*($X$3*$G339+$X$4*$B339^$X$5*$N339^$X$6)*$S339^$X$7</f>
        <v>0.318204737836448</v>
      </c>
      <c r="X339" s="4" t="n">
        <f aca="false">W339/$R339</f>
        <v>1.09725771667741</v>
      </c>
      <c r="Z339" s="4" t="n">
        <f aca="false">$AA$2*$B339^$AA$3*$S339^$AA$4*($AA$5*$N339^$AA$6+$AA$7)</f>
        <v>0.319431699031476</v>
      </c>
      <c r="AA339" s="4" t="n">
        <f aca="false">Z339/$R339</f>
        <v>1.10148861734992</v>
      </c>
      <c r="AC339" s="4" t="n">
        <f aca="false">$AD$2*($AD$3+$AD$4*$F339/($N339*'Sem TS MC2020'!P331))*($AD$5*$G339+$AD$6*$B339/$N339)*'Sem TS MC2020'!R331*($J339-$M339)/($J339-$M339-$H339)</f>
        <v>0.320788517064513</v>
      </c>
      <c r="AD339" s="4" t="n">
        <f aca="false">AC339/$R339</f>
        <v>1.10616730022246</v>
      </c>
      <c r="AE339" s="24" t="n">
        <f aca="false">AC339-$R339</f>
        <v>0.0307885170645126</v>
      </c>
      <c r="AF339" s="25" t="n">
        <f aca="false">1/AD339</f>
        <v>0.904022384135649</v>
      </c>
      <c r="AG339" s="25" t="n">
        <f aca="false">AC339*(14.068*'Sem TS MC2020'!$P331^-0.457)/$R339</f>
        <v>1.26080446958018</v>
      </c>
      <c r="AH339" s="25"/>
      <c r="AP339" s="4" t="n">
        <f aca="false">$AQ$2*($AQ$3+$AQ$4*$F339/($N339*'Sem TS MC2020'!P331))*($AQ$5*$G339+$AQ$6*$B339/$N339)*('Sem TS MC2020'!P331^$AQ$7/200000)*($J339-$M339)/($J339-$M339-$H339)+('Sem TS MC2020'!P331-$C339/$AQ$8)*($AQ$5*$G339+$AQ$6*$B339/$N339)/200000</f>
        <v>0.35864557015312</v>
      </c>
      <c r="AQ339" s="4" t="n">
        <f aca="false">AP339/$R339</f>
        <v>1.23670886259696</v>
      </c>
      <c r="AR339" s="24" t="n">
        <f aca="false">AP339-$R339</f>
        <v>0.0686455701531197</v>
      </c>
    </row>
    <row r="340" customFormat="false" ht="14.25" hidden="false" customHeight="false" outlineLevel="0" collapsed="false">
      <c r="B340" s="2" t="n">
        <v>32.3</v>
      </c>
      <c r="C340" s="3" t="n">
        <v>276</v>
      </c>
      <c r="D340" s="3" t="n">
        <v>1</v>
      </c>
      <c r="E340" s="2" t="n">
        <v>60</v>
      </c>
      <c r="F340" s="4" t="n">
        <v>2.81086951894943</v>
      </c>
      <c r="G340" s="2" t="n">
        <v>38.3</v>
      </c>
      <c r="H340" s="2" t="n">
        <v>54.4</v>
      </c>
      <c r="I340" s="1" t="n">
        <v>152.4</v>
      </c>
      <c r="J340" s="2" t="n">
        <v>381</v>
      </c>
      <c r="K340" s="3" t="n">
        <v>819</v>
      </c>
      <c r="L340" s="4" t="n">
        <v>29016.96</v>
      </c>
      <c r="M340" s="3" t="n">
        <v>120.446116576203</v>
      </c>
      <c r="N340" s="12" t="n">
        <v>0.0282248726262158</v>
      </c>
      <c r="O340" s="4" t="n">
        <v>63.1806</v>
      </c>
      <c r="P340" s="3" t="n">
        <v>218.204674269617</v>
      </c>
      <c r="Q340" s="4" t="n">
        <f aca="false">(P340-P$354)/P$355</f>
        <v>-0.222053549878502</v>
      </c>
      <c r="R340" s="4" t="n">
        <v>0.36</v>
      </c>
      <c r="S340" s="13" t="n">
        <f aca="false">P340/200000</f>
        <v>0.00109102337134808</v>
      </c>
      <c r="W340" s="4" t="n">
        <f aca="false">$X$2*($X$3*$G340+$X$4*$B340^$X$5*$N340^$X$6)*$S340^$X$7</f>
        <v>0.349789163151209</v>
      </c>
      <c r="X340" s="4" t="n">
        <f aca="false">W340/$R340</f>
        <v>0.971636564308913</v>
      </c>
      <c r="Z340" s="4" t="n">
        <f aca="false">$AA$2*$B340^$AA$3*$S340^$AA$4*($AA$5*$N340^$AA$6+$AA$7)</f>
        <v>0.351730843932597</v>
      </c>
      <c r="AA340" s="4" t="n">
        <f aca="false">Z340/$R340</f>
        <v>0.977030122034991</v>
      </c>
      <c r="AC340" s="4" t="n">
        <f aca="false">$AD$2*($AD$3+$AD$4*$F340/($N340*'Sem TS MC2020'!P332))*($AD$5*$G340+$AD$6*$B340/$N340)*'Sem TS MC2020'!R332*($J340-$M340)/($J340-$M340-$H340)</f>
        <v>0.362691993368928</v>
      </c>
      <c r="AD340" s="4" t="n">
        <f aca="false">AC340/$R340</f>
        <v>1.00747775935813</v>
      </c>
      <c r="AE340" s="24" t="n">
        <f aca="false">AC340-$R340</f>
        <v>0.00269199336892811</v>
      </c>
      <c r="AF340" s="25" t="n">
        <f aca="false">1/AD340</f>
        <v>0.992577742497365</v>
      </c>
      <c r="AG340" s="25" t="n">
        <f aca="false">AC340*(14.068*'Sem TS MC2020'!$P332^-0.457)/$R340</f>
        <v>1.09861116695952</v>
      </c>
      <c r="AH340" s="25"/>
      <c r="AP340" s="4" t="n">
        <f aca="false">$AQ$2*($AQ$3+$AQ$4*$F340/($N340*'Sem TS MC2020'!P332))*($AQ$5*$G340+$AQ$6*$B340/$N340)*('Sem TS MC2020'!P332^$AQ$7/200000)*($J340-$M340)/($J340-$M340-$H340)+('Sem TS MC2020'!P332-$C340/$AQ$8)*($AQ$5*$G340+$AQ$6*$B340/$N340)/200000</f>
        <v>0.400148341231246</v>
      </c>
      <c r="AQ340" s="4" t="n">
        <f aca="false">AP340/$R340</f>
        <v>1.1115231700868</v>
      </c>
      <c r="AR340" s="24" t="n">
        <f aca="false">AP340-$R340</f>
        <v>0.0401483412312464</v>
      </c>
    </row>
    <row r="341" customFormat="false" ht="14.25" hidden="false" customHeight="false" outlineLevel="0" collapsed="false">
      <c r="B341" s="2" t="n">
        <v>32.3</v>
      </c>
      <c r="C341" s="3" t="n">
        <v>276</v>
      </c>
      <c r="D341" s="3" t="n">
        <v>1</v>
      </c>
      <c r="E341" s="2" t="n">
        <v>60</v>
      </c>
      <c r="F341" s="4" t="n">
        <v>2.81086951894943</v>
      </c>
      <c r="G341" s="2" t="n">
        <v>38.3</v>
      </c>
      <c r="H341" s="2" t="n">
        <v>54.4</v>
      </c>
      <c r="I341" s="1" t="n">
        <v>152.4</v>
      </c>
      <c r="J341" s="2" t="n">
        <v>381</v>
      </c>
      <c r="K341" s="3" t="n">
        <v>819</v>
      </c>
      <c r="L341" s="4" t="n">
        <v>29016.96</v>
      </c>
      <c r="M341" s="3" t="n">
        <v>120.446116576203</v>
      </c>
      <c r="N341" s="12" t="n">
        <v>0.0282248726262158</v>
      </c>
      <c r="O341" s="4" t="n">
        <v>67.1251</v>
      </c>
      <c r="P341" s="3" t="n">
        <v>226.309268981256</v>
      </c>
      <c r="Q341" s="4" t="n">
        <f aca="false">(P341-P$354)/P$355</f>
        <v>-0.154106794859453</v>
      </c>
      <c r="R341" s="4" t="n">
        <v>0.42</v>
      </c>
      <c r="S341" s="13" t="n">
        <f aca="false">P341/200000</f>
        <v>0.00113154634490628</v>
      </c>
      <c r="W341" s="4" t="n">
        <f aca="false">$X$2*($X$3*$G341+$X$4*$B341^$X$5*$N341^$X$6)*$S341^$X$7</f>
        <v>0.357749122120018</v>
      </c>
      <c r="X341" s="4" t="n">
        <f aca="false">W341/$R341</f>
        <v>0.851783624095282</v>
      </c>
      <c r="Z341" s="4" t="n">
        <f aca="false">$AA$2*$B341^$AA$3*$S341^$AA$4*($AA$5*$N341^$AA$6+$AA$7)</f>
        <v>0.359879328598878</v>
      </c>
      <c r="AA341" s="4" t="n">
        <f aca="false">Z341/$R341</f>
        <v>0.856855544283042</v>
      </c>
      <c r="AC341" s="4" t="n">
        <f aca="false">$AD$2*($AD$3+$AD$4*$F341/($N341*'Sem TS MC2020'!P333))*($AD$5*$G341+$AD$6*$B341/$N341)*'Sem TS MC2020'!R333*($J341-$M341)/($J341-$M341-$H341)</f>
        <v>0.373637314227397</v>
      </c>
      <c r="AD341" s="4" t="n">
        <f aca="false">AC341/$R341</f>
        <v>0.889612652922373</v>
      </c>
      <c r="AE341" s="24" t="n">
        <f aca="false">AC341-$R341</f>
        <v>-0.0463626857726034</v>
      </c>
      <c r="AF341" s="25" t="n">
        <f aca="false">1/AD341</f>
        <v>1.12408473138844</v>
      </c>
      <c r="AG341" s="25" t="n">
        <f aca="false">AC341*(14.068*'Sem TS MC2020'!$P333^-0.457)/$R341</f>
        <v>0.959581205488541</v>
      </c>
      <c r="AH341" s="25"/>
      <c r="AP341" s="4" t="n">
        <f aca="false">$AQ$2*($AQ$3+$AQ$4*$F341/($N341*'Sem TS MC2020'!P333))*($AQ$5*$G341+$AQ$6*$B341/$N341)*('Sem TS MC2020'!P333^$AQ$7/200000)*($J341-$M341)/($J341-$M341-$H341)+('Sem TS MC2020'!P333-$C341/$AQ$8)*($AQ$5*$G341+$AQ$6*$B341/$N341)/200000</f>
        <v>0.410854381868287</v>
      </c>
      <c r="AQ341" s="4" t="n">
        <f aca="false">AP341/$R341</f>
        <v>0.978224718734016</v>
      </c>
      <c r="AR341" s="24" t="n">
        <f aca="false">AP341-$R341</f>
        <v>-0.00914561813171327</v>
      </c>
    </row>
    <row r="342" customFormat="false" ht="14.25" hidden="false" customHeight="false" outlineLevel="0" collapsed="false">
      <c r="A342" s="1" t="s">
        <v>102</v>
      </c>
      <c r="B342" s="2" t="n">
        <v>28.7</v>
      </c>
      <c r="C342" s="3" t="n">
        <v>276</v>
      </c>
      <c r="D342" s="3" t="n">
        <v>2</v>
      </c>
      <c r="E342" s="2" t="n">
        <v>50.6</v>
      </c>
      <c r="F342" s="4" t="n">
        <v>2.57657861790804</v>
      </c>
      <c r="G342" s="2" t="n">
        <v>38</v>
      </c>
      <c r="H342" s="2" t="n">
        <v>52.3</v>
      </c>
      <c r="I342" s="1" t="n">
        <v>152.4</v>
      </c>
      <c r="J342" s="2" t="n">
        <v>584.2</v>
      </c>
      <c r="K342" s="3" t="n">
        <v>1290</v>
      </c>
      <c r="L342" s="4" t="n">
        <v>27896.82</v>
      </c>
      <c r="M342" s="3" t="n">
        <v>196.926616139336</v>
      </c>
      <c r="N342" s="12" t="n">
        <v>0.0462418297139244</v>
      </c>
      <c r="O342" s="4" t="n">
        <v>110.208</v>
      </c>
      <c r="P342" s="3" t="n">
        <v>139.22648337646</v>
      </c>
      <c r="Q342" s="4" t="n">
        <f aca="false">(P342-P$354)/P$355</f>
        <v>-0.884185584779451</v>
      </c>
      <c r="R342" s="4" t="n">
        <v>0.18</v>
      </c>
      <c r="S342" s="13" t="n">
        <f aca="false">P342/200000</f>
        <v>0.000696132416882298</v>
      </c>
      <c r="W342" s="4" t="n">
        <f aca="false">$X$2*($X$3*$G342+$X$4*$B342^$X$5*$N342^$X$6)*$S342^$X$7</f>
        <v>0.199210982121304</v>
      </c>
      <c r="X342" s="4" t="n">
        <f aca="false">W342/$R342</f>
        <v>1.10672767845169</v>
      </c>
      <c r="Z342" s="4" t="n">
        <f aca="false">$AA$2*$B342^$AA$3*$S342^$AA$4*($AA$5*$N342^$AA$6+$AA$7)</f>
        <v>0.201845728492167</v>
      </c>
      <c r="AA342" s="4" t="n">
        <f aca="false">Z342/$R342</f>
        <v>1.12136515828982</v>
      </c>
      <c r="AC342" s="4" t="n">
        <f aca="false">$AD$2*($AD$3+$AD$4*$F342/($N342*'Sem TS MC2020'!P334))*($AD$5*$G342+$AD$6*$B342/$N342)*'Sem TS MC2020'!R334*($J342-$M342)/($J342-$M342-$H342)</f>
        <v>0.148268356221332</v>
      </c>
      <c r="AD342" s="4" t="n">
        <f aca="false">AC342/$R342</f>
        <v>0.823713090118511</v>
      </c>
      <c r="AE342" s="24" t="n">
        <f aca="false">AC342-$R342</f>
        <v>-0.0317316437786681</v>
      </c>
      <c r="AF342" s="25" t="n">
        <f aca="false">1/AD342</f>
        <v>1.21401494281963</v>
      </c>
      <c r="AG342" s="25" t="n">
        <f aca="false">AC342*(14.068*'Sem TS MC2020'!$P334^-0.457)/$R342</f>
        <v>1.07107173492406</v>
      </c>
      <c r="AH342" s="25"/>
      <c r="AP342" s="4" t="n">
        <f aca="false">$AQ$2*($AQ$3+$AQ$4*$F342/($N342*'Sem TS MC2020'!P334))*($AQ$5*$G342+$AQ$6*$B342/$N342)*('Sem TS MC2020'!P334^$AQ$7/200000)*($J342-$M342)/($J342-$M342-$H342)+('Sem TS MC2020'!P334-$C342/$AQ$8)*($AQ$5*$G342+$AQ$6*$B342/$N342)/200000</f>
        <v>0.168191947451723</v>
      </c>
      <c r="AQ342" s="4" t="n">
        <f aca="false">AP342/$R342</f>
        <v>0.934399708065126</v>
      </c>
      <c r="AR342" s="24" t="n">
        <f aca="false">AP342-$R342</f>
        <v>-0.0118080525482774</v>
      </c>
    </row>
    <row r="343" customFormat="false" ht="14.25" hidden="false" customHeight="false" outlineLevel="0" collapsed="false">
      <c r="B343" s="2" t="n">
        <v>28.7</v>
      </c>
      <c r="C343" s="3" t="n">
        <v>276</v>
      </c>
      <c r="D343" s="3" t="n">
        <v>2</v>
      </c>
      <c r="E343" s="2" t="n">
        <v>50.6</v>
      </c>
      <c r="F343" s="4" t="n">
        <v>2.57657861790804</v>
      </c>
      <c r="G343" s="2" t="n">
        <v>38</v>
      </c>
      <c r="H343" s="2" t="n">
        <v>52.3</v>
      </c>
      <c r="I343" s="1" t="n">
        <v>152.4</v>
      </c>
      <c r="J343" s="2" t="n">
        <v>584.2</v>
      </c>
      <c r="K343" s="3" t="n">
        <v>1290</v>
      </c>
      <c r="L343" s="4" t="n">
        <v>27896.82</v>
      </c>
      <c r="M343" s="3" t="n">
        <v>196.926616139336</v>
      </c>
      <c r="N343" s="12" t="n">
        <v>0.0462418297139244</v>
      </c>
      <c r="O343" s="4" t="n">
        <v>132.258</v>
      </c>
      <c r="P343" s="3" t="n">
        <v>180.497314979196</v>
      </c>
      <c r="Q343" s="4" t="n">
        <f aca="false">(P343-P$354)/P$355</f>
        <v>-0.538181967804449</v>
      </c>
      <c r="R343" s="4" t="n">
        <v>0.22</v>
      </c>
      <c r="S343" s="13" t="n">
        <f aca="false">P343/200000</f>
        <v>0.000902486574895982</v>
      </c>
      <c r="W343" s="4" t="n">
        <f aca="false">$X$2*($X$3*$G343+$X$4*$B343^$X$5*$N343^$X$6)*$S343^$X$7</f>
        <v>0.233818754618769</v>
      </c>
      <c r="X343" s="4" t="n">
        <f aca="false">W343/$R343</f>
        <v>1.06281252099441</v>
      </c>
      <c r="Z343" s="4" t="n">
        <f aca="false">$AA$2*$B343^$AA$3*$S343^$AA$4*($AA$5*$N343^$AA$6+$AA$7)</f>
        <v>0.23758874716416</v>
      </c>
      <c r="AA343" s="4" t="n">
        <f aca="false">Z343/$R343</f>
        <v>1.07994885074618</v>
      </c>
      <c r="AC343" s="4" t="n">
        <f aca="false">$AD$2*($AD$3+$AD$4*$F343/($N343*'Sem TS MC2020'!P335))*($AD$5*$G343+$AD$6*$B343/$N343)*'Sem TS MC2020'!R335*($J343-$M343)/($J343-$M343-$H343)</f>
        <v>0.183814041053156</v>
      </c>
      <c r="AD343" s="4" t="n">
        <f aca="false">AC343/$R343</f>
        <v>0.835518368423436</v>
      </c>
      <c r="AE343" s="24" t="n">
        <f aca="false">AC343-$R343</f>
        <v>-0.0361859589468441</v>
      </c>
      <c r="AF343" s="25" t="n">
        <f aca="false">1/AD343</f>
        <v>1.19686177802043</v>
      </c>
      <c r="AG343" s="25" t="n">
        <f aca="false">AC343*(14.068*'Sem TS MC2020'!$P335^-0.457)/$R343</f>
        <v>0.999539952068817</v>
      </c>
      <c r="AH343" s="25"/>
      <c r="AP343" s="4" t="n">
        <f aca="false">$AQ$2*($AQ$3+$AQ$4*$F343/($N343*'Sem TS MC2020'!P335))*($AQ$5*$G343+$AQ$6*$B343/$N343)*('Sem TS MC2020'!P335^$AQ$7/200000)*($J343-$M343)/($J343-$M343-$H343)+('Sem TS MC2020'!P335-$C343/$AQ$8)*($AQ$5*$G343+$AQ$6*$B343/$N343)/200000</f>
        <v>0.203769446128478</v>
      </c>
      <c r="AQ343" s="4" t="n">
        <f aca="false">AP343/$R343</f>
        <v>0.926224755129445</v>
      </c>
      <c r="AR343" s="24" t="n">
        <f aca="false">AP343-$R343</f>
        <v>-0.0162305538715221</v>
      </c>
    </row>
    <row r="344" customFormat="false" ht="14.25" hidden="false" customHeight="false" outlineLevel="0" collapsed="false">
      <c r="B344" s="2" t="n">
        <v>28.7</v>
      </c>
      <c r="C344" s="3" t="n">
        <v>276</v>
      </c>
      <c r="D344" s="3" t="n">
        <v>2</v>
      </c>
      <c r="E344" s="2" t="n">
        <v>50.6</v>
      </c>
      <c r="F344" s="4" t="n">
        <v>2.57657861790804</v>
      </c>
      <c r="G344" s="2" t="n">
        <v>38</v>
      </c>
      <c r="H344" s="2" t="n">
        <v>52.3</v>
      </c>
      <c r="I344" s="1" t="n">
        <v>152.4</v>
      </c>
      <c r="J344" s="2" t="n">
        <v>584.2</v>
      </c>
      <c r="K344" s="3" t="n">
        <v>1290</v>
      </c>
      <c r="L344" s="4" t="n">
        <v>27896.82</v>
      </c>
      <c r="M344" s="3" t="n">
        <v>196.926616139336</v>
      </c>
      <c r="N344" s="12" t="n">
        <v>0.0462418297139244</v>
      </c>
      <c r="O344" s="4" t="n">
        <v>149.268</v>
      </c>
      <c r="P344" s="3" t="n">
        <v>213.14386705439</v>
      </c>
      <c r="Q344" s="4" t="n">
        <f aca="false">(P344-P$354)/P$355</f>
        <v>-0.264482004389347</v>
      </c>
      <c r="R344" s="4" t="n">
        <v>0.27</v>
      </c>
      <c r="S344" s="13" t="n">
        <f aca="false">P344/200000</f>
        <v>0.00106571933527195</v>
      </c>
      <c r="W344" s="4" t="n">
        <f aca="false">$X$2*($X$3*$G344+$X$4*$B344^$X$5*$N344^$X$6)*$S344^$X$7</f>
        <v>0.259076508550993</v>
      </c>
      <c r="X344" s="4" t="n">
        <f aca="false">W344/$R344</f>
        <v>0.959542624262938</v>
      </c>
      <c r="Z344" s="4" t="n">
        <f aca="false">$AA$2*$B344^$AA$3*$S344^$AA$4*($AA$5*$N344^$AA$6+$AA$7)</f>
        <v>0.263735616222622</v>
      </c>
      <c r="AA344" s="4" t="n">
        <f aca="false">Z344/$R344</f>
        <v>0.976798578602304</v>
      </c>
      <c r="AC344" s="4" t="n">
        <f aca="false">$AD$2*($AD$3+$AD$4*$F344/($N344*'Sem TS MC2020'!P336))*($AD$5*$G344+$AD$6*$B344/$N344)*'Sem TS MC2020'!R336*($J344-$M344)/($J344-$M344-$H344)</f>
        <v>0.21123499792342</v>
      </c>
      <c r="AD344" s="4" t="n">
        <f aca="false">AC344/$R344</f>
        <v>0.782351844160815</v>
      </c>
      <c r="AE344" s="24" t="n">
        <f aca="false">AC344-$R344</f>
        <v>-0.0587650020765799</v>
      </c>
      <c r="AF344" s="25" t="n">
        <f aca="false">1/AD344</f>
        <v>1.27819728101062</v>
      </c>
      <c r="AG344" s="25" t="n">
        <f aca="false">AC344*(14.068*'Sem TS MC2020'!$P336^-0.457)/$R344</f>
        <v>0.885591235325485</v>
      </c>
      <c r="AH344" s="25"/>
      <c r="AP344" s="4" t="n">
        <f aca="false">$AQ$2*($AQ$3+$AQ$4*$F344/($N344*'Sem TS MC2020'!P336))*($AQ$5*$G344+$AQ$6*$B344/$N344)*('Sem TS MC2020'!P336^$AQ$7/200000)*($J344-$M344)/($J344-$M344-$H344)+('Sem TS MC2020'!P336-$C344/$AQ$8)*($AQ$5*$G344+$AQ$6*$B344/$N344)/200000</f>
        <v>0.230418919061623</v>
      </c>
      <c r="AQ344" s="4" t="n">
        <f aca="false">AP344/$R344</f>
        <v>0.853403403931937</v>
      </c>
      <c r="AR344" s="24" t="n">
        <f aca="false">AP344-$R344</f>
        <v>-0.0395810809383769</v>
      </c>
    </row>
    <row r="345" customFormat="false" ht="14.25" hidden="false" customHeight="false" outlineLevel="0" collapsed="false">
      <c r="B345" s="2" t="n">
        <v>28.7</v>
      </c>
      <c r="C345" s="3" t="n">
        <v>276</v>
      </c>
      <c r="D345" s="3" t="n">
        <v>2</v>
      </c>
      <c r="E345" s="2" t="n">
        <v>50.6</v>
      </c>
      <c r="F345" s="4" t="n">
        <v>2.57657861790804</v>
      </c>
      <c r="G345" s="2" t="n">
        <v>38</v>
      </c>
      <c r="H345" s="2" t="n">
        <v>52.3</v>
      </c>
      <c r="I345" s="1" t="n">
        <v>152.4</v>
      </c>
      <c r="J345" s="2" t="n">
        <v>584.2</v>
      </c>
      <c r="K345" s="3" t="n">
        <v>1290</v>
      </c>
      <c r="L345" s="4" t="n">
        <v>27896.82</v>
      </c>
      <c r="M345" s="3" t="n">
        <v>196.926616139336</v>
      </c>
      <c r="N345" s="12" t="n">
        <v>0.0462418297139244</v>
      </c>
      <c r="O345" s="4" t="n">
        <v>168.882</v>
      </c>
      <c r="P345" s="3" t="n">
        <v>245.03832142352</v>
      </c>
      <c r="Q345" s="4" t="n">
        <f aca="false">(P345-P$354)/P$355</f>
        <v>0.0029125729574091</v>
      </c>
      <c r="R345" s="4" t="n">
        <v>0.32</v>
      </c>
      <c r="S345" s="13" t="n">
        <f aca="false">P345/200000</f>
        <v>0.0012251916071176</v>
      </c>
      <c r="W345" s="4" t="n">
        <f aca="false">$X$2*($X$3*$G345+$X$4*$B345^$X$5*$N345^$X$6)*$S345^$X$7</f>
        <v>0.282354215610047</v>
      </c>
      <c r="X345" s="4" t="n">
        <f aca="false">W345/$R345</f>
        <v>0.882356923781398</v>
      </c>
      <c r="Z345" s="4" t="n">
        <f aca="false">$AA$2*$B345^$AA$3*$S345^$AA$4*($AA$5*$N345^$AA$6+$AA$7)</f>
        <v>0.287873174227685</v>
      </c>
      <c r="AA345" s="4" t="n">
        <f aca="false">Z345/$R345</f>
        <v>0.899603669461516</v>
      </c>
      <c r="AC345" s="4" t="n">
        <f aca="false">$AD$2*($AD$3+$AD$4*$F345/($N345*'Sem TS MC2020'!P337))*($AD$5*$G345+$AD$6*$B345/$N345)*'Sem TS MC2020'!R337*($J345-$M345)/($J345-$M345-$H345)</f>
        <v>0.238024242179356</v>
      </c>
      <c r="AD345" s="4" t="n">
        <f aca="false">AC345/$R345</f>
        <v>0.743825756810488</v>
      </c>
      <c r="AE345" s="24" t="n">
        <f aca="false">AC345-$R345</f>
        <v>-0.0819757578206438</v>
      </c>
      <c r="AF345" s="25" t="n">
        <f aca="false">1/AD345</f>
        <v>1.3444008772807</v>
      </c>
      <c r="AG345" s="25" t="n">
        <f aca="false">AC345*(14.068*'Sem TS MC2020'!$P337^-0.457)/$R345</f>
        <v>0.802328085205323</v>
      </c>
      <c r="AH345" s="25"/>
      <c r="AP345" s="4" t="n">
        <f aca="false">$AQ$2*($AQ$3+$AQ$4*$F345/($N345*'Sem TS MC2020'!P337))*($AQ$5*$G345+$AQ$6*$B345/$N345)*('Sem TS MC2020'!P337^$AQ$7/200000)*($J345-$M345)/($J345-$M345-$H345)+('Sem TS MC2020'!P337-$C345/$AQ$8)*($AQ$5*$G345+$AQ$6*$B345/$N345)/200000</f>
        <v>0.255895807991045</v>
      </c>
      <c r="AQ345" s="4" t="n">
        <f aca="false">AP345/$R345</f>
        <v>0.799674399972016</v>
      </c>
      <c r="AR345" s="24" t="n">
        <f aca="false">AP345-$R345</f>
        <v>-0.064104192008955</v>
      </c>
    </row>
    <row r="346" customFormat="false" ht="14.25" hidden="false" customHeight="false" outlineLevel="0" collapsed="false">
      <c r="A346" s="1" t="s">
        <v>103</v>
      </c>
      <c r="B346" s="2" t="n">
        <v>28.7</v>
      </c>
      <c r="C346" s="3" t="n">
        <v>276</v>
      </c>
      <c r="D346" s="3" t="n">
        <v>2</v>
      </c>
      <c r="E346" s="2" t="n">
        <v>50.6</v>
      </c>
      <c r="F346" s="4" t="n">
        <v>2.57657861790804</v>
      </c>
      <c r="G346" s="2" t="n">
        <v>38</v>
      </c>
      <c r="H346" s="2" t="n">
        <v>52.3</v>
      </c>
      <c r="I346" s="1" t="n">
        <v>152.4</v>
      </c>
      <c r="J346" s="2" t="n">
        <v>584.2</v>
      </c>
      <c r="K346" s="3" t="n">
        <v>1290</v>
      </c>
      <c r="L346" s="4" t="n">
        <v>27896.82</v>
      </c>
      <c r="M346" s="3" t="n">
        <v>196.926616139336</v>
      </c>
      <c r="N346" s="12" t="n">
        <v>0.0462418297139244</v>
      </c>
      <c r="O346" s="4" t="n">
        <v>132.258</v>
      </c>
      <c r="P346" s="3" t="n">
        <v>180.497314979196</v>
      </c>
      <c r="Q346" s="4" t="n">
        <f aca="false">(P346-P$354)/P$355</f>
        <v>-0.538181967804449</v>
      </c>
      <c r="R346" s="4" t="n">
        <v>0.16</v>
      </c>
      <c r="S346" s="13" t="n">
        <f aca="false">P346/200000</f>
        <v>0.000902486574895982</v>
      </c>
      <c r="W346" s="4" t="n">
        <f aca="false">$X$2*($X$3*$G346+$X$4*$B346^$X$5*$N346^$X$6)*$S346^$X$7</f>
        <v>0.233818754618769</v>
      </c>
      <c r="X346" s="4" t="n">
        <f aca="false">W346/$R346</f>
        <v>1.46136721636731</v>
      </c>
      <c r="Z346" s="4" t="n">
        <f aca="false">$AA$2*$B346^$AA$3*$S346^$AA$4*($AA$5*$N346^$AA$6+$AA$7)</f>
        <v>0.23758874716416</v>
      </c>
      <c r="AA346" s="4" t="n">
        <f aca="false">Z346/$R346</f>
        <v>1.484929669776</v>
      </c>
      <c r="AC346" s="4" t="n">
        <f aca="false">$AD$2*($AD$3+$AD$4*$F346/($N346*'Sem TS MC2020'!P338))*($AD$5*$G346+$AD$6*$B346/$N346)*'Sem TS MC2020'!R338*($J346-$M346)/($J346-$M346-$H346)</f>
        <v>0.183814041053156</v>
      </c>
      <c r="AD346" s="4" t="n">
        <f aca="false">AC346/$R346</f>
        <v>1.14883775658222</v>
      </c>
      <c r="AE346" s="24" t="n">
        <f aca="false">AC346-$R346</f>
        <v>0.0238140410531559</v>
      </c>
      <c r="AF346" s="25" t="n">
        <f aca="false">1/AD346</f>
        <v>0.870444929469402</v>
      </c>
      <c r="AG346" s="25" t="n">
        <f aca="false">AC346*(14.068*'Sem TS MC2020'!$P338^-0.457)/$R346</f>
        <v>1.37436743409462</v>
      </c>
      <c r="AH346" s="25"/>
      <c r="AP346" s="4" t="n">
        <f aca="false">$AQ$2*($AQ$3+$AQ$4*$F346/($N346*'Sem TS MC2020'!P338))*($AQ$5*$G346+$AQ$6*$B346/$N346)*('Sem TS MC2020'!P338^$AQ$7/200000)*($J346-$M346)/($J346-$M346-$H346)+('Sem TS MC2020'!P338-$C346/$AQ$8)*($AQ$5*$G346+$AQ$6*$B346/$N346)/200000</f>
        <v>0.203769446128478</v>
      </c>
      <c r="AQ346" s="4" t="n">
        <f aca="false">AP346/$R346</f>
        <v>1.27355903830299</v>
      </c>
      <c r="AR346" s="24" t="n">
        <f aca="false">AP346-$R346</f>
        <v>0.0437694461284779</v>
      </c>
    </row>
    <row r="347" customFormat="false" ht="14.25" hidden="false" customHeight="false" outlineLevel="0" collapsed="false">
      <c r="B347" s="2" t="n">
        <v>28.7</v>
      </c>
      <c r="C347" s="3" t="n">
        <v>276</v>
      </c>
      <c r="D347" s="3" t="n">
        <v>2</v>
      </c>
      <c r="E347" s="2" t="n">
        <v>50.6</v>
      </c>
      <c r="F347" s="4" t="n">
        <v>2.57657861790804</v>
      </c>
      <c r="G347" s="2" t="n">
        <v>38</v>
      </c>
      <c r="H347" s="2" t="n">
        <v>52.3</v>
      </c>
      <c r="I347" s="1" t="n">
        <v>152.4</v>
      </c>
      <c r="J347" s="2" t="n">
        <v>584.2</v>
      </c>
      <c r="K347" s="3" t="n">
        <v>1290</v>
      </c>
      <c r="L347" s="4" t="n">
        <v>27896.82</v>
      </c>
      <c r="M347" s="3" t="n">
        <v>196.926616139336</v>
      </c>
      <c r="N347" s="12" t="n">
        <v>0.0462418297139244</v>
      </c>
      <c r="O347" s="4" t="n">
        <v>149.268</v>
      </c>
      <c r="P347" s="3" t="n">
        <v>213.14386705439</v>
      </c>
      <c r="Q347" s="4" t="n">
        <f aca="false">(P347-P$354)/P$355</f>
        <v>-0.264482004389347</v>
      </c>
      <c r="R347" s="4" t="n">
        <v>0.19</v>
      </c>
      <c r="S347" s="13" t="n">
        <f aca="false">P347/200000</f>
        <v>0.00106571933527195</v>
      </c>
      <c r="W347" s="4" t="n">
        <f aca="false">$X$2*($X$3*$G347+$X$4*$B347^$X$5*$N347^$X$6)*$S347^$X$7</f>
        <v>0.259076508550993</v>
      </c>
      <c r="X347" s="4" t="n">
        <f aca="false">W347/$R347</f>
        <v>1.36356057132102</v>
      </c>
      <c r="Z347" s="4" t="n">
        <f aca="false">$AA$2*$B347^$AA$3*$S347^$AA$4*($AA$5*$N347^$AA$6+$AA$7)</f>
        <v>0.263735616222622</v>
      </c>
      <c r="AA347" s="4" t="n">
        <f aca="false">Z347/$R347</f>
        <v>1.38808219064538</v>
      </c>
      <c r="AC347" s="4" t="n">
        <f aca="false">$AD$2*($AD$3+$AD$4*$F347/($N347*'Sem TS MC2020'!P339))*($AD$5*$G347+$AD$6*$B347/$N347)*'Sem TS MC2020'!R339*($J347-$M347)/($J347-$M347-$H347)</f>
        <v>0.21123499792342</v>
      </c>
      <c r="AD347" s="4" t="n">
        <f aca="false">AC347/$R347</f>
        <v>1.11176314696537</v>
      </c>
      <c r="AE347" s="24" t="n">
        <f aca="false">AC347-$R347</f>
        <v>0.0212349979234202</v>
      </c>
      <c r="AF347" s="25" t="n">
        <f aca="false">1/AD347</f>
        <v>0.899472160711178</v>
      </c>
      <c r="AG347" s="25" t="n">
        <f aca="false">AC347*(14.068*'Sem TS MC2020'!$P339^-0.457)/$R347</f>
        <v>1.25847175546253</v>
      </c>
      <c r="AH347" s="25"/>
      <c r="AP347" s="4" t="n">
        <f aca="false">$AQ$2*($AQ$3+$AQ$4*$F347/($N347*'Sem TS MC2020'!P339))*($AQ$5*$G347+$AQ$6*$B347/$N347)*('Sem TS MC2020'!P339^$AQ$7/200000)*($J347-$M347)/($J347-$M347-$H347)+('Sem TS MC2020'!P339-$C347/$AQ$8)*($AQ$5*$G347+$AQ$6*$B347/$N347)/200000</f>
        <v>0.230418919061623</v>
      </c>
      <c r="AQ347" s="4" t="n">
        <f aca="false">AP347/$R347</f>
        <v>1.21273115295591</v>
      </c>
      <c r="AR347" s="24" t="n">
        <f aca="false">AP347-$R347</f>
        <v>0.0404189190616231</v>
      </c>
    </row>
    <row r="348" customFormat="false" ht="14.25" hidden="false" customHeight="false" outlineLevel="0" collapsed="false">
      <c r="B348" s="2" t="n">
        <v>28.7</v>
      </c>
      <c r="C348" s="3" t="n">
        <v>276</v>
      </c>
      <c r="D348" s="3" t="n">
        <v>2</v>
      </c>
      <c r="E348" s="2" t="n">
        <v>50.6</v>
      </c>
      <c r="F348" s="4" t="n">
        <v>2.57657861790804</v>
      </c>
      <c r="G348" s="2" t="n">
        <v>38</v>
      </c>
      <c r="H348" s="2" t="n">
        <v>52.3</v>
      </c>
      <c r="I348" s="1" t="n">
        <v>152.4</v>
      </c>
      <c r="J348" s="2" t="n">
        <v>584.2</v>
      </c>
      <c r="K348" s="3" t="n">
        <v>1290</v>
      </c>
      <c r="L348" s="4" t="n">
        <v>27896.82</v>
      </c>
      <c r="M348" s="3" t="n">
        <v>196.926616139336</v>
      </c>
      <c r="N348" s="12" t="n">
        <v>0.0462418297139244</v>
      </c>
      <c r="O348" s="4" t="n">
        <v>168.882</v>
      </c>
      <c r="P348" s="3" t="n">
        <v>245.03832142352</v>
      </c>
      <c r="Q348" s="4" t="n">
        <f aca="false">(P348-P$354)/P$355</f>
        <v>0.0029125729574091</v>
      </c>
      <c r="R348" s="4" t="n">
        <v>0.22</v>
      </c>
      <c r="S348" s="13" t="n">
        <f aca="false">P348/200000</f>
        <v>0.0012251916071176</v>
      </c>
      <c r="W348" s="4" t="n">
        <f aca="false">$X$2*($X$3*$G348+$X$4*$B348^$X$5*$N348^$X$6)*$S348^$X$7</f>
        <v>0.282354215610047</v>
      </c>
      <c r="X348" s="4" t="n">
        <f aca="false">W348/$R348</f>
        <v>1.28342825277294</v>
      </c>
      <c r="Z348" s="4" t="n">
        <f aca="false">$AA$2*$B348^$AA$3*$S348^$AA$4*($AA$5*$N348^$AA$6+$AA$7)</f>
        <v>0.287873174227685</v>
      </c>
      <c r="AA348" s="4" t="n">
        <f aca="false">Z348/$R348</f>
        <v>1.30851442830766</v>
      </c>
      <c r="AC348" s="4" t="n">
        <f aca="false">$AD$2*($AD$3+$AD$4*$F348/($N348*'Sem TS MC2020'!P340))*($AD$5*$G348+$AD$6*$B348/$N348)*'Sem TS MC2020'!R340*($J348-$M348)/($J348-$M348-$H348)</f>
        <v>0.238024242179356</v>
      </c>
      <c r="AD348" s="4" t="n">
        <f aca="false">AC348/$R348</f>
        <v>1.08192837354253</v>
      </c>
      <c r="AE348" s="24" t="n">
        <f aca="false">AC348-$R348</f>
        <v>0.0180242421793562</v>
      </c>
      <c r="AF348" s="25" t="n">
        <f aca="false">1/AD348</f>
        <v>0.92427560313048</v>
      </c>
      <c r="AG348" s="25" t="n">
        <f aca="false">AC348*(14.068*'Sem TS MC2020'!$P340^-0.457)/$R348</f>
        <v>1.16702266938956</v>
      </c>
      <c r="AH348" s="25"/>
      <c r="AP348" s="4" t="n">
        <f aca="false">$AQ$2*($AQ$3+$AQ$4*$F348/($N348*'Sem TS MC2020'!P340))*($AQ$5*$G348+$AQ$6*$B348/$N348)*('Sem TS MC2020'!P340^$AQ$7/200000)*($J348-$M348)/($J348-$M348-$H348)+('Sem TS MC2020'!P340-$C348/$AQ$8)*($AQ$5*$G348+$AQ$6*$B348/$N348)/200000</f>
        <v>0.255895807991045</v>
      </c>
      <c r="AQ348" s="4" t="n">
        <f aca="false">AP348/$R348</f>
        <v>1.16316276359566</v>
      </c>
      <c r="AR348" s="24" t="n">
        <f aca="false">AP348-$R348</f>
        <v>0.0358958079910451</v>
      </c>
    </row>
    <row r="349" customFormat="false" ht="14.25" hidden="false" customHeight="false" outlineLevel="0" collapsed="false">
      <c r="A349" s="1" t="s">
        <v>104</v>
      </c>
      <c r="B349" s="2" t="n">
        <v>35.8</v>
      </c>
      <c r="C349" s="3" t="n">
        <v>276</v>
      </c>
      <c r="D349" s="3" t="n">
        <v>2</v>
      </c>
      <c r="E349" s="2" t="n">
        <v>36.4</v>
      </c>
      <c r="F349" s="4" t="n">
        <v>2.54783553354044</v>
      </c>
      <c r="G349" s="2" t="n">
        <v>38</v>
      </c>
      <c r="H349" s="2" t="n">
        <v>55.9</v>
      </c>
      <c r="I349" s="1" t="n">
        <v>152.4</v>
      </c>
      <c r="J349" s="2" t="n">
        <v>584.2</v>
      </c>
      <c r="K349" s="3" t="n">
        <v>2012</v>
      </c>
      <c r="L349" s="4" t="n">
        <v>29817.06</v>
      </c>
      <c r="M349" s="3" t="n">
        <v>231.967079154845</v>
      </c>
      <c r="N349" s="12" t="n">
        <v>0.0674781484157056</v>
      </c>
      <c r="O349" s="4" t="n">
        <v>167.034</v>
      </c>
      <c r="P349" s="3" t="n">
        <v>150.918822000117</v>
      </c>
      <c r="Q349" s="4" t="n">
        <f aca="false">(P349-P$354)/P$355</f>
        <v>-0.786160144109295</v>
      </c>
      <c r="R349" s="4" t="n">
        <v>0.17</v>
      </c>
      <c r="S349" s="13" t="n">
        <f aca="false">P349/200000</f>
        <v>0.000754594110000586</v>
      </c>
      <c r="W349" s="4" t="n">
        <f aca="false">$X$2*($X$3*$G349+$X$4*$B349^$X$5*$N349^$X$6)*$S349^$X$7</f>
        <v>0.207484430071591</v>
      </c>
      <c r="X349" s="4" t="n">
        <f aca="false">W349/$R349</f>
        <v>1.22049664747995</v>
      </c>
      <c r="Z349" s="4" t="n">
        <f aca="false">$AA$2*$B349^$AA$3*$S349^$AA$4*($AA$5*$N349^$AA$6+$AA$7)</f>
        <v>0.217744584116618</v>
      </c>
      <c r="AA349" s="4" t="n">
        <f aca="false">Z349/$R349</f>
        <v>1.28085049480363</v>
      </c>
      <c r="AC349" s="4" t="n">
        <f aca="false">$AD$2*($AD$3+$AD$4*$F349/($N349*'Sem TS MC2020'!P341))*($AD$5*$G349+$AD$6*$B349/$N349)*'Sem TS MC2020'!R341*($J349-$M349)/($J349-$M349-$H349)</f>
        <v>0.146534218953793</v>
      </c>
      <c r="AD349" s="4" t="n">
        <f aca="false">AC349/$R349</f>
        <v>0.861965993845842</v>
      </c>
      <c r="AE349" s="24" t="n">
        <f aca="false">AC349-$R349</f>
        <v>-0.0234657810462068</v>
      </c>
      <c r="AF349" s="25" t="n">
        <f aca="false">1/AD349</f>
        <v>1.16013857523345</v>
      </c>
      <c r="AG349" s="25" t="n">
        <f aca="false">AC349*(14.068*'Sem TS MC2020'!$P341^-0.457)/$R349</f>
        <v>1.11842659607425</v>
      </c>
      <c r="AH349" s="25"/>
      <c r="AP349" s="4" t="n">
        <f aca="false">$AQ$2*($AQ$3+$AQ$4*$F349/($N349*'Sem TS MC2020'!P341))*($AQ$5*$G349+$AQ$6*$B349/$N349)*('Sem TS MC2020'!P341^$AQ$7/200000)*($J349-$M349)/($J349-$M349-$H349)+('Sem TS MC2020'!P341-$C349/$AQ$8)*($AQ$5*$G349+$AQ$6*$B349/$N349)/200000</f>
        <v>0.164839592346592</v>
      </c>
      <c r="AQ349" s="4" t="n">
        <f aca="false">AP349/$R349</f>
        <v>0.969644660862307</v>
      </c>
      <c r="AR349" s="24" t="n">
        <f aca="false">AP349-$R349</f>
        <v>-0.00516040765340775</v>
      </c>
    </row>
    <row r="350" customFormat="false" ht="14.25" hidden="false" customHeight="false" outlineLevel="0" collapsed="false">
      <c r="A350" s="1" t="s">
        <v>105</v>
      </c>
      <c r="B350" s="2" t="n">
        <v>35.8</v>
      </c>
      <c r="C350" s="3" t="n">
        <v>276</v>
      </c>
      <c r="D350" s="3" t="n">
        <v>2</v>
      </c>
      <c r="E350" s="2" t="n">
        <v>36.4</v>
      </c>
      <c r="F350" s="4" t="n">
        <v>2.75637342683892</v>
      </c>
      <c r="G350" s="2" t="n">
        <v>38</v>
      </c>
      <c r="H350" s="2" t="n">
        <v>55.9</v>
      </c>
      <c r="I350" s="1" t="n">
        <v>152.4</v>
      </c>
      <c r="J350" s="2" t="n">
        <v>584.2</v>
      </c>
      <c r="K350" s="3" t="n">
        <v>2012</v>
      </c>
      <c r="L350" s="4" t="n">
        <v>29817.06</v>
      </c>
      <c r="M350" s="3" t="n">
        <v>228.699800687537</v>
      </c>
      <c r="N350" s="12" t="n">
        <v>0.0674781484157056</v>
      </c>
      <c r="O350" s="4" t="n">
        <v>130.788</v>
      </c>
      <c r="P350" s="3" t="n">
        <v>108.349173275283</v>
      </c>
      <c r="Q350" s="4" t="n">
        <f aca="false">(P350-P$354)/P$355</f>
        <v>-1.14305269655234</v>
      </c>
      <c r="R350" s="4" t="n">
        <v>0.19</v>
      </c>
      <c r="S350" s="13" t="n">
        <f aca="false">P350/200000</f>
        <v>0.000541745866376417</v>
      </c>
      <c r="W350" s="4" t="n">
        <f aca="false">$X$2*($X$3*$G350+$X$4*$B350^$X$5*$N350^$X$6)*$S350^$X$7</f>
        <v>0.169117374094634</v>
      </c>
      <c r="X350" s="4" t="n">
        <f aca="false">W350/$R350</f>
        <v>0.890091442603335</v>
      </c>
      <c r="Z350" s="4" t="n">
        <f aca="false">$AA$2*$B350^$AA$3*$S350^$AA$4*($AA$5*$N350^$AA$6+$AA$7)</f>
        <v>0.176834492510042</v>
      </c>
      <c r="AA350" s="4" t="n">
        <f aca="false">Z350/$R350</f>
        <v>0.930707855316012</v>
      </c>
      <c r="AC350" s="4" t="n">
        <f aca="false">$AD$2*($AD$3+$AD$4*$F350/($N350*'Sem TS MC2020'!P342))*($AD$5*$G350+$AD$6*$B350/$N350)*'Sem TS MC2020'!R342*($J350-$M350)/($J350-$M350-$H350)</f>
        <v>0.108736603921636</v>
      </c>
      <c r="AD350" s="4" t="n">
        <f aca="false">AC350/$R350</f>
        <v>0.572297915377031</v>
      </c>
      <c r="AE350" s="24" t="n">
        <f aca="false">AC350-$R350</f>
        <v>-0.0812633960783642</v>
      </c>
      <c r="AF350" s="25" t="n">
        <f aca="false">1/AD350</f>
        <v>1.74734167840049</v>
      </c>
      <c r="AG350" s="25" t="n">
        <f aca="false">AC350*(14.068*'Sem TS MC2020'!$P342^-0.457)/$R350</f>
        <v>0.831320603299343</v>
      </c>
      <c r="AH350" s="25"/>
      <c r="AP350" s="4" t="n">
        <f aca="false">$AQ$2*($AQ$3+$AQ$4*$F350/($N350*'Sem TS MC2020'!P342))*($AQ$5*$G350+$AQ$6*$B350/$N350)*('Sem TS MC2020'!P342^$AQ$7/200000)*($J350-$M350)/($J350-$M350-$H350)+('Sem TS MC2020'!P342-$C350/$AQ$8)*($AQ$5*$G350+$AQ$6*$B350/$N350)/200000</f>
        <v>0.12596056373655</v>
      </c>
      <c r="AQ350" s="4" t="n">
        <f aca="false">AP350/$R350</f>
        <v>0.662950335455529</v>
      </c>
      <c r="AR350" s="24" t="n">
        <f aca="false">AP350-$R350</f>
        <v>-0.0640394362634496</v>
      </c>
    </row>
    <row r="351" customFormat="false" ht="14.25" hidden="false" customHeight="false" outlineLevel="0" collapsed="false">
      <c r="B351" s="2" t="n">
        <v>35.8</v>
      </c>
      <c r="C351" s="3" t="n">
        <v>276</v>
      </c>
      <c r="D351" s="3" t="n">
        <v>2</v>
      </c>
      <c r="E351" s="2" t="n">
        <v>36.4</v>
      </c>
      <c r="F351" s="4" t="n">
        <v>2.75637342683892</v>
      </c>
      <c r="G351" s="2" t="n">
        <v>38</v>
      </c>
      <c r="H351" s="2" t="n">
        <v>55.9</v>
      </c>
      <c r="I351" s="1" t="n">
        <v>152.4</v>
      </c>
      <c r="J351" s="2" t="n">
        <v>584.2</v>
      </c>
      <c r="K351" s="3" t="n">
        <v>2012</v>
      </c>
      <c r="L351" s="4" t="n">
        <v>29817.06</v>
      </c>
      <c r="M351" s="3" t="n">
        <v>228.699800687537</v>
      </c>
      <c r="N351" s="12" t="n">
        <v>0.0674781484157056</v>
      </c>
      <c r="O351" s="4" t="n">
        <v>167.034</v>
      </c>
      <c r="P351" s="3" t="n">
        <v>148.199286582844</v>
      </c>
      <c r="Q351" s="4" t="n">
        <f aca="false">(P351-P$354)/P$355</f>
        <v>-0.808960001885986</v>
      </c>
      <c r="R351" s="4" t="n">
        <v>0.25</v>
      </c>
      <c r="S351" s="13" t="n">
        <f aca="false">P351/200000</f>
        <v>0.00074099643291422</v>
      </c>
      <c r="W351" s="4" t="n">
        <f aca="false">$X$2*($X$3*$G351+$X$4*$B351^$X$5*$N351^$X$6)*$S351^$X$7</f>
        <v>0.205169538707502</v>
      </c>
      <c r="X351" s="4" t="n">
        <f aca="false">W351/$R351</f>
        <v>0.820678154830009</v>
      </c>
      <c r="Z351" s="4" t="n">
        <f aca="false">$AA$2*$B351^$AA$3*$S351^$AA$4*($AA$5*$N351^$AA$6+$AA$7)</f>
        <v>0.215272156472023</v>
      </c>
      <c r="AA351" s="4" t="n">
        <f aca="false">Z351/$R351</f>
        <v>0.861088625888091</v>
      </c>
      <c r="AC351" s="4" t="n">
        <f aca="false">$AD$2*($AD$3+$AD$4*$F351/($N351*'Sem TS MC2020'!P343))*($AD$5*$G351+$AD$6*$B351/$N351)*'Sem TS MC2020'!R343*($J351-$M351)/($J351-$M351-$H351)</f>
        <v>0.14438008532206</v>
      </c>
      <c r="AD351" s="4" t="n">
        <f aca="false">AC351/$R351</f>
        <v>0.57752034128824</v>
      </c>
      <c r="AE351" s="24" t="n">
        <f aca="false">AC351-$R351</f>
        <v>-0.10561991467794</v>
      </c>
      <c r="AF351" s="25" t="n">
        <f aca="false">1/AD351</f>
        <v>1.73154074152498</v>
      </c>
      <c r="AG351" s="25" t="n">
        <f aca="false">AC351*(14.068*'Sem TS MC2020'!$P343^-0.457)/$R351</f>
        <v>0.750176343050036</v>
      </c>
      <c r="AH351" s="25"/>
      <c r="AP351" s="4" t="n">
        <f aca="false">$AQ$2*($AQ$3+$AQ$4*$F351/($N351*'Sem TS MC2020'!P343))*($AQ$5*$G351+$AQ$6*$B351/$N351)*('Sem TS MC2020'!P343^$AQ$7/200000)*($J351-$M351)/($J351-$M351-$H351)+('Sem TS MC2020'!P343-$C351/$AQ$8)*($AQ$5*$G351+$AQ$6*$B351/$N351)/200000</f>
        <v>0.16246279201389</v>
      </c>
      <c r="AQ351" s="4" t="n">
        <f aca="false">AP351/$R351</f>
        <v>0.649851168055559</v>
      </c>
      <c r="AR351" s="24" t="n">
        <f aca="false">AP351-$R351</f>
        <v>-0.0875372079861103</v>
      </c>
    </row>
    <row r="352" customFormat="false" ht="14.25" hidden="false" customHeight="false" outlineLevel="0" collapsed="false">
      <c r="Z352" s="1"/>
      <c r="AA352" s="1"/>
      <c r="AC352" s="1"/>
      <c r="AD352" s="1"/>
      <c r="AP352" s="1"/>
      <c r="AQ352" s="1"/>
    </row>
    <row r="353" customFormat="false" ht="14.25" hidden="false" customHeight="false" outlineLevel="0" collapsed="false">
      <c r="W353" s="1" t="s">
        <v>106</v>
      </c>
      <c r="X353" s="4" t="n">
        <f aca="false">AVERAGE(X11:X351)</f>
        <v>1.06576826360784</v>
      </c>
      <c r="Z353" s="1" t="s">
        <v>106</v>
      </c>
      <c r="AA353" s="4" t="n">
        <f aca="false">AVERAGE(AA11:AA351)</f>
        <v>1.06796157478175</v>
      </c>
      <c r="AC353" s="1" t="s">
        <v>106</v>
      </c>
      <c r="AD353" s="4" t="n">
        <f aca="false">AVERAGE(AD11:AD351)</f>
        <v>1.02175868901109</v>
      </c>
      <c r="AE353" s="4"/>
      <c r="AF353" s="1"/>
      <c r="AG353" s="4" t="n">
        <f aca="false">AVERAGE(AG11:AG351)</f>
        <v>1.0565499551376</v>
      </c>
      <c r="AH353" s="4"/>
      <c r="AP353" s="1" t="s">
        <v>106</v>
      </c>
      <c r="AQ353" s="4" t="n">
        <f aca="false">AVERAGE(AQ11:AQ351)</f>
        <v>1.06851533122664</v>
      </c>
      <c r="AR353" s="4"/>
    </row>
    <row r="354" customFormat="false" ht="14.25" hidden="false" customHeight="false" outlineLevel="0" collapsed="false">
      <c r="P354" s="4" t="n">
        <f aca="false">AVERAGE(P11:P351)</f>
        <v>244.690913760251</v>
      </c>
      <c r="Q354" s="4"/>
      <c r="W354" s="1" t="s">
        <v>107</v>
      </c>
      <c r="X354" s="4" t="n">
        <f aca="false">_xlfn.STDEV.S(X11:X351)</f>
        <v>0.313963928908075</v>
      </c>
      <c r="Z354" s="1" t="s">
        <v>107</v>
      </c>
      <c r="AA354" s="4" t="n">
        <f aca="false">_xlfn.STDEV.S(AA11:AA351)</f>
        <v>0.314912970711103</v>
      </c>
      <c r="AC354" s="1" t="s">
        <v>107</v>
      </c>
      <c r="AD354" s="4" t="n">
        <f aca="false">_xlfn.STDEV.S(AD11:AD351)</f>
        <v>0.336531590236109</v>
      </c>
      <c r="AE354" s="4"/>
      <c r="AF354" s="1"/>
      <c r="AG354" s="4" t="n">
        <f aca="false">_xlfn.STDEV.S(AG11:AG351)</f>
        <v>0.318650071395604</v>
      </c>
      <c r="AH354" s="4"/>
      <c r="AP354" s="1" t="s">
        <v>107</v>
      </c>
      <c r="AQ354" s="4" t="n">
        <f aca="false">_xlfn.STDEV.S(AQ11:AQ351)</f>
        <v>0.346365040787737</v>
      </c>
      <c r="AR354" s="4"/>
    </row>
    <row r="355" customFormat="false" ht="14.25" hidden="false" customHeight="false" outlineLevel="0" collapsed="false">
      <c r="P355" s="4" t="n">
        <f aca="false">_xlfn.STDEV.S(P11:P351)</f>
        <v>119.27861322247</v>
      </c>
      <c r="Q355" s="4"/>
      <c r="W355" s="1" t="s">
        <v>108</v>
      </c>
      <c r="X355" s="10" t="n">
        <f aca="false">X354/X353</f>
        <v>0.29458930203574</v>
      </c>
      <c r="Z355" s="1" t="s">
        <v>108</v>
      </c>
      <c r="AA355" s="10" t="n">
        <f aca="false">AA354/AA353</f>
        <v>0.294872941262384</v>
      </c>
      <c r="AC355" s="1" t="s">
        <v>108</v>
      </c>
      <c r="AD355" s="10" t="n">
        <f aca="false">AD354/AD353</f>
        <v>0.329365038786038</v>
      </c>
      <c r="AF355" s="1"/>
      <c r="AG355" s="10" t="n">
        <f aca="false">AG354/AG353</f>
        <v>0.301594893687829</v>
      </c>
      <c r="AH355" s="10"/>
      <c r="AP355" s="1" t="s">
        <v>108</v>
      </c>
      <c r="AQ355" s="10" t="n">
        <f aca="false">AQ354/AQ353</f>
        <v>0.324155424508618</v>
      </c>
    </row>
  </sheetData>
  <mergeCells count="1">
    <mergeCell ref="B9:P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47"/>
  <sheetViews>
    <sheetView showFormulas="false" showGridLines="true" showRowColHeaders="true" showZeros="true" rightToLeft="false" tabSelected="false" showOutlineSymbols="true" defaultGridColor="true" view="normal" topLeftCell="G1" colorId="64" zoomScale="120" zoomScaleNormal="120" zoomScalePageLayoutView="100" workbookViewId="0">
      <selection pane="topLeft" activeCell="A12" activeCellId="0" sqref="A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3.11"/>
    <col collapsed="false" customWidth="true" hidden="false" outlineLevel="0" max="2" min="2" style="1" width="24.78"/>
    <col collapsed="false" customWidth="true" hidden="false" outlineLevel="0" max="3" min="3" style="3" width="24.78"/>
    <col collapsed="false" customWidth="true" hidden="false" outlineLevel="0" max="4" min="4" style="1" width="29.66"/>
    <col collapsed="false" customWidth="true" hidden="false" outlineLevel="0" max="5" min="5" style="2" width="29.33"/>
    <col collapsed="false" customWidth="true" hidden="false" outlineLevel="0" max="6" min="6" style="4" width="36.78"/>
    <col collapsed="false" customWidth="true" hidden="false" outlineLevel="0" max="7" min="7" style="1" width="16.45"/>
    <col collapsed="false" customWidth="true" hidden="false" outlineLevel="0" max="8" min="8" style="1" width="44.55"/>
    <col collapsed="false" customWidth="true" hidden="false" outlineLevel="0" max="9" min="9" style="1" width="20.45"/>
    <col collapsed="false" customWidth="true" hidden="false" outlineLevel="0" max="10" min="10" style="1" width="19.78"/>
    <col collapsed="false" customWidth="true" hidden="false" outlineLevel="0" max="11" min="11" style="1" width="29.78"/>
    <col collapsed="false" customWidth="true" hidden="false" outlineLevel="0" max="12" min="12" style="1" width="31.22"/>
    <col collapsed="false" customWidth="true" hidden="false" outlineLevel="0" max="13" min="13" style="3" width="30.67"/>
    <col collapsed="false" customWidth="true" hidden="false" outlineLevel="0" max="14" min="14" style="12" width="16.33"/>
    <col collapsed="false" customWidth="true" hidden="false" outlineLevel="0" max="15" min="15" style="12" width="23.22"/>
    <col collapsed="false" customWidth="true" hidden="false" outlineLevel="0" max="16" min="16" style="3" width="22.67"/>
    <col collapsed="false" customWidth="true" hidden="false" outlineLevel="0" max="17" min="17" style="4" width="9.66"/>
    <col collapsed="false" customWidth="true" hidden="false" outlineLevel="0" max="18" min="18" style="13" width="22.11"/>
    <col collapsed="false" customWidth="true" hidden="false" outlineLevel="0" max="23" min="22" style="1" width="8.89"/>
  </cols>
  <sheetData>
    <row r="1" customFormat="false" ht="14.25" hidden="false" customHeight="false" outlineLevel="0" collapsed="false">
      <c r="A1" s="0" t="s">
        <v>8</v>
      </c>
      <c r="B1" s="11" t="s">
        <v>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4" t="s">
        <v>10</v>
      </c>
    </row>
    <row r="2" customFormat="false" ht="16.4" hidden="false" customHeight="false" outlineLevel="0" collapsed="false">
      <c r="B2" s="1" t="s">
        <v>109</v>
      </c>
      <c r="C2" s="3" t="s">
        <v>12</v>
      </c>
      <c r="D2" s="1" t="s">
        <v>13</v>
      </c>
      <c r="E2" s="2" t="s">
        <v>14</v>
      </c>
      <c r="F2" s="4" t="s">
        <v>110</v>
      </c>
      <c r="G2" s="1" t="s">
        <v>111</v>
      </c>
      <c r="H2" s="1" t="s">
        <v>112</v>
      </c>
      <c r="I2" s="1" t="s">
        <v>119</v>
      </c>
      <c r="J2" s="18" t="s">
        <v>120</v>
      </c>
      <c r="K2" s="18" t="s">
        <v>121</v>
      </c>
      <c r="L2" s="18" t="s">
        <v>122</v>
      </c>
      <c r="M2" s="19" t="s">
        <v>123</v>
      </c>
      <c r="N2" s="12" t="s">
        <v>113</v>
      </c>
      <c r="O2" s="12" t="s">
        <v>130</v>
      </c>
      <c r="P2" s="3" t="s">
        <v>114</v>
      </c>
      <c r="Q2" s="4" t="s">
        <v>115</v>
      </c>
      <c r="R2" s="22" t="s">
        <v>131</v>
      </c>
    </row>
    <row r="3" customFormat="false" ht="14.25" hidden="false" customHeight="false" outlineLevel="0" collapsed="false">
      <c r="A3" s="0" t="s">
        <v>22</v>
      </c>
      <c r="B3" s="1" t="n">
        <v>20</v>
      </c>
      <c r="C3" s="3" t="n">
        <v>500</v>
      </c>
      <c r="D3" s="1" t="n">
        <v>2</v>
      </c>
      <c r="E3" s="2" t="n">
        <v>126</v>
      </c>
      <c r="F3" s="4" t="n">
        <v>4.12034052390144</v>
      </c>
      <c r="G3" s="1" t="n">
        <v>25</v>
      </c>
      <c r="H3" s="1" t="n">
        <v>39</v>
      </c>
      <c r="I3" s="1" t="n">
        <v>216</v>
      </c>
      <c r="J3" s="1" t="n">
        <v>201</v>
      </c>
      <c r="K3" s="1" t="n">
        <v>628</v>
      </c>
      <c r="L3" s="1" t="n">
        <v>29484</v>
      </c>
      <c r="M3" s="3" t="n">
        <v>57.3617765856203</v>
      </c>
      <c r="N3" s="12" t="n">
        <v>0.0212996879663546</v>
      </c>
      <c r="O3" s="4" t="n">
        <v>20.8</v>
      </c>
      <c r="P3" s="3" t="n">
        <v>231.811004938734</v>
      </c>
      <c r="Q3" s="4" t="n">
        <v>0.16</v>
      </c>
      <c r="R3" s="13" t="n">
        <f aca="false">P3/200000</f>
        <v>0.00115905502469367</v>
      </c>
      <c r="V3" s="4"/>
      <c r="W3" s="4"/>
    </row>
    <row r="4" customFormat="false" ht="14.25" hidden="false" customHeight="false" outlineLevel="0" collapsed="false">
      <c r="B4" s="1" t="n">
        <v>20</v>
      </c>
      <c r="C4" s="3" t="n">
        <v>500</v>
      </c>
      <c r="D4" s="1" t="n">
        <v>2</v>
      </c>
      <c r="E4" s="2" t="n">
        <v>126</v>
      </c>
      <c r="F4" s="4" t="n">
        <v>4.12034052390144</v>
      </c>
      <c r="G4" s="1" t="n">
        <v>25</v>
      </c>
      <c r="H4" s="1" t="n">
        <v>39</v>
      </c>
      <c r="I4" s="1" t="n">
        <v>216</v>
      </c>
      <c r="J4" s="1" t="n">
        <v>201</v>
      </c>
      <c r="K4" s="1" t="n">
        <v>628</v>
      </c>
      <c r="L4" s="1" t="n">
        <v>29484</v>
      </c>
      <c r="M4" s="3" t="n">
        <v>57.3617765856203</v>
      </c>
      <c r="N4" s="12" t="n">
        <v>0.0212996879663546</v>
      </c>
      <c r="O4" s="4" t="n">
        <v>27.3</v>
      </c>
      <c r="P4" s="3" t="n">
        <v>304.251943982088</v>
      </c>
      <c r="Q4" s="4" t="n">
        <v>0.23</v>
      </c>
      <c r="R4" s="13" t="n">
        <f aca="false">P4/200000</f>
        <v>0.00152125971991044</v>
      </c>
      <c r="V4" s="4"/>
      <c r="W4" s="4"/>
    </row>
    <row r="5" customFormat="false" ht="14.25" hidden="false" customHeight="false" outlineLevel="0" collapsed="false">
      <c r="B5" s="1" t="n">
        <v>20</v>
      </c>
      <c r="C5" s="3" t="n">
        <v>500</v>
      </c>
      <c r="D5" s="1" t="n">
        <v>2</v>
      </c>
      <c r="E5" s="2" t="n">
        <v>126</v>
      </c>
      <c r="F5" s="4" t="n">
        <v>4.12034052390144</v>
      </c>
      <c r="G5" s="1" t="n">
        <v>25</v>
      </c>
      <c r="H5" s="1" t="n">
        <v>39</v>
      </c>
      <c r="I5" s="1" t="n">
        <v>216</v>
      </c>
      <c r="J5" s="1" t="n">
        <v>201</v>
      </c>
      <c r="K5" s="1" t="n">
        <v>628</v>
      </c>
      <c r="L5" s="1" t="n">
        <v>29484</v>
      </c>
      <c r="M5" s="3" t="n">
        <v>57.3617765856203</v>
      </c>
      <c r="N5" s="12" t="n">
        <v>0.0212996879663546</v>
      </c>
      <c r="O5" s="4" t="n">
        <v>28.2</v>
      </c>
      <c r="P5" s="3" t="n">
        <v>314.282227849629</v>
      </c>
      <c r="Q5" s="4" t="n">
        <v>0.24</v>
      </c>
      <c r="R5" s="13" t="n">
        <f aca="false">P5/200000</f>
        <v>0.00157141113924815</v>
      </c>
      <c r="V5" s="4"/>
      <c r="W5" s="4"/>
    </row>
    <row r="6" customFormat="false" ht="14.25" hidden="false" customHeight="false" outlineLevel="0" collapsed="false">
      <c r="B6" s="1" t="n">
        <v>20</v>
      </c>
      <c r="C6" s="3" t="n">
        <v>500</v>
      </c>
      <c r="D6" s="1" t="n">
        <v>2</v>
      </c>
      <c r="E6" s="2" t="n">
        <v>126</v>
      </c>
      <c r="F6" s="4" t="n">
        <v>4.12034052390144</v>
      </c>
      <c r="G6" s="1" t="n">
        <v>25</v>
      </c>
      <c r="H6" s="1" t="n">
        <v>39</v>
      </c>
      <c r="I6" s="1" t="n">
        <v>216</v>
      </c>
      <c r="J6" s="1" t="n">
        <v>201</v>
      </c>
      <c r="K6" s="1" t="n">
        <v>628</v>
      </c>
      <c r="L6" s="1" t="n">
        <v>29484</v>
      </c>
      <c r="M6" s="3" t="n">
        <v>57.3617765856203</v>
      </c>
      <c r="N6" s="12" t="n">
        <v>0.0212996879663546</v>
      </c>
      <c r="O6" s="4" t="n">
        <v>32.6</v>
      </c>
      <c r="P6" s="3" t="n">
        <v>363.319171202054</v>
      </c>
      <c r="Q6" s="4" t="n">
        <v>0.27</v>
      </c>
      <c r="R6" s="13" t="n">
        <f aca="false">P6/200000</f>
        <v>0.00181659585601027</v>
      </c>
      <c r="V6" s="4"/>
      <c r="W6" s="4"/>
    </row>
    <row r="7" customFormat="false" ht="14.25" hidden="false" customHeight="false" outlineLevel="0" collapsed="false">
      <c r="B7" s="1" t="n">
        <v>20</v>
      </c>
      <c r="C7" s="3" t="n">
        <v>500</v>
      </c>
      <c r="D7" s="1" t="n">
        <v>2</v>
      </c>
      <c r="E7" s="2" t="n">
        <v>126</v>
      </c>
      <c r="F7" s="4" t="n">
        <v>4.12034052390144</v>
      </c>
      <c r="G7" s="1" t="n">
        <v>25</v>
      </c>
      <c r="H7" s="1" t="n">
        <v>39</v>
      </c>
      <c r="I7" s="1" t="n">
        <v>216</v>
      </c>
      <c r="J7" s="1" t="n">
        <v>201</v>
      </c>
      <c r="K7" s="1" t="n">
        <v>628</v>
      </c>
      <c r="L7" s="1" t="n">
        <v>29484</v>
      </c>
      <c r="M7" s="3" t="n">
        <v>57.3617765856203</v>
      </c>
      <c r="N7" s="12" t="n">
        <v>0.0212996879663546</v>
      </c>
      <c r="O7" s="4" t="n">
        <v>41.2</v>
      </c>
      <c r="P7" s="3" t="n">
        <v>459.164105936338</v>
      </c>
      <c r="Q7" s="4" t="n">
        <v>0.35</v>
      </c>
      <c r="R7" s="13" t="n">
        <f aca="false">P7/200000</f>
        <v>0.00229582052968169</v>
      </c>
      <c r="V7" s="4"/>
      <c r="W7" s="4"/>
    </row>
    <row r="8" customFormat="false" ht="14.25" hidden="false" customHeight="false" outlineLevel="0" collapsed="false">
      <c r="B8" s="1" t="n">
        <v>20</v>
      </c>
      <c r="C8" s="3" t="n">
        <v>500</v>
      </c>
      <c r="D8" s="1" t="n">
        <v>2</v>
      </c>
      <c r="E8" s="2" t="n">
        <v>126</v>
      </c>
      <c r="F8" s="4" t="n">
        <v>4.12034052390144</v>
      </c>
      <c r="G8" s="1" t="n">
        <v>25</v>
      </c>
      <c r="H8" s="1" t="n">
        <v>39</v>
      </c>
      <c r="I8" s="1" t="n">
        <v>216</v>
      </c>
      <c r="J8" s="1" t="n">
        <v>201</v>
      </c>
      <c r="K8" s="1" t="n">
        <v>628</v>
      </c>
      <c r="L8" s="1" t="n">
        <v>29484</v>
      </c>
      <c r="M8" s="3" t="n">
        <v>57.3617765856203</v>
      </c>
      <c r="N8" s="12" t="n">
        <v>0.0212996879663546</v>
      </c>
      <c r="O8" s="4" t="n">
        <v>44.9</v>
      </c>
      <c r="P8" s="3" t="n">
        <v>500</v>
      </c>
      <c r="Q8" s="4" t="n">
        <v>0.4</v>
      </c>
      <c r="R8" s="13" t="n">
        <f aca="false">P8/200000</f>
        <v>0.0025</v>
      </c>
      <c r="V8" s="4"/>
      <c r="W8" s="4"/>
    </row>
    <row r="9" customFormat="false" ht="14.25" hidden="false" customHeight="false" outlineLevel="0" collapsed="false">
      <c r="A9" s="0" t="s">
        <v>23</v>
      </c>
      <c r="B9" s="1" t="n">
        <v>10</v>
      </c>
      <c r="C9" s="3" t="n">
        <v>500</v>
      </c>
      <c r="D9" s="1" t="n">
        <v>8</v>
      </c>
      <c r="E9" s="2" t="n">
        <v>87.7</v>
      </c>
      <c r="F9" s="4" t="n">
        <v>4.13112676332901</v>
      </c>
      <c r="G9" s="1" t="n">
        <v>25</v>
      </c>
      <c r="H9" s="1" t="n">
        <v>53</v>
      </c>
      <c r="I9" s="1" t="n">
        <v>308</v>
      </c>
      <c r="J9" s="1" t="n">
        <v>604</v>
      </c>
      <c r="K9" s="1" t="n">
        <v>628</v>
      </c>
      <c r="L9" s="1" t="n">
        <v>43428</v>
      </c>
      <c r="M9" s="3" t="n">
        <v>99.6964003818006</v>
      </c>
      <c r="N9" s="12" t="n">
        <v>0.0144607165883762</v>
      </c>
      <c r="O9" s="4" t="n">
        <v>105</v>
      </c>
      <c r="P9" s="3" t="n">
        <v>322.919715637812</v>
      </c>
      <c r="Q9" s="4" t="n">
        <v>0.16</v>
      </c>
      <c r="R9" s="13" t="n">
        <f aca="false">P9/200000</f>
        <v>0.00161459857818906</v>
      </c>
      <c r="V9" s="4"/>
      <c r="W9" s="4"/>
    </row>
    <row r="10" customFormat="false" ht="14.25" hidden="false" customHeight="false" outlineLevel="0" collapsed="false">
      <c r="B10" s="1" t="n">
        <v>10</v>
      </c>
      <c r="C10" s="3" t="n">
        <v>500</v>
      </c>
      <c r="D10" s="1" t="n">
        <v>8</v>
      </c>
      <c r="E10" s="2" t="n">
        <v>87.7</v>
      </c>
      <c r="F10" s="4" t="n">
        <v>4.13112676332901</v>
      </c>
      <c r="G10" s="1" t="n">
        <v>25</v>
      </c>
      <c r="H10" s="1" t="n">
        <v>53</v>
      </c>
      <c r="I10" s="1" t="n">
        <v>308</v>
      </c>
      <c r="J10" s="1" t="n">
        <v>604</v>
      </c>
      <c r="K10" s="1" t="n">
        <v>628</v>
      </c>
      <c r="L10" s="1" t="n">
        <v>43428</v>
      </c>
      <c r="M10" s="3" t="n">
        <v>99.6964003818006</v>
      </c>
      <c r="N10" s="12" t="n">
        <v>0.0144607165883762</v>
      </c>
      <c r="O10" s="4" t="n">
        <v>119.6</v>
      </c>
      <c r="P10" s="3" t="n">
        <v>367.820933240784</v>
      </c>
      <c r="Q10" s="4" t="n">
        <v>0.18</v>
      </c>
      <c r="R10" s="13" t="n">
        <f aca="false">P10/200000</f>
        <v>0.00183910466620392</v>
      </c>
      <c r="V10" s="4"/>
      <c r="W10" s="4"/>
    </row>
    <row r="11" customFormat="false" ht="14.25" hidden="false" customHeight="false" outlineLevel="0" collapsed="false">
      <c r="B11" s="1" t="n">
        <v>10</v>
      </c>
      <c r="C11" s="3" t="n">
        <v>500</v>
      </c>
      <c r="D11" s="1" t="n">
        <v>8</v>
      </c>
      <c r="E11" s="2" t="n">
        <v>87.7</v>
      </c>
      <c r="F11" s="4" t="n">
        <v>4.13112676332901</v>
      </c>
      <c r="G11" s="1" t="n">
        <v>25</v>
      </c>
      <c r="H11" s="1" t="n">
        <v>53</v>
      </c>
      <c r="I11" s="1" t="n">
        <v>308</v>
      </c>
      <c r="J11" s="1" t="n">
        <v>604</v>
      </c>
      <c r="K11" s="1" t="n">
        <v>628</v>
      </c>
      <c r="L11" s="1" t="n">
        <v>43428</v>
      </c>
      <c r="M11" s="3" t="n">
        <v>99.6964003818006</v>
      </c>
      <c r="N11" s="12" t="n">
        <v>0.0144607165883762</v>
      </c>
      <c r="O11" s="4" t="n">
        <v>174.3</v>
      </c>
      <c r="P11" s="3" t="n">
        <v>500</v>
      </c>
      <c r="Q11" s="4" t="n">
        <v>0.26</v>
      </c>
      <c r="R11" s="13" t="n">
        <f aca="false">P11/200000</f>
        <v>0.0025</v>
      </c>
      <c r="V11" s="4"/>
      <c r="W11" s="4"/>
    </row>
    <row r="12" customFormat="false" ht="14.25" hidden="false" customHeight="false" outlineLevel="0" collapsed="false">
      <c r="A12" s="0" t="s">
        <v>24</v>
      </c>
      <c r="B12" s="1" t="n">
        <v>10</v>
      </c>
      <c r="C12" s="3" t="n">
        <v>628</v>
      </c>
      <c r="D12" s="1" t="n">
        <v>4</v>
      </c>
      <c r="E12" s="2" t="n">
        <v>32.4666666666667</v>
      </c>
      <c r="F12" s="4" t="n">
        <v>3.262</v>
      </c>
      <c r="G12" s="1" t="n">
        <v>25</v>
      </c>
      <c r="H12" s="1" t="n">
        <v>36</v>
      </c>
      <c r="I12" s="1" t="n">
        <v>200</v>
      </c>
      <c r="J12" s="1" t="n">
        <v>600</v>
      </c>
      <c r="K12" s="1" t="n">
        <v>314</v>
      </c>
      <c r="L12" s="1" t="n">
        <v>17200</v>
      </c>
      <c r="M12" s="3" t="n">
        <v>95.7219268645215</v>
      </c>
      <c r="N12" s="12" t="n">
        <v>0.0182558139534884</v>
      </c>
      <c r="O12" s="4" t="n">
        <v>47.625</v>
      </c>
      <c r="P12" s="3" t="n">
        <v>285.048032184717</v>
      </c>
      <c r="Q12" s="4" t="n">
        <v>0.16</v>
      </c>
      <c r="R12" s="13" t="n">
        <f aca="false">P12/200000</f>
        <v>0.00142524016092358</v>
      </c>
      <c r="V12" s="4"/>
      <c r="W12" s="4"/>
    </row>
    <row r="13" customFormat="false" ht="14.25" hidden="false" customHeight="false" outlineLevel="0" collapsed="false">
      <c r="B13" s="1" t="n">
        <v>10</v>
      </c>
      <c r="C13" s="3" t="n">
        <v>628</v>
      </c>
      <c r="D13" s="1" t="n">
        <v>4</v>
      </c>
      <c r="E13" s="2" t="n">
        <v>32.4666666666667</v>
      </c>
      <c r="F13" s="4" t="n">
        <v>3.262</v>
      </c>
      <c r="G13" s="1" t="n">
        <v>25</v>
      </c>
      <c r="H13" s="1" t="n">
        <v>36</v>
      </c>
      <c r="I13" s="1" t="n">
        <v>200</v>
      </c>
      <c r="J13" s="1" t="n">
        <v>600</v>
      </c>
      <c r="K13" s="1" t="n">
        <v>314</v>
      </c>
      <c r="L13" s="1" t="n">
        <v>17200</v>
      </c>
      <c r="M13" s="3" t="n">
        <v>95.7219268645215</v>
      </c>
      <c r="N13" s="12" t="n">
        <v>0.0182558139534884</v>
      </c>
      <c r="O13" s="4" t="n">
        <v>54.3</v>
      </c>
      <c r="P13" s="3" t="n">
        <v>324.999646144464</v>
      </c>
      <c r="Q13" s="4" t="n">
        <v>0.2</v>
      </c>
      <c r="R13" s="13" t="n">
        <f aca="false">P13/200000</f>
        <v>0.00162499823072232</v>
      </c>
      <c r="V13" s="4"/>
      <c r="W13" s="4"/>
    </row>
    <row r="14" customFormat="false" ht="14.25" hidden="false" customHeight="false" outlineLevel="0" collapsed="false">
      <c r="B14" s="1" t="n">
        <v>10</v>
      </c>
      <c r="C14" s="3" t="n">
        <v>628</v>
      </c>
      <c r="D14" s="1" t="n">
        <v>4</v>
      </c>
      <c r="E14" s="2" t="n">
        <v>32.4666666666667</v>
      </c>
      <c r="F14" s="4" t="n">
        <v>3.262</v>
      </c>
      <c r="G14" s="1" t="n">
        <v>25</v>
      </c>
      <c r="H14" s="1" t="n">
        <v>36</v>
      </c>
      <c r="I14" s="1" t="n">
        <v>200</v>
      </c>
      <c r="J14" s="1" t="n">
        <v>600</v>
      </c>
      <c r="K14" s="1" t="n">
        <v>314</v>
      </c>
      <c r="L14" s="1" t="n">
        <v>17200</v>
      </c>
      <c r="M14" s="3" t="n">
        <v>95.7219268645215</v>
      </c>
      <c r="N14" s="12" t="n">
        <v>0.0182558139534884</v>
      </c>
      <c r="O14" s="4" t="n">
        <v>61.425</v>
      </c>
      <c r="P14" s="3" t="n">
        <v>367.644627337453</v>
      </c>
      <c r="Q14" s="4" t="n">
        <v>0.2</v>
      </c>
      <c r="R14" s="13" t="n">
        <f aca="false">P14/200000</f>
        <v>0.00183822313668727</v>
      </c>
      <c r="V14" s="4"/>
      <c r="W14" s="4"/>
    </row>
    <row r="15" customFormat="false" ht="14.25" hidden="false" customHeight="false" outlineLevel="0" collapsed="false">
      <c r="B15" s="1" t="n">
        <v>10</v>
      </c>
      <c r="C15" s="3" t="n">
        <v>628</v>
      </c>
      <c r="D15" s="1" t="n">
        <v>4</v>
      </c>
      <c r="E15" s="2" t="n">
        <v>32.4666666666667</v>
      </c>
      <c r="F15" s="4" t="n">
        <v>3.262</v>
      </c>
      <c r="G15" s="1" t="n">
        <v>25</v>
      </c>
      <c r="H15" s="1" t="n">
        <v>36</v>
      </c>
      <c r="I15" s="1" t="n">
        <v>200</v>
      </c>
      <c r="J15" s="1" t="n">
        <v>600</v>
      </c>
      <c r="K15" s="1" t="n">
        <v>314</v>
      </c>
      <c r="L15" s="1" t="n">
        <v>17200</v>
      </c>
      <c r="M15" s="3" t="n">
        <v>95.7219268645215</v>
      </c>
      <c r="N15" s="12" t="n">
        <v>0.0182558139534884</v>
      </c>
      <c r="O15" s="4" t="n">
        <v>68.625</v>
      </c>
      <c r="P15" s="3" t="n">
        <v>410.738503069316</v>
      </c>
      <c r="Q15" s="4" t="n">
        <v>0.24</v>
      </c>
      <c r="R15" s="13" t="n">
        <f aca="false">P15/200000</f>
        <v>0.00205369251534658</v>
      </c>
      <c r="V15" s="4"/>
      <c r="W15" s="4"/>
    </row>
    <row r="16" customFormat="false" ht="14.25" hidden="false" customHeight="false" outlineLevel="0" collapsed="false">
      <c r="B16" s="1" t="n">
        <v>10</v>
      </c>
      <c r="C16" s="3" t="n">
        <v>628</v>
      </c>
      <c r="D16" s="1" t="n">
        <v>4</v>
      </c>
      <c r="E16" s="2" t="n">
        <v>32.4666666666667</v>
      </c>
      <c r="F16" s="4" t="n">
        <v>3.262</v>
      </c>
      <c r="G16" s="1" t="n">
        <v>25</v>
      </c>
      <c r="H16" s="1" t="n">
        <v>36</v>
      </c>
      <c r="I16" s="1" t="n">
        <v>200</v>
      </c>
      <c r="J16" s="1" t="n">
        <v>600</v>
      </c>
      <c r="K16" s="1" t="n">
        <v>314</v>
      </c>
      <c r="L16" s="1" t="n">
        <v>17200</v>
      </c>
      <c r="M16" s="3" t="n">
        <v>95.7219268645215</v>
      </c>
      <c r="N16" s="12" t="n">
        <v>0.0182558139534884</v>
      </c>
      <c r="O16" s="4" t="n">
        <v>73.275</v>
      </c>
      <c r="P16" s="3" t="n">
        <v>438.569964479477</v>
      </c>
      <c r="Q16" s="4" t="n">
        <v>0.3</v>
      </c>
      <c r="R16" s="13" t="n">
        <f aca="false">P16/200000</f>
        <v>0.00219284982239739</v>
      </c>
      <c r="V16" s="4"/>
      <c r="W16" s="4"/>
    </row>
    <row r="17" customFormat="false" ht="14.25" hidden="false" customHeight="false" outlineLevel="0" collapsed="false">
      <c r="B17" s="1" t="n">
        <v>10</v>
      </c>
      <c r="C17" s="3" t="n">
        <v>628</v>
      </c>
      <c r="D17" s="1" t="n">
        <v>4</v>
      </c>
      <c r="E17" s="2" t="n">
        <v>32.4666666666667</v>
      </c>
      <c r="F17" s="4" t="n">
        <v>3.262</v>
      </c>
      <c r="G17" s="1" t="n">
        <v>25</v>
      </c>
      <c r="H17" s="1" t="n">
        <v>36</v>
      </c>
      <c r="I17" s="1" t="n">
        <v>200</v>
      </c>
      <c r="J17" s="1" t="n">
        <v>600</v>
      </c>
      <c r="K17" s="1" t="n">
        <v>314</v>
      </c>
      <c r="L17" s="1" t="n">
        <v>17200</v>
      </c>
      <c r="M17" s="3" t="n">
        <v>95.7219268645215</v>
      </c>
      <c r="N17" s="12" t="n">
        <v>0.0182558139534884</v>
      </c>
      <c r="O17" s="4" t="n">
        <v>83.25</v>
      </c>
      <c r="P17" s="3" t="n">
        <v>498.272938149662</v>
      </c>
      <c r="Q17" s="4" t="n">
        <v>0.32</v>
      </c>
      <c r="R17" s="13" t="n">
        <f aca="false">P17/200000</f>
        <v>0.00249136469074831</v>
      </c>
      <c r="V17" s="4"/>
      <c r="W17" s="4"/>
    </row>
    <row r="18" customFormat="false" ht="14.25" hidden="false" customHeight="false" outlineLevel="0" collapsed="false">
      <c r="B18" s="1" t="n">
        <v>10</v>
      </c>
      <c r="C18" s="3" t="n">
        <v>628</v>
      </c>
      <c r="D18" s="1" t="n">
        <v>4</v>
      </c>
      <c r="E18" s="2" t="n">
        <v>32.4666666666667</v>
      </c>
      <c r="F18" s="4" t="n">
        <v>3.262</v>
      </c>
      <c r="G18" s="1" t="n">
        <v>25</v>
      </c>
      <c r="H18" s="1" t="n">
        <v>36</v>
      </c>
      <c r="I18" s="1" t="n">
        <v>200</v>
      </c>
      <c r="J18" s="1" t="n">
        <v>600</v>
      </c>
      <c r="K18" s="1" t="n">
        <v>314</v>
      </c>
      <c r="L18" s="1" t="n">
        <v>17200</v>
      </c>
      <c r="M18" s="3" t="n">
        <v>95.7219268645215</v>
      </c>
      <c r="N18" s="12" t="n">
        <v>0.0182558139534884</v>
      </c>
      <c r="O18" s="4" t="n">
        <v>84</v>
      </c>
      <c r="P18" s="3" t="n">
        <v>502.761883538398</v>
      </c>
      <c r="Q18" s="4" t="n">
        <v>0.38</v>
      </c>
      <c r="R18" s="13" t="n">
        <f aca="false">P18/200000</f>
        <v>0.00251380941769199</v>
      </c>
      <c r="V18" s="4"/>
      <c r="W18" s="4"/>
    </row>
    <row r="19" customFormat="false" ht="14.25" hidden="false" customHeight="false" outlineLevel="0" collapsed="false">
      <c r="B19" s="1" t="n">
        <v>10</v>
      </c>
      <c r="C19" s="3" t="n">
        <v>628</v>
      </c>
      <c r="D19" s="1" t="n">
        <v>4</v>
      </c>
      <c r="E19" s="2" t="n">
        <v>32.4666666666667</v>
      </c>
      <c r="F19" s="4" t="n">
        <v>3.262</v>
      </c>
      <c r="G19" s="1" t="n">
        <v>25</v>
      </c>
      <c r="H19" s="1" t="n">
        <v>36</v>
      </c>
      <c r="I19" s="1" t="n">
        <v>200</v>
      </c>
      <c r="J19" s="1" t="n">
        <v>600</v>
      </c>
      <c r="K19" s="1" t="n">
        <v>314</v>
      </c>
      <c r="L19" s="1" t="n">
        <v>17200</v>
      </c>
      <c r="M19" s="3" t="n">
        <v>95.7219268645215</v>
      </c>
      <c r="N19" s="12" t="n">
        <v>0.0182558139534884</v>
      </c>
      <c r="O19" s="4" t="n">
        <v>90</v>
      </c>
      <c r="P19" s="3" t="n">
        <v>538.673446648283</v>
      </c>
      <c r="Q19" s="4" t="n">
        <v>0.42</v>
      </c>
      <c r="R19" s="13" t="n">
        <f aca="false">P19/200000</f>
        <v>0.00269336723324142</v>
      </c>
      <c r="V19" s="4"/>
      <c r="W19" s="4"/>
    </row>
    <row r="20" customFormat="false" ht="14.25" hidden="false" customHeight="false" outlineLevel="0" collapsed="false">
      <c r="B20" s="1" t="n">
        <v>10</v>
      </c>
      <c r="C20" s="3" t="n">
        <v>628</v>
      </c>
      <c r="D20" s="1" t="n">
        <v>4</v>
      </c>
      <c r="E20" s="2" t="n">
        <v>32.4666666666667</v>
      </c>
      <c r="F20" s="4" t="n">
        <v>3.262</v>
      </c>
      <c r="G20" s="1" t="n">
        <v>25</v>
      </c>
      <c r="H20" s="1" t="n">
        <v>36</v>
      </c>
      <c r="I20" s="1" t="n">
        <v>200</v>
      </c>
      <c r="J20" s="1" t="n">
        <v>600</v>
      </c>
      <c r="K20" s="1" t="n">
        <v>314</v>
      </c>
      <c r="L20" s="1" t="n">
        <v>17200</v>
      </c>
      <c r="M20" s="3" t="n">
        <v>95.7219268645215</v>
      </c>
      <c r="N20" s="12" t="n">
        <v>0.0182558139534884</v>
      </c>
      <c r="O20" s="4" t="n">
        <v>108</v>
      </c>
      <c r="P20" s="3" t="n">
        <v>628</v>
      </c>
      <c r="Q20" s="4" t="n">
        <v>0.44</v>
      </c>
      <c r="R20" s="13" t="n">
        <f aca="false">P20/200000</f>
        <v>0.00314</v>
      </c>
      <c r="V20" s="4"/>
      <c r="W20" s="4"/>
    </row>
    <row r="21" customFormat="false" ht="14.25" hidden="false" customHeight="false" outlineLevel="0" collapsed="false">
      <c r="B21" s="1" t="n">
        <v>10</v>
      </c>
      <c r="C21" s="3" t="n">
        <v>628</v>
      </c>
      <c r="D21" s="1" t="n">
        <v>4</v>
      </c>
      <c r="E21" s="2" t="n">
        <v>32.4666666666667</v>
      </c>
      <c r="F21" s="4" t="n">
        <v>3.262</v>
      </c>
      <c r="G21" s="1" t="n">
        <v>25</v>
      </c>
      <c r="H21" s="1" t="n">
        <v>36</v>
      </c>
      <c r="I21" s="1" t="n">
        <v>200</v>
      </c>
      <c r="J21" s="1" t="n">
        <v>600</v>
      </c>
      <c r="K21" s="1" t="n">
        <v>314</v>
      </c>
      <c r="L21" s="1" t="n">
        <v>17200</v>
      </c>
      <c r="M21" s="3" t="n">
        <v>95.7219268645215</v>
      </c>
      <c r="N21" s="12" t="n">
        <v>0.0182558139534884</v>
      </c>
      <c r="O21" s="4" t="n">
        <v>120</v>
      </c>
      <c r="P21" s="3" t="n">
        <v>628</v>
      </c>
      <c r="Q21" s="4" t="n">
        <v>0.5</v>
      </c>
      <c r="R21" s="13" t="n">
        <f aca="false">P21/200000</f>
        <v>0.00314</v>
      </c>
      <c r="V21" s="4"/>
      <c r="W21" s="4"/>
    </row>
    <row r="22" customFormat="false" ht="14.25" hidden="false" customHeight="false" outlineLevel="0" collapsed="false">
      <c r="A22" s="0" t="s">
        <v>25</v>
      </c>
      <c r="B22" s="1" t="n">
        <v>10</v>
      </c>
      <c r="C22" s="3" t="n">
        <v>628</v>
      </c>
      <c r="D22" s="1" t="n">
        <v>4</v>
      </c>
      <c r="E22" s="2" t="n">
        <v>32.4666666666667</v>
      </c>
      <c r="F22" s="4" t="n">
        <v>3.514</v>
      </c>
      <c r="G22" s="1" t="n">
        <v>25</v>
      </c>
      <c r="H22" s="1" t="n">
        <v>36</v>
      </c>
      <c r="I22" s="1" t="n">
        <v>200</v>
      </c>
      <c r="J22" s="1" t="n">
        <v>600</v>
      </c>
      <c r="K22" s="1" t="n">
        <v>314</v>
      </c>
      <c r="L22" s="1" t="n">
        <v>17200</v>
      </c>
      <c r="M22" s="3" t="n">
        <v>87.1206787100977</v>
      </c>
      <c r="N22" s="12" t="n">
        <v>0.0182558139534884</v>
      </c>
      <c r="O22" s="4" t="n">
        <v>54</v>
      </c>
      <c r="P22" s="3" t="n">
        <v>321.471876442594</v>
      </c>
      <c r="Q22" s="4" t="n">
        <v>0.24</v>
      </c>
      <c r="R22" s="13" t="n">
        <f aca="false">P22/200000</f>
        <v>0.00160735938221297</v>
      </c>
      <c r="V22" s="4"/>
      <c r="W22" s="4"/>
    </row>
    <row r="23" customFormat="false" ht="14.25" hidden="false" customHeight="false" outlineLevel="0" collapsed="false">
      <c r="B23" s="1" t="n">
        <v>10</v>
      </c>
      <c r="C23" s="3" t="n">
        <v>628</v>
      </c>
      <c r="D23" s="1" t="n">
        <v>4</v>
      </c>
      <c r="E23" s="2" t="n">
        <v>32.4666666666667</v>
      </c>
      <c r="F23" s="4" t="n">
        <v>3.514</v>
      </c>
      <c r="G23" s="1" t="n">
        <v>25</v>
      </c>
      <c r="H23" s="1" t="n">
        <v>36</v>
      </c>
      <c r="I23" s="1" t="n">
        <v>200</v>
      </c>
      <c r="J23" s="1" t="n">
        <v>600</v>
      </c>
      <c r="K23" s="1" t="n">
        <v>314</v>
      </c>
      <c r="L23" s="1" t="n">
        <v>17200</v>
      </c>
      <c r="M23" s="3" t="n">
        <v>87.1206787100977</v>
      </c>
      <c r="N23" s="12" t="n">
        <v>0.0182558139534884</v>
      </c>
      <c r="O23" s="4" t="n">
        <v>60</v>
      </c>
      <c r="P23" s="3" t="n">
        <v>357.190973825104</v>
      </c>
      <c r="Q23" s="4" t="n">
        <v>0.3</v>
      </c>
      <c r="R23" s="13" t="n">
        <f aca="false">P23/200000</f>
        <v>0.00178595486912552</v>
      </c>
      <c r="V23" s="4"/>
      <c r="W23" s="4"/>
    </row>
    <row r="24" customFormat="false" ht="14.25" hidden="false" customHeight="false" outlineLevel="0" collapsed="false">
      <c r="B24" s="1" t="n">
        <v>10</v>
      </c>
      <c r="C24" s="3" t="n">
        <v>628</v>
      </c>
      <c r="D24" s="1" t="n">
        <v>4</v>
      </c>
      <c r="E24" s="2" t="n">
        <v>32.4666666666667</v>
      </c>
      <c r="F24" s="4" t="n">
        <v>3.514</v>
      </c>
      <c r="G24" s="1" t="n">
        <v>25</v>
      </c>
      <c r="H24" s="1" t="n">
        <v>36</v>
      </c>
      <c r="I24" s="1" t="n">
        <v>200</v>
      </c>
      <c r="J24" s="1" t="n">
        <v>600</v>
      </c>
      <c r="K24" s="1" t="n">
        <v>314</v>
      </c>
      <c r="L24" s="1" t="n">
        <v>17200</v>
      </c>
      <c r="M24" s="3" t="n">
        <v>87.1206787100977</v>
      </c>
      <c r="N24" s="12" t="n">
        <v>0.0182558139534884</v>
      </c>
      <c r="O24" s="4" t="n">
        <v>62.25</v>
      </c>
      <c r="P24" s="3" t="n">
        <v>370.585635343545</v>
      </c>
      <c r="Q24" s="4" t="n">
        <v>0.3</v>
      </c>
      <c r="R24" s="13" t="n">
        <f aca="false">P24/200000</f>
        <v>0.00185292817671773</v>
      </c>
      <c r="V24" s="4"/>
      <c r="W24" s="4"/>
    </row>
    <row r="25" customFormat="false" ht="14.25" hidden="false" customHeight="false" outlineLevel="0" collapsed="false">
      <c r="B25" s="1" t="n">
        <v>10</v>
      </c>
      <c r="C25" s="3" t="n">
        <v>628</v>
      </c>
      <c r="D25" s="1" t="n">
        <v>4</v>
      </c>
      <c r="E25" s="2" t="n">
        <v>32.4666666666667</v>
      </c>
      <c r="F25" s="4" t="n">
        <v>3.514</v>
      </c>
      <c r="G25" s="1" t="n">
        <v>25</v>
      </c>
      <c r="H25" s="1" t="n">
        <v>36</v>
      </c>
      <c r="I25" s="1" t="n">
        <v>200</v>
      </c>
      <c r="J25" s="1" t="n">
        <v>600</v>
      </c>
      <c r="K25" s="1" t="n">
        <v>314</v>
      </c>
      <c r="L25" s="1" t="n">
        <v>17200</v>
      </c>
      <c r="M25" s="3" t="n">
        <v>87.1206787100977</v>
      </c>
      <c r="N25" s="12" t="n">
        <v>0.0182558139534884</v>
      </c>
      <c r="O25" s="4" t="n">
        <v>66</v>
      </c>
      <c r="P25" s="3" t="n">
        <v>392.910071207614</v>
      </c>
      <c r="Q25" s="4" t="n">
        <v>0.3</v>
      </c>
      <c r="R25" s="13" t="n">
        <f aca="false">P25/200000</f>
        <v>0.00196455035603807</v>
      </c>
      <c r="V25" s="4"/>
      <c r="W25" s="4"/>
    </row>
    <row r="26" customFormat="false" ht="14.25" hidden="false" customHeight="false" outlineLevel="0" collapsed="false">
      <c r="B26" s="1" t="n">
        <v>10</v>
      </c>
      <c r="C26" s="3" t="n">
        <v>628</v>
      </c>
      <c r="D26" s="1" t="n">
        <v>4</v>
      </c>
      <c r="E26" s="2" t="n">
        <v>32.4666666666667</v>
      </c>
      <c r="F26" s="4" t="n">
        <v>3.514</v>
      </c>
      <c r="G26" s="1" t="n">
        <v>25</v>
      </c>
      <c r="H26" s="1" t="n">
        <v>36</v>
      </c>
      <c r="I26" s="1" t="n">
        <v>200</v>
      </c>
      <c r="J26" s="1" t="n">
        <v>600</v>
      </c>
      <c r="K26" s="1" t="n">
        <v>314</v>
      </c>
      <c r="L26" s="1" t="n">
        <v>17200</v>
      </c>
      <c r="M26" s="3" t="n">
        <v>87.1206787100977</v>
      </c>
      <c r="N26" s="12" t="n">
        <v>0.0182558139534884</v>
      </c>
      <c r="O26" s="4" t="n">
        <v>71.25</v>
      </c>
      <c r="P26" s="3" t="n">
        <v>424.164281417311</v>
      </c>
      <c r="Q26" s="4" t="n">
        <v>0.38</v>
      </c>
      <c r="R26" s="13" t="n">
        <f aca="false">P26/200000</f>
        <v>0.00212082140708655</v>
      </c>
      <c r="V26" s="4"/>
      <c r="W26" s="4"/>
    </row>
    <row r="27" customFormat="false" ht="14.25" hidden="false" customHeight="false" outlineLevel="0" collapsed="false">
      <c r="B27" s="1" t="n">
        <v>10</v>
      </c>
      <c r="C27" s="3" t="n">
        <v>628</v>
      </c>
      <c r="D27" s="1" t="n">
        <v>4</v>
      </c>
      <c r="E27" s="2" t="n">
        <v>32.4666666666667</v>
      </c>
      <c r="F27" s="4" t="n">
        <v>3.514</v>
      </c>
      <c r="G27" s="1" t="n">
        <v>25</v>
      </c>
      <c r="H27" s="1" t="n">
        <v>36</v>
      </c>
      <c r="I27" s="1" t="n">
        <v>200</v>
      </c>
      <c r="J27" s="1" t="n">
        <v>600</v>
      </c>
      <c r="K27" s="1" t="n">
        <v>314</v>
      </c>
      <c r="L27" s="1" t="n">
        <v>17200</v>
      </c>
      <c r="M27" s="3" t="n">
        <v>87.1206787100977</v>
      </c>
      <c r="N27" s="12" t="n">
        <v>0.0182558139534884</v>
      </c>
      <c r="O27" s="4" t="n">
        <v>82.5</v>
      </c>
      <c r="P27" s="3" t="n">
        <v>491.137589009518</v>
      </c>
      <c r="Q27" s="4" t="n">
        <v>0.44</v>
      </c>
      <c r="R27" s="13" t="n">
        <f aca="false">P27/200000</f>
        <v>0.00245568794504759</v>
      </c>
      <c r="V27" s="4"/>
      <c r="W27" s="4"/>
    </row>
    <row r="28" customFormat="false" ht="14.25" hidden="false" customHeight="false" outlineLevel="0" collapsed="false">
      <c r="A28" s="0" t="s">
        <v>26</v>
      </c>
      <c r="B28" s="1" t="n">
        <v>16</v>
      </c>
      <c r="C28" s="3" t="n">
        <v>571</v>
      </c>
      <c r="D28" s="1" t="n">
        <v>4</v>
      </c>
      <c r="E28" s="2" t="n">
        <v>37</v>
      </c>
      <c r="F28" s="4" t="n">
        <v>4.2588</v>
      </c>
      <c r="G28" s="1" t="n">
        <v>33</v>
      </c>
      <c r="H28" s="1" t="n">
        <v>59</v>
      </c>
      <c r="I28" s="1" t="n">
        <v>125</v>
      </c>
      <c r="J28" s="1" t="n">
        <v>250</v>
      </c>
      <c r="K28" s="1" t="n">
        <v>800</v>
      </c>
      <c r="L28" s="1" t="n">
        <v>19625</v>
      </c>
      <c r="M28" s="3" t="n">
        <v>86</v>
      </c>
      <c r="N28" s="12" t="n">
        <v>0.0408</v>
      </c>
      <c r="O28" s="4" t="n">
        <v>18.2</v>
      </c>
      <c r="P28" s="3" t="n">
        <v>140.041965597591</v>
      </c>
      <c r="Q28" s="4" t="n">
        <v>0.18</v>
      </c>
      <c r="R28" s="13" t="n">
        <f aca="false">P28/200000</f>
        <v>0.000700209827987956</v>
      </c>
      <c r="V28" s="4"/>
      <c r="W28" s="4"/>
    </row>
    <row r="29" customFormat="false" ht="14.25" hidden="false" customHeight="false" outlineLevel="0" collapsed="false">
      <c r="B29" s="1" t="n">
        <v>16</v>
      </c>
      <c r="C29" s="3" t="n">
        <v>571</v>
      </c>
      <c r="D29" s="1" t="n">
        <v>4</v>
      </c>
      <c r="E29" s="2" t="n">
        <v>37</v>
      </c>
      <c r="F29" s="4" t="n">
        <v>4.2588</v>
      </c>
      <c r="G29" s="1" t="n">
        <v>33</v>
      </c>
      <c r="H29" s="1" t="n">
        <v>59</v>
      </c>
      <c r="I29" s="1" t="n">
        <v>125</v>
      </c>
      <c r="J29" s="1" t="n">
        <v>250</v>
      </c>
      <c r="K29" s="1" t="n">
        <v>800</v>
      </c>
      <c r="L29" s="1" t="n">
        <v>19625</v>
      </c>
      <c r="M29" s="3" t="n">
        <v>86</v>
      </c>
      <c r="N29" s="12" t="n">
        <v>0.0408</v>
      </c>
      <c r="O29" s="4" t="n">
        <v>26.2</v>
      </c>
      <c r="P29" s="3" t="n">
        <v>201.598873552576</v>
      </c>
      <c r="Q29" s="4" t="n">
        <v>0.2</v>
      </c>
      <c r="R29" s="13" t="n">
        <f aca="false">P29/200000</f>
        <v>0.00100799436776288</v>
      </c>
      <c r="V29" s="4"/>
      <c r="W29" s="4"/>
    </row>
    <row r="30" customFormat="false" ht="14.25" hidden="false" customHeight="false" outlineLevel="0" collapsed="false">
      <c r="B30" s="1" t="n">
        <v>16</v>
      </c>
      <c r="C30" s="3" t="n">
        <v>571</v>
      </c>
      <c r="D30" s="1" t="n">
        <v>4</v>
      </c>
      <c r="E30" s="2" t="n">
        <v>37</v>
      </c>
      <c r="F30" s="4" t="n">
        <v>4.2588</v>
      </c>
      <c r="G30" s="1" t="n">
        <v>33</v>
      </c>
      <c r="H30" s="1" t="n">
        <v>59</v>
      </c>
      <c r="I30" s="1" t="n">
        <v>125</v>
      </c>
      <c r="J30" s="1" t="n">
        <v>250</v>
      </c>
      <c r="K30" s="1" t="n">
        <v>800</v>
      </c>
      <c r="L30" s="1" t="n">
        <v>19625</v>
      </c>
      <c r="M30" s="3" t="n">
        <v>86</v>
      </c>
      <c r="N30" s="12" t="n">
        <v>0.0408</v>
      </c>
      <c r="O30" s="4" t="n">
        <v>31.7</v>
      </c>
      <c r="P30" s="3" t="n">
        <v>243.919247771628</v>
      </c>
      <c r="Q30" s="4" t="n">
        <v>0.26</v>
      </c>
      <c r="R30" s="13" t="n">
        <f aca="false">P30/200000</f>
        <v>0.00121959623885814</v>
      </c>
      <c r="V30" s="4"/>
      <c r="W30" s="4"/>
    </row>
    <row r="31" customFormat="false" ht="14.25" hidden="false" customHeight="false" outlineLevel="0" collapsed="false">
      <c r="B31" s="1" t="n">
        <v>16</v>
      </c>
      <c r="C31" s="3" t="n">
        <v>571</v>
      </c>
      <c r="D31" s="1" t="n">
        <v>4</v>
      </c>
      <c r="E31" s="2" t="n">
        <v>37</v>
      </c>
      <c r="F31" s="4" t="n">
        <v>4.2588</v>
      </c>
      <c r="G31" s="1" t="n">
        <v>33</v>
      </c>
      <c r="H31" s="1" t="n">
        <v>59</v>
      </c>
      <c r="I31" s="1" t="n">
        <v>125</v>
      </c>
      <c r="J31" s="1" t="n">
        <v>250</v>
      </c>
      <c r="K31" s="1" t="n">
        <v>800</v>
      </c>
      <c r="L31" s="1" t="n">
        <v>19625</v>
      </c>
      <c r="M31" s="3" t="n">
        <v>86</v>
      </c>
      <c r="N31" s="12" t="n">
        <v>0.0408</v>
      </c>
      <c r="O31" s="4" t="n">
        <v>40.8</v>
      </c>
      <c r="P31" s="3" t="n">
        <v>313.940230570424</v>
      </c>
      <c r="Q31" s="4" t="n">
        <v>0.44</v>
      </c>
      <c r="R31" s="13" t="n">
        <f aca="false">P31/200000</f>
        <v>0.00156970115285212</v>
      </c>
      <c r="V31" s="4"/>
      <c r="W31" s="4"/>
    </row>
    <row r="32" customFormat="false" ht="14.25" hidden="false" customHeight="false" outlineLevel="0" collapsed="false">
      <c r="B32" s="1" t="n">
        <v>16</v>
      </c>
      <c r="C32" s="3" t="n">
        <v>571</v>
      </c>
      <c r="D32" s="1" t="n">
        <v>4</v>
      </c>
      <c r="E32" s="2" t="n">
        <v>37</v>
      </c>
      <c r="F32" s="4" t="n">
        <v>4.2588</v>
      </c>
      <c r="G32" s="1" t="n">
        <v>33</v>
      </c>
      <c r="H32" s="1" t="n">
        <v>59</v>
      </c>
      <c r="I32" s="1" t="n">
        <v>125</v>
      </c>
      <c r="J32" s="1" t="n">
        <v>250</v>
      </c>
      <c r="K32" s="1" t="n">
        <v>800</v>
      </c>
      <c r="L32" s="1" t="n">
        <v>19625</v>
      </c>
      <c r="M32" s="3" t="n">
        <v>86</v>
      </c>
      <c r="N32" s="12" t="n">
        <v>0.0408</v>
      </c>
      <c r="O32" s="4" t="n">
        <v>54.1</v>
      </c>
      <c r="P32" s="3" t="n">
        <v>416.278590045587</v>
      </c>
      <c r="Q32" s="4" t="n">
        <v>0.6</v>
      </c>
      <c r="R32" s="13" t="n">
        <f aca="false">P32/200000</f>
        <v>0.00208139295022793</v>
      </c>
      <c r="V32" s="4"/>
      <c r="W32" s="4"/>
    </row>
    <row r="33" customFormat="false" ht="14.25" hidden="false" customHeight="false" outlineLevel="0" collapsed="false">
      <c r="A33" s="0" t="s">
        <v>27</v>
      </c>
      <c r="B33" s="1" t="n">
        <v>12</v>
      </c>
      <c r="C33" s="3" t="n">
        <v>500</v>
      </c>
      <c r="D33" s="1" t="n">
        <v>4</v>
      </c>
      <c r="E33" s="2" t="n">
        <v>79.3</v>
      </c>
      <c r="F33" s="4" t="n">
        <v>2.69332921131829</v>
      </c>
      <c r="G33" s="1" t="n">
        <v>20</v>
      </c>
      <c r="H33" s="1" t="n">
        <v>38</v>
      </c>
      <c r="I33" s="1" t="n">
        <v>350</v>
      </c>
      <c r="J33" s="1" t="n">
        <v>450</v>
      </c>
      <c r="K33" s="1" t="n">
        <v>452</v>
      </c>
      <c r="L33" s="1" t="n">
        <v>34300</v>
      </c>
      <c r="M33" s="3" t="n">
        <v>76.1694282016424</v>
      </c>
      <c r="N33" s="12" t="n">
        <v>0.0131778425655977</v>
      </c>
      <c r="O33" s="4" t="n">
        <v>52.5</v>
      </c>
      <c r="P33" s="3" t="n">
        <v>300.432956249241</v>
      </c>
      <c r="Q33" s="4" t="n">
        <v>0.36</v>
      </c>
      <c r="R33" s="13" t="n">
        <f aca="false">P33/200000</f>
        <v>0.00150216478124621</v>
      </c>
      <c r="V33" s="4"/>
      <c r="W33" s="4"/>
    </row>
    <row r="34" customFormat="false" ht="14.25" hidden="false" customHeight="false" outlineLevel="0" collapsed="false">
      <c r="B34" s="1" t="n">
        <v>12</v>
      </c>
      <c r="C34" s="3" t="n">
        <v>500</v>
      </c>
      <c r="D34" s="1" t="n">
        <v>4</v>
      </c>
      <c r="E34" s="2" t="n">
        <v>79.3</v>
      </c>
      <c r="F34" s="4" t="n">
        <v>2.69332921131829</v>
      </c>
      <c r="G34" s="1" t="n">
        <v>20</v>
      </c>
      <c r="H34" s="1" t="n">
        <v>38</v>
      </c>
      <c r="I34" s="1" t="n">
        <v>350</v>
      </c>
      <c r="J34" s="1" t="n">
        <v>450</v>
      </c>
      <c r="K34" s="1" t="n">
        <v>452</v>
      </c>
      <c r="L34" s="1" t="n">
        <v>34300</v>
      </c>
      <c r="M34" s="3" t="n">
        <v>76.1694282016424</v>
      </c>
      <c r="N34" s="12" t="n">
        <v>0.0131778425655977</v>
      </c>
      <c r="O34" s="4" t="n">
        <v>67.5</v>
      </c>
      <c r="P34" s="3" t="n">
        <v>386.270943749024</v>
      </c>
      <c r="Q34" s="4" t="n">
        <v>0.43</v>
      </c>
      <c r="R34" s="13" t="n">
        <f aca="false">P34/200000</f>
        <v>0.00193135471874512</v>
      </c>
      <c r="V34" s="4"/>
      <c r="W34" s="4"/>
    </row>
    <row r="35" customFormat="false" ht="14.25" hidden="false" customHeight="false" outlineLevel="0" collapsed="false">
      <c r="B35" s="1" t="n">
        <v>12</v>
      </c>
      <c r="C35" s="3" t="n">
        <v>500</v>
      </c>
      <c r="D35" s="1" t="n">
        <v>4</v>
      </c>
      <c r="E35" s="2" t="n">
        <v>79.3</v>
      </c>
      <c r="F35" s="4" t="n">
        <v>2.69332921131829</v>
      </c>
      <c r="G35" s="1" t="n">
        <v>20</v>
      </c>
      <c r="H35" s="1" t="n">
        <v>38</v>
      </c>
      <c r="I35" s="1" t="n">
        <v>350</v>
      </c>
      <c r="J35" s="1" t="n">
        <v>450</v>
      </c>
      <c r="K35" s="1" t="n">
        <v>452</v>
      </c>
      <c r="L35" s="1" t="n">
        <v>34300</v>
      </c>
      <c r="M35" s="3" t="n">
        <v>76.1694282016424</v>
      </c>
      <c r="N35" s="12" t="n">
        <v>0.0131778425655977</v>
      </c>
      <c r="O35" s="4" t="n">
        <v>90</v>
      </c>
      <c r="P35" s="3" t="n">
        <v>500</v>
      </c>
      <c r="Q35" s="4" t="n">
        <v>0.56</v>
      </c>
      <c r="R35" s="13" t="n">
        <f aca="false">P35/200000</f>
        <v>0.0025</v>
      </c>
      <c r="V35" s="4"/>
      <c r="W35" s="4"/>
    </row>
    <row r="36" customFormat="false" ht="14.25" hidden="false" customHeight="false" outlineLevel="0" collapsed="false">
      <c r="B36" s="1" t="n">
        <v>12</v>
      </c>
      <c r="C36" s="3" t="n">
        <v>500</v>
      </c>
      <c r="D36" s="1" t="n">
        <v>4</v>
      </c>
      <c r="E36" s="2" t="n">
        <v>79.3</v>
      </c>
      <c r="F36" s="4" t="n">
        <v>2.69332921131829</v>
      </c>
      <c r="G36" s="1" t="n">
        <v>20</v>
      </c>
      <c r="H36" s="1" t="n">
        <v>38</v>
      </c>
      <c r="I36" s="1" t="n">
        <v>350</v>
      </c>
      <c r="J36" s="1" t="n">
        <v>450</v>
      </c>
      <c r="K36" s="1" t="n">
        <v>452</v>
      </c>
      <c r="L36" s="1" t="n">
        <v>34300</v>
      </c>
      <c r="M36" s="3" t="n">
        <v>76.1694282016424</v>
      </c>
      <c r="N36" s="12" t="n">
        <v>0.0131778425655977</v>
      </c>
      <c r="O36" s="4" t="n">
        <v>112.5</v>
      </c>
      <c r="P36" s="3" t="n">
        <v>500</v>
      </c>
      <c r="Q36" s="4" t="n">
        <v>0.71</v>
      </c>
      <c r="R36" s="13" t="n">
        <f aca="false">P36/200000</f>
        <v>0.0025</v>
      </c>
      <c r="V36" s="4"/>
      <c r="W36" s="4"/>
    </row>
    <row r="37" customFormat="false" ht="14.25" hidden="false" customHeight="false" outlineLevel="0" collapsed="false">
      <c r="B37" s="1" t="n">
        <v>12</v>
      </c>
      <c r="C37" s="3" t="n">
        <v>500</v>
      </c>
      <c r="D37" s="1" t="n">
        <v>4</v>
      </c>
      <c r="E37" s="2" t="n">
        <v>79.3</v>
      </c>
      <c r="F37" s="4" t="n">
        <v>2.69332921131829</v>
      </c>
      <c r="G37" s="1" t="n">
        <v>20</v>
      </c>
      <c r="H37" s="1" t="n">
        <v>38</v>
      </c>
      <c r="I37" s="1" t="n">
        <v>350</v>
      </c>
      <c r="J37" s="1" t="n">
        <v>450</v>
      </c>
      <c r="K37" s="1" t="n">
        <v>452</v>
      </c>
      <c r="L37" s="1" t="n">
        <v>34300</v>
      </c>
      <c r="M37" s="3" t="n">
        <v>76.1694282016424</v>
      </c>
      <c r="N37" s="12" t="n">
        <v>0.0131778425655977</v>
      </c>
      <c r="O37" s="4" t="n">
        <v>120</v>
      </c>
      <c r="P37" s="3" t="n">
        <v>500</v>
      </c>
      <c r="Q37" s="4" t="n">
        <v>0.79</v>
      </c>
      <c r="R37" s="13" t="n">
        <f aca="false">P37/200000</f>
        <v>0.0025</v>
      </c>
      <c r="V37" s="4"/>
      <c r="W37" s="4"/>
    </row>
    <row r="38" customFormat="false" ht="14.25" hidden="false" customHeight="false" outlineLevel="0" collapsed="false">
      <c r="A38" s="0" t="s">
        <v>28</v>
      </c>
      <c r="B38" s="1" t="n">
        <v>25</v>
      </c>
      <c r="C38" s="3" t="n">
        <v>500</v>
      </c>
      <c r="D38" s="1" t="n">
        <v>4</v>
      </c>
      <c r="E38" s="2" t="n">
        <v>62</v>
      </c>
      <c r="F38" s="4" t="n">
        <v>2.69332921131829</v>
      </c>
      <c r="G38" s="1" t="n">
        <v>20</v>
      </c>
      <c r="H38" s="1" t="n">
        <v>44.5</v>
      </c>
      <c r="I38" s="1" t="n">
        <v>350</v>
      </c>
      <c r="J38" s="1" t="n">
        <v>450</v>
      </c>
      <c r="K38" s="1" t="n">
        <v>1964</v>
      </c>
      <c r="L38" s="1" t="n">
        <v>54512.5</v>
      </c>
      <c r="M38" s="3" t="n">
        <v>140.92716892937</v>
      </c>
      <c r="N38" s="12" t="n">
        <v>0.0360284338454483</v>
      </c>
      <c r="O38" s="4" t="n">
        <v>75</v>
      </c>
      <c r="P38" s="3" t="n">
        <v>106.512655225995</v>
      </c>
      <c r="Q38" s="4" t="n">
        <v>0.2</v>
      </c>
      <c r="R38" s="13" t="n">
        <f aca="false">P38/200000</f>
        <v>0.000532563276129973</v>
      </c>
      <c r="V38" s="4"/>
      <c r="W38" s="4"/>
    </row>
    <row r="39" customFormat="false" ht="14.25" hidden="false" customHeight="false" outlineLevel="0" collapsed="false">
      <c r="B39" s="1" t="n">
        <v>25</v>
      </c>
      <c r="C39" s="3" t="n">
        <v>500</v>
      </c>
      <c r="D39" s="1" t="n">
        <v>4</v>
      </c>
      <c r="E39" s="2" t="n">
        <v>62</v>
      </c>
      <c r="F39" s="4" t="n">
        <v>2.69332921131829</v>
      </c>
      <c r="G39" s="1" t="n">
        <v>20</v>
      </c>
      <c r="H39" s="1" t="n">
        <v>44.5</v>
      </c>
      <c r="I39" s="1" t="n">
        <v>350</v>
      </c>
      <c r="J39" s="1" t="n">
        <v>450</v>
      </c>
      <c r="K39" s="1" t="n">
        <v>1964</v>
      </c>
      <c r="L39" s="1" t="n">
        <v>54512.5</v>
      </c>
      <c r="M39" s="3" t="n">
        <v>140.92716892937</v>
      </c>
      <c r="N39" s="12" t="n">
        <v>0.0360284338454483</v>
      </c>
      <c r="O39" s="4" t="n">
        <v>135</v>
      </c>
      <c r="P39" s="3" t="n">
        <v>191.72277940679</v>
      </c>
      <c r="Q39" s="4" t="n">
        <v>0.25</v>
      </c>
      <c r="R39" s="13" t="n">
        <f aca="false">P39/200000</f>
        <v>0.000958613897033951</v>
      </c>
      <c r="V39" s="4"/>
      <c r="W39" s="4"/>
    </row>
    <row r="40" customFormat="false" ht="14.25" hidden="false" customHeight="false" outlineLevel="0" collapsed="false">
      <c r="B40" s="1" t="n">
        <v>25</v>
      </c>
      <c r="C40" s="3" t="n">
        <v>500</v>
      </c>
      <c r="D40" s="1" t="n">
        <v>4</v>
      </c>
      <c r="E40" s="2" t="n">
        <v>62</v>
      </c>
      <c r="F40" s="4" t="n">
        <v>2.69332921131829</v>
      </c>
      <c r="G40" s="1" t="n">
        <v>20</v>
      </c>
      <c r="H40" s="1" t="n">
        <v>44.5</v>
      </c>
      <c r="I40" s="1" t="n">
        <v>350</v>
      </c>
      <c r="J40" s="1" t="n">
        <v>450</v>
      </c>
      <c r="K40" s="1" t="n">
        <v>1964</v>
      </c>
      <c r="L40" s="1" t="n">
        <v>54512.5</v>
      </c>
      <c r="M40" s="3" t="n">
        <v>140.92716892937</v>
      </c>
      <c r="N40" s="12" t="n">
        <v>0.0360284338454483</v>
      </c>
      <c r="O40" s="4" t="n">
        <v>195</v>
      </c>
      <c r="P40" s="3" t="n">
        <v>276.932903587586</v>
      </c>
      <c r="Q40" s="4" t="n">
        <v>0.36</v>
      </c>
      <c r="R40" s="13" t="n">
        <f aca="false">P40/200000</f>
        <v>0.00138466451793793</v>
      </c>
      <c r="V40" s="4"/>
      <c r="W40" s="4"/>
    </row>
    <row r="41" customFormat="false" ht="14.25" hidden="false" customHeight="false" outlineLevel="0" collapsed="false">
      <c r="B41" s="1" t="n">
        <v>25</v>
      </c>
      <c r="C41" s="3" t="n">
        <v>500</v>
      </c>
      <c r="D41" s="1" t="n">
        <v>4</v>
      </c>
      <c r="E41" s="2" t="n">
        <v>62</v>
      </c>
      <c r="F41" s="4" t="n">
        <v>2.69332921131829</v>
      </c>
      <c r="G41" s="1" t="n">
        <v>20</v>
      </c>
      <c r="H41" s="1" t="n">
        <v>44.5</v>
      </c>
      <c r="I41" s="1" t="n">
        <v>350</v>
      </c>
      <c r="J41" s="1" t="n">
        <v>450</v>
      </c>
      <c r="K41" s="1" t="n">
        <v>1964</v>
      </c>
      <c r="L41" s="1" t="n">
        <v>54512.5</v>
      </c>
      <c r="M41" s="3" t="n">
        <v>140.92716892937</v>
      </c>
      <c r="N41" s="12" t="n">
        <v>0.0360284338454483</v>
      </c>
      <c r="O41" s="4" t="n">
        <v>255</v>
      </c>
      <c r="P41" s="3" t="n">
        <v>362.143027768382</v>
      </c>
      <c r="Q41" s="4" t="n">
        <v>0.47</v>
      </c>
      <c r="R41" s="13" t="n">
        <f aca="false">P41/200000</f>
        <v>0.00181071513884191</v>
      </c>
      <c r="V41" s="4"/>
      <c r="W41" s="4"/>
    </row>
    <row r="42" customFormat="false" ht="14.25" hidden="false" customHeight="false" outlineLevel="0" collapsed="false">
      <c r="B42" s="1" t="n">
        <v>25</v>
      </c>
      <c r="C42" s="3" t="n">
        <v>500</v>
      </c>
      <c r="D42" s="1" t="n">
        <v>4</v>
      </c>
      <c r="E42" s="2" t="n">
        <v>62</v>
      </c>
      <c r="F42" s="4" t="n">
        <v>2.69332921131829</v>
      </c>
      <c r="G42" s="1" t="n">
        <v>20</v>
      </c>
      <c r="H42" s="1" t="n">
        <v>44.5</v>
      </c>
      <c r="I42" s="1" t="n">
        <v>350</v>
      </c>
      <c r="J42" s="1" t="n">
        <v>450</v>
      </c>
      <c r="K42" s="1" t="n">
        <v>1964</v>
      </c>
      <c r="L42" s="1" t="n">
        <v>54512.5</v>
      </c>
      <c r="M42" s="3" t="n">
        <v>140.92716892937</v>
      </c>
      <c r="N42" s="12" t="n">
        <v>0.0360284338454483</v>
      </c>
      <c r="O42" s="4" t="n">
        <v>300</v>
      </c>
      <c r="P42" s="3" t="n">
        <v>426.050620903978</v>
      </c>
      <c r="Q42" s="4" t="n">
        <v>0.57</v>
      </c>
      <c r="R42" s="13" t="n">
        <f aca="false">P42/200000</f>
        <v>0.00213025310451989</v>
      </c>
      <c r="V42" s="4"/>
      <c r="W42" s="4"/>
    </row>
    <row r="43" customFormat="false" ht="14.25" hidden="false" customHeight="false" outlineLevel="0" collapsed="false">
      <c r="B43" s="1" t="n">
        <v>25</v>
      </c>
      <c r="C43" s="3" t="n">
        <v>500</v>
      </c>
      <c r="D43" s="1" t="n">
        <v>4</v>
      </c>
      <c r="E43" s="2" t="n">
        <v>62</v>
      </c>
      <c r="F43" s="4" t="n">
        <v>2.69332921131829</v>
      </c>
      <c r="G43" s="1" t="n">
        <v>20</v>
      </c>
      <c r="H43" s="1" t="n">
        <v>44.5</v>
      </c>
      <c r="I43" s="1" t="n">
        <v>350</v>
      </c>
      <c r="J43" s="1" t="n">
        <v>450</v>
      </c>
      <c r="K43" s="1" t="n">
        <v>1964</v>
      </c>
      <c r="L43" s="1" t="n">
        <v>54512.5</v>
      </c>
      <c r="M43" s="3" t="n">
        <v>140.92716892937</v>
      </c>
      <c r="N43" s="12" t="n">
        <v>0.0360284338454483</v>
      </c>
      <c r="O43" s="4" t="n">
        <v>360</v>
      </c>
      <c r="P43" s="3" t="n">
        <v>500</v>
      </c>
      <c r="Q43" s="4" t="n">
        <v>0.78</v>
      </c>
      <c r="R43" s="13" t="n">
        <f aca="false">P43/200000</f>
        <v>0.0025</v>
      </c>
      <c r="V43" s="4"/>
      <c r="W43" s="4"/>
    </row>
    <row r="44" customFormat="false" ht="14.25" hidden="false" customHeight="false" outlineLevel="0" collapsed="false">
      <c r="A44" s="0" t="s">
        <v>29</v>
      </c>
      <c r="B44" s="1" t="n">
        <v>12</v>
      </c>
      <c r="C44" s="3" t="n">
        <v>500</v>
      </c>
      <c r="D44" s="1" t="n">
        <v>4</v>
      </c>
      <c r="E44" s="2" t="n">
        <v>79.3</v>
      </c>
      <c r="F44" s="4" t="n">
        <v>2.69332921131829</v>
      </c>
      <c r="G44" s="1" t="n">
        <v>20</v>
      </c>
      <c r="H44" s="1" t="n">
        <v>34</v>
      </c>
      <c r="I44" s="1" t="n">
        <v>350</v>
      </c>
      <c r="J44" s="1" t="n">
        <v>450</v>
      </c>
      <c r="K44" s="1" t="n">
        <v>452</v>
      </c>
      <c r="L44" s="1" t="n">
        <v>32900</v>
      </c>
      <c r="M44" s="3" t="n">
        <v>76.5758696896729</v>
      </c>
      <c r="N44" s="12" t="n">
        <v>0.0137386018237082</v>
      </c>
      <c r="O44" s="4" t="n">
        <v>37.5</v>
      </c>
      <c r="P44" s="3" t="n">
        <v>212.47112712609</v>
      </c>
      <c r="Q44" s="4" t="n">
        <v>0.21</v>
      </c>
      <c r="R44" s="13" t="n">
        <f aca="false">P44/200000</f>
        <v>0.00106235563563045</v>
      </c>
      <c r="V44" s="4"/>
      <c r="W44" s="4"/>
    </row>
    <row r="45" customFormat="false" ht="14.25" hidden="false" customHeight="false" outlineLevel="0" collapsed="false">
      <c r="B45" s="1" t="n">
        <v>12</v>
      </c>
      <c r="C45" s="3" t="n">
        <v>500</v>
      </c>
      <c r="D45" s="1" t="n">
        <v>4</v>
      </c>
      <c r="E45" s="2" t="n">
        <v>79.3</v>
      </c>
      <c r="F45" s="4" t="n">
        <v>2.69332921131829</v>
      </c>
      <c r="G45" s="1" t="n">
        <v>20</v>
      </c>
      <c r="H45" s="1" t="n">
        <v>34</v>
      </c>
      <c r="I45" s="1" t="n">
        <v>350</v>
      </c>
      <c r="J45" s="1" t="n">
        <v>450</v>
      </c>
      <c r="K45" s="1" t="n">
        <v>452</v>
      </c>
      <c r="L45" s="1" t="n">
        <v>32900</v>
      </c>
      <c r="M45" s="3" t="n">
        <v>76.5758696896729</v>
      </c>
      <c r="N45" s="12" t="n">
        <v>0.0137386018237082</v>
      </c>
      <c r="O45" s="4" t="n">
        <v>45</v>
      </c>
      <c r="P45" s="3" t="n">
        <v>254.965352551308</v>
      </c>
      <c r="Q45" s="4" t="n">
        <v>0.31</v>
      </c>
      <c r="R45" s="13" t="n">
        <f aca="false">P45/200000</f>
        <v>0.00127482676275654</v>
      </c>
      <c r="V45" s="4"/>
      <c r="W45" s="4"/>
    </row>
    <row r="46" customFormat="false" ht="14.25" hidden="false" customHeight="false" outlineLevel="0" collapsed="false">
      <c r="B46" s="1" t="n">
        <v>12</v>
      </c>
      <c r="C46" s="3" t="n">
        <v>500</v>
      </c>
      <c r="D46" s="1" t="n">
        <v>4</v>
      </c>
      <c r="E46" s="2" t="n">
        <v>79.3</v>
      </c>
      <c r="F46" s="4" t="n">
        <v>2.69332921131829</v>
      </c>
      <c r="G46" s="1" t="n">
        <v>20</v>
      </c>
      <c r="H46" s="1" t="n">
        <v>34</v>
      </c>
      <c r="I46" s="1" t="n">
        <v>350</v>
      </c>
      <c r="J46" s="1" t="n">
        <v>450</v>
      </c>
      <c r="K46" s="1" t="n">
        <v>452</v>
      </c>
      <c r="L46" s="1" t="n">
        <v>32900</v>
      </c>
      <c r="M46" s="3" t="n">
        <v>76.5758696896729</v>
      </c>
      <c r="N46" s="12" t="n">
        <v>0.0137386018237082</v>
      </c>
      <c r="O46" s="4" t="n">
        <v>52.5</v>
      </c>
      <c r="P46" s="3" t="n">
        <v>297.459577976525</v>
      </c>
      <c r="Q46" s="4" t="n">
        <v>0.38</v>
      </c>
      <c r="R46" s="13" t="n">
        <f aca="false">P46/200000</f>
        <v>0.00148729788988263</v>
      </c>
      <c r="V46" s="4"/>
      <c r="W46" s="4"/>
    </row>
    <row r="47" customFormat="false" ht="14.25" hidden="false" customHeight="false" outlineLevel="0" collapsed="false">
      <c r="B47" s="1" t="n">
        <v>12</v>
      </c>
      <c r="C47" s="3" t="n">
        <v>500</v>
      </c>
      <c r="D47" s="1" t="n">
        <v>4</v>
      </c>
      <c r="E47" s="2" t="n">
        <v>79.3</v>
      </c>
      <c r="F47" s="4" t="n">
        <v>2.69332921131829</v>
      </c>
      <c r="G47" s="1" t="n">
        <v>20</v>
      </c>
      <c r="H47" s="1" t="n">
        <v>34</v>
      </c>
      <c r="I47" s="1" t="n">
        <v>350</v>
      </c>
      <c r="J47" s="1" t="n">
        <v>450</v>
      </c>
      <c r="K47" s="1" t="n">
        <v>452</v>
      </c>
      <c r="L47" s="1" t="n">
        <v>32900</v>
      </c>
      <c r="M47" s="3" t="n">
        <v>76.5758696896729</v>
      </c>
      <c r="N47" s="12" t="n">
        <v>0.0137386018237082</v>
      </c>
      <c r="O47" s="4" t="n">
        <v>67.5</v>
      </c>
      <c r="P47" s="3" t="n">
        <v>382.448028826961</v>
      </c>
      <c r="Q47" s="4" t="n">
        <v>0.52</v>
      </c>
      <c r="R47" s="13" t="n">
        <f aca="false">P47/200000</f>
        <v>0.00191224014413481</v>
      </c>
      <c r="V47" s="4"/>
      <c r="W47" s="4"/>
    </row>
    <row r="48" customFormat="false" ht="14.25" hidden="false" customHeight="false" outlineLevel="0" collapsed="false">
      <c r="B48" s="1" t="n">
        <v>12</v>
      </c>
      <c r="C48" s="3" t="n">
        <v>500</v>
      </c>
      <c r="D48" s="1" t="n">
        <v>4</v>
      </c>
      <c r="E48" s="2" t="n">
        <v>79.3</v>
      </c>
      <c r="F48" s="4" t="n">
        <v>2.69332921131829</v>
      </c>
      <c r="G48" s="1" t="n">
        <v>20</v>
      </c>
      <c r="H48" s="1" t="n">
        <v>34</v>
      </c>
      <c r="I48" s="1" t="n">
        <v>350</v>
      </c>
      <c r="J48" s="1" t="n">
        <v>450</v>
      </c>
      <c r="K48" s="1" t="n">
        <v>452</v>
      </c>
      <c r="L48" s="1" t="n">
        <v>32900</v>
      </c>
      <c r="M48" s="3" t="n">
        <v>76.5758696896729</v>
      </c>
      <c r="N48" s="12" t="n">
        <v>0.0137386018237082</v>
      </c>
      <c r="O48" s="4" t="n">
        <v>90</v>
      </c>
      <c r="P48" s="3" t="n">
        <v>500</v>
      </c>
      <c r="Q48" s="4" t="n">
        <v>0.74</v>
      </c>
      <c r="R48" s="13" t="n">
        <f aca="false">P48/200000</f>
        <v>0.0025</v>
      </c>
      <c r="V48" s="4"/>
      <c r="W48" s="4"/>
    </row>
    <row r="49" customFormat="false" ht="14.25" hidden="false" customHeight="false" outlineLevel="0" collapsed="false">
      <c r="A49" s="0" t="s">
        <v>30</v>
      </c>
      <c r="B49" s="1" t="n">
        <v>12</v>
      </c>
      <c r="C49" s="3" t="n">
        <v>500</v>
      </c>
      <c r="D49" s="1" t="n">
        <v>4</v>
      </c>
      <c r="E49" s="2" t="n">
        <v>79.3</v>
      </c>
      <c r="F49" s="4" t="n">
        <v>2.69332921131829</v>
      </c>
      <c r="G49" s="1" t="n">
        <v>20</v>
      </c>
      <c r="H49" s="1" t="n">
        <v>34</v>
      </c>
      <c r="I49" s="1" t="n">
        <v>350</v>
      </c>
      <c r="J49" s="1" t="n">
        <v>450</v>
      </c>
      <c r="K49" s="1" t="n">
        <v>452</v>
      </c>
      <c r="L49" s="1" t="n">
        <v>32900</v>
      </c>
      <c r="M49" s="3" t="n">
        <v>76.5758696896729</v>
      </c>
      <c r="N49" s="12" t="n">
        <v>0.0137386018237082</v>
      </c>
      <c r="O49" s="4" t="n">
        <v>37.5</v>
      </c>
      <c r="P49" s="3" t="n">
        <v>212.47112712609</v>
      </c>
      <c r="Q49" s="4" t="n">
        <v>0.17</v>
      </c>
      <c r="R49" s="13" t="n">
        <f aca="false">P49/200000</f>
        <v>0.00106235563563045</v>
      </c>
      <c r="V49" s="4"/>
      <c r="W49" s="4"/>
    </row>
    <row r="50" customFormat="false" ht="14.25" hidden="false" customHeight="false" outlineLevel="0" collapsed="false">
      <c r="B50" s="1" t="n">
        <v>12</v>
      </c>
      <c r="C50" s="3" t="n">
        <v>500</v>
      </c>
      <c r="D50" s="1" t="n">
        <v>4</v>
      </c>
      <c r="E50" s="2" t="n">
        <v>79.3</v>
      </c>
      <c r="F50" s="4" t="n">
        <v>2.69332921131829</v>
      </c>
      <c r="G50" s="1" t="n">
        <v>20</v>
      </c>
      <c r="H50" s="1" t="n">
        <v>34</v>
      </c>
      <c r="I50" s="1" t="n">
        <v>350</v>
      </c>
      <c r="J50" s="1" t="n">
        <v>450</v>
      </c>
      <c r="K50" s="1" t="n">
        <v>452</v>
      </c>
      <c r="L50" s="1" t="n">
        <v>32900</v>
      </c>
      <c r="M50" s="3" t="n">
        <v>76.5758696896729</v>
      </c>
      <c r="N50" s="12" t="n">
        <v>0.0137386018237082</v>
      </c>
      <c r="O50" s="4" t="n">
        <v>52.5</v>
      </c>
      <c r="P50" s="3" t="n">
        <v>297.459577976525</v>
      </c>
      <c r="Q50" s="4" t="n">
        <v>0.36</v>
      </c>
      <c r="R50" s="13" t="n">
        <f aca="false">P50/200000</f>
        <v>0.00148729788988263</v>
      </c>
      <c r="V50" s="4"/>
      <c r="W50" s="4"/>
    </row>
    <row r="51" customFormat="false" ht="14.25" hidden="false" customHeight="false" outlineLevel="0" collapsed="false">
      <c r="B51" s="1" t="n">
        <v>12</v>
      </c>
      <c r="C51" s="3" t="n">
        <v>500</v>
      </c>
      <c r="D51" s="1" t="n">
        <v>4</v>
      </c>
      <c r="E51" s="2" t="n">
        <v>79.3</v>
      </c>
      <c r="F51" s="4" t="n">
        <v>2.69332921131829</v>
      </c>
      <c r="G51" s="1" t="n">
        <v>20</v>
      </c>
      <c r="H51" s="1" t="n">
        <v>34</v>
      </c>
      <c r="I51" s="1" t="n">
        <v>350</v>
      </c>
      <c r="J51" s="1" t="n">
        <v>450</v>
      </c>
      <c r="K51" s="1" t="n">
        <v>452</v>
      </c>
      <c r="L51" s="1" t="n">
        <v>32900</v>
      </c>
      <c r="M51" s="3" t="n">
        <v>76.5758696896729</v>
      </c>
      <c r="N51" s="12" t="n">
        <v>0.0137386018237082</v>
      </c>
      <c r="O51" s="4" t="n">
        <v>67.5</v>
      </c>
      <c r="P51" s="3" t="n">
        <v>382.448028826961</v>
      </c>
      <c r="Q51" s="4" t="n">
        <v>0.56</v>
      </c>
      <c r="R51" s="13" t="n">
        <f aca="false">P51/200000</f>
        <v>0.00191224014413481</v>
      </c>
      <c r="V51" s="4"/>
      <c r="W51" s="4"/>
    </row>
    <row r="52" customFormat="false" ht="14.25" hidden="false" customHeight="false" outlineLevel="0" collapsed="false">
      <c r="B52" s="1" t="n">
        <v>12</v>
      </c>
      <c r="C52" s="3" t="n">
        <v>500</v>
      </c>
      <c r="D52" s="1" t="n">
        <v>4</v>
      </c>
      <c r="E52" s="2" t="n">
        <v>79.3</v>
      </c>
      <c r="F52" s="4" t="n">
        <v>2.69332921131829</v>
      </c>
      <c r="G52" s="1" t="n">
        <v>20</v>
      </c>
      <c r="H52" s="1" t="n">
        <v>34</v>
      </c>
      <c r="I52" s="1" t="n">
        <v>350</v>
      </c>
      <c r="J52" s="1" t="n">
        <v>450</v>
      </c>
      <c r="K52" s="1" t="n">
        <v>452</v>
      </c>
      <c r="L52" s="1" t="n">
        <v>32900</v>
      </c>
      <c r="M52" s="3" t="n">
        <v>76.5758696896729</v>
      </c>
      <c r="N52" s="12" t="n">
        <v>0.0137386018237082</v>
      </c>
      <c r="O52" s="4" t="n">
        <v>90</v>
      </c>
      <c r="P52" s="3" t="n">
        <v>500</v>
      </c>
      <c r="Q52" s="4" t="n">
        <v>0.78</v>
      </c>
      <c r="R52" s="13" t="n">
        <f aca="false">P52/200000</f>
        <v>0.0025</v>
      </c>
      <c r="V52" s="4"/>
      <c r="W52" s="4"/>
    </row>
    <row r="53" customFormat="false" ht="14.25" hidden="false" customHeight="false" outlineLevel="0" collapsed="false">
      <c r="A53" s="0" t="s">
        <v>31</v>
      </c>
      <c r="B53" s="1" t="n">
        <v>12</v>
      </c>
      <c r="C53" s="3" t="n">
        <v>500</v>
      </c>
      <c r="D53" s="1" t="n">
        <v>4</v>
      </c>
      <c r="E53" s="2" t="n">
        <v>46</v>
      </c>
      <c r="F53" s="4" t="n">
        <v>2.69332921131829</v>
      </c>
      <c r="G53" s="1" t="n">
        <v>70</v>
      </c>
      <c r="H53" s="1" t="n">
        <v>88</v>
      </c>
      <c r="I53" s="1" t="n">
        <v>350</v>
      </c>
      <c r="J53" s="1" t="n">
        <v>450</v>
      </c>
      <c r="K53" s="1" t="n">
        <v>452</v>
      </c>
      <c r="L53" s="1" t="n">
        <v>42000</v>
      </c>
      <c r="M53" s="3" t="n">
        <v>70.9138918544459</v>
      </c>
      <c r="N53" s="12" t="n">
        <v>0.0107619047619048</v>
      </c>
      <c r="O53" s="4" t="n">
        <v>37.5</v>
      </c>
      <c r="P53" s="3" t="n">
        <v>245.194770485466</v>
      </c>
      <c r="Q53" s="4" t="n">
        <v>0.31</v>
      </c>
      <c r="R53" s="13" t="n">
        <f aca="false">P53/200000</f>
        <v>0.00122597385242733</v>
      </c>
      <c r="V53" s="4"/>
      <c r="W53" s="4"/>
    </row>
    <row r="54" customFormat="false" ht="14.25" hidden="false" customHeight="false" outlineLevel="0" collapsed="false">
      <c r="B54" s="1" t="n">
        <v>12</v>
      </c>
      <c r="C54" s="3" t="n">
        <v>500</v>
      </c>
      <c r="D54" s="1" t="n">
        <v>4</v>
      </c>
      <c r="E54" s="2" t="n">
        <v>46</v>
      </c>
      <c r="F54" s="4" t="n">
        <v>2.69332921131829</v>
      </c>
      <c r="G54" s="1" t="n">
        <v>70</v>
      </c>
      <c r="H54" s="1" t="n">
        <v>88</v>
      </c>
      <c r="I54" s="1" t="n">
        <v>350</v>
      </c>
      <c r="J54" s="1" t="n">
        <v>450</v>
      </c>
      <c r="K54" s="1" t="n">
        <v>452</v>
      </c>
      <c r="L54" s="1" t="n">
        <v>42000</v>
      </c>
      <c r="M54" s="3" t="n">
        <v>70.9138918544459</v>
      </c>
      <c r="N54" s="12" t="n">
        <v>0.0107619047619048</v>
      </c>
      <c r="O54" s="4" t="n">
        <v>45</v>
      </c>
      <c r="P54" s="3" t="n">
        <v>294.23372458256</v>
      </c>
      <c r="Q54" s="4" t="n">
        <v>0.44</v>
      </c>
      <c r="R54" s="13" t="n">
        <f aca="false">P54/200000</f>
        <v>0.0014711686229128</v>
      </c>
      <c r="V54" s="4"/>
      <c r="W54" s="4"/>
    </row>
    <row r="55" customFormat="false" ht="14.25" hidden="false" customHeight="false" outlineLevel="0" collapsed="false">
      <c r="A55" s="0" t="s">
        <v>32</v>
      </c>
      <c r="B55" s="1" t="n">
        <v>12</v>
      </c>
      <c r="C55" s="3" t="n">
        <v>500</v>
      </c>
      <c r="D55" s="1" t="n">
        <v>4</v>
      </c>
      <c r="E55" s="2" t="n">
        <v>46</v>
      </c>
      <c r="F55" s="4" t="n">
        <v>2.69332921131829</v>
      </c>
      <c r="G55" s="1" t="n">
        <v>70</v>
      </c>
      <c r="H55" s="1" t="n">
        <v>84</v>
      </c>
      <c r="I55" s="1" t="n">
        <v>350</v>
      </c>
      <c r="J55" s="1" t="n">
        <v>450</v>
      </c>
      <c r="K55" s="1" t="n">
        <v>452</v>
      </c>
      <c r="L55" s="1" t="n">
        <v>42000</v>
      </c>
      <c r="M55" s="3" t="n">
        <v>71.3470436587611</v>
      </c>
      <c r="N55" s="12" t="n">
        <v>0.0107619047619048</v>
      </c>
      <c r="O55" s="4" t="n">
        <v>30</v>
      </c>
      <c r="P55" s="3" t="n">
        <v>193.945814910414</v>
      </c>
      <c r="Q55" s="4" t="n">
        <v>0.14</v>
      </c>
      <c r="R55" s="13" t="n">
        <f aca="false">P55/200000</f>
        <v>0.000969729074552072</v>
      </c>
      <c r="V55" s="4"/>
      <c r="W55" s="4"/>
    </row>
    <row r="56" customFormat="false" ht="14.25" hidden="false" customHeight="false" outlineLevel="0" collapsed="false">
      <c r="B56" s="1" t="n">
        <v>12</v>
      </c>
      <c r="C56" s="3" t="n">
        <v>500</v>
      </c>
      <c r="D56" s="1" t="n">
        <v>4</v>
      </c>
      <c r="E56" s="2" t="n">
        <v>46</v>
      </c>
      <c r="F56" s="4" t="n">
        <v>2.69332921131829</v>
      </c>
      <c r="G56" s="1" t="n">
        <v>70</v>
      </c>
      <c r="H56" s="1" t="n">
        <v>84</v>
      </c>
      <c r="I56" s="1" t="n">
        <v>350</v>
      </c>
      <c r="J56" s="1" t="n">
        <v>450</v>
      </c>
      <c r="K56" s="1" t="n">
        <v>452</v>
      </c>
      <c r="L56" s="1" t="n">
        <v>42000</v>
      </c>
      <c r="M56" s="3" t="n">
        <v>71.3470436587611</v>
      </c>
      <c r="N56" s="12" t="n">
        <v>0.0107619047619048</v>
      </c>
      <c r="O56" s="4" t="n">
        <v>37.5</v>
      </c>
      <c r="P56" s="3" t="n">
        <v>242.432268638018</v>
      </c>
      <c r="Q56" s="4" t="n">
        <v>0.31</v>
      </c>
      <c r="R56" s="13" t="n">
        <f aca="false">P56/200000</f>
        <v>0.00121216134319009</v>
      </c>
      <c r="V56" s="4"/>
      <c r="W56" s="4"/>
    </row>
    <row r="57" customFormat="false" ht="14.25" hidden="false" customHeight="false" outlineLevel="0" collapsed="false">
      <c r="B57" s="1" t="n">
        <v>12</v>
      </c>
      <c r="C57" s="3" t="n">
        <v>500</v>
      </c>
      <c r="D57" s="1" t="n">
        <v>4</v>
      </c>
      <c r="E57" s="2" t="n">
        <v>46</v>
      </c>
      <c r="F57" s="4" t="n">
        <v>2.69332921131829</v>
      </c>
      <c r="G57" s="1" t="n">
        <v>70</v>
      </c>
      <c r="H57" s="1" t="n">
        <v>84</v>
      </c>
      <c r="I57" s="1" t="n">
        <v>350</v>
      </c>
      <c r="J57" s="1" t="n">
        <v>450</v>
      </c>
      <c r="K57" s="1" t="n">
        <v>452</v>
      </c>
      <c r="L57" s="1" t="n">
        <v>42000</v>
      </c>
      <c r="M57" s="3" t="n">
        <v>71.3470436587611</v>
      </c>
      <c r="N57" s="12" t="n">
        <v>0.0107619047619048</v>
      </c>
      <c r="O57" s="4" t="n">
        <v>45</v>
      </c>
      <c r="P57" s="3" t="n">
        <v>290.918722365622</v>
      </c>
      <c r="Q57" s="4" t="n">
        <v>0.4</v>
      </c>
      <c r="R57" s="13" t="n">
        <f aca="false">P57/200000</f>
        <v>0.00145459361182811</v>
      </c>
      <c r="V57" s="4"/>
      <c r="W57" s="4"/>
    </row>
    <row r="58" customFormat="false" ht="14.25" hidden="false" customHeight="false" outlineLevel="0" collapsed="false">
      <c r="A58" s="0" t="s">
        <v>33</v>
      </c>
      <c r="B58" s="1" t="n">
        <v>12</v>
      </c>
      <c r="C58" s="3" t="n">
        <v>500</v>
      </c>
      <c r="D58" s="1" t="n">
        <v>4</v>
      </c>
      <c r="E58" s="2" t="n">
        <v>46</v>
      </c>
      <c r="F58" s="4" t="n">
        <v>2.69332921131829</v>
      </c>
      <c r="G58" s="1" t="n">
        <v>70</v>
      </c>
      <c r="H58" s="1" t="n">
        <v>84</v>
      </c>
      <c r="I58" s="1" t="n">
        <v>350</v>
      </c>
      <c r="J58" s="1" t="n">
        <v>450</v>
      </c>
      <c r="K58" s="1" t="n">
        <v>452</v>
      </c>
      <c r="L58" s="1" t="n">
        <v>42000</v>
      </c>
      <c r="M58" s="3" t="n">
        <v>71.3470436587611</v>
      </c>
      <c r="N58" s="12" t="n">
        <v>0.0107619047619048</v>
      </c>
      <c r="O58" s="4" t="n">
        <v>30</v>
      </c>
      <c r="P58" s="3" t="n">
        <v>193.945814910414</v>
      </c>
      <c r="Q58" s="4" t="n">
        <v>0.25</v>
      </c>
      <c r="R58" s="13" t="n">
        <f aca="false">P58/200000</f>
        <v>0.000969729074552072</v>
      </c>
      <c r="V58" s="4"/>
      <c r="W58" s="4"/>
    </row>
    <row r="59" customFormat="false" ht="14.25" hidden="false" customHeight="false" outlineLevel="0" collapsed="false">
      <c r="B59" s="1" t="n">
        <v>12</v>
      </c>
      <c r="C59" s="3" t="n">
        <v>500</v>
      </c>
      <c r="D59" s="1" t="n">
        <v>4</v>
      </c>
      <c r="E59" s="2" t="n">
        <v>46</v>
      </c>
      <c r="F59" s="4" t="n">
        <v>2.69332921131829</v>
      </c>
      <c r="G59" s="1" t="n">
        <v>70</v>
      </c>
      <c r="H59" s="1" t="n">
        <v>84</v>
      </c>
      <c r="I59" s="1" t="n">
        <v>350</v>
      </c>
      <c r="J59" s="1" t="n">
        <v>450</v>
      </c>
      <c r="K59" s="1" t="n">
        <v>452</v>
      </c>
      <c r="L59" s="1" t="n">
        <v>42000</v>
      </c>
      <c r="M59" s="3" t="n">
        <v>71.3470436587611</v>
      </c>
      <c r="N59" s="12" t="n">
        <v>0.0107619047619048</v>
      </c>
      <c r="O59" s="4" t="n">
        <v>37.5</v>
      </c>
      <c r="P59" s="3" t="n">
        <v>242.432268638018</v>
      </c>
      <c r="Q59" s="4" t="n">
        <v>0.44</v>
      </c>
      <c r="R59" s="13" t="n">
        <f aca="false">P59/200000</f>
        <v>0.00121216134319009</v>
      </c>
      <c r="V59" s="4"/>
      <c r="W59" s="4"/>
    </row>
    <row r="60" customFormat="false" ht="14.25" hidden="false" customHeight="false" outlineLevel="0" collapsed="false">
      <c r="B60" s="1" t="n">
        <v>12</v>
      </c>
      <c r="C60" s="3" t="n">
        <v>500</v>
      </c>
      <c r="D60" s="1" t="n">
        <v>4</v>
      </c>
      <c r="E60" s="2" t="n">
        <v>46</v>
      </c>
      <c r="F60" s="4" t="n">
        <v>2.69332921131829</v>
      </c>
      <c r="G60" s="1" t="n">
        <v>70</v>
      </c>
      <c r="H60" s="1" t="n">
        <v>84</v>
      </c>
      <c r="I60" s="1" t="n">
        <v>350</v>
      </c>
      <c r="J60" s="1" t="n">
        <v>450</v>
      </c>
      <c r="K60" s="1" t="n">
        <v>452</v>
      </c>
      <c r="L60" s="1" t="n">
        <v>42000</v>
      </c>
      <c r="M60" s="3" t="n">
        <v>71.3470436587611</v>
      </c>
      <c r="N60" s="12" t="n">
        <v>0.0107619047619048</v>
      </c>
      <c r="O60" s="4" t="n">
        <v>45</v>
      </c>
      <c r="P60" s="3" t="n">
        <v>290.918722365622</v>
      </c>
      <c r="Q60" s="4" t="n">
        <v>0.56</v>
      </c>
      <c r="R60" s="13" t="n">
        <f aca="false">P60/200000</f>
        <v>0.00145459361182811</v>
      </c>
      <c r="V60" s="4"/>
      <c r="W60" s="4"/>
    </row>
    <row r="61" customFormat="false" ht="14.25" hidden="false" customHeight="false" outlineLevel="0" collapsed="false">
      <c r="A61" s="0" t="s">
        <v>34</v>
      </c>
      <c r="B61" s="1" t="n">
        <v>25</v>
      </c>
      <c r="C61" s="3" t="n">
        <v>500</v>
      </c>
      <c r="D61" s="1" t="n">
        <v>4</v>
      </c>
      <c r="E61" s="2" t="n">
        <v>62</v>
      </c>
      <c r="F61" s="4" t="n">
        <v>2.69332921131829</v>
      </c>
      <c r="G61" s="1" t="n">
        <v>20</v>
      </c>
      <c r="H61" s="1" t="n">
        <v>40.5</v>
      </c>
      <c r="I61" s="1" t="n">
        <v>350</v>
      </c>
      <c r="J61" s="1" t="n">
        <v>450</v>
      </c>
      <c r="K61" s="1" t="n">
        <v>1964</v>
      </c>
      <c r="L61" s="1" t="n">
        <v>49612.5</v>
      </c>
      <c r="M61" s="3" t="n">
        <v>141.766460137701</v>
      </c>
      <c r="N61" s="12" t="n">
        <v>0.0395867976820358</v>
      </c>
      <c r="O61" s="4" t="n">
        <v>150</v>
      </c>
      <c r="P61" s="3" t="n">
        <v>210.837549268589</v>
      </c>
      <c r="Q61" s="4" t="n">
        <v>0.23</v>
      </c>
      <c r="R61" s="13" t="n">
        <f aca="false">P61/200000</f>
        <v>0.00105418774634295</v>
      </c>
      <c r="V61" s="4"/>
      <c r="W61" s="4"/>
    </row>
    <row r="62" customFormat="false" ht="14.25" hidden="false" customHeight="false" outlineLevel="0" collapsed="false">
      <c r="B62" s="1" t="n">
        <v>25</v>
      </c>
      <c r="C62" s="3" t="n">
        <v>500</v>
      </c>
      <c r="D62" s="1" t="n">
        <v>4</v>
      </c>
      <c r="E62" s="2" t="n">
        <v>62</v>
      </c>
      <c r="F62" s="4" t="n">
        <v>2.69332921131829</v>
      </c>
      <c r="G62" s="1" t="n">
        <v>20</v>
      </c>
      <c r="H62" s="1" t="n">
        <v>40.5</v>
      </c>
      <c r="I62" s="1" t="n">
        <v>350</v>
      </c>
      <c r="J62" s="1" t="n">
        <v>450</v>
      </c>
      <c r="K62" s="1" t="n">
        <v>1964</v>
      </c>
      <c r="L62" s="1" t="n">
        <v>49612.5</v>
      </c>
      <c r="M62" s="3" t="n">
        <v>141.766460137701</v>
      </c>
      <c r="N62" s="12" t="n">
        <v>0.0395867976820358</v>
      </c>
      <c r="O62" s="4" t="n">
        <v>225</v>
      </c>
      <c r="P62" s="3" t="n">
        <v>316.256323902884</v>
      </c>
      <c r="Q62" s="4" t="n">
        <v>0.35</v>
      </c>
      <c r="R62" s="13" t="n">
        <f aca="false">P62/200000</f>
        <v>0.00158128161951442</v>
      </c>
      <c r="V62" s="4"/>
      <c r="W62" s="4"/>
    </row>
    <row r="63" customFormat="false" ht="14.25" hidden="false" customHeight="false" outlineLevel="0" collapsed="false">
      <c r="B63" s="1" t="n">
        <v>25</v>
      </c>
      <c r="C63" s="3" t="n">
        <v>500</v>
      </c>
      <c r="D63" s="1" t="n">
        <v>4</v>
      </c>
      <c r="E63" s="2" t="n">
        <v>62</v>
      </c>
      <c r="F63" s="4" t="n">
        <v>2.69332921131829</v>
      </c>
      <c r="G63" s="1" t="n">
        <v>20</v>
      </c>
      <c r="H63" s="1" t="n">
        <v>40.5</v>
      </c>
      <c r="I63" s="1" t="n">
        <v>350</v>
      </c>
      <c r="J63" s="1" t="n">
        <v>450</v>
      </c>
      <c r="K63" s="1" t="n">
        <v>1964</v>
      </c>
      <c r="L63" s="1" t="n">
        <v>49612.5</v>
      </c>
      <c r="M63" s="3" t="n">
        <v>141.766460137701</v>
      </c>
      <c r="N63" s="12" t="n">
        <v>0.0395867976820358</v>
      </c>
      <c r="O63" s="4" t="n">
        <v>300</v>
      </c>
      <c r="P63" s="3" t="n">
        <v>421.675098537179</v>
      </c>
      <c r="Q63" s="4" t="n">
        <v>0.49</v>
      </c>
      <c r="R63" s="13" t="n">
        <f aca="false">P63/200000</f>
        <v>0.00210837549268589</v>
      </c>
      <c r="V63" s="4"/>
      <c r="W63" s="4"/>
    </row>
    <row r="64" customFormat="false" ht="14.25" hidden="false" customHeight="false" outlineLevel="0" collapsed="false">
      <c r="B64" s="1" t="n">
        <v>25</v>
      </c>
      <c r="C64" s="3" t="n">
        <v>500</v>
      </c>
      <c r="D64" s="1" t="n">
        <v>4</v>
      </c>
      <c r="E64" s="2" t="n">
        <v>62</v>
      </c>
      <c r="F64" s="4" t="n">
        <v>2.69332921131829</v>
      </c>
      <c r="G64" s="1" t="n">
        <v>20</v>
      </c>
      <c r="H64" s="1" t="n">
        <v>40.5</v>
      </c>
      <c r="I64" s="1" t="n">
        <v>350</v>
      </c>
      <c r="J64" s="1" t="n">
        <v>450</v>
      </c>
      <c r="K64" s="1" t="n">
        <v>1964</v>
      </c>
      <c r="L64" s="1" t="n">
        <v>49612.5</v>
      </c>
      <c r="M64" s="3" t="n">
        <v>141.766460137701</v>
      </c>
      <c r="N64" s="12" t="n">
        <v>0.0395867976820358</v>
      </c>
      <c r="O64" s="4" t="n">
        <v>375</v>
      </c>
      <c r="P64" s="3" t="n">
        <v>500</v>
      </c>
      <c r="Q64" s="4" t="n">
        <v>0.67</v>
      </c>
      <c r="R64" s="13" t="n">
        <f aca="false">P64/200000</f>
        <v>0.0025</v>
      </c>
      <c r="V64" s="4"/>
      <c r="W64" s="4"/>
    </row>
    <row r="65" customFormat="false" ht="14.25" hidden="false" customHeight="false" outlineLevel="0" collapsed="false">
      <c r="A65" s="0" t="s">
        <v>35</v>
      </c>
      <c r="B65" s="1" t="n">
        <v>25</v>
      </c>
      <c r="C65" s="3" t="n">
        <v>500</v>
      </c>
      <c r="D65" s="1" t="n">
        <v>4</v>
      </c>
      <c r="E65" s="2" t="n">
        <v>62</v>
      </c>
      <c r="F65" s="4" t="n">
        <v>2.69332921131829</v>
      </c>
      <c r="G65" s="1" t="n">
        <v>20</v>
      </c>
      <c r="H65" s="1" t="n">
        <v>40.5</v>
      </c>
      <c r="I65" s="1" t="n">
        <v>350</v>
      </c>
      <c r="J65" s="1" t="n">
        <v>450</v>
      </c>
      <c r="K65" s="1" t="n">
        <v>1964</v>
      </c>
      <c r="L65" s="1" t="n">
        <v>49612.5</v>
      </c>
      <c r="M65" s="3" t="n">
        <v>141.766460137701</v>
      </c>
      <c r="N65" s="12" t="n">
        <v>0.0395867976820358</v>
      </c>
      <c r="O65" s="4" t="n">
        <v>150</v>
      </c>
      <c r="P65" s="3" t="n">
        <v>210.837549268589</v>
      </c>
      <c r="Q65" s="4" t="n">
        <v>0.27</v>
      </c>
      <c r="R65" s="13" t="n">
        <f aca="false">P65/200000</f>
        <v>0.00105418774634295</v>
      </c>
      <c r="V65" s="4"/>
      <c r="W65" s="4"/>
    </row>
    <row r="66" customFormat="false" ht="14.25" hidden="false" customHeight="false" outlineLevel="0" collapsed="false">
      <c r="B66" s="1" t="n">
        <v>25</v>
      </c>
      <c r="C66" s="3" t="n">
        <v>500</v>
      </c>
      <c r="D66" s="1" t="n">
        <v>4</v>
      </c>
      <c r="E66" s="2" t="n">
        <v>62</v>
      </c>
      <c r="F66" s="4" t="n">
        <v>2.69332921131829</v>
      </c>
      <c r="G66" s="1" t="n">
        <v>20</v>
      </c>
      <c r="H66" s="1" t="n">
        <v>40.5</v>
      </c>
      <c r="I66" s="1" t="n">
        <v>350</v>
      </c>
      <c r="J66" s="1" t="n">
        <v>450</v>
      </c>
      <c r="K66" s="1" t="n">
        <v>1964</v>
      </c>
      <c r="L66" s="1" t="n">
        <v>49612.5</v>
      </c>
      <c r="M66" s="3" t="n">
        <v>141.766460137701</v>
      </c>
      <c r="N66" s="12" t="n">
        <v>0.0395867976820358</v>
      </c>
      <c r="O66" s="4" t="n">
        <v>225</v>
      </c>
      <c r="P66" s="3" t="n">
        <v>316.256323902884</v>
      </c>
      <c r="Q66" s="4" t="n">
        <v>0.4</v>
      </c>
      <c r="R66" s="13" t="n">
        <f aca="false">P66/200000</f>
        <v>0.00158128161951442</v>
      </c>
      <c r="V66" s="4"/>
      <c r="W66" s="4"/>
    </row>
    <row r="67" customFormat="false" ht="14.25" hidden="false" customHeight="false" outlineLevel="0" collapsed="false">
      <c r="B67" s="1" t="n">
        <v>25</v>
      </c>
      <c r="C67" s="3" t="n">
        <v>500</v>
      </c>
      <c r="D67" s="1" t="n">
        <v>4</v>
      </c>
      <c r="E67" s="2" t="n">
        <v>62</v>
      </c>
      <c r="F67" s="4" t="n">
        <v>2.69332921131829</v>
      </c>
      <c r="G67" s="1" t="n">
        <v>20</v>
      </c>
      <c r="H67" s="1" t="n">
        <v>40.5</v>
      </c>
      <c r="I67" s="1" t="n">
        <v>350</v>
      </c>
      <c r="J67" s="1" t="n">
        <v>450</v>
      </c>
      <c r="K67" s="1" t="n">
        <v>1964</v>
      </c>
      <c r="L67" s="1" t="n">
        <v>49612.5</v>
      </c>
      <c r="M67" s="3" t="n">
        <v>141.766460137701</v>
      </c>
      <c r="N67" s="12" t="n">
        <v>0.0395867976820358</v>
      </c>
      <c r="O67" s="4" t="n">
        <v>300</v>
      </c>
      <c r="P67" s="3" t="n">
        <v>421.675098537179</v>
      </c>
      <c r="Q67" s="4" t="n">
        <v>0.53</v>
      </c>
      <c r="R67" s="13" t="n">
        <f aca="false">P67/200000</f>
        <v>0.00210837549268589</v>
      </c>
      <c r="V67" s="4"/>
      <c r="W67" s="4"/>
    </row>
    <row r="68" customFormat="false" ht="14.25" hidden="false" customHeight="false" outlineLevel="0" collapsed="false">
      <c r="B68" s="1" t="n">
        <v>25</v>
      </c>
      <c r="C68" s="3" t="n">
        <v>500</v>
      </c>
      <c r="D68" s="1" t="n">
        <v>4</v>
      </c>
      <c r="E68" s="2" t="n">
        <v>62</v>
      </c>
      <c r="F68" s="4" t="n">
        <v>2.69332921131829</v>
      </c>
      <c r="G68" s="1" t="n">
        <v>20</v>
      </c>
      <c r="H68" s="1" t="n">
        <v>40.5</v>
      </c>
      <c r="I68" s="1" t="n">
        <v>350</v>
      </c>
      <c r="J68" s="1" t="n">
        <v>450</v>
      </c>
      <c r="K68" s="1" t="n">
        <v>1964</v>
      </c>
      <c r="L68" s="1" t="n">
        <v>49612.5</v>
      </c>
      <c r="M68" s="3" t="n">
        <v>141.766460137701</v>
      </c>
      <c r="N68" s="12" t="n">
        <v>0.0395867976820358</v>
      </c>
      <c r="O68" s="4" t="n">
        <v>375</v>
      </c>
      <c r="P68" s="3" t="n">
        <v>500</v>
      </c>
      <c r="Q68" s="4" t="n">
        <v>0.72</v>
      </c>
      <c r="R68" s="13" t="n">
        <f aca="false">P68/200000</f>
        <v>0.0025</v>
      </c>
      <c r="V68" s="4"/>
      <c r="W68" s="4"/>
    </row>
    <row r="69" customFormat="false" ht="14.25" hidden="false" customHeight="false" outlineLevel="0" collapsed="false">
      <c r="A69" s="0" t="s">
        <v>36</v>
      </c>
      <c r="B69" s="1" t="n">
        <v>25</v>
      </c>
      <c r="C69" s="3" t="n">
        <v>500</v>
      </c>
      <c r="D69" s="1" t="n">
        <v>4</v>
      </c>
      <c r="E69" s="2" t="n">
        <v>28.7</v>
      </c>
      <c r="F69" s="4" t="n">
        <v>2.69332921131829</v>
      </c>
      <c r="G69" s="1" t="n">
        <v>70</v>
      </c>
      <c r="H69" s="1" t="n">
        <v>94.5</v>
      </c>
      <c r="I69" s="1" t="n">
        <v>350</v>
      </c>
      <c r="J69" s="1" t="n">
        <v>450</v>
      </c>
      <c r="K69" s="1" t="n">
        <v>1964</v>
      </c>
      <c r="L69" s="1" t="n">
        <v>76825</v>
      </c>
      <c r="M69" s="3" t="n">
        <v>130.081813066926</v>
      </c>
      <c r="N69" s="12" t="n">
        <v>0.0255645948584445</v>
      </c>
      <c r="O69" s="4" t="n">
        <v>75</v>
      </c>
      <c r="P69" s="3" t="n">
        <v>122.340765829723</v>
      </c>
      <c r="Q69" s="4" t="n">
        <v>0.3</v>
      </c>
      <c r="R69" s="13" t="n">
        <f aca="false">P69/200000</f>
        <v>0.000611703829148615</v>
      </c>
      <c r="V69" s="4"/>
      <c r="W69" s="4"/>
    </row>
    <row r="70" customFormat="false" ht="14.25" hidden="false" customHeight="false" outlineLevel="0" collapsed="false">
      <c r="B70" s="1" t="n">
        <v>25</v>
      </c>
      <c r="C70" s="3" t="n">
        <v>500</v>
      </c>
      <c r="D70" s="1" t="n">
        <v>4</v>
      </c>
      <c r="E70" s="2" t="n">
        <v>28.7</v>
      </c>
      <c r="F70" s="4" t="n">
        <v>2.69332921131829</v>
      </c>
      <c r="G70" s="1" t="n">
        <v>70</v>
      </c>
      <c r="H70" s="1" t="n">
        <v>94.5</v>
      </c>
      <c r="I70" s="1" t="n">
        <v>350</v>
      </c>
      <c r="J70" s="1" t="n">
        <v>450</v>
      </c>
      <c r="K70" s="1" t="n">
        <v>1964</v>
      </c>
      <c r="L70" s="1" t="n">
        <v>76825</v>
      </c>
      <c r="M70" s="3" t="n">
        <v>130.081813066926</v>
      </c>
      <c r="N70" s="12" t="n">
        <v>0.0255645948584445</v>
      </c>
      <c r="O70" s="4" t="n">
        <v>150</v>
      </c>
      <c r="P70" s="3" t="n">
        <v>244.681531659446</v>
      </c>
      <c r="Q70" s="4" t="n">
        <v>0.57</v>
      </c>
      <c r="R70" s="13" t="n">
        <f aca="false">P70/200000</f>
        <v>0.00122340765829723</v>
      </c>
      <c r="V70" s="4"/>
      <c r="W70" s="4"/>
    </row>
    <row r="71" customFormat="false" ht="14.25" hidden="false" customHeight="false" outlineLevel="0" collapsed="false">
      <c r="A71" s="0" t="s">
        <v>37</v>
      </c>
      <c r="B71" s="1" t="n">
        <v>25</v>
      </c>
      <c r="C71" s="3" t="n">
        <v>500</v>
      </c>
      <c r="D71" s="1" t="n">
        <v>4</v>
      </c>
      <c r="E71" s="2" t="n">
        <v>28.7</v>
      </c>
      <c r="F71" s="4" t="n">
        <v>2.69332921131829</v>
      </c>
      <c r="G71" s="1" t="n">
        <v>70</v>
      </c>
      <c r="H71" s="1" t="n">
        <v>90.5</v>
      </c>
      <c r="I71" s="1" t="n">
        <v>350</v>
      </c>
      <c r="J71" s="1" t="n">
        <v>450</v>
      </c>
      <c r="K71" s="1" t="n">
        <v>1964</v>
      </c>
      <c r="L71" s="1" t="n">
        <v>75425</v>
      </c>
      <c r="M71" s="3" t="n">
        <v>130.975130551886</v>
      </c>
      <c r="N71" s="12" t="n">
        <v>0.0260391117003646</v>
      </c>
      <c r="O71" s="4" t="n">
        <v>75</v>
      </c>
      <c r="P71" s="3" t="n">
        <v>120.90671371296</v>
      </c>
      <c r="Q71" s="4" t="n">
        <v>0.26</v>
      </c>
      <c r="R71" s="13" t="n">
        <f aca="false">P71/200000</f>
        <v>0.0006045335685648</v>
      </c>
      <c r="V71" s="4"/>
      <c r="W71" s="4"/>
    </row>
    <row r="72" customFormat="false" ht="14.25" hidden="false" customHeight="false" outlineLevel="0" collapsed="false">
      <c r="B72" s="1" t="n">
        <v>25</v>
      </c>
      <c r="C72" s="3" t="n">
        <v>500</v>
      </c>
      <c r="D72" s="1" t="n">
        <v>4</v>
      </c>
      <c r="E72" s="2" t="n">
        <v>28.7</v>
      </c>
      <c r="F72" s="4" t="n">
        <v>2.69332921131829</v>
      </c>
      <c r="G72" s="1" t="n">
        <v>70</v>
      </c>
      <c r="H72" s="1" t="n">
        <v>90.5</v>
      </c>
      <c r="I72" s="1" t="n">
        <v>350</v>
      </c>
      <c r="J72" s="1" t="n">
        <v>450</v>
      </c>
      <c r="K72" s="1" t="n">
        <v>1964</v>
      </c>
      <c r="L72" s="1" t="n">
        <v>75425</v>
      </c>
      <c r="M72" s="3" t="n">
        <v>130.975130551886</v>
      </c>
      <c r="N72" s="12" t="n">
        <v>0.0260391117003646</v>
      </c>
      <c r="O72" s="4" t="n">
        <v>150</v>
      </c>
      <c r="P72" s="3" t="n">
        <v>241.81342742592</v>
      </c>
      <c r="Q72" s="4" t="n">
        <v>0.6</v>
      </c>
      <c r="R72" s="13" t="n">
        <f aca="false">P72/200000</f>
        <v>0.0012090671371296</v>
      </c>
      <c r="V72" s="4"/>
      <c r="W72" s="4"/>
    </row>
    <row r="73" customFormat="false" ht="14.25" hidden="false" customHeight="false" outlineLevel="0" collapsed="false">
      <c r="A73" s="0" t="s">
        <v>38</v>
      </c>
      <c r="B73" s="1" t="n">
        <v>25</v>
      </c>
      <c r="C73" s="3" t="n">
        <v>500</v>
      </c>
      <c r="D73" s="1" t="n">
        <v>4</v>
      </c>
      <c r="E73" s="2" t="n">
        <v>28.7</v>
      </c>
      <c r="F73" s="4" t="n">
        <v>2.69332921131829</v>
      </c>
      <c r="G73" s="1" t="n">
        <v>70</v>
      </c>
      <c r="H73" s="1" t="n">
        <v>90.5</v>
      </c>
      <c r="I73" s="1" t="n">
        <v>350</v>
      </c>
      <c r="J73" s="1" t="n">
        <v>450</v>
      </c>
      <c r="K73" s="1" t="n">
        <v>1964</v>
      </c>
      <c r="L73" s="1" t="n">
        <v>75425</v>
      </c>
      <c r="M73" s="3" t="n">
        <v>130.975130551886</v>
      </c>
      <c r="N73" s="12" t="n">
        <v>0.0260391117003646</v>
      </c>
      <c r="O73" s="4" t="n">
        <v>75</v>
      </c>
      <c r="P73" s="3" t="n">
        <v>120.90671371296</v>
      </c>
      <c r="Q73" s="4" t="n">
        <v>0.27</v>
      </c>
      <c r="R73" s="13" t="n">
        <f aca="false">P73/200000</f>
        <v>0.0006045335685648</v>
      </c>
      <c r="V73" s="4"/>
      <c r="W73" s="4"/>
    </row>
    <row r="74" customFormat="false" ht="14.25" hidden="false" customHeight="false" outlineLevel="0" collapsed="false">
      <c r="B74" s="1" t="n">
        <v>25</v>
      </c>
      <c r="C74" s="3" t="n">
        <v>500</v>
      </c>
      <c r="D74" s="1" t="n">
        <v>4</v>
      </c>
      <c r="E74" s="2" t="n">
        <v>28.7</v>
      </c>
      <c r="F74" s="4" t="n">
        <v>2.69332921131829</v>
      </c>
      <c r="G74" s="1" t="n">
        <v>70</v>
      </c>
      <c r="H74" s="1" t="n">
        <v>90.5</v>
      </c>
      <c r="I74" s="1" t="n">
        <v>350</v>
      </c>
      <c r="J74" s="1" t="n">
        <v>450</v>
      </c>
      <c r="K74" s="1" t="n">
        <v>1964</v>
      </c>
      <c r="L74" s="1" t="n">
        <v>75425</v>
      </c>
      <c r="M74" s="3" t="n">
        <v>130.975130551886</v>
      </c>
      <c r="N74" s="12" t="n">
        <v>0.0260391117003646</v>
      </c>
      <c r="O74" s="4" t="n">
        <v>150</v>
      </c>
      <c r="P74" s="3" t="n">
        <v>241.81342742592</v>
      </c>
      <c r="Q74" s="4" t="n">
        <v>0.59</v>
      </c>
      <c r="R74" s="13" t="n">
        <f aca="false">P74/200000</f>
        <v>0.0012090671371296</v>
      </c>
      <c r="V74" s="4"/>
      <c r="W74" s="4"/>
    </row>
    <row r="75" customFormat="false" ht="14.25" hidden="false" customHeight="false" outlineLevel="0" collapsed="false">
      <c r="A75" s="0" t="s">
        <v>39</v>
      </c>
      <c r="B75" s="1" t="n">
        <v>9.52</v>
      </c>
      <c r="C75" s="3" t="n">
        <v>434</v>
      </c>
      <c r="D75" s="1" t="n">
        <v>3</v>
      </c>
      <c r="E75" s="2" t="n">
        <v>22.2</v>
      </c>
      <c r="F75" s="4" t="n">
        <v>3.56416000199951</v>
      </c>
      <c r="G75" s="1" t="n">
        <v>20.64</v>
      </c>
      <c r="H75" s="1" t="n">
        <v>25.4</v>
      </c>
      <c r="I75" s="1" t="n">
        <v>114.3</v>
      </c>
      <c r="J75" s="1" t="n">
        <v>228.6</v>
      </c>
      <c r="K75" s="1" t="n">
        <v>212.9</v>
      </c>
      <c r="L75" s="1" t="n">
        <v>8343.9</v>
      </c>
      <c r="M75" s="3" t="n">
        <v>56.390968153099</v>
      </c>
      <c r="N75" s="12" t="n">
        <v>0.0255156461606683</v>
      </c>
      <c r="O75" s="4" t="n">
        <v>11.6</v>
      </c>
      <c r="P75" s="3" t="n">
        <v>295.47063165326</v>
      </c>
      <c r="Q75" s="4" t="n">
        <v>0.15</v>
      </c>
      <c r="R75" s="13" t="n">
        <f aca="false">P75/200000</f>
        <v>0.0014773531582663</v>
      </c>
      <c r="V75" s="4"/>
      <c r="W75" s="4"/>
    </row>
    <row r="76" customFormat="false" ht="14.25" hidden="false" customHeight="false" outlineLevel="0" collapsed="false">
      <c r="B76" s="1" t="n">
        <v>9.52</v>
      </c>
      <c r="C76" s="3" t="n">
        <v>434</v>
      </c>
      <c r="D76" s="1" t="n">
        <v>3</v>
      </c>
      <c r="E76" s="2" t="n">
        <v>22.2</v>
      </c>
      <c r="F76" s="4" t="n">
        <v>3.56416000199951</v>
      </c>
      <c r="G76" s="1" t="n">
        <v>20.64</v>
      </c>
      <c r="H76" s="1" t="n">
        <v>25.4</v>
      </c>
      <c r="I76" s="1" t="n">
        <v>114.3</v>
      </c>
      <c r="J76" s="1" t="n">
        <v>228.6</v>
      </c>
      <c r="K76" s="1" t="n">
        <v>212.9</v>
      </c>
      <c r="L76" s="1" t="n">
        <v>8343.9</v>
      </c>
      <c r="M76" s="3" t="n">
        <v>56.390968153099</v>
      </c>
      <c r="N76" s="12" t="n">
        <v>0.0255156461606683</v>
      </c>
      <c r="O76" s="4" t="n">
        <v>13.5</v>
      </c>
      <c r="P76" s="3" t="n">
        <v>343.866683389569</v>
      </c>
      <c r="Q76" s="4" t="n">
        <v>0.17</v>
      </c>
      <c r="R76" s="13" t="n">
        <f aca="false">P76/200000</f>
        <v>0.00171933341694785</v>
      </c>
      <c r="V76" s="4"/>
      <c r="W76" s="4"/>
    </row>
    <row r="77" customFormat="false" ht="14.25" hidden="false" customHeight="false" outlineLevel="0" collapsed="false">
      <c r="A77" s="0" t="s">
        <v>40</v>
      </c>
      <c r="B77" s="1" t="n">
        <v>12.7</v>
      </c>
      <c r="C77" s="3" t="n">
        <v>434</v>
      </c>
      <c r="D77" s="1" t="n">
        <v>3</v>
      </c>
      <c r="E77" s="2" t="n">
        <v>19.05</v>
      </c>
      <c r="F77" s="4" t="n">
        <v>3.97660816382294</v>
      </c>
      <c r="G77" s="1" t="n">
        <v>19.05</v>
      </c>
      <c r="H77" s="1" t="n">
        <v>25.4</v>
      </c>
      <c r="I77" s="1" t="n">
        <v>114.3</v>
      </c>
      <c r="J77" s="1" t="n">
        <v>228.6</v>
      </c>
      <c r="K77" s="1" t="n">
        <v>387.1</v>
      </c>
      <c r="L77" s="1" t="n">
        <v>10161.27</v>
      </c>
      <c r="M77" s="3" t="n">
        <v>70.3736575776165</v>
      </c>
      <c r="N77" s="12" t="n">
        <v>0.0380956317468191</v>
      </c>
      <c r="O77" s="4" t="n">
        <v>21.1</v>
      </c>
      <c r="P77" s="3" t="n">
        <v>303.256025231297</v>
      </c>
      <c r="Q77" s="4" t="n">
        <v>0.15</v>
      </c>
      <c r="R77" s="13" t="n">
        <f aca="false">P77/200000</f>
        <v>0.00151628012615649</v>
      </c>
      <c r="V77" s="4"/>
      <c r="W77" s="4"/>
    </row>
    <row r="78" customFormat="false" ht="14.25" hidden="false" customHeight="false" outlineLevel="0" collapsed="false">
      <c r="B78" s="1" t="n">
        <v>12.7</v>
      </c>
      <c r="C78" s="3" t="n">
        <v>434</v>
      </c>
      <c r="D78" s="1" t="n">
        <v>3</v>
      </c>
      <c r="E78" s="2" t="n">
        <v>19.05</v>
      </c>
      <c r="F78" s="4" t="n">
        <v>3.97660816382294</v>
      </c>
      <c r="G78" s="1" t="n">
        <v>19.05</v>
      </c>
      <c r="H78" s="1" t="n">
        <v>25.4</v>
      </c>
      <c r="I78" s="1" t="n">
        <v>114.3</v>
      </c>
      <c r="J78" s="1" t="n">
        <v>228.6</v>
      </c>
      <c r="K78" s="1" t="n">
        <v>387.1</v>
      </c>
      <c r="L78" s="1" t="n">
        <v>10161.27</v>
      </c>
      <c r="M78" s="3" t="n">
        <v>70.3736575776165</v>
      </c>
      <c r="N78" s="12" t="n">
        <v>0.0380956317468191</v>
      </c>
      <c r="O78" s="4" t="n">
        <v>24.2</v>
      </c>
      <c r="P78" s="3" t="n">
        <v>347.810227990398</v>
      </c>
      <c r="Q78" s="4" t="n">
        <v>0.17</v>
      </c>
      <c r="R78" s="13" t="n">
        <f aca="false">P78/200000</f>
        <v>0.00173905113995199</v>
      </c>
      <c r="V78" s="4"/>
      <c r="W78" s="4"/>
    </row>
    <row r="79" customFormat="false" ht="14.25" hidden="false" customHeight="false" outlineLevel="0" collapsed="false">
      <c r="B79" s="1" t="n">
        <v>12.7</v>
      </c>
      <c r="C79" s="3" t="n">
        <v>434</v>
      </c>
      <c r="D79" s="1" t="n">
        <v>3</v>
      </c>
      <c r="E79" s="2" t="n">
        <v>19.05</v>
      </c>
      <c r="F79" s="4" t="n">
        <v>3.97660816382294</v>
      </c>
      <c r="G79" s="1" t="n">
        <v>19.05</v>
      </c>
      <c r="H79" s="1" t="n">
        <v>25.4</v>
      </c>
      <c r="I79" s="1" t="n">
        <v>114.3</v>
      </c>
      <c r="J79" s="1" t="n">
        <v>228.6</v>
      </c>
      <c r="K79" s="1" t="n">
        <v>387.1</v>
      </c>
      <c r="L79" s="1" t="n">
        <v>10161.27</v>
      </c>
      <c r="M79" s="3" t="n">
        <v>70.3736575776165</v>
      </c>
      <c r="N79" s="12" t="n">
        <v>0.0380956317468191</v>
      </c>
      <c r="O79" s="4" t="n">
        <v>28.6</v>
      </c>
      <c r="P79" s="3" t="n">
        <v>411.048451261379</v>
      </c>
      <c r="Q79" s="4" t="n">
        <v>0.2</v>
      </c>
      <c r="R79" s="13" t="n">
        <f aca="false">P79/200000</f>
        <v>0.0020552422563069</v>
      </c>
      <c r="V79" s="4"/>
      <c r="W79" s="4"/>
    </row>
    <row r="80" customFormat="false" ht="14.25" hidden="false" customHeight="false" outlineLevel="0" collapsed="false">
      <c r="A80" s="0" t="s">
        <v>41</v>
      </c>
      <c r="B80" s="1" t="n">
        <v>15.9</v>
      </c>
      <c r="C80" s="3" t="n">
        <v>540</v>
      </c>
      <c r="D80" s="1" t="n">
        <v>3</v>
      </c>
      <c r="E80" s="2" t="n">
        <v>15.9</v>
      </c>
      <c r="F80" s="4" t="n">
        <v>3.97660816382294</v>
      </c>
      <c r="G80" s="1" t="n">
        <v>17.46</v>
      </c>
      <c r="H80" s="1" t="n">
        <v>25.4</v>
      </c>
      <c r="I80" s="1" t="n">
        <v>114.3</v>
      </c>
      <c r="J80" s="1" t="n">
        <v>228.6</v>
      </c>
      <c r="K80" s="1" t="n">
        <v>600</v>
      </c>
      <c r="L80" s="1" t="n">
        <v>10161.27</v>
      </c>
      <c r="M80" s="3" t="n">
        <v>83.2568223624363</v>
      </c>
      <c r="N80" s="12" t="n">
        <v>0.0590477371430933</v>
      </c>
      <c r="O80" s="4" t="n">
        <v>30.5</v>
      </c>
      <c r="P80" s="3" t="n">
        <v>289.734922915654</v>
      </c>
      <c r="Q80" s="4" t="n">
        <v>0.16</v>
      </c>
      <c r="R80" s="13" t="n">
        <f aca="false">P80/200000</f>
        <v>0.00144867461457827</v>
      </c>
      <c r="V80" s="4"/>
      <c r="W80" s="4"/>
    </row>
    <row r="81" customFormat="false" ht="14.25" hidden="false" customHeight="false" outlineLevel="0" collapsed="false">
      <c r="B81" s="1" t="n">
        <v>15.9</v>
      </c>
      <c r="C81" s="3" t="n">
        <v>540</v>
      </c>
      <c r="D81" s="1" t="n">
        <v>3</v>
      </c>
      <c r="E81" s="2" t="n">
        <v>15.9</v>
      </c>
      <c r="F81" s="4" t="n">
        <v>3.97660816382294</v>
      </c>
      <c r="G81" s="1" t="n">
        <v>17.46</v>
      </c>
      <c r="H81" s="1" t="n">
        <v>25.4</v>
      </c>
      <c r="I81" s="1" t="n">
        <v>114.3</v>
      </c>
      <c r="J81" s="1" t="n">
        <v>228.6</v>
      </c>
      <c r="K81" s="1" t="n">
        <v>600</v>
      </c>
      <c r="L81" s="1" t="n">
        <v>10161.27</v>
      </c>
      <c r="M81" s="3" t="n">
        <v>83.2568223624363</v>
      </c>
      <c r="N81" s="12" t="n">
        <v>0.0590477371430933</v>
      </c>
      <c r="O81" s="4" t="n">
        <v>40</v>
      </c>
      <c r="P81" s="3" t="n">
        <v>379.980226774629</v>
      </c>
      <c r="Q81" s="4" t="n">
        <v>0.21</v>
      </c>
      <c r="R81" s="13" t="n">
        <f aca="false">P81/200000</f>
        <v>0.00189990113387314</v>
      </c>
      <c r="V81" s="4"/>
      <c r="W81" s="4"/>
    </row>
    <row r="82" customFormat="false" ht="14.25" hidden="false" customHeight="false" outlineLevel="0" collapsed="false">
      <c r="A82" s="0" t="s">
        <v>42</v>
      </c>
      <c r="B82" s="1" t="n">
        <v>16</v>
      </c>
      <c r="C82" s="3" t="n">
        <v>500</v>
      </c>
      <c r="D82" s="1" t="n">
        <v>2</v>
      </c>
      <c r="E82" s="2" t="n">
        <v>138</v>
      </c>
      <c r="F82" s="4" t="n">
        <v>3.269</v>
      </c>
      <c r="G82" s="1" t="n">
        <v>40</v>
      </c>
      <c r="H82" s="1" t="n">
        <v>48</v>
      </c>
      <c r="I82" s="1" t="n">
        <v>250</v>
      </c>
      <c r="J82" s="1" t="n">
        <v>348</v>
      </c>
      <c r="K82" s="1" t="n">
        <v>400</v>
      </c>
      <c r="L82" s="1" t="n">
        <v>32000</v>
      </c>
      <c r="M82" s="3" t="n">
        <v>73.3862853425291</v>
      </c>
      <c r="N82" s="12" t="n">
        <v>0.0125</v>
      </c>
      <c r="O82" s="4" t="n">
        <v>20.42</v>
      </c>
      <c r="P82" s="3" t="n">
        <v>185.273964470166</v>
      </c>
      <c r="Q82" s="4" t="n">
        <v>0.15</v>
      </c>
      <c r="R82" s="13" t="n">
        <f aca="false">P82/200000</f>
        <v>0.000926369822350829</v>
      </c>
      <c r="V82" s="4"/>
      <c r="W82" s="4"/>
    </row>
    <row r="83" customFormat="false" ht="14.25" hidden="false" customHeight="false" outlineLevel="0" collapsed="false">
      <c r="B83" s="1" t="n">
        <v>16</v>
      </c>
      <c r="C83" s="3" t="n">
        <v>500</v>
      </c>
      <c r="D83" s="1" t="n">
        <v>2</v>
      </c>
      <c r="E83" s="2" t="n">
        <v>138</v>
      </c>
      <c r="F83" s="4" t="n">
        <v>3.269</v>
      </c>
      <c r="G83" s="1" t="n">
        <v>40</v>
      </c>
      <c r="H83" s="1" t="n">
        <v>48</v>
      </c>
      <c r="I83" s="1" t="n">
        <v>250</v>
      </c>
      <c r="J83" s="1" t="n">
        <v>348</v>
      </c>
      <c r="K83" s="1" t="n">
        <v>400</v>
      </c>
      <c r="L83" s="1" t="n">
        <v>32000</v>
      </c>
      <c r="M83" s="3" t="n">
        <v>73.3862853425291</v>
      </c>
      <c r="N83" s="12" t="n">
        <v>0.0125</v>
      </c>
      <c r="O83" s="4" t="n">
        <v>23.34</v>
      </c>
      <c r="P83" s="3" t="n">
        <v>211.76759699969</v>
      </c>
      <c r="Q83" s="4" t="n">
        <v>0.2</v>
      </c>
      <c r="R83" s="13" t="n">
        <f aca="false">P83/200000</f>
        <v>0.00105883798499845</v>
      </c>
      <c r="V83" s="4"/>
      <c r="W83" s="4"/>
    </row>
    <row r="84" customFormat="false" ht="14.25" hidden="false" customHeight="false" outlineLevel="0" collapsed="false">
      <c r="B84" s="1" t="n">
        <v>16</v>
      </c>
      <c r="C84" s="3" t="n">
        <v>500</v>
      </c>
      <c r="D84" s="1" t="n">
        <v>2</v>
      </c>
      <c r="E84" s="2" t="n">
        <v>138</v>
      </c>
      <c r="F84" s="4" t="n">
        <v>3.269</v>
      </c>
      <c r="G84" s="1" t="n">
        <v>40</v>
      </c>
      <c r="H84" s="1" t="n">
        <v>48</v>
      </c>
      <c r="I84" s="1" t="n">
        <v>250</v>
      </c>
      <c r="J84" s="1" t="n">
        <v>348</v>
      </c>
      <c r="K84" s="1" t="n">
        <v>400</v>
      </c>
      <c r="L84" s="1" t="n">
        <v>32000</v>
      </c>
      <c r="M84" s="3" t="n">
        <v>73.3862853425291</v>
      </c>
      <c r="N84" s="12" t="n">
        <v>0.0125</v>
      </c>
      <c r="O84" s="4" t="n">
        <v>26.26</v>
      </c>
      <c r="P84" s="3" t="n">
        <v>238.261229529214</v>
      </c>
      <c r="Q84" s="4" t="n">
        <v>0.25</v>
      </c>
      <c r="R84" s="13" t="n">
        <f aca="false">P84/200000</f>
        <v>0.00119130614764607</v>
      </c>
      <c r="V84" s="4"/>
      <c r="W84" s="4"/>
    </row>
    <row r="85" customFormat="false" ht="14.25" hidden="false" customHeight="false" outlineLevel="0" collapsed="false">
      <c r="B85" s="1" t="n">
        <v>16</v>
      </c>
      <c r="C85" s="3" t="n">
        <v>500</v>
      </c>
      <c r="D85" s="1" t="n">
        <v>2</v>
      </c>
      <c r="E85" s="2" t="n">
        <v>138</v>
      </c>
      <c r="F85" s="4" t="n">
        <v>3.269</v>
      </c>
      <c r="G85" s="1" t="n">
        <v>40</v>
      </c>
      <c r="H85" s="1" t="n">
        <v>48</v>
      </c>
      <c r="I85" s="1" t="n">
        <v>250</v>
      </c>
      <c r="J85" s="1" t="n">
        <v>348</v>
      </c>
      <c r="K85" s="1" t="n">
        <v>400</v>
      </c>
      <c r="L85" s="1" t="n">
        <v>32000</v>
      </c>
      <c r="M85" s="3" t="n">
        <v>73.3862853425291</v>
      </c>
      <c r="N85" s="12" t="n">
        <v>0.0125</v>
      </c>
      <c r="O85" s="4" t="n">
        <v>29.175</v>
      </c>
      <c r="P85" s="3" t="n">
        <v>264.709496249612</v>
      </c>
      <c r="Q85" s="4" t="n">
        <v>0.28</v>
      </c>
      <c r="R85" s="13" t="n">
        <f aca="false">P85/200000</f>
        <v>0.00132354748124806</v>
      </c>
      <c r="V85" s="4"/>
      <c r="W85" s="4"/>
    </row>
    <row r="86" customFormat="false" ht="14.25" hidden="false" customHeight="false" outlineLevel="0" collapsed="false">
      <c r="B86" s="1" t="n">
        <v>16</v>
      </c>
      <c r="C86" s="3" t="n">
        <v>500</v>
      </c>
      <c r="D86" s="1" t="n">
        <v>2</v>
      </c>
      <c r="E86" s="2" t="n">
        <v>138</v>
      </c>
      <c r="F86" s="4" t="n">
        <v>3.269</v>
      </c>
      <c r="G86" s="1" t="n">
        <v>40</v>
      </c>
      <c r="H86" s="1" t="n">
        <v>48</v>
      </c>
      <c r="I86" s="1" t="n">
        <v>250</v>
      </c>
      <c r="J86" s="1" t="n">
        <v>348</v>
      </c>
      <c r="K86" s="1" t="n">
        <v>400</v>
      </c>
      <c r="L86" s="1" t="n">
        <v>32000</v>
      </c>
      <c r="M86" s="3" t="n">
        <v>73.3862853425291</v>
      </c>
      <c r="N86" s="12" t="n">
        <v>0.0125</v>
      </c>
      <c r="O86" s="4" t="n">
        <v>32.09</v>
      </c>
      <c r="P86" s="3" t="n">
        <v>291.157762970011</v>
      </c>
      <c r="Q86" s="4" t="n">
        <v>0.28</v>
      </c>
      <c r="R86" s="13" t="n">
        <f aca="false">P86/200000</f>
        <v>0.00145578881485005</v>
      </c>
      <c r="V86" s="4"/>
      <c r="W86" s="4"/>
    </row>
    <row r="87" customFormat="false" ht="14.25" hidden="false" customHeight="false" outlineLevel="0" collapsed="false">
      <c r="B87" s="1" t="n">
        <v>16</v>
      </c>
      <c r="C87" s="3" t="n">
        <v>500</v>
      </c>
      <c r="D87" s="1" t="n">
        <v>2</v>
      </c>
      <c r="E87" s="2" t="n">
        <v>138</v>
      </c>
      <c r="F87" s="4" t="n">
        <v>3.269</v>
      </c>
      <c r="G87" s="1" t="n">
        <v>40</v>
      </c>
      <c r="H87" s="1" t="n">
        <v>48</v>
      </c>
      <c r="I87" s="1" t="n">
        <v>250</v>
      </c>
      <c r="J87" s="1" t="n">
        <v>348</v>
      </c>
      <c r="K87" s="1" t="n">
        <v>400</v>
      </c>
      <c r="L87" s="1" t="n">
        <v>32000</v>
      </c>
      <c r="M87" s="3" t="n">
        <v>73.3862853425291</v>
      </c>
      <c r="N87" s="12" t="n">
        <v>0.0125</v>
      </c>
      <c r="O87" s="4" t="n">
        <v>35.01</v>
      </c>
      <c r="P87" s="3" t="n">
        <v>317.651395499535</v>
      </c>
      <c r="Q87" s="4" t="n">
        <v>0.3</v>
      </c>
      <c r="R87" s="13" t="n">
        <f aca="false">P87/200000</f>
        <v>0.00158825697749767</v>
      </c>
      <c r="V87" s="4"/>
      <c r="W87" s="4"/>
    </row>
    <row r="88" customFormat="false" ht="14.25" hidden="false" customHeight="false" outlineLevel="0" collapsed="false">
      <c r="B88" s="1" t="n">
        <v>16</v>
      </c>
      <c r="C88" s="3" t="n">
        <v>500</v>
      </c>
      <c r="D88" s="1" t="n">
        <v>2</v>
      </c>
      <c r="E88" s="2" t="n">
        <v>138</v>
      </c>
      <c r="F88" s="4" t="n">
        <v>3.269</v>
      </c>
      <c r="G88" s="1" t="n">
        <v>40</v>
      </c>
      <c r="H88" s="1" t="n">
        <v>48</v>
      </c>
      <c r="I88" s="1" t="n">
        <v>250</v>
      </c>
      <c r="J88" s="1" t="n">
        <v>348</v>
      </c>
      <c r="K88" s="1" t="n">
        <v>400</v>
      </c>
      <c r="L88" s="1" t="n">
        <v>32000</v>
      </c>
      <c r="M88" s="3" t="n">
        <v>73.3862853425291</v>
      </c>
      <c r="N88" s="12" t="n">
        <v>0.0125</v>
      </c>
      <c r="O88" s="4" t="n">
        <v>37.93</v>
      </c>
      <c r="P88" s="3" t="n">
        <v>344.145028029059</v>
      </c>
      <c r="Q88" s="4" t="n">
        <v>0.33</v>
      </c>
      <c r="R88" s="13" t="n">
        <f aca="false">P88/200000</f>
        <v>0.0017207251401453</v>
      </c>
      <c r="V88" s="4"/>
      <c r="W88" s="4"/>
    </row>
    <row r="89" customFormat="false" ht="14.25" hidden="false" customHeight="false" outlineLevel="0" collapsed="false">
      <c r="B89" s="1" t="n">
        <v>16</v>
      </c>
      <c r="C89" s="3" t="n">
        <v>500</v>
      </c>
      <c r="D89" s="1" t="n">
        <v>2</v>
      </c>
      <c r="E89" s="2" t="n">
        <v>138</v>
      </c>
      <c r="F89" s="4" t="n">
        <v>3.269</v>
      </c>
      <c r="G89" s="1" t="n">
        <v>40</v>
      </c>
      <c r="H89" s="1" t="n">
        <v>48</v>
      </c>
      <c r="I89" s="1" t="n">
        <v>250</v>
      </c>
      <c r="J89" s="1" t="n">
        <v>348</v>
      </c>
      <c r="K89" s="1" t="n">
        <v>400</v>
      </c>
      <c r="L89" s="1" t="n">
        <v>32000</v>
      </c>
      <c r="M89" s="3" t="n">
        <v>73.3862853425291</v>
      </c>
      <c r="N89" s="12" t="n">
        <v>0.0125</v>
      </c>
      <c r="O89" s="4" t="n">
        <v>40.84</v>
      </c>
      <c r="P89" s="3" t="n">
        <v>370.547928940332</v>
      </c>
      <c r="Q89" s="4" t="n">
        <v>0.33</v>
      </c>
      <c r="R89" s="13" t="n">
        <f aca="false">P89/200000</f>
        <v>0.00185273964470166</v>
      </c>
      <c r="V89" s="4"/>
      <c r="W89" s="4"/>
    </row>
    <row r="90" customFormat="false" ht="14.25" hidden="false" customHeight="false" outlineLevel="0" collapsed="false">
      <c r="A90" s="0" t="s">
        <v>43</v>
      </c>
      <c r="B90" s="1" t="n">
        <v>16</v>
      </c>
      <c r="C90" s="3" t="n">
        <v>500</v>
      </c>
      <c r="D90" s="1" t="n">
        <v>2</v>
      </c>
      <c r="E90" s="2" t="n">
        <v>138</v>
      </c>
      <c r="F90" s="4" t="n">
        <v>3.269</v>
      </c>
      <c r="G90" s="1" t="n">
        <v>40</v>
      </c>
      <c r="H90" s="1" t="n">
        <v>48</v>
      </c>
      <c r="I90" s="1" t="n">
        <v>250</v>
      </c>
      <c r="J90" s="1" t="n">
        <v>348</v>
      </c>
      <c r="K90" s="1" t="n">
        <v>400</v>
      </c>
      <c r="L90" s="1" t="n">
        <v>32000</v>
      </c>
      <c r="M90" s="3" t="n">
        <v>73.3862853425291</v>
      </c>
      <c r="N90" s="12" t="n">
        <v>0.0125</v>
      </c>
      <c r="O90" s="4" t="n">
        <v>23.34</v>
      </c>
      <c r="P90" s="3" t="n">
        <v>211.76759699969</v>
      </c>
      <c r="Q90" s="4" t="n">
        <v>0.15</v>
      </c>
      <c r="R90" s="13" t="n">
        <f aca="false">P90/200000</f>
        <v>0.00105883798499845</v>
      </c>
      <c r="V90" s="4"/>
      <c r="W90" s="4"/>
    </row>
    <row r="91" customFormat="false" ht="14.25" hidden="false" customHeight="false" outlineLevel="0" collapsed="false">
      <c r="B91" s="1" t="n">
        <v>16</v>
      </c>
      <c r="C91" s="3" t="n">
        <v>500</v>
      </c>
      <c r="D91" s="1" t="n">
        <v>2</v>
      </c>
      <c r="E91" s="2" t="n">
        <v>138</v>
      </c>
      <c r="F91" s="4" t="n">
        <v>3.269</v>
      </c>
      <c r="G91" s="1" t="n">
        <v>40</v>
      </c>
      <c r="H91" s="1" t="n">
        <v>48</v>
      </c>
      <c r="I91" s="1" t="n">
        <v>250</v>
      </c>
      <c r="J91" s="1" t="n">
        <v>348</v>
      </c>
      <c r="K91" s="1" t="n">
        <v>400</v>
      </c>
      <c r="L91" s="1" t="n">
        <v>32000</v>
      </c>
      <c r="M91" s="3" t="n">
        <v>73.3862853425291</v>
      </c>
      <c r="N91" s="12" t="n">
        <v>0.0125</v>
      </c>
      <c r="O91" s="4" t="n">
        <v>26.26</v>
      </c>
      <c r="P91" s="3" t="n">
        <v>238.261229529214</v>
      </c>
      <c r="Q91" s="4" t="n">
        <v>0.18</v>
      </c>
      <c r="R91" s="13" t="n">
        <f aca="false">P91/200000</f>
        <v>0.00119130614764607</v>
      </c>
      <c r="V91" s="4"/>
      <c r="W91" s="4"/>
    </row>
    <row r="92" customFormat="false" ht="14.25" hidden="false" customHeight="false" outlineLevel="0" collapsed="false">
      <c r="B92" s="1" t="n">
        <v>16</v>
      </c>
      <c r="C92" s="3" t="n">
        <v>500</v>
      </c>
      <c r="D92" s="1" t="n">
        <v>2</v>
      </c>
      <c r="E92" s="2" t="n">
        <v>138</v>
      </c>
      <c r="F92" s="4" t="n">
        <v>3.269</v>
      </c>
      <c r="G92" s="1" t="n">
        <v>40</v>
      </c>
      <c r="H92" s="1" t="n">
        <v>48</v>
      </c>
      <c r="I92" s="1" t="n">
        <v>250</v>
      </c>
      <c r="J92" s="1" t="n">
        <v>348</v>
      </c>
      <c r="K92" s="1" t="n">
        <v>400</v>
      </c>
      <c r="L92" s="1" t="n">
        <v>32000</v>
      </c>
      <c r="M92" s="3" t="n">
        <v>73.3862853425291</v>
      </c>
      <c r="N92" s="12" t="n">
        <v>0.0125</v>
      </c>
      <c r="O92" s="4" t="n">
        <v>29.175</v>
      </c>
      <c r="P92" s="3" t="n">
        <v>264.709496249612</v>
      </c>
      <c r="Q92" s="4" t="n">
        <v>0.2</v>
      </c>
      <c r="R92" s="13" t="n">
        <f aca="false">P92/200000</f>
        <v>0.00132354748124806</v>
      </c>
      <c r="V92" s="4"/>
      <c r="W92" s="4"/>
    </row>
    <row r="93" customFormat="false" ht="14.25" hidden="false" customHeight="false" outlineLevel="0" collapsed="false">
      <c r="B93" s="1" t="n">
        <v>16</v>
      </c>
      <c r="C93" s="3" t="n">
        <v>500</v>
      </c>
      <c r="D93" s="1" t="n">
        <v>2</v>
      </c>
      <c r="E93" s="2" t="n">
        <v>138</v>
      </c>
      <c r="F93" s="4" t="n">
        <v>3.269</v>
      </c>
      <c r="G93" s="1" t="n">
        <v>40</v>
      </c>
      <c r="H93" s="1" t="n">
        <v>48</v>
      </c>
      <c r="I93" s="1" t="n">
        <v>250</v>
      </c>
      <c r="J93" s="1" t="n">
        <v>348</v>
      </c>
      <c r="K93" s="1" t="n">
        <v>400</v>
      </c>
      <c r="L93" s="1" t="n">
        <v>32000</v>
      </c>
      <c r="M93" s="3" t="n">
        <v>73.3862853425291</v>
      </c>
      <c r="N93" s="12" t="n">
        <v>0.0125</v>
      </c>
      <c r="O93" s="4" t="n">
        <v>32.09</v>
      </c>
      <c r="P93" s="3" t="n">
        <v>291.157762970011</v>
      </c>
      <c r="Q93" s="4" t="n">
        <v>0.25</v>
      </c>
      <c r="R93" s="13" t="n">
        <f aca="false">P93/200000</f>
        <v>0.00145578881485005</v>
      </c>
      <c r="V93" s="4"/>
      <c r="W93" s="4"/>
    </row>
    <row r="94" customFormat="false" ht="14.25" hidden="false" customHeight="false" outlineLevel="0" collapsed="false">
      <c r="B94" s="1" t="n">
        <v>16</v>
      </c>
      <c r="C94" s="3" t="n">
        <v>500</v>
      </c>
      <c r="D94" s="1" t="n">
        <v>2</v>
      </c>
      <c r="E94" s="2" t="n">
        <v>138</v>
      </c>
      <c r="F94" s="4" t="n">
        <v>3.269</v>
      </c>
      <c r="G94" s="1" t="n">
        <v>40</v>
      </c>
      <c r="H94" s="1" t="n">
        <v>48</v>
      </c>
      <c r="I94" s="1" t="n">
        <v>250</v>
      </c>
      <c r="J94" s="1" t="n">
        <v>348</v>
      </c>
      <c r="K94" s="1" t="n">
        <v>400</v>
      </c>
      <c r="L94" s="1" t="n">
        <v>32000</v>
      </c>
      <c r="M94" s="3" t="n">
        <v>73.3862853425291</v>
      </c>
      <c r="N94" s="12" t="n">
        <v>0.0125</v>
      </c>
      <c r="O94" s="4" t="n">
        <v>35.01</v>
      </c>
      <c r="P94" s="3" t="n">
        <v>317.651395499535</v>
      </c>
      <c r="Q94" s="4" t="n">
        <v>0.3</v>
      </c>
      <c r="R94" s="13" t="n">
        <f aca="false">P94/200000</f>
        <v>0.00158825697749767</v>
      </c>
      <c r="V94" s="4"/>
      <c r="W94" s="4"/>
    </row>
    <row r="95" customFormat="false" ht="14.25" hidden="false" customHeight="false" outlineLevel="0" collapsed="false">
      <c r="B95" s="1" t="n">
        <v>16</v>
      </c>
      <c r="C95" s="3" t="n">
        <v>500</v>
      </c>
      <c r="D95" s="1" t="n">
        <v>2</v>
      </c>
      <c r="E95" s="2" t="n">
        <v>138</v>
      </c>
      <c r="F95" s="4" t="n">
        <v>3.269</v>
      </c>
      <c r="G95" s="1" t="n">
        <v>40</v>
      </c>
      <c r="H95" s="1" t="n">
        <v>48</v>
      </c>
      <c r="I95" s="1" t="n">
        <v>250</v>
      </c>
      <c r="J95" s="1" t="n">
        <v>348</v>
      </c>
      <c r="K95" s="1" t="n">
        <v>400</v>
      </c>
      <c r="L95" s="1" t="n">
        <v>32000</v>
      </c>
      <c r="M95" s="3" t="n">
        <v>73.3862853425291</v>
      </c>
      <c r="N95" s="12" t="n">
        <v>0.0125</v>
      </c>
      <c r="O95" s="4" t="n">
        <v>37.93</v>
      </c>
      <c r="P95" s="3" t="n">
        <v>344.145028029059</v>
      </c>
      <c r="Q95" s="4" t="n">
        <v>0.33</v>
      </c>
      <c r="R95" s="13" t="n">
        <f aca="false">P95/200000</f>
        <v>0.0017207251401453</v>
      </c>
      <c r="V95" s="4"/>
      <c r="W95" s="4"/>
    </row>
    <row r="96" customFormat="false" ht="14.25" hidden="false" customHeight="false" outlineLevel="0" collapsed="false">
      <c r="B96" s="1" t="n">
        <v>16</v>
      </c>
      <c r="C96" s="3" t="n">
        <v>500</v>
      </c>
      <c r="D96" s="1" t="n">
        <v>2</v>
      </c>
      <c r="E96" s="2" t="n">
        <v>138</v>
      </c>
      <c r="F96" s="4" t="n">
        <v>3.269</v>
      </c>
      <c r="G96" s="1" t="n">
        <v>40</v>
      </c>
      <c r="H96" s="1" t="n">
        <v>48</v>
      </c>
      <c r="I96" s="1" t="n">
        <v>250</v>
      </c>
      <c r="J96" s="1" t="n">
        <v>348</v>
      </c>
      <c r="K96" s="1" t="n">
        <v>400</v>
      </c>
      <c r="L96" s="1" t="n">
        <v>32000</v>
      </c>
      <c r="M96" s="3" t="n">
        <v>73.3862853425291</v>
      </c>
      <c r="N96" s="12" t="n">
        <v>0.0125</v>
      </c>
      <c r="O96" s="4" t="n">
        <v>40.84</v>
      </c>
      <c r="P96" s="3" t="n">
        <v>370.547928940332</v>
      </c>
      <c r="Q96" s="4" t="n">
        <v>0.38</v>
      </c>
      <c r="R96" s="13" t="n">
        <f aca="false">P96/200000</f>
        <v>0.00185273964470166</v>
      </c>
      <c r="V96" s="4"/>
      <c r="W96" s="4"/>
    </row>
    <row r="97" customFormat="false" ht="14.25" hidden="false" customHeight="false" outlineLevel="0" collapsed="false">
      <c r="A97" s="0" t="s">
        <v>44</v>
      </c>
      <c r="B97" s="1" t="n">
        <v>16</v>
      </c>
      <c r="C97" s="3" t="n">
        <v>500</v>
      </c>
      <c r="D97" s="1" t="n">
        <v>2</v>
      </c>
      <c r="E97" s="2" t="n">
        <v>168</v>
      </c>
      <c r="F97" s="4" t="n">
        <v>3.269</v>
      </c>
      <c r="G97" s="1" t="n">
        <v>25</v>
      </c>
      <c r="H97" s="1" t="n">
        <v>33</v>
      </c>
      <c r="I97" s="1" t="n">
        <v>250</v>
      </c>
      <c r="J97" s="1" t="n">
        <v>333</v>
      </c>
      <c r="K97" s="1" t="n">
        <v>400</v>
      </c>
      <c r="L97" s="1" t="n">
        <v>12769</v>
      </c>
      <c r="M97" s="3" t="n">
        <v>73.3862853425291</v>
      </c>
      <c r="N97" s="12" t="n">
        <v>0.0157460983498901</v>
      </c>
      <c r="O97" s="4" t="n">
        <v>23.34</v>
      </c>
      <c r="P97" s="3" t="n">
        <v>211.76759699969</v>
      </c>
      <c r="Q97" s="4" t="n">
        <v>0.15</v>
      </c>
      <c r="R97" s="13" t="n">
        <f aca="false">P97/200000</f>
        <v>0.00105883798499845</v>
      </c>
      <c r="V97" s="4"/>
      <c r="W97" s="4"/>
    </row>
    <row r="98" customFormat="false" ht="14.25" hidden="false" customHeight="false" outlineLevel="0" collapsed="false">
      <c r="B98" s="1" t="n">
        <v>16</v>
      </c>
      <c r="C98" s="3" t="n">
        <v>500</v>
      </c>
      <c r="D98" s="1" t="n">
        <v>2</v>
      </c>
      <c r="E98" s="2" t="n">
        <v>168</v>
      </c>
      <c r="F98" s="4" t="n">
        <v>3.269</v>
      </c>
      <c r="G98" s="1" t="n">
        <v>25</v>
      </c>
      <c r="H98" s="1" t="n">
        <v>33</v>
      </c>
      <c r="I98" s="1" t="n">
        <v>250</v>
      </c>
      <c r="J98" s="1" t="n">
        <v>333</v>
      </c>
      <c r="K98" s="1" t="n">
        <v>400</v>
      </c>
      <c r="L98" s="1" t="n">
        <v>12769</v>
      </c>
      <c r="M98" s="3" t="n">
        <v>73.3862853425291</v>
      </c>
      <c r="N98" s="12" t="n">
        <v>0.0157460983498901</v>
      </c>
      <c r="O98" s="4" t="n">
        <v>26.26</v>
      </c>
      <c r="P98" s="3" t="n">
        <v>238.261229529214</v>
      </c>
      <c r="Q98" s="4" t="n">
        <v>0.18</v>
      </c>
      <c r="R98" s="13" t="n">
        <f aca="false">P98/200000</f>
        <v>0.00119130614764607</v>
      </c>
      <c r="V98" s="4"/>
      <c r="W98" s="4"/>
    </row>
    <row r="99" customFormat="false" ht="14.25" hidden="false" customHeight="false" outlineLevel="0" collapsed="false">
      <c r="B99" s="1" t="n">
        <v>16</v>
      </c>
      <c r="C99" s="3" t="n">
        <v>500</v>
      </c>
      <c r="D99" s="1" t="n">
        <v>2</v>
      </c>
      <c r="E99" s="2" t="n">
        <v>168</v>
      </c>
      <c r="F99" s="4" t="n">
        <v>3.269</v>
      </c>
      <c r="G99" s="1" t="n">
        <v>25</v>
      </c>
      <c r="H99" s="1" t="n">
        <v>33</v>
      </c>
      <c r="I99" s="1" t="n">
        <v>250</v>
      </c>
      <c r="J99" s="1" t="n">
        <v>333</v>
      </c>
      <c r="K99" s="1" t="n">
        <v>400</v>
      </c>
      <c r="L99" s="1" t="n">
        <v>12769</v>
      </c>
      <c r="M99" s="3" t="n">
        <v>73.3862853425291</v>
      </c>
      <c r="N99" s="12" t="n">
        <v>0.0157460983498901</v>
      </c>
      <c r="O99" s="4" t="n">
        <v>29.175</v>
      </c>
      <c r="P99" s="3" t="n">
        <v>264.709496249612</v>
      </c>
      <c r="Q99" s="4" t="n">
        <v>0.2</v>
      </c>
      <c r="R99" s="13" t="n">
        <f aca="false">P99/200000</f>
        <v>0.00132354748124806</v>
      </c>
      <c r="V99" s="4"/>
      <c r="W99" s="4"/>
    </row>
    <row r="100" customFormat="false" ht="14.25" hidden="false" customHeight="false" outlineLevel="0" collapsed="false">
      <c r="B100" s="1" t="n">
        <v>16</v>
      </c>
      <c r="C100" s="3" t="n">
        <v>500</v>
      </c>
      <c r="D100" s="1" t="n">
        <v>2</v>
      </c>
      <c r="E100" s="2" t="n">
        <v>168</v>
      </c>
      <c r="F100" s="4" t="n">
        <v>3.269</v>
      </c>
      <c r="G100" s="1" t="n">
        <v>25</v>
      </c>
      <c r="H100" s="1" t="n">
        <v>33</v>
      </c>
      <c r="I100" s="1" t="n">
        <v>250</v>
      </c>
      <c r="J100" s="1" t="n">
        <v>333</v>
      </c>
      <c r="K100" s="1" t="n">
        <v>400</v>
      </c>
      <c r="L100" s="1" t="n">
        <v>12769</v>
      </c>
      <c r="M100" s="3" t="n">
        <v>73.3862853425291</v>
      </c>
      <c r="N100" s="12" t="n">
        <v>0.0157460983498901</v>
      </c>
      <c r="O100" s="4" t="n">
        <v>32.09</v>
      </c>
      <c r="P100" s="3" t="n">
        <v>291.157762970011</v>
      </c>
      <c r="Q100" s="4" t="n">
        <v>0.23</v>
      </c>
      <c r="R100" s="13" t="n">
        <f aca="false">P100/200000</f>
        <v>0.00145578881485005</v>
      </c>
      <c r="V100" s="4"/>
      <c r="W100" s="4"/>
    </row>
    <row r="101" customFormat="false" ht="14.25" hidden="false" customHeight="false" outlineLevel="0" collapsed="false">
      <c r="B101" s="1" t="n">
        <v>16</v>
      </c>
      <c r="C101" s="3" t="n">
        <v>500</v>
      </c>
      <c r="D101" s="1" t="n">
        <v>2</v>
      </c>
      <c r="E101" s="2" t="n">
        <v>168</v>
      </c>
      <c r="F101" s="4" t="n">
        <v>3.269</v>
      </c>
      <c r="G101" s="1" t="n">
        <v>25</v>
      </c>
      <c r="H101" s="1" t="n">
        <v>33</v>
      </c>
      <c r="I101" s="1" t="n">
        <v>250</v>
      </c>
      <c r="J101" s="1" t="n">
        <v>333</v>
      </c>
      <c r="K101" s="1" t="n">
        <v>400</v>
      </c>
      <c r="L101" s="1" t="n">
        <v>12769</v>
      </c>
      <c r="M101" s="3" t="n">
        <v>73.3862853425291</v>
      </c>
      <c r="N101" s="12" t="n">
        <v>0.0157460983498901</v>
      </c>
      <c r="O101" s="4" t="n">
        <v>35.01</v>
      </c>
      <c r="P101" s="3" t="n">
        <v>317.651395499535</v>
      </c>
      <c r="Q101" s="4" t="n">
        <v>0.25</v>
      </c>
      <c r="R101" s="13" t="n">
        <f aca="false">P101/200000</f>
        <v>0.00158825697749767</v>
      </c>
      <c r="V101" s="4"/>
      <c r="W101" s="4"/>
    </row>
    <row r="102" customFormat="false" ht="14.25" hidden="false" customHeight="false" outlineLevel="0" collapsed="false">
      <c r="B102" s="1" t="n">
        <v>16</v>
      </c>
      <c r="C102" s="3" t="n">
        <v>500</v>
      </c>
      <c r="D102" s="1" t="n">
        <v>2</v>
      </c>
      <c r="E102" s="2" t="n">
        <v>168</v>
      </c>
      <c r="F102" s="4" t="n">
        <v>3.269</v>
      </c>
      <c r="G102" s="1" t="n">
        <v>25</v>
      </c>
      <c r="H102" s="1" t="n">
        <v>33</v>
      </c>
      <c r="I102" s="1" t="n">
        <v>250</v>
      </c>
      <c r="J102" s="1" t="n">
        <v>333</v>
      </c>
      <c r="K102" s="1" t="n">
        <v>400</v>
      </c>
      <c r="L102" s="1" t="n">
        <v>12769</v>
      </c>
      <c r="M102" s="3" t="n">
        <v>73.3862853425291</v>
      </c>
      <c r="N102" s="12" t="n">
        <v>0.0157460983498901</v>
      </c>
      <c r="O102" s="4" t="n">
        <v>37.93</v>
      </c>
      <c r="P102" s="3" t="n">
        <v>344.145028029059</v>
      </c>
      <c r="Q102" s="4" t="n">
        <v>0.3</v>
      </c>
      <c r="R102" s="13" t="n">
        <f aca="false">P102/200000</f>
        <v>0.0017207251401453</v>
      </c>
      <c r="V102" s="4"/>
      <c r="W102" s="4"/>
    </row>
    <row r="103" customFormat="false" ht="14.25" hidden="false" customHeight="false" outlineLevel="0" collapsed="false">
      <c r="B103" s="1" t="n">
        <v>16</v>
      </c>
      <c r="C103" s="3" t="n">
        <v>500</v>
      </c>
      <c r="D103" s="1" t="n">
        <v>2</v>
      </c>
      <c r="E103" s="2" t="n">
        <v>168</v>
      </c>
      <c r="F103" s="4" t="n">
        <v>3.269</v>
      </c>
      <c r="G103" s="1" t="n">
        <v>25</v>
      </c>
      <c r="H103" s="1" t="n">
        <v>33</v>
      </c>
      <c r="I103" s="1" t="n">
        <v>250</v>
      </c>
      <c r="J103" s="1" t="n">
        <v>333</v>
      </c>
      <c r="K103" s="1" t="n">
        <v>400</v>
      </c>
      <c r="L103" s="1" t="n">
        <v>12769</v>
      </c>
      <c r="M103" s="3" t="n">
        <v>73.3862853425291</v>
      </c>
      <c r="N103" s="12" t="n">
        <v>0.0157460983498901</v>
      </c>
      <c r="O103" s="4" t="n">
        <v>40.84</v>
      </c>
      <c r="P103" s="3" t="n">
        <v>370.547928940332</v>
      </c>
      <c r="Q103" s="4" t="n">
        <v>0.3</v>
      </c>
      <c r="R103" s="13" t="n">
        <f aca="false">P103/200000</f>
        <v>0.00185273964470166</v>
      </c>
      <c r="V103" s="4"/>
      <c r="W103" s="4"/>
    </row>
    <row r="104" customFormat="false" ht="14.25" hidden="false" customHeight="false" outlineLevel="0" collapsed="false">
      <c r="A104" s="0" t="s">
        <v>45</v>
      </c>
      <c r="B104" s="1" t="n">
        <v>16</v>
      </c>
      <c r="C104" s="3" t="n">
        <v>500</v>
      </c>
      <c r="D104" s="1" t="n">
        <v>2</v>
      </c>
      <c r="E104" s="2" t="n">
        <v>168</v>
      </c>
      <c r="F104" s="4" t="n">
        <v>3.269</v>
      </c>
      <c r="G104" s="1" t="n">
        <v>25</v>
      </c>
      <c r="H104" s="1" t="n">
        <v>33</v>
      </c>
      <c r="I104" s="1" t="n">
        <v>250</v>
      </c>
      <c r="J104" s="1" t="n">
        <v>333</v>
      </c>
      <c r="K104" s="1" t="n">
        <v>400</v>
      </c>
      <c r="L104" s="1" t="n">
        <v>12769</v>
      </c>
      <c r="M104" s="3" t="n">
        <v>73.3862853425291</v>
      </c>
      <c r="N104" s="12" t="n">
        <v>0.0157460983498901</v>
      </c>
      <c r="O104" s="4" t="n">
        <v>20.42</v>
      </c>
      <c r="P104" s="3" t="n">
        <v>185.273964470166</v>
      </c>
      <c r="Q104" s="4" t="n">
        <v>0.15</v>
      </c>
      <c r="R104" s="13" t="n">
        <f aca="false">P104/200000</f>
        <v>0.000926369822350829</v>
      </c>
      <c r="V104" s="4"/>
      <c r="W104" s="4"/>
    </row>
    <row r="105" customFormat="false" ht="14.25" hidden="false" customHeight="false" outlineLevel="0" collapsed="false">
      <c r="B105" s="1" t="n">
        <v>16</v>
      </c>
      <c r="C105" s="3" t="n">
        <v>500</v>
      </c>
      <c r="D105" s="1" t="n">
        <v>2</v>
      </c>
      <c r="E105" s="2" t="n">
        <v>168</v>
      </c>
      <c r="F105" s="4" t="n">
        <v>3.269</v>
      </c>
      <c r="G105" s="1" t="n">
        <v>25</v>
      </c>
      <c r="H105" s="1" t="n">
        <v>33</v>
      </c>
      <c r="I105" s="1" t="n">
        <v>250</v>
      </c>
      <c r="J105" s="1" t="n">
        <v>333</v>
      </c>
      <c r="K105" s="1" t="n">
        <v>400</v>
      </c>
      <c r="L105" s="1" t="n">
        <v>12769</v>
      </c>
      <c r="M105" s="3" t="n">
        <v>73.3862853425291</v>
      </c>
      <c r="N105" s="12" t="n">
        <v>0.0157460983498901</v>
      </c>
      <c r="O105" s="4" t="n">
        <v>23.34</v>
      </c>
      <c r="P105" s="3" t="n">
        <v>211.76759699969</v>
      </c>
      <c r="Q105" s="4" t="n">
        <v>0.18</v>
      </c>
      <c r="R105" s="13" t="n">
        <f aca="false">P105/200000</f>
        <v>0.00105883798499845</v>
      </c>
      <c r="V105" s="4"/>
      <c r="W105" s="4"/>
    </row>
    <row r="106" customFormat="false" ht="14.25" hidden="false" customHeight="false" outlineLevel="0" collapsed="false">
      <c r="B106" s="1" t="n">
        <v>16</v>
      </c>
      <c r="C106" s="3" t="n">
        <v>500</v>
      </c>
      <c r="D106" s="1" t="n">
        <v>2</v>
      </c>
      <c r="E106" s="2" t="n">
        <v>168</v>
      </c>
      <c r="F106" s="4" t="n">
        <v>3.269</v>
      </c>
      <c r="G106" s="1" t="n">
        <v>25</v>
      </c>
      <c r="H106" s="1" t="n">
        <v>33</v>
      </c>
      <c r="I106" s="1" t="n">
        <v>250</v>
      </c>
      <c r="J106" s="1" t="n">
        <v>333</v>
      </c>
      <c r="K106" s="1" t="n">
        <v>400</v>
      </c>
      <c r="L106" s="1" t="n">
        <v>12769</v>
      </c>
      <c r="M106" s="3" t="n">
        <v>73.3862853425291</v>
      </c>
      <c r="N106" s="12" t="n">
        <v>0.0157460983498901</v>
      </c>
      <c r="O106" s="4" t="n">
        <v>26.26</v>
      </c>
      <c r="P106" s="3" t="n">
        <v>238.261229529214</v>
      </c>
      <c r="Q106" s="4" t="n">
        <v>0.18</v>
      </c>
      <c r="R106" s="13" t="n">
        <f aca="false">P106/200000</f>
        <v>0.00119130614764607</v>
      </c>
      <c r="V106" s="4"/>
      <c r="W106" s="4"/>
    </row>
    <row r="107" customFormat="false" ht="14.25" hidden="false" customHeight="false" outlineLevel="0" collapsed="false">
      <c r="B107" s="1" t="n">
        <v>16</v>
      </c>
      <c r="C107" s="3" t="n">
        <v>500</v>
      </c>
      <c r="D107" s="1" t="n">
        <v>2</v>
      </c>
      <c r="E107" s="2" t="n">
        <v>168</v>
      </c>
      <c r="F107" s="4" t="n">
        <v>3.269</v>
      </c>
      <c r="G107" s="1" t="n">
        <v>25</v>
      </c>
      <c r="H107" s="1" t="n">
        <v>33</v>
      </c>
      <c r="I107" s="1" t="n">
        <v>250</v>
      </c>
      <c r="J107" s="1" t="n">
        <v>333</v>
      </c>
      <c r="K107" s="1" t="n">
        <v>400</v>
      </c>
      <c r="L107" s="1" t="n">
        <v>12769</v>
      </c>
      <c r="M107" s="3" t="n">
        <v>73.3862853425291</v>
      </c>
      <c r="N107" s="12" t="n">
        <v>0.0157460983498901</v>
      </c>
      <c r="O107" s="4" t="n">
        <v>29.175</v>
      </c>
      <c r="P107" s="3" t="n">
        <v>264.709496249612</v>
      </c>
      <c r="Q107" s="4" t="n">
        <v>0.25</v>
      </c>
      <c r="R107" s="13" t="n">
        <f aca="false">P107/200000</f>
        <v>0.00132354748124806</v>
      </c>
      <c r="V107" s="4"/>
      <c r="W107" s="4"/>
    </row>
    <row r="108" customFormat="false" ht="14.25" hidden="false" customHeight="false" outlineLevel="0" collapsed="false">
      <c r="B108" s="1" t="n">
        <v>16</v>
      </c>
      <c r="C108" s="3" t="n">
        <v>500</v>
      </c>
      <c r="D108" s="1" t="n">
        <v>2</v>
      </c>
      <c r="E108" s="2" t="n">
        <v>168</v>
      </c>
      <c r="F108" s="4" t="n">
        <v>3.269</v>
      </c>
      <c r="G108" s="1" t="n">
        <v>25</v>
      </c>
      <c r="H108" s="1" t="n">
        <v>33</v>
      </c>
      <c r="I108" s="1" t="n">
        <v>250</v>
      </c>
      <c r="J108" s="1" t="n">
        <v>333</v>
      </c>
      <c r="K108" s="1" t="n">
        <v>400</v>
      </c>
      <c r="L108" s="1" t="n">
        <v>12769</v>
      </c>
      <c r="M108" s="3" t="n">
        <v>73.3862853425291</v>
      </c>
      <c r="N108" s="12" t="n">
        <v>0.0157460983498901</v>
      </c>
      <c r="O108" s="4" t="n">
        <v>32.09</v>
      </c>
      <c r="P108" s="3" t="n">
        <v>291.157762970011</v>
      </c>
      <c r="Q108" s="4" t="n">
        <v>0.28</v>
      </c>
      <c r="R108" s="13" t="n">
        <f aca="false">P108/200000</f>
        <v>0.00145578881485005</v>
      </c>
      <c r="V108" s="4"/>
      <c r="W108" s="4"/>
    </row>
    <row r="109" customFormat="false" ht="14.25" hidden="false" customHeight="false" outlineLevel="0" collapsed="false">
      <c r="B109" s="1" t="n">
        <v>16</v>
      </c>
      <c r="C109" s="3" t="n">
        <v>500</v>
      </c>
      <c r="D109" s="1" t="n">
        <v>2</v>
      </c>
      <c r="E109" s="2" t="n">
        <v>168</v>
      </c>
      <c r="F109" s="4" t="n">
        <v>3.269</v>
      </c>
      <c r="G109" s="1" t="n">
        <v>25</v>
      </c>
      <c r="H109" s="1" t="n">
        <v>33</v>
      </c>
      <c r="I109" s="1" t="n">
        <v>250</v>
      </c>
      <c r="J109" s="1" t="n">
        <v>333</v>
      </c>
      <c r="K109" s="1" t="n">
        <v>400</v>
      </c>
      <c r="L109" s="1" t="n">
        <v>12769</v>
      </c>
      <c r="M109" s="3" t="n">
        <v>73.3862853425291</v>
      </c>
      <c r="N109" s="12" t="n">
        <v>0.0157460983498901</v>
      </c>
      <c r="O109" s="4" t="n">
        <v>35.01</v>
      </c>
      <c r="P109" s="3" t="n">
        <v>317.651395499535</v>
      </c>
      <c r="Q109" s="4" t="n">
        <v>0.33</v>
      </c>
      <c r="R109" s="13" t="n">
        <f aca="false">P109/200000</f>
        <v>0.00158825697749767</v>
      </c>
      <c r="V109" s="4"/>
      <c r="W109" s="4"/>
    </row>
    <row r="110" customFormat="false" ht="14.25" hidden="false" customHeight="false" outlineLevel="0" collapsed="false">
      <c r="B110" s="1" t="n">
        <v>16</v>
      </c>
      <c r="C110" s="3" t="n">
        <v>500</v>
      </c>
      <c r="D110" s="1" t="n">
        <v>2</v>
      </c>
      <c r="E110" s="2" t="n">
        <v>168</v>
      </c>
      <c r="F110" s="4" t="n">
        <v>3.269</v>
      </c>
      <c r="G110" s="1" t="n">
        <v>25</v>
      </c>
      <c r="H110" s="1" t="n">
        <v>33</v>
      </c>
      <c r="I110" s="1" t="n">
        <v>250</v>
      </c>
      <c r="J110" s="1" t="n">
        <v>333</v>
      </c>
      <c r="K110" s="1" t="n">
        <v>400</v>
      </c>
      <c r="L110" s="1" t="n">
        <v>12769</v>
      </c>
      <c r="M110" s="3" t="n">
        <v>73.3862853425291</v>
      </c>
      <c r="N110" s="12" t="n">
        <v>0.0157460983498901</v>
      </c>
      <c r="O110" s="4" t="n">
        <v>37.93</v>
      </c>
      <c r="P110" s="3" t="n">
        <v>344.145028029059</v>
      </c>
      <c r="Q110" s="4" t="n">
        <v>0.38</v>
      </c>
      <c r="R110" s="13" t="n">
        <f aca="false">P110/200000</f>
        <v>0.0017207251401453</v>
      </c>
      <c r="V110" s="4"/>
      <c r="W110" s="4"/>
    </row>
    <row r="111" customFormat="false" ht="14.25" hidden="false" customHeight="false" outlineLevel="0" collapsed="false">
      <c r="B111" s="1" t="n">
        <v>16</v>
      </c>
      <c r="C111" s="3" t="n">
        <v>500</v>
      </c>
      <c r="D111" s="1" t="n">
        <v>2</v>
      </c>
      <c r="E111" s="2" t="n">
        <v>168</v>
      </c>
      <c r="F111" s="4" t="n">
        <v>3.269</v>
      </c>
      <c r="G111" s="1" t="n">
        <v>25</v>
      </c>
      <c r="H111" s="1" t="n">
        <v>33</v>
      </c>
      <c r="I111" s="1" t="n">
        <v>250</v>
      </c>
      <c r="J111" s="1" t="n">
        <v>333</v>
      </c>
      <c r="K111" s="1" t="n">
        <v>400</v>
      </c>
      <c r="L111" s="1" t="n">
        <v>12769</v>
      </c>
      <c r="M111" s="3" t="n">
        <v>73.3862853425291</v>
      </c>
      <c r="N111" s="12" t="n">
        <v>0.0157460983498901</v>
      </c>
      <c r="O111" s="4" t="n">
        <v>40.84</v>
      </c>
      <c r="P111" s="3" t="n">
        <v>370.547928940332</v>
      </c>
      <c r="Q111" s="4" t="n">
        <v>0.43</v>
      </c>
      <c r="R111" s="13" t="n">
        <f aca="false">P111/200000</f>
        <v>0.00185273964470166</v>
      </c>
      <c r="V111" s="4"/>
      <c r="W111" s="4"/>
    </row>
    <row r="112" customFormat="false" ht="14.25" hidden="false" customHeight="false" outlineLevel="0" collapsed="false">
      <c r="A112" s="0" t="s">
        <v>46</v>
      </c>
      <c r="B112" s="1" t="n">
        <v>16</v>
      </c>
      <c r="C112" s="3" t="n">
        <v>500</v>
      </c>
      <c r="D112" s="1" t="n">
        <v>3</v>
      </c>
      <c r="E112" s="2" t="n">
        <v>76</v>
      </c>
      <c r="F112" s="4" t="n">
        <v>3.269</v>
      </c>
      <c r="G112" s="1" t="n">
        <v>25</v>
      </c>
      <c r="H112" s="1" t="n">
        <v>33</v>
      </c>
      <c r="I112" s="1" t="n">
        <v>250</v>
      </c>
      <c r="J112" s="1" t="n">
        <v>333</v>
      </c>
      <c r="K112" s="1" t="n">
        <v>600</v>
      </c>
      <c r="L112" s="1" t="n">
        <v>28250</v>
      </c>
      <c r="M112" s="3" t="n">
        <v>87.1145054053498</v>
      </c>
      <c r="N112" s="12" t="n">
        <v>0.0212389380530973</v>
      </c>
      <c r="O112" s="4" t="n">
        <v>37.93</v>
      </c>
      <c r="P112" s="3" t="n">
        <v>233.304692064372</v>
      </c>
      <c r="Q112" s="4" t="n">
        <v>0.15</v>
      </c>
      <c r="R112" s="13" t="n">
        <f aca="false">P112/200000</f>
        <v>0.00116652346032186</v>
      </c>
      <c r="V112" s="4"/>
      <c r="W112" s="4"/>
    </row>
    <row r="113" customFormat="false" ht="14.25" hidden="false" customHeight="false" outlineLevel="0" collapsed="false">
      <c r="B113" s="1" t="n">
        <v>16</v>
      </c>
      <c r="C113" s="3" t="n">
        <v>500</v>
      </c>
      <c r="D113" s="1" t="n">
        <v>3</v>
      </c>
      <c r="E113" s="2" t="n">
        <v>76</v>
      </c>
      <c r="F113" s="4" t="n">
        <v>3.269</v>
      </c>
      <c r="G113" s="1" t="n">
        <v>25</v>
      </c>
      <c r="H113" s="1" t="n">
        <v>33</v>
      </c>
      <c r="I113" s="1" t="n">
        <v>250</v>
      </c>
      <c r="J113" s="1" t="n">
        <v>333</v>
      </c>
      <c r="K113" s="1" t="n">
        <v>600</v>
      </c>
      <c r="L113" s="1" t="n">
        <v>28250</v>
      </c>
      <c r="M113" s="3" t="n">
        <v>87.1145054053498</v>
      </c>
      <c r="N113" s="12" t="n">
        <v>0.0212389380530973</v>
      </c>
      <c r="O113" s="4" t="n">
        <v>40.84</v>
      </c>
      <c r="P113" s="3" t="n">
        <v>251.2038920092</v>
      </c>
      <c r="Q113" s="4" t="n">
        <v>0.18</v>
      </c>
      <c r="R113" s="13" t="n">
        <f aca="false">P113/200000</f>
        <v>0.001256019460046</v>
      </c>
      <c r="V113" s="4"/>
      <c r="W113" s="4"/>
    </row>
    <row r="114" customFormat="false" ht="14.25" hidden="false" customHeight="false" outlineLevel="0" collapsed="false">
      <c r="B114" s="1" t="n">
        <v>16</v>
      </c>
      <c r="C114" s="3" t="n">
        <v>500</v>
      </c>
      <c r="D114" s="1" t="n">
        <v>3</v>
      </c>
      <c r="E114" s="2" t="n">
        <v>76</v>
      </c>
      <c r="F114" s="4" t="n">
        <v>3.269</v>
      </c>
      <c r="G114" s="1" t="n">
        <v>25</v>
      </c>
      <c r="H114" s="1" t="n">
        <v>33</v>
      </c>
      <c r="I114" s="1" t="n">
        <v>250</v>
      </c>
      <c r="J114" s="1" t="n">
        <v>333</v>
      </c>
      <c r="K114" s="1" t="n">
        <v>600</v>
      </c>
      <c r="L114" s="1" t="n">
        <v>28250</v>
      </c>
      <c r="M114" s="3" t="n">
        <v>87.1145054053498</v>
      </c>
      <c r="N114" s="12" t="n">
        <v>0.0212389380530973</v>
      </c>
      <c r="O114" s="4" t="n">
        <v>43.76</v>
      </c>
      <c r="P114" s="3" t="n">
        <v>269.164601232189</v>
      </c>
      <c r="Q114" s="4" t="n">
        <v>0.18</v>
      </c>
      <c r="R114" s="13" t="n">
        <f aca="false">P114/200000</f>
        <v>0.00134582300616095</v>
      </c>
      <c r="V114" s="4"/>
      <c r="W114" s="4"/>
    </row>
    <row r="115" customFormat="false" ht="14.25" hidden="false" customHeight="false" outlineLevel="0" collapsed="false">
      <c r="B115" s="1" t="n">
        <v>16</v>
      </c>
      <c r="C115" s="3" t="n">
        <v>500</v>
      </c>
      <c r="D115" s="1" t="n">
        <v>3</v>
      </c>
      <c r="E115" s="2" t="n">
        <v>76</v>
      </c>
      <c r="F115" s="4" t="n">
        <v>3.269</v>
      </c>
      <c r="G115" s="1" t="n">
        <v>25</v>
      </c>
      <c r="H115" s="1" t="n">
        <v>33</v>
      </c>
      <c r="I115" s="1" t="n">
        <v>250</v>
      </c>
      <c r="J115" s="1" t="n">
        <v>333</v>
      </c>
      <c r="K115" s="1" t="n">
        <v>600</v>
      </c>
      <c r="L115" s="1" t="n">
        <v>28250</v>
      </c>
      <c r="M115" s="3" t="n">
        <v>87.1145054053498</v>
      </c>
      <c r="N115" s="12" t="n">
        <v>0.0212389380530973</v>
      </c>
      <c r="O115" s="4" t="n">
        <v>46.68</v>
      </c>
      <c r="P115" s="3" t="n">
        <v>287.125310455178</v>
      </c>
      <c r="Q115" s="4" t="n">
        <v>0.2</v>
      </c>
      <c r="R115" s="13" t="n">
        <f aca="false">P115/200000</f>
        <v>0.00143562655227589</v>
      </c>
      <c r="V115" s="4"/>
      <c r="W115" s="4"/>
    </row>
    <row r="116" customFormat="false" ht="14.25" hidden="false" customHeight="false" outlineLevel="0" collapsed="false">
      <c r="B116" s="1" t="n">
        <v>16</v>
      </c>
      <c r="C116" s="3" t="n">
        <v>500</v>
      </c>
      <c r="D116" s="1" t="n">
        <v>3</v>
      </c>
      <c r="E116" s="2" t="n">
        <v>76</v>
      </c>
      <c r="F116" s="4" t="n">
        <v>3.269</v>
      </c>
      <c r="G116" s="1" t="n">
        <v>25</v>
      </c>
      <c r="H116" s="1" t="n">
        <v>33</v>
      </c>
      <c r="I116" s="1" t="n">
        <v>250</v>
      </c>
      <c r="J116" s="1" t="n">
        <v>333</v>
      </c>
      <c r="K116" s="1" t="n">
        <v>600</v>
      </c>
      <c r="L116" s="1" t="n">
        <v>28250</v>
      </c>
      <c r="M116" s="3" t="n">
        <v>87.1145054053498</v>
      </c>
      <c r="N116" s="12" t="n">
        <v>0.0212389380530973</v>
      </c>
      <c r="O116" s="4" t="n">
        <v>49.6</v>
      </c>
      <c r="P116" s="3" t="n">
        <v>305.086019678167</v>
      </c>
      <c r="Q116" s="4" t="n">
        <v>0.2</v>
      </c>
      <c r="R116" s="13" t="n">
        <f aca="false">P116/200000</f>
        <v>0.00152543009839084</v>
      </c>
      <c r="V116" s="4"/>
      <c r="W116" s="4"/>
    </row>
    <row r="117" customFormat="false" ht="14.25" hidden="false" customHeight="false" outlineLevel="0" collapsed="false">
      <c r="A117" s="0" t="s">
        <v>47</v>
      </c>
      <c r="B117" s="1" t="n">
        <v>16</v>
      </c>
      <c r="C117" s="3" t="n">
        <v>500</v>
      </c>
      <c r="D117" s="1" t="n">
        <v>3</v>
      </c>
      <c r="E117" s="2" t="n">
        <v>76</v>
      </c>
      <c r="F117" s="4" t="n">
        <v>3.269</v>
      </c>
      <c r="G117" s="1" t="n">
        <v>25</v>
      </c>
      <c r="H117" s="1" t="n">
        <v>33</v>
      </c>
      <c r="I117" s="1" t="n">
        <v>250</v>
      </c>
      <c r="J117" s="1" t="n">
        <v>333</v>
      </c>
      <c r="K117" s="1" t="n">
        <v>600</v>
      </c>
      <c r="L117" s="1" t="n">
        <v>28250</v>
      </c>
      <c r="M117" s="3" t="n">
        <v>87.1145054053498</v>
      </c>
      <c r="N117" s="12" t="n">
        <v>0.0212389380530973</v>
      </c>
      <c r="O117" s="4" t="n">
        <v>40.84</v>
      </c>
      <c r="P117" s="3" t="n">
        <v>251.2038920092</v>
      </c>
      <c r="Q117" s="4" t="n">
        <v>0.15</v>
      </c>
      <c r="R117" s="13" t="n">
        <f aca="false">P117/200000</f>
        <v>0.001256019460046</v>
      </c>
      <c r="V117" s="4"/>
      <c r="W117" s="4"/>
    </row>
    <row r="118" customFormat="false" ht="14.25" hidden="false" customHeight="false" outlineLevel="0" collapsed="false">
      <c r="B118" s="1" t="n">
        <v>16</v>
      </c>
      <c r="C118" s="3" t="n">
        <v>500</v>
      </c>
      <c r="D118" s="1" t="n">
        <v>3</v>
      </c>
      <c r="E118" s="2" t="n">
        <v>76</v>
      </c>
      <c r="F118" s="4" t="n">
        <v>3.269</v>
      </c>
      <c r="G118" s="1" t="n">
        <v>25</v>
      </c>
      <c r="H118" s="1" t="n">
        <v>33</v>
      </c>
      <c r="I118" s="1" t="n">
        <v>250</v>
      </c>
      <c r="J118" s="1" t="n">
        <v>333</v>
      </c>
      <c r="K118" s="1" t="n">
        <v>600</v>
      </c>
      <c r="L118" s="1" t="n">
        <v>28250</v>
      </c>
      <c r="M118" s="3" t="n">
        <v>87.1145054053498</v>
      </c>
      <c r="N118" s="12" t="n">
        <v>0.0212389380530973</v>
      </c>
      <c r="O118" s="4" t="n">
        <v>43.76</v>
      </c>
      <c r="P118" s="3" t="n">
        <v>269.164601232189</v>
      </c>
      <c r="Q118" s="4" t="n">
        <v>0.18</v>
      </c>
      <c r="R118" s="13" t="n">
        <f aca="false">P118/200000</f>
        <v>0.00134582300616095</v>
      </c>
      <c r="V118" s="4"/>
      <c r="W118" s="4"/>
    </row>
    <row r="119" customFormat="false" ht="14.25" hidden="false" customHeight="false" outlineLevel="0" collapsed="false">
      <c r="B119" s="1" t="n">
        <v>16</v>
      </c>
      <c r="C119" s="3" t="n">
        <v>500</v>
      </c>
      <c r="D119" s="1" t="n">
        <v>3</v>
      </c>
      <c r="E119" s="2" t="n">
        <v>76</v>
      </c>
      <c r="F119" s="4" t="n">
        <v>3.269</v>
      </c>
      <c r="G119" s="1" t="n">
        <v>25</v>
      </c>
      <c r="H119" s="1" t="n">
        <v>33</v>
      </c>
      <c r="I119" s="1" t="n">
        <v>250</v>
      </c>
      <c r="J119" s="1" t="n">
        <v>333</v>
      </c>
      <c r="K119" s="1" t="n">
        <v>600</v>
      </c>
      <c r="L119" s="1" t="n">
        <v>28250</v>
      </c>
      <c r="M119" s="3" t="n">
        <v>87.1145054053498</v>
      </c>
      <c r="N119" s="12" t="n">
        <v>0.0212389380530973</v>
      </c>
      <c r="O119" s="4" t="n">
        <v>46.68</v>
      </c>
      <c r="P119" s="3" t="n">
        <v>287.125310455178</v>
      </c>
      <c r="Q119" s="4" t="n">
        <v>0.2</v>
      </c>
      <c r="R119" s="13" t="n">
        <f aca="false">P119/200000</f>
        <v>0.00143562655227589</v>
      </c>
      <c r="V119" s="4"/>
      <c r="W119" s="4"/>
    </row>
    <row r="120" customFormat="false" ht="14.25" hidden="false" customHeight="false" outlineLevel="0" collapsed="false">
      <c r="B120" s="1" t="n">
        <v>16</v>
      </c>
      <c r="C120" s="3" t="n">
        <v>500</v>
      </c>
      <c r="D120" s="1" t="n">
        <v>3</v>
      </c>
      <c r="E120" s="2" t="n">
        <v>76</v>
      </c>
      <c r="F120" s="4" t="n">
        <v>3.269</v>
      </c>
      <c r="G120" s="1" t="n">
        <v>25</v>
      </c>
      <c r="H120" s="1" t="n">
        <v>33</v>
      </c>
      <c r="I120" s="1" t="n">
        <v>250</v>
      </c>
      <c r="J120" s="1" t="n">
        <v>333</v>
      </c>
      <c r="K120" s="1" t="n">
        <v>600</v>
      </c>
      <c r="L120" s="1" t="n">
        <v>28250</v>
      </c>
      <c r="M120" s="3" t="n">
        <v>87.1145054053498</v>
      </c>
      <c r="N120" s="12" t="n">
        <v>0.0212389380530973</v>
      </c>
      <c r="O120" s="4" t="n">
        <v>49.6</v>
      </c>
      <c r="P120" s="3" t="n">
        <v>305.086019678167</v>
      </c>
      <c r="Q120" s="4" t="n">
        <v>0.2</v>
      </c>
      <c r="R120" s="13" t="n">
        <f aca="false">P120/200000</f>
        <v>0.00152543009839084</v>
      </c>
      <c r="V120" s="4"/>
      <c r="W120" s="4"/>
    </row>
    <row r="121" customFormat="false" ht="14.25" hidden="false" customHeight="false" outlineLevel="0" collapsed="false">
      <c r="A121" s="0" t="s">
        <v>48</v>
      </c>
      <c r="B121" s="1" t="n">
        <v>12</v>
      </c>
      <c r="C121" s="3" t="n">
        <v>500</v>
      </c>
      <c r="D121" s="1" t="n">
        <v>2</v>
      </c>
      <c r="E121" s="2" t="n">
        <v>296</v>
      </c>
      <c r="F121" s="4" t="n">
        <v>3.269</v>
      </c>
      <c r="G121" s="1" t="n">
        <v>25</v>
      </c>
      <c r="H121" s="1" t="n">
        <v>31</v>
      </c>
      <c r="I121" s="1" t="n">
        <v>400</v>
      </c>
      <c r="J121" s="1" t="n">
        <v>161</v>
      </c>
      <c r="K121" s="1" t="n">
        <v>220</v>
      </c>
      <c r="L121" s="1" t="n">
        <v>9646</v>
      </c>
      <c r="M121" s="3" t="n">
        <v>28.7588606062944</v>
      </c>
      <c r="N121" s="12" t="n">
        <v>0.0117247911599868</v>
      </c>
      <c r="O121" s="4" t="n">
        <v>4.67</v>
      </c>
      <c r="P121" s="3" t="n">
        <v>176.286173520268</v>
      </c>
      <c r="Q121" s="4" t="n">
        <v>0.2</v>
      </c>
      <c r="R121" s="13" t="n">
        <f aca="false">P121/200000</f>
        <v>0.000881430867601341</v>
      </c>
      <c r="V121" s="4"/>
      <c r="W121" s="4"/>
    </row>
    <row r="122" customFormat="false" ht="14.25" hidden="false" customHeight="false" outlineLevel="0" collapsed="false">
      <c r="B122" s="1" t="n">
        <v>12</v>
      </c>
      <c r="C122" s="3" t="n">
        <v>500</v>
      </c>
      <c r="D122" s="1" t="n">
        <v>2</v>
      </c>
      <c r="E122" s="2" t="n">
        <v>296</v>
      </c>
      <c r="F122" s="4" t="n">
        <v>3.269</v>
      </c>
      <c r="G122" s="1" t="n">
        <v>25</v>
      </c>
      <c r="H122" s="1" t="n">
        <v>31</v>
      </c>
      <c r="I122" s="1" t="n">
        <v>400</v>
      </c>
      <c r="J122" s="1" t="n">
        <v>161</v>
      </c>
      <c r="K122" s="1" t="n">
        <v>220</v>
      </c>
      <c r="L122" s="1" t="n">
        <v>9646</v>
      </c>
      <c r="M122" s="3" t="n">
        <v>28.7588606062944</v>
      </c>
      <c r="N122" s="12" t="n">
        <v>0.0117247911599868</v>
      </c>
      <c r="O122" s="4" t="n">
        <v>6.42</v>
      </c>
      <c r="P122" s="3" t="n">
        <v>242.346302783752</v>
      </c>
      <c r="Q122" s="4" t="n">
        <v>0.25</v>
      </c>
      <c r="R122" s="13" t="n">
        <f aca="false">P122/200000</f>
        <v>0.00121173151391876</v>
      </c>
      <c r="V122" s="4"/>
      <c r="W122" s="4"/>
    </row>
    <row r="123" customFormat="false" ht="14.25" hidden="false" customHeight="false" outlineLevel="0" collapsed="false">
      <c r="B123" s="1" t="n">
        <v>12</v>
      </c>
      <c r="C123" s="3" t="n">
        <v>500</v>
      </c>
      <c r="D123" s="1" t="n">
        <v>2</v>
      </c>
      <c r="E123" s="2" t="n">
        <v>296</v>
      </c>
      <c r="F123" s="4" t="n">
        <v>3.269</v>
      </c>
      <c r="G123" s="1" t="n">
        <v>25</v>
      </c>
      <c r="H123" s="1" t="n">
        <v>31</v>
      </c>
      <c r="I123" s="1" t="n">
        <v>400</v>
      </c>
      <c r="J123" s="1" t="n">
        <v>161</v>
      </c>
      <c r="K123" s="1" t="n">
        <v>220</v>
      </c>
      <c r="L123" s="1" t="n">
        <v>9646</v>
      </c>
      <c r="M123" s="3" t="n">
        <v>28.7588606062944</v>
      </c>
      <c r="N123" s="12" t="n">
        <v>0.0117247911599868</v>
      </c>
      <c r="O123" s="4" t="n">
        <v>8.17</v>
      </c>
      <c r="P123" s="3" t="n">
        <v>308.406432047236</v>
      </c>
      <c r="Q123" s="4" t="n">
        <v>0.33</v>
      </c>
      <c r="R123" s="13" t="n">
        <f aca="false">P123/200000</f>
        <v>0.00154203216023618</v>
      </c>
      <c r="V123" s="4"/>
      <c r="W123" s="4"/>
    </row>
    <row r="124" customFormat="false" ht="14.25" hidden="false" customHeight="false" outlineLevel="0" collapsed="false">
      <c r="A124" s="0" t="s">
        <v>49</v>
      </c>
      <c r="B124" s="1" t="n">
        <v>12</v>
      </c>
      <c r="C124" s="3" t="n">
        <v>500</v>
      </c>
      <c r="D124" s="1" t="n">
        <v>2</v>
      </c>
      <c r="E124" s="2" t="n">
        <v>296</v>
      </c>
      <c r="F124" s="4" t="n">
        <v>3.269</v>
      </c>
      <c r="G124" s="1" t="n">
        <v>25</v>
      </c>
      <c r="H124" s="1" t="n">
        <v>31</v>
      </c>
      <c r="I124" s="1" t="n">
        <v>400</v>
      </c>
      <c r="J124" s="1" t="n">
        <v>161</v>
      </c>
      <c r="K124" s="1" t="n">
        <v>220</v>
      </c>
      <c r="L124" s="1" t="n">
        <v>9646</v>
      </c>
      <c r="M124" s="3" t="n">
        <v>28.7588606062944</v>
      </c>
      <c r="N124" s="12" t="n">
        <v>0.0117247911599868</v>
      </c>
      <c r="O124" s="4" t="n">
        <v>6.42</v>
      </c>
      <c r="P124" s="3" t="n">
        <v>242.346302783752</v>
      </c>
      <c r="Q124" s="4" t="n">
        <v>0.23</v>
      </c>
      <c r="R124" s="13" t="n">
        <f aca="false">P124/200000</f>
        <v>0.00121173151391876</v>
      </c>
      <c r="V124" s="4"/>
      <c r="W124" s="4"/>
    </row>
    <row r="125" customFormat="false" ht="14.25" hidden="false" customHeight="false" outlineLevel="0" collapsed="false">
      <c r="B125" s="1" t="n">
        <v>12</v>
      </c>
      <c r="C125" s="3" t="n">
        <v>500</v>
      </c>
      <c r="D125" s="1" t="n">
        <v>2</v>
      </c>
      <c r="E125" s="2" t="n">
        <v>296</v>
      </c>
      <c r="F125" s="4" t="n">
        <v>3.269</v>
      </c>
      <c r="G125" s="1" t="n">
        <v>25</v>
      </c>
      <c r="H125" s="1" t="n">
        <v>31</v>
      </c>
      <c r="I125" s="1" t="n">
        <v>400</v>
      </c>
      <c r="J125" s="1" t="n">
        <v>161</v>
      </c>
      <c r="K125" s="1" t="n">
        <v>220</v>
      </c>
      <c r="L125" s="1" t="n">
        <v>9646</v>
      </c>
      <c r="M125" s="3" t="n">
        <v>28.7588606062944</v>
      </c>
      <c r="N125" s="12" t="n">
        <v>0.0117247911599868</v>
      </c>
      <c r="O125" s="4" t="n">
        <v>8.17</v>
      </c>
      <c r="P125" s="3" t="n">
        <v>308.406432047236</v>
      </c>
      <c r="Q125" s="4" t="n">
        <v>0.28</v>
      </c>
      <c r="R125" s="13" t="n">
        <f aca="false">P125/200000</f>
        <v>0.00154203216023618</v>
      </c>
      <c r="V125" s="4"/>
      <c r="W125" s="4"/>
    </row>
    <row r="126" customFormat="false" ht="14.25" hidden="false" customHeight="false" outlineLevel="0" collapsed="false">
      <c r="A126" s="0" t="s">
        <v>50</v>
      </c>
      <c r="B126" s="1" t="n">
        <v>12</v>
      </c>
      <c r="C126" s="3" t="n">
        <v>500</v>
      </c>
      <c r="D126" s="1" t="n">
        <v>3</v>
      </c>
      <c r="E126" s="2" t="n">
        <v>142</v>
      </c>
      <c r="F126" s="4" t="n">
        <v>3.269</v>
      </c>
      <c r="G126" s="1" t="n">
        <v>25</v>
      </c>
      <c r="H126" s="1" t="n">
        <v>31</v>
      </c>
      <c r="I126" s="1" t="n">
        <v>400</v>
      </c>
      <c r="J126" s="1" t="n">
        <v>161</v>
      </c>
      <c r="K126" s="1" t="n">
        <v>330</v>
      </c>
      <c r="L126" s="1" t="n">
        <v>9646</v>
      </c>
      <c r="M126" s="3" t="n">
        <v>34.253185076506</v>
      </c>
      <c r="N126" s="12" t="n">
        <v>0.0117247911599868</v>
      </c>
      <c r="O126" s="4" t="n">
        <v>8.17</v>
      </c>
      <c r="P126" s="3" t="n">
        <v>208.779739289304</v>
      </c>
      <c r="Q126" s="4" t="n">
        <v>0.18</v>
      </c>
      <c r="R126" s="13" t="n">
        <f aca="false">P126/200000</f>
        <v>0.00104389869644652</v>
      </c>
      <c r="V126" s="4"/>
      <c r="W126" s="4"/>
    </row>
    <row r="127" customFormat="false" ht="14.25" hidden="false" customHeight="false" outlineLevel="0" collapsed="false">
      <c r="B127" s="1" t="n">
        <v>12</v>
      </c>
      <c r="C127" s="3" t="n">
        <v>500</v>
      </c>
      <c r="D127" s="1" t="n">
        <v>3</v>
      </c>
      <c r="E127" s="2" t="n">
        <v>142</v>
      </c>
      <c r="F127" s="4" t="n">
        <v>3.269</v>
      </c>
      <c r="G127" s="1" t="n">
        <v>25</v>
      </c>
      <c r="H127" s="1" t="n">
        <v>31</v>
      </c>
      <c r="I127" s="1" t="n">
        <v>400</v>
      </c>
      <c r="J127" s="1" t="n">
        <v>161</v>
      </c>
      <c r="K127" s="1" t="n">
        <v>330</v>
      </c>
      <c r="L127" s="1" t="n">
        <v>9646</v>
      </c>
      <c r="M127" s="3" t="n">
        <v>34.253185076506</v>
      </c>
      <c r="N127" s="12" t="n">
        <v>0.0117247911599868</v>
      </c>
      <c r="O127" s="4" t="n">
        <v>9.92</v>
      </c>
      <c r="P127" s="3" t="n">
        <v>253.500001682973</v>
      </c>
      <c r="Q127" s="4" t="n">
        <v>0.23</v>
      </c>
      <c r="R127" s="13" t="n">
        <f aca="false">P127/200000</f>
        <v>0.00126750000841487</v>
      </c>
      <c r="V127" s="4"/>
      <c r="W127" s="4"/>
    </row>
    <row r="128" customFormat="false" ht="14.25" hidden="false" customHeight="false" outlineLevel="0" collapsed="false">
      <c r="B128" s="1" t="n">
        <v>12</v>
      </c>
      <c r="C128" s="3" t="n">
        <v>500</v>
      </c>
      <c r="D128" s="1" t="n">
        <v>3</v>
      </c>
      <c r="E128" s="2" t="n">
        <v>142</v>
      </c>
      <c r="F128" s="4" t="n">
        <v>3.269</v>
      </c>
      <c r="G128" s="1" t="n">
        <v>25</v>
      </c>
      <c r="H128" s="1" t="n">
        <v>31</v>
      </c>
      <c r="I128" s="1" t="n">
        <v>400</v>
      </c>
      <c r="J128" s="1" t="n">
        <v>161</v>
      </c>
      <c r="K128" s="1" t="n">
        <v>330</v>
      </c>
      <c r="L128" s="1" t="n">
        <v>9646</v>
      </c>
      <c r="M128" s="3" t="n">
        <v>34.253185076506</v>
      </c>
      <c r="N128" s="12" t="n">
        <v>0.0117247911599868</v>
      </c>
      <c r="O128" s="4" t="n">
        <v>11.67</v>
      </c>
      <c r="P128" s="3" t="n">
        <v>298.220264076643</v>
      </c>
      <c r="Q128" s="4" t="n">
        <v>0.25</v>
      </c>
      <c r="R128" s="13" t="n">
        <f aca="false">P128/200000</f>
        <v>0.00149110132038322</v>
      </c>
      <c r="V128" s="4"/>
      <c r="W128" s="4"/>
    </row>
    <row r="129" customFormat="false" ht="14.25" hidden="false" customHeight="false" outlineLevel="0" collapsed="false">
      <c r="A129" s="0" t="s">
        <v>51</v>
      </c>
      <c r="B129" s="1" t="n">
        <v>12</v>
      </c>
      <c r="C129" s="3" t="n">
        <v>500</v>
      </c>
      <c r="D129" s="1" t="n">
        <v>3</v>
      </c>
      <c r="E129" s="2" t="n">
        <v>142</v>
      </c>
      <c r="F129" s="4" t="n">
        <v>3.269</v>
      </c>
      <c r="G129" s="1" t="n">
        <v>25</v>
      </c>
      <c r="H129" s="1" t="n">
        <v>31</v>
      </c>
      <c r="I129" s="1" t="n">
        <v>400</v>
      </c>
      <c r="J129" s="1" t="n">
        <v>161</v>
      </c>
      <c r="K129" s="1" t="n">
        <v>330</v>
      </c>
      <c r="L129" s="1" t="n">
        <v>9646</v>
      </c>
      <c r="M129" s="3" t="n">
        <v>34.253185076506</v>
      </c>
      <c r="N129" s="12" t="n">
        <v>0.0117247911599868</v>
      </c>
      <c r="O129" s="4" t="n">
        <v>8.17</v>
      </c>
      <c r="P129" s="3" t="n">
        <v>208.779739289304</v>
      </c>
      <c r="Q129" s="4" t="n">
        <v>0.18</v>
      </c>
      <c r="R129" s="13" t="n">
        <f aca="false">P129/200000</f>
        <v>0.00104389869644652</v>
      </c>
      <c r="V129" s="4"/>
      <c r="W129" s="4"/>
    </row>
    <row r="130" customFormat="false" ht="14.25" hidden="false" customHeight="false" outlineLevel="0" collapsed="false">
      <c r="B130" s="1" t="n">
        <v>12</v>
      </c>
      <c r="C130" s="3" t="n">
        <v>500</v>
      </c>
      <c r="D130" s="1" t="n">
        <v>3</v>
      </c>
      <c r="E130" s="2" t="n">
        <v>142</v>
      </c>
      <c r="F130" s="4" t="n">
        <v>3.269</v>
      </c>
      <c r="G130" s="1" t="n">
        <v>25</v>
      </c>
      <c r="H130" s="1" t="n">
        <v>31</v>
      </c>
      <c r="I130" s="1" t="n">
        <v>400</v>
      </c>
      <c r="J130" s="1" t="n">
        <v>161</v>
      </c>
      <c r="K130" s="1" t="n">
        <v>330</v>
      </c>
      <c r="L130" s="1" t="n">
        <v>9646</v>
      </c>
      <c r="M130" s="3" t="n">
        <v>34.253185076506</v>
      </c>
      <c r="N130" s="12" t="n">
        <v>0.0117247911599868</v>
      </c>
      <c r="O130" s="4" t="n">
        <v>9.92</v>
      </c>
      <c r="P130" s="3" t="n">
        <v>253.500001682973</v>
      </c>
      <c r="Q130" s="4" t="n">
        <v>0.23</v>
      </c>
      <c r="R130" s="13" t="n">
        <f aca="false">P130/200000</f>
        <v>0.00126750000841487</v>
      </c>
      <c r="V130" s="4"/>
      <c r="W130" s="4"/>
    </row>
    <row r="131" customFormat="false" ht="14.25" hidden="false" customHeight="false" outlineLevel="0" collapsed="false">
      <c r="B131" s="1" t="n">
        <v>12</v>
      </c>
      <c r="C131" s="3" t="n">
        <v>500</v>
      </c>
      <c r="D131" s="1" t="n">
        <v>3</v>
      </c>
      <c r="E131" s="2" t="n">
        <v>142</v>
      </c>
      <c r="F131" s="4" t="n">
        <v>3.269</v>
      </c>
      <c r="G131" s="1" t="n">
        <v>25</v>
      </c>
      <c r="H131" s="1" t="n">
        <v>31</v>
      </c>
      <c r="I131" s="1" t="n">
        <v>400</v>
      </c>
      <c r="J131" s="1" t="n">
        <v>161</v>
      </c>
      <c r="K131" s="1" t="n">
        <v>330</v>
      </c>
      <c r="L131" s="1" t="n">
        <v>9646</v>
      </c>
      <c r="M131" s="3" t="n">
        <v>34.253185076506</v>
      </c>
      <c r="N131" s="12" t="n">
        <v>0.0117247911599868</v>
      </c>
      <c r="O131" s="4" t="n">
        <v>11.67</v>
      </c>
      <c r="P131" s="3" t="n">
        <v>298.220264076643</v>
      </c>
      <c r="Q131" s="4" t="n">
        <v>0.25</v>
      </c>
      <c r="R131" s="13" t="n">
        <f aca="false">P131/200000</f>
        <v>0.00149110132038322</v>
      </c>
      <c r="V131" s="4"/>
      <c r="W131" s="4"/>
    </row>
    <row r="132" customFormat="false" ht="14.25" hidden="false" customHeight="false" outlineLevel="0" collapsed="false">
      <c r="A132" s="0" t="s">
        <v>52</v>
      </c>
      <c r="B132" s="1" t="n">
        <v>12</v>
      </c>
      <c r="C132" s="3" t="n">
        <v>500</v>
      </c>
      <c r="D132" s="1" t="n">
        <v>4</v>
      </c>
      <c r="E132" s="2" t="n">
        <v>90.67</v>
      </c>
      <c r="F132" s="4" t="n">
        <v>3.269</v>
      </c>
      <c r="G132" s="1" t="n">
        <v>25</v>
      </c>
      <c r="H132" s="1" t="n">
        <v>31</v>
      </c>
      <c r="I132" s="1" t="n">
        <v>400</v>
      </c>
      <c r="J132" s="1" t="n">
        <v>161</v>
      </c>
      <c r="K132" s="1" t="n">
        <v>440</v>
      </c>
      <c r="L132" s="1" t="n">
        <v>36400</v>
      </c>
      <c r="M132" s="3" t="n">
        <v>38.6362611891593</v>
      </c>
      <c r="N132" s="12" t="n">
        <v>0.0120879120879121</v>
      </c>
      <c r="O132" s="4" t="n">
        <v>11.67</v>
      </c>
      <c r="P132" s="3" t="n">
        <v>226.45530266576</v>
      </c>
      <c r="Q132" s="4" t="n">
        <v>0.15</v>
      </c>
      <c r="R132" s="13" t="n">
        <f aca="false">P132/200000</f>
        <v>0.0011322765133288</v>
      </c>
      <c r="V132" s="4"/>
      <c r="W132" s="4"/>
    </row>
    <row r="133" customFormat="false" ht="14.25" hidden="false" customHeight="false" outlineLevel="0" collapsed="false">
      <c r="B133" s="1" t="n">
        <v>12</v>
      </c>
      <c r="C133" s="3" t="n">
        <v>500</v>
      </c>
      <c r="D133" s="1" t="n">
        <v>4</v>
      </c>
      <c r="E133" s="2" t="n">
        <v>90.67</v>
      </c>
      <c r="F133" s="4" t="n">
        <v>3.269</v>
      </c>
      <c r="G133" s="1" t="n">
        <v>25</v>
      </c>
      <c r="H133" s="1" t="n">
        <v>31</v>
      </c>
      <c r="I133" s="1" t="n">
        <v>400</v>
      </c>
      <c r="J133" s="1" t="n">
        <v>161</v>
      </c>
      <c r="K133" s="1" t="n">
        <v>440</v>
      </c>
      <c r="L133" s="1" t="n">
        <v>36400</v>
      </c>
      <c r="M133" s="3" t="n">
        <v>38.6362611891593</v>
      </c>
      <c r="N133" s="12" t="n">
        <v>0.0120879120879121</v>
      </c>
      <c r="O133" s="4" t="n">
        <v>13.42</v>
      </c>
      <c r="P133" s="3" t="n">
        <v>260.413895610496</v>
      </c>
      <c r="Q133" s="4" t="n">
        <v>0.15</v>
      </c>
      <c r="R133" s="13" t="n">
        <f aca="false">P133/200000</f>
        <v>0.00130206947805248</v>
      </c>
      <c r="V133" s="4"/>
      <c r="W133" s="4"/>
    </row>
    <row r="134" customFormat="false" ht="14.25" hidden="false" customHeight="false" outlineLevel="0" collapsed="false">
      <c r="B134" s="1" t="n">
        <v>12</v>
      </c>
      <c r="C134" s="3" t="n">
        <v>500</v>
      </c>
      <c r="D134" s="1" t="n">
        <v>4</v>
      </c>
      <c r="E134" s="2" t="n">
        <v>90.67</v>
      </c>
      <c r="F134" s="4" t="n">
        <v>3.269</v>
      </c>
      <c r="G134" s="1" t="n">
        <v>25</v>
      </c>
      <c r="H134" s="1" t="n">
        <v>31</v>
      </c>
      <c r="I134" s="1" t="n">
        <v>400</v>
      </c>
      <c r="J134" s="1" t="n">
        <v>161</v>
      </c>
      <c r="K134" s="1" t="n">
        <v>440</v>
      </c>
      <c r="L134" s="1" t="n">
        <v>36400</v>
      </c>
      <c r="M134" s="3" t="n">
        <v>38.6362611891593</v>
      </c>
      <c r="N134" s="12" t="n">
        <v>0.0120879120879121</v>
      </c>
      <c r="O134" s="4" t="n">
        <v>15.17</v>
      </c>
      <c r="P134" s="3" t="n">
        <v>294.372488555233</v>
      </c>
      <c r="Q134" s="4" t="n">
        <v>0.18</v>
      </c>
      <c r="R134" s="13" t="n">
        <f aca="false">P134/200000</f>
        <v>0.00147186244277617</v>
      </c>
      <c r="V134" s="4"/>
      <c r="W134" s="4"/>
    </row>
    <row r="135" customFormat="false" ht="14.25" hidden="false" customHeight="false" outlineLevel="0" collapsed="false">
      <c r="A135" s="0" t="s">
        <v>53</v>
      </c>
      <c r="B135" s="1" t="n">
        <v>12</v>
      </c>
      <c r="C135" s="3" t="n">
        <v>500</v>
      </c>
      <c r="D135" s="1" t="n">
        <v>4</v>
      </c>
      <c r="E135" s="2" t="n">
        <v>90.67</v>
      </c>
      <c r="F135" s="4" t="n">
        <v>3.269</v>
      </c>
      <c r="G135" s="1" t="n">
        <v>25</v>
      </c>
      <c r="H135" s="1" t="n">
        <v>31</v>
      </c>
      <c r="I135" s="1" t="n">
        <v>400</v>
      </c>
      <c r="J135" s="1" t="n">
        <v>161</v>
      </c>
      <c r="K135" s="1" t="n">
        <v>440</v>
      </c>
      <c r="L135" s="1" t="n">
        <v>36400</v>
      </c>
      <c r="M135" s="3" t="n">
        <v>38.6362611891593</v>
      </c>
      <c r="N135" s="12" t="n">
        <v>0.0120879120879121</v>
      </c>
      <c r="O135" s="4" t="n">
        <v>11.67</v>
      </c>
      <c r="P135" s="3" t="n">
        <v>226.45530266576</v>
      </c>
      <c r="Q135" s="4" t="n">
        <v>0.18</v>
      </c>
      <c r="R135" s="13" t="n">
        <f aca="false">P135/200000</f>
        <v>0.0011322765133288</v>
      </c>
      <c r="V135" s="4"/>
      <c r="W135" s="4"/>
    </row>
    <row r="136" customFormat="false" ht="14.25" hidden="false" customHeight="false" outlineLevel="0" collapsed="false">
      <c r="B136" s="1" t="n">
        <v>12</v>
      </c>
      <c r="C136" s="3" t="n">
        <v>500</v>
      </c>
      <c r="D136" s="1" t="n">
        <v>4</v>
      </c>
      <c r="E136" s="2" t="n">
        <v>90.67</v>
      </c>
      <c r="F136" s="4" t="n">
        <v>3.269</v>
      </c>
      <c r="G136" s="1" t="n">
        <v>25</v>
      </c>
      <c r="H136" s="1" t="n">
        <v>31</v>
      </c>
      <c r="I136" s="1" t="n">
        <v>400</v>
      </c>
      <c r="J136" s="1" t="n">
        <v>161</v>
      </c>
      <c r="K136" s="1" t="n">
        <v>440</v>
      </c>
      <c r="L136" s="1" t="n">
        <v>36400</v>
      </c>
      <c r="M136" s="3" t="n">
        <v>38.6362611891593</v>
      </c>
      <c r="N136" s="12" t="n">
        <v>0.0120879120879121</v>
      </c>
      <c r="O136" s="4" t="n">
        <v>13.42</v>
      </c>
      <c r="P136" s="3" t="n">
        <v>260.413895610496</v>
      </c>
      <c r="Q136" s="4" t="n">
        <v>0.2</v>
      </c>
      <c r="R136" s="13" t="n">
        <f aca="false">P136/200000</f>
        <v>0.00130206947805248</v>
      </c>
      <c r="V136" s="4"/>
      <c r="W136" s="4"/>
    </row>
    <row r="137" customFormat="false" ht="14.25" hidden="false" customHeight="false" outlineLevel="0" collapsed="false">
      <c r="B137" s="1" t="n">
        <v>12</v>
      </c>
      <c r="C137" s="3" t="n">
        <v>500</v>
      </c>
      <c r="D137" s="1" t="n">
        <v>4</v>
      </c>
      <c r="E137" s="2" t="n">
        <v>90.67</v>
      </c>
      <c r="F137" s="4" t="n">
        <v>3.269</v>
      </c>
      <c r="G137" s="1" t="n">
        <v>25</v>
      </c>
      <c r="H137" s="1" t="n">
        <v>31</v>
      </c>
      <c r="I137" s="1" t="n">
        <v>400</v>
      </c>
      <c r="J137" s="1" t="n">
        <v>161</v>
      </c>
      <c r="K137" s="1" t="n">
        <v>440</v>
      </c>
      <c r="L137" s="1" t="n">
        <v>36400</v>
      </c>
      <c r="M137" s="3" t="n">
        <v>38.6362611891593</v>
      </c>
      <c r="N137" s="12" t="n">
        <v>0.0120879120879121</v>
      </c>
      <c r="O137" s="4" t="n">
        <v>15.17</v>
      </c>
      <c r="P137" s="3" t="n">
        <v>294.372488555233</v>
      </c>
      <c r="Q137" s="4" t="n">
        <v>0.23</v>
      </c>
      <c r="R137" s="13" t="n">
        <f aca="false">P137/200000</f>
        <v>0.00147186244277617</v>
      </c>
      <c r="V137" s="4"/>
      <c r="W137" s="4"/>
    </row>
    <row r="138" customFormat="false" ht="14.25" hidden="false" customHeight="false" outlineLevel="0" collapsed="false">
      <c r="A138" s="0" t="s">
        <v>54</v>
      </c>
      <c r="B138" s="1" t="n">
        <v>10</v>
      </c>
      <c r="C138" s="3" t="n">
        <v>528</v>
      </c>
      <c r="D138" s="1" t="n">
        <v>1</v>
      </c>
      <c r="E138" s="2" t="n">
        <v>45</v>
      </c>
      <c r="F138" s="4" t="n">
        <v>2.8</v>
      </c>
      <c r="G138" s="1" t="n">
        <v>40</v>
      </c>
      <c r="H138" s="1" t="n">
        <v>45</v>
      </c>
      <c r="I138" s="1" t="n">
        <v>100</v>
      </c>
      <c r="J138" s="1" t="n">
        <v>250</v>
      </c>
      <c r="K138" s="1" t="n">
        <v>78.5</v>
      </c>
      <c r="L138" s="1" t="n">
        <v>9500</v>
      </c>
      <c r="M138" s="3" t="n">
        <v>43.4459689087927</v>
      </c>
      <c r="N138" s="12" t="n">
        <v>0.00826315789473684</v>
      </c>
      <c r="O138" s="4" t="n">
        <v>4.1</v>
      </c>
      <c r="P138" s="3" t="n">
        <v>274.143632212731</v>
      </c>
      <c r="Q138" s="4" t="n">
        <v>0.16</v>
      </c>
      <c r="R138" s="13" t="n">
        <f aca="false">P138/200000</f>
        <v>0.00137071816106366</v>
      </c>
      <c r="V138" s="4"/>
      <c r="W138" s="4"/>
    </row>
    <row r="139" customFormat="false" ht="14.25" hidden="false" customHeight="false" outlineLevel="0" collapsed="false">
      <c r="B139" s="1" t="n">
        <v>10</v>
      </c>
      <c r="C139" s="3" t="n">
        <v>528</v>
      </c>
      <c r="D139" s="1" t="n">
        <v>1</v>
      </c>
      <c r="E139" s="2" t="n">
        <v>45</v>
      </c>
      <c r="F139" s="4" t="n">
        <v>2.8</v>
      </c>
      <c r="G139" s="1" t="n">
        <v>40</v>
      </c>
      <c r="H139" s="1" t="n">
        <v>45</v>
      </c>
      <c r="I139" s="1" t="n">
        <v>100</v>
      </c>
      <c r="J139" s="1" t="n">
        <v>250</v>
      </c>
      <c r="K139" s="1" t="n">
        <v>78.5</v>
      </c>
      <c r="L139" s="1" t="n">
        <v>9500</v>
      </c>
      <c r="M139" s="3" t="n">
        <v>43.4459689087927</v>
      </c>
      <c r="N139" s="12" t="n">
        <v>0.00826315789473684</v>
      </c>
      <c r="O139" s="4" t="n">
        <v>4.4</v>
      </c>
      <c r="P139" s="3" t="n">
        <v>294.202922374639</v>
      </c>
      <c r="Q139" s="4" t="n">
        <v>0.18</v>
      </c>
      <c r="R139" s="13" t="n">
        <f aca="false">P139/200000</f>
        <v>0.00147101461187319</v>
      </c>
      <c r="V139" s="4"/>
      <c r="W139" s="4"/>
    </row>
    <row r="140" customFormat="false" ht="14.25" hidden="false" customHeight="false" outlineLevel="0" collapsed="false">
      <c r="B140" s="1" t="n">
        <v>10</v>
      </c>
      <c r="C140" s="3" t="n">
        <v>528</v>
      </c>
      <c r="D140" s="1" t="n">
        <v>1</v>
      </c>
      <c r="E140" s="2" t="n">
        <v>45</v>
      </c>
      <c r="F140" s="4" t="n">
        <v>2.8</v>
      </c>
      <c r="G140" s="1" t="n">
        <v>40</v>
      </c>
      <c r="H140" s="1" t="n">
        <v>45</v>
      </c>
      <c r="I140" s="1" t="n">
        <v>100</v>
      </c>
      <c r="J140" s="1" t="n">
        <v>250</v>
      </c>
      <c r="K140" s="1" t="n">
        <v>78.5</v>
      </c>
      <c r="L140" s="1" t="n">
        <v>9500</v>
      </c>
      <c r="M140" s="3" t="n">
        <v>43.4459689087927</v>
      </c>
      <c r="N140" s="12" t="n">
        <v>0.00826315789473684</v>
      </c>
      <c r="O140" s="4" t="n">
        <v>4.74</v>
      </c>
      <c r="P140" s="3" t="n">
        <v>316.936784558133</v>
      </c>
      <c r="Q140" s="4" t="n">
        <v>0.2</v>
      </c>
      <c r="R140" s="13" t="n">
        <f aca="false">P140/200000</f>
        <v>0.00158468392279067</v>
      </c>
      <c r="V140" s="4"/>
      <c r="W140" s="4"/>
    </row>
    <row r="141" customFormat="false" ht="14.25" hidden="false" customHeight="false" outlineLevel="0" collapsed="false">
      <c r="B141" s="1" t="n">
        <v>10</v>
      </c>
      <c r="C141" s="3" t="n">
        <v>528</v>
      </c>
      <c r="D141" s="1" t="n">
        <v>1</v>
      </c>
      <c r="E141" s="2" t="n">
        <v>45</v>
      </c>
      <c r="F141" s="4" t="n">
        <v>2.8</v>
      </c>
      <c r="G141" s="1" t="n">
        <v>40</v>
      </c>
      <c r="H141" s="1" t="n">
        <v>45</v>
      </c>
      <c r="I141" s="1" t="n">
        <v>100</v>
      </c>
      <c r="J141" s="1" t="n">
        <v>250</v>
      </c>
      <c r="K141" s="1" t="n">
        <v>78.5</v>
      </c>
      <c r="L141" s="1" t="n">
        <v>9500</v>
      </c>
      <c r="M141" s="3" t="n">
        <v>43.4459689087927</v>
      </c>
      <c r="N141" s="12" t="n">
        <v>0.00826315789473684</v>
      </c>
      <c r="O141" s="4" t="n">
        <v>5.04</v>
      </c>
      <c r="P141" s="3" t="n">
        <v>336.996074720041</v>
      </c>
      <c r="Q141" s="4" t="n">
        <v>0.22</v>
      </c>
      <c r="R141" s="13" t="n">
        <f aca="false">P141/200000</f>
        <v>0.0016849803736002</v>
      </c>
      <c r="V141" s="4"/>
      <c r="W141" s="4"/>
    </row>
    <row r="142" customFormat="false" ht="14.25" hidden="false" customHeight="false" outlineLevel="0" collapsed="false">
      <c r="B142" s="1" t="n">
        <v>10</v>
      </c>
      <c r="C142" s="3" t="n">
        <v>528</v>
      </c>
      <c r="D142" s="1" t="n">
        <v>1</v>
      </c>
      <c r="E142" s="2" t="n">
        <v>45</v>
      </c>
      <c r="F142" s="4" t="n">
        <v>2.8</v>
      </c>
      <c r="G142" s="1" t="n">
        <v>40</v>
      </c>
      <c r="H142" s="1" t="n">
        <v>45</v>
      </c>
      <c r="I142" s="1" t="n">
        <v>100</v>
      </c>
      <c r="J142" s="1" t="n">
        <v>250</v>
      </c>
      <c r="K142" s="1" t="n">
        <v>78.5</v>
      </c>
      <c r="L142" s="1" t="n">
        <v>9500</v>
      </c>
      <c r="M142" s="3" t="n">
        <v>43.4459689087927</v>
      </c>
      <c r="N142" s="12" t="n">
        <v>0.00826315789473684</v>
      </c>
      <c r="O142" s="4" t="n">
        <v>5.38</v>
      </c>
      <c r="P142" s="3" t="n">
        <v>359.729936903535</v>
      </c>
      <c r="Q142" s="4" t="n">
        <v>0.24</v>
      </c>
      <c r="R142" s="13" t="n">
        <f aca="false">P142/200000</f>
        <v>0.00179864968451768</v>
      </c>
      <c r="V142" s="4"/>
      <c r="W142" s="4"/>
    </row>
    <row r="143" customFormat="false" ht="14.25" hidden="false" customHeight="false" outlineLevel="0" collapsed="false">
      <c r="B143" s="1" t="n">
        <v>10</v>
      </c>
      <c r="C143" s="3" t="n">
        <v>528</v>
      </c>
      <c r="D143" s="1" t="n">
        <v>1</v>
      </c>
      <c r="E143" s="2" t="n">
        <v>45</v>
      </c>
      <c r="F143" s="4" t="n">
        <v>2.8</v>
      </c>
      <c r="G143" s="1" t="n">
        <v>40</v>
      </c>
      <c r="H143" s="1" t="n">
        <v>45</v>
      </c>
      <c r="I143" s="1" t="n">
        <v>100</v>
      </c>
      <c r="J143" s="1" t="n">
        <v>250</v>
      </c>
      <c r="K143" s="1" t="n">
        <v>78.5</v>
      </c>
      <c r="L143" s="1" t="n">
        <v>9500</v>
      </c>
      <c r="M143" s="3" t="n">
        <v>43.4459689087927</v>
      </c>
      <c r="N143" s="12" t="n">
        <v>0.00826315789473684</v>
      </c>
      <c r="O143" s="4" t="n">
        <v>5.68</v>
      </c>
      <c r="P143" s="3" t="n">
        <v>379.789227065442</v>
      </c>
      <c r="Q143" s="4" t="n">
        <v>0.26</v>
      </c>
      <c r="R143" s="13" t="n">
        <f aca="false">P143/200000</f>
        <v>0.00189894613532721</v>
      </c>
      <c r="V143" s="4"/>
      <c r="W143" s="4"/>
    </row>
    <row r="144" customFormat="false" ht="14.25" hidden="false" customHeight="false" outlineLevel="0" collapsed="false">
      <c r="B144" s="1" t="n">
        <v>10</v>
      </c>
      <c r="C144" s="3" t="n">
        <v>528</v>
      </c>
      <c r="D144" s="1" t="n">
        <v>1</v>
      </c>
      <c r="E144" s="2" t="n">
        <v>45</v>
      </c>
      <c r="F144" s="4" t="n">
        <v>2.8</v>
      </c>
      <c r="G144" s="1" t="n">
        <v>40</v>
      </c>
      <c r="H144" s="1" t="n">
        <v>45</v>
      </c>
      <c r="I144" s="1" t="n">
        <v>100</v>
      </c>
      <c r="J144" s="1" t="n">
        <v>250</v>
      </c>
      <c r="K144" s="1" t="n">
        <v>78.5</v>
      </c>
      <c r="L144" s="1" t="n">
        <v>9500</v>
      </c>
      <c r="M144" s="3" t="n">
        <v>43.4459689087927</v>
      </c>
      <c r="N144" s="12" t="n">
        <v>0.00826315789473684</v>
      </c>
      <c r="O144" s="4" t="n">
        <v>6.04</v>
      </c>
      <c r="P144" s="3" t="n">
        <v>403.860375259731</v>
      </c>
      <c r="Q144" s="4" t="n">
        <v>0.28</v>
      </c>
      <c r="R144" s="13" t="n">
        <f aca="false">P144/200000</f>
        <v>0.00201930187629866</v>
      </c>
      <c r="V144" s="4"/>
      <c r="W144" s="4"/>
    </row>
    <row r="145" customFormat="false" ht="14.25" hidden="false" customHeight="false" outlineLevel="0" collapsed="false">
      <c r="A145" s="0" t="s">
        <v>55</v>
      </c>
      <c r="B145" s="1" t="n">
        <v>10</v>
      </c>
      <c r="C145" s="3" t="n">
        <v>528</v>
      </c>
      <c r="D145" s="1" t="n">
        <v>1</v>
      </c>
      <c r="E145" s="2" t="n">
        <v>45</v>
      </c>
      <c r="F145" s="4" t="n">
        <v>2.8</v>
      </c>
      <c r="G145" s="1" t="n">
        <v>40</v>
      </c>
      <c r="H145" s="1" t="n">
        <v>45</v>
      </c>
      <c r="I145" s="1" t="n">
        <v>100</v>
      </c>
      <c r="J145" s="1" t="n">
        <v>250</v>
      </c>
      <c r="K145" s="1" t="n">
        <v>78.5</v>
      </c>
      <c r="L145" s="1" t="n">
        <v>9500</v>
      </c>
      <c r="M145" s="3" t="n">
        <v>43.4459689087927</v>
      </c>
      <c r="N145" s="12" t="n">
        <v>0.00826315789473684</v>
      </c>
      <c r="O145" s="4" t="n">
        <v>3.76</v>
      </c>
      <c r="P145" s="3" t="n">
        <v>251.409770029237</v>
      </c>
      <c r="Q145" s="4" t="n">
        <v>0.15</v>
      </c>
      <c r="R145" s="13" t="n">
        <f aca="false">P145/200000</f>
        <v>0.00125704885014618</v>
      </c>
      <c r="V145" s="4"/>
      <c r="W145" s="4"/>
    </row>
    <row r="146" customFormat="false" ht="14.25" hidden="false" customHeight="false" outlineLevel="0" collapsed="false">
      <c r="B146" s="1" t="n">
        <v>10</v>
      </c>
      <c r="C146" s="3" t="n">
        <v>528</v>
      </c>
      <c r="D146" s="1" t="n">
        <v>1</v>
      </c>
      <c r="E146" s="2" t="n">
        <v>45</v>
      </c>
      <c r="F146" s="4" t="n">
        <v>2.8</v>
      </c>
      <c r="G146" s="1" t="n">
        <v>40</v>
      </c>
      <c r="H146" s="1" t="n">
        <v>45</v>
      </c>
      <c r="I146" s="1" t="n">
        <v>100</v>
      </c>
      <c r="J146" s="1" t="n">
        <v>250</v>
      </c>
      <c r="K146" s="1" t="n">
        <v>78.5</v>
      </c>
      <c r="L146" s="1" t="n">
        <v>9500</v>
      </c>
      <c r="M146" s="3" t="n">
        <v>43.4459689087927</v>
      </c>
      <c r="N146" s="12" t="n">
        <v>0.00826315789473684</v>
      </c>
      <c r="O146" s="4" t="n">
        <v>4.1</v>
      </c>
      <c r="P146" s="3" t="n">
        <v>274.143632212731</v>
      </c>
      <c r="Q146" s="4" t="n">
        <v>0.17</v>
      </c>
      <c r="R146" s="13" t="n">
        <f aca="false">P146/200000</f>
        <v>0.00137071816106366</v>
      </c>
      <c r="V146" s="4"/>
      <c r="W146" s="4"/>
    </row>
    <row r="147" customFormat="false" ht="14.25" hidden="false" customHeight="false" outlineLevel="0" collapsed="false">
      <c r="B147" s="1" t="n">
        <v>10</v>
      </c>
      <c r="C147" s="3" t="n">
        <v>528</v>
      </c>
      <c r="D147" s="1" t="n">
        <v>1</v>
      </c>
      <c r="E147" s="2" t="n">
        <v>45</v>
      </c>
      <c r="F147" s="4" t="n">
        <v>2.8</v>
      </c>
      <c r="G147" s="1" t="n">
        <v>40</v>
      </c>
      <c r="H147" s="1" t="n">
        <v>45</v>
      </c>
      <c r="I147" s="1" t="n">
        <v>100</v>
      </c>
      <c r="J147" s="1" t="n">
        <v>250</v>
      </c>
      <c r="K147" s="1" t="n">
        <v>78.5</v>
      </c>
      <c r="L147" s="1" t="n">
        <v>9500</v>
      </c>
      <c r="M147" s="3" t="n">
        <v>43.4459689087927</v>
      </c>
      <c r="N147" s="12" t="n">
        <v>0.00826315789473684</v>
      </c>
      <c r="O147" s="4" t="n">
        <v>4.42</v>
      </c>
      <c r="P147" s="3" t="n">
        <v>295.540208385432</v>
      </c>
      <c r="Q147" s="4" t="n">
        <v>0.19</v>
      </c>
      <c r="R147" s="13" t="n">
        <f aca="false">P147/200000</f>
        <v>0.00147770104192716</v>
      </c>
      <c r="V147" s="4"/>
      <c r="W147" s="4"/>
    </row>
    <row r="148" customFormat="false" ht="14.25" hidden="false" customHeight="false" outlineLevel="0" collapsed="false">
      <c r="B148" s="1" t="n">
        <v>10</v>
      </c>
      <c r="C148" s="3" t="n">
        <v>528</v>
      </c>
      <c r="D148" s="1" t="n">
        <v>1</v>
      </c>
      <c r="E148" s="2" t="n">
        <v>45</v>
      </c>
      <c r="F148" s="4" t="n">
        <v>2.8</v>
      </c>
      <c r="G148" s="1" t="n">
        <v>40</v>
      </c>
      <c r="H148" s="1" t="n">
        <v>45</v>
      </c>
      <c r="I148" s="1" t="n">
        <v>100</v>
      </c>
      <c r="J148" s="1" t="n">
        <v>250</v>
      </c>
      <c r="K148" s="1" t="n">
        <v>78.5</v>
      </c>
      <c r="L148" s="1" t="n">
        <v>9500</v>
      </c>
      <c r="M148" s="3" t="n">
        <v>43.4459689087927</v>
      </c>
      <c r="N148" s="12" t="n">
        <v>0.00826315789473684</v>
      </c>
      <c r="O148" s="4" t="n">
        <v>4.71</v>
      </c>
      <c r="P148" s="3" t="n">
        <v>314.930855541943</v>
      </c>
      <c r="Q148" s="4" t="n">
        <v>0.2</v>
      </c>
      <c r="R148" s="13" t="n">
        <f aca="false">P148/200000</f>
        <v>0.00157465427770971</v>
      </c>
      <c r="V148" s="4"/>
      <c r="W148" s="4"/>
    </row>
    <row r="149" customFormat="false" ht="14.25" hidden="false" customHeight="false" outlineLevel="0" collapsed="false">
      <c r="B149" s="1" t="n">
        <v>10</v>
      </c>
      <c r="C149" s="3" t="n">
        <v>528</v>
      </c>
      <c r="D149" s="1" t="n">
        <v>1</v>
      </c>
      <c r="E149" s="2" t="n">
        <v>45</v>
      </c>
      <c r="F149" s="4" t="n">
        <v>2.8</v>
      </c>
      <c r="G149" s="1" t="n">
        <v>40</v>
      </c>
      <c r="H149" s="1" t="n">
        <v>45</v>
      </c>
      <c r="I149" s="1" t="n">
        <v>100</v>
      </c>
      <c r="J149" s="1" t="n">
        <v>250</v>
      </c>
      <c r="K149" s="1" t="n">
        <v>78.5</v>
      </c>
      <c r="L149" s="1" t="n">
        <v>9500</v>
      </c>
      <c r="M149" s="3" t="n">
        <v>43.4459689087927</v>
      </c>
      <c r="N149" s="12" t="n">
        <v>0.00826315789473684</v>
      </c>
      <c r="O149" s="4" t="n">
        <v>5.04</v>
      </c>
      <c r="P149" s="3" t="n">
        <v>336.996074720041</v>
      </c>
      <c r="Q149" s="4" t="n">
        <v>0.22</v>
      </c>
      <c r="R149" s="13" t="n">
        <f aca="false">P149/200000</f>
        <v>0.0016849803736002</v>
      </c>
      <c r="V149" s="4"/>
      <c r="W149" s="4"/>
    </row>
    <row r="150" customFormat="false" ht="14.25" hidden="false" customHeight="false" outlineLevel="0" collapsed="false">
      <c r="B150" s="1" t="n">
        <v>10</v>
      </c>
      <c r="C150" s="3" t="n">
        <v>528</v>
      </c>
      <c r="D150" s="1" t="n">
        <v>1</v>
      </c>
      <c r="E150" s="2" t="n">
        <v>45</v>
      </c>
      <c r="F150" s="4" t="n">
        <v>2.8</v>
      </c>
      <c r="G150" s="1" t="n">
        <v>40</v>
      </c>
      <c r="H150" s="1" t="n">
        <v>45</v>
      </c>
      <c r="I150" s="1" t="n">
        <v>100</v>
      </c>
      <c r="J150" s="1" t="n">
        <v>250</v>
      </c>
      <c r="K150" s="1" t="n">
        <v>78.5</v>
      </c>
      <c r="L150" s="1" t="n">
        <v>9500</v>
      </c>
      <c r="M150" s="3" t="n">
        <v>43.4459689087927</v>
      </c>
      <c r="N150" s="12" t="n">
        <v>0.00826315789473684</v>
      </c>
      <c r="O150" s="4" t="n">
        <v>5.37</v>
      </c>
      <c r="P150" s="3" t="n">
        <v>359.061293898138</v>
      </c>
      <c r="Q150" s="4" t="n">
        <v>0.24</v>
      </c>
      <c r="R150" s="13" t="n">
        <f aca="false">P150/200000</f>
        <v>0.00179530646949069</v>
      </c>
      <c r="V150" s="4"/>
      <c r="W150" s="4"/>
    </row>
    <row r="151" customFormat="false" ht="14.25" hidden="false" customHeight="false" outlineLevel="0" collapsed="false">
      <c r="B151" s="1" t="n">
        <v>10</v>
      </c>
      <c r="C151" s="3" t="n">
        <v>528</v>
      </c>
      <c r="D151" s="1" t="n">
        <v>1</v>
      </c>
      <c r="E151" s="2" t="n">
        <v>45</v>
      </c>
      <c r="F151" s="4" t="n">
        <v>2.8</v>
      </c>
      <c r="G151" s="1" t="n">
        <v>40</v>
      </c>
      <c r="H151" s="1" t="n">
        <v>45</v>
      </c>
      <c r="I151" s="1" t="n">
        <v>100</v>
      </c>
      <c r="J151" s="1" t="n">
        <v>250</v>
      </c>
      <c r="K151" s="1" t="n">
        <v>78.5</v>
      </c>
      <c r="L151" s="1" t="n">
        <v>9500</v>
      </c>
      <c r="M151" s="3" t="n">
        <v>43.4459689087927</v>
      </c>
      <c r="N151" s="12" t="n">
        <v>0.00826315789473684</v>
      </c>
      <c r="O151" s="4" t="n">
        <v>5.65</v>
      </c>
      <c r="P151" s="3" t="n">
        <v>377.783298049252</v>
      </c>
      <c r="Q151" s="4" t="n">
        <v>0.26</v>
      </c>
      <c r="R151" s="13" t="n">
        <f aca="false">P151/200000</f>
        <v>0.00188891649024626</v>
      </c>
      <c r="V151" s="4"/>
      <c r="W151" s="4"/>
    </row>
    <row r="152" customFormat="false" ht="14.25" hidden="false" customHeight="false" outlineLevel="0" collapsed="false">
      <c r="B152" s="1" t="n">
        <v>10</v>
      </c>
      <c r="C152" s="3" t="n">
        <v>528</v>
      </c>
      <c r="D152" s="1" t="n">
        <v>1</v>
      </c>
      <c r="E152" s="2" t="n">
        <v>45</v>
      </c>
      <c r="F152" s="4" t="n">
        <v>2.8</v>
      </c>
      <c r="G152" s="1" t="n">
        <v>40</v>
      </c>
      <c r="H152" s="1" t="n">
        <v>45</v>
      </c>
      <c r="I152" s="1" t="n">
        <v>100</v>
      </c>
      <c r="J152" s="1" t="n">
        <v>250</v>
      </c>
      <c r="K152" s="1" t="n">
        <v>78.5</v>
      </c>
      <c r="L152" s="1" t="n">
        <v>9500</v>
      </c>
      <c r="M152" s="3" t="n">
        <v>43.4459689087927</v>
      </c>
      <c r="N152" s="12" t="n">
        <v>0.00826315789473684</v>
      </c>
      <c r="O152" s="4" t="n">
        <v>5.92</v>
      </c>
      <c r="P152" s="3" t="n">
        <v>395.836659194968</v>
      </c>
      <c r="Q152" s="4" t="n">
        <v>0.29</v>
      </c>
      <c r="R152" s="13" t="n">
        <f aca="false">P152/200000</f>
        <v>0.00197918329597484</v>
      </c>
      <c r="V152" s="4"/>
      <c r="W152" s="4"/>
    </row>
    <row r="153" customFormat="false" ht="14.25" hidden="false" customHeight="false" outlineLevel="0" collapsed="false">
      <c r="A153" s="0" t="s">
        <v>56</v>
      </c>
      <c r="B153" s="1" t="n">
        <v>20</v>
      </c>
      <c r="C153" s="3" t="n">
        <v>598</v>
      </c>
      <c r="D153" s="1" t="n">
        <v>1</v>
      </c>
      <c r="E153" s="2" t="n">
        <v>40</v>
      </c>
      <c r="F153" s="4" t="n">
        <v>2.8</v>
      </c>
      <c r="G153" s="1" t="n">
        <v>40</v>
      </c>
      <c r="H153" s="1" t="n">
        <v>50</v>
      </c>
      <c r="I153" s="1" t="n">
        <v>100</v>
      </c>
      <c r="J153" s="1" t="n">
        <v>250</v>
      </c>
      <c r="K153" s="1" t="n">
        <v>315</v>
      </c>
      <c r="L153" s="1" t="n">
        <v>15000</v>
      </c>
      <c r="M153" s="3" t="n">
        <v>75.4003930660822</v>
      </c>
      <c r="N153" s="12" t="n">
        <v>0.021</v>
      </c>
      <c r="O153" s="4" t="n">
        <v>11.09</v>
      </c>
      <c r="P153" s="3" t="n">
        <v>201.33268539096</v>
      </c>
      <c r="Q153" s="4" t="n">
        <v>0.17</v>
      </c>
      <c r="R153" s="13" t="n">
        <f aca="false">P153/200000</f>
        <v>0.0010066634269548</v>
      </c>
      <c r="V153" s="4"/>
      <c r="W153" s="4"/>
    </row>
    <row r="154" customFormat="false" ht="14.25" hidden="false" customHeight="false" outlineLevel="0" collapsed="false">
      <c r="B154" s="1" t="n">
        <v>20</v>
      </c>
      <c r="C154" s="3" t="n">
        <v>598</v>
      </c>
      <c r="D154" s="1" t="n">
        <v>1</v>
      </c>
      <c r="E154" s="2" t="n">
        <v>40</v>
      </c>
      <c r="F154" s="4" t="n">
        <v>2.8</v>
      </c>
      <c r="G154" s="1" t="n">
        <v>40</v>
      </c>
      <c r="H154" s="1" t="n">
        <v>50</v>
      </c>
      <c r="I154" s="1" t="n">
        <v>100</v>
      </c>
      <c r="J154" s="1" t="n">
        <v>250</v>
      </c>
      <c r="K154" s="1" t="n">
        <v>315</v>
      </c>
      <c r="L154" s="1" t="n">
        <v>15000</v>
      </c>
      <c r="M154" s="3" t="n">
        <v>75.4003930660822</v>
      </c>
      <c r="N154" s="12" t="n">
        <v>0.021</v>
      </c>
      <c r="O154" s="4" t="n">
        <v>12.96</v>
      </c>
      <c r="P154" s="3" t="n">
        <v>235.281479050211</v>
      </c>
      <c r="Q154" s="4" t="n">
        <v>0.2</v>
      </c>
      <c r="R154" s="13" t="n">
        <f aca="false">P154/200000</f>
        <v>0.00117640739525105</v>
      </c>
      <c r="V154" s="4"/>
      <c r="W154" s="4"/>
    </row>
    <row r="155" customFormat="false" ht="14.25" hidden="false" customHeight="false" outlineLevel="0" collapsed="false">
      <c r="B155" s="1" t="n">
        <v>20</v>
      </c>
      <c r="C155" s="3" t="n">
        <v>598</v>
      </c>
      <c r="D155" s="1" t="n">
        <v>1</v>
      </c>
      <c r="E155" s="2" t="n">
        <v>40</v>
      </c>
      <c r="F155" s="4" t="n">
        <v>2.8</v>
      </c>
      <c r="G155" s="1" t="n">
        <v>40</v>
      </c>
      <c r="H155" s="1" t="n">
        <v>50</v>
      </c>
      <c r="I155" s="1" t="n">
        <v>100</v>
      </c>
      <c r="J155" s="1" t="n">
        <v>250</v>
      </c>
      <c r="K155" s="1" t="n">
        <v>315</v>
      </c>
      <c r="L155" s="1" t="n">
        <v>15000</v>
      </c>
      <c r="M155" s="3" t="n">
        <v>75.4003930660822</v>
      </c>
      <c r="N155" s="12" t="n">
        <v>0.021</v>
      </c>
      <c r="O155" s="4" t="n">
        <v>14.77</v>
      </c>
      <c r="P155" s="3" t="n">
        <v>268.141006602748</v>
      </c>
      <c r="Q155" s="4" t="n">
        <v>0.24</v>
      </c>
      <c r="R155" s="13" t="n">
        <f aca="false">P155/200000</f>
        <v>0.00134070503301374</v>
      </c>
      <c r="V155" s="4"/>
      <c r="W155" s="4"/>
    </row>
    <row r="156" customFormat="false" ht="14.25" hidden="false" customHeight="false" outlineLevel="0" collapsed="false">
      <c r="B156" s="1" t="n">
        <v>20</v>
      </c>
      <c r="C156" s="3" t="n">
        <v>598</v>
      </c>
      <c r="D156" s="1" t="n">
        <v>1</v>
      </c>
      <c r="E156" s="2" t="n">
        <v>40</v>
      </c>
      <c r="F156" s="4" t="n">
        <v>2.8</v>
      </c>
      <c r="G156" s="1" t="n">
        <v>40</v>
      </c>
      <c r="H156" s="1" t="n">
        <v>50</v>
      </c>
      <c r="I156" s="1" t="n">
        <v>100</v>
      </c>
      <c r="J156" s="1" t="n">
        <v>250</v>
      </c>
      <c r="K156" s="1" t="n">
        <v>315</v>
      </c>
      <c r="L156" s="1" t="n">
        <v>15000</v>
      </c>
      <c r="M156" s="3" t="n">
        <v>75.4003930660822</v>
      </c>
      <c r="N156" s="12" t="n">
        <v>0.021</v>
      </c>
      <c r="O156" s="4" t="n">
        <v>16.57</v>
      </c>
      <c r="P156" s="3" t="n">
        <v>300.818989804166</v>
      </c>
      <c r="Q156" s="4" t="n">
        <v>0.27</v>
      </c>
      <c r="R156" s="13" t="n">
        <f aca="false">P156/200000</f>
        <v>0.00150409494902083</v>
      </c>
      <c r="V156" s="4"/>
      <c r="W156" s="4"/>
    </row>
    <row r="157" customFormat="false" ht="14.25" hidden="false" customHeight="false" outlineLevel="0" collapsed="false">
      <c r="B157" s="1" t="n">
        <v>20</v>
      </c>
      <c r="C157" s="3" t="n">
        <v>598</v>
      </c>
      <c r="D157" s="1" t="n">
        <v>1</v>
      </c>
      <c r="E157" s="2" t="n">
        <v>40</v>
      </c>
      <c r="F157" s="4" t="n">
        <v>2.8</v>
      </c>
      <c r="G157" s="1" t="n">
        <v>40</v>
      </c>
      <c r="H157" s="1" t="n">
        <v>50</v>
      </c>
      <c r="I157" s="1" t="n">
        <v>100</v>
      </c>
      <c r="J157" s="1" t="n">
        <v>250</v>
      </c>
      <c r="K157" s="1" t="n">
        <v>315</v>
      </c>
      <c r="L157" s="1" t="n">
        <v>15000</v>
      </c>
      <c r="M157" s="3" t="n">
        <v>75.4003930660822</v>
      </c>
      <c r="N157" s="12" t="n">
        <v>0.021</v>
      </c>
      <c r="O157" s="4" t="n">
        <v>18.35</v>
      </c>
      <c r="P157" s="3" t="n">
        <v>333.133884303346</v>
      </c>
      <c r="Q157" s="4" t="n">
        <v>0.32</v>
      </c>
      <c r="R157" s="13" t="n">
        <f aca="false">P157/200000</f>
        <v>0.00166566942151673</v>
      </c>
      <c r="V157" s="4"/>
      <c r="W157" s="4"/>
    </row>
    <row r="158" customFormat="false" ht="14.25" hidden="false" customHeight="false" outlineLevel="0" collapsed="false">
      <c r="B158" s="1" t="n">
        <v>20</v>
      </c>
      <c r="C158" s="3" t="n">
        <v>598</v>
      </c>
      <c r="D158" s="1" t="n">
        <v>1</v>
      </c>
      <c r="E158" s="2" t="n">
        <v>40</v>
      </c>
      <c r="F158" s="4" t="n">
        <v>2.8</v>
      </c>
      <c r="G158" s="1" t="n">
        <v>40</v>
      </c>
      <c r="H158" s="1" t="n">
        <v>50</v>
      </c>
      <c r="I158" s="1" t="n">
        <v>100</v>
      </c>
      <c r="J158" s="1" t="n">
        <v>250</v>
      </c>
      <c r="K158" s="1" t="n">
        <v>315</v>
      </c>
      <c r="L158" s="1" t="n">
        <v>15000</v>
      </c>
      <c r="M158" s="3" t="n">
        <v>75.4003930660822</v>
      </c>
      <c r="N158" s="12" t="n">
        <v>0.021</v>
      </c>
      <c r="O158" s="4" t="n">
        <v>20.18</v>
      </c>
      <c r="P158" s="3" t="n">
        <v>366.356500558121</v>
      </c>
      <c r="Q158" s="4" t="n">
        <v>0.34</v>
      </c>
      <c r="R158" s="13" t="n">
        <f aca="false">P158/200000</f>
        <v>0.00183178250279061</v>
      </c>
      <c r="V158" s="4"/>
      <c r="W158" s="4"/>
    </row>
    <row r="159" customFormat="false" ht="14.25" hidden="false" customHeight="false" outlineLevel="0" collapsed="false">
      <c r="A159" s="0" t="s">
        <v>57</v>
      </c>
      <c r="B159" s="1" t="n">
        <v>20</v>
      </c>
      <c r="C159" s="3" t="n">
        <v>598</v>
      </c>
      <c r="D159" s="1" t="n">
        <v>1</v>
      </c>
      <c r="E159" s="2" t="n">
        <v>40</v>
      </c>
      <c r="F159" s="4" t="n">
        <v>2.8</v>
      </c>
      <c r="G159" s="1" t="n">
        <v>40</v>
      </c>
      <c r="H159" s="1" t="n">
        <v>50</v>
      </c>
      <c r="I159" s="1" t="n">
        <v>100</v>
      </c>
      <c r="J159" s="1" t="n">
        <v>250</v>
      </c>
      <c r="K159" s="1" t="n">
        <v>315</v>
      </c>
      <c r="L159" s="1" t="n">
        <v>15000</v>
      </c>
      <c r="M159" s="3" t="n">
        <v>75.4003930660822</v>
      </c>
      <c r="N159" s="12" t="n">
        <v>0.021</v>
      </c>
      <c r="O159" s="4" t="n">
        <v>9.35</v>
      </c>
      <c r="P159" s="3" t="n">
        <v>169.743968296255</v>
      </c>
      <c r="Q159" s="4" t="n">
        <v>0.16</v>
      </c>
      <c r="R159" s="13" t="n">
        <f aca="false">P159/200000</f>
        <v>0.000848719841481277</v>
      </c>
      <c r="V159" s="4"/>
      <c r="W159" s="4"/>
    </row>
    <row r="160" customFormat="false" ht="14.25" hidden="false" customHeight="false" outlineLevel="0" collapsed="false">
      <c r="B160" s="1" t="n">
        <v>20</v>
      </c>
      <c r="C160" s="3" t="n">
        <v>598</v>
      </c>
      <c r="D160" s="1" t="n">
        <v>1</v>
      </c>
      <c r="E160" s="2" t="n">
        <v>40</v>
      </c>
      <c r="F160" s="4" t="n">
        <v>2.8</v>
      </c>
      <c r="G160" s="1" t="n">
        <v>40</v>
      </c>
      <c r="H160" s="1" t="n">
        <v>50</v>
      </c>
      <c r="I160" s="1" t="n">
        <v>100</v>
      </c>
      <c r="J160" s="1" t="n">
        <v>250</v>
      </c>
      <c r="K160" s="1" t="n">
        <v>315</v>
      </c>
      <c r="L160" s="1" t="n">
        <v>15000</v>
      </c>
      <c r="M160" s="3" t="n">
        <v>75.4003930660822</v>
      </c>
      <c r="N160" s="12" t="n">
        <v>0.021</v>
      </c>
      <c r="O160" s="4" t="n">
        <v>11.12</v>
      </c>
      <c r="P160" s="3" t="n">
        <v>201.877318444317</v>
      </c>
      <c r="Q160" s="4" t="n">
        <v>0.2</v>
      </c>
      <c r="R160" s="13" t="n">
        <f aca="false">P160/200000</f>
        <v>0.00100938659222158</v>
      </c>
      <c r="V160" s="4"/>
      <c r="W160" s="4"/>
    </row>
    <row r="161" customFormat="false" ht="14.25" hidden="false" customHeight="false" outlineLevel="0" collapsed="false">
      <c r="B161" s="1" t="n">
        <v>20</v>
      </c>
      <c r="C161" s="3" t="n">
        <v>598</v>
      </c>
      <c r="D161" s="1" t="n">
        <v>1</v>
      </c>
      <c r="E161" s="2" t="n">
        <v>40</v>
      </c>
      <c r="F161" s="4" t="n">
        <v>2.8</v>
      </c>
      <c r="G161" s="1" t="n">
        <v>40</v>
      </c>
      <c r="H161" s="1" t="n">
        <v>50</v>
      </c>
      <c r="I161" s="1" t="n">
        <v>100</v>
      </c>
      <c r="J161" s="1" t="n">
        <v>250</v>
      </c>
      <c r="K161" s="1" t="n">
        <v>315</v>
      </c>
      <c r="L161" s="1" t="n">
        <v>15000</v>
      </c>
      <c r="M161" s="3" t="n">
        <v>75.4003930660822</v>
      </c>
      <c r="N161" s="12" t="n">
        <v>0.021</v>
      </c>
      <c r="O161" s="4" t="n">
        <v>12.93</v>
      </c>
      <c r="P161" s="3" t="n">
        <v>234.736845996854</v>
      </c>
      <c r="Q161" s="4" t="n">
        <v>0.24</v>
      </c>
      <c r="R161" s="13" t="n">
        <f aca="false">P161/200000</f>
        <v>0.00117368422998427</v>
      </c>
      <c r="V161" s="4"/>
      <c r="W161" s="4"/>
    </row>
    <row r="162" customFormat="false" ht="14.25" hidden="false" customHeight="false" outlineLevel="0" collapsed="false">
      <c r="B162" s="1" t="n">
        <v>20</v>
      </c>
      <c r="C162" s="3" t="n">
        <v>598</v>
      </c>
      <c r="D162" s="1" t="n">
        <v>1</v>
      </c>
      <c r="E162" s="2" t="n">
        <v>40</v>
      </c>
      <c r="F162" s="4" t="n">
        <v>2.8</v>
      </c>
      <c r="G162" s="1" t="n">
        <v>40</v>
      </c>
      <c r="H162" s="1" t="n">
        <v>50</v>
      </c>
      <c r="I162" s="1" t="n">
        <v>100</v>
      </c>
      <c r="J162" s="1" t="n">
        <v>250</v>
      </c>
      <c r="K162" s="1" t="n">
        <v>315</v>
      </c>
      <c r="L162" s="1" t="n">
        <v>15000</v>
      </c>
      <c r="M162" s="3" t="n">
        <v>75.4003930660822</v>
      </c>
      <c r="N162" s="12" t="n">
        <v>0.021</v>
      </c>
      <c r="O162" s="4" t="n">
        <v>14.72</v>
      </c>
      <c r="P162" s="3" t="n">
        <v>267.233284847153</v>
      </c>
      <c r="Q162" s="4" t="n">
        <v>0.27</v>
      </c>
      <c r="R162" s="13" t="n">
        <f aca="false">P162/200000</f>
        <v>0.00133616642423577</v>
      </c>
      <c r="V162" s="4"/>
      <c r="W162" s="4"/>
    </row>
    <row r="163" customFormat="false" ht="14.25" hidden="false" customHeight="false" outlineLevel="0" collapsed="false">
      <c r="B163" s="1" t="n">
        <v>20</v>
      </c>
      <c r="C163" s="3" t="n">
        <v>598</v>
      </c>
      <c r="D163" s="1" t="n">
        <v>1</v>
      </c>
      <c r="E163" s="2" t="n">
        <v>40</v>
      </c>
      <c r="F163" s="4" t="n">
        <v>2.8</v>
      </c>
      <c r="G163" s="1" t="n">
        <v>40</v>
      </c>
      <c r="H163" s="1" t="n">
        <v>50</v>
      </c>
      <c r="I163" s="1" t="n">
        <v>100</v>
      </c>
      <c r="J163" s="1" t="n">
        <v>250</v>
      </c>
      <c r="K163" s="1" t="n">
        <v>315</v>
      </c>
      <c r="L163" s="1" t="n">
        <v>15000</v>
      </c>
      <c r="M163" s="3" t="n">
        <v>75.4003930660822</v>
      </c>
      <c r="N163" s="12" t="n">
        <v>0.021</v>
      </c>
      <c r="O163" s="4" t="n">
        <v>16.58</v>
      </c>
      <c r="P163" s="3" t="n">
        <v>301.000534155285</v>
      </c>
      <c r="Q163" s="4" t="n">
        <v>0.29</v>
      </c>
      <c r="R163" s="13" t="n">
        <f aca="false">P163/200000</f>
        <v>0.00150500267077643</v>
      </c>
      <c r="V163" s="4"/>
      <c r="W163" s="4"/>
    </row>
    <row r="164" customFormat="false" ht="14.25" hidden="false" customHeight="false" outlineLevel="0" collapsed="false">
      <c r="B164" s="1" t="n">
        <v>20</v>
      </c>
      <c r="C164" s="3" t="n">
        <v>598</v>
      </c>
      <c r="D164" s="1" t="n">
        <v>1</v>
      </c>
      <c r="E164" s="2" t="n">
        <v>40</v>
      </c>
      <c r="F164" s="4" t="n">
        <v>2.8</v>
      </c>
      <c r="G164" s="1" t="n">
        <v>40</v>
      </c>
      <c r="H164" s="1" t="n">
        <v>50</v>
      </c>
      <c r="I164" s="1" t="n">
        <v>100</v>
      </c>
      <c r="J164" s="1" t="n">
        <v>250</v>
      </c>
      <c r="K164" s="1" t="n">
        <v>315</v>
      </c>
      <c r="L164" s="1" t="n">
        <v>15000</v>
      </c>
      <c r="M164" s="3" t="n">
        <v>75.4003930660822</v>
      </c>
      <c r="N164" s="12" t="n">
        <v>0.021</v>
      </c>
      <c r="O164" s="4" t="n">
        <v>18.35</v>
      </c>
      <c r="P164" s="3" t="n">
        <v>333.133884303346</v>
      </c>
      <c r="Q164" s="4" t="n">
        <v>0.32</v>
      </c>
      <c r="R164" s="13" t="n">
        <f aca="false">P164/200000</f>
        <v>0.00166566942151673</v>
      </c>
      <c r="V164" s="4"/>
      <c r="W164" s="4"/>
    </row>
    <row r="165" customFormat="false" ht="14.25" hidden="false" customHeight="false" outlineLevel="0" collapsed="false">
      <c r="B165" s="1" t="n">
        <v>20</v>
      </c>
      <c r="C165" s="3" t="n">
        <v>598</v>
      </c>
      <c r="D165" s="1" t="n">
        <v>1</v>
      </c>
      <c r="E165" s="2" t="n">
        <v>40</v>
      </c>
      <c r="F165" s="4" t="n">
        <v>2.8</v>
      </c>
      <c r="G165" s="1" t="n">
        <v>40</v>
      </c>
      <c r="H165" s="1" t="n">
        <v>50</v>
      </c>
      <c r="I165" s="1" t="n">
        <v>100</v>
      </c>
      <c r="J165" s="1" t="n">
        <v>250</v>
      </c>
      <c r="K165" s="1" t="n">
        <v>315</v>
      </c>
      <c r="L165" s="1" t="n">
        <v>15000</v>
      </c>
      <c r="M165" s="3" t="n">
        <v>75.4003930660822</v>
      </c>
      <c r="N165" s="12" t="n">
        <v>0.021</v>
      </c>
      <c r="O165" s="4" t="n">
        <v>19.21</v>
      </c>
      <c r="P165" s="3" t="n">
        <v>348.746698499579</v>
      </c>
      <c r="Q165" s="4" t="n">
        <v>0.33</v>
      </c>
      <c r="R165" s="13" t="n">
        <f aca="false">P165/200000</f>
        <v>0.0017437334924979</v>
      </c>
      <c r="V165" s="4"/>
      <c r="W165" s="4"/>
    </row>
    <row r="166" customFormat="false" ht="14.25" hidden="false" customHeight="false" outlineLevel="0" collapsed="false">
      <c r="A166" s="0" t="s">
        <v>58</v>
      </c>
      <c r="B166" s="1" t="n">
        <v>10</v>
      </c>
      <c r="C166" s="3" t="n">
        <v>528</v>
      </c>
      <c r="D166" s="1" t="n">
        <v>1</v>
      </c>
      <c r="E166" s="2" t="n">
        <v>45</v>
      </c>
      <c r="F166" s="4" t="n">
        <v>2.8</v>
      </c>
      <c r="G166" s="1" t="n">
        <v>40</v>
      </c>
      <c r="H166" s="1" t="n">
        <v>45</v>
      </c>
      <c r="I166" s="1" t="n">
        <v>100</v>
      </c>
      <c r="J166" s="1" t="n">
        <v>350</v>
      </c>
      <c r="K166" s="1" t="n">
        <v>78.5</v>
      </c>
      <c r="L166" s="1" t="n">
        <v>9500</v>
      </c>
      <c r="M166" s="3" t="n">
        <v>54.1386548495659</v>
      </c>
      <c r="N166" s="12" t="n">
        <v>0.00826315789473684</v>
      </c>
      <c r="O166" s="4" t="n">
        <v>6.99</v>
      </c>
      <c r="P166" s="3" t="n">
        <v>310.309853574738</v>
      </c>
      <c r="Q166" s="4" t="n">
        <v>0.15</v>
      </c>
      <c r="R166" s="13" t="n">
        <f aca="false">P166/200000</f>
        <v>0.00155154926787369</v>
      </c>
      <c r="V166" s="4"/>
      <c r="W166" s="4"/>
    </row>
    <row r="167" customFormat="false" ht="14.25" hidden="false" customHeight="false" outlineLevel="0" collapsed="false">
      <c r="B167" s="1" t="n">
        <v>10</v>
      </c>
      <c r="C167" s="3" t="n">
        <v>528</v>
      </c>
      <c r="D167" s="1" t="n">
        <v>1</v>
      </c>
      <c r="E167" s="2" t="n">
        <v>45</v>
      </c>
      <c r="F167" s="4" t="n">
        <v>2.8</v>
      </c>
      <c r="G167" s="1" t="n">
        <v>40</v>
      </c>
      <c r="H167" s="1" t="n">
        <v>45</v>
      </c>
      <c r="I167" s="1" t="n">
        <v>100</v>
      </c>
      <c r="J167" s="1" t="n">
        <v>350</v>
      </c>
      <c r="K167" s="1" t="n">
        <v>78.5</v>
      </c>
      <c r="L167" s="1" t="n">
        <v>9500</v>
      </c>
      <c r="M167" s="3" t="n">
        <v>54.1386548495659</v>
      </c>
      <c r="N167" s="12" t="n">
        <v>0.00826315789473684</v>
      </c>
      <c r="O167" s="4" t="n">
        <v>7.44</v>
      </c>
      <c r="P167" s="3" t="n">
        <v>330.286882774829</v>
      </c>
      <c r="Q167" s="4" t="n">
        <v>0.19</v>
      </c>
      <c r="R167" s="13" t="n">
        <f aca="false">P167/200000</f>
        <v>0.00165143441387414</v>
      </c>
      <c r="V167" s="4"/>
      <c r="W167" s="4"/>
    </row>
    <row r="168" customFormat="false" ht="14.25" hidden="false" customHeight="false" outlineLevel="0" collapsed="false">
      <c r="B168" s="1" t="n">
        <v>10</v>
      </c>
      <c r="C168" s="3" t="n">
        <v>528</v>
      </c>
      <c r="D168" s="1" t="n">
        <v>1</v>
      </c>
      <c r="E168" s="2" t="n">
        <v>45</v>
      </c>
      <c r="F168" s="4" t="n">
        <v>2.8</v>
      </c>
      <c r="G168" s="1" t="n">
        <v>40</v>
      </c>
      <c r="H168" s="1" t="n">
        <v>45</v>
      </c>
      <c r="I168" s="1" t="n">
        <v>100</v>
      </c>
      <c r="J168" s="1" t="n">
        <v>350</v>
      </c>
      <c r="K168" s="1" t="n">
        <v>78.5</v>
      </c>
      <c r="L168" s="1" t="n">
        <v>9500</v>
      </c>
      <c r="M168" s="3" t="n">
        <v>54.1386548495659</v>
      </c>
      <c r="N168" s="12" t="n">
        <v>0.00826315789473684</v>
      </c>
      <c r="O168" s="4" t="n">
        <v>7.53</v>
      </c>
      <c r="P168" s="3" t="n">
        <v>334.282288614847</v>
      </c>
      <c r="Q168" s="4" t="n">
        <v>0.2</v>
      </c>
      <c r="R168" s="13" t="n">
        <f aca="false">P168/200000</f>
        <v>0.00167141144307423</v>
      </c>
      <c r="V168" s="4"/>
      <c r="W168" s="4"/>
    </row>
    <row r="169" customFormat="false" ht="14.25" hidden="false" customHeight="false" outlineLevel="0" collapsed="false">
      <c r="B169" s="1" t="n">
        <v>10</v>
      </c>
      <c r="C169" s="3" t="n">
        <v>528</v>
      </c>
      <c r="D169" s="1" t="n">
        <v>1</v>
      </c>
      <c r="E169" s="2" t="n">
        <v>45</v>
      </c>
      <c r="F169" s="4" t="n">
        <v>2.8</v>
      </c>
      <c r="G169" s="1" t="n">
        <v>40</v>
      </c>
      <c r="H169" s="1" t="n">
        <v>45</v>
      </c>
      <c r="I169" s="1" t="n">
        <v>100</v>
      </c>
      <c r="J169" s="1" t="n">
        <v>350</v>
      </c>
      <c r="K169" s="1" t="n">
        <v>78.5</v>
      </c>
      <c r="L169" s="1" t="n">
        <v>9500</v>
      </c>
      <c r="M169" s="3" t="n">
        <v>54.1386548495659</v>
      </c>
      <c r="N169" s="12" t="n">
        <v>0.00826315789473684</v>
      </c>
      <c r="O169" s="4" t="n">
        <v>7.91</v>
      </c>
      <c r="P169" s="3" t="n">
        <v>351.151779939368</v>
      </c>
      <c r="Q169" s="4" t="n">
        <v>0.23</v>
      </c>
      <c r="R169" s="13" t="n">
        <f aca="false">P169/200000</f>
        <v>0.00175575889969684</v>
      </c>
      <c r="V169" s="4"/>
      <c r="W169" s="4"/>
    </row>
    <row r="170" customFormat="false" ht="14.25" hidden="false" customHeight="false" outlineLevel="0" collapsed="false">
      <c r="B170" s="1" t="n">
        <v>10</v>
      </c>
      <c r="C170" s="3" t="n">
        <v>528</v>
      </c>
      <c r="D170" s="1" t="n">
        <v>1</v>
      </c>
      <c r="E170" s="2" t="n">
        <v>45</v>
      </c>
      <c r="F170" s="4" t="n">
        <v>2.8</v>
      </c>
      <c r="G170" s="1" t="n">
        <v>40</v>
      </c>
      <c r="H170" s="1" t="n">
        <v>45</v>
      </c>
      <c r="I170" s="1" t="n">
        <v>100</v>
      </c>
      <c r="J170" s="1" t="n">
        <v>350</v>
      </c>
      <c r="K170" s="1" t="n">
        <v>78.5</v>
      </c>
      <c r="L170" s="1" t="n">
        <v>9500</v>
      </c>
      <c r="M170" s="3" t="n">
        <v>54.1386548495659</v>
      </c>
      <c r="N170" s="12" t="n">
        <v>0.00826315789473684</v>
      </c>
      <c r="O170" s="4" t="n">
        <v>8.17</v>
      </c>
      <c r="P170" s="3" t="n">
        <v>362.694063477198</v>
      </c>
      <c r="Q170" s="4" t="n">
        <v>0.25</v>
      </c>
      <c r="R170" s="13" t="n">
        <f aca="false">P170/200000</f>
        <v>0.00181347031738599</v>
      </c>
      <c r="V170" s="4"/>
      <c r="W170" s="4"/>
    </row>
    <row r="171" customFormat="false" ht="14.25" hidden="false" customHeight="false" outlineLevel="0" collapsed="false">
      <c r="B171" s="1" t="n">
        <v>10</v>
      </c>
      <c r="C171" s="3" t="n">
        <v>528</v>
      </c>
      <c r="D171" s="1" t="n">
        <v>1</v>
      </c>
      <c r="E171" s="2" t="n">
        <v>45</v>
      </c>
      <c r="F171" s="4" t="n">
        <v>2.8</v>
      </c>
      <c r="G171" s="1" t="n">
        <v>40</v>
      </c>
      <c r="H171" s="1" t="n">
        <v>45</v>
      </c>
      <c r="I171" s="1" t="n">
        <v>100</v>
      </c>
      <c r="J171" s="1" t="n">
        <v>350</v>
      </c>
      <c r="K171" s="1" t="n">
        <v>78.5</v>
      </c>
      <c r="L171" s="1" t="n">
        <v>9500</v>
      </c>
      <c r="M171" s="3" t="n">
        <v>54.1386548495659</v>
      </c>
      <c r="N171" s="12" t="n">
        <v>0.00826315789473684</v>
      </c>
      <c r="O171" s="4" t="n">
        <v>8.46</v>
      </c>
      <c r="P171" s="3" t="n">
        <v>375.568148961701</v>
      </c>
      <c r="Q171" s="4" t="n">
        <v>0.28</v>
      </c>
      <c r="R171" s="13" t="n">
        <f aca="false">P171/200000</f>
        <v>0.0018778407448085</v>
      </c>
      <c r="V171" s="4"/>
      <c r="W171" s="4"/>
    </row>
    <row r="172" customFormat="false" ht="14.25" hidden="false" customHeight="false" outlineLevel="0" collapsed="false">
      <c r="B172" s="1" t="n">
        <v>10</v>
      </c>
      <c r="C172" s="3" t="n">
        <v>528</v>
      </c>
      <c r="D172" s="1" t="n">
        <v>1</v>
      </c>
      <c r="E172" s="2" t="n">
        <v>45</v>
      </c>
      <c r="F172" s="4" t="n">
        <v>2.8</v>
      </c>
      <c r="G172" s="1" t="n">
        <v>40</v>
      </c>
      <c r="H172" s="1" t="n">
        <v>45</v>
      </c>
      <c r="I172" s="1" t="n">
        <v>100</v>
      </c>
      <c r="J172" s="1" t="n">
        <v>350</v>
      </c>
      <c r="K172" s="1" t="n">
        <v>78.5</v>
      </c>
      <c r="L172" s="1" t="n">
        <v>9500</v>
      </c>
      <c r="M172" s="3" t="n">
        <v>54.1386548495659</v>
      </c>
      <c r="N172" s="12" t="n">
        <v>0.00826315789473684</v>
      </c>
      <c r="O172" s="4" t="n">
        <v>8.72</v>
      </c>
      <c r="P172" s="3" t="n">
        <v>387.110432499531</v>
      </c>
      <c r="Q172" s="4" t="n">
        <v>0.31</v>
      </c>
      <c r="R172" s="13" t="n">
        <f aca="false">P172/200000</f>
        <v>0.00193555216249765</v>
      </c>
      <c r="V172" s="4"/>
      <c r="W172" s="4"/>
    </row>
    <row r="173" customFormat="false" ht="14.25" hidden="false" customHeight="false" outlineLevel="0" collapsed="false">
      <c r="B173" s="1" t="n">
        <v>10</v>
      </c>
      <c r="C173" s="3" t="n">
        <v>528</v>
      </c>
      <c r="D173" s="1" t="n">
        <v>1</v>
      </c>
      <c r="E173" s="2" t="n">
        <v>45</v>
      </c>
      <c r="F173" s="4" t="n">
        <v>2.8</v>
      </c>
      <c r="G173" s="1" t="n">
        <v>40</v>
      </c>
      <c r="H173" s="1" t="n">
        <v>45</v>
      </c>
      <c r="I173" s="1" t="n">
        <v>100</v>
      </c>
      <c r="J173" s="1" t="n">
        <v>350</v>
      </c>
      <c r="K173" s="1" t="n">
        <v>78.5</v>
      </c>
      <c r="L173" s="1" t="n">
        <v>9500</v>
      </c>
      <c r="M173" s="3" t="n">
        <v>54.1386548495659</v>
      </c>
      <c r="N173" s="12" t="n">
        <v>0.00826315789473684</v>
      </c>
      <c r="O173" s="4" t="n">
        <v>9.03</v>
      </c>
      <c r="P173" s="3" t="n">
        <v>400.872385948482</v>
      </c>
      <c r="Q173" s="4" t="n">
        <v>0.36</v>
      </c>
      <c r="R173" s="13" t="n">
        <f aca="false">P173/200000</f>
        <v>0.00200436192974241</v>
      </c>
      <c r="V173" s="4"/>
      <c r="W173" s="4"/>
    </row>
    <row r="174" customFormat="false" ht="14.25" hidden="false" customHeight="false" outlineLevel="0" collapsed="false">
      <c r="A174" s="0" t="s">
        <v>59</v>
      </c>
      <c r="B174" s="1" t="n">
        <v>10</v>
      </c>
      <c r="C174" s="3" t="n">
        <v>528</v>
      </c>
      <c r="D174" s="1" t="n">
        <v>1</v>
      </c>
      <c r="E174" s="2" t="n">
        <v>45</v>
      </c>
      <c r="F174" s="4" t="n">
        <v>2.8</v>
      </c>
      <c r="G174" s="1" t="n">
        <v>40</v>
      </c>
      <c r="H174" s="1" t="n">
        <v>45</v>
      </c>
      <c r="I174" s="1" t="n">
        <v>100</v>
      </c>
      <c r="J174" s="1" t="n">
        <v>350</v>
      </c>
      <c r="K174" s="1" t="n">
        <v>78.5</v>
      </c>
      <c r="L174" s="1" t="n">
        <v>9500</v>
      </c>
      <c r="M174" s="3" t="n">
        <v>54.1386548495659</v>
      </c>
      <c r="N174" s="12" t="n">
        <v>0.00826315789473684</v>
      </c>
      <c r="O174" s="4" t="n">
        <v>6.96</v>
      </c>
      <c r="P174" s="3" t="n">
        <v>308.978051628066</v>
      </c>
      <c r="Q174" s="4" t="n">
        <v>0.16</v>
      </c>
      <c r="R174" s="13" t="n">
        <f aca="false">P174/200000</f>
        <v>0.00154489025814033</v>
      </c>
      <c r="V174" s="4"/>
      <c r="W174" s="4"/>
    </row>
    <row r="175" customFormat="false" ht="14.25" hidden="false" customHeight="false" outlineLevel="0" collapsed="false">
      <c r="B175" s="1" t="n">
        <v>10</v>
      </c>
      <c r="C175" s="3" t="n">
        <v>528</v>
      </c>
      <c r="D175" s="1" t="n">
        <v>1</v>
      </c>
      <c r="E175" s="2" t="n">
        <v>45</v>
      </c>
      <c r="F175" s="4" t="n">
        <v>2.8</v>
      </c>
      <c r="G175" s="1" t="n">
        <v>40</v>
      </c>
      <c r="H175" s="1" t="n">
        <v>45</v>
      </c>
      <c r="I175" s="1" t="n">
        <v>100</v>
      </c>
      <c r="J175" s="1" t="n">
        <v>350</v>
      </c>
      <c r="K175" s="1" t="n">
        <v>78.5</v>
      </c>
      <c r="L175" s="1" t="n">
        <v>9500</v>
      </c>
      <c r="M175" s="3" t="n">
        <v>54.1386548495659</v>
      </c>
      <c r="N175" s="12" t="n">
        <v>0.00826315789473684</v>
      </c>
      <c r="O175" s="4" t="n">
        <v>7.26</v>
      </c>
      <c r="P175" s="3" t="n">
        <v>322.296071094793</v>
      </c>
      <c r="Q175" s="4" t="n">
        <v>0.18</v>
      </c>
      <c r="R175" s="13" t="n">
        <f aca="false">P175/200000</f>
        <v>0.00161148035547396</v>
      </c>
      <c r="V175" s="4"/>
      <c r="W175" s="4"/>
    </row>
    <row r="176" customFormat="false" ht="14.25" hidden="false" customHeight="false" outlineLevel="0" collapsed="false">
      <c r="B176" s="1" t="n">
        <v>10</v>
      </c>
      <c r="C176" s="3" t="n">
        <v>528</v>
      </c>
      <c r="D176" s="1" t="n">
        <v>1</v>
      </c>
      <c r="E176" s="2" t="n">
        <v>45</v>
      </c>
      <c r="F176" s="4" t="n">
        <v>2.8</v>
      </c>
      <c r="G176" s="1" t="n">
        <v>40</v>
      </c>
      <c r="H176" s="1" t="n">
        <v>45</v>
      </c>
      <c r="I176" s="1" t="n">
        <v>100</v>
      </c>
      <c r="J176" s="1" t="n">
        <v>350</v>
      </c>
      <c r="K176" s="1" t="n">
        <v>78.5</v>
      </c>
      <c r="L176" s="1" t="n">
        <v>9500</v>
      </c>
      <c r="M176" s="3" t="n">
        <v>54.1386548495659</v>
      </c>
      <c r="N176" s="12" t="n">
        <v>0.00826315789473684</v>
      </c>
      <c r="O176" s="4" t="n">
        <v>7.54</v>
      </c>
      <c r="P176" s="3" t="n">
        <v>334.726222597071</v>
      </c>
      <c r="Q176" s="4" t="n">
        <v>0.2</v>
      </c>
      <c r="R176" s="13" t="n">
        <f aca="false">P176/200000</f>
        <v>0.00167363111298536</v>
      </c>
      <c r="V176" s="4"/>
      <c r="W176" s="4"/>
    </row>
    <row r="177" customFormat="false" ht="14.25" hidden="false" customHeight="false" outlineLevel="0" collapsed="false">
      <c r="B177" s="1" t="n">
        <v>10</v>
      </c>
      <c r="C177" s="3" t="n">
        <v>528</v>
      </c>
      <c r="D177" s="1" t="n">
        <v>1</v>
      </c>
      <c r="E177" s="2" t="n">
        <v>45</v>
      </c>
      <c r="F177" s="4" t="n">
        <v>2.8</v>
      </c>
      <c r="G177" s="1" t="n">
        <v>40</v>
      </c>
      <c r="H177" s="1" t="n">
        <v>45</v>
      </c>
      <c r="I177" s="1" t="n">
        <v>100</v>
      </c>
      <c r="J177" s="1" t="n">
        <v>350</v>
      </c>
      <c r="K177" s="1" t="n">
        <v>78.5</v>
      </c>
      <c r="L177" s="1" t="n">
        <v>9500</v>
      </c>
      <c r="M177" s="3" t="n">
        <v>54.1386548495659</v>
      </c>
      <c r="N177" s="12" t="n">
        <v>0.00826315789473684</v>
      </c>
      <c r="O177" s="4" t="n">
        <v>7.83</v>
      </c>
      <c r="P177" s="3" t="n">
        <v>347.600308081574</v>
      </c>
      <c r="Q177" s="4" t="n">
        <v>0.23</v>
      </c>
      <c r="R177" s="13" t="n">
        <f aca="false">P177/200000</f>
        <v>0.00173800154040787</v>
      </c>
      <c r="V177" s="4"/>
      <c r="W177" s="4"/>
    </row>
    <row r="178" customFormat="false" ht="14.25" hidden="false" customHeight="false" outlineLevel="0" collapsed="false">
      <c r="B178" s="1" t="n">
        <v>10</v>
      </c>
      <c r="C178" s="3" t="n">
        <v>528</v>
      </c>
      <c r="D178" s="1" t="n">
        <v>1</v>
      </c>
      <c r="E178" s="2" t="n">
        <v>45</v>
      </c>
      <c r="F178" s="4" t="n">
        <v>2.8</v>
      </c>
      <c r="G178" s="1" t="n">
        <v>40</v>
      </c>
      <c r="H178" s="1" t="n">
        <v>45</v>
      </c>
      <c r="I178" s="1" t="n">
        <v>100</v>
      </c>
      <c r="J178" s="1" t="n">
        <v>350</v>
      </c>
      <c r="K178" s="1" t="n">
        <v>78.5</v>
      </c>
      <c r="L178" s="1" t="n">
        <v>9500</v>
      </c>
      <c r="M178" s="3" t="n">
        <v>54.1386548495659</v>
      </c>
      <c r="N178" s="12" t="n">
        <v>0.00826315789473684</v>
      </c>
      <c r="O178" s="4" t="n">
        <v>8.14</v>
      </c>
      <c r="P178" s="3" t="n">
        <v>361.362261530525</v>
      </c>
      <c r="Q178" s="4" t="n">
        <v>0.24</v>
      </c>
      <c r="R178" s="13" t="n">
        <f aca="false">P178/200000</f>
        <v>0.00180681130765263</v>
      </c>
      <c r="V178" s="4"/>
      <c r="W178" s="4"/>
    </row>
    <row r="179" customFormat="false" ht="14.25" hidden="false" customHeight="false" outlineLevel="0" collapsed="false">
      <c r="B179" s="1" t="n">
        <v>10</v>
      </c>
      <c r="C179" s="3" t="n">
        <v>528</v>
      </c>
      <c r="D179" s="1" t="n">
        <v>1</v>
      </c>
      <c r="E179" s="2" t="n">
        <v>45</v>
      </c>
      <c r="F179" s="4" t="n">
        <v>2.8</v>
      </c>
      <c r="G179" s="1" t="n">
        <v>40</v>
      </c>
      <c r="H179" s="1" t="n">
        <v>45</v>
      </c>
      <c r="I179" s="1" t="n">
        <v>100</v>
      </c>
      <c r="J179" s="1" t="n">
        <v>350</v>
      </c>
      <c r="K179" s="1" t="n">
        <v>78.5</v>
      </c>
      <c r="L179" s="1" t="n">
        <v>9500</v>
      </c>
      <c r="M179" s="3" t="n">
        <v>54.1386548495659</v>
      </c>
      <c r="N179" s="12" t="n">
        <v>0.00826315789473684</v>
      </c>
      <c r="O179" s="4" t="n">
        <v>8.46</v>
      </c>
      <c r="P179" s="3" t="n">
        <v>375.568148961701</v>
      </c>
      <c r="Q179" s="4" t="n">
        <v>0.25</v>
      </c>
      <c r="R179" s="13" t="n">
        <f aca="false">P179/200000</f>
        <v>0.0018778407448085</v>
      </c>
      <c r="V179" s="4"/>
      <c r="W179" s="4"/>
    </row>
    <row r="180" customFormat="false" ht="14.25" hidden="false" customHeight="false" outlineLevel="0" collapsed="false">
      <c r="B180" s="1" t="n">
        <v>10</v>
      </c>
      <c r="C180" s="3" t="n">
        <v>528</v>
      </c>
      <c r="D180" s="1" t="n">
        <v>1</v>
      </c>
      <c r="E180" s="2" t="n">
        <v>45</v>
      </c>
      <c r="F180" s="4" t="n">
        <v>2.8</v>
      </c>
      <c r="G180" s="1" t="n">
        <v>40</v>
      </c>
      <c r="H180" s="1" t="n">
        <v>45</v>
      </c>
      <c r="I180" s="1" t="n">
        <v>100</v>
      </c>
      <c r="J180" s="1" t="n">
        <v>350</v>
      </c>
      <c r="K180" s="1" t="n">
        <v>78.5</v>
      </c>
      <c r="L180" s="1" t="n">
        <v>9500</v>
      </c>
      <c r="M180" s="3" t="n">
        <v>54.1386548495659</v>
      </c>
      <c r="N180" s="12" t="n">
        <v>0.00826315789473684</v>
      </c>
      <c r="O180" s="4" t="n">
        <v>8.75</v>
      </c>
      <c r="P180" s="3" t="n">
        <v>388.442234446203</v>
      </c>
      <c r="Q180" s="4" t="n">
        <v>0.27</v>
      </c>
      <c r="R180" s="13" t="n">
        <f aca="false">P180/200000</f>
        <v>0.00194221117223102</v>
      </c>
      <c r="V180" s="4"/>
      <c r="W180" s="4"/>
    </row>
    <row r="181" customFormat="false" ht="14.25" hidden="false" customHeight="false" outlineLevel="0" collapsed="false">
      <c r="B181" s="1" t="n">
        <v>10</v>
      </c>
      <c r="C181" s="3" t="n">
        <v>528</v>
      </c>
      <c r="D181" s="1" t="n">
        <v>1</v>
      </c>
      <c r="E181" s="2" t="n">
        <v>45</v>
      </c>
      <c r="F181" s="4" t="n">
        <v>2.8</v>
      </c>
      <c r="G181" s="1" t="n">
        <v>40</v>
      </c>
      <c r="H181" s="1" t="n">
        <v>45</v>
      </c>
      <c r="I181" s="1" t="n">
        <v>100</v>
      </c>
      <c r="J181" s="1" t="n">
        <v>350</v>
      </c>
      <c r="K181" s="1" t="n">
        <v>78.5</v>
      </c>
      <c r="L181" s="1" t="n">
        <v>9500</v>
      </c>
      <c r="M181" s="3" t="n">
        <v>54.1386548495659</v>
      </c>
      <c r="N181" s="12" t="n">
        <v>0.00826315789473684</v>
      </c>
      <c r="O181" s="4" t="n">
        <v>9.01</v>
      </c>
      <c r="P181" s="3" t="n">
        <v>399.984517984033</v>
      </c>
      <c r="Q181" s="4" t="n">
        <v>0.29</v>
      </c>
      <c r="R181" s="13" t="n">
        <f aca="false">P181/200000</f>
        <v>0.00199992258992017</v>
      </c>
      <c r="V181" s="4"/>
      <c r="W181" s="4"/>
    </row>
    <row r="182" customFormat="false" ht="14.25" hidden="false" customHeight="false" outlineLevel="0" collapsed="false">
      <c r="A182" s="0" t="s">
        <v>60</v>
      </c>
      <c r="B182" s="1" t="n">
        <v>10</v>
      </c>
      <c r="C182" s="3" t="n">
        <v>528</v>
      </c>
      <c r="D182" s="1" t="n">
        <v>1</v>
      </c>
      <c r="E182" s="2" t="n">
        <v>45</v>
      </c>
      <c r="F182" s="4" t="n">
        <v>2.8</v>
      </c>
      <c r="G182" s="1" t="n">
        <v>40</v>
      </c>
      <c r="H182" s="1" t="n">
        <v>45</v>
      </c>
      <c r="I182" s="1" t="n">
        <v>100</v>
      </c>
      <c r="J182" s="1" t="n">
        <v>350</v>
      </c>
      <c r="K182" s="1" t="n">
        <v>78.5</v>
      </c>
      <c r="L182" s="1" t="n">
        <v>9500</v>
      </c>
      <c r="M182" s="3" t="n">
        <v>54.1386548495659</v>
      </c>
      <c r="N182" s="12" t="n">
        <v>0.00826315789473684</v>
      </c>
      <c r="O182" s="4" t="n">
        <v>7.29</v>
      </c>
      <c r="P182" s="3" t="n">
        <v>323.627873041465</v>
      </c>
      <c r="Q182" s="4" t="n">
        <v>0.15</v>
      </c>
      <c r="R182" s="13" t="n">
        <f aca="false">P182/200000</f>
        <v>0.00161813936520733</v>
      </c>
      <c r="V182" s="4"/>
      <c r="W182" s="4"/>
    </row>
    <row r="183" customFormat="false" ht="14.25" hidden="false" customHeight="false" outlineLevel="0" collapsed="false">
      <c r="B183" s="1" t="n">
        <v>10</v>
      </c>
      <c r="C183" s="3" t="n">
        <v>528</v>
      </c>
      <c r="D183" s="1" t="n">
        <v>1</v>
      </c>
      <c r="E183" s="2" t="n">
        <v>45</v>
      </c>
      <c r="F183" s="4" t="n">
        <v>2.8</v>
      </c>
      <c r="G183" s="1" t="n">
        <v>40</v>
      </c>
      <c r="H183" s="1" t="n">
        <v>45</v>
      </c>
      <c r="I183" s="1" t="n">
        <v>100</v>
      </c>
      <c r="J183" s="1" t="n">
        <v>350</v>
      </c>
      <c r="K183" s="1" t="n">
        <v>78.5</v>
      </c>
      <c r="L183" s="1" t="n">
        <v>9500</v>
      </c>
      <c r="M183" s="3" t="n">
        <v>54.1386548495659</v>
      </c>
      <c r="N183" s="12" t="n">
        <v>0.00826315789473684</v>
      </c>
      <c r="O183" s="4" t="n">
        <v>7.58</v>
      </c>
      <c r="P183" s="3" t="n">
        <v>336.501958525968</v>
      </c>
      <c r="Q183" s="4" t="n">
        <v>0.16</v>
      </c>
      <c r="R183" s="13" t="n">
        <f aca="false">P183/200000</f>
        <v>0.00168250979262984</v>
      </c>
      <c r="V183" s="4"/>
      <c r="W183" s="4"/>
    </row>
    <row r="184" customFormat="false" ht="14.25" hidden="false" customHeight="false" outlineLevel="0" collapsed="false">
      <c r="B184" s="1" t="n">
        <v>10</v>
      </c>
      <c r="C184" s="3" t="n">
        <v>528</v>
      </c>
      <c r="D184" s="1" t="n">
        <v>1</v>
      </c>
      <c r="E184" s="2" t="n">
        <v>45</v>
      </c>
      <c r="F184" s="4" t="n">
        <v>2.8</v>
      </c>
      <c r="G184" s="1" t="n">
        <v>40</v>
      </c>
      <c r="H184" s="1" t="n">
        <v>45</v>
      </c>
      <c r="I184" s="1" t="n">
        <v>100</v>
      </c>
      <c r="J184" s="1" t="n">
        <v>350</v>
      </c>
      <c r="K184" s="1" t="n">
        <v>78.5</v>
      </c>
      <c r="L184" s="1" t="n">
        <v>9500</v>
      </c>
      <c r="M184" s="3" t="n">
        <v>54.1386548495659</v>
      </c>
      <c r="N184" s="12" t="n">
        <v>0.00826315789473684</v>
      </c>
      <c r="O184" s="4" t="n">
        <v>7.99</v>
      </c>
      <c r="P184" s="3" t="n">
        <v>354.703251797162</v>
      </c>
      <c r="Q184" s="4" t="n">
        <v>0.18</v>
      </c>
      <c r="R184" s="13" t="n">
        <f aca="false">P184/200000</f>
        <v>0.00177351625898581</v>
      </c>
      <c r="V184" s="4"/>
      <c r="W184" s="4"/>
    </row>
    <row r="185" customFormat="false" ht="14.25" hidden="false" customHeight="false" outlineLevel="0" collapsed="false">
      <c r="B185" s="1" t="n">
        <v>10</v>
      </c>
      <c r="C185" s="3" t="n">
        <v>528</v>
      </c>
      <c r="D185" s="1" t="n">
        <v>1</v>
      </c>
      <c r="E185" s="2" t="n">
        <v>45</v>
      </c>
      <c r="F185" s="4" t="n">
        <v>2.8</v>
      </c>
      <c r="G185" s="1" t="n">
        <v>40</v>
      </c>
      <c r="H185" s="1" t="n">
        <v>45</v>
      </c>
      <c r="I185" s="1" t="n">
        <v>100</v>
      </c>
      <c r="J185" s="1" t="n">
        <v>350</v>
      </c>
      <c r="K185" s="1" t="n">
        <v>78.5</v>
      </c>
      <c r="L185" s="1" t="n">
        <v>9500</v>
      </c>
      <c r="M185" s="3" t="n">
        <v>54.1386548495659</v>
      </c>
      <c r="N185" s="12" t="n">
        <v>0.00826315789473684</v>
      </c>
      <c r="O185" s="4" t="n">
        <v>8.23</v>
      </c>
      <c r="P185" s="3" t="n">
        <v>365.357667370543</v>
      </c>
      <c r="Q185" s="4" t="n">
        <v>0.18</v>
      </c>
      <c r="R185" s="13" t="n">
        <f aca="false">P185/200000</f>
        <v>0.00182678833685272</v>
      </c>
      <c r="V185" s="4"/>
      <c r="W185" s="4"/>
    </row>
    <row r="186" customFormat="false" ht="14.25" hidden="false" customHeight="false" outlineLevel="0" collapsed="false">
      <c r="B186" s="1" t="n">
        <v>10</v>
      </c>
      <c r="C186" s="3" t="n">
        <v>528</v>
      </c>
      <c r="D186" s="1" t="n">
        <v>1</v>
      </c>
      <c r="E186" s="2" t="n">
        <v>45</v>
      </c>
      <c r="F186" s="4" t="n">
        <v>2.8</v>
      </c>
      <c r="G186" s="1" t="n">
        <v>40</v>
      </c>
      <c r="H186" s="1" t="n">
        <v>45</v>
      </c>
      <c r="I186" s="1" t="n">
        <v>100</v>
      </c>
      <c r="J186" s="1" t="n">
        <v>350</v>
      </c>
      <c r="K186" s="1" t="n">
        <v>78.5</v>
      </c>
      <c r="L186" s="1" t="n">
        <v>9500</v>
      </c>
      <c r="M186" s="3" t="n">
        <v>54.1386548495659</v>
      </c>
      <c r="N186" s="12" t="n">
        <v>0.00826315789473684</v>
      </c>
      <c r="O186" s="4" t="n">
        <v>8.46</v>
      </c>
      <c r="P186" s="3" t="n">
        <v>375.568148961701</v>
      </c>
      <c r="Q186" s="4" t="n">
        <v>0.19</v>
      </c>
      <c r="R186" s="13" t="n">
        <f aca="false">P186/200000</f>
        <v>0.0018778407448085</v>
      </c>
      <c r="V186" s="4"/>
      <c r="W186" s="4"/>
    </row>
    <row r="187" customFormat="false" ht="14.25" hidden="false" customHeight="false" outlineLevel="0" collapsed="false">
      <c r="B187" s="1" t="n">
        <v>10</v>
      </c>
      <c r="C187" s="3" t="n">
        <v>528</v>
      </c>
      <c r="D187" s="1" t="n">
        <v>1</v>
      </c>
      <c r="E187" s="2" t="n">
        <v>45</v>
      </c>
      <c r="F187" s="4" t="n">
        <v>2.8</v>
      </c>
      <c r="G187" s="1" t="n">
        <v>40</v>
      </c>
      <c r="H187" s="1" t="n">
        <v>45</v>
      </c>
      <c r="I187" s="1" t="n">
        <v>100</v>
      </c>
      <c r="J187" s="1" t="n">
        <v>350</v>
      </c>
      <c r="K187" s="1" t="n">
        <v>78.5</v>
      </c>
      <c r="L187" s="1" t="n">
        <v>9500</v>
      </c>
      <c r="M187" s="3" t="n">
        <v>54.1386548495659</v>
      </c>
      <c r="N187" s="12" t="n">
        <v>0.00826315789473684</v>
      </c>
      <c r="O187" s="4" t="n">
        <v>8.71</v>
      </c>
      <c r="P187" s="3" t="n">
        <v>386.666498517306</v>
      </c>
      <c r="Q187" s="4" t="n">
        <v>0.2</v>
      </c>
      <c r="R187" s="13" t="n">
        <f aca="false">P187/200000</f>
        <v>0.00193333249258653</v>
      </c>
      <c r="V187" s="4"/>
      <c r="W187" s="4"/>
    </row>
    <row r="188" customFormat="false" ht="14.25" hidden="false" customHeight="false" outlineLevel="0" collapsed="false">
      <c r="B188" s="1" t="n">
        <v>10</v>
      </c>
      <c r="C188" s="3" t="n">
        <v>528</v>
      </c>
      <c r="D188" s="1" t="n">
        <v>1</v>
      </c>
      <c r="E188" s="2" t="n">
        <v>45</v>
      </c>
      <c r="F188" s="4" t="n">
        <v>2.8</v>
      </c>
      <c r="G188" s="1" t="n">
        <v>40</v>
      </c>
      <c r="H188" s="1" t="n">
        <v>45</v>
      </c>
      <c r="I188" s="1" t="n">
        <v>100</v>
      </c>
      <c r="J188" s="1" t="n">
        <v>350</v>
      </c>
      <c r="K188" s="1" t="n">
        <v>78.5</v>
      </c>
      <c r="L188" s="1" t="n">
        <v>9500</v>
      </c>
      <c r="M188" s="3" t="n">
        <v>54.1386548495659</v>
      </c>
      <c r="N188" s="12" t="n">
        <v>0.00826315789473684</v>
      </c>
      <c r="O188" s="4" t="n">
        <v>9.04</v>
      </c>
      <c r="P188" s="3" t="n">
        <v>401.316319930706</v>
      </c>
      <c r="Q188" s="4" t="n">
        <v>0.22</v>
      </c>
      <c r="R188" s="13" t="n">
        <f aca="false">P188/200000</f>
        <v>0.00200658159965353</v>
      </c>
      <c r="V188" s="4"/>
      <c r="W188" s="4"/>
    </row>
    <row r="189" customFormat="false" ht="14.25" hidden="false" customHeight="false" outlineLevel="0" collapsed="false">
      <c r="A189" s="0" t="s">
        <v>61</v>
      </c>
      <c r="B189" s="1" t="n">
        <v>20</v>
      </c>
      <c r="C189" s="3" t="n">
        <v>598</v>
      </c>
      <c r="D189" s="1" t="n">
        <v>1</v>
      </c>
      <c r="E189" s="2" t="n">
        <v>40</v>
      </c>
      <c r="F189" s="4" t="n">
        <v>2.8</v>
      </c>
      <c r="G189" s="1" t="n">
        <v>40</v>
      </c>
      <c r="H189" s="1" t="n">
        <v>50</v>
      </c>
      <c r="I189" s="1" t="n">
        <v>100</v>
      </c>
      <c r="J189" s="1" t="n">
        <v>350</v>
      </c>
      <c r="K189" s="1" t="n">
        <v>315</v>
      </c>
      <c r="L189" s="1" t="n">
        <v>15000</v>
      </c>
      <c r="M189" s="3" t="n">
        <v>96.3869213691258</v>
      </c>
      <c r="N189" s="12" t="n">
        <v>0.021</v>
      </c>
      <c r="O189" s="4" t="n">
        <v>18.98</v>
      </c>
      <c r="P189" s="3" t="n">
        <v>224.936489423332</v>
      </c>
      <c r="Q189" s="4" t="n">
        <v>0.16</v>
      </c>
      <c r="R189" s="13" t="n">
        <f aca="false">P189/200000</f>
        <v>0.00112468244711666</v>
      </c>
      <c r="V189" s="4"/>
      <c r="W189" s="4"/>
    </row>
    <row r="190" customFormat="false" ht="14.25" hidden="false" customHeight="false" outlineLevel="0" collapsed="false">
      <c r="B190" s="1" t="n">
        <v>20</v>
      </c>
      <c r="C190" s="3" t="n">
        <v>598</v>
      </c>
      <c r="D190" s="1" t="n">
        <v>1</v>
      </c>
      <c r="E190" s="2" t="n">
        <v>40</v>
      </c>
      <c r="F190" s="4" t="n">
        <v>2.8</v>
      </c>
      <c r="G190" s="1" t="n">
        <v>40</v>
      </c>
      <c r="H190" s="1" t="n">
        <v>50</v>
      </c>
      <c r="I190" s="1" t="n">
        <v>100</v>
      </c>
      <c r="J190" s="1" t="n">
        <v>350</v>
      </c>
      <c r="K190" s="1" t="n">
        <v>315</v>
      </c>
      <c r="L190" s="1" t="n">
        <v>15000</v>
      </c>
      <c r="M190" s="3" t="n">
        <v>96.3869213691258</v>
      </c>
      <c r="N190" s="12" t="n">
        <v>0.021</v>
      </c>
      <c r="O190" s="4" t="n">
        <v>21.93</v>
      </c>
      <c r="P190" s="3" t="n">
        <v>259.897640308412</v>
      </c>
      <c r="Q190" s="4" t="n">
        <v>0.2</v>
      </c>
      <c r="R190" s="13" t="n">
        <f aca="false">P190/200000</f>
        <v>0.00129948820154206</v>
      </c>
      <c r="V190" s="4"/>
      <c r="W190" s="4"/>
    </row>
    <row r="191" customFormat="false" ht="14.25" hidden="false" customHeight="false" outlineLevel="0" collapsed="false">
      <c r="B191" s="1" t="n">
        <v>20</v>
      </c>
      <c r="C191" s="3" t="n">
        <v>598</v>
      </c>
      <c r="D191" s="1" t="n">
        <v>1</v>
      </c>
      <c r="E191" s="2" t="n">
        <v>40</v>
      </c>
      <c r="F191" s="4" t="n">
        <v>2.8</v>
      </c>
      <c r="G191" s="1" t="n">
        <v>40</v>
      </c>
      <c r="H191" s="1" t="n">
        <v>50</v>
      </c>
      <c r="I191" s="1" t="n">
        <v>100</v>
      </c>
      <c r="J191" s="1" t="n">
        <v>350</v>
      </c>
      <c r="K191" s="1" t="n">
        <v>315</v>
      </c>
      <c r="L191" s="1" t="n">
        <v>15000</v>
      </c>
      <c r="M191" s="3" t="n">
        <v>96.3869213691258</v>
      </c>
      <c r="N191" s="12" t="n">
        <v>0.021</v>
      </c>
      <c r="O191" s="4" t="n">
        <v>24.87</v>
      </c>
      <c r="P191" s="3" t="n">
        <v>294.740278817611</v>
      </c>
      <c r="Q191" s="4" t="n">
        <v>0.23</v>
      </c>
      <c r="R191" s="13" t="n">
        <f aca="false">P191/200000</f>
        <v>0.00147370139408806</v>
      </c>
      <c r="V191" s="4"/>
      <c r="W191" s="4"/>
    </row>
    <row r="192" customFormat="false" ht="14.25" hidden="false" customHeight="false" outlineLevel="0" collapsed="false">
      <c r="A192" s="0" t="s">
        <v>62</v>
      </c>
      <c r="B192" s="1" t="n">
        <v>20</v>
      </c>
      <c r="C192" s="3" t="n">
        <v>598</v>
      </c>
      <c r="D192" s="1" t="n">
        <v>1</v>
      </c>
      <c r="E192" s="2" t="n">
        <v>40</v>
      </c>
      <c r="F192" s="4" t="n">
        <v>2.8</v>
      </c>
      <c r="G192" s="1" t="n">
        <v>40</v>
      </c>
      <c r="H192" s="1" t="n">
        <v>50</v>
      </c>
      <c r="I192" s="1" t="n">
        <v>100</v>
      </c>
      <c r="J192" s="1" t="n">
        <v>350</v>
      </c>
      <c r="K192" s="1" t="n">
        <v>315</v>
      </c>
      <c r="L192" s="1" t="n">
        <v>15000</v>
      </c>
      <c r="M192" s="3" t="n">
        <v>96.3869213691258</v>
      </c>
      <c r="N192" s="12" t="n">
        <v>0.021</v>
      </c>
      <c r="O192" s="4" t="n">
        <v>18.98</v>
      </c>
      <c r="P192" s="3" t="n">
        <v>224.936489423332</v>
      </c>
      <c r="Q192" s="4" t="n">
        <v>0.14</v>
      </c>
      <c r="R192" s="13" t="n">
        <f aca="false">P192/200000</f>
        <v>0.00112468244711666</v>
      </c>
      <c r="V192" s="4"/>
      <c r="W192" s="4"/>
    </row>
    <row r="193" customFormat="false" ht="14.25" hidden="false" customHeight="false" outlineLevel="0" collapsed="false">
      <c r="B193" s="1" t="n">
        <v>20</v>
      </c>
      <c r="C193" s="3" t="n">
        <v>598</v>
      </c>
      <c r="D193" s="1" t="n">
        <v>1</v>
      </c>
      <c r="E193" s="2" t="n">
        <v>40</v>
      </c>
      <c r="F193" s="4" t="n">
        <v>2.8</v>
      </c>
      <c r="G193" s="1" t="n">
        <v>40</v>
      </c>
      <c r="H193" s="1" t="n">
        <v>50</v>
      </c>
      <c r="I193" s="1" t="n">
        <v>100</v>
      </c>
      <c r="J193" s="1" t="n">
        <v>350</v>
      </c>
      <c r="K193" s="1" t="n">
        <v>315</v>
      </c>
      <c r="L193" s="1" t="n">
        <v>15000</v>
      </c>
      <c r="M193" s="3" t="n">
        <v>96.3869213691258</v>
      </c>
      <c r="N193" s="12" t="n">
        <v>0.021</v>
      </c>
      <c r="O193" s="4" t="n">
        <v>21.89</v>
      </c>
      <c r="P193" s="3" t="n">
        <v>259.423590804886</v>
      </c>
      <c r="Q193" s="4" t="n">
        <v>0.17</v>
      </c>
      <c r="R193" s="13" t="n">
        <f aca="false">P193/200000</f>
        <v>0.00129711795402443</v>
      </c>
      <c r="V193" s="4"/>
      <c r="W193" s="4"/>
    </row>
    <row r="194" customFormat="false" ht="14.25" hidden="false" customHeight="false" outlineLevel="0" collapsed="false">
      <c r="B194" s="1" t="n">
        <v>20</v>
      </c>
      <c r="C194" s="3" t="n">
        <v>598</v>
      </c>
      <c r="D194" s="1" t="n">
        <v>1</v>
      </c>
      <c r="E194" s="2" t="n">
        <v>40</v>
      </c>
      <c r="F194" s="4" t="n">
        <v>2.8</v>
      </c>
      <c r="G194" s="1" t="n">
        <v>40</v>
      </c>
      <c r="H194" s="1" t="n">
        <v>50</v>
      </c>
      <c r="I194" s="1" t="n">
        <v>100</v>
      </c>
      <c r="J194" s="1" t="n">
        <v>350</v>
      </c>
      <c r="K194" s="1" t="n">
        <v>315</v>
      </c>
      <c r="L194" s="1" t="n">
        <v>15000</v>
      </c>
      <c r="M194" s="3" t="n">
        <v>96.3869213691258</v>
      </c>
      <c r="N194" s="12" t="n">
        <v>0.021</v>
      </c>
      <c r="O194" s="4" t="n">
        <v>24.82</v>
      </c>
      <c r="P194" s="3" t="n">
        <v>294.147716938203</v>
      </c>
      <c r="Q194" s="4" t="n">
        <v>0.21</v>
      </c>
      <c r="R194" s="13" t="n">
        <f aca="false">P194/200000</f>
        <v>0.00147073858469102</v>
      </c>
      <c r="V194" s="4"/>
      <c r="W194" s="4"/>
    </row>
    <row r="195" customFormat="false" ht="14.25" hidden="false" customHeight="false" outlineLevel="0" collapsed="false">
      <c r="A195" s="0" t="s">
        <v>63</v>
      </c>
      <c r="B195" s="1" t="n">
        <v>20</v>
      </c>
      <c r="C195" s="3" t="n">
        <v>598</v>
      </c>
      <c r="D195" s="1" t="n">
        <v>1</v>
      </c>
      <c r="E195" s="2" t="n">
        <v>40</v>
      </c>
      <c r="F195" s="4" t="n">
        <v>2.8</v>
      </c>
      <c r="G195" s="1" t="n">
        <v>40</v>
      </c>
      <c r="H195" s="1" t="n">
        <v>50</v>
      </c>
      <c r="I195" s="1" t="n">
        <v>100</v>
      </c>
      <c r="J195" s="1" t="n">
        <v>350</v>
      </c>
      <c r="K195" s="1" t="n">
        <v>315</v>
      </c>
      <c r="L195" s="1" t="n">
        <v>15000</v>
      </c>
      <c r="M195" s="3" t="n">
        <v>96.3869213691258</v>
      </c>
      <c r="N195" s="12" t="n">
        <v>0.021</v>
      </c>
      <c r="O195" s="4" t="n">
        <v>13.02</v>
      </c>
      <c r="P195" s="3" t="n">
        <v>154.303113397881</v>
      </c>
      <c r="Q195" s="4" t="n">
        <v>0.21</v>
      </c>
      <c r="R195" s="13" t="n">
        <f aca="false">P195/200000</f>
        <v>0.000771515566989405</v>
      </c>
      <c r="V195" s="4"/>
      <c r="W195" s="4"/>
    </row>
    <row r="196" customFormat="false" ht="14.25" hidden="false" customHeight="false" outlineLevel="0" collapsed="false">
      <c r="B196" s="1" t="n">
        <v>20</v>
      </c>
      <c r="C196" s="3" t="n">
        <v>598</v>
      </c>
      <c r="D196" s="1" t="n">
        <v>1</v>
      </c>
      <c r="E196" s="2" t="n">
        <v>40</v>
      </c>
      <c r="F196" s="4" t="n">
        <v>2.8</v>
      </c>
      <c r="G196" s="1" t="n">
        <v>40</v>
      </c>
      <c r="H196" s="1" t="n">
        <v>50</v>
      </c>
      <c r="I196" s="1" t="n">
        <v>100</v>
      </c>
      <c r="J196" s="1" t="n">
        <v>350</v>
      </c>
      <c r="K196" s="1" t="n">
        <v>315</v>
      </c>
      <c r="L196" s="1" t="n">
        <v>15000</v>
      </c>
      <c r="M196" s="3" t="n">
        <v>96.3869213691258</v>
      </c>
      <c r="N196" s="12" t="n">
        <v>0.021</v>
      </c>
      <c r="O196" s="4" t="n">
        <v>16.06</v>
      </c>
      <c r="P196" s="3" t="n">
        <v>190.330875665896</v>
      </c>
      <c r="Q196" s="4" t="n">
        <v>0.25</v>
      </c>
      <c r="R196" s="13" t="n">
        <f aca="false">P196/200000</f>
        <v>0.000951654378329481</v>
      </c>
      <c r="V196" s="4"/>
      <c r="W196" s="4"/>
    </row>
    <row r="197" customFormat="false" ht="14.25" hidden="false" customHeight="false" outlineLevel="0" collapsed="false">
      <c r="B197" s="1" t="n">
        <v>20</v>
      </c>
      <c r="C197" s="3" t="n">
        <v>598</v>
      </c>
      <c r="D197" s="1" t="n">
        <v>1</v>
      </c>
      <c r="E197" s="2" t="n">
        <v>40</v>
      </c>
      <c r="F197" s="4" t="n">
        <v>2.8</v>
      </c>
      <c r="G197" s="1" t="n">
        <v>40</v>
      </c>
      <c r="H197" s="1" t="n">
        <v>50</v>
      </c>
      <c r="I197" s="1" t="n">
        <v>100</v>
      </c>
      <c r="J197" s="1" t="n">
        <v>350</v>
      </c>
      <c r="K197" s="1" t="n">
        <v>315</v>
      </c>
      <c r="L197" s="1" t="n">
        <v>15000</v>
      </c>
      <c r="M197" s="3" t="n">
        <v>96.3869213691258</v>
      </c>
      <c r="N197" s="12" t="n">
        <v>0.021</v>
      </c>
      <c r="O197" s="4" t="n">
        <v>18.93</v>
      </c>
      <c r="P197" s="3" t="n">
        <v>224.343927543924</v>
      </c>
      <c r="Q197" s="4" t="n">
        <v>0.29</v>
      </c>
      <c r="R197" s="13" t="n">
        <f aca="false">P197/200000</f>
        <v>0.00112171963771962</v>
      </c>
      <c r="V197" s="4"/>
      <c r="W197" s="4"/>
    </row>
    <row r="198" customFormat="false" ht="14.25" hidden="false" customHeight="false" outlineLevel="0" collapsed="false">
      <c r="B198" s="1" t="n">
        <v>20</v>
      </c>
      <c r="C198" s="3" t="n">
        <v>598</v>
      </c>
      <c r="D198" s="1" t="n">
        <v>1</v>
      </c>
      <c r="E198" s="2" t="n">
        <v>40</v>
      </c>
      <c r="F198" s="4" t="n">
        <v>2.8</v>
      </c>
      <c r="G198" s="1" t="n">
        <v>40</v>
      </c>
      <c r="H198" s="1" t="n">
        <v>50</v>
      </c>
      <c r="I198" s="1" t="n">
        <v>100</v>
      </c>
      <c r="J198" s="1" t="n">
        <v>350</v>
      </c>
      <c r="K198" s="1" t="n">
        <v>315</v>
      </c>
      <c r="L198" s="1" t="n">
        <v>15000</v>
      </c>
      <c r="M198" s="3" t="n">
        <v>96.3869213691258</v>
      </c>
      <c r="N198" s="12" t="n">
        <v>0.021</v>
      </c>
      <c r="O198" s="4" t="n">
        <v>21.81</v>
      </c>
      <c r="P198" s="3" t="n">
        <v>258.475491797833</v>
      </c>
      <c r="Q198" s="4" t="n">
        <v>0.33</v>
      </c>
      <c r="R198" s="13" t="n">
        <f aca="false">P198/200000</f>
        <v>0.00129237745898916</v>
      </c>
      <c r="V198" s="4"/>
      <c r="W198" s="4"/>
    </row>
    <row r="199" customFormat="false" ht="14.25" hidden="false" customHeight="false" outlineLevel="0" collapsed="false">
      <c r="B199" s="1" t="n">
        <v>20</v>
      </c>
      <c r="C199" s="3" t="n">
        <v>598</v>
      </c>
      <c r="D199" s="1" t="n">
        <v>1</v>
      </c>
      <c r="E199" s="2" t="n">
        <v>40</v>
      </c>
      <c r="F199" s="4" t="n">
        <v>2.8</v>
      </c>
      <c r="G199" s="1" t="n">
        <v>40</v>
      </c>
      <c r="H199" s="1" t="n">
        <v>50</v>
      </c>
      <c r="I199" s="1" t="n">
        <v>100</v>
      </c>
      <c r="J199" s="1" t="n">
        <v>350</v>
      </c>
      <c r="K199" s="1" t="n">
        <v>315</v>
      </c>
      <c r="L199" s="1" t="n">
        <v>15000</v>
      </c>
      <c r="M199" s="3" t="n">
        <v>96.3869213691258</v>
      </c>
      <c r="N199" s="12" t="n">
        <v>0.021</v>
      </c>
      <c r="O199" s="4" t="n">
        <v>25.88</v>
      </c>
      <c r="P199" s="3" t="n">
        <v>306.710028781656</v>
      </c>
      <c r="Q199" s="4" t="n">
        <v>0.37</v>
      </c>
      <c r="R199" s="13" t="n">
        <f aca="false">P199/200000</f>
        <v>0.00153355014390828</v>
      </c>
      <c r="V199" s="4"/>
      <c r="W199" s="4"/>
    </row>
    <row r="200" customFormat="false" ht="14.25" hidden="false" customHeight="false" outlineLevel="0" collapsed="false">
      <c r="A200" s="0" t="s">
        <v>64</v>
      </c>
      <c r="B200" s="1" t="n">
        <v>20</v>
      </c>
      <c r="C200" s="3" t="n">
        <v>430</v>
      </c>
      <c r="D200" s="1" t="n">
        <v>6</v>
      </c>
      <c r="E200" s="2" t="n">
        <v>84</v>
      </c>
      <c r="F200" s="4" t="n">
        <v>3.50882128585544</v>
      </c>
      <c r="G200" s="1" t="n">
        <v>50</v>
      </c>
      <c r="H200" s="1" t="n">
        <v>64</v>
      </c>
      <c r="I200" s="1" t="n">
        <v>600</v>
      </c>
      <c r="J200" s="1" t="n">
        <v>400</v>
      </c>
      <c r="K200" s="1" t="n">
        <v>1884</v>
      </c>
      <c r="L200" s="1" t="n">
        <v>98400</v>
      </c>
      <c r="M200" s="3" t="n">
        <v>96.251010941285</v>
      </c>
      <c r="N200" s="12" t="n">
        <v>0.0191463414634146</v>
      </c>
      <c r="O200" s="4" t="n">
        <v>103</v>
      </c>
      <c r="P200" s="3" t="n">
        <v>179.888040262956</v>
      </c>
      <c r="Q200" s="4" t="n">
        <v>0.15</v>
      </c>
      <c r="R200" s="13" t="n">
        <f aca="false">P200/200000</f>
        <v>0.000899440201314778</v>
      </c>
      <c r="V200" s="4"/>
      <c r="W200" s="4"/>
    </row>
    <row r="201" customFormat="false" ht="14.25" hidden="false" customHeight="false" outlineLevel="0" collapsed="false">
      <c r="B201" s="1" t="n">
        <v>20</v>
      </c>
      <c r="C201" s="3" t="n">
        <v>430</v>
      </c>
      <c r="D201" s="1" t="n">
        <v>6</v>
      </c>
      <c r="E201" s="2" t="n">
        <v>84</v>
      </c>
      <c r="F201" s="4" t="n">
        <v>3.50882128585544</v>
      </c>
      <c r="G201" s="1" t="n">
        <v>50</v>
      </c>
      <c r="H201" s="1" t="n">
        <v>64</v>
      </c>
      <c r="I201" s="1" t="n">
        <v>600</v>
      </c>
      <c r="J201" s="1" t="n">
        <v>400</v>
      </c>
      <c r="K201" s="1" t="n">
        <v>1884</v>
      </c>
      <c r="L201" s="1" t="n">
        <v>98400</v>
      </c>
      <c r="M201" s="3" t="n">
        <v>96.251010941285</v>
      </c>
      <c r="N201" s="12" t="n">
        <v>0.0191463414634146</v>
      </c>
      <c r="O201" s="4" t="n">
        <v>129</v>
      </c>
      <c r="P201" s="3" t="n">
        <v>225.296671785643</v>
      </c>
      <c r="Q201" s="4" t="n">
        <v>0.23</v>
      </c>
      <c r="R201" s="13" t="n">
        <f aca="false">P201/200000</f>
        <v>0.00112648335892822</v>
      </c>
      <c r="V201" s="4"/>
      <c r="W201" s="4"/>
    </row>
    <row r="202" customFormat="false" ht="14.25" hidden="false" customHeight="false" outlineLevel="0" collapsed="false">
      <c r="B202" s="1" t="n">
        <v>20</v>
      </c>
      <c r="C202" s="3" t="n">
        <v>430</v>
      </c>
      <c r="D202" s="1" t="n">
        <v>6</v>
      </c>
      <c r="E202" s="2" t="n">
        <v>84</v>
      </c>
      <c r="F202" s="4" t="n">
        <v>3.50882128585544</v>
      </c>
      <c r="G202" s="1" t="n">
        <v>50</v>
      </c>
      <c r="H202" s="1" t="n">
        <v>64</v>
      </c>
      <c r="I202" s="1" t="n">
        <v>600</v>
      </c>
      <c r="J202" s="1" t="n">
        <v>400</v>
      </c>
      <c r="K202" s="1" t="n">
        <v>1884</v>
      </c>
      <c r="L202" s="1" t="n">
        <v>98400</v>
      </c>
      <c r="M202" s="3" t="n">
        <v>96.251010941285</v>
      </c>
      <c r="N202" s="12" t="n">
        <v>0.0191463414634146</v>
      </c>
      <c r="O202" s="4" t="n">
        <v>155</v>
      </c>
      <c r="P202" s="3" t="n">
        <v>270.705303308331</v>
      </c>
      <c r="Q202" s="4" t="n">
        <v>0.28</v>
      </c>
      <c r="R202" s="13" t="n">
        <f aca="false">P202/200000</f>
        <v>0.00135352651654166</v>
      </c>
      <c r="V202" s="4"/>
      <c r="W202" s="4"/>
    </row>
    <row r="203" customFormat="false" ht="14.25" hidden="false" customHeight="false" outlineLevel="0" collapsed="false">
      <c r="A203" s="0" t="s">
        <v>65</v>
      </c>
      <c r="B203" s="1" t="n">
        <v>20</v>
      </c>
      <c r="C203" s="3" t="n">
        <v>430</v>
      </c>
      <c r="D203" s="1" t="n">
        <v>9</v>
      </c>
      <c r="E203" s="2" t="n">
        <v>45</v>
      </c>
      <c r="F203" s="4" t="n">
        <v>3.50882128585544</v>
      </c>
      <c r="G203" s="1" t="n">
        <v>50</v>
      </c>
      <c r="H203" s="1" t="n">
        <v>64</v>
      </c>
      <c r="I203" s="1" t="n">
        <v>600</v>
      </c>
      <c r="J203" s="1" t="n">
        <v>400</v>
      </c>
      <c r="K203" s="1" t="n">
        <v>2826</v>
      </c>
      <c r="L203" s="1" t="n">
        <v>98400</v>
      </c>
      <c r="M203" s="3" t="n">
        <v>113.550333982961</v>
      </c>
      <c r="N203" s="12" t="n">
        <v>0.028719512195122</v>
      </c>
      <c r="O203" s="4" t="n">
        <v>149</v>
      </c>
      <c r="P203" s="3" t="n">
        <v>176.839573733521</v>
      </c>
      <c r="Q203" s="4" t="n">
        <v>0.18</v>
      </c>
      <c r="R203" s="13" t="n">
        <f aca="false">P203/200000</f>
        <v>0.000884197868667605</v>
      </c>
      <c r="V203" s="4"/>
      <c r="W203" s="4"/>
    </row>
    <row r="204" customFormat="false" ht="14.25" hidden="false" customHeight="false" outlineLevel="0" collapsed="false">
      <c r="B204" s="1" t="n">
        <v>20</v>
      </c>
      <c r="C204" s="3" t="n">
        <v>430</v>
      </c>
      <c r="D204" s="1" t="n">
        <v>9</v>
      </c>
      <c r="E204" s="2" t="n">
        <v>45</v>
      </c>
      <c r="F204" s="4" t="n">
        <v>3.50882128585544</v>
      </c>
      <c r="G204" s="1" t="n">
        <v>50</v>
      </c>
      <c r="H204" s="1" t="n">
        <v>64</v>
      </c>
      <c r="I204" s="1" t="n">
        <v>600</v>
      </c>
      <c r="J204" s="1" t="n">
        <v>400</v>
      </c>
      <c r="K204" s="1" t="n">
        <v>2826</v>
      </c>
      <c r="L204" s="1" t="n">
        <v>98400</v>
      </c>
      <c r="M204" s="3" t="n">
        <v>113.550333982961</v>
      </c>
      <c r="N204" s="12" t="n">
        <v>0.028719512195122</v>
      </c>
      <c r="O204" s="4" t="n">
        <v>186</v>
      </c>
      <c r="P204" s="3" t="n">
        <v>220.752756472718</v>
      </c>
      <c r="Q204" s="4" t="n">
        <v>0.26</v>
      </c>
      <c r="R204" s="13" t="n">
        <f aca="false">P204/200000</f>
        <v>0.00110376378236359</v>
      </c>
      <c r="V204" s="4"/>
      <c r="W204" s="4"/>
    </row>
    <row r="205" customFormat="false" ht="14.25" hidden="false" customHeight="false" outlineLevel="0" collapsed="false">
      <c r="B205" s="1" t="n">
        <v>20</v>
      </c>
      <c r="C205" s="3" t="n">
        <v>430</v>
      </c>
      <c r="D205" s="1" t="n">
        <v>9</v>
      </c>
      <c r="E205" s="2" t="n">
        <v>45</v>
      </c>
      <c r="F205" s="4" t="n">
        <v>3.50882128585544</v>
      </c>
      <c r="G205" s="1" t="n">
        <v>50</v>
      </c>
      <c r="H205" s="1" t="n">
        <v>64</v>
      </c>
      <c r="I205" s="1" t="n">
        <v>600</v>
      </c>
      <c r="J205" s="1" t="n">
        <v>400</v>
      </c>
      <c r="K205" s="1" t="n">
        <v>2826</v>
      </c>
      <c r="L205" s="1" t="n">
        <v>98400</v>
      </c>
      <c r="M205" s="3" t="n">
        <v>113.550333982961</v>
      </c>
      <c r="N205" s="12" t="n">
        <v>0.028719512195122</v>
      </c>
      <c r="O205" s="4" t="n">
        <v>223</v>
      </c>
      <c r="P205" s="3" t="n">
        <v>264.665939211914</v>
      </c>
      <c r="Q205" s="4" t="n">
        <v>0.34</v>
      </c>
      <c r="R205" s="13" t="n">
        <f aca="false">P205/200000</f>
        <v>0.00132332969605957</v>
      </c>
      <c r="V205" s="4"/>
      <c r="W205" s="4"/>
    </row>
    <row r="206" customFormat="false" ht="14.25" hidden="false" customHeight="false" outlineLevel="0" collapsed="false">
      <c r="A206" s="0" t="s">
        <v>66</v>
      </c>
      <c r="B206" s="1" t="n">
        <v>16</v>
      </c>
      <c r="C206" s="3" t="n">
        <v>528</v>
      </c>
      <c r="D206" s="1" t="n">
        <v>2</v>
      </c>
      <c r="E206" s="2" t="n">
        <v>52</v>
      </c>
      <c r="F206" s="4" t="n">
        <v>3.42</v>
      </c>
      <c r="G206" s="1" t="n">
        <v>27</v>
      </c>
      <c r="H206" s="1" t="n">
        <v>35</v>
      </c>
      <c r="I206" s="1" t="n">
        <v>150</v>
      </c>
      <c r="J206" s="1" t="n">
        <v>235</v>
      </c>
      <c r="K206" s="1" t="n">
        <v>402</v>
      </c>
      <c r="L206" s="1" t="n">
        <v>17250</v>
      </c>
      <c r="M206" s="3" t="n">
        <v>69.8404266407112</v>
      </c>
      <c r="N206" s="12" t="n">
        <v>0.023304347826087</v>
      </c>
      <c r="O206" s="4" t="n">
        <v>16.675</v>
      </c>
      <c r="P206" s="3" t="n">
        <v>234.722345423214</v>
      </c>
      <c r="Q206" s="4" t="n">
        <v>0.15</v>
      </c>
      <c r="R206" s="13" t="n">
        <f aca="false">P206/200000</f>
        <v>0.00117361172711607</v>
      </c>
      <c r="V206" s="4"/>
      <c r="W206" s="4"/>
    </row>
    <row r="207" customFormat="false" ht="14.25" hidden="false" customHeight="false" outlineLevel="0" collapsed="false">
      <c r="B207" s="1" t="n">
        <v>16</v>
      </c>
      <c r="C207" s="3" t="n">
        <v>528</v>
      </c>
      <c r="D207" s="1" t="n">
        <v>2</v>
      </c>
      <c r="E207" s="2" t="n">
        <v>52</v>
      </c>
      <c r="F207" s="4" t="n">
        <v>3.42</v>
      </c>
      <c r="G207" s="1" t="n">
        <v>27</v>
      </c>
      <c r="H207" s="1" t="n">
        <v>35</v>
      </c>
      <c r="I207" s="1" t="n">
        <v>150</v>
      </c>
      <c r="J207" s="1" t="n">
        <v>235</v>
      </c>
      <c r="K207" s="1" t="n">
        <v>402</v>
      </c>
      <c r="L207" s="1" t="n">
        <v>17250</v>
      </c>
      <c r="M207" s="3" t="n">
        <v>69.8404266407112</v>
      </c>
      <c r="N207" s="12" t="n">
        <v>0.023304347826087</v>
      </c>
      <c r="O207" s="4" t="n">
        <v>22.425</v>
      </c>
      <c r="P207" s="3" t="n">
        <v>315.661085224322</v>
      </c>
      <c r="Q207" s="4" t="n">
        <v>0.19</v>
      </c>
      <c r="R207" s="13" t="n">
        <f aca="false">P207/200000</f>
        <v>0.00157830542612161</v>
      </c>
      <c r="V207" s="4"/>
      <c r="W207" s="4"/>
    </row>
    <row r="208" customFormat="false" ht="14.25" hidden="false" customHeight="false" outlineLevel="0" collapsed="false">
      <c r="B208" s="1" t="n">
        <v>16</v>
      </c>
      <c r="C208" s="3" t="n">
        <v>528</v>
      </c>
      <c r="D208" s="1" t="n">
        <v>2</v>
      </c>
      <c r="E208" s="2" t="n">
        <v>52</v>
      </c>
      <c r="F208" s="4" t="n">
        <v>3.42</v>
      </c>
      <c r="G208" s="1" t="n">
        <v>27</v>
      </c>
      <c r="H208" s="1" t="n">
        <v>35</v>
      </c>
      <c r="I208" s="1" t="n">
        <v>150</v>
      </c>
      <c r="J208" s="1" t="n">
        <v>235</v>
      </c>
      <c r="K208" s="1" t="n">
        <v>402</v>
      </c>
      <c r="L208" s="1" t="n">
        <v>17250</v>
      </c>
      <c r="M208" s="3" t="n">
        <v>69.8404266407112</v>
      </c>
      <c r="N208" s="12" t="n">
        <v>0.023304347826087</v>
      </c>
      <c r="O208" s="4" t="n">
        <v>25.875</v>
      </c>
      <c r="P208" s="3" t="n">
        <v>364.224329104987</v>
      </c>
      <c r="Q208" s="4" t="n">
        <v>0.22</v>
      </c>
      <c r="R208" s="13" t="n">
        <f aca="false">P208/200000</f>
        <v>0.00182112164552494</v>
      </c>
      <c r="V208" s="4"/>
      <c r="W208" s="4"/>
    </row>
    <row r="209" customFormat="false" ht="14.25" hidden="false" customHeight="false" outlineLevel="0" collapsed="false">
      <c r="B209" s="1" t="n">
        <v>16</v>
      </c>
      <c r="C209" s="3" t="n">
        <v>528</v>
      </c>
      <c r="D209" s="1" t="n">
        <v>2</v>
      </c>
      <c r="E209" s="2" t="n">
        <v>52</v>
      </c>
      <c r="F209" s="4" t="n">
        <v>3.42</v>
      </c>
      <c r="G209" s="1" t="n">
        <v>27</v>
      </c>
      <c r="H209" s="1" t="n">
        <v>35</v>
      </c>
      <c r="I209" s="1" t="n">
        <v>150</v>
      </c>
      <c r="J209" s="1" t="n">
        <v>235</v>
      </c>
      <c r="K209" s="1" t="n">
        <v>402</v>
      </c>
      <c r="L209" s="1" t="n">
        <v>17250</v>
      </c>
      <c r="M209" s="3" t="n">
        <v>69.8404266407112</v>
      </c>
      <c r="N209" s="12" t="n">
        <v>0.023304347826087</v>
      </c>
      <c r="O209" s="4" t="n">
        <v>28.75</v>
      </c>
      <c r="P209" s="3" t="n">
        <v>404.693699005541</v>
      </c>
      <c r="Q209" s="4" t="n">
        <v>0.22</v>
      </c>
      <c r="R209" s="13" t="n">
        <f aca="false">P209/200000</f>
        <v>0.00202346849502771</v>
      </c>
      <c r="V209" s="4"/>
      <c r="W209" s="4"/>
    </row>
    <row r="210" customFormat="false" ht="14.25" hidden="false" customHeight="false" outlineLevel="0" collapsed="false">
      <c r="B210" s="1" t="n">
        <v>16</v>
      </c>
      <c r="C210" s="3" t="n">
        <v>528</v>
      </c>
      <c r="D210" s="1" t="n">
        <v>2</v>
      </c>
      <c r="E210" s="2" t="n">
        <v>52</v>
      </c>
      <c r="F210" s="4" t="n">
        <v>3.42</v>
      </c>
      <c r="G210" s="1" t="n">
        <v>27</v>
      </c>
      <c r="H210" s="1" t="n">
        <v>35</v>
      </c>
      <c r="I210" s="1" t="n">
        <v>150</v>
      </c>
      <c r="J210" s="1" t="n">
        <v>235</v>
      </c>
      <c r="K210" s="1" t="n">
        <v>402</v>
      </c>
      <c r="L210" s="1" t="n">
        <v>17250</v>
      </c>
      <c r="M210" s="3" t="n">
        <v>69.8404266407112</v>
      </c>
      <c r="N210" s="12" t="n">
        <v>0.023304347826087</v>
      </c>
      <c r="O210" s="4" t="n">
        <v>33.35</v>
      </c>
      <c r="P210" s="3" t="n">
        <v>469.444690846428</v>
      </c>
      <c r="Q210" s="4" t="n">
        <v>0.25</v>
      </c>
      <c r="R210" s="13" t="n">
        <f aca="false">P210/200000</f>
        <v>0.00234722345423214</v>
      </c>
      <c r="V210" s="4"/>
      <c r="W210" s="4"/>
    </row>
    <row r="211" customFormat="false" ht="14.25" hidden="false" customHeight="false" outlineLevel="0" collapsed="false">
      <c r="B211" s="1" t="n">
        <v>16</v>
      </c>
      <c r="C211" s="3" t="n">
        <v>528</v>
      </c>
      <c r="D211" s="1" t="n">
        <v>2</v>
      </c>
      <c r="E211" s="2" t="n">
        <v>52</v>
      </c>
      <c r="F211" s="4" t="n">
        <v>3.42</v>
      </c>
      <c r="G211" s="1" t="n">
        <v>27</v>
      </c>
      <c r="H211" s="1" t="n">
        <v>35</v>
      </c>
      <c r="I211" s="1" t="n">
        <v>150</v>
      </c>
      <c r="J211" s="1" t="n">
        <v>235</v>
      </c>
      <c r="K211" s="1" t="n">
        <v>402</v>
      </c>
      <c r="L211" s="1" t="n">
        <v>17250</v>
      </c>
      <c r="M211" s="3" t="n">
        <v>69.8404266407112</v>
      </c>
      <c r="N211" s="12" t="n">
        <v>0.023304347826087</v>
      </c>
      <c r="O211" s="4" t="n">
        <v>37.375</v>
      </c>
      <c r="P211" s="3" t="n">
        <v>526.101808707204</v>
      </c>
      <c r="Q211" s="4" t="n">
        <v>0.29</v>
      </c>
      <c r="R211" s="13" t="n">
        <f aca="false">P211/200000</f>
        <v>0.00263050904353602</v>
      </c>
      <c r="V211" s="4"/>
      <c r="W211" s="4"/>
    </row>
    <row r="212" customFormat="false" ht="14.25" hidden="false" customHeight="false" outlineLevel="0" collapsed="false">
      <c r="A212" s="0" t="s">
        <v>67</v>
      </c>
      <c r="B212" s="1" t="n">
        <v>20</v>
      </c>
      <c r="C212" s="3" t="n">
        <v>528</v>
      </c>
      <c r="D212" s="1" t="n">
        <v>2</v>
      </c>
      <c r="E212" s="2" t="n">
        <v>44</v>
      </c>
      <c r="F212" s="4" t="n">
        <v>3.42</v>
      </c>
      <c r="G212" s="1" t="n">
        <v>25</v>
      </c>
      <c r="H212" s="1" t="n">
        <v>35</v>
      </c>
      <c r="I212" s="1" t="n">
        <v>150</v>
      </c>
      <c r="J212" s="1" t="n">
        <v>235</v>
      </c>
      <c r="K212" s="1" t="n">
        <v>628</v>
      </c>
      <c r="L212" s="1" t="n">
        <v>18375</v>
      </c>
      <c r="M212" s="3" t="n">
        <v>82.8238244445564</v>
      </c>
      <c r="N212" s="12" t="n">
        <v>0.0341768707482993</v>
      </c>
      <c r="O212" s="4" t="n">
        <v>29.325</v>
      </c>
      <c r="P212" s="3" t="n">
        <v>270.870133310726</v>
      </c>
      <c r="Q212" s="4" t="n">
        <v>0.17</v>
      </c>
      <c r="R212" s="13" t="n">
        <f aca="false">P212/200000</f>
        <v>0.00135435066655363</v>
      </c>
      <c r="V212" s="4"/>
      <c r="W212" s="4"/>
    </row>
    <row r="213" customFormat="false" ht="14.25" hidden="false" customHeight="false" outlineLevel="0" collapsed="false">
      <c r="B213" s="1" t="n">
        <v>20</v>
      </c>
      <c r="C213" s="3" t="n">
        <v>528</v>
      </c>
      <c r="D213" s="1" t="n">
        <v>2</v>
      </c>
      <c r="E213" s="2" t="n">
        <v>44</v>
      </c>
      <c r="F213" s="4" t="n">
        <v>3.42</v>
      </c>
      <c r="G213" s="1" t="n">
        <v>25</v>
      </c>
      <c r="H213" s="1" t="n">
        <v>35</v>
      </c>
      <c r="I213" s="1" t="n">
        <v>150</v>
      </c>
      <c r="J213" s="1" t="n">
        <v>235</v>
      </c>
      <c r="K213" s="1" t="n">
        <v>628</v>
      </c>
      <c r="L213" s="1" t="n">
        <v>18375</v>
      </c>
      <c r="M213" s="3" t="n">
        <v>82.8238244445564</v>
      </c>
      <c r="N213" s="12" t="n">
        <v>0.0341768707482993</v>
      </c>
      <c r="O213" s="4" t="n">
        <v>33.35</v>
      </c>
      <c r="P213" s="3" t="n">
        <v>308.048386902394</v>
      </c>
      <c r="Q213" s="4" t="n">
        <v>0.19</v>
      </c>
      <c r="R213" s="13" t="n">
        <f aca="false">P213/200000</f>
        <v>0.00154024193451197</v>
      </c>
      <c r="V213" s="4"/>
      <c r="W213" s="4"/>
    </row>
    <row r="214" customFormat="false" ht="14.25" hidden="false" customHeight="false" outlineLevel="0" collapsed="false">
      <c r="B214" s="1" t="n">
        <v>20</v>
      </c>
      <c r="C214" s="3" t="n">
        <v>528</v>
      </c>
      <c r="D214" s="1" t="n">
        <v>2</v>
      </c>
      <c r="E214" s="2" t="n">
        <v>44</v>
      </c>
      <c r="F214" s="4" t="n">
        <v>3.42</v>
      </c>
      <c r="G214" s="1" t="n">
        <v>25</v>
      </c>
      <c r="H214" s="1" t="n">
        <v>35</v>
      </c>
      <c r="I214" s="1" t="n">
        <v>150</v>
      </c>
      <c r="J214" s="1" t="n">
        <v>235</v>
      </c>
      <c r="K214" s="1" t="n">
        <v>628</v>
      </c>
      <c r="L214" s="1" t="n">
        <v>18375</v>
      </c>
      <c r="M214" s="3" t="n">
        <v>82.8238244445564</v>
      </c>
      <c r="N214" s="12" t="n">
        <v>0.0341768707482993</v>
      </c>
      <c r="O214" s="4" t="n">
        <v>38.525</v>
      </c>
      <c r="P214" s="3" t="n">
        <v>355.848998663111</v>
      </c>
      <c r="Q214" s="4" t="n">
        <v>0.21</v>
      </c>
      <c r="R214" s="13" t="n">
        <f aca="false">P214/200000</f>
        <v>0.00177924499331555</v>
      </c>
      <c r="V214" s="4"/>
      <c r="W214" s="4"/>
    </row>
    <row r="215" customFormat="false" ht="14.25" hidden="false" customHeight="false" outlineLevel="0" collapsed="false">
      <c r="B215" s="1" t="n">
        <v>20</v>
      </c>
      <c r="C215" s="3" t="n">
        <v>528</v>
      </c>
      <c r="D215" s="1" t="n">
        <v>2</v>
      </c>
      <c r="E215" s="2" t="n">
        <v>44</v>
      </c>
      <c r="F215" s="4" t="n">
        <v>3.42</v>
      </c>
      <c r="G215" s="1" t="n">
        <v>25</v>
      </c>
      <c r="H215" s="1" t="n">
        <v>35</v>
      </c>
      <c r="I215" s="1" t="n">
        <v>150</v>
      </c>
      <c r="J215" s="1" t="n">
        <v>235</v>
      </c>
      <c r="K215" s="1" t="n">
        <v>628</v>
      </c>
      <c r="L215" s="1" t="n">
        <v>18375</v>
      </c>
      <c r="M215" s="3" t="n">
        <v>82.8238244445564</v>
      </c>
      <c r="N215" s="12" t="n">
        <v>0.0341768707482993</v>
      </c>
      <c r="O215" s="4" t="n">
        <v>40.825</v>
      </c>
      <c r="P215" s="3" t="n">
        <v>377.093715001207</v>
      </c>
      <c r="Q215" s="4" t="n">
        <v>0.23</v>
      </c>
      <c r="R215" s="13" t="n">
        <f aca="false">P215/200000</f>
        <v>0.00188546857500603</v>
      </c>
      <c r="V215" s="4"/>
      <c r="W215" s="4"/>
    </row>
    <row r="216" customFormat="false" ht="14.25" hidden="false" customHeight="false" outlineLevel="0" collapsed="false">
      <c r="B216" s="1" t="n">
        <v>20</v>
      </c>
      <c r="C216" s="3" t="n">
        <v>528</v>
      </c>
      <c r="D216" s="1" t="n">
        <v>2</v>
      </c>
      <c r="E216" s="2" t="n">
        <v>44</v>
      </c>
      <c r="F216" s="4" t="n">
        <v>3.42</v>
      </c>
      <c r="G216" s="1" t="n">
        <v>25</v>
      </c>
      <c r="H216" s="1" t="n">
        <v>35</v>
      </c>
      <c r="I216" s="1" t="n">
        <v>150</v>
      </c>
      <c r="J216" s="1" t="n">
        <v>235</v>
      </c>
      <c r="K216" s="1" t="n">
        <v>628</v>
      </c>
      <c r="L216" s="1" t="n">
        <v>18375</v>
      </c>
      <c r="M216" s="3" t="n">
        <v>82.8238244445564</v>
      </c>
      <c r="N216" s="12" t="n">
        <v>0.0341768707482993</v>
      </c>
      <c r="O216" s="4" t="n">
        <v>46</v>
      </c>
      <c r="P216" s="3" t="n">
        <v>424.894326761923</v>
      </c>
      <c r="Q216" s="4" t="n">
        <v>0.25</v>
      </c>
      <c r="R216" s="13" t="n">
        <f aca="false">P216/200000</f>
        <v>0.00212447163380962</v>
      </c>
      <c r="V216" s="4"/>
      <c r="W216" s="4"/>
    </row>
    <row r="217" customFormat="false" ht="14.25" hidden="false" customHeight="false" outlineLevel="0" collapsed="false">
      <c r="B217" s="1" t="n">
        <v>20</v>
      </c>
      <c r="C217" s="3" t="n">
        <v>528</v>
      </c>
      <c r="D217" s="1" t="n">
        <v>2</v>
      </c>
      <c r="E217" s="2" t="n">
        <v>44</v>
      </c>
      <c r="F217" s="4" t="n">
        <v>3.42</v>
      </c>
      <c r="G217" s="1" t="n">
        <v>25</v>
      </c>
      <c r="H217" s="1" t="n">
        <v>35</v>
      </c>
      <c r="I217" s="1" t="n">
        <v>150</v>
      </c>
      <c r="J217" s="1" t="n">
        <v>235</v>
      </c>
      <c r="K217" s="1" t="n">
        <v>628</v>
      </c>
      <c r="L217" s="1" t="n">
        <v>18375</v>
      </c>
      <c r="M217" s="3" t="n">
        <v>82.8238244445564</v>
      </c>
      <c r="N217" s="12" t="n">
        <v>0.0341768707482993</v>
      </c>
      <c r="O217" s="4" t="n">
        <v>56.925</v>
      </c>
      <c r="P217" s="3" t="n">
        <v>525.80672936788</v>
      </c>
      <c r="Q217" s="4" t="n">
        <v>0.25</v>
      </c>
      <c r="R217" s="13" t="n">
        <f aca="false">P217/200000</f>
        <v>0.0026290336468394</v>
      </c>
      <c r="V217" s="4"/>
      <c r="W217" s="4"/>
    </row>
    <row r="218" customFormat="false" ht="14.25" hidden="false" customHeight="false" outlineLevel="0" collapsed="false">
      <c r="A218" s="0" t="s">
        <v>68</v>
      </c>
      <c r="B218" s="1" t="n">
        <v>20</v>
      </c>
      <c r="C218" s="3" t="n">
        <v>528</v>
      </c>
      <c r="D218" s="1" t="n">
        <v>3</v>
      </c>
      <c r="E218" s="2" t="n">
        <v>12</v>
      </c>
      <c r="F218" s="4" t="n">
        <v>3.42</v>
      </c>
      <c r="G218" s="1" t="n">
        <v>25</v>
      </c>
      <c r="H218" s="1" t="n">
        <v>35</v>
      </c>
      <c r="I218" s="1" t="n">
        <v>150</v>
      </c>
      <c r="J218" s="1" t="n">
        <v>235</v>
      </c>
      <c r="K218" s="1" t="n">
        <v>942</v>
      </c>
      <c r="L218" s="1" t="n">
        <v>18375</v>
      </c>
      <c r="M218" s="3" t="n">
        <v>95.7017321457163</v>
      </c>
      <c r="N218" s="12" t="n">
        <v>0.051265306122449</v>
      </c>
      <c r="O218" s="4" t="n">
        <v>39.1</v>
      </c>
      <c r="P218" s="3" t="n">
        <v>246.921912945398</v>
      </c>
      <c r="Q218" s="4" t="n">
        <v>0.18</v>
      </c>
      <c r="R218" s="13" t="n">
        <f aca="false">P218/200000</f>
        <v>0.00123460956472699</v>
      </c>
      <c r="V218" s="4"/>
      <c r="W218" s="4"/>
    </row>
    <row r="219" customFormat="false" ht="14.25" hidden="false" customHeight="false" outlineLevel="0" collapsed="false">
      <c r="B219" s="1" t="n">
        <v>20</v>
      </c>
      <c r="C219" s="3" t="n">
        <v>528</v>
      </c>
      <c r="D219" s="1" t="n">
        <v>3</v>
      </c>
      <c r="E219" s="2" t="n">
        <v>12</v>
      </c>
      <c r="F219" s="4" t="n">
        <v>3.42</v>
      </c>
      <c r="G219" s="1" t="n">
        <v>25</v>
      </c>
      <c r="H219" s="1" t="n">
        <v>35</v>
      </c>
      <c r="I219" s="1" t="n">
        <v>150</v>
      </c>
      <c r="J219" s="1" t="n">
        <v>235</v>
      </c>
      <c r="K219" s="1" t="n">
        <v>942</v>
      </c>
      <c r="L219" s="1" t="n">
        <v>18375</v>
      </c>
      <c r="M219" s="3" t="n">
        <v>95.7017321457163</v>
      </c>
      <c r="N219" s="12" t="n">
        <v>0.051265306122449</v>
      </c>
      <c r="O219" s="4" t="n">
        <v>44.85</v>
      </c>
      <c r="P219" s="3" t="n">
        <v>283.23395896678</v>
      </c>
      <c r="Q219" s="4" t="n">
        <v>0.19</v>
      </c>
      <c r="R219" s="13" t="n">
        <f aca="false">P219/200000</f>
        <v>0.0014161697948339</v>
      </c>
      <c r="V219" s="4"/>
      <c r="W219" s="4"/>
    </row>
    <row r="220" customFormat="false" ht="14.25" hidden="false" customHeight="false" outlineLevel="0" collapsed="false">
      <c r="B220" s="1" t="n">
        <v>20</v>
      </c>
      <c r="C220" s="3" t="n">
        <v>528</v>
      </c>
      <c r="D220" s="1" t="n">
        <v>3</v>
      </c>
      <c r="E220" s="2" t="n">
        <v>12</v>
      </c>
      <c r="F220" s="4" t="n">
        <v>3.42</v>
      </c>
      <c r="G220" s="1" t="n">
        <v>25</v>
      </c>
      <c r="H220" s="1" t="n">
        <v>35</v>
      </c>
      <c r="I220" s="1" t="n">
        <v>150</v>
      </c>
      <c r="J220" s="1" t="n">
        <v>235</v>
      </c>
      <c r="K220" s="1" t="n">
        <v>942</v>
      </c>
      <c r="L220" s="1" t="n">
        <v>18375</v>
      </c>
      <c r="M220" s="3" t="n">
        <v>95.7017321457163</v>
      </c>
      <c r="N220" s="12" t="n">
        <v>0.051265306122449</v>
      </c>
      <c r="O220" s="4" t="n">
        <v>50.025</v>
      </c>
      <c r="P220" s="3" t="n">
        <v>315.914800386024</v>
      </c>
      <c r="Q220" s="4" t="n">
        <v>0.21</v>
      </c>
      <c r="R220" s="13" t="n">
        <f aca="false">P220/200000</f>
        <v>0.00157957400193012</v>
      </c>
      <c r="V220" s="4"/>
      <c r="W220" s="4"/>
    </row>
    <row r="221" customFormat="false" ht="14.25" hidden="false" customHeight="false" outlineLevel="0" collapsed="false">
      <c r="B221" s="1" t="n">
        <v>20</v>
      </c>
      <c r="C221" s="3" t="n">
        <v>528</v>
      </c>
      <c r="D221" s="1" t="n">
        <v>3</v>
      </c>
      <c r="E221" s="2" t="n">
        <v>12</v>
      </c>
      <c r="F221" s="4" t="n">
        <v>3.42</v>
      </c>
      <c r="G221" s="1" t="n">
        <v>25</v>
      </c>
      <c r="H221" s="1" t="n">
        <v>35</v>
      </c>
      <c r="I221" s="1" t="n">
        <v>150</v>
      </c>
      <c r="J221" s="1" t="n">
        <v>235</v>
      </c>
      <c r="K221" s="1" t="n">
        <v>942</v>
      </c>
      <c r="L221" s="1" t="n">
        <v>18375</v>
      </c>
      <c r="M221" s="3" t="n">
        <v>95.7017321457163</v>
      </c>
      <c r="N221" s="12" t="n">
        <v>0.051265306122449</v>
      </c>
      <c r="O221" s="4" t="n">
        <v>56.35</v>
      </c>
      <c r="P221" s="3" t="n">
        <v>355.858051009545</v>
      </c>
      <c r="Q221" s="4" t="n">
        <v>0.23</v>
      </c>
      <c r="R221" s="13" t="n">
        <f aca="false">P221/200000</f>
        <v>0.00177929025504772</v>
      </c>
      <c r="V221" s="4"/>
      <c r="W221" s="4"/>
    </row>
    <row r="222" customFormat="false" ht="14.25" hidden="false" customHeight="false" outlineLevel="0" collapsed="false">
      <c r="B222" s="1" t="n">
        <v>20</v>
      </c>
      <c r="C222" s="3" t="n">
        <v>528</v>
      </c>
      <c r="D222" s="1" t="n">
        <v>3</v>
      </c>
      <c r="E222" s="2" t="n">
        <v>12</v>
      </c>
      <c r="F222" s="4" t="n">
        <v>3.42</v>
      </c>
      <c r="G222" s="1" t="n">
        <v>25</v>
      </c>
      <c r="H222" s="1" t="n">
        <v>35</v>
      </c>
      <c r="I222" s="1" t="n">
        <v>150</v>
      </c>
      <c r="J222" s="1" t="n">
        <v>235</v>
      </c>
      <c r="K222" s="1" t="n">
        <v>942</v>
      </c>
      <c r="L222" s="1" t="n">
        <v>18375</v>
      </c>
      <c r="M222" s="3" t="n">
        <v>95.7017321457163</v>
      </c>
      <c r="N222" s="12" t="n">
        <v>0.051265306122449</v>
      </c>
      <c r="O222" s="4" t="n">
        <v>62.675</v>
      </c>
      <c r="P222" s="3" t="n">
        <v>395.801301633065</v>
      </c>
      <c r="Q222" s="4" t="n">
        <v>0.25</v>
      </c>
      <c r="R222" s="13" t="n">
        <f aca="false">P222/200000</f>
        <v>0.00197900650816532</v>
      </c>
      <c r="V222" s="4"/>
      <c r="W222" s="4"/>
    </row>
    <row r="223" customFormat="false" ht="14.25" hidden="false" customHeight="false" outlineLevel="0" collapsed="false">
      <c r="B223" s="1" t="n">
        <v>20</v>
      </c>
      <c r="C223" s="3" t="n">
        <v>528</v>
      </c>
      <c r="D223" s="1" t="n">
        <v>3</v>
      </c>
      <c r="E223" s="2" t="n">
        <v>12</v>
      </c>
      <c r="F223" s="4" t="n">
        <v>3.42</v>
      </c>
      <c r="G223" s="1" t="n">
        <v>25</v>
      </c>
      <c r="H223" s="1" t="n">
        <v>35</v>
      </c>
      <c r="I223" s="1" t="n">
        <v>150</v>
      </c>
      <c r="J223" s="1" t="n">
        <v>235</v>
      </c>
      <c r="K223" s="1" t="n">
        <v>942</v>
      </c>
      <c r="L223" s="1" t="n">
        <v>18375</v>
      </c>
      <c r="M223" s="3" t="n">
        <v>95.7017321457163</v>
      </c>
      <c r="N223" s="12" t="n">
        <v>0.051265306122449</v>
      </c>
      <c r="O223" s="4" t="n">
        <v>68.425</v>
      </c>
      <c r="P223" s="3" t="n">
        <v>432.113347654447</v>
      </c>
      <c r="Q223" s="4" t="n">
        <v>0.29</v>
      </c>
      <c r="R223" s="13" t="n">
        <f aca="false">P223/200000</f>
        <v>0.00216056673827224</v>
      </c>
      <c r="V223" s="4"/>
      <c r="W223" s="4"/>
    </row>
    <row r="224" customFormat="false" ht="14.25" hidden="false" customHeight="false" outlineLevel="0" collapsed="false">
      <c r="B224" s="1" t="n">
        <v>20</v>
      </c>
      <c r="C224" s="3" t="n">
        <v>528</v>
      </c>
      <c r="D224" s="1" t="n">
        <v>3</v>
      </c>
      <c r="E224" s="2" t="n">
        <v>12</v>
      </c>
      <c r="F224" s="4" t="n">
        <v>3.42</v>
      </c>
      <c r="G224" s="1" t="n">
        <v>25</v>
      </c>
      <c r="H224" s="1" t="n">
        <v>35</v>
      </c>
      <c r="I224" s="1" t="n">
        <v>150</v>
      </c>
      <c r="J224" s="1" t="n">
        <v>235</v>
      </c>
      <c r="K224" s="1" t="n">
        <v>942</v>
      </c>
      <c r="L224" s="1" t="n">
        <v>18375</v>
      </c>
      <c r="M224" s="3" t="n">
        <v>95.7017321457163</v>
      </c>
      <c r="N224" s="12" t="n">
        <v>0.051265306122449</v>
      </c>
      <c r="O224" s="4" t="n">
        <v>74.175</v>
      </c>
      <c r="P224" s="3" t="n">
        <v>468.425393675829</v>
      </c>
      <c r="Q224" s="4" t="n">
        <v>0.31</v>
      </c>
      <c r="R224" s="13" t="n">
        <f aca="false">P224/200000</f>
        <v>0.00234212696837915</v>
      </c>
      <c r="V224" s="4"/>
      <c r="W224" s="4"/>
    </row>
    <row r="225" customFormat="false" ht="14.25" hidden="false" customHeight="false" outlineLevel="0" collapsed="false">
      <c r="B225" s="1" t="n">
        <v>20</v>
      </c>
      <c r="C225" s="3" t="n">
        <v>528</v>
      </c>
      <c r="D225" s="1" t="n">
        <v>3</v>
      </c>
      <c r="E225" s="2" t="n">
        <v>12</v>
      </c>
      <c r="F225" s="4" t="n">
        <v>3.42</v>
      </c>
      <c r="G225" s="1" t="n">
        <v>25</v>
      </c>
      <c r="H225" s="1" t="n">
        <v>35</v>
      </c>
      <c r="I225" s="1" t="n">
        <v>150</v>
      </c>
      <c r="J225" s="1" t="n">
        <v>235</v>
      </c>
      <c r="K225" s="1" t="n">
        <v>942</v>
      </c>
      <c r="L225" s="1" t="n">
        <v>18375</v>
      </c>
      <c r="M225" s="3" t="n">
        <v>95.7017321457163</v>
      </c>
      <c r="N225" s="12" t="n">
        <v>0.051265306122449</v>
      </c>
      <c r="O225" s="4" t="n">
        <v>79.35</v>
      </c>
      <c r="P225" s="3" t="n">
        <v>501.106235095073</v>
      </c>
      <c r="Q225" s="4" t="n">
        <v>0.37</v>
      </c>
      <c r="R225" s="13" t="n">
        <f aca="false">P225/200000</f>
        <v>0.00250553117547537</v>
      </c>
      <c r="V225" s="4"/>
      <c r="W225" s="4"/>
    </row>
    <row r="226" customFormat="false" ht="14.25" hidden="false" customHeight="false" outlineLevel="0" collapsed="false">
      <c r="A226" s="0" t="s">
        <v>69</v>
      </c>
      <c r="B226" s="1" t="n">
        <v>16</v>
      </c>
      <c r="C226" s="3" t="n">
        <v>528</v>
      </c>
      <c r="D226" s="1" t="n">
        <v>2</v>
      </c>
      <c r="E226" s="2" t="n">
        <v>52</v>
      </c>
      <c r="F226" s="4" t="n">
        <v>2.98</v>
      </c>
      <c r="G226" s="1" t="n">
        <v>27</v>
      </c>
      <c r="H226" s="1" t="n">
        <v>35</v>
      </c>
      <c r="I226" s="1" t="n">
        <v>150</v>
      </c>
      <c r="J226" s="1" t="n">
        <v>235</v>
      </c>
      <c r="K226" s="1" t="n">
        <v>402</v>
      </c>
      <c r="L226" s="1" t="n">
        <v>17250</v>
      </c>
      <c r="M226" s="3" t="n">
        <v>67.594050734713</v>
      </c>
      <c r="N226" s="12" t="n">
        <v>0.023304347826087</v>
      </c>
      <c r="O226" s="4" t="n">
        <v>26.45</v>
      </c>
      <c r="P226" s="3" t="n">
        <v>370.747284048733</v>
      </c>
      <c r="Q226" s="4" t="n">
        <v>0.16</v>
      </c>
      <c r="R226" s="13" t="n">
        <f aca="false">P226/200000</f>
        <v>0.00185373642024366</v>
      </c>
      <c r="V226" s="4"/>
      <c r="W226" s="4"/>
    </row>
    <row r="227" customFormat="false" ht="14.25" hidden="false" customHeight="false" outlineLevel="0" collapsed="false">
      <c r="B227" s="1" t="n">
        <v>16</v>
      </c>
      <c r="C227" s="3" t="n">
        <v>528</v>
      </c>
      <c r="D227" s="1" t="n">
        <v>2</v>
      </c>
      <c r="E227" s="2" t="n">
        <v>52</v>
      </c>
      <c r="F227" s="4" t="n">
        <v>2.98</v>
      </c>
      <c r="G227" s="1" t="n">
        <v>27</v>
      </c>
      <c r="H227" s="1" t="n">
        <v>35</v>
      </c>
      <c r="I227" s="1" t="n">
        <v>150</v>
      </c>
      <c r="J227" s="1" t="n">
        <v>235</v>
      </c>
      <c r="K227" s="1" t="n">
        <v>402</v>
      </c>
      <c r="L227" s="1" t="n">
        <v>17250</v>
      </c>
      <c r="M227" s="3" t="n">
        <v>67.594050734713</v>
      </c>
      <c r="N227" s="12" t="n">
        <v>0.023304347826087</v>
      </c>
      <c r="O227" s="4" t="n">
        <v>31.625</v>
      </c>
      <c r="P227" s="3" t="n">
        <v>443.284796145224</v>
      </c>
      <c r="Q227" s="4" t="n">
        <v>0.2</v>
      </c>
      <c r="R227" s="13" t="n">
        <f aca="false">P227/200000</f>
        <v>0.00221642398072612</v>
      </c>
      <c r="V227" s="4"/>
      <c r="W227" s="4"/>
    </row>
    <row r="228" customFormat="false" ht="14.25" hidden="false" customHeight="false" outlineLevel="0" collapsed="false">
      <c r="B228" s="1" t="n">
        <v>16</v>
      </c>
      <c r="C228" s="3" t="n">
        <v>528</v>
      </c>
      <c r="D228" s="1" t="n">
        <v>2</v>
      </c>
      <c r="E228" s="2" t="n">
        <v>52</v>
      </c>
      <c r="F228" s="4" t="n">
        <v>2.98</v>
      </c>
      <c r="G228" s="1" t="n">
        <v>27</v>
      </c>
      <c r="H228" s="1" t="n">
        <v>35</v>
      </c>
      <c r="I228" s="1" t="n">
        <v>150</v>
      </c>
      <c r="J228" s="1" t="n">
        <v>235</v>
      </c>
      <c r="K228" s="1" t="n">
        <v>402</v>
      </c>
      <c r="L228" s="1" t="n">
        <v>17250</v>
      </c>
      <c r="M228" s="3" t="n">
        <v>67.594050734713</v>
      </c>
      <c r="N228" s="12" t="n">
        <v>0.023304347826087</v>
      </c>
      <c r="O228" s="4" t="n">
        <v>37.375</v>
      </c>
      <c r="P228" s="3" t="n">
        <v>523.882031807992</v>
      </c>
      <c r="Q228" s="4" t="n">
        <v>0.26</v>
      </c>
      <c r="R228" s="13" t="n">
        <f aca="false">P228/200000</f>
        <v>0.00261941015903996</v>
      </c>
      <c r="V228" s="4"/>
      <c r="W228" s="4"/>
    </row>
    <row r="229" customFormat="false" ht="14.25" hidden="false" customHeight="false" outlineLevel="0" collapsed="false">
      <c r="A229" s="0" t="s">
        <v>70</v>
      </c>
      <c r="B229" s="1" t="n">
        <v>20</v>
      </c>
      <c r="C229" s="3" t="n">
        <v>528</v>
      </c>
      <c r="D229" s="1" t="n">
        <v>2</v>
      </c>
      <c r="E229" s="2" t="n">
        <v>44</v>
      </c>
      <c r="F229" s="4" t="n">
        <v>2.98</v>
      </c>
      <c r="G229" s="1" t="n">
        <v>25</v>
      </c>
      <c r="H229" s="1" t="n">
        <v>35</v>
      </c>
      <c r="I229" s="1" t="n">
        <v>150</v>
      </c>
      <c r="J229" s="1" t="n">
        <v>235</v>
      </c>
      <c r="K229" s="1" t="n">
        <v>628</v>
      </c>
      <c r="L229" s="1" t="n">
        <v>18375</v>
      </c>
      <c r="M229" s="3" t="n">
        <v>80.321192218195</v>
      </c>
      <c r="N229" s="12" t="n">
        <v>0.0341768707482993</v>
      </c>
      <c r="O229" s="4" t="n">
        <v>28.75</v>
      </c>
      <c r="P229" s="3" t="n">
        <v>264.280094309474</v>
      </c>
      <c r="Q229" s="4" t="n">
        <v>0.17</v>
      </c>
      <c r="R229" s="13" t="n">
        <f aca="false">P229/200000</f>
        <v>0.00132140047154737</v>
      </c>
      <c r="V229" s="4"/>
      <c r="W229" s="4"/>
    </row>
    <row r="230" customFormat="false" ht="14.25" hidden="false" customHeight="false" outlineLevel="0" collapsed="false">
      <c r="B230" s="1" t="n">
        <v>20</v>
      </c>
      <c r="C230" s="3" t="n">
        <v>528</v>
      </c>
      <c r="D230" s="1" t="n">
        <v>2</v>
      </c>
      <c r="E230" s="2" t="n">
        <v>44</v>
      </c>
      <c r="F230" s="4" t="n">
        <v>2.98</v>
      </c>
      <c r="G230" s="1" t="n">
        <v>25</v>
      </c>
      <c r="H230" s="1" t="n">
        <v>35</v>
      </c>
      <c r="I230" s="1" t="n">
        <v>150</v>
      </c>
      <c r="J230" s="1" t="n">
        <v>235</v>
      </c>
      <c r="K230" s="1" t="n">
        <v>628</v>
      </c>
      <c r="L230" s="1" t="n">
        <v>18375</v>
      </c>
      <c r="M230" s="3" t="n">
        <v>80.321192218195</v>
      </c>
      <c r="N230" s="12" t="n">
        <v>0.0341768707482993</v>
      </c>
      <c r="O230" s="4" t="n">
        <v>32.775</v>
      </c>
      <c r="P230" s="3" t="n">
        <v>301.2793075128</v>
      </c>
      <c r="Q230" s="4" t="n">
        <v>0.19</v>
      </c>
      <c r="R230" s="13" t="n">
        <f aca="false">P230/200000</f>
        <v>0.001506396537564</v>
      </c>
      <c r="V230" s="4"/>
      <c r="W230" s="4"/>
    </row>
    <row r="231" customFormat="false" ht="14.25" hidden="false" customHeight="false" outlineLevel="0" collapsed="false">
      <c r="B231" s="1" t="n">
        <v>20</v>
      </c>
      <c r="C231" s="3" t="n">
        <v>528</v>
      </c>
      <c r="D231" s="1" t="n">
        <v>2</v>
      </c>
      <c r="E231" s="2" t="n">
        <v>44</v>
      </c>
      <c r="F231" s="4" t="n">
        <v>2.98</v>
      </c>
      <c r="G231" s="1" t="n">
        <v>25</v>
      </c>
      <c r="H231" s="1" t="n">
        <v>35</v>
      </c>
      <c r="I231" s="1" t="n">
        <v>150</v>
      </c>
      <c r="J231" s="1" t="n">
        <v>235</v>
      </c>
      <c r="K231" s="1" t="n">
        <v>628</v>
      </c>
      <c r="L231" s="1" t="n">
        <v>18375</v>
      </c>
      <c r="M231" s="3" t="n">
        <v>80.321192218195</v>
      </c>
      <c r="N231" s="12" t="n">
        <v>0.0341768707482993</v>
      </c>
      <c r="O231" s="4" t="n">
        <v>37.95</v>
      </c>
      <c r="P231" s="3" t="n">
        <v>348.849724488505</v>
      </c>
      <c r="Q231" s="4" t="n">
        <v>0.23</v>
      </c>
      <c r="R231" s="13" t="n">
        <f aca="false">P231/200000</f>
        <v>0.00174424862244253</v>
      </c>
      <c r="V231" s="4"/>
      <c r="W231" s="4"/>
    </row>
    <row r="232" customFormat="false" ht="14.25" hidden="false" customHeight="false" outlineLevel="0" collapsed="false">
      <c r="B232" s="1" t="n">
        <v>20</v>
      </c>
      <c r="C232" s="3" t="n">
        <v>528</v>
      </c>
      <c r="D232" s="1" t="n">
        <v>2</v>
      </c>
      <c r="E232" s="2" t="n">
        <v>44</v>
      </c>
      <c r="F232" s="4" t="n">
        <v>2.98</v>
      </c>
      <c r="G232" s="1" t="n">
        <v>25</v>
      </c>
      <c r="H232" s="1" t="n">
        <v>35</v>
      </c>
      <c r="I232" s="1" t="n">
        <v>150</v>
      </c>
      <c r="J232" s="1" t="n">
        <v>235</v>
      </c>
      <c r="K232" s="1" t="n">
        <v>628</v>
      </c>
      <c r="L232" s="1" t="n">
        <v>18375</v>
      </c>
      <c r="M232" s="3" t="n">
        <v>80.321192218195</v>
      </c>
      <c r="N232" s="12" t="n">
        <v>0.0341768707482993</v>
      </c>
      <c r="O232" s="4" t="n">
        <v>40.25</v>
      </c>
      <c r="P232" s="3" t="n">
        <v>369.992132033263</v>
      </c>
      <c r="Q232" s="4" t="n">
        <v>0.25</v>
      </c>
      <c r="R232" s="13" t="n">
        <f aca="false">P232/200000</f>
        <v>0.00184996066016631</v>
      </c>
      <c r="V232" s="4"/>
      <c r="W232" s="4"/>
    </row>
    <row r="233" customFormat="false" ht="14.25" hidden="false" customHeight="false" outlineLevel="0" collapsed="false">
      <c r="B233" s="1" t="n">
        <v>20</v>
      </c>
      <c r="C233" s="3" t="n">
        <v>528</v>
      </c>
      <c r="D233" s="1" t="n">
        <v>2</v>
      </c>
      <c r="E233" s="2" t="n">
        <v>44</v>
      </c>
      <c r="F233" s="4" t="n">
        <v>2.98</v>
      </c>
      <c r="G233" s="1" t="n">
        <v>25</v>
      </c>
      <c r="H233" s="1" t="n">
        <v>35</v>
      </c>
      <c r="I233" s="1" t="n">
        <v>150</v>
      </c>
      <c r="J233" s="1" t="n">
        <v>235</v>
      </c>
      <c r="K233" s="1" t="n">
        <v>628</v>
      </c>
      <c r="L233" s="1" t="n">
        <v>18375</v>
      </c>
      <c r="M233" s="3" t="n">
        <v>80.321192218195</v>
      </c>
      <c r="N233" s="12" t="n">
        <v>0.0341768707482993</v>
      </c>
      <c r="O233" s="4" t="n">
        <v>43.7</v>
      </c>
      <c r="P233" s="3" t="n">
        <v>401.7057433504</v>
      </c>
      <c r="Q233" s="4" t="n">
        <v>0.3</v>
      </c>
      <c r="R233" s="13" t="n">
        <f aca="false">P233/200000</f>
        <v>0.002008528716752</v>
      </c>
      <c r="V233" s="4"/>
      <c r="W233" s="4"/>
    </row>
    <row r="234" customFormat="false" ht="14.25" hidden="false" customHeight="false" outlineLevel="0" collapsed="false">
      <c r="B234" s="1" t="n">
        <v>20</v>
      </c>
      <c r="C234" s="3" t="n">
        <v>528</v>
      </c>
      <c r="D234" s="1" t="n">
        <v>2</v>
      </c>
      <c r="E234" s="2" t="n">
        <v>44</v>
      </c>
      <c r="F234" s="4" t="n">
        <v>2.98</v>
      </c>
      <c r="G234" s="1" t="n">
        <v>25</v>
      </c>
      <c r="H234" s="1" t="n">
        <v>35</v>
      </c>
      <c r="I234" s="1" t="n">
        <v>150</v>
      </c>
      <c r="J234" s="1" t="n">
        <v>235</v>
      </c>
      <c r="K234" s="1" t="n">
        <v>628</v>
      </c>
      <c r="L234" s="1" t="n">
        <v>18375</v>
      </c>
      <c r="M234" s="3" t="n">
        <v>80.321192218195</v>
      </c>
      <c r="N234" s="12" t="n">
        <v>0.0341768707482993</v>
      </c>
      <c r="O234" s="4" t="n">
        <v>46</v>
      </c>
      <c r="P234" s="3" t="n">
        <v>422.848150895158</v>
      </c>
      <c r="Q234" s="4" t="n">
        <v>0.32</v>
      </c>
      <c r="R234" s="13" t="n">
        <f aca="false">P234/200000</f>
        <v>0.00211424075447579</v>
      </c>
      <c r="V234" s="4"/>
      <c r="W234" s="4"/>
    </row>
    <row r="235" customFormat="false" ht="14.25" hidden="false" customHeight="false" outlineLevel="0" collapsed="false">
      <c r="B235" s="1" t="n">
        <v>20</v>
      </c>
      <c r="C235" s="3" t="n">
        <v>528</v>
      </c>
      <c r="D235" s="1" t="n">
        <v>2</v>
      </c>
      <c r="E235" s="2" t="n">
        <v>44</v>
      </c>
      <c r="F235" s="4" t="n">
        <v>2.98</v>
      </c>
      <c r="G235" s="1" t="n">
        <v>25</v>
      </c>
      <c r="H235" s="1" t="n">
        <v>35</v>
      </c>
      <c r="I235" s="1" t="n">
        <v>150</v>
      </c>
      <c r="J235" s="1" t="n">
        <v>235</v>
      </c>
      <c r="K235" s="1" t="n">
        <v>628</v>
      </c>
      <c r="L235" s="1" t="n">
        <v>18375</v>
      </c>
      <c r="M235" s="3" t="n">
        <v>80.321192218195</v>
      </c>
      <c r="N235" s="12" t="n">
        <v>0.0341768707482993</v>
      </c>
      <c r="O235" s="4" t="n">
        <v>51.635</v>
      </c>
      <c r="P235" s="3" t="n">
        <v>474.647049379814</v>
      </c>
      <c r="Q235" s="4" t="n">
        <v>0.36</v>
      </c>
      <c r="R235" s="13" t="n">
        <f aca="false">P235/200000</f>
        <v>0.00237323524689907</v>
      </c>
      <c r="V235" s="4"/>
      <c r="W235" s="4"/>
    </row>
    <row r="236" customFormat="false" ht="14.25" hidden="false" customHeight="false" outlineLevel="0" collapsed="false">
      <c r="B236" s="1" t="n">
        <v>20</v>
      </c>
      <c r="C236" s="3" t="n">
        <v>528</v>
      </c>
      <c r="D236" s="1" t="n">
        <v>2</v>
      </c>
      <c r="E236" s="2" t="n">
        <v>44</v>
      </c>
      <c r="F236" s="4" t="n">
        <v>2.98</v>
      </c>
      <c r="G236" s="1" t="n">
        <v>25</v>
      </c>
      <c r="H236" s="1" t="n">
        <v>35</v>
      </c>
      <c r="I236" s="1" t="n">
        <v>150</v>
      </c>
      <c r="J236" s="1" t="n">
        <v>235</v>
      </c>
      <c r="K236" s="1" t="n">
        <v>628</v>
      </c>
      <c r="L236" s="1" t="n">
        <v>18375</v>
      </c>
      <c r="M236" s="3" t="n">
        <v>80.321192218195</v>
      </c>
      <c r="N236" s="12" t="n">
        <v>0.0341768707482993</v>
      </c>
      <c r="O236" s="4" t="n">
        <v>57.27</v>
      </c>
      <c r="P236" s="3" t="n">
        <v>526.445947864471</v>
      </c>
      <c r="Q236" s="4" t="n">
        <v>0.47</v>
      </c>
      <c r="R236" s="13" t="n">
        <f aca="false">P236/200000</f>
        <v>0.00263222973932236</v>
      </c>
      <c r="V236" s="4"/>
      <c r="W236" s="4"/>
    </row>
    <row r="237" customFormat="false" ht="14.25" hidden="false" customHeight="false" outlineLevel="0" collapsed="false">
      <c r="A237" s="0" t="s">
        <v>71</v>
      </c>
      <c r="B237" s="1" t="n">
        <v>20</v>
      </c>
      <c r="C237" s="3" t="n">
        <v>528</v>
      </c>
      <c r="D237" s="1" t="n">
        <v>3</v>
      </c>
      <c r="E237" s="2" t="n">
        <v>12</v>
      </c>
      <c r="F237" s="4" t="n">
        <v>2.98</v>
      </c>
      <c r="G237" s="1" t="n">
        <v>25</v>
      </c>
      <c r="H237" s="1" t="n">
        <v>35</v>
      </c>
      <c r="I237" s="1" t="n">
        <v>150</v>
      </c>
      <c r="J237" s="1" t="n">
        <v>235</v>
      </c>
      <c r="K237" s="1" t="n">
        <v>942</v>
      </c>
      <c r="L237" s="1" t="n">
        <v>18375</v>
      </c>
      <c r="M237" s="3" t="n">
        <v>93.0113581251418</v>
      </c>
      <c r="N237" s="12" t="n">
        <v>0.051265306122449</v>
      </c>
      <c r="O237" s="4" t="n">
        <v>48.3</v>
      </c>
      <c r="P237" s="3" t="n">
        <v>303.402568314191</v>
      </c>
      <c r="Q237" s="4" t="n">
        <v>0.16</v>
      </c>
      <c r="R237" s="13" t="n">
        <f aca="false">P237/200000</f>
        <v>0.00151701284157095</v>
      </c>
      <c r="V237" s="4"/>
      <c r="W237" s="4"/>
    </row>
    <row r="238" customFormat="false" ht="14.25" hidden="false" customHeight="false" outlineLevel="0" collapsed="false">
      <c r="B238" s="1" t="n">
        <v>20</v>
      </c>
      <c r="C238" s="3" t="n">
        <v>528</v>
      </c>
      <c r="D238" s="1" t="n">
        <v>3</v>
      </c>
      <c r="E238" s="2" t="n">
        <v>12</v>
      </c>
      <c r="F238" s="4" t="n">
        <v>2.98</v>
      </c>
      <c r="G238" s="1" t="n">
        <v>25</v>
      </c>
      <c r="H238" s="1" t="n">
        <v>35</v>
      </c>
      <c r="I238" s="1" t="n">
        <v>150</v>
      </c>
      <c r="J238" s="1" t="n">
        <v>235</v>
      </c>
      <c r="K238" s="1" t="n">
        <v>942</v>
      </c>
      <c r="L238" s="1" t="n">
        <v>18375</v>
      </c>
      <c r="M238" s="3" t="n">
        <v>93.0113581251418</v>
      </c>
      <c r="N238" s="12" t="n">
        <v>0.051265306122449</v>
      </c>
      <c r="O238" s="4" t="n">
        <v>50.6</v>
      </c>
      <c r="P238" s="3" t="n">
        <v>317.850309662485</v>
      </c>
      <c r="Q238" s="4" t="n">
        <v>0.18</v>
      </c>
      <c r="R238" s="13" t="n">
        <f aca="false">P238/200000</f>
        <v>0.00158925154831243</v>
      </c>
      <c r="V238" s="4"/>
      <c r="W238" s="4"/>
    </row>
    <row r="239" customFormat="false" ht="14.25" hidden="false" customHeight="false" outlineLevel="0" collapsed="false">
      <c r="B239" s="1" t="n">
        <v>20</v>
      </c>
      <c r="C239" s="3" t="n">
        <v>528</v>
      </c>
      <c r="D239" s="1" t="n">
        <v>3</v>
      </c>
      <c r="E239" s="2" t="n">
        <v>12</v>
      </c>
      <c r="F239" s="4" t="n">
        <v>2.98</v>
      </c>
      <c r="G239" s="1" t="n">
        <v>25</v>
      </c>
      <c r="H239" s="1" t="n">
        <v>35</v>
      </c>
      <c r="I239" s="1" t="n">
        <v>150</v>
      </c>
      <c r="J239" s="1" t="n">
        <v>235</v>
      </c>
      <c r="K239" s="1" t="n">
        <v>942</v>
      </c>
      <c r="L239" s="1" t="n">
        <v>18375</v>
      </c>
      <c r="M239" s="3" t="n">
        <v>93.0113581251418</v>
      </c>
      <c r="N239" s="12" t="n">
        <v>0.051265306122449</v>
      </c>
      <c r="O239" s="4" t="n">
        <v>56.35</v>
      </c>
      <c r="P239" s="3" t="n">
        <v>353.969663033222</v>
      </c>
      <c r="Q239" s="4" t="n">
        <v>0.18</v>
      </c>
      <c r="R239" s="13" t="n">
        <f aca="false">P239/200000</f>
        <v>0.00176984831516611</v>
      </c>
      <c r="V239" s="4"/>
      <c r="W239" s="4"/>
    </row>
    <row r="240" customFormat="false" ht="14.25" hidden="false" customHeight="false" outlineLevel="0" collapsed="false">
      <c r="B240" s="1" t="n">
        <v>20</v>
      </c>
      <c r="C240" s="3" t="n">
        <v>528</v>
      </c>
      <c r="D240" s="1" t="n">
        <v>3</v>
      </c>
      <c r="E240" s="2" t="n">
        <v>12</v>
      </c>
      <c r="F240" s="4" t="n">
        <v>2.98</v>
      </c>
      <c r="G240" s="1" t="n">
        <v>25</v>
      </c>
      <c r="H240" s="1" t="n">
        <v>35</v>
      </c>
      <c r="I240" s="1" t="n">
        <v>150</v>
      </c>
      <c r="J240" s="1" t="n">
        <v>235</v>
      </c>
      <c r="K240" s="1" t="n">
        <v>942</v>
      </c>
      <c r="L240" s="1" t="n">
        <v>18375</v>
      </c>
      <c r="M240" s="3" t="n">
        <v>93.0113581251418</v>
      </c>
      <c r="N240" s="12" t="n">
        <v>0.051265306122449</v>
      </c>
      <c r="O240" s="4" t="n">
        <v>62.675</v>
      </c>
      <c r="P240" s="3" t="n">
        <v>393.700951741033</v>
      </c>
      <c r="Q240" s="4" t="n">
        <v>0.2</v>
      </c>
      <c r="R240" s="13" t="n">
        <f aca="false">P240/200000</f>
        <v>0.00196850475870517</v>
      </c>
      <c r="V240" s="4"/>
      <c r="W240" s="4"/>
    </row>
    <row r="241" customFormat="false" ht="14.25" hidden="false" customHeight="false" outlineLevel="0" collapsed="false">
      <c r="B241" s="1" t="n">
        <v>20</v>
      </c>
      <c r="C241" s="3" t="n">
        <v>528</v>
      </c>
      <c r="D241" s="1" t="n">
        <v>3</v>
      </c>
      <c r="E241" s="2" t="n">
        <v>12</v>
      </c>
      <c r="F241" s="4" t="n">
        <v>2.98</v>
      </c>
      <c r="G241" s="1" t="n">
        <v>25</v>
      </c>
      <c r="H241" s="1" t="n">
        <v>35</v>
      </c>
      <c r="I241" s="1" t="n">
        <v>150</v>
      </c>
      <c r="J241" s="1" t="n">
        <v>235</v>
      </c>
      <c r="K241" s="1" t="n">
        <v>942</v>
      </c>
      <c r="L241" s="1" t="n">
        <v>18375</v>
      </c>
      <c r="M241" s="3" t="n">
        <v>93.0113581251418</v>
      </c>
      <c r="N241" s="12" t="n">
        <v>0.051265306122449</v>
      </c>
      <c r="O241" s="4" t="n">
        <v>68.425</v>
      </c>
      <c r="P241" s="3" t="n">
        <v>429.82030511177</v>
      </c>
      <c r="Q241" s="4" t="n">
        <v>0.2</v>
      </c>
      <c r="R241" s="13" t="n">
        <f aca="false">P241/200000</f>
        <v>0.00214910152555885</v>
      </c>
      <c r="V241" s="4"/>
      <c r="W241" s="4"/>
    </row>
    <row r="242" customFormat="false" ht="14.25" hidden="false" customHeight="false" outlineLevel="0" collapsed="false">
      <c r="B242" s="1" t="n">
        <v>20</v>
      </c>
      <c r="C242" s="3" t="n">
        <v>528</v>
      </c>
      <c r="D242" s="1" t="n">
        <v>3</v>
      </c>
      <c r="E242" s="2" t="n">
        <v>12</v>
      </c>
      <c r="F242" s="4" t="n">
        <v>2.98</v>
      </c>
      <c r="G242" s="1" t="n">
        <v>25</v>
      </c>
      <c r="H242" s="1" t="n">
        <v>35</v>
      </c>
      <c r="I242" s="1" t="n">
        <v>150</v>
      </c>
      <c r="J242" s="1" t="n">
        <v>235</v>
      </c>
      <c r="K242" s="1" t="n">
        <v>942</v>
      </c>
      <c r="L242" s="1" t="n">
        <v>18375</v>
      </c>
      <c r="M242" s="3" t="n">
        <v>93.0113581251418</v>
      </c>
      <c r="N242" s="12" t="n">
        <v>0.051265306122449</v>
      </c>
      <c r="O242" s="4" t="n">
        <v>73.6</v>
      </c>
      <c r="P242" s="3" t="n">
        <v>462.327723145433</v>
      </c>
      <c r="Q242" s="4" t="n">
        <v>0.2</v>
      </c>
      <c r="R242" s="13" t="n">
        <f aca="false">P242/200000</f>
        <v>0.00231163861572717</v>
      </c>
      <c r="V242" s="4"/>
      <c r="W242" s="4"/>
    </row>
    <row r="243" customFormat="false" ht="14.25" hidden="false" customHeight="false" outlineLevel="0" collapsed="false">
      <c r="B243" s="1" t="n">
        <v>20</v>
      </c>
      <c r="C243" s="3" t="n">
        <v>528</v>
      </c>
      <c r="D243" s="1" t="n">
        <v>3</v>
      </c>
      <c r="E243" s="2" t="n">
        <v>12</v>
      </c>
      <c r="F243" s="4" t="n">
        <v>2.98</v>
      </c>
      <c r="G243" s="1" t="n">
        <v>25</v>
      </c>
      <c r="H243" s="1" t="n">
        <v>35</v>
      </c>
      <c r="I243" s="1" t="n">
        <v>150</v>
      </c>
      <c r="J243" s="1" t="n">
        <v>235</v>
      </c>
      <c r="K243" s="1" t="n">
        <v>942</v>
      </c>
      <c r="L243" s="1" t="n">
        <v>18375</v>
      </c>
      <c r="M243" s="3" t="n">
        <v>93.0113581251418</v>
      </c>
      <c r="N243" s="12" t="n">
        <v>0.051265306122449</v>
      </c>
      <c r="O243" s="4" t="n">
        <v>79.925</v>
      </c>
      <c r="P243" s="3" t="n">
        <v>502.059011853244</v>
      </c>
      <c r="Q243" s="4" t="n">
        <v>0.22</v>
      </c>
      <c r="R243" s="13" t="n">
        <f aca="false">P243/200000</f>
        <v>0.00251029505926622</v>
      </c>
      <c r="V243" s="4"/>
      <c r="W243" s="4"/>
    </row>
    <row r="244" customFormat="false" ht="14.25" hidden="false" customHeight="false" outlineLevel="0" collapsed="false">
      <c r="A244" s="0" t="s">
        <v>72</v>
      </c>
      <c r="B244" s="1" t="n">
        <v>28</v>
      </c>
      <c r="C244" s="3" t="n">
        <v>400</v>
      </c>
      <c r="D244" s="1" t="n">
        <v>4</v>
      </c>
      <c r="E244" s="2" t="n">
        <v>16</v>
      </c>
      <c r="F244" s="4" t="n">
        <v>5.30847435710111</v>
      </c>
      <c r="G244" s="1" t="n">
        <v>30</v>
      </c>
      <c r="H244" s="1" t="n">
        <v>44</v>
      </c>
      <c r="I244" s="1" t="n">
        <v>200</v>
      </c>
      <c r="J244" s="1" t="n">
        <v>300</v>
      </c>
      <c r="K244" s="1" t="n">
        <v>2463</v>
      </c>
      <c r="L244" s="1" t="n">
        <v>30800</v>
      </c>
      <c r="M244" s="3" t="n">
        <v>133.493416234983</v>
      </c>
      <c r="N244" s="12" t="n">
        <v>0.0799675324675325</v>
      </c>
      <c r="O244" s="4" t="n">
        <v>78.75</v>
      </c>
      <c r="P244" s="3" t="n">
        <v>151.171969977459</v>
      </c>
      <c r="Q244" s="4" t="n">
        <v>0.22</v>
      </c>
      <c r="R244" s="13" t="n">
        <f aca="false">P244/200000</f>
        <v>0.000755859849887294</v>
      </c>
      <c r="V244" s="4"/>
      <c r="W244" s="4"/>
    </row>
    <row r="245" customFormat="false" ht="14.25" hidden="false" customHeight="false" outlineLevel="0" collapsed="false">
      <c r="B245" s="1" t="n">
        <v>28</v>
      </c>
      <c r="C245" s="3" t="n">
        <v>400</v>
      </c>
      <c r="D245" s="1" t="n">
        <v>4</v>
      </c>
      <c r="E245" s="2" t="n">
        <v>16</v>
      </c>
      <c r="F245" s="4" t="n">
        <v>5.30847435710111</v>
      </c>
      <c r="G245" s="1" t="n">
        <v>30</v>
      </c>
      <c r="H245" s="1" t="n">
        <v>44</v>
      </c>
      <c r="I245" s="1" t="n">
        <v>200</v>
      </c>
      <c r="J245" s="1" t="n">
        <v>300</v>
      </c>
      <c r="K245" s="1" t="n">
        <v>2463</v>
      </c>
      <c r="L245" s="1" t="n">
        <v>30800</v>
      </c>
      <c r="M245" s="3" t="n">
        <v>133.493416234983</v>
      </c>
      <c r="N245" s="12" t="n">
        <v>0.0799675324675325</v>
      </c>
      <c r="O245" s="4" t="n">
        <v>105.075</v>
      </c>
      <c r="P245" s="3" t="n">
        <v>201.706599941352</v>
      </c>
      <c r="Q245" s="4" t="n">
        <v>0.25</v>
      </c>
      <c r="R245" s="13" t="n">
        <f aca="false">P245/200000</f>
        <v>0.00100853299970676</v>
      </c>
      <c r="V245" s="4"/>
      <c r="W245" s="4"/>
    </row>
    <row r="246" customFormat="false" ht="14.25" hidden="false" customHeight="false" outlineLevel="0" collapsed="false">
      <c r="B246" s="1" t="n">
        <v>28</v>
      </c>
      <c r="C246" s="3" t="n">
        <v>400</v>
      </c>
      <c r="D246" s="1" t="n">
        <v>4</v>
      </c>
      <c r="E246" s="2" t="n">
        <v>16</v>
      </c>
      <c r="F246" s="4" t="n">
        <v>5.30847435710111</v>
      </c>
      <c r="G246" s="1" t="n">
        <v>30</v>
      </c>
      <c r="H246" s="1" t="n">
        <v>44</v>
      </c>
      <c r="I246" s="1" t="n">
        <v>200</v>
      </c>
      <c r="J246" s="1" t="n">
        <v>300</v>
      </c>
      <c r="K246" s="1" t="n">
        <v>2463</v>
      </c>
      <c r="L246" s="1" t="n">
        <v>30800</v>
      </c>
      <c r="M246" s="3" t="n">
        <v>133.493416234983</v>
      </c>
      <c r="N246" s="12" t="n">
        <v>0.0799675324675325</v>
      </c>
      <c r="O246" s="4" t="n">
        <v>120.15</v>
      </c>
      <c r="P246" s="3" t="n">
        <v>230.64523419418</v>
      </c>
      <c r="Q246" s="4" t="n">
        <v>0.29</v>
      </c>
      <c r="R246" s="13" t="n">
        <f aca="false">P246/200000</f>
        <v>0.0011532261709709</v>
      </c>
      <c r="V246" s="4"/>
      <c r="W246" s="4"/>
    </row>
    <row r="247" customFormat="false" ht="14.25" hidden="false" customHeight="false" outlineLevel="0" collapsed="false">
      <c r="B247" s="1" t="n">
        <v>28</v>
      </c>
      <c r="C247" s="3" t="n">
        <v>400</v>
      </c>
      <c r="D247" s="1" t="n">
        <v>4</v>
      </c>
      <c r="E247" s="2" t="n">
        <v>16</v>
      </c>
      <c r="F247" s="4" t="n">
        <v>5.30847435710111</v>
      </c>
      <c r="G247" s="1" t="n">
        <v>30</v>
      </c>
      <c r="H247" s="1" t="n">
        <v>44</v>
      </c>
      <c r="I247" s="1" t="n">
        <v>200</v>
      </c>
      <c r="J247" s="1" t="n">
        <v>300</v>
      </c>
      <c r="K247" s="1" t="n">
        <v>2463</v>
      </c>
      <c r="L247" s="1" t="n">
        <v>30800</v>
      </c>
      <c r="M247" s="3" t="n">
        <v>133.493416234983</v>
      </c>
      <c r="N247" s="12" t="n">
        <v>0.0799675324675325</v>
      </c>
      <c r="O247" s="4" t="n">
        <v>137.475</v>
      </c>
      <c r="P247" s="3" t="n">
        <v>263.903067589221</v>
      </c>
      <c r="Q247" s="4" t="n">
        <v>0.31</v>
      </c>
      <c r="R247" s="13" t="n">
        <f aca="false">P247/200000</f>
        <v>0.0013195153379461</v>
      </c>
      <c r="V247" s="4"/>
      <c r="W247" s="4"/>
    </row>
    <row r="248" customFormat="false" ht="14.25" hidden="false" customHeight="false" outlineLevel="0" collapsed="false">
      <c r="B248" s="1" t="n">
        <v>28</v>
      </c>
      <c r="C248" s="3" t="n">
        <v>400</v>
      </c>
      <c r="D248" s="1" t="n">
        <v>4</v>
      </c>
      <c r="E248" s="2" t="n">
        <v>16</v>
      </c>
      <c r="F248" s="4" t="n">
        <v>5.30847435710111</v>
      </c>
      <c r="G248" s="1" t="n">
        <v>30</v>
      </c>
      <c r="H248" s="1" t="n">
        <v>44</v>
      </c>
      <c r="I248" s="1" t="n">
        <v>200</v>
      </c>
      <c r="J248" s="1" t="n">
        <v>300</v>
      </c>
      <c r="K248" s="1" t="n">
        <v>2463</v>
      </c>
      <c r="L248" s="1" t="n">
        <v>30800</v>
      </c>
      <c r="M248" s="3" t="n">
        <v>133.493416234983</v>
      </c>
      <c r="N248" s="12" t="n">
        <v>0.0799675324675325</v>
      </c>
      <c r="O248" s="4" t="n">
        <v>164.475</v>
      </c>
      <c r="P248" s="3" t="n">
        <v>315.733457295778</v>
      </c>
      <c r="Q248" s="4" t="n">
        <v>0.33</v>
      </c>
      <c r="R248" s="13" t="n">
        <f aca="false">P248/200000</f>
        <v>0.00157866728647889</v>
      </c>
      <c r="V248" s="4"/>
      <c r="W248" s="4"/>
    </row>
    <row r="249" customFormat="false" ht="14.25" hidden="false" customHeight="false" outlineLevel="0" collapsed="false">
      <c r="B249" s="1" t="n">
        <v>28</v>
      </c>
      <c r="C249" s="3" t="n">
        <v>400</v>
      </c>
      <c r="D249" s="1" t="n">
        <v>4</v>
      </c>
      <c r="E249" s="2" t="n">
        <v>16</v>
      </c>
      <c r="F249" s="4" t="n">
        <v>5.30847435710111</v>
      </c>
      <c r="G249" s="1" t="n">
        <v>30</v>
      </c>
      <c r="H249" s="1" t="n">
        <v>44</v>
      </c>
      <c r="I249" s="1" t="n">
        <v>200</v>
      </c>
      <c r="J249" s="1" t="n">
        <v>300</v>
      </c>
      <c r="K249" s="1" t="n">
        <v>2463</v>
      </c>
      <c r="L249" s="1" t="n">
        <v>30800</v>
      </c>
      <c r="M249" s="3" t="n">
        <v>133.493416234983</v>
      </c>
      <c r="N249" s="12" t="n">
        <v>0.0799675324675325</v>
      </c>
      <c r="O249" s="4" t="n">
        <v>178.2</v>
      </c>
      <c r="P249" s="3" t="n">
        <v>342.080572063278</v>
      </c>
      <c r="Q249" s="4" t="n">
        <v>0.34</v>
      </c>
      <c r="R249" s="13" t="n">
        <f aca="false">P249/200000</f>
        <v>0.00171040286031639</v>
      </c>
      <c r="V249" s="4"/>
      <c r="W249" s="4"/>
    </row>
    <row r="250" customFormat="false" ht="14.25" hidden="false" customHeight="false" outlineLevel="0" collapsed="false">
      <c r="B250" s="1" t="n">
        <v>28</v>
      </c>
      <c r="C250" s="3" t="n">
        <v>400</v>
      </c>
      <c r="D250" s="1" t="n">
        <v>4</v>
      </c>
      <c r="E250" s="2" t="n">
        <v>16</v>
      </c>
      <c r="F250" s="4" t="n">
        <v>5.30847435710111</v>
      </c>
      <c r="G250" s="1" t="n">
        <v>30</v>
      </c>
      <c r="H250" s="1" t="n">
        <v>44</v>
      </c>
      <c r="I250" s="1" t="n">
        <v>200</v>
      </c>
      <c r="J250" s="1" t="n">
        <v>300</v>
      </c>
      <c r="K250" s="1" t="n">
        <v>2463</v>
      </c>
      <c r="L250" s="1" t="n">
        <v>30800</v>
      </c>
      <c r="M250" s="3" t="n">
        <v>133.493416234983</v>
      </c>
      <c r="N250" s="12" t="n">
        <v>0.0799675324675325</v>
      </c>
      <c r="O250" s="4" t="n">
        <v>198.225</v>
      </c>
      <c r="P250" s="3" t="n">
        <v>380.521444428975</v>
      </c>
      <c r="Q250" s="4" t="n">
        <v>0.37</v>
      </c>
      <c r="R250" s="13" t="n">
        <f aca="false">P250/200000</f>
        <v>0.00190260722214487</v>
      </c>
      <c r="V250" s="4"/>
      <c r="W250" s="4"/>
    </row>
    <row r="251" customFormat="false" ht="14.25" hidden="false" customHeight="false" outlineLevel="0" collapsed="false">
      <c r="A251" s="0" t="s">
        <v>73</v>
      </c>
      <c r="B251" s="1" t="n">
        <v>15.9</v>
      </c>
      <c r="C251" s="3" t="n">
        <v>392</v>
      </c>
      <c r="D251" s="1" t="n">
        <v>2</v>
      </c>
      <c r="E251" s="2" t="n">
        <v>46</v>
      </c>
      <c r="F251" s="4" t="n">
        <v>2.82587739786632</v>
      </c>
      <c r="G251" s="1" t="n">
        <v>30</v>
      </c>
      <c r="H251" s="1" t="n">
        <v>38</v>
      </c>
      <c r="I251" s="1" t="n">
        <v>150</v>
      </c>
      <c r="J251" s="1" t="n">
        <v>250</v>
      </c>
      <c r="K251" s="1" t="n">
        <v>397.2</v>
      </c>
      <c r="L251" s="1" t="n">
        <v>17625</v>
      </c>
      <c r="M251" s="3" t="n">
        <v>70.0613812094831</v>
      </c>
      <c r="N251" s="12" t="n">
        <v>0.022536170212766</v>
      </c>
      <c r="O251" s="4" t="n">
        <v>27.1</v>
      </c>
      <c r="P251" s="3" t="n">
        <v>361.669574509028</v>
      </c>
      <c r="Q251" s="4" t="n">
        <v>0.2</v>
      </c>
      <c r="R251" s="13" t="n">
        <f aca="false">P251/200000</f>
        <v>0.00180834787254514</v>
      </c>
      <c r="V251" s="4"/>
      <c r="W251" s="4"/>
    </row>
    <row r="252" customFormat="false" ht="14.25" hidden="false" customHeight="false" outlineLevel="0" collapsed="false">
      <c r="B252" s="1" t="n">
        <v>15.9</v>
      </c>
      <c r="C252" s="3" t="n">
        <v>392</v>
      </c>
      <c r="D252" s="1" t="n">
        <v>2</v>
      </c>
      <c r="E252" s="2" t="n">
        <v>46</v>
      </c>
      <c r="F252" s="4" t="n">
        <v>2.82587739786632</v>
      </c>
      <c r="G252" s="1" t="n">
        <v>30</v>
      </c>
      <c r="H252" s="1" t="n">
        <v>38</v>
      </c>
      <c r="I252" s="1" t="n">
        <v>150</v>
      </c>
      <c r="J252" s="1" t="n">
        <v>250</v>
      </c>
      <c r="K252" s="1" t="n">
        <v>397.2</v>
      </c>
      <c r="L252" s="1" t="n">
        <v>17625</v>
      </c>
      <c r="M252" s="3" t="n">
        <v>70.0613812094831</v>
      </c>
      <c r="N252" s="12" t="n">
        <v>0.022536170212766</v>
      </c>
      <c r="O252" s="4" t="n">
        <v>35.6</v>
      </c>
      <c r="P252" s="3" t="n">
        <v>392.3</v>
      </c>
      <c r="Q252" s="4" t="n">
        <v>0.35</v>
      </c>
      <c r="R252" s="13" t="n">
        <f aca="false">P252/200000</f>
        <v>0.0019615</v>
      </c>
      <c r="V252" s="4"/>
      <c r="W252" s="4"/>
    </row>
    <row r="253" customFormat="false" ht="14.25" hidden="false" customHeight="false" outlineLevel="0" collapsed="false">
      <c r="A253" s="0" t="s">
        <v>74</v>
      </c>
      <c r="B253" s="1" t="n">
        <v>15.9</v>
      </c>
      <c r="C253" s="3" t="n">
        <v>392</v>
      </c>
      <c r="D253" s="1" t="n">
        <v>2</v>
      </c>
      <c r="E253" s="2" t="n">
        <v>46</v>
      </c>
      <c r="F253" s="4" t="n">
        <v>2.82587739786632</v>
      </c>
      <c r="G253" s="1" t="n">
        <v>30</v>
      </c>
      <c r="H253" s="1" t="n">
        <v>38</v>
      </c>
      <c r="I253" s="1" t="n">
        <v>150</v>
      </c>
      <c r="J253" s="1" t="n">
        <v>250</v>
      </c>
      <c r="K253" s="1" t="n">
        <v>397.2</v>
      </c>
      <c r="L253" s="1" t="n">
        <v>17625</v>
      </c>
      <c r="M253" s="3" t="n">
        <v>70.0613812094831</v>
      </c>
      <c r="N253" s="12" t="n">
        <v>0.022536170212766</v>
      </c>
      <c r="O253" s="4" t="n">
        <v>27.2</v>
      </c>
      <c r="P253" s="3" t="n">
        <v>363.004148584707</v>
      </c>
      <c r="Q253" s="4" t="n">
        <v>0.2</v>
      </c>
      <c r="R253" s="13" t="n">
        <f aca="false">P253/200000</f>
        <v>0.00181502074292354</v>
      </c>
      <c r="V253" s="4"/>
      <c r="W253" s="4"/>
    </row>
    <row r="254" customFormat="false" ht="14.25" hidden="false" customHeight="false" outlineLevel="0" collapsed="false">
      <c r="B254" s="1" t="n">
        <v>15.9</v>
      </c>
      <c r="C254" s="3" t="n">
        <v>392</v>
      </c>
      <c r="D254" s="1" t="n">
        <v>2</v>
      </c>
      <c r="E254" s="2" t="n">
        <v>46</v>
      </c>
      <c r="F254" s="4" t="n">
        <v>2.82587739786632</v>
      </c>
      <c r="G254" s="1" t="n">
        <v>30</v>
      </c>
      <c r="H254" s="1" t="n">
        <v>38</v>
      </c>
      <c r="I254" s="1" t="n">
        <v>150</v>
      </c>
      <c r="J254" s="1" t="n">
        <v>250</v>
      </c>
      <c r="K254" s="1" t="n">
        <v>397.2</v>
      </c>
      <c r="L254" s="1" t="n">
        <v>17625</v>
      </c>
      <c r="M254" s="3" t="n">
        <v>70.0613812094831</v>
      </c>
      <c r="N254" s="12" t="n">
        <v>0.022536170212766</v>
      </c>
      <c r="O254" s="4" t="n">
        <v>35.6</v>
      </c>
      <c r="P254" s="3" t="n">
        <v>392.3</v>
      </c>
      <c r="Q254" s="4" t="n">
        <v>0.25</v>
      </c>
      <c r="R254" s="13" t="n">
        <f aca="false">P254/200000</f>
        <v>0.0019615</v>
      </c>
      <c r="V254" s="4"/>
      <c r="W254" s="4"/>
    </row>
    <row r="255" customFormat="false" ht="14.25" hidden="false" customHeight="false" outlineLevel="0" collapsed="false">
      <c r="A255" s="0" t="s">
        <v>75</v>
      </c>
      <c r="B255" s="1" t="n">
        <v>15.9</v>
      </c>
      <c r="C255" s="3" t="n">
        <v>392</v>
      </c>
      <c r="D255" s="1" t="n">
        <v>2</v>
      </c>
      <c r="E255" s="2" t="n">
        <v>46</v>
      </c>
      <c r="F255" s="4" t="n">
        <v>2.82587739786632</v>
      </c>
      <c r="G255" s="1" t="n">
        <v>30</v>
      </c>
      <c r="H255" s="1" t="n">
        <v>38</v>
      </c>
      <c r="I255" s="1" t="n">
        <v>150</v>
      </c>
      <c r="J255" s="1" t="n">
        <v>250</v>
      </c>
      <c r="K255" s="1" t="n">
        <v>397.2</v>
      </c>
      <c r="L255" s="1" t="n">
        <v>17625</v>
      </c>
      <c r="M255" s="3" t="n">
        <v>70.0613812094831</v>
      </c>
      <c r="N255" s="12" t="n">
        <v>0.022536170212766</v>
      </c>
      <c r="O255" s="4" t="n">
        <v>27.2</v>
      </c>
      <c r="P255" s="3" t="n">
        <v>363.004148584707</v>
      </c>
      <c r="Q255" s="4" t="n">
        <v>0.2</v>
      </c>
      <c r="R255" s="13" t="n">
        <f aca="false">P255/200000</f>
        <v>0.00181502074292354</v>
      </c>
      <c r="V255" s="4"/>
      <c r="W255" s="4"/>
    </row>
    <row r="256" customFormat="false" ht="14.25" hidden="false" customHeight="false" outlineLevel="0" collapsed="false">
      <c r="B256" s="1" t="n">
        <v>15.9</v>
      </c>
      <c r="C256" s="3" t="n">
        <v>392</v>
      </c>
      <c r="D256" s="1" t="n">
        <v>2</v>
      </c>
      <c r="E256" s="2" t="n">
        <v>46</v>
      </c>
      <c r="F256" s="4" t="n">
        <v>2.82587739786632</v>
      </c>
      <c r="G256" s="1" t="n">
        <v>30</v>
      </c>
      <c r="H256" s="1" t="n">
        <v>38</v>
      </c>
      <c r="I256" s="1" t="n">
        <v>150</v>
      </c>
      <c r="J256" s="1" t="n">
        <v>250</v>
      </c>
      <c r="K256" s="1" t="n">
        <v>397.2</v>
      </c>
      <c r="L256" s="1" t="n">
        <v>17625</v>
      </c>
      <c r="M256" s="3" t="n">
        <v>70.0613812094831</v>
      </c>
      <c r="N256" s="12" t="n">
        <v>0.022536170212766</v>
      </c>
      <c r="O256" s="4" t="n">
        <v>35.6</v>
      </c>
      <c r="P256" s="3" t="n">
        <v>392.3</v>
      </c>
      <c r="Q256" s="4" t="n">
        <v>0.25</v>
      </c>
      <c r="R256" s="13" t="n">
        <f aca="false">P256/200000</f>
        <v>0.0019615</v>
      </c>
      <c r="V256" s="4"/>
      <c r="W256" s="4"/>
    </row>
    <row r="257" customFormat="false" ht="14.25" hidden="false" customHeight="false" outlineLevel="0" collapsed="false">
      <c r="A257" s="0" t="s">
        <v>76</v>
      </c>
      <c r="B257" s="1" t="n">
        <v>15.9</v>
      </c>
      <c r="C257" s="3" t="n">
        <v>392</v>
      </c>
      <c r="D257" s="1" t="n">
        <v>2</v>
      </c>
      <c r="E257" s="2" t="n">
        <v>46</v>
      </c>
      <c r="F257" s="4" t="n">
        <v>2.82587739786632</v>
      </c>
      <c r="G257" s="1" t="n">
        <v>30</v>
      </c>
      <c r="H257" s="1" t="n">
        <v>38</v>
      </c>
      <c r="I257" s="1" t="n">
        <v>150</v>
      </c>
      <c r="J257" s="1" t="n">
        <v>250</v>
      </c>
      <c r="K257" s="1" t="n">
        <v>397.2</v>
      </c>
      <c r="L257" s="1" t="n">
        <v>17625</v>
      </c>
      <c r="M257" s="3" t="n">
        <v>70.0613812094831</v>
      </c>
      <c r="N257" s="12" t="n">
        <v>0.022536170212766</v>
      </c>
      <c r="O257" s="4" t="n">
        <v>27.3</v>
      </c>
      <c r="P257" s="3" t="n">
        <v>364.338722660386</v>
      </c>
      <c r="Q257" s="4" t="n">
        <v>0.2</v>
      </c>
      <c r="R257" s="13" t="n">
        <f aca="false">P257/200000</f>
        <v>0.00182169361330193</v>
      </c>
      <c r="V257" s="4"/>
      <c r="W257" s="4"/>
    </row>
    <row r="258" customFormat="false" ht="14.25" hidden="false" customHeight="false" outlineLevel="0" collapsed="false">
      <c r="B258" s="1" t="n">
        <v>15.9</v>
      </c>
      <c r="C258" s="3" t="n">
        <v>392</v>
      </c>
      <c r="D258" s="1" t="n">
        <v>2</v>
      </c>
      <c r="E258" s="2" t="n">
        <v>46</v>
      </c>
      <c r="F258" s="4" t="n">
        <v>2.82587739786632</v>
      </c>
      <c r="G258" s="1" t="n">
        <v>30</v>
      </c>
      <c r="H258" s="1" t="n">
        <v>38</v>
      </c>
      <c r="I258" s="1" t="n">
        <v>150</v>
      </c>
      <c r="J258" s="1" t="n">
        <v>250</v>
      </c>
      <c r="K258" s="1" t="n">
        <v>397.2</v>
      </c>
      <c r="L258" s="1" t="n">
        <v>17625</v>
      </c>
      <c r="M258" s="3" t="n">
        <v>70.0613812094831</v>
      </c>
      <c r="N258" s="12" t="n">
        <v>0.022536170212766</v>
      </c>
      <c r="O258" s="4" t="n">
        <v>35.7</v>
      </c>
      <c r="P258" s="3" t="n">
        <v>392.3</v>
      </c>
      <c r="Q258" s="4" t="n">
        <v>0.3</v>
      </c>
      <c r="R258" s="13" t="n">
        <f aca="false">P258/200000</f>
        <v>0.0019615</v>
      </c>
      <c r="V258" s="4"/>
      <c r="W258" s="4"/>
    </row>
    <row r="259" customFormat="false" ht="14.25" hidden="false" customHeight="false" outlineLevel="0" collapsed="false">
      <c r="A259" s="0" t="s">
        <v>77</v>
      </c>
      <c r="B259" s="1" t="n">
        <v>12.7</v>
      </c>
      <c r="C259" s="3" t="n">
        <v>392</v>
      </c>
      <c r="D259" s="1" t="n">
        <v>2</v>
      </c>
      <c r="E259" s="2" t="n">
        <v>52</v>
      </c>
      <c r="F259" s="4" t="n">
        <v>2.92087587098479</v>
      </c>
      <c r="G259" s="1" t="n">
        <v>30</v>
      </c>
      <c r="H259" s="1" t="n">
        <v>36.5</v>
      </c>
      <c r="I259" s="1" t="n">
        <v>150</v>
      </c>
      <c r="J259" s="1" t="n">
        <v>250</v>
      </c>
      <c r="K259" s="1" t="n">
        <v>253.4</v>
      </c>
      <c r="L259" s="1" t="n">
        <v>15000</v>
      </c>
      <c r="M259" s="3" t="n">
        <v>58.0759426324872</v>
      </c>
      <c r="N259" s="12" t="n">
        <v>0.0168933333333333</v>
      </c>
      <c r="O259" s="4" t="n">
        <v>15.6</v>
      </c>
      <c r="P259" s="3" t="n">
        <v>317.102697940788</v>
      </c>
      <c r="Q259" s="4" t="n">
        <v>0.15</v>
      </c>
      <c r="R259" s="13" t="n">
        <f aca="false">P259/200000</f>
        <v>0.00158551348970394</v>
      </c>
      <c r="V259" s="4"/>
      <c r="W259" s="4"/>
    </row>
    <row r="260" customFormat="false" ht="14.25" hidden="false" customHeight="false" outlineLevel="0" collapsed="false">
      <c r="B260" s="1" t="n">
        <v>12.7</v>
      </c>
      <c r="C260" s="3" t="n">
        <v>392</v>
      </c>
      <c r="D260" s="1" t="n">
        <v>2</v>
      </c>
      <c r="E260" s="2" t="n">
        <v>52</v>
      </c>
      <c r="F260" s="4" t="n">
        <v>2.92087587098479</v>
      </c>
      <c r="G260" s="1" t="n">
        <v>30</v>
      </c>
      <c r="H260" s="1" t="n">
        <v>36.5</v>
      </c>
      <c r="I260" s="1" t="n">
        <v>150</v>
      </c>
      <c r="J260" s="1" t="n">
        <v>250</v>
      </c>
      <c r="K260" s="1" t="n">
        <v>253.4</v>
      </c>
      <c r="L260" s="1" t="n">
        <v>15000</v>
      </c>
      <c r="M260" s="3" t="n">
        <v>58.0759426324872</v>
      </c>
      <c r="N260" s="12" t="n">
        <v>0.0168933333333333</v>
      </c>
      <c r="O260" s="4" t="n">
        <v>19.6</v>
      </c>
      <c r="P260" s="3" t="n">
        <v>392.3</v>
      </c>
      <c r="Q260" s="4" t="n">
        <v>0.2</v>
      </c>
      <c r="R260" s="13" t="n">
        <f aca="false">P260/200000</f>
        <v>0.0019615</v>
      </c>
      <c r="V260" s="4"/>
      <c r="W260" s="4"/>
    </row>
    <row r="261" customFormat="false" ht="14.25" hidden="false" customHeight="false" outlineLevel="0" collapsed="false">
      <c r="A261" s="0" t="s">
        <v>78</v>
      </c>
      <c r="B261" s="1" t="n">
        <v>12.7</v>
      </c>
      <c r="C261" s="3" t="n">
        <v>392</v>
      </c>
      <c r="D261" s="1" t="n">
        <v>2</v>
      </c>
      <c r="E261" s="2" t="n">
        <v>52</v>
      </c>
      <c r="F261" s="4" t="n">
        <v>2.92087587098479</v>
      </c>
      <c r="G261" s="1" t="n">
        <v>30</v>
      </c>
      <c r="H261" s="1" t="n">
        <v>36.5</v>
      </c>
      <c r="I261" s="1" t="n">
        <v>150</v>
      </c>
      <c r="J261" s="1" t="n">
        <v>250</v>
      </c>
      <c r="K261" s="1" t="n">
        <v>253.4</v>
      </c>
      <c r="L261" s="1" t="n">
        <v>15000</v>
      </c>
      <c r="M261" s="3" t="n">
        <v>58.0759426324872</v>
      </c>
      <c r="N261" s="12" t="n">
        <v>0.0168933333333333</v>
      </c>
      <c r="O261" s="4" t="n">
        <v>15.7</v>
      </c>
      <c r="P261" s="3" t="n">
        <v>319.135407542973</v>
      </c>
      <c r="Q261" s="4" t="n">
        <v>0.15</v>
      </c>
      <c r="R261" s="13" t="n">
        <f aca="false">P261/200000</f>
        <v>0.00159567703771486</v>
      </c>
      <c r="V261" s="4"/>
      <c r="W261" s="4"/>
    </row>
    <row r="262" customFormat="false" ht="14.25" hidden="false" customHeight="false" outlineLevel="0" collapsed="false">
      <c r="B262" s="1" t="n">
        <v>12.7</v>
      </c>
      <c r="C262" s="3" t="n">
        <v>392</v>
      </c>
      <c r="D262" s="1" t="n">
        <v>2</v>
      </c>
      <c r="E262" s="2" t="n">
        <v>52</v>
      </c>
      <c r="F262" s="4" t="n">
        <v>2.92087587098479</v>
      </c>
      <c r="G262" s="1" t="n">
        <v>30</v>
      </c>
      <c r="H262" s="1" t="n">
        <v>36.5</v>
      </c>
      <c r="I262" s="1" t="n">
        <v>150</v>
      </c>
      <c r="J262" s="1" t="n">
        <v>250</v>
      </c>
      <c r="K262" s="1" t="n">
        <v>253.4</v>
      </c>
      <c r="L262" s="1" t="n">
        <v>15000</v>
      </c>
      <c r="M262" s="3" t="n">
        <v>58.0759426324872</v>
      </c>
      <c r="N262" s="12" t="n">
        <v>0.0168933333333333</v>
      </c>
      <c r="O262" s="4" t="n">
        <v>19.6</v>
      </c>
      <c r="P262" s="3" t="n">
        <v>392.3</v>
      </c>
      <c r="Q262" s="4" t="n">
        <v>0.2</v>
      </c>
      <c r="R262" s="13" t="n">
        <f aca="false">P262/200000</f>
        <v>0.0019615</v>
      </c>
      <c r="V262" s="4"/>
      <c r="W262" s="4"/>
    </row>
    <row r="263" customFormat="false" ht="14.25" hidden="false" customHeight="false" outlineLevel="0" collapsed="false">
      <c r="A263" s="0" t="s">
        <v>79</v>
      </c>
      <c r="B263" s="1" t="n">
        <v>15.9</v>
      </c>
      <c r="C263" s="3" t="n">
        <v>392</v>
      </c>
      <c r="D263" s="1" t="n">
        <v>2</v>
      </c>
      <c r="E263" s="2" t="n">
        <v>46</v>
      </c>
      <c r="F263" s="4" t="n">
        <v>2.92087587098479</v>
      </c>
      <c r="G263" s="1" t="n">
        <v>30</v>
      </c>
      <c r="H263" s="1" t="n">
        <v>38</v>
      </c>
      <c r="I263" s="1" t="n">
        <v>150</v>
      </c>
      <c r="J263" s="1" t="n">
        <v>250</v>
      </c>
      <c r="K263" s="1" t="n">
        <v>397.2</v>
      </c>
      <c r="L263" s="1" t="n">
        <v>17625</v>
      </c>
      <c r="M263" s="3" t="n">
        <v>69.5979672777495</v>
      </c>
      <c r="N263" s="12" t="n">
        <v>0.022536170212766</v>
      </c>
      <c r="O263" s="4" t="n">
        <v>19.5</v>
      </c>
      <c r="P263" s="3" t="n">
        <v>260.029022246808</v>
      </c>
      <c r="Q263" s="4" t="n">
        <v>0.15</v>
      </c>
      <c r="R263" s="13" t="n">
        <f aca="false">P263/200000</f>
        <v>0.00130014511123404</v>
      </c>
      <c r="V263" s="4"/>
      <c r="W263" s="4"/>
    </row>
    <row r="264" customFormat="false" ht="14.25" hidden="false" customHeight="false" outlineLevel="0" collapsed="false">
      <c r="B264" s="1" t="n">
        <v>15.9</v>
      </c>
      <c r="C264" s="3" t="n">
        <v>392</v>
      </c>
      <c r="D264" s="1" t="n">
        <v>2</v>
      </c>
      <c r="E264" s="2" t="n">
        <v>46</v>
      </c>
      <c r="F264" s="4" t="n">
        <v>2.92087587098479</v>
      </c>
      <c r="G264" s="1" t="n">
        <v>30</v>
      </c>
      <c r="H264" s="1" t="n">
        <v>38</v>
      </c>
      <c r="I264" s="1" t="n">
        <v>150</v>
      </c>
      <c r="J264" s="1" t="n">
        <v>250</v>
      </c>
      <c r="K264" s="1" t="n">
        <v>397.2</v>
      </c>
      <c r="L264" s="1" t="n">
        <v>17625</v>
      </c>
      <c r="M264" s="3" t="n">
        <v>69.5979672777495</v>
      </c>
      <c r="N264" s="12" t="n">
        <v>0.022536170212766</v>
      </c>
      <c r="O264" s="4" t="n">
        <v>27.4</v>
      </c>
      <c r="P264" s="3" t="n">
        <v>365.3741133109</v>
      </c>
      <c r="Q264" s="4" t="n">
        <v>0.25</v>
      </c>
      <c r="R264" s="13" t="n">
        <f aca="false">P264/200000</f>
        <v>0.0018268705665545</v>
      </c>
      <c r="V264" s="4"/>
      <c r="W264" s="4"/>
    </row>
    <row r="265" customFormat="false" ht="14.25" hidden="false" customHeight="false" outlineLevel="0" collapsed="false">
      <c r="B265" s="1" t="n">
        <v>15.9</v>
      </c>
      <c r="C265" s="3" t="n">
        <v>392</v>
      </c>
      <c r="D265" s="1" t="n">
        <v>2</v>
      </c>
      <c r="E265" s="2" t="n">
        <v>46</v>
      </c>
      <c r="F265" s="4" t="n">
        <v>2.92087587098479</v>
      </c>
      <c r="G265" s="1" t="n">
        <v>30</v>
      </c>
      <c r="H265" s="1" t="n">
        <v>38</v>
      </c>
      <c r="I265" s="1" t="n">
        <v>150</v>
      </c>
      <c r="J265" s="1" t="n">
        <v>250</v>
      </c>
      <c r="K265" s="1" t="n">
        <v>397.2</v>
      </c>
      <c r="L265" s="1" t="n">
        <v>17625</v>
      </c>
      <c r="M265" s="3" t="n">
        <v>69.5979672777495</v>
      </c>
      <c r="N265" s="12" t="n">
        <v>0.022536170212766</v>
      </c>
      <c r="O265" s="4" t="n">
        <v>31.3</v>
      </c>
      <c r="P265" s="3" t="n">
        <v>392.3</v>
      </c>
      <c r="Q265" s="4" t="n">
        <v>0.3</v>
      </c>
      <c r="R265" s="13" t="n">
        <f aca="false">P265/200000</f>
        <v>0.0019615</v>
      </c>
      <c r="V265" s="4"/>
      <c r="W265" s="4"/>
    </row>
    <row r="266" customFormat="false" ht="14.25" hidden="false" customHeight="false" outlineLevel="0" collapsed="false">
      <c r="A266" s="0" t="s">
        <v>80</v>
      </c>
      <c r="B266" s="1" t="n">
        <v>15.9</v>
      </c>
      <c r="C266" s="3" t="n">
        <v>392</v>
      </c>
      <c r="D266" s="1" t="n">
        <v>2</v>
      </c>
      <c r="E266" s="2" t="n">
        <v>46</v>
      </c>
      <c r="F266" s="4" t="n">
        <v>2.92087587098479</v>
      </c>
      <c r="G266" s="1" t="n">
        <v>30</v>
      </c>
      <c r="H266" s="1" t="n">
        <v>38</v>
      </c>
      <c r="I266" s="1" t="n">
        <v>150</v>
      </c>
      <c r="J266" s="1" t="n">
        <v>250</v>
      </c>
      <c r="K266" s="1" t="n">
        <v>397.2</v>
      </c>
      <c r="L266" s="1" t="n">
        <v>17625</v>
      </c>
      <c r="M266" s="3" t="n">
        <v>69.5979672777495</v>
      </c>
      <c r="N266" s="12" t="n">
        <v>0.022536170212766</v>
      </c>
      <c r="O266" s="4" t="n">
        <v>19.6</v>
      </c>
      <c r="P266" s="3" t="n">
        <v>261.362504412177</v>
      </c>
      <c r="Q266" s="4" t="n">
        <v>0.15</v>
      </c>
      <c r="R266" s="13" t="n">
        <f aca="false">P266/200000</f>
        <v>0.00130681252206088</v>
      </c>
      <c r="V266" s="4"/>
      <c r="W266" s="4"/>
    </row>
    <row r="267" customFormat="false" ht="14.25" hidden="false" customHeight="false" outlineLevel="0" collapsed="false">
      <c r="B267" s="1" t="n">
        <v>15.9</v>
      </c>
      <c r="C267" s="3" t="n">
        <v>392</v>
      </c>
      <c r="D267" s="1" t="n">
        <v>2</v>
      </c>
      <c r="E267" s="2" t="n">
        <v>46</v>
      </c>
      <c r="F267" s="4" t="n">
        <v>2.92087587098479</v>
      </c>
      <c r="G267" s="1" t="n">
        <v>30</v>
      </c>
      <c r="H267" s="1" t="n">
        <v>38</v>
      </c>
      <c r="I267" s="1" t="n">
        <v>150</v>
      </c>
      <c r="J267" s="1" t="n">
        <v>250</v>
      </c>
      <c r="K267" s="1" t="n">
        <v>397.2</v>
      </c>
      <c r="L267" s="1" t="n">
        <v>17625</v>
      </c>
      <c r="M267" s="3" t="n">
        <v>69.5979672777495</v>
      </c>
      <c r="N267" s="12" t="n">
        <v>0.022536170212766</v>
      </c>
      <c r="O267" s="4" t="n">
        <v>27.5</v>
      </c>
      <c r="P267" s="3" t="n">
        <v>366.707595476268</v>
      </c>
      <c r="Q267" s="4" t="n">
        <v>0.25</v>
      </c>
      <c r="R267" s="13" t="n">
        <f aca="false">P267/200000</f>
        <v>0.00183353797738134</v>
      </c>
      <c r="V267" s="4"/>
      <c r="W267" s="4"/>
    </row>
    <row r="268" customFormat="false" ht="14.25" hidden="false" customHeight="false" outlineLevel="0" collapsed="false">
      <c r="A268" s="0" t="s">
        <v>81</v>
      </c>
      <c r="B268" s="1" t="n">
        <v>19.1</v>
      </c>
      <c r="C268" s="3" t="n">
        <v>392</v>
      </c>
      <c r="D268" s="1" t="n">
        <v>2</v>
      </c>
      <c r="E268" s="2" t="n">
        <v>40</v>
      </c>
      <c r="F268" s="4" t="n">
        <v>2.92087587098479</v>
      </c>
      <c r="G268" s="1" t="n">
        <v>30</v>
      </c>
      <c r="H268" s="1" t="n">
        <v>39.5</v>
      </c>
      <c r="I268" s="1" t="n">
        <v>150</v>
      </c>
      <c r="J268" s="1" t="n">
        <v>250</v>
      </c>
      <c r="K268" s="1" t="n">
        <v>573</v>
      </c>
      <c r="L268" s="1" t="n">
        <v>20250</v>
      </c>
      <c r="M268" s="3" t="n">
        <v>80.017825486464</v>
      </c>
      <c r="N268" s="12" t="n">
        <v>0.0282962962962963</v>
      </c>
      <c r="O268" s="4" t="n">
        <v>19.7</v>
      </c>
      <c r="P268" s="3" t="n">
        <v>187.025739041386</v>
      </c>
      <c r="Q268" s="4" t="n">
        <v>0.15</v>
      </c>
      <c r="R268" s="13" t="n">
        <f aca="false">P268/200000</f>
        <v>0.000935128695206929</v>
      </c>
      <c r="V268" s="4"/>
      <c r="W268" s="4"/>
    </row>
    <row r="269" customFormat="false" ht="14.25" hidden="false" customHeight="false" outlineLevel="0" collapsed="false">
      <c r="B269" s="1" t="n">
        <v>19.1</v>
      </c>
      <c r="C269" s="3" t="n">
        <v>392</v>
      </c>
      <c r="D269" s="1" t="n">
        <v>2</v>
      </c>
      <c r="E269" s="2" t="n">
        <v>40</v>
      </c>
      <c r="F269" s="4" t="n">
        <v>2.92087587098479</v>
      </c>
      <c r="G269" s="1" t="n">
        <v>30</v>
      </c>
      <c r="H269" s="1" t="n">
        <v>39.5</v>
      </c>
      <c r="I269" s="1" t="n">
        <v>150</v>
      </c>
      <c r="J269" s="1" t="n">
        <v>250</v>
      </c>
      <c r="K269" s="1" t="n">
        <v>573</v>
      </c>
      <c r="L269" s="1" t="n">
        <v>20250</v>
      </c>
      <c r="M269" s="3" t="n">
        <v>80.017825486464</v>
      </c>
      <c r="N269" s="12" t="n">
        <v>0.0282962962962963</v>
      </c>
      <c r="O269" s="4" t="n">
        <v>27.5</v>
      </c>
      <c r="P269" s="3" t="n">
        <v>261.07653927097</v>
      </c>
      <c r="Q269" s="4" t="n">
        <v>0.2</v>
      </c>
      <c r="R269" s="13" t="n">
        <f aca="false">P269/200000</f>
        <v>0.00130538269635485</v>
      </c>
      <c r="V269" s="4"/>
      <c r="W269" s="4"/>
    </row>
    <row r="270" customFormat="false" ht="14.25" hidden="false" customHeight="false" outlineLevel="0" collapsed="false">
      <c r="B270" s="1" t="n">
        <v>19.1</v>
      </c>
      <c r="C270" s="3" t="n">
        <v>392</v>
      </c>
      <c r="D270" s="1" t="n">
        <v>2</v>
      </c>
      <c r="E270" s="2" t="n">
        <v>40</v>
      </c>
      <c r="F270" s="4" t="n">
        <v>2.92087587098479</v>
      </c>
      <c r="G270" s="1" t="n">
        <v>30</v>
      </c>
      <c r="H270" s="1" t="n">
        <v>39.5</v>
      </c>
      <c r="I270" s="1" t="n">
        <v>150</v>
      </c>
      <c r="J270" s="1" t="n">
        <v>250</v>
      </c>
      <c r="K270" s="1" t="n">
        <v>573</v>
      </c>
      <c r="L270" s="1" t="n">
        <v>20250</v>
      </c>
      <c r="M270" s="3" t="n">
        <v>80.017825486464</v>
      </c>
      <c r="N270" s="12" t="n">
        <v>0.0282962962962963</v>
      </c>
      <c r="O270" s="4" t="n">
        <v>35.4</v>
      </c>
      <c r="P270" s="3" t="n">
        <v>336.076708734267</v>
      </c>
      <c r="Q270" s="4" t="n">
        <v>0.3</v>
      </c>
      <c r="R270" s="13" t="n">
        <f aca="false">P270/200000</f>
        <v>0.00168038354367133</v>
      </c>
      <c r="V270" s="4"/>
      <c r="W270" s="4"/>
    </row>
    <row r="271" customFormat="false" ht="14.25" hidden="false" customHeight="false" outlineLevel="0" collapsed="false">
      <c r="B271" s="1" t="n">
        <v>19.1</v>
      </c>
      <c r="C271" s="3" t="n">
        <v>392</v>
      </c>
      <c r="D271" s="1" t="n">
        <v>2</v>
      </c>
      <c r="E271" s="2" t="n">
        <v>40</v>
      </c>
      <c r="F271" s="4" t="n">
        <v>2.92087587098479</v>
      </c>
      <c r="G271" s="1" t="n">
        <v>30</v>
      </c>
      <c r="H271" s="1" t="n">
        <v>39.5</v>
      </c>
      <c r="I271" s="1" t="n">
        <v>150</v>
      </c>
      <c r="J271" s="1" t="n">
        <v>250</v>
      </c>
      <c r="K271" s="1" t="n">
        <v>573</v>
      </c>
      <c r="L271" s="1" t="n">
        <v>20250</v>
      </c>
      <c r="M271" s="3" t="n">
        <v>80.017825486464</v>
      </c>
      <c r="N271" s="12" t="n">
        <v>0.0282962962962963</v>
      </c>
      <c r="O271" s="4" t="n">
        <v>43.3</v>
      </c>
      <c r="P271" s="3" t="n">
        <v>392.3</v>
      </c>
      <c r="Q271" s="4" t="n">
        <v>0.33</v>
      </c>
      <c r="R271" s="13" t="n">
        <f aca="false">P271/200000</f>
        <v>0.0019615</v>
      </c>
      <c r="V271" s="4"/>
      <c r="W271" s="4"/>
    </row>
    <row r="272" customFormat="false" ht="14.25" hidden="false" customHeight="false" outlineLevel="0" collapsed="false">
      <c r="A272" s="0" t="s">
        <v>82</v>
      </c>
      <c r="B272" s="1" t="n">
        <v>19.1</v>
      </c>
      <c r="C272" s="3" t="n">
        <v>392</v>
      </c>
      <c r="D272" s="1" t="n">
        <v>2</v>
      </c>
      <c r="E272" s="2" t="n">
        <v>40</v>
      </c>
      <c r="F272" s="4" t="n">
        <v>2.92087587098479</v>
      </c>
      <c r="G272" s="1" t="n">
        <v>30</v>
      </c>
      <c r="H272" s="1" t="n">
        <v>39.5</v>
      </c>
      <c r="I272" s="1" t="n">
        <v>150</v>
      </c>
      <c r="J272" s="1" t="n">
        <v>250</v>
      </c>
      <c r="K272" s="1" t="n">
        <v>573</v>
      </c>
      <c r="L272" s="1" t="n">
        <v>20250</v>
      </c>
      <c r="M272" s="3" t="n">
        <v>80.017825486464</v>
      </c>
      <c r="N272" s="12" t="n">
        <v>0.0282962962962963</v>
      </c>
      <c r="O272" s="4" t="n">
        <v>19.6</v>
      </c>
      <c r="P272" s="3" t="n">
        <v>186.076369807673</v>
      </c>
      <c r="Q272" s="4" t="n">
        <v>0.15</v>
      </c>
      <c r="R272" s="13" t="n">
        <f aca="false">P272/200000</f>
        <v>0.000930381849038365</v>
      </c>
      <c r="V272" s="4"/>
      <c r="W272" s="4"/>
    </row>
    <row r="273" customFormat="false" ht="14.25" hidden="false" customHeight="false" outlineLevel="0" collapsed="false">
      <c r="B273" s="1" t="n">
        <v>19.1</v>
      </c>
      <c r="C273" s="3" t="n">
        <v>392</v>
      </c>
      <c r="D273" s="1" t="n">
        <v>2</v>
      </c>
      <c r="E273" s="2" t="n">
        <v>40</v>
      </c>
      <c r="F273" s="4" t="n">
        <v>2.92087587098479</v>
      </c>
      <c r="G273" s="1" t="n">
        <v>30</v>
      </c>
      <c r="H273" s="1" t="n">
        <v>39.5</v>
      </c>
      <c r="I273" s="1" t="n">
        <v>150</v>
      </c>
      <c r="J273" s="1" t="n">
        <v>250</v>
      </c>
      <c r="K273" s="1" t="n">
        <v>573</v>
      </c>
      <c r="L273" s="1" t="n">
        <v>20250</v>
      </c>
      <c r="M273" s="3" t="n">
        <v>80.017825486464</v>
      </c>
      <c r="N273" s="12" t="n">
        <v>0.0282962962962963</v>
      </c>
      <c r="O273" s="4" t="n">
        <v>27.3</v>
      </c>
      <c r="P273" s="3" t="n">
        <v>259.177800803545</v>
      </c>
      <c r="Q273" s="4" t="n">
        <v>0.25</v>
      </c>
      <c r="R273" s="13" t="n">
        <f aca="false">P273/200000</f>
        <v>0.00129588900401772</v>
      </c>
      <c r="V273" s="4"/>
      <c r="W273" s="4"/>
    </row>
    <row r="274" customFormat="false" ht="14.25" hidden="false" customHeight="false" outlineLevel="0" collapsed="false">
      <c r="B274" s="1" t="n">
        <v>19.1</v>
      </c>
      <c r="C274" s="3" t="n">
        <v>392</v>
      </c>
      <c r="D274" s="1" t="n">
        <v>2</v>
      </c>
      <c r="E274" s="2" t="n">
        <v>40</v>
      </c>
      <c r="F274" s="4" t="n">
        <v>2.92087587098479</v>
      </c>
      <c r="G274" s="1" t="n">
        <v>30</v>
      </c>
      <c r="H274" s="1" t="n">
        <v>39.5</v>
      </c>
      <c r="I274" s="1" t="n">
        <v>150</v>
      </c>
      <c r="J274" s="1" t="n">
        <v>250</v>
      </c>
      <c r="K274" s="1" t="n">
        <v>573</v>
      </c>
      <c r="L274" s="1" t="n">
        <v>20250</v>
      </c>
      <c r="M274" s="3" t="n">
        <v>80.017825486464</v>
      </c>
      <c r="N274" s="12" t="n">
        <v>0.0282962962962963</v>
      </c>
      <c r="O274" s="4" t="n">
        <v>35.1</v>
      </c>
      <c r="P274" s="3" t="n">
        <v>333.228601033129</v>
      </c>
      <c r="Q274" s="4" t="n">
        <v>0.28</v>
      </c>
      <c r="R274" s="13" t="n">
        <f aca="false">P274/200000</f>
        <v>0.00166614300516564</v>
      </c>
      <c r="V274" s="4"/>
      <c r="W274" s="4"/>
    </row>
    <row r="275" customFormat="false" ht="14.25" hidden="false" customHeight="false" outlineLevel="0" collapsed="false">
      <c r="A275" s="0" t="s">
        <v>83</v>
      </c>
      <c r="B275" s="1" t="n">
        <v>15.9</v>
      </c>
      <c r="C275" s="3" t="n">
        <v>392</v>
      </c>
      <c r="D275" s="1" t="n">
        <v>2</v>
      </c>
      <c r="E275" s="2" t="n">
        <v>46</v>
      </c>
      <c r="F275" s="4" t="n">
        <v>3.35387948274239</v>
      </c>
      <c r="G275" s="1" t="n">
        <v>30</v>
      </c>
      <c r="H275" s="1" t="n">
        <v>38</v>
      </c>
      <c r="I275" s="1" t="n">
        <v>150</v>
      </c>
      <c r="J275" s="1" t="n">
        <v>250</v>
      </c>
      <c r="K275" s="1" t="n">
        <v>397.2</v>
      </c>
      <c r="L275" s="1" t="n">
        <v>17625</v>
      </c>
      <c r="M275" s="3" t="n">
        <v>67.6841386130991</v>
      </c>
      <c r="N275" s="12" t="n">
        <v>0.022536170212766</v>
      </c>
      <c r="O275" s="4" t="n">
        <v>27.5</v>
      </c>
      <c r="P275" s="3" t="n">
        <v>365.472691516251</v>
      </c>
      <c r="Q275" s="4" t="n">
        <v>0.2</v>
      </c>
      <c r="R275" s="13" t="n">
        <f aca="false">P275/200000</f>
        <v>0.00182736345758125</v>
      </c>
      <c r="V275" s="4"/>
      <c r="W275" s="4"/>
    </row>
    <row r="276" customFormat="false" ht="14.25" hidden="false" customHeight="false" outlineLevel="0" collapsed="false">
      <c r="B276" s="1" t="n">
        <v>15.9</v>
      </c>
      <c r="C276" s="3" t="n">
        <v>392</v>
      </c>
      <c r="D276" s="1" t="n">
        <v>2</v>
      </c>
      <c r="E276" s="2" t="n">
        <v>46</v>
      </c>
      <c r="F276" s="4" t="n">
        <v>3.35387948274239</v>
      </c>
      <c r="G276" s="1" t="n">
        <v>30</v>
      </c>
      <c r="H276" s="1" t="n">
        <v>38</v>
      </c>
      <c r="I276" s="1" t="n">
        <v>150</v>
      </c>
      <c r="J276" s="1" t="n">
        <v>250</v>
      </c>
      <c r="K276" s="1" t="n">
        <v>397.2</v>
      </c>
      <c r="L276" s="1" t="n">
        <v>17625</v>
      </c>
      <c r="M276" s="3" t="n">
        <v>67.6841386130991</v>
      </c>
      <c r="N276" s="12" t="n">
        <v>0.022536170212766</v>
      </c>
      <c r="O276" s="4" t="n">
        <v>31.4</v>
      </c>
      <c r="P276" s="3" t="n">
        <v>392.3</v>
      </c>
      <c r="Q276" s="4" t="n">
        <v>0.22</v>
      </c>
      <c r="R276" s="13" t="n">
        <f aca="false">P276/200000</f>
        <v>0.0019615</v>
      </c>
      <c r="V276" s="4"/>
      <c r="W276" s="4"/>
    </row>
    <row r="277" customFormat="false" ht="14.25" hidden="false" customHeight="false" outlineLevel="0" collapsed="false">
      <c r="A277" s="0" t="s">
        <v>84</v>
      </c>
      <c r="B277" s="1" t="n">
        <v>15.9</v>
      </c>
      <c r="C277" s="3" t="n">
        <v>392</v>
      </c>
      <c r="D277" s="1" t="n">
        <v>2</v>
      </c>
      <c r="E277" s="2" t="n">
        <v>46</v>
      </c>
      <c r="F277" s="4" t="n">
        <v>3.35387948274239</v>
      </c>
      <c r="G277" s="1" t="n">
        <v>30</v>
      </c>
      <c r="H277" s="1" t="n">
        <v>38</v>
      </c>
      <c r="I277" s="1" t="n">
        <v>150</v>
      </c>
      <c r="J277" s="1" t="n">
        <v>250</v>
      </c>
      <c r="K277" s="1" t="n">
        <v>397.2</v>
      </c>
      <c r="L277" s="1" t="n">
        <v>17625</v>
      </c>
      <c r="M277" s="3" t="n">
        <v>67.6841386130991</v>
      </c>
      <c r="N277" s="12" t="n">
        <v>0.022536170212766</v>
      </c>
      <c r="O277" s="4" t="n">
        <v>27.5</v>
      </c>
      <c r="P277" s="3" t="n">
        <v>365.472691516251</v>
      </c>
      <c r="Q277" s="4" t="n">
        <v>0.17</v>
      </c>
      <c r="R277" s="13" t="n">
        <f aca="false">P277/200000</f>
        <v>0.00182736345758125</v>
      </c>
      <c r="V277" s="4"/>
      <c r="W277" s="4"/>
    </row>
    <row r="278" customFormat="false" ht="14.25" hidden="false" customHeight="false" outlineLevel="0" collapsed="false">
      <c r="B278" s="1" t="n">
        <v>15.9</v>
      </c>
      <c r="C278" s="3" t="n">
        <v>392</v>
      </c>
      <c r="D278" s="1" t="n">
        <v>2</v>
      </c>
      <c r="E278" s="2" t="n">
        <v>46</v>
      </c>
      <c r="F278" s="4" t="n">
        <v>3.35387948274239</v>
      </c>
      <c r="G278" s="1" t="n">
        <v>30</v>
      </c>
      <c r="H278" s="1" t="n">
        <v>38</v>
      </c>
      <c r="I278" s="1" t="n">
        <v>150</v>
      </c>
      <c r="J278" s="1" t="n">
        <v>250</v>
      </c>
      <c r="K278" s="1" t="n">
        <v>397.2</v>
      </c>
      <c r="L278" s="1" t="n">
        <v>17625</v>
      </c>
      <c r="M278" s="3" t="n">
        <v>67.6841386130991</v>
      </c>
      <c r="N278" s="12" t="n">
        <v>0.022536170212766</v>
      </c>
      <c r="O278" s="4" t="n">
        <v>31.4</v>
      </c>
      <c r="P278" s="3" t="n">
        <v>392.3</v>
      </c>
      <c r="Q278" s="4" t="n">
        <v>0.21</v>
      </c>
      <c r="R278" s="13" t="n">
        <f aca="false">P278/200000</f>
        <v>0.0019615</v>
      </c>
      <c r="V278" s="4"/>
      <c r="W278" s="4"/>
    </row>
    <row r="279" customFormat="false" ht="14.25" hidden="false" customHeight="false" outlineLevel="0" collapsed="false">
      <c r="A279" s="0" t="s">
        <v>85</v>
      </c>
      <c r="B279" s="1" t="n">
        <v>19.1</v>
      </c>
      <c r="C279" s="3" t="n">
        <v>392</v>
      </c>
      <c r="D279" s="1" t="n">
        <v>2</v>
      </c>
      <c r="E279" s="2" t="n">
        <v>40</v>
      </c>
      <c r="F279" s="4" t="n">
        <v>3.35387948274239</v>
      </c>
      <c r="G279" s="1" t="n">
        <v>30</v>
      </c>
      <c r="H279" s="1" t="n">
        <v>39.5</v>
      </c>
      <c r="I279" s="1" t="n">
        <v>150</v>
      </c>
      <c r="J279" s="1" t="n">
        <v>250</v>
      </c>
      <c r="K279" s="1" t="n">
        <v>573</v>
      </c>
      <c r="L279" s="1" t="n">
        <v>20250</v>
      </c>
      <c r="M279" s="3" t="n">
        <v>77.9189777125861</v>
      </c>
      <c r="N279" s="12" t="n">
        <v>0.0282962962962963</v>
      </c>
      <c r="O279" s="4" t="n">
        <v>23.4</v>
      </c>
      <c r="P279" s="3" t="n">
        <v>221.310131801498</v>
      </c>
      <c r="Q279" s="4" t="n">
        <v>0.17</v>
      </c>
      <c r="R279" s="13" t="n">
        <f aca="false">P279/200000</f>
        <v>0.00110655065900749</v>
      </c>
      <c r="V279" s="4"/>
      <c r="W279" s="4"/>
    </row>
    <row r="280" customFormat="false" ht="14.25" hidden="false" customHeight="false" outlineLevel="0" collapsed="false">
      <c r="B280" s="1" t="n">
        <v>19.1</v>
      </c>
      <c r="C280" s="3" t="n">
        <v>392</v>
      </c>
      <c r="D280" s="1" t="n">
        <v>2</v>
      </c>
      <c r="E280" s="2" t="n">
        <v>40</v>
      </c>
      <c r="F280" s="4" t="n">
        <v>3.35387948274239</v>
      </c>
      <c r="G280" s="1" t="n">
        <v>30</v>
      </c>
      <c r="H280" s="1" t="n">
        <v>39.5</v>
      </c>
      <c r="I280" s="1" t="n">
        <v>150</v>
      </c>
      <c r="J280" s="1" t="n">
        <v>250</v>
      </c>
      <c r="K280" s="1" t="n">
        <v>573</v>
      </c>
      <c r="L280" s="1" t="n">
        <v>20250</v>
      </c>
      <c r="M280" s="3" t="n">
        <v>77.9189777125861</v>
      </c>
      <c r="N280" s="12" t="n">
        <v>0.0282962962962963</v>
      </c>
      <c r="O280" s="4" t="n">
        <v>27.4</v>
      </c>
      <c r="P280" s="3" t="n">
        <v>259.140923562438</v>
      </c>
      <c r="Q280" s="4" t="n">
        <v>0.18</v>
      </c>
      <c r="R280" s="13" t="n">
        <f aca="false">P280/200000</f>
        <v>0.00129570461781219</v>
      </c>
      <c r="V280" s="4"/>
      <c r="W280" s="4"/>
    </row>
    <row r="281" customFormat="false" ht="14.25" hidden="false" customHeight="false" outlineLevel="0" collapsed="false">
      <c r="B281" s="1" t="n">
        <v>19.1</v>
      </c>
      <c r="C281" s="3" t="n">
        <v>392</v>
      </c>
      <c r="D281" s="1" t="n">
        <v>2</v>
      </c>
      <c r="E281" s="2" t="n">
        <v>40</v>
      </c>
      <c r="F281" s="4" t="n">
        <v>3.35387948274239</v>
      </c>
      <c r="G281" s="1" t="n">
        <v>30</v>
      </c>
      <c r="H281" s="1" t="n">
        <v>39.5</v>
      </c>
      <c r="I281" s="1" t="n">
        <v>150</v>
      </c>
      <c r="J281" s="1" t="n">
        <v>250</v>
      </c>
      <c r="K281" s="1" t="n">
        <v>573</v>
      </c>
      <c r="L281" s="1" t="n">
        <v>20250</v>
      </c>
      <c r="M281" s="3" t="n">
        <v>77.9189777125861</v>
      </c>
      <c r="N281" s="12" t="n">
        <v>0.0282962962962963</v>
      </c>
      <c r="O281" s="4" t="n">
        <v>31.3</v>
      </c>
      <c r="P281" s="3" t="n">
        <v>296.025945529354</v>
      </c>
      <c r="Q281" s="4" t="n">
        <v>0.2</v>
      </c>
      <c r="R281" s="13" t="n">
        <f aca="false">P281/200000</f>
        <v>0.00148012972764677</v>
      </c>
      <c r="V281" s="4"/>
      <c r="W281" s="4"/>
    </row>
    <row r="282" customFormat="false" ht="14.25" hidden="false" customHeight="false" outlineLevel="0" collapsed="false">
      <c r="B282" s="1" t="n">
        <v>19.1</v>
      </c>
      <c r="C282" s="3" t="n">
        <v>392</v>
      </c>
      <c r="D282" s="1" t="n">
        <v>2</v>
      </c>
      <c r="E282" s="2" t="n">
        <v>40</v>
      </c>
      <c r="F282" s="4" t="n">
        <v>3.35387948274239</v>
      </c>
      <c r="G282" s="1" t="n">
        <v>30</v>
      </c>
      <c r="H282" s="1" t="n">
        <v>39.5</v>
      </c>
      <c r="I282" s="1" t="n">
        <v>150</v>
      </c>
      <c r="J282" s="1" t="n">
        <v>250</v>
      </c>
      <c r="K282" s="1" t="n">
        <v>573</v>
      </c>
      <c r="L282" s="1" t="n">
        <v>20250</v>
      </c>
      <c r="M282" s="3" t="n">
        <v>77.9189777125861</v>
      </c>
      <c r="N282" s="12" t="n">
        <v>0.0282962962962963</v>
      </c>
      <c r="O282" s="4" t="n">
        <v>35.3</v>
      </c>
      <c r="P282" s="3" t="n">
        <v>333.856737290294</v>
      </c>
      <c r="Q282" s="4" t="n">
        <v>0.2</v>
      </c>
      <c r="R282" s="13" t="n">
        <f aca="false">P282/200000</f>
        <v>0.00166928368645147</v>
      </c>
      <c r="V282" s="4"/>
      <c r="W282" s="4"/>
    </row>
    <row r="283" customFormat="false" ht="14.25" hidden="false" customHeight="false" outlineLevel="0" collapsed="false">
      <c r="B283" s="1" t="n">
        <v>19.1</v>
      </c>
      <c r="C283" s="3" t="n">
        <v>392</v>
      </c>
      <c r="D283" s="1" t="n">
        <v>2</v>
      </c>
      <c r="E283" s="2" t="n">
        <v>40</v>
      </c>
      <c r="F283" s="4" t="n">
        <v>3.35387948274239</v>
      </c>
      <c r="G283" s="1" t="n">
        <v>30</v>
      </c>
      <c r="H283" s="1" t="n">
        <v>39.5</v>
      </c>
      <c r="I283" s="1" t="n">
        <v>150</v>
      </c>
      <c r="J283" s="1" t="n">
        <v>250</v>
      </c>
      <c r="K283" s="1" t="n">
        <v>573</v>
      </c>
      <c r="L283" s="1" t="n">
        <v>20250</v>
      </c>
      <c r="M283" s="3" t="n">
        <v>77.9189777125861</v>
      </c>
      <c r="N283" s="12" t="n">
        <v>0.0282962962962963</v>
      </c>
      <c r="O283" s="4" t="n">
        <v>39.1</v>
      </c>
      <c r="P283" s="3" t="n">
        <v>369.795989463187</v>
      </c>
      <c r="Q283" s="4" t="n">
        <v>0.25</v>
      </c>
      <c r="R283" s="13" t="n">
        <f aca="false">P283/200000</f>
        <v>0.00184897994731593</v>
      </c>
      <c r="V283" s="4"/>
      <c r="W283" s="4"/>
    </row>
    <row r="284" customFormat="false" ht="14.25" hidden="false" customHeight="false" outlineLevel="0" collapsed="false">
      <c r="B284" s="1" t="n">
        <v>19.1</v>
      </c>
      <c r="C284" s="3" t="n">
        <v>392</v>
      </c>
      <c r="D284" s="1" t="n">
        <v>2</v>
      </c>
      <c r="E284" s="2" t="n">
        <v>40</v>
      </c>
      <c r="F284" s="4" t="n">
        <v>3.35387948274239</v>
      </c>
      <c r="G284" s="1" t="n">
        <v>30</v>
      </c>
      <c r="H284" s="1" t="n">
        <v>39.5</v>
      </c>
      <c r="I284" s="1" t="n">
        <v>150</v>
      </c>
      <c r="J284" s="1" t="n">
        <v>250</v>
      </c>
      <c r="K284" s="1" t="n">
        <v>573</v>
      </c>
      <c r="L284" s="1" t="n">
        <v>20250</v>
      </c>
      <c r="M284" s="3" t="n">
        <v>77.9189777125861</v>
      </c>
      <c r="N284" s="12" t="n">
        <v>0.0282962962962963</v>
      </c>
      <c r="O284" s="4" t="n">
        <v>43.1</v>
      </c>
      <c r="P284" s="3" t="n">
        <v>392.3</v>
      </c>
      <c r="Q284" s="4" t="n">
        <v>0.27</v>
      </c>
      <c r="R284" s="13" t="n">
        <f aca="false">P284/200000</f>
        <v>0.0019615</v>
      </c>
      <c r="V284" s="4"/>
      <c r="W284" s="4"/>
    </row>
    <row r="285" customFormat="false" ht="14.25" hidden="false" customHeight="false" outlineLevel="0" collapsed="false">
      <c r="A285" s="0" t="s">
        <v>86</v>
      </c>
      <c r="B285" s="1" t="n">
        <v>19.1</v>
      </c>
      <c r="C285" s="3" t="n">
        <v>392</v>
      </c>
      <c r="D285" s="1" t="n">
        <v>2</v>
      </c>
      <c r="E285" s="2" t="n">
        <v>40</v>
      </c>
      <c r="F285" s="4" t="n">
        <v>3.35387948274239</v>
      </c>
      <c r="G285" s="1" t="n">
        <v>30</v>
      </c>
      <c r="H285" s="1" t="n">
        <v>39.5</v>
      </c>
      <c r="I285" s="1" t="n">
        <v>150</v>
      </c>
      <c r="J285" s="1" t="n">
        <v>250</v>
      </c>
      <c r="K285" s="1" t="n">
        <v>573</v>
      </c>
      <c r="L285" s="1" t="n">
        <v>20250</v>
      </c>
      <c r="M285" s="3" t="n">
        <v>77.9189777125861</v>
      </c>
      <c r="N285" s="12" t="n">
        <v>0.0282962962962963</v>
      </c>
      <c r="O285" s="4" t="n">
        <v>31.3</v>
      </c>
      <c r="P285" s="3" t="n">
        <v>296.025945529354</v>
      </c>
      <c r="Q285" s="4" t="n">
        <v>0.18</v>
      </c>
      <c r="R285" s="13" t="n">
        <f aca="false">P285/200000</f>
        <v>0.00148012972764677</v>
      </c>
      <c r="V285" s="4"/>
      <c r="W285" s="4"/>
    </row>
    <row r="286" customFormat="false" ht="14.25" hidden="false" customHeight="false" outlineLevel="0" collapsed="false">
      <c r="B286" s="1" t="n">
        <v>19.1</v>
      </c>
      <c r="C286" s="3" t="n">
        <v>392</v>
      </c>
      <c r="D286" s="1" t="n">
        <v>2</v>
      </c>
      <c r="E286" s="2" t="n">
        <v>40</v>
      </c>
      <c r="F286" s="4" t="n">
        <v>3.35387948274239</v>
      </c>
      <c r="G286" s="1" t="n">
        <v>30</v>
      </c>
      <c r="H286" s="1" t="n">
        <v>39.5</v>
      </c>
      <c r="I286" s="1" t="n">
        <v>150</v>
      </c>
      <c r="J286" s="1" t="n">
        <v>250</v>
      </c>
      <c r="K286" s="1" t="n">
        <v>573</v>
      </c>
      <c r="L286" s="1" t="n">
        <v>20250</v>
      </c>
      <c r="M286" s="3" t="n">
        <v>77.9189777125861</v>
      </c>
      <c r="N286" s="12" t="n">
        <v>0.0282962962962963</v>
      </c>
      <c r="O286" s="4" t="n">
        <v>35.1</v>
      </c>
      <c r="P286" s="3" t="n">
        <v>331.965197702247</v>
      </c>
      <c r="Q286" s="4" t="n">
        <v>0.19</v>
      </c>
      <c r="R286" s="13" t="n">
        <f aca="false">P286/200000</f>
        <v>0.00165982598851124</v>
      </c>
      <c r="V286" s="4"/>
      <c r="W286" s="4"/>
    </row>
    <row r="287" customFormat="false" ht="14.25" hidden="false" customHeight="false" outlineLevel="0" collapsed="false">
      <c r="B287" s="1" t="n">
        <v>19.1</v>
      </c>
      <c r="C287" s="3" t="n">
        <v>392</v>
      </c>
      <c r="D287" s="1" t="n">
        <v>2</v>
      </c>
      <c r="E287" s="2" t="n">
        <v>40</v>
      </c>
      <c r="F287" s="4" t="n">
        <v>3.35387948274239</v>
      </c>
      <c r="G287" s="1" t="n">
        <v>30</v>
      </c>
      <c r="H287" s="1" t="n">
        <v>39.5</v>
      </c>
      <c r="I287" s="1" t="n">
        <v>150</v>
      </c>
      <c r="J287" s="1" t="n">
        <v>250</v>
      </c>
      <c r="K287" s="1" t="n">
        <v>573</v>
      </c>
      <c r="L287" s="1" t="n">
        <v>20250</v>
      </c>
      <c r="M287" s="3" t="n">
        <v>77.9189777125861</v>
      </c>
      <c r="N287" s="12" t="n">
        <v>0.0282962962962963</v>
      </c>
      <c r="O287" s="4" t="n">
        <v>39.1</v>
      </c>
      <c r="P287" s="3" t="n">
        <v>369.795989463187</v>
      </c>
      <c r="Q287" s="4" t="n">
        <v>0.21</v>
      </c>
      <c r="R287" s="13" t="n">
        <f aca="false">P287/200000</f>
        <v>0.00184897994731593</v>
      </c>
      <c r="V287" s="4"/>
      <c r="W287" s="4"/>
    </row>
    <row r="288" customFormat="false" ht="14.25" hidden="false" customHeight="false" outlineLevel="0" collapsed="false">
      <c r="B288" s="1" t="n">
        <v>19.1</v>
      </c>
      <c r="C288" s="3" t="n">
        <v>392</v>
      </c>
      <c r="D288" s="1" t="n">
        <v>2</v>
      </c>
      <c r="E288" s="2" t="n">
        <v>40</v>
      </c>
      <c r="F288" s="4" t="n">
        <v>3.35387948274239</v>
      </c>
      <c r="G288" s="1" t="n">
        <v>30</v>
      </c>
      <c r="H288" s="1" t="n">
        <v>39.5</v>
      </c>
      <c r="I288" s="1" t="n">
        <v>150</v>
      </c>
      <c r="J288" s="1" t="n">
        <v>250</v>
      </c>
      <c r="K288" s="1" t="n">
        <v>573</v>
      </c>
      <c r="L288" s="1" t="n">
        <v>20250</v>
      </c>
      <c r="M288" s="3" t="n">
        <v>77.9189777125861</v>
      </c>
      <c r="N288" s="12" t="n">
        <v>0.0282962962962963</v>
      </c>
      <c r="O288" s="4" t="n">
        <v>43.1</v>
      </c>
      <c r="P288" s="3" t="n">
        <v>392.3</v>
      </c>
      <c r="Q288" s="4" t="n">
        <v>0.26</v>
      </c>
      <c r="R288" s="13" t="n">
        <f aca="false">P288/200000</f>
        <v>0.0019615</v>
      </c>
      <c r="V288" s="4"/>
      <c r="W288" s="4"/>
    </row>
    <row r="289" customFormat="false" ht="14.25" hidden="false" customHeight="false" outlineLevel="0" collapsed="false">
      <c r="A289" s="0" t="s">
        <v>87</v>
      </c>
      <c r="B289" s="1" t="n">
        <v>19.1</v>
      </c>
      <c r="C289" s="3" t="n">
        <v>276</v>
      </c>
      <c r="D289" s="1" t="n">
        <v>2</v>
      </c>
      <c r="E289" s="2" t="n">
        <v>69.8</v>
      </c>
      <c r="F289" s="4" t="n">
        <v>2.90032882517908</v>
      </c>
      <c r="G289" s="1" t="n">
        <v>31.8</v>
      </c>
      <c r="H289" s="1" t="n">
        <v>41.4</v>
      </c>
      <c r="I289" s="1" t="n">
        <v>152.4</v>
      </c>
      <c r="J289" s="1" t="n">
        <v>381</v>
      </c>
      <c r="K289" s="1" t="n">
        <v>568</v>
      </c>
      <c r="L289" s="1" t="n">
        <v>20863.56</v>
      </c>
      <c r="M289" s="3" t="n">
        <v>105.951899677992</v>
      </c>
      <c r="N289" s="12" t="n">
        <v>0.0272245005166903</v>
      </c>
      <c r="O289" s="4" t="n">
        <v>35.0889</v>
      </c>
      <c r="P289" s="3" t="n">
        <v>203.022493137384</v>
      </c>
      <c r="Q289" s="4" t="n">
        <v>0.17</v>
      </c>
      <c r="R289" s="13" t="n">
        <f aca="false">P289/200000</f>
        <v>0.00101511246568692</v>
      </c>
      <c r="V289" s="4"/>
      <c r="W289" s="4"/>
    </row>
    <row r="290" customFormat="false" ht="14.25" hidden="false" customHeight="false" outlineLevel="0" collapsed="false">
      <c r="B290" s="1" t="n">
        <v>19.1</v>
      </c>
      <c r="C290" s="3" t="n">
        <v>276</v>
      </c>
      <c r="D290" s="1" t="n">
        <v>2</v>
      </c>
      <c r="E290" s="2" t="n">
        <v>69.8</v>
      </c>
      <c r="F290" s="4" t="n">
        <v>2.90032882517908</v>
      </c>
      <c r="G290" s="1" t="n">
        <v>31.8</v>
      </c>
      <c r="H290" s="1" t="n">
        <v>41.4</v>
      </c>
      <c r="I290" s="1" t="n">
        <v>152.4</v>
      </c>
      <c r="J290" s="1" t="n">
        <v>381</v>
      </c>
      <c r="K290" s="1" t="n">
        <v>568</v>
      </c>
      <c r="L290" s="1" t="n">
        <v>20863.56</v>
      </c>
      <c r="M290" s="3" t="n">
        <v>105.951899677992</v>
      </c>
      <c r="N290" s="12" t="n">
        <v>0.0272245005166903</v>
      </c>
      <c r="O290" s="4" t="n">
        <v>42.2576</v>
      </c>
      <c r="P290" s="3" t="n">
        <v>244.500206789107</v>
      </c>
      <c r="Q290" s="4" t="n">
        <v>0.23</v>
      </c>
      <c r="R290" s="13" t="n">
        <f aca="false">P290/200000</f>
        <v>0.00122250103394554</v>
      </c>
      <c r="V290" s="4"/>
      <c r="W290" s="4"/>
    </row>
    <row r="291" customFormat="false" ht="14.25" hidden="false" customHeight="false" outlineLevel="0" collapsed="false">
      <c r="B291" s="1" t="n">
        <v>19.1</v>
      </c>
      <c r="C291" s="3" t="n">
        <v>276</v>
      </c>
      <c r="D291" s="1" t="n">
        <v>2</v>
      </c>
      <c r="E291" s="2" t="n">
        <v>69.8</v>
      </c>
      <c r="F291" s="4" t="n">
        <v>2.90032882517908</v>
      </c>
      <c r="G291" s="1" t="n">
        <v>31.8</v>
      </c>
      <c r="H291" s="1" t="n">
        <v>41.4</v>
      </c>
      <c r="I291" s="1" t="n">
        <v>152.4</v>
      </c>
      <c r="J291" s="1" t="n">
        <v>381</v>
      </c>
      <c r="K291" s="1" t="n">
        <v>568</v>
      </c>
      <c r="L291" s="1" t="n">
        <v>20863.56</v>
      </c>
      <c r="M291" s="3" t="n">
        <v>105.951899677992</v>
      </c>
      <c r="N291" s="12" t="n">
        <v>0.0272245005166903</v>
      </c>
      <c r="O291" s="4" t="n">
        <v>48.8089</v>
      </c>
      <c r="P291" s="3" t="n">
        <v>275.8</v>
      </c>
      <c r="Q291" s="4" t="n">
        <v>0.27</v>
      </c>
      <c r="R291" s="13" t="n">
        <f aca="false">P291/200000</f>
        <v>0.001379</v>
      </c>
      <c r="V291" s="4"/>
      <c r="W291" s="4"/>
    </row>
    <row r="292" customFormat="false" ht="14.25" hidden="false" customHeight="false" outlineLevel="0" collapsed="false">
      <c r="A292" s="0" t="s">
        <v>88</v>
      </c>
      <c r="B292" s="1" t="n">
        <v>19.1</v>
      </c>
      <c r="C292" s="3" t="n">
        <v>276</v>
      </c>
      <c r="D292" s="1" t="n">
        <v>2</v>
      </c>
      <c r="E292" s="2" t="n">
        <v>69.8</v>
      </c>
      <c r="F292" s="4" t="n">
        <v>2.84669189571421</v>
      </c>
      <c r="G292" s="1" t="n">
        <v>31.8</v>
      </c>
      <c r="H292" s="1" t="n">
        <v>41.4</v>
      </c>
      <c r="I292" s="1" t="n">
        <v>152.4</v>
      </c>
      <c r="J292" s="1" t="n">
        <v>381</v>
      </c>
      <c r="K292" s="1" t="n">
        <v>568</v>
      </c>
      <c r="L292" s="1" t="n">
        <v>20863.56</v>
      </c>
      <c r="M292" s="3" t="n">
        <v>106.355513236104</v>
      </c>
      <c r="N292" s="12" t="n">
        <v>0.0272245005166903</v>
      </c>
      <c r="O292" s="4" t="n">
        <v>48.8089</v>
      </c>
      <c r="P292" s="3" t="n">
        <v>275.8</v>
      </c>
      <c r="Q292" s="4" t="n">
        <v>0.16</v>
      </c>
      <c r="R292" s="13" t="n">
        <f aca="false">P292/200000</f>
        <v>0.001379</v>
      </c>
      <c r="V292" s="4"/>
      <c r="W292" s="4"/>
    </row>
    <row r="293" customFormat="false" ht="14.25" hidden="false" customHeight="false" outlineLevel="0" collapsed="false">
      <c r="A293" s="0" t="s">
        <v>89</v>
      </c>
      <c r="B293" s="1" t="n">
        <v>19.1</v>
      </c>
      <c r="C293" s="3" t="n">
        <v>276</v>
      </c>
      <c r="D293" s="1" t="n">
        <v>2</v>
      </c>
      <c r="E293" s="2" t="n">
        <v>69.8</v>
      </c>
      <c r="F293" s="4" t="n">
        <v>2.71132147348833</v>
      </c>
      <c r="G293" s="1" t="n">
        <v>38.2</v>
      </c>
      <c r="H293" s="1" t="n">
        <v>47.7</v>
      </c>
      <c r="I293" s="1" t="n">
        <v>152.4</v>
      </c>
      <c r="J293" s="1" t="n">
        <v>381</v>
      </c>
      <c r="K293" s="1" t="n">
        <v>568</v>
      </c>
      <c r="L293" s="1" t="n">
        <v>21823.68</v>
      </c>
      <c r="M293" s="3" t="n">
        <v>106.225416011626</v>
      </c>
      <c r="N293" s="12" t="n">
        <v>0.0260267745861376</v>
      </c>
      <c r="O293" s="4" t="n">
        <v>42.2576</v>
      </c>
      <c r="P293" s="3" t="n">
        <v>249.745884346061</v>
      </c>
      <c r="Q293" s="4" t="n">
        <v>0.16</v>
      </c>
      <c r="R293" s="13" t="n">
        <f aca="false">P293/200000</f>
        <v>0.00124872942173031</v>
      </c>
      <c r="V293" s="4"/>
      <c r="W293" s="4"/>
    </row>
    <row r="294" customFormat="false" ht="14.25" hidden="false" customHeight="false" outlineLevel="0" collapsed="false">
      <c r="B294" s="1" t="n">
        <v>19.1</v>
      </c>
      <c r="C294" s="3" t="n">
        <v>276</v>
      </c>
      <c r="D294" s="1" t="n">
        <v>2</v>
      </c>
      <c r="E294" s="2" t="n">
        <v>69.8</v>
      </c>
      <c r="F294" s="4" t="n">
        <v>2.71132147348833</v>
      </c>
      <c r="G294" s="1" t="n">
        <v>38.2</v>
      </c>
      <c r="H294" s="1" t="n">
        <v>47.7</v>
      </c>
      <c r="I294" s="1" t="n">
        <v>152.4</v>
      </c>
      <c r="J294" s="1" t="n">
        <v>381</v>
      </c>
      <c r="K294" s="1" t="n">
        <v>568</v>
      </c>
      <c r="L294" s="1" t="n">
        <v>21823.68</v>
      </c>
      <c r="M294" s="3" t="n">
        <v>106.225416011626</v>
      </c>
      <c r="N294" s="12" t="n">
        <v>0.0260267745861376</v>
      </c>
      <c r="O294" s="4" t="n">
        <v>48.8089</v>
      </c>
      <c r="P294" s="3" t="n">
        <v>275.8</v>
      </c>
      <c r="Q294" s="4" t="n">
        <v>0.2</v>
      </c>
      <c r="R294" s="13" t="n">
        <f aca="false">P294/200000</f>
        <v>0.001379</v>
      </c>
      <c r="V294" s="4"/>
      <c r="W294" s="4"/>
    </row>
    <row r="295" customFormat="false" ht="14.25" hidden="false" customHeight="false" outlineLevel="0" collapsed="false">
      <c r="A295" s="0" t="s">
        <v>90</v>
      </c>
      <c r="B295" s="1" t="n">
        <v>22.2</v>
      </c>
      <c r="C295" s="3" t="n">
        <v>276</v>
      </c>
      <c r="D295" s="1" t="n">
        <v>2</v>
      </c>
      <c r="E295" s="2" t="n">
        <v>63.6</v>
      </c>
      <c r="F295" s="4" t="n">
        <v>2.68798662700617</v>
      </c>
      <c r="G295" s="1" t="n">
        <v>12.8</v>
      </c>
      <c r="H295" s="1" t="n">
        <v>23.9</v>
      </c>
      <c r="I295" s="1" t="n">
        <v>152.4</v>
      </c>
      <c r="J295" s="1" t="n">
        <v>381</v>
      </c>
      <c r="K295" s="1" t="n">
        <v>774</v>
      </c>
      <c r="L295" s="1" t="n">
        <v>12748.26</v>
      </c>
      <c r="M295" s="3" t="n">
        <v>125.501027414761</v>
      </c>
      <c r="N295" s="12" t="n">
        <v>0.0607141680511693</v>
      </c>
      <c r="O295" s="4" t="n">
        <v>66.199</v>
      </c>
      <c r="P295" s="3" t="n">
        <v>271.289437560374</v>
      </c>
      <c r="Q295" s="4" t="n">
        <v>0.17</v>
      </c>
      <c r="R295" s="13" t="n">
        <f aca="false">P295/200000</f>
        <v>0.00135644718780187</v>
      </c>
      <c r="V295" s="4"/>
      <c r="W295" s="4"/>
    </row>
    <row r="296" customFormat="false" ht="14.25" hidden="false" customHeight="false" outlineLevel="0" collapsed="false">
      <c r="A296" s="0" t="s">
        <v>91</v>
      </c>
      <c r="B296" s="1" t="n">
        <v>22.2</v>
      </c>
      <c r="C296" s="3" t="n">
        <v>276</v>
      </c>
      <c r="D296" s="1" t="n">
        <v>2</v>
      </c>
      <c r="E296" s="2" t="n">
        <v>63.6</v>
      </c>
      <c r="F296" s="4" t="n">
        <v>2.38460157103714</v>
      </c>
      <c r="G296" s="1" t="n">
        <v>38</v>
      </c>
      <c r="H296" s="1" t="n">
        <v>49.1</v>
      </c>
      <c r="I296" s="1" t="n">
        <v>152.4</v>
      </c>
      <c r="J296" s="1" t="n">
        <v>381</v>
      </c>
      <c r="K296" s="1" t="n">
        <v>774</v>
      </c>
      <c r="L296" s="1" t="n">
        <v>24399.24</v>
      </c>
      <c r="M296" s="3" t="n">
        <v>122.856933294706</v>
      </c>
      <c r="N296" s="12" t="n">
        <v>0.0317222995470351</v>
      </c>
      <c r="O296" s="4" t="n">
        <v>43.9383</v>
      </c>
      <c r="P296" s="3" t="n">
        <v>195.113525980031</v>
      </c>
      <c r="Q296" s="4" t="n">
        <v>0.15</v>
      </c>
      <c r="R296" s="13" t="n">
        <f aca="false">P296/200000</f>
        <v>0.000975567629900153</v>
      </c>
      <c r="V296" s="4"/>
      <c r="W296" s="4"/>
    </row>
    <row r="297" customFormat="false" ht="14.25" hidden="false" customHeight="false" outlineLevel="0" collapsed="false">
      <c r="B297" s="1" t="n">
        <v>22.2</v>
      </c>
      <c r="C297" s="3" t="n">
        <v>276</v>
      </c>
      <c r="D297" s="1" t="n">
        <v>2</v>
      </c>
      <c r="E297" s="2" t="n">
        <v>63.6</v>
      </c>
      <c r="F297" s="4" t="n">
        <v>2.38460157103714</v>
      </c>
      <c r="G297" s="1" t="n">
        <v>38</v>
      </c>
      <c r="H297" s="1" t="n">
        <v>49.1</v>
      </c>
      <c r="I297" s="1" t="n">
        <v>152.4</v>
      </c>
      <c r="J297" s="1" t="n">
        <v>381</v>
      </c>
      <c r="K297" s="1" t="n">
        <v>774</v>
      </c>
      <c r="L297" s="1" t="n">
        <v>24399.24</v>
      </c>
      <c r="M297" s="3" t="n">
        <v>122.856933294706</v>
      </c>
      <c r="N297" s="12" t="n">
        <v>0.0317222995470351</v>
      </c>
      <c r="O297" s="4" t="n">
        <v>51.107</v>
      </c>
      <c r="P297" s="3" t="n">
        <v>226.947036463892</v>
      </c>
      <c r="Q297" s="4" t="n">
        <v>0.19</v>
      </c>
      <c r="R297" s="13" t="n">
        <f aca="false">P297/200000</f>
        <v>0.00113473518231946</v>
      </c>
      <c r="V297" s="4"/>
      <c r="W297" s="4"/>
    </row>
    <row r="298" customFormat="false" ht="14.25" hidden="false" customHeight="false" outlineLevel="0" collapsed="false">
      <c r="B298" s="1" t="n">
        <v>22.2</v>
      </c>
      <c r="C298" s="3" t="n">
        <v>276</v>
      </c>
      <c r="D298" s="1" t="n">
        <v>2</v>
      </c>
      <c r="E298" s="2" t="n">
        <v>63.6</v>
      </c>
      <c r="F298" s="4" t="n">
        <v>2.38460157103714</v>
      </c>
      <c r="G298" s="1" t="n">
        <v>38</v>
      </c>
      <c r="H298" s="1" t="n">
        <v>49.1</v>
      </c>
      <c r="I298" s="1" t="n">
        <v>152.4</v>
      </c>
      <c r="J298" s="1" t="n">
        <v>381</v>
      </c>
      <c r="K298" s="1" t="n">
        <v>774</v>
      </c>
      <c r="L298" s="1" t="n">
        <v>24399.24</v>
      </c>
      <c r="M298" s="3" t="n">
        <v>122.856933294706</v>
      </c>
      <c r="N298" s="12" t="n">
        <v>0.0317222995470351</v>
      </c>
      <c r="O298" s="4" t="n">
        <v>58.7559</v>
      </c>
      <c r="P298" s="3" t="n">
        <v>260.91293520983</v>
      </c>
      <c r="Q298" s="4" t="n">
        <v>0.22</v>
      </c>
      <c r="R298" s="13" t="n">
        <f aca="false">P298/200000</f>
        <v>0.00130456467604915</v>
      </c>
      <c r="V298" s="4"/>
      <c r="W298" s="4"/>
    </row>
    <row r="299" customFormat="false" ht="14.25" hidden="false" customHeight="false" outlineLevel="0" collapsed="false">
      <c r="B299" s="1" t="n">
        <v>22.2</v>
      </c>
      <c r="C299" s="3" t="n">
        <v>276</v>
      </c>
      <c r="D299" s="1" t="n">
        <v>2</v>
      </c>
      <c r="E299" s="2" t="n">
        <v>63.6</v>
      </c>
      <c r="F299" s="4" t="n">
        <v>2.38460157103714</v>
      </c>
      <c r="G299" s="1" t="n">
        <v>38</v>
      </c>
      <c r="H299" s="1" t="n">
        <v>49.1</v>
      </c>
      <c r="I299" s="1" t="n">
        <v>152.4</v>
      </c>
      <c r="J299" s="1" t="n">
        <v>381</v>
      </c>
      <c r="K299" s="1" t="n">
        <v>774</v>
      </c>
      <c r="L299" s="1" t="n">
        <v>24399.24</v>
      </c>
      <c r="M299" s="3" t="n">
        <v>122.856933294706</v>
      </c>
      <c r="N299" s="12" t="n">
        <v>0.0317222995470351</v>
      </c>
      <c r="O299" s="4" t="n">
        <v>66.199</v>
      </c>
      <c r="P299" s="3" t="n">
        <v>275.8</v>
      </c>
      <c r="Q299" s="4" t="n">
        <v>0.27</v>
      </c>
      <c r="R299" s="13" t="n">
        <f aca="false">P299/200000</f>
        <v>0.001379</v>
      </c>
      <c r="V299" s="4"/>
      <c r="W299" s="4"/>
    </row>
    <row r="300" customFormat="false" ht="14.25" hidden="false" customHeight="false" outlineLevel="0" collapsed="false">
      <c r="A300" s="0" t="s">
        <v>92</v>
      </c>
      <c r="B300" s="1" t="n">
        <v>22.2</v>
      </c>
      <c r="C300" s="3" t="n">
        <v>276</v>
      </c>
      <c r="D300" s="1" t="n">
        <v>2</v>
      </c>
      <c r="E300" s="2" t="n">
        <v>63.6</v>
      </c>
      <c r="F300" s="4" t="n">
        <v>2.86484234762008</v>
      </c>
      <c r="G300" s="1" t="n">
        <v>38</v>
      </c>
      <c r="H300" s="1" t="n">
        <v>49.1</v>
      </c>
      <c r="I300" s="1" t="n">
        <v>152.4</v>
      </c>
      <c r="J300" s="1" t="n">
        <v>381</v>
      </c>
      <c r="K300" s="1" t="n">
        <v>774</v>
      </c>
      <c r="L300" s="1" t="n">
        <v>24399.24</v>
      </c>
      <c r="M300" s="3" t="n">
        <v>118.551137802315</v>
      </c>
      <c r="N300" s="12" t="n">
        <v>0.0317222995470351</v>
      </c>
      <c r="O300" s="4" t="n">
        <v>58.7559</v>
      </c>
      <c r="P300" s="3" t="n">
        <v>259.632151766165</v>
      </c>
      <c r="Q300" s="4" t="n">
        <v>0.17</v>
      </c>
      <c r="R300" s="13" t="n">
        <f aca="false">P300/200000</f>
        <v>0.00129816075883082</v>
      </c>
      <c r="V300" s="4"/>
      <c r="W300" s="4"/>
    </row>
    <row r="301" customFormat="false" ht="14.25" hidden="false" customHeight="false" outlineLevel="0" collapsed="false">
      <c r="B301" s="1" t="n">
        <v>22.2</v>
      </c>
      <c r="C301" s="3" t="n">
        <v>276</v>
      </c>
      <c r="D301" s="1" t="n">
        <v>2</v>
      </c>
      <c r="E301" s="2" t="n">
        <v>63.6</v>
      </c>
      <c r="F301" s="4" t="n">
        <v>2.86484234762008</v>
      </c>
      <c r="G301" s="1" t="n">
        <v>38</v>
      </c>
      <c r="H301" s="1" t="n">
        <v>49.1</v>
      </c>
      <c r="I301" s="1" t="n">
        <v>152.4</v>
      </c>
      <c r="J301" s="1" t="n">
        <v>381</v>
      </c>
      <c r="K301" s="1" t="n">
        <v>774</v>
      </c>
      <c r="L301" s="1" t="n">
        <v>24399.24</v>
      </c>
      <c r="M301" s="3" t="n">
        <v>118.551137802315</v>
      </c>
      <c r="N301" s="12" t="n">
        <v>0.0317222995470351</v>
      </c>
      <c r="O301" s="4" t="n">
        <v>66.199</v>
      </c>
      <c r="P301" s="3" t="n">
        <v>275.8</v>
      </c>
      <c r="Q301" s="4" t="n">
        <v>0.2</v>
      </c>
      <c r="R301" s="13" t="n">
        <f aca="false">P301/200000</f>
        <v>0.001379</v>
      </c>
      <c r="V301" s="4"/>
      <c r="W301" s="4"/>
    </row>
    <row r="302" customFormat="false" ht="14.25" hidden="false" customHeight="false" outlineLevel="0" collapsed="false">
      <c r="A302" s="0" t="s">
        <v>93</v>
      </c>
      <c r="B302" s="1" t="n">
        <v>22.2</v>
      </c>
      <c r="C302" s="3" t="n">
        <v>276</v>
      </c>
      <c r="D302" s="1" t="n">
        <v>2</v>
      </c>
      <c r="E302" s="2" t="n">
        <v>63.6</v>
      </c>
      <c r="F302" s="4" t="n">
        <v>2.83369179024989</v>
      </c>
      <c r="G302" s="1" t="n">
        <v>38</v>
      </c>
      <c r="H302" s="1" t="n">
        <v>49.1</v>
      </c>
      <c r="I302" s="1" t="n">
        <v>152.4</v>
      </c>
      <c r="J302" s="1" t="n">
        <v>381</v>
      </c>
      <c r="K302" s="1" t="n">
        <v>774</v>
      </c>
      <c r="L302" s="1" t="n">
        <v>24399.24</v>
      </c>
      <c r="M302" s="3" t="n">
        <v>118.804893272016</v>
      </c>
      <c r="N302" s="12" t="n">
        <v>0.0317222995470351</v>
      </c>
      <c r="O302" s="4" t="n">
        <v>43.9383</v>
      </c>
      <c r="P302" s="3" t="n">
        <v>194.21192690601</v>
      </c>
      <c r="Q302" s="4" t="n">
        <v>0.15</v>
      </c>
      <c r="R302" s="13" t="n">
        <f aca="false">P302/200000</f>
        <v>0.00097105963453005</v>
      </c>
      <c r="V302" s="4"/>
      <c r="W302" s="4"/>
    </row>
    <row r="303" customFormat="false" ht="14.25" hidden="false" customHeight="false" outlineLevel="0" collapsed="false">
      <c r="B303" s="1" t="n">
        <v>22.2</v>
      </c>
      <c r="C303" s="3" t="n">
        <v>276</v>
      </c>
      <c r="D303" s="1" t="n">
        <v>2</v>
      </c>
      <c r="E303" s="2" t="n">
        <v>63.6</v>
      </c>
      <c r="F303" s="4" t="n">
        <v>2.83369179024989</v>
      </c>
      <c r="G303" s="1" t="n">
        <v>38</v>
      </c>
      <c r="H303" s="1" t="n">
        <v>49.1</v>
      </c>
      <c r="I303" s="1" t="n">
        <v>152.4</v>
      </c>
      <c r="J303" s="1" t="n">
        <v>381</v>
      </c>
      <c r="K303" s="1" t="n">
        <v>774</v>
      </c>
      <c r="L303" s="1" t="n">
        <v>24399.24</v>
      </c>
      <c r="M303" s="3" t="n">
        <v>118.804893272016</v>
      </c>
      <c r="N303" s="12" t="n">
        <v>0.0317222995470351</v>
      </c>
      <c r="O303" s="4" t="n">
        <v>51.107</v>
      </c>
      <c r="P303" s="3" t="n">
        <v>225.898338087397</v>
      </c>
      <c r="Q303" s="4" t="n">
        <v>0.18</v>
      </c>
      <c r="R303" s="13" t="n">
        <f aca="false">P303/200000</f>
        <v>0.00112949169043698</v>
      </c>
      <c r="V303" s="4"/>
      <c r="W303" s="4"/>
    </row>
    <row r="304" customFormat="false" ht="14.25" hidden="false" customHeight="false" outlineLevel="0" collapsed="false">
      <c r="B304" s="1" t="n">
        <v>22.2</v>
      </c>
      <c r="C304" s="3" t="n">
        <v>276</v>
      </c>
      <c r="D304" s="1" t="n">
        <v>2</v>
      </c>
      <c r="E304" s="2" t="n">
        <v>63.6</v>
      </c>
      <c r="F304" s="4" t="n">
        <v>2.83369179024989</v>
      </c>
      <c r="G304" s="1" t="n">
        <v>38</v>
      </c>
      <c r="H304" s="1" t="n">
        <v>49.1</v>
      </c>
      <c r="I304" s="1" t="n">
        <v>152.4</v>
      </c>
      <c r="J304" s="1" t="n">
        <v>381</v>
      </c>
      <c r="K304" s="1" t="n">
        <v>774</v>
      </c>
      <c r="L304" s="1" t="n">
        <v>24399.24</v>
      </c>
      <c r="M304" s="3" t="n">
        <v>118.804893272016</v>
      </c>
      <c r="N304" s="12" t="n">
        <v>0.0317222995470351</v>
      </c>
      <c r="O304" s="4" t="n">
        <v>58.7559</v>
      </c>
      <c r="P304" s="3" t="n">
        <v>259.707283989067</v>
      </c>
      <c r="Q304" s="4" t="n">
        <v>0.22</v>
      </c>
      <c r="R304" s="13" t="n">
        <f aca="false">P304/200000</f>
        <v>0.00129853641994534</v>
      </c>
      <c r="V304" s="4"/>
      <c r="W304" s="4"/>
    </row>
    <row r="305" customFormat="false" ht="14.25" hidden="false" customHeight="false" outlineLevel="0" collapsed="false">
      <c r="B305" s="1" t="n">
        <v>22.2</v>
      </c>
      <c r="C305" s="3" t="n">
        <v>276</v>
      </c>
      <c r="D305" s="1" t="n">
        <v>2</v>
      </c>
      <c r="E305" s="2" t="n">
        <v>63.6</v>
      </c>
      <c r="F305" s="4" t="n">
        <v>2.83369179024989</v>
      </c>
      <c r="G305" s="1" t="n">
        <v>38</v>
      </c>
      <c r="H305" s="1" t="n">
        <v>49.1</v>
      </c>
      <c r="I305" s="1" t="n">
        <v>152.4</v>
      </c>
      <c r="J305" s="1" t="n">
        <v>381</v>
      </c>
      <c r="K305" s="1" t="n">
        <v>774</v>
      </c>
      <c r="L305" s="1" t="n">
        <v>24399.24</v>
      </c>
      <c r="M305" s="3" t="n">
        <v>118.804893272016</v>
      </c>
      <c r="N305" s="12" t="n">
        <v>0.0317222995470351</v>
      </c>
      <c r="O305" s="4" t="n">
        <v>66.199</v>
      </c>
      <c r="P305" s="3" t="n">
        <v>275.8</v>
      </c>
      <c r="Q305" s="4" t="n">
        <v>0.25</v>
      </c>
      <c r="R305" s="13" t="n">
        <f aca="false">P305/200000</f>
        <v>0.001379</v>
      </c>
      <c r="V305" s="4"/>
      <c r="W305" s="4"/>
    </row>
    <row r="306" customFormat="false" ht="14.25" hidden="false" customHeight="false" outlineLevel="0" collapsed="false">
      <c r="A306" s="0" t="s">
        <v>94</v>
      </c>
      <c r="B306" s="1" t="n">
        <v>22.2</v>
      </c>
      <c r="C306" s="3" t="n">
        <v>276</v>
      </c>
      <c r="D306" s="1" t="n">
        <v>2</v>
      </c>
      <c r="E306" s="2" t="n">
        <v>63.6</v>
      </c>
      <c r="F306" s="4" t="n">
        <v>2.75637342683892</v>
      </c>
      <c r="G306" s="1" t="n">
        <v>38</v>
      </c>
      <c r="H306" s="1" t="n">
        <v>49.1</v>
      </c>
      <c r="I306" s="1" t="n">
        <v>152.4</v>
      </c>
      <c r="J306" s="1" t="n">
        <v>381</v>
      </c>
      <c r="K306" s="1" t="n">
        <v>774</v>
      </c>
      <c r="L306" s="1" t="n">
        <v>24399.24</v>
      </c>
      <c r="M306" s="3" t="n">
        <v>119.448592270941</v>
      </c>
      <c r="N306" s="12" t="n">
        <v>0.0317222995470351</v>
      </c>
      <c r="O306" s="4" t="n">
        <v>43.9383</v>
      </c>
      <c r="P306" s="3" t="n">
        <v>194.354596032503</v>
      </c>
      <c r="Q306" s="4" t="n">
        <v>0.2</v>
      </c>
      <c r="R306" s="13" t="n">
        <f aca="false">P306/200000</f>
        <v>0.000971772980162513</v>
      </c>
      <c r="V306" s="4"/>
      <c r="W306" s="4"/>
    </row>
    <row r="307" customFormat="false" ht="14.25" hidden="false" customHeight="false" outlineLevel="0" collapsed="false">
      <c r="B307" s="1" t="n">
        <v>22.2</v>
      </c>
      <c r="C307" s="3" t="n">
        <v>276</v>
      </c>
      <c r="D307" s="1" t="n">
        <v>2</v>
      </c>
      <c r="E307" s="2" t="n">
        <v>63.6</v>
      </c>
      <c r="F307" s="4" t="n">
        <v>2.75637342683892</v>
      </c>
      <c r="G307" s="1" t="n">
        <v>38</v>
      </c>
      <c r="H307" s="1" t="n">
        <v>49.1</v>
      </c>
      <c r="I307" s="1" t="n">
        <v>152.4</v>
      </c>
      <c r="J307" s="1" t="n">
        <v>381</v>
      </c>
      <c r="K307" s="1" t="n">
        <v>774</v>
      </c>
      <c r="L307" s="1" t="n">
        <v>24399.24</v>
      </c>
      <c r="M307" s="3" t="n">
        <v>119.448592270941</v>
      </c>
      <c r="N307" s="12" t="n">
        <v>0.0317222995470351</v>
      </c>
      <c r="O307" s="4" t="n">
        <v>51.107</v>
      </c>
      <c r="P307" s="3" t="n">
        <v>226.064284222037</v>
      </c>
      <c r="Q307" s="4" t="n">
        <v>0.25</v>
      </c>
      <c r="R307" s="13" t="n">
        <f aca="false">P307/200000</f>
        <v>0.00113032142111018</v>
      </c>
      <c r="V307" s="4"/>
      <c r="W307" s="4"/>
    </row>
    <row r="308" customFormat="false" ht="14.25" hidden="false" customHeight="false" outlineLevel="0" collapsed="false">
      <c r="B308" s="1" t="n">
        <v>22.2</v>
      </c>
      <c r="C308" s="3" t="n">
        <v>276</v>
      </c>
      <c r="D308" s="1" t="n">
        <v>2</v>
      </c>
      <c r="E308" s="2" t="n">
        <v>63.6</v>
      </c>
      <c r="F308" s="4" t="n">
        <v>2.75637342683892</v>
      </c>
      <c r="G308" s="1" t="n">
        <v>38</v>
      </c>
      <c r="H308" s="1" t="n">
        <v>49.1</v>
      </c>
      <c r="I308" s="1" t="n">
        <v>152.4</v>
      </c>
      <c r="J308" s="1" t="n">
        <v>381</v>
      </c>
      <c r="K308" s="1" t="n">
        <v>774</v>
      </c>
      <c r="L308" s="1" t="n">
        <v>24399.24</v>
      </c>
      <c r="M308" s="3" t="n">
        <v>119.448592270941</v>
      </c>
      <c r="N308" s="12" t="n">
        <v>0.0317222995470351</v>
      </c>
      <c r="O308" s="4" t="n">
        <v>58.7559</v>
      </c>
      <c r="P308" s="3" t="n">
        <v>259.898066357281</v>
      </c>
      <c r="Q308" s="4" t="n">
        <v>0.3</v>
      </c>
      <c r="R308" s="13" t="n">
        <f aca="false">P308/200000</f>
        <v>0.00129949033178641</v>
      </c>
      <c r="V308" s="4"/>
      <c r="W308" s="4"/>
    </row>
    <row r="309" customFormat="false" ht="14.25" hidden="false" customHeight="false" outlineLevel="0" collapsed="false">
      <c r="B309" s="1" t="n">
        <v>22.2</v>
      </c>
      <c r="C309" s="3" t="n">
        <v>276</v>
      </c>
      <c r="D309" s="1" t="n">
        <v>2</v>
      </c>
      <c r="E309" s="2" t="n">
        <v>63.6</v>
      </c>
      <c r="F309" s="4" t="n">
        <v>2.75637342683892</v>
      </c>
      <c r="G309" s="1" t="n">
        <v>38</v>
      </c>
      <c r="H309" s="1" t="n">
        <v>49.1</v>
      </c>
      <c r="I309" s="1" t="n">
        <v>152.4</v>
      </c>
      <c r="J309" s="1" t="n">
        <v>381</v>
      </c>
      <c r="K309" s="1" t="n">
        <v>774</v>
      </c>
      <c r="L309" s="1" t="n">
        <v>24399.24</v>
      </c>
      <c r="M309" s="3" t="n">
        <v>119.448592270941</v>
      </c>
      <c r="N309" s="12" t="n">
        <v>0.0317222995470351</v>
      </c>
      <c r="O309" s="4" t="n">
        <v>66.199</v>
      </c>
      <c r="P309" s="3" t="n">
        <v>275.8</v>
      </c>
      <c r="Q309" s="4" t="n">
        <v>0.35</v>
      </c>
      <c r="R309" s="13" t="n">
        <f aca="false">P309/200000</f>
        <v>0.001379</v>
      </c>
      <c r="V309" s="4"/>
      <c r="W309" s="4"/>
    </row>
    <row r="310" customFormat="false" ht="14.25" hidden="false" customHeight="false" outlineLevel="0" collapsed="false">
      <c r="A310" s="0" t="s">
        <v>95</v>
      </c>
      <c r="B310" s="1" t="n">
        <v>28.7</v>
      </c>
      <c r="C310" s="3" t="n">
        <v>276</v>
      </c>
      <c r="D310" s="1" t="n">
        <v>2</v>
      </c>
      <c r="E310" s="2" t="n">
        <v>50.6</v>
      </c>
      <c r="F310" s="4" t="n">
        <v>2.77481740215607</v>
      </c>
      <c r="G310" s="1" t="n">
        <v>22.2</v>
      </c>
      <c r="H310" s="1" t="n">
        <v>36.6</v>
      </c>
      <c r="I310" s="1" t="n">
        <v>152.4</v>
      </c>
      <c r="J310" s="1" t="n">
        <v>381</v>
      </c>
      <c r="K310" s="1" t="n">
        <v>1290</v>
      </c>
      <c r="L310" s="1" t="n">
        <v>19522.44</v>
      </c>
      <c r="M310" s="3" t="n">
        <v>148.014985731185</v>
      </c>
      <c r="N310" s="12" t="n">
        <v>0.0660778058480395</v>
      </c>
      <c r="O310" s="4" t="n">
        <v>89.1114</v>
      </c>
      <c r="P310" s="3" t="n">
        <v>234.115818289886</v>
      </c>
      <c r="Q310" s="4" t="n">
        <v>0.17</v>
      </c>
      <c r="R310" s="13" t="n">
        <f aca="false">P310/200000</f>
        <v>0.00117057909144943</v>
      </c>
      <c r="V310" s="4"/>
      <c r="W310" s="4"/>
    </row>
    <row r="311" customFormat="false" ht="14.25" hidden="false" customHeight="false" outlineLevel="0" collapsed="false">
      <c r="B311" s="1" t="n">
        <v>28.7</v>
      </c>
      <c r="C311" s="3" t="n">
        <v>276</v>
      </c>
      <c r="D311" s="1" t="n">
        <v>2</v>
      </c>
      <c r="E311" s="2" t="n">
        <v>50.6</v>
      </c>
      <c r="F311" s="4" t="n">
        <v>2.77481740215607</v>
      </c>
      <c r="G311" s="1" t="n">
        <v>22.2</v>
      </c>
      <c r="H311" s="1" t="n">
        <v>36.6</v>
      </c>
      <c r="I311" s="1" t="n">
        <v>152.4</v>
      </c>
      <c r="J311" s="1" t="n">
        <v>381</v>
      </c>
      <c r="K311" s="1" t="n">
        <v>1290</v>
      </c>
      <c r="L311" s="1" t="n">
        <v>19522.44</v>
      </c>
      <c r="M311" s="3" t="n">
        <v>148.014985731185</v>
      </c>
      <c r="N311" s="12" t="n">
        <v>0.0660778058480395</v>
      </c>
      <c r="O311" s="4" t="n">
        <v>104.615</v>
      </c>
      <c r="P311" s="3" t="n">
        <v>274.847284751406</v>
      </c>
      <c r="Q311" s="4" t="n">
        <v>0.2</v>
      </c>
      <c r="R311" s="13" t="n">
        <f aca="false">P311/200000</f>
        <v>0.00137423642375703</v>
      </c>
      <c r="V311" s="4"/>
      <c r="W311" s="4"/>
    </row>
    <row r="312" customFormat="false" ht="14.25" hidden="false" customHeight="false" outlineLevel="0" collapsed="false">
      <c r="A312" s="0" t="s">
        <v>96</v>
      </c>
      <c r="B312" s="1" t="n">
        <v>28.7</v>
      </c>
      <c r="C312" s="3" t="n">
        <v>276</v>
      </c>
      <c r="D312" s="1" t="n">
        <v>2</v>
      </c>
      <c r="E312" s="2" t="n">
        <v>50.6</v>
      </c>
      <c r="F312" s="4" t="n">
        <v>2.80171464705939</v>
      </c>
      <c r="G312" s="1" t="n">
        <v>38.2</v>
      </c>
      <c r="H312" s="1" t="n">
        <v>52.5</v>
      </c>
      <c r="I312" s="1" t="n">
        <v>152.4</v>
      </c>
      <c r="J312" s="1" t="n">
        <v>381</v>
      </c>
      <c r="K312" s="1" t="n">
        <v>1290</v>
      </c>
      <c r="L312" s="1" t="n">
        <v>28003.5</v>
      </c>
      <c r="M312" s="3" t="n">
        <v>143.366253802848</v>
      </c>
      <c r="N312" s="12" t="n">
        <v>0.0460656703626332</v>
      </c>
      <c r="O312" s="4" t="n">
        <v>64.9985</v>
      </c>
      <c r="P312" s="3" t="n">
        <v>179.495600322604</v>
      </c>
      <c r="Q312" s="4" t="n">
        <v>0.17</v>
      </c>
      <c r="R312" s="13" t="n">
        <f aca="false">P312/200000</f>
        <v>0.000897478001613021</v>
      </c>
      <c r="V312" s="4"/>
      <c r="W312" s="4"/>
    </row>
    <row r="313" customFormat="false" ht="14.25" hidden="false" customHeight="false" outlineLevel="0" collapsed="false">
      <c r="B313" s="1" t="n">
        <v>28.7</v>
      </c>
      <c r="C313" s="3" t="n">
        <v>276</v>
      </c>
      <c r="D313" s="1" t="n">
        <v>2</v>
      </c>
      <c r="E313" s="2" t="n">
        <v>50.6</v>
      </c>
      <c r="F313" s="4" t="n">
        <v>2.80171464705939</v>
      </c>
      <c r="G313" s="1" t="n">
        <v>38.2</v>
      </c>
      <c r="H313" s="1" t="n">
        <v>52.5</v>
      </c>
      <c r="I313" s="1" t="n">
        <v>152.4</v>
      </c>
      <c r="J313" s="1" t="n">
        <v>381</v>
      </c>
      <c r="K313" s="1" t="n">
        <v>1290</v>
      </c>
      <c r="L313" s="1" t="n">
        <v>28003.5</v>
      </c>
      <c r="M313" s="3" t="n">
        <v>143.366253802848</v>
      </c>
      <c r="N313" s="12" t="n">
        <v>0.0460656703626332</v>
      </c>
      <c r="O313" s="4" t="n">
        <v>77.0378</v>
      </c>
      <c r="P313" s="3" t="n">
        <v>212.742542651488</v>
      </c>
      <c r="Q313" s="4" t="n">
        <v>0.2</v>
      </c>
      <c r="R313" s="13" t="n">
        <f aca="false">P313/200000</f>
        <v>0.00106371271325744</v>
      </c>
      <c r="V313" s="4"/>
      <c r="W313" s="4"/>
    </row>
    <row r="314" customFormat="false" ht="14.25" hidden="false" customHeight="false" outlineLevel="0" collapsed="false">
      <c r="B314" s="1" t="n">
        <v>28.7</v>
      </c>
      <c r="C314" s="3" t="n">
        <v>276</v>
      </c>
      <c r="D314" s="1" t="n">
        <v>2</v>
      </c>
      <c r="E314" s="2" t="n">
        <v>50.6</v>
      </c>
      <c r="F314" s="4" t="n">
        <v>2.80171464705939</v>
      </c>
      <c r="G314" s="1" t="n">
        <v>38.2</v>
      </c>
      <c r="H314" s="1" t="n">
        <v>52.5</v>
      </c>
      <c r="I314" s="1" t="n">
        <v>152.4</v>
      </c>
      <c r="J314" s="1" t="n">
        <v>381</v>
      </c>
      <c r="K314" s="1" t="n">
        <v>1290</v>
      </c>
      <c r="L314" s="1" t="n">
        <v>28003.5</v>
      </c>
      <c r="M314" s="3" t="n">
        <v>143.366253802848</v>
      </c>
      <c r="N314" s="12" t="n">
        <v>0.0460656703626332</v>
      </c>
      <c r="O314" s="4" t="n">
        <v>88.8027</v>
      </c>
      <c r="P314" s="3" t="n">
        <v>245.231719913046</v>
      </c>
      <c r="Q314" s="4" t="n">
        <v>0.25</v>
      </c>
      <c r="R314" s="13" t="n">
        <f aca="false">P314/200000</f>
        <v>0.00122615859956523</v>
      </c>
      <c r="V314" s="4"/>
      <c r="W314" s="4"/>
    </row>
    <row r="315" customFormat="false" ht="14.25" hidden="false" customHeight="false" outlineLevel="0" collapsed="false">
      <c r="B315" s="1" t="n">
        <v>28.7</v>
      </c>
      <c r="C315" s="3" t="n">
        <v>276</v>
      </c>
      <c r="D315" s="1" t="n">
        <v>2</v>
      </c>
      <c r="E315" s="2" t="n">
        <v>50.6</v>
      </c>
      <c r="F315" s="4" t="n">
        <v>2.80171464705939</v>
      </c>
      <c r="G315" s="1" t="n">
        <v>38.2</v>
      </c>
      <c r="H315" s="1" t="n">
        <v>52.5</v>
      </c>
      <c r="I315" s="1" t="n">
        <v>152.4</v>
      </c>
      <c r="J315" s="1" t="n">
        <v>381</v>
      </c>
      <c r="K315" s="1" t="n">
        <v>1290</v>
      </c>
      <c r="L315" s="1" t="n">
        <v>28003.5</v>
      </c>
      <c r="M315" s="3" t="n">
        <v>143.366253802848</v>
      </c>
      <c r="N315" s="12" t="n">
        <v>0.0460656703626332</v>
      </c>
      <c r="O315" s="4" t="n">
        <v>104.615</v>
      </c>
      <c r="P315" s="3" t="n">
        <v>275.8</v>
      </c>
      <c r="Q315" s="4" t="n">
        <v>0.29</v>
      </c>
      <c r="R315" s="13" t="n">
        <f aca="false">P315/200000</f>
        <v>0.001379</v>
      </c>
      <c r="V315" s="4"/>
      <c r="W315" s="4"/>
    </row>
    <row r="316" customFormat="false" ht="14.25" hidden="false" customHeight="false" outlineLevel="0" collapsed="false">
      <c r="A316" s="0" t="s">
        <v>97</v>
      </c>
      <c r="B316" s="1" t="n">
        <v>28.7</v>
      </c>
      <c r="C316" s="3" t="n">
        <v>276</v>
      </c>
      <c r="D316" s="1" t="n">
        <v>2</v>
      </c>
      <c r="E316" s="2" t="n">
        <v>50.6</v>
      </c>
      <c r="F316" s="4" t="n">
        <v>2.71531164579845</v>
      </c>
      <c r="G316" s="1" t="n">
        <v>38.2</v>
      </c>
      <c r="H316" s="1" t="n">
        <v>52.5</v>
      </c>
      <c r="I316" s="1" t="n">
        <v>152.4</v>
      </c>
      <c r="J316" s="1" t="n">
        <v>381</v>
      </c>
      <c r="K316" s="1" t="n">
        <v>1290</v>
      </c>
      <c r="L316" s="1" t="n">
        <v>28003.5</v>
      </c>
      <c r="M316" s="3" t="n">
        <v>144.176756028631</v>
      </c>
      <c r="N316" s="12" t="n">
        <v>0.0460656703626332</v>
      </c>
      <c r="O316" s="4" t="n">
        <v>77.0378</v>
      </c>
      <c r="P316" s="3" t="n">
        <v>212.947491588265</v>
      </c>
      <c r="Q316" s="4" t="n">
        <v>0.17</v>
      </c>
      <c r="R316" s="13" t="n">
        <f aca="false">P316/200000</f>
        <v>0.00106473745794132</v>
      </c>
      <c r="V316" s="4"/>
      <c r="W316" s="4"/>
    </row>
    <row r="317" customFormat="false" ht="14.25" hidden="false" customHeight="false" outlineLevel="0" collapsed="false">
      <c r="A317" s="0" t="s">
        <v>98</v>
      </c>
      <c r="B317" s="1" t="n">
        <v>28.7</v>
      </c>
      <c r="C317" s="3" t="n">
        <v>276</v>
      </c>
      <c r="D317" s="1" t="n">
        <v>2</v>
      </c>
      <c r="E317" s="2" t="n">
        <v>50.6</v>
      </c>
      <c r="F317" s="4" t="n">
        <v>2.80171464705939</v>
      </c>
      <c r="G317" s="1" t="n">
        <v>38.2</v>
      </c>
      <c r="H317" s="1" t="n">
        <v>52.5</v>
      </c>
      <c r="I317" s="1" t="n">
        <v>152.4</v>
      </c>
      <c r="J317" s="1" t="n">
        <v>381</v>
      </c>
      <c r="K317" s="1" t="n">
        <v>1290</v>
      </c>
      <c r="L317" s="1" t="n">
        <v>28003.5</v>
      </c>
      <c r="M317" s="3" t="n">
        <v>143.366253802848</v>
      </c>
      <c r="N317" s="12" t="n">
        <v>0.0460656703626332</v>
      </c>
      <c r="O317" s="4" t="n">
        <v>64.9985</v>
      </c>
      <c r="P317" s="3" t="n">
        <v>179.495600322604</v>
      </c>
      <c r="Q317" s="4" t="n">
        <v>0.15</v>
      </c>
      <c r="R317" s="13" t="n">
        <f aca="false">P317/200000</f>
        <v>0.000897478001613021</v>
      </c>
      <c r="V317" s="4"/>
      <c r="W317" s="4"/>
    </row>
    <row r="318" customFormat="false" ht="14.25" hidden="false" customHeight="false" outlineLevel="0" collapsed="false">
      <c r="B318" s="1" t="n">
        <v>28.7</v>
      </c>
      <c r="C318" s="3" t="n">
        <v>276</v>
      </c>
      <c r="D318" s="1" t="n">
        <v>2</v>
      </c>
      <c r="E318" s="2" t="n">
        <v>50.6</v>
      </c>
      <c r="F318" s="4" t="n">
        <v>2.80171464705939</v>
      </c>
      <c r="G318" s="1" t="n">
        <v>38.2</v>
      </c>
      <c r="H318" s="1" t="n">
        <v>52.5</v>
      </c>
      <c r="I318" s="1" t="n">
        <v>152.4</v>
      </c>
      <c r="J318" s="1" t="n">
        <v>381</v>
      </c>
      <c r="K318" s="1" t="n">
        <v>1290</v>
      </c>
      <c r="L318" s="1" t="n">
        <v>28003.5</v>
      </c>
      <c r="M318" s="3" t="n">
        <v>143.366253802848</v>
      </c>
      <c r="N318" s="12" t="n">
        <v>0.0460656703626332</v>
      </c>
      <c r="O318" s="4" t="n">
        <v>77.0378</v>
      </c>
      <c r="P318" s="3" t="n">
        <v>212.742542651488</v>
      </c>
      <c r="Q318" s="4" t="n">
        <v>0.16</v>
      </c>
      <c r="R318" s="13" t="n">
        <f aca="false">P318/200000</f>
        <v>0.00106371271325744</v>
      </c>
      <c r="V318" s="4"/>
      <c r="W318" s="4"/>
    </row>
    <row r="319" customFormat="false" ht="14.25" hidden="false" customHeight="false" outlineLevel="0" collapsed="false">
      <c r="B319" s="1" t="n">
        <v>28.7</v>
      </c>
      <c r="C319" s="3" t="n">
        <v>276</v>
      </c>
      <c r="D319" s="1" t="n">
        <v>2</v>
      </c>
      <c r="E319" s="2" t="n">
        <v>50.6</v>
      </c>
      <c r="F319" s="4" t="n">
        <v>2.80171464705939</v>
      </c>
      <c r="G319" s="1" t="n">
        <v>38.2</v>
      </c>
      <c r="H319" s="1" t="n">
        <v>52.5</v>
      </c>
      <c r="I319" s="1" t="n">
        <v>152.4</v>
      </c>
      <c r="J319" s="1" t="n">
        <v>381</v>
      </c>
      <c r="K319" s="1" t="n">
        <v>1290</v>
      </c>
      <c r="L319" s="1" t="n">
        <v>28003.5</v>
      </c>
      <c r="M319" s="3" t="n">
        <v>143.366253802848</v>
      </c>
      <c r="N319" s="12" t="n">
        <v>0.0460656703626332</v>
      </c>
      <c r="O319" s="4" t="n">
        <v>88.8027</v>
      </c>
      <c r="P319" s="3" t="n">
        <v>245.231719913046</v>
      </c>
      <c r="Q319" s="4" t="n">
        <v>0.22</v>
      </c>
      <c r="R319" s="13" t="n">
        <f aca="false">P319/200000</f>
        <v>0.00122615859956523</v>
      </c>
      <c r="V319" s="4"/>
      <c r="W319" s="4"/>
    </row>
    <row r="320" customFormat="false" ht="14.25" hidden="false" customHeight="false" outlineLevel="0" collapsed="false">
      <c r="B320" s="1" t="n">
        <v>28.7</v>
      </c>
      <c r="C320" s="3" t="n">
        <v>276</v>
      </c>
      <c r="D320" s="1" t="n">
        <v>2</v>
      </c>
      <c r="E320" s="2" t="n">
        <v>50.6</v>
      </c>
      <c r="F320" s="4" t="n">
        <v>2.80171464705939</v>
      </c>
      <c r="G320" s="1" t="n">
        <v>38.2</v>
      </c>
      <c r="H320" s="1" t="n">
        <v>52.5</v>
      </c>
      <c r="I320" s="1" t="n">
        <v>152.4</v>
      </c>
      <c r="J320" s="1" t="n">
        <v>381</v>
      </c>
      <c r="K320" s="1" t="n">
        <v>1290</v>
      </c>
      <c r="L320" s="1" t="n">
        <v>28003.5</v>
      </c>
      <c r="M320" s="3" t="n">
        <v>143.366253802848</v>
      </c>
      <c r="N320" s="12" t="n">
        <v>0.0460656703626332</v>
      </c>
      <c r="O320" s="4" t="n">
        <v>104.615</v>
      </c>
      <c r="P320" s="3" t="n">
        <v>275.8</v>
      </c>
      <c r="Q320" s="4" t="n">
        <v>0.26</v>
      </c>
      <c r="R320" s="13" t="n">
        <f aca="false">P320/200000</f>
        <v>0.001379</v>
      </c>
      <c r="V320" s="4"/>
      <c r="W320" s="4"/>
    </row>
    <row r="321" customFormat="false" ht="14.25" hidden="false" customHeight="false" outlineLevel="0" collapsed="false">
      <c r="A321" s="0" t="s">
        <v>99</v>
      </c>
      <c r="B321" s="1" t="n">
        <v>28.7</v>
      </c>
      <c r="C321" s="3" t="n">
        <v>276</v>
      </c>
      <c r="D321" s="1" t="n">
        <v>2</v>
      </c>
      <c r="E321" s="2" t="n">
        <v>50.6</v>
      </c>
      <c r="F321" s="4" t="n">
        <v>2.52444806810338</v>
      </c>
      <c r="G321" s="1" t="n">
        <v>38.2</v>
      </c>
      <c r="H321" s="1" t="n">
        <v>52.5</v>
      </c>
      <c r="I321" s="1" t="n">
        <v>152.4</v>
      </c>
      <c r="J321" s="1" t="n">
        <v>381</v>
      </c>
      <c r="K321" s="1" t="n">
        <v>1290</v>
      </c>
      <c r="L321" s="1" t="n">
        <v>28003.5</v>
      </c>
      <c r="M321" s="3" t="n">
        <v>146.0713467674</v>
      </c>
      <c r="N321" s="12" t="n">
        <v>0.0460656703626332</v>
      </c>
      <c r="O321" s="4" t="n">
        <v>77.0378</v>
      </c>
      <c r="P321" s="3" t="n">
        <v>213.428114144873</v>
      </c>
      <c r="Q321" s="4" t="n">
        <v>0.17</v>
      </c>
      <c r="R321" s="13" t="n">
        <f aca="false">P321/200000</f>
        <v>0.00106714057072437</v>
      </c>
      <c r="V321" s="4"/>
      <c r="W321" s="4"/>
    </row>
    <row r="322" customFormat="false" ht="14.25" hidden="false" customHeight="false" outlineLevel="0" collapsed="false">
      <c r="B322" s="1" t="n">
        <v>28.7</v>
      </c>
      <c r="C322" s="3" t="n">
        <v>276</v>
      </c>
      <c r="D322" s="1" t="n">
        <v>2</v>
      </c>
      <c r="E322" s="2" t="n">
        <v>50.6</v>
      </c>
      <c r="F322" s="4" t="n">
        <v>2.52444806810338</v>
      </c>
      <c r="G322" s="1" t="n">
        <v>38.2</v>
      </c>
      <c r="H322" s="1" t="n">
        <v>52.5</v>
      </c>
      <c r="I322" s="1" t="n">
        <v>152.4</v>
      </c>
      <c r="J322" s="1" t="n">
        <v>381</v>
      </c>
      <c r="K322" s="1" t="n">
        <v>1290</v>
      </c>
      <c r="L322" s="1" t="n">
        <v>28003.5</v>
      </c>
      <c r="M322" s="3" t="n">
        <v>146.0713467674</v>
      </c>
      <c r="N322" s="12" t="n">
        <v>0.0460656703626332</v>
      </c>
      <c r="O322" s="4" t="n">
        <v>88.8027</v>
      </c>
      <c r="P322" s="3" t="n">
        <v>246.021989101103</v>
      </c>
      <c r="Q322" s="4" t="n">
        <v>0.2</v>
      </c>
      <c r="R322" s="13" t="n">
        <f aca="false">P322/200000</f>
        <v>0.00123010994550551</v>
      </c>
      <c r="V322" s="4"/>
      <c r="W322" s="4"/>
    </row>
    <row r="323" customFormat="false" ht="14.25" hidden="false" customHeight="false" outlineLevel="0" collapsed="false">
      <c r="B323" s="1" t="n">
        <v>28.7</v>
      </c>
      <c r="C323" s="3" t="n">
        <v>276</v>
      </c>
      <c r="D323" s="1" t="n">
        <v>2</v>
      </c>
      <c r="E323" s="2" t="n">
        <v>50.6</v>
      </c>
      <c r="F323" s="4" t="n">
        <v>2.52444806810338</v>
      </c>
      <c r="G323" s="1" t="n">
        <v>38.2</v>
      </c>
      <c r="H323" s="1" t="n">
        <v>52.5</v>
      </c>
      <c r="I323" s="1" t="n">
        <v>152.4</v>
      </c>
      <c r="J323" s="1" t="n">
        <v>381</v>
      </c>
      <c r="K323" s="1" t="n">
        <v>1290</v>
      </c>
      <c r="L323" s="1" t="n">
        <v>28003.5</v>
      </c>
      <c r="M323" s="3" t="n">
        <v>146.0713467674</v>
      </c>
      <c r="N323" s="12" t="n">
        <v>0.0460656703626332</v>
      </c>
      <c r="O323" s="4" t="n">
        <v>104.615</v>
      </c>
      <c r="P323" s="3" t="n">
        <v>275.8</v>
      </c>
      <c r="Q323" s="4" t="n">
        <v>0.24</v>
      </c>
      <c r="R323" s="13" t="n">
        <f aca="false">P323/200000</f>
        <v>0.001379</v>
      </c>
      <c r="V323" s="4"/>
      <c r="W323" s="4"/>
    </row>
    <row r="324" customFormat="false" ht="14.25" hidden="false" customHeight="false" outlineLevel="0" collapsed="false">
      <c r="A324" s="0" t="s">
        <v>100</v>
      </c>
      <c r="B324" s="1" t="n">
        <v>32.3</v>
      </c>
      <c r="C324" s="3" t="n">
        <v>276</v>
      </c>
      <c r="D324" s="1" t="n">
        <v>1</v>
      </c>
      <c r="E324" s="2" t="n">
        <v>60</v>
      </c>
      <c r="F324" s="4" t="n">
        <v>2.53821845332793</v>
      </c>
      <c r="G324" s="1" t="n">
        <v>38.3</v>
      </c>
      <c r="H324" s="1" t="n">
        <v>54.4</v>
      </c>
      <c r="I324" s="1" t="n">
        <v>152.4</v>
      </c>
      <c r="J324" s="1" t="n">
        <v>381</v>
      </c>
      <c r="K324" s="1" t="n">
        <v>819</v>
      </c>
      <c r="L324" s="1" t="n">
        <v>29016.96</v>
      </c>
      <c r="M324" s="3" t="n">
        <v>122.838831239211</v>
      </c>
      <c r="N324" s="12" t="n">
        <v>0.0282248726262158</v>
      </c>
      <c r="O324" s="4" t="n">
        <v>39.9595</v>
      </c>
      <c r="P324" s="3" t="n">
        <v>170.803299154682</v>
      </c>
      <c r="Q324" s="4" t="n">
        <v>0.17</v>
      </c>
      <c r="R324" s="13" t="n">
        <f aca="false">P324/200000</f>
        <v>0.00085401649577341</v>
      </c>
      <c r="V324" s="4"/>
      <c r="W324" s="4"/>
    </row>
    <row r="325" customFormat="false" ht="14.25" hidden="false" customHeight="false" outlineLevel="0" collapsed="false">
      <c r="B325" s="1" t="n">
        <v>32.3</v>
      </c>
      <c r="C325" s="3" t="n">
        <v>276</v>
      </c>
      <c r="D325" s="1" t="n">
        <v>1</v>
      </c>
      <c r="E325" s="2" t="n">
        <v>60</v>
      </c>
      <c r="F325" s="4" t="n">
        <v>2.53821845332793</v>
      </c>
      <c r="G325" s="1" t="n">
        <v>38.3</v>
      </c>
      <c r="H325" s="1" t="n">
        <v>54.4</v>
      </c>
      <c r="I325" s="1" t="n">
        <v>152.4</v>
      </c>
      <c r="J325" s="1" t="n">
        <v>381</v>
      </c>
      <c r="K325" s="1" t="n">
        <v>819</v>
      </c>
      <c r="L325" s="1" t="n">
        <v>29016.96</v>
      </c>
      <c r="M325" s="3" t="n">
        <v>122.838831239211</v>
      </c>
      <c r="N325" s="12" t="n">
        <v>0.0282248726262158</v>
      </c>
      <c r="O325" s="4" t="n">
        <v>49.1862</v>
      </c>
      <c r="P325" s="3" t="n">
        <v>210.242000847909</v>
      </c>
      <c r="Q325" s="4" t="n">
        <v>0.23</v>
      </c>
      <c r="R325" s="13" t="n">
        <f aca="false">P325/200000</f>
        <v>0.00105121000423954</v>
      </c>
      <c r="V325" s="4"/>
      <c r="W325" s="4"/>
    </row>
    <row r="326" customFormat="false" ht="14.25" hidden="false" customHeight="false" outlineLevel="0" collapsed="false">
      <c r="B326" s="1" t="n">
        <v>32.3</v>
      </c>
      <c r="C326" s="3" t="n">
        <v>276</v>
      </c>
      <c r="D326" s="1" t="n">
        <v>1</v>
      </c>
      <c r="E326" s="2" t="n">
        <v>60</v>
      </c>
      <c r="F326" s="4" t="n">
        <v>2.53821845332793</v>
      </c>
      <c r="G326" s="1" t="n">
        <v>38.3</v>
      </c>
      <c r="H326" s="1" t="n">
        <v>54.4</v>
      </c>
      <c r="I326" s="1" t="n">
        <v>152.4</v>
      </c>
      <c r="J326" s="1" t="n">
        <v>381</v>
      </c>
      <c r="K326" s="1" t="n">
        <v>819</v>
      </c>
      <c r="L326" s="1" t="n">
        <v>29016.96</v>
      </c>
      <c r="M326" s="3" t="n">
        <v>122.838831239211</v>
      </c>
      <c r="N326" s="12" t="n">
        <v>0.0282248726262158</v>
      </c>
      <c r="O326" s="4" t="n">
        <v>57.3496</v>
      </c>
      <c r="P326" s="3" t="n">
        <v>245.135722048608</v>
      </c>
      <c r="Q326" s="4" t="n">
        <v>0.27</v>
      </c>
      <c r="R326" s="13" t="n">
        <f aca="false">P326/200000</f>
        <v>0.00122567861024304</v>
      </c>
      <c r="V326" s="4"/>
      <c r="W326" s="4"/>
    </row>
    <row r="327" customFormat="false" ht="14.25" hidden="false" customHeight="false" outlineLevel="0" collapsed="false">
      <c r="B327" s="1" t="n">
        <v>32.3</v>
      </c>
      <c r="C327" s="3" t="n">
        <v>276</v>
      </c>
      <c r="D327" s="1" t="n">
        <v>1</v>
      </c>
      <c r="E327" s="2" t="n">
        <v>60</v>
      </c>
      <c r="F327" s="4" t="n">
        <v>2.53821845332793</v>
      </c>
      <c r="G327" s="1" t="n">
        <v>38.3</v>
      </c>
      <c r="H327" s="1" t="n">
        <v>54.4</v>
      </c>
      <c r="I327" s="1" t="n">
        <v>152.4</v>
      </c>
      <c r="J327" s="1" t="n">
        <v>381</v>
      </c>
      <c r="K327" s="1" t="n">
        <v>819</v>
      </c>
      <c r="L327" s="1" t="n">
        <v>29016.96</v>
      </c>
      <c r="M327" s="3" t="n">
        <v>122.838831239211</v>
      </c>
      <c r="N327" s="12" t="n">
        <v>0.0282248726262158</v>
      </c>
      <c r="O327" s="4" t="n">
        <v>63.1806</v>
      </c>
      <c r="P327" s="3" t="n">
        <v>270.059808620536</v>
      </c>
      <c r="Q327" s="4" t="n">
        <v>0.31</v>
      </c>
      <c r="R327" s="13" t="n">
        <f aca="false">P327/200000</f>
        <v>0.00135029904310268</v>
      </c>
      <c r="V327" s="4"/>
      <c r="W327" s="4"/>
    </row>
    <row r="328" customFormat="false" ht="14.25" hidden="false" customHeight="false" outlineLevel="0" collapsed="false">
      <c r="B328" s="1" t="n">
        <v>32.3</v>
      </c>
      <c r="C328" s="3" t="n">
        <v>276</v>
      </c>
      <c r="D328" s="1" t="n">
        <v>1</v>
      </c>
      <c r="E328" s="2" t="n">
        <v>60</v>
      </c>
      <c r="F328" s="4" t="n">
        <v>2.53821845332793</v>
      </c>
      <c r="G328" s="1" t="n">
        <v>38.3</v>
      </c>
      <c r="H328" s="1" t="n">
        <v>54.4</v>
      </c>
      <c r="I328" s="1" t="n">
        <v>152.4</v>
      </c>
      <c r="J328" s="1" t="n">
        <v>381</v>
      </c>
      <c r="K328" s="1" t="n">
        <v>819</v>
      </c>
      <c r="L328" s="1" t="n">
        <v>29016.96</v>
      </c>
      <c r="M328" s="3" t="n">
        <v>122.838831239211</v>
      </c>
      <c r="N328" s="12" t="n">
        <v>0.0282248726262158</v>
      </c>
      <c r="O328" s="4" t="n">
        <v>67.1251</v>
      </c>
      <c r="P328" s="3" t="n">
        <v>275.8</v>
      </c>
      <c r="Q328" s="4" t="n">
        <v>0.35</v>
      </c>
      <c r="R328" s="13" t="n">
        <f aca="false">P328/200000</f>
        <v>0.001379</v>
      </c>
      <c r="V328" s="4"/>
      <c r="W328" s="4"/>
    </row>
    <row r="329" customFormat="false" ht="14.25" hidden="false" customHeight="false" outlineLevel="0" collapsed="false">
      <c r="A329" s="0" t="s">
        <v>101</v>
      </c>
      <c r="B329" s="1" t="n">
        <v>32.3</v>
      </c>
      <c r="C329" s="3" t="n">
        <v>276</v>
      </c>
      <c r="D329" s="1" t="n">
        <v>1</v>
      </c>
      <c r="E329" s="2" t="n">
        <v>60</v>
      </c>
      <c r="F329" s="4" t="n">
        <v>2.81086951894943</v>
      </c>
      <c r="G329" s="1" t="n">
        <v>38.3</v>
      </c>
      <c r="H329" s="1" t="n">
        <v>54.4</v>
      </c>
      <c r="I329" s="1" t="n">
        <v>152.4</v>
      </c>
      <c r="J329" s="1" t="n">
        <v>381</v>
      </c>
      <c r="K329" s="1" t="n">
        <v>819</v>
      </c>
      <c r="L329" s="1" t="n">
        <v>29016.96</v>
      </c>
      <c r="M329" s="3" t="n">
        <v>120.446116576203</v>
      </c>
      <c r="N329" s="12" t="n">
        <v>0.0282248726262158</v>
      </c>
      <c r="O329" s="4" t="n">
        <v>39.9595</v>
      </c>
      <c r="P329" s="3" t="n">
        <v>170.327728419202</v>
      </c>
      <c r="Q329" s="4" t="n">
        <v>0.19</v>
      </c>
      <c r="R329" s="13" t="n">
        <f aca="false">P329/200000</f>
        <v>0.000851638642096009</v>
      </c>
      <c r="V329" s="4"/>
      <c r="W329" s="4"/>
    </row>
    <row r="330" customFormat="false" ht="14.25" hidden="false" customHeight="false" outlineLevel="0" collapsed="false">
      <c r="B330" s="1" t="n">
        <v>32.3</v>
      </c>
      <c r="C330" s="3" t="n">
        <v>276</v>
      </c>
      <c r="D330" s="1" t="n">
        <v>1</v>
      </c>
      <c r="E330" s="2" t="n">
        <v>60</v>
      </c>
      <c r="F330" s="4" t="n">
        <v>2.81086951894943</v>
      </c>
      <c r="G330" s="1" t="n">
        <v>38.3</v>
      </c>
      <c r="H330" s="1" t="n">
        <v>54.4</v>
      </c>
      <c r="I330" s="1" t="n">
        <v>152.4</v>
      </c>
      <c r="J330" s="1" t="n">
        <v>381</v>
      </c>
      <c r="K330" s="1" t="n">
        <v>819</v>
      </c>
      <c r="L330" s="1" t="n">
        <v>29016.96</v>
      </c>
      <c r="M330" s="3" t="n">
        <v>120.446116576203</v>
      </c>
      <c r="N330" s="12" t="n">
        <v>0.0282248726262158</v>
      </c>
      <c r="O330" s="4" t="n">
        <v>49.1862</v>
      </c>
      <c r="P330" s="3" t="n">
        <v>209.656620217284</v>
      </c>
      <c r="Q330" s="4" t="n">
        <v>0.24</v>
      </c>
      <c r="R330" s="13" t="n">
        <f aca="false">P330/200000</f>
        <v>0.00104828310108642</v>
      </c>
      <c r="V330" s="4"/>
      <c r="W330" s="4"/>
    </row>
    <row r="331" customFormat="false" ht="14.25" hidden="false" customHeight="false" outlineLevel="0" collapsed="false">
      <c r="B331" s="1" t="n">
        <v>32.3</v>
      </c>
      <c r="C331" s="3" t="n">
        <v>276</v>
      </c>
      <c r="D331" s="1" t="n">
        <v>1</v>
      </c>
      <c r="E331" s="2" t="n">
        <v>60</v>
      </c>
      <c r="F331" s="4" t="n">
        <v>2.81086951894943</v>
      </c>
      <c r="G331" s="1" t="n">
        <v>38.3</v>
      </c>
      <c r="H331" s="1" t="n">
        <v>54.4</v>
      </c>
      <c r="I331" s="1" t="n">
        <v>152.4</v>
      </c>
      <c r="J331" s="1" t="n">
        <v>381</v>
      </c>
      <c r="K331" s="1" t="n">
        <v>819</v>
      </c>
      <c r="L331" s="1" t="n">
        <v>29016.96</v>
      </c>
      <c r="M331" s="3" t="n">
        <v>120.446116576203</v>
      </c>
      <c r="N331" s="12" t="n">
        <v>0.0282248726262158</v>
      </c>
      <c r="O331" s="4" t="n">
        <v>57.3496</v>
      </c>
      <c r="P331" s="3" t="n">
        <v>244.453186194769</v>
      </c>
      <c r="Q331" s="4" t="n">
        <v>0.29</v>
      </c>
      <c r="R331" s="13" t="n">
        <f aca="false">P331/200000</f>
        <v>0.00122226593097384</v>
      </c>
      <c r="V331" s="4"/>
      <c r="W331" s="4"/>
    </row>
    <row r="332" customFormat="false" ht="14.25" hidden="false" customHeight="false" outlineLevel="0" collapsed="false">
      <c r="B332" s="1" t="n">
        <v>32.3</v>
      </c>
      <c r="C332" s="3" t="n">
        <v>276</v>
      </c>
      <c r="D332" s="1" t="n">
        <v>1</v>
      </c>
      <c r="E332" s="2" t="n">
        <v>60</v>
      </c>
      <c r="F332" s="4" t="n">
        <v>2.81086951894943</v>
      </c>
      <c r="G332" s="1" t="n">
        <v>38.3</v>
      </c>
      <c r="H332" s="1" t="n">
        <v>54.4</v>
      </c>
      <c r="I332" s="1" t="n">
        <v>152.4</v>
      </c>
      <c r="J332" s="1" t="n">
        <v>381</v>
      </c>
      <c r="K332" s="1" t="n">
        <v>819</v>
      </c>
      <c r="L332" s="1" t="n">
        <v>29016.96</v>
      </c>
      <c r="M332" s="3" t="n">
        <v>120.446116576203</v>
      </c>
      <c r="N332" s="12" t="n">
        <v>0.0282248726262158</v>
      </c>
      <c r="O332" s="4" t="n">
        <v>63.1806</v>
      </c>
      <c r="P332" s="3" t="n">
        <v>269.307876178686</v>
      </c>
      <c r="Q332" s="4" t="n">
        <v>0.36</v>
      </c>
      <c r="R332" s="13" t="n">
        <f aca="false">P332/200000</f>
        <v>0.00134653938089343</v>
      </c>
      <c r="V332" s="4"/>
      <c r="W332" s="4"/>
    </row>
    <row r="333" customFormat="false" ht="14.25" hidden="false" customHeight="false" outlineLevel="0" collapsed="false">
      <c r="B333" s="1" t="n">
        <v>32.3</v>
      </c>
      <c r="C333" s="3" t="n">
        <v>276</v>
      </c>
      <c r="D333" s="1" t="n">
        <v>1</v>
      </c>
      <c r="E333" s="2" t="n">
        <v>60</v>
      </c>
      <c r="F333" s="4" t="n">
        <v>2.81086951894943</v>
      </c>
      <c r="G333" s="1" t="n">
        <v>38.3</v>
      </c>
      <c r="H333" s="1" t="n">
        <v>54.4</v>
      </c>
      <c r="I333" s="1" t="n">
        <v>152.4</v>
      </c>
      <c r="J333" s="1" t="n">
        <v>381</v>
      </c>
      <c r="K333" s="1" t="n">
        <v>819</v>
      </c>
      <c r="L333" s="1" t="n">
        <v>29016.96</v>
      </c>
      <c r="M333" s="3" t="n">
        <v>120.446116576203</v>
      </c>
      <c r="N333" s="12" t="n">
        <v>0.0282248726262158</v>
      </c>
      <c r="O333" s="4" t="n">
        <v>67.1251</v>
      </c>
      <c r="P333" s="3" t="n">
        <v>275.8</v>
      </c>
      <c r="Q333" s="4" t="n">
        <v>0.42</v>
      </c>
      <c r="R333" s="13" t="n">
        <f aca="false">P333/200000</f>
        <v>0.001379</v>
      </c>
      <c r="V333" s="4"/>
      <c r="W333" s="4"/>
    </row>
    <row r="334" customFormat="false" ht="14.25" hidden="false" customHeight="false" outlineLevel="0" collapsed="false">
      <c r="A334" s="0" t="s">
        <v>102</v>
      </c>
      <c r="B334" s="1" t="n">
        <v>28.7</v>
      </c>
      <c r="C334" s="3" t="n">
        <v>276</v>
      </c>
      <c r="D334" s="1" t="n">
        <v>2</v>
      </c>
      <c r="E334" s="2" t="n">
        <v>50.6</v>
      </c>
      <c r="F334" s="4" t="n">
        <v>2.57657861790804</v>
      </c>
      <c r="G334" s="1" t="n">
        <v>38</v>
      </c>
      <c r="H334" s="1" t="n">
        <v>52.3</v>
      </c>
      <c r="I334" s="1" t="n">
        <v>152.4</v>
      </c>
      <c r="J334" s="1" t="n">
        <v>584.2</v>
      </c>
      <c r="K334" s="1" t="n">
        <v>1290</v>
      </c>
      <c r="L334" s="1" t="n">
        <v>27896.82</v>
      </c>
      <c r="M334" s="3" t="n">
        <v>196.926616139336</v>
      </c>
      <c r="N334" s="12" t="n">
        <v>0.0462418297139244</v>
      </c>
      <c r="O334" s="4" t="n">
        <v>110.208</v>
      </c>
      <c r="P334" s="3" t="n">
        <v>183.230305477513</v>
      </c>
      <c r="Q334" s="4" t="n">
        <v>0.18</v>
      </c>
      <c r="R334" s="13" t="n">
        <f aca="false">P334/200000</f>
        <v>0.000916151527387567</v>
      </c>
      <c r="V334" s="4"/>
      <c r="W334" s="4"/>
    </row>
    <row r="335" customFormat="false" ht="14.25" hidden="false" customHeight="false" outlineLevel="0" collapsed="false">
      <c r="B335" s="1" t="n">
        <v>28.7</v>
      </c>
      <c r="C335" s="3" t="n">
        <v>276</v>
      </c>
      <c r="D335" s="1" t="n">
        <v>2</v>
      </c>
      <c r="E335" s="2" t="n">
        <v>50.6</v>
      </c>
      <c r="F335" s="4" t="n">
        <v>2.57657861790804</v>
      </c>
      <c r="G335" s="1" t="n">
        <v>38</v>
      </c>
      <c r="H335" s="1" t="n">
        <v>52.3</v>
      </c>
      <c r="I335" s="1" t="n">
        <v>152.4</v>
      </c>
      <c r="J335" s="1" t="n">
        <v>584.2</v>
      </c>
      <c r="K335" s="1" t="n">
        <v>1290</v>
      </c>
      <c r="L335" s="1" t="n">
        <v>27896.82</v>
      </c>
      <c r="M335" s="3" t="n">
        <v>196.926616139336</v>
      </c>
      <c r="N335" s="12" t="n">
        <v>0.0462418297139244</v>
      </c>
      <c r="O335" s="4" t="n">
        <v>132.258</v>
      </c>
      <c r="P335" s="3" t="n">
        <v>219.890332297519</v>
      </c>
      <c r="Q335" s="4" t="n">
        <v>0.22</v>
      </c>
      <c r="R335" s="13" t="n">
        <f aca="false">P335/200000</f>
        <v>0.0010994516614876</v>
      </c>
      <c r="V335" s="4"/>
      <c r="W335" s="4"/>
    </row>
    <row r="336" customFormat="false" ht="14.25" hidden="false" customHeight="false" outlineLevel="0" collapsed="false">
      <c r="B336" s="1" t="n">
        <v>28.7</v>
      </c>
      <c r="C336" s="3" t="n">
        <v>276</v>
      </c>
      <c r="D336" s="1" t="n">
        <v>2</v>
      </c>
      <c r="E336" s="2" t="n">
        <v>50.6</v>
      </c>
      <c r="F336" s="4" t="n">
        <v>2.57657861790804</v>
      </c>
      <c r="G336" s="1" t="n">
        <v>38</v>
      </c>
      <c r="H336" s="1" t="n">
        <v>52.3</v>
      </c>
      <c r="I336" s="1" t="n">
        <v>152.4</v>
      </c>
      <c r="J336" s="1" t="n">
        <v>584.2</v>
      </c>
      <c r="K336" s="1" t="n">
        <v>1290</v>
      </c>
      <c r="L336" s="1" t="n">
        <v>27896.82</v>
      </c>
      <c r="M336" s="3" t="n">
        <v>196.926616139336</v>
      </c>
      <c r="N336" s="12" t="n">
        <v>0.0462418297139244</v>
      </c>
      <c r="O336" s="4" t="n">
        <v>149.268</v>
      </c>
      <c r="P336" s="3" t="n">
        <v>248.170924415809</v>
      </c>
      <c r="Q336" s="4" t="n">
        <v>0.27</v>
      </c>
      <c r="R336" s="13" t="n">
        <f aca="false">P336/200000</f>
        <v>0.00124085462207905</v>
      </c>
      <c r="V336" s="4"/>
      <c r="W336" s="4"/>
    </row>
    <row r="337" customFormat="false" ht="14.25" hidden="false" customHeight="false" outlineLevel="0" collapsed="false">
      <c r="B337" s="1" t="n">
        <v>28.7</v>
      </c>
      <c r="C337" s="3" t="n">
        <v>276</v>
      </c>
      <c r="D337" s="1" t="n">
        <v>2</v>
      </c>
      <c r="E337" s="2" t="n">
        <v>50.6</v>
      </c>
      <c r="F337" s="4" t="n">
        <v>2.57657861790804</v>
      </c>
      <c r="G337" s="1" t="n">
        <v>38</v>
      </c>
      <c r="H337" s="1" t="n">
        <v>52.3</v>
      </c>
      <c r="I337" s="1" t="n">
        <v>152.4</v>
      </c>
      <c r="J337" s="1" t="n">
        <v>584.2</v>
      </c>
      <c r="K337" s="1" t="n">
        <v>1290</v>
      </c>
      <c r="L337" s="1" t="n">
        <v>27896.82</v>
      </c>
      <c r="M337" s="3" t="n">
        <v>196.926616139336</v>
      </c>
      <c r="N337" s="12" t="n">
        <v>0.0462418297139244</v>
      </c>
      <c r="O337" s="4" t="n">
        <v>168.882</v>
      </c>
      <c r="P337" s="3" t="n">
        <v>275.8</v>
      </c>
      <c r="Q337" s="4" t="n">
        <v>0.32</v>
      </c>
      <c r="R337" s="13" t="n">
        <f aca="false">P337/200000</f>
        <v>0.001379</v>
      </c>
      <c r="V337" s="4"/>
      <c r="W337" s="4"/>
    </row>
    <row r="338" customFormat="false" ht="14.25" hidden="false" customHeight="false" outlineLevel="0" collapsed="false">
      <c r="A338" s="0" t="s">
        <v>103</v>
      </c>
      <c r="B338" s="1" t="n">
        <v>28.7</v>
      </c>
      <c r="C338" s="3" t="n">
        <v>276</v>
      </c>
      <c r="D338" s="1" t="n">
        <v>2</v>
      </c>
      <c r="E338" s="2" t="n">
        <v>50.6</v>
      </c>
      <c r="F338" s="4" t="n">
        <v>2.57657861790804</v>
      </c>
      <c r="G338" s="1" t="n">
        <v>38</v>
      </c>
      <c r="H338" s="1" t="n">
        <v>52.3</v>
      </c>
      <c r="I338" s="1" t="n">
        <v>152.4</v>
      </c>
      <c r="J338" s="1" t="n">
        <v>584.2</v>
      </c>
      <c r="K338" s="1" t="n">
        <v>1290</v>
      </c>
      <c r="L338" s="1" t="n">
        <v>27896.82</v>
      </c>
      <c r="M338" s="3" t="n">
        <v>196.926616139336</v>
      </c>
      <c r="N338" s="12" t="n">
        <v>0.0462418297139244</v>
      </c>
      <c r="O338" s="4" t="n">
        <v>132.258</v>
      </c>
      <c r="P338" s="3" t="n">
        <v>219.890332297519</v>
      </c>
      <c r="Q338" s="4" t="n">
        <v>0.16</v>
      </c>
      <c r="R338" s="13" t="n">
        <f aca="false">P338/200000</f>
        <v>0.0010994516614876</v>
      </c>
      <c r="V338" s="4"/>
      <c r="W338" s="4"/>
    </row>
    <row r="339" customFormat="false" ht="14.25" hidden="false" customHeight="false" outlineLevel="0" collapsed="false">
      <c r="B339" s="1" t="n">
        <v>28.7</v>
      </c>
      <c r="C339" s="3" t="n">
        <v>276</v>
      </c>
      <c r="D339" s="1" t="n">
        <v>2</v>
      </c>
      <c r="E339" s="2" t="n">
        <v>50.6</v>
      </c>
      <c r="F339" s="4" t="n">
        <v>2.57657861790804</v>
      </c>
      <c r="G339" s="1" t="n">
        <v>38</v>
      </c>
      <c r="H339" s="1" t="n">
        <v>52.3</v>
      </c>
      <c r="I339" s="1" t="n">
        <v>152.4</v>
      </c>
      <c r="J339" s="1" t="n">
        <v>584.2</v>
      </c>
      <c r="K339" s="1" t="n">
        <v>1290</v>
      </c>
      <c r="L339" s="1" t="n">
        <v>27896.82</v>
      </c>
      <c r="M339" s="3" t="n">
        <v>196.926616139336</v>
      </c>
      <c r="N339" s="12" t="n">
        <v>0.0462418297139244</v>
      </c>
      <c r="O339" s="4" t="n">
        <v>149.268</v>
      </c>
      <c r="P339" s="3" t="n">
        <v>248.170924415809</v>
      </c>
      <c r="Q339" s="4" t="n">
        <v>0.19</v>
      </c>
      <c r="R339" s="13" t="n">
        <f aca="false">P339/200000</f>
        <v>0.00124085462207905</v>
      </c>
      <c r="V339" s="4"/>
      <c r="W339" s="4"/>
    </row>
    <row r="340" customFormat="false" ht="14.25" hidden="false" customHeight="false" outlineLevel="0" collapsed="false">
      <c r="B340" s="1" t="n">
        <v>28.7</v>
      </c>
      <c r="C340" s="3" t="n">
        <v>276</v>
      </c>
      <c r="D340" s="1" t="n">
        <v>2</v>
      </c>
      <c r="E340" s="2" t="n">
        <v>50.6</v>
      </c>
      <c r="F340" s="4" t="n">
        <v>2.57657861790804</v>
      </c>
      <c r="G340" s="1" t="n">
        <v>38</v>
      </c>
      <c r="H340" s="1" t="n">
        <v>52.3</v>
      </c>
      <c r="I340" s="1" t="n">
        <v>152.4</v>
      </c>
      <c r="J340" s="1" t="n">
        <v>584.2</v>
      </c>
      <c r="K340" s="1" t="n">
        <v>1290</v>
      </c>
      <c r="L340" s="1" t="n">
        <v>27896.82</v>
      </c>
      <c r="M340" s="3" t="n">
        <v>196.926616139336</v>
      </c>
      <c r="N340" s="12" t="n">
        <v>0.0462418297139244</v>
      </c>
      <c r="O340" s="4" t="n">
        <v>168.882</v>
      </c>
      <c r="P340" s="3" t="n">
        <v>275.8</v>
      </c>
      <c r="Q340" s="4" t="n">
        <v>0.22</v>
      </c>
      <c r="R340" s="13" t="n">
        <f aca="false">P340/200000</f>
        <v>0.001379</v>
      </c>
      <c r="V340" s="4"/>
      <c r="W340" s="4"/>
    </row>
    <row r="341" customFormat="false" ht="14.25" hidden="false" customHeight="false" outlineLevel="0" collapsed="false">
      <c r="A341" s="0" t="s">
        <v>104</v>
      </c>
      <c r="B341" s="1" t="n">
        <v>35.8</v>
      </c>
      <c r="C341" s="3" t="n">
        <v>276</v>
      </c>
      <c r="D341" s="1" t="n">
        <v>2</v>
      </c>
      <c r="E341" s="2" t="n">
        <v>36.4</v>
      </c>
      <c r="F341" s="4" t="n">
        <v>2.54783553354044</v>
      </c>
      <c r="G341" s="1" t="n">
        <v>38</v>
      </c>
      <c r="H341" s="1" t="n">
        <v>55.9</v>
      </c>
      <c r="I341" s="1" t="n">
        <v>152.4</v>
      </c>
      <c r="J341" s="1" t="n">
        <v>584.2</v>
      </c>
      <c r="K341" s="1" t="n">
        <v>2012</v>
      </c>
      <c r="L341" s="1" t="n">
        <v>29817.06</v>
      </c>
      <c r="M341" s="3" t="n">
        <v>231.967079154845</v>
      </c>
      <c r="N341" s="12" t="n">
        <v>0.0674781484157056</v>
      </c>
      <c r="O341" s="4" t="n">
        <v>167.034</v>
      </c>
      <c r="P341" s="3" t="n">
        <v>184.086480713456</v>
      </c>
      <c r="Q341" s="4" t="n">
        <v>0.17</v>
      </c>
      <c r="R341" s="13" t="n">
        <f aca="false">P341/200000</f>
        <v>0.000920432403567281</v>
      </c>
      <c r="V341" s="4"/>
      <c r="W341" s="4"/>
    </row>
    <row r="342" customFormat="false" ht="14.25" hidden="false" customHeight="false" outlineLevel="0" collapsed="false">
      <c r="A342" s="0" t="s">
        <v>105</v>
      </c>
      <c r="B342" s="1" t="n">
        <v>35.8</v>
      </c>
      <c r="C342" s="3" t="n">
        <v>276</v>
      </c>
      <c r="D342" s="1" t="n">
        <v>2</v>
      </c>
      <c r="E342" s="2" t="n">
        <v>36.4</v>
      </c>
      <c r="F342" s="4" t="n">
        <v>2.75637342683892</v>
      </c>
      <c r="G342" s="1" t="n">
        <v>38</v>
      </c>
      <c r="H342" s="1" t="n">
        <v>55.9</v>
      </c>
      <c r="I342" s="1" t="n">
        <v>152.4</v>
      </c>
      <c r="J342" s="1" t="n">
        <v>584.2</v>
      </c>
      <c r="K342" s="1" t="n">
        <v>2012</v>
      </c>
      <c r="L342" s="1" t="n">
        <v>29817.06</v>
      </c>
      <c r="M342" s="3" t="n">
        <v>228.699800687537</v>
      </c>
      <c r="N342" s="12" t="n">
        <v>0.0674781484157056</v>
      </c>
      <c r="O342" s="4" t="n">
        <v>130.788</v>
      </c>
      <c r="P342" s="3" t="n">
        <v>143.792876986957</v>
      </c>
      <c r="Q342" s="4" t="n">
        <v>0.19</v>
      </c>
      <c r="R342" s="13" t="n">
        <f aca="false">P342/200000</f>
        <v>0.000718964384934785</v>
      </c>
      <c r="V342" s="4"/>
      <c r="W342" s="4"/>
    </row>
    <row r="343" customFormat="false" ht="14.25" hidden="false" customHeight="false" outlineLevel="0" collapsed="false">
      <c r="B343" s="1" t="n">
        <v>35.8</v>
      </c>
      <c r="C343" s="3" t="n">
        <v>276</v>
      </c>
      <c r="D343" s="1" t="n">
        <v>2</v>
      </c>
      <c r="E343" s="2" t="n">
        <v>36.4</v>
      </c>
      <c r="F343" s="4" t="n">
        <v>2.75637342683892</v>
      </c>
      <c r="G343" s="1" t="n">
        <v>38</v>
      </c>
      <c r="H343" s="1" t="n">
        <v>55.9</v>
      </c>
      <c r="I343" s="1" t="n">
        <v>152.4</v>
      </c>
      <c r="J343" s="1" t="n">
        <v>584.2</v>
      </c>
      <c r="K343" s="1" t="n">
        <v>2012</v>
      </c>
      <c r="L343" s="1" t="n">
        <v>29817.06</v>
      </c>
      <c r="M343" s="3" t="n">
        <v>228.699800687537</v>
      </c>
      <c r="N343" s="12" t="n">
        <v>0.0674781484157056</v>
      </c>
      <c r="O343" s="4" t="n">
        <v>167.034</v>
      </c>
      <c r="P343" s="3" t="n">
        <v>183.642990294518</v>
      </c>
      <c r="Q343" s="4" t="n">
        <v>0.25</v>
      </c>
      <c r="R343" s="13" t="n">
        <f aca="false">P343/200000</f>
        <v>0.000918214951472588</v>
      </c>
      <c r="V343" s="4"/>
      <c r="W343" s="4"/>
    </row>
    <row r="345" customFormat="false" ht="14.25" hidden="false" customHeight="false" outlineLevel="0" collapsed="false">
      <c r="W345" s="4"/>
    </row>
    <row r="346" customFormat="false" ht="14.25" hidden="false" customHeight="false" outlineLevel="0" collapsed="false">
      <c r="W346" s="4"/>
    </row>
    <row r="347" customFormat="false" ht="14.25" hidden="false" customHeight="false" outlineLevel="0" collapsed="false">
      <c r="W347" s="10"/>
    </row>
  </sheetData>
  <mergeCells count="1">
    <mergeCell ref="B1:P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4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1" ySplit="0" topLeftCell="Z1" activePane="topRight" state="frozen"/>
      <selection pane="topLeft" activeCell="A1" activeCellId="0" sqref="A1"/>
      <selection pane="topRight" activeCell="AB1" activeCellId="0" sqref="AB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5.89"/>
    <col collapsed="false" customWidth="true" hidden="false" outlineLevel="0" max="2" min="2" style="1" width="24.78"/>
    <col collapsed="false" customWidth="true" hidden="false" outlineLevel="0" max="3" min="3" style="1" width="29.66"/>
    <col collapsed="false" customWidth="true" hidden="false" outlineLevel="0" max="4" min="4" style="2" width="29.33"/>
    <col collapsed="false" customWidth="true" hidden="false" outlineLevel="0" max="5" min="5" style="4" width="22.44"/>
    <col collapsed="false" customWidth="true" hidden="false" outlineLevel="0" max="6" min="6" style="1" width="16.45"/>
    <col collapsed="false" customWidth="true" hidden="false" outlineLevel="0" max="7" min="7" style="1" width="25.66"/>
    <col collapsed="false" customWidth="true" hidden="false" outlineLevel="0" max="8" min="8" style="3" width="30.67"/>
    <col collapsed="false" customWidth="true" hidden="false" outlineLevel="0" max="9" min="9" style="1" width="19.78"/>
    <col collapsed="false" customWidth="true" hidden="false" outlineLevel="0" max="10" min="10" style="2" width="19.78"/>
    <col collapsed="false" customWidth="true" hidden="false" outlineLevel="0" max="11" min="11" style="3" width="19.78"/>
    <col collapsed="false" customWidth="true" hidden="false" outlineLevel="0" max="12" min="12" style="2" width="19.78"/>
    <col collapsed="false" customWidth="true" hidden="false" outlineLevel="0" max="13" min="13" style="4" width="9.66"/>
    <col collapsed="false" customWidth="true" hidden="false" outlineLevel="0" max="14" min="14" style="26" width="28"/>
    <col collapsed="false" customWidth="true" hidden="false" outlineLevel="0" max="15" min="15" style="27" width="22.67"/>
    <col collapsed="false" customWidth="true" hidden="false" outlineLevel="0" max="16" min="16" style="27" width="37.33"/>
    <col collapsed="false" customWidth="true" hidden="false" outlineLevel="0" max="17" min="17" style="28" width="15.33"/>
    <col collapsed="false" customWidth="true" hidden="false" outlineLevel="0" max="18" min="18" style="25" width="8.89"/>
    <col collapsed="false" customWidth="true" hidden="false" outlineLevel="0" max="19" min="19" style="29" width="23.45"/>
    <col collapsed="false" customWidth="true" hidden="false" outlineLevel="0" max="20" min="20" style="27" width="22.67"/>
    <col collapsed="false" customWidth="true" hidden="false" outlineLevel="0" max="21" min="21" style="27" width="36.89"/>
    <col collapsed="false" customWidth="true" hidden="false" outlineLevel="0" max="22" min="22" style="2" width="19.78"/>
    <col collapsed="false" customWidth="true" hidden="false" outlineLevel="0" max="25" min="23" style="25" width="8.89"/>
    <col collapsed="false" customWidth="true" hidden="false" outlineLevel="0" max="26" min="26" style="26" width="16.11"/>
    <col collapsed="false" customWidth="true" hidden="false" outlineLevel="0" max="27" min="27" style="27" width="22.67"/>
    <col collapsed="false" customWidth="true" hidden="false" outlineLevel="0" max="28" min="28" style="27" width="34.22"/>
    <col collapsed="false" customWidth="true" hidden="false" outlineLevel="0" max="29" min="29" style="28" width="15.33"/>
    <col collapsed="false" customWidth="true" hidden="false" outlineLevel="0" max="30" min="30" style="25" width="8.89"/>
    <col collapsed="false" customWidth="true" hidden="false" outlineLevel="0" max="31" min="31" style="25" width="19.78"/>
    <col collapsed="false" customWidth="true" hidden="false" outlineLevel="0" max="32" min="32" style="25" width="23.45"/>
    <col collapsed="false" customWidth="true" hidden="false" outlineLevel="0" max="33" min="33" style="26" width="23.45"/>
    <col collapsed="false" customWidth="true" hidden="false" outlineLevel="0" max="34" min="34" style="27" width="23"/>
    <col collapsed="false" customWidth="true" hidden="false" outlineLevel="0" max="35" min="35" style="28" width="15"/>
    <col collapsed="false" customWidth="true" hidden="false" outlineLevel="0" max="36" min="36" style="25" width="8.89"/>
    <col collapsed="false" customWidth="true" hidden="false" outlineLevel="0" max="37" min="37" style="30" width="8.89"/>
    <col collapsed="false" customWidth="true" hidden="false" outlineLevel="0" max="39" min="39" style="31" width="16.33"/>
    <col collapsed="false" customWidth="true" hidden="false" outlineLevel="0" max="41" min="40" style="4" width="23.78"/>
    <col collapsed="false" customWidth="true" hidden="false" outlineLevel="0" max="42" min="42" style="4" width="16.22"/>
    <col collapsed="false" customWidth="true" hidden="false" outlineLevel="0" max="43" min="43" style="4" width="20.67"/>
    <col collapsed="false" customWidth="true" hidden="false" outlineLevel="0" max="45" min="44" style="4" width="8.89"/>
  </cols>
  <sheetData>
    <row r="1" customFormat="false" ht="27" hidden="false" customHeight="true" outlineLevel="0" collapsed="false">
      <c r="A1" s="0" t="s">
        <v>8</v>
      </c>
      <c r="B1" s="1" t="s">
        <v>109</v>
      </c>
      <c r="C1" s="1" t="s">
        <v>13</v>
      </c>
      <c r="D1" s="2" t="s">
        <v>14</v>
      </c>
      <c r="E1" s="32" t="s">
        <v>110</v>
      </c>
      <c r="F1" s="1" t="s">
        <v>111</v>
      </c>
      <c r="G1" s="33" t="s">
        <v>112</v>
      </c>
      <c r="H1" s="19" t="s">
        <v>123</v>
      </c>
      <c r="I1" s="18" t="s">
        <v>120</v>
      </c>
      <c r="J1" s="34" t="s">
        <v>132</v>
      </c>
      <c r="K1" s="19" t="s">
        <v>133</v>
      </c>
      <c r="L1" s="34" t="s">
        <v>134</v>
      </c>
      <c r="M1" s="4" t="s">
        <v>115</v>
      </c>
      <c r="N1" s="26" t="s">
        <v>135</v>
      </c>
      <c r="O1" s="35" t="s">
        <v>136</v>
      </c>
      <c r="P1" s="35" t="s">
        <v>137</v>
      </c>
      <c r="Q1" s="28" t="s">
        <v>18</v>
      </c>
      <c r="R1" s="25" t="s">
        <v>138</v>
      </c>
      <c r="S1" s="29" t="s">
        <v>139</v>
      </c>
      <c r="T1" s="35" t="s">
        <v>136</v>
      </c>
      <c r="U1" s="35" t="s">
        <v>137</v>
      </c>
      <c r="V1" s="34" t="s">
        <v>18</v>
      </c>
      <c r="W1" s="25" t="s">
        <v>140</v>
      </c>
      <c r="X1" s="25" t="s">
        <v>141</v>
      </c>
      <c r="Y1" s="25" t="s">
        <v>138</v>
      </c>
      <c r="Z1" s="26" t="s">
        <v>142</v>
      </c>
      <c r="AA1" s="27" t="s">
        <v>114</v>
      </c>
      <c r="AB1" s="35" t="s">
        <v>143</v>
      </c>
      <c r="AC1" s="28" t="s">
        <v>18</v>
      </c>
      <c r="AD1" s="25" t="s">
        <v>138</v>
      </c>
      <c r="AE1" s="36" t="s">
        <v>144</v>
      </c>
      <c r="AF1" s="36" t="s">
        <v>145</v>
      </c>
      <c r="AG1" s="37" t="s">
        <v>146</v>
      </c>
      <c r="AH1" s="27" t="s">
        <v>114</v>
      </c>
      <c r="AI1" s="28" t="s">
        <v>18</v>
      </c>
      <c r="AJ1" s="25" t="s">
        <v>138</v>
      </c>
      <c r="AK1" s="30" t="s">
        <v>147</v>
      </c>
      <c r="AM1" s="38" t="s">
        <v>148</v>
      </c>
      <c r="AN1" s="4" t="s">
        <v>135</v>
      </c>
      <c r="AO1" s="4" t="s">
        <v>139</v>
      </c>
      <c r="AP1" s="4" t="s">
        <v>142</v>
      </c>
      <c r="AQ1" s="36" t="s">
        <v>144</v>
      </c>
    </row>
    <row r="2" customFormat="false" ht="14.25" hidden="false" customHeight="false" outlineLevel="0" collapsed="false">
      <c r="A2" s="0" t="s">
        <v>22</v>
      </c>
      <c r="B2" s="1" t="n">
        <v>20</v>
      </c>
      <c r="C2" s="1" t="n">
        <v>2</v>
      </c>
      <c r="D2" s="2" t="n">
        <v>126</v>
      </c>
      <c r="E2" s="4" t="n">
        <v>4.12034052390144</v>
      </c>
      <c r="F2" s="1" t="n">
        <v>25</v>
      </c>
      <c r="G2" s="1" t="n">
        <v>39</v>
      </c>
      <c r="H2" s="3" t="n">
        <v>57.3617765856203</v>
      </c>
      <c r="I2" s="1" t="n">
        <v>201</v>
      </c>
      <c r="J2" s="2" t="n">
        <v>162</v>
      </c>
      <c r="K2" s="3" t="n">
        <v>104</v>
      </c>
      <c r="L2" s="2" t="n">
        <v>136.5</v>
      </c>
      <c r="M2" s="4" t="n">
        <v>0.16</v>
      </c>
      <c r="N2" s="26" t="n">
        <v>0.125734068964105</v>
      </c>
      <c r="O2" s="27" t="n">
        <v>231.811004938734</v>
      </c>
      <c r="P2" s="27" t="n">
        <v>90.1359745417982</v>
      </c>
      <c r="Q2" s="28" t="n">
        <v>0.0607235456892252</v>
      </c>
      <c r="R2" s="25" t="n">
        <v>0.785837931025657</v>
      </c>
      <c r="S2" s="29" t="n">
        <v>0.0861593825131977</v>
      </c>
      <c r="T2" s="27" t="n">
        <v>231.811004938734</v>
      </c>
      <c r="U2" s="27" t="n">
        <v>216</v>
      </c>
      <c r="V2" s="12" t="n">
        <v>0.0212996879663546</v>
      </c>
      <c r="W2" s="25" t="n">
        <f aca="false">(I2-H2)/(J2-H2)</f>
        <v>1.37271274996284</v>
      </c>
      <c r="X2" s="25" t="n">
        <f aca="false">0.5*(1+(I2-K2-L2)/(I2-K2))</f>
        <v>0.29639175257732</v>
      </c>
      <c r="Y2" s="25" t="n">
        <v>0.538496140707486</v>
      </c>
      <c r="Z2" s="26" t="n">
        <v>0.125291652504146</v>
      </c>
      <c r="AA2" s="27" t="n">
        <v>231.811004938734</v>
      </c>
      <c r="AB2" s="27" t="n">
        <v>90.1359745417982</v>
      </c>
      <c r="AC2" s="28" t="n">
        <v>0.0607235456892252</v>
      </c>
      <c r="AD2" s="25" t="n">
        <v>0.783072828150915</v>
      </c>
      <c r="AE2" s="4" t="n">
        <v>0.262467786905328</v>
      </c>
      <c r="AF2" s="25" t="n">
        <v>0.157379678407401</v>
      </c>
      <c r="AG2" s="26" t="n">
        <f aca="false">SMALL(AE2:AF2,1)</f>
        <v>0.157379678407401</v>
      </c>
      <c r="AH2" s="27" t="n">
        <v>246.562213228083</v>
      </c>
      <c r="AI2" s="28" t="n">
        <v>0.0157</v>
      </c>
      <c r="AJ2" s="25" t="n">
        <v>0.983622990046259</v>
      </c>
      <c r="AK2" s="29" t="n">
        <v>0.162051618244415</v>
      </c>
      <c r="AN2" s="4" t="n">
        <f aca="false">(N2-$N$344)/$N$345</f>
        <v>-1.05408003885751</v>
      </c>
      <c r="AO2" s="4" t="n">
        <f aca="false">(S2-$S$344)/$S$345</f>
        <v>-1.55226793037052</v>
      </c>
      <c r="AP2" s="4" t="n">
        <f aca="false">(Z2-$Z$344)/$Z$345</f>
        <v>-1.33117228772099</v>
      </c>
      <c r="AQ2" s="4" t="n">
        <f aca="false">(AE2-$AE$344)/$AE$345</f>
        <v>-0.0894281921792114</v>
      </c>
    </row>
    <row r="3" customFormat="false" ht="14.25" hidden="false" customHeight="false" outlineLevel="0" collapsed="false">
      <c r="B3" s="1" t="n">
        <v>20</v>
      </c>
      <c r="C3" s="1" t="n">
        <v>2</v>
      </c>
      <c r="D3" s="2" t="n">
        <v>126</v>
      </c>
      <c r="E3" s="4" t="n">
        <v>4.12034052390144</v>
      </c>
      <c r="F3" s="1" t="n">
        <v>25</v>
      </c>
      <c r="G3" s="1" t="n">
        <v>39</v>
      </c>
      <c r="H3" s="3" t="n">
        <v>57.3617765856203</v>
      </c>
      <c r="I3" s="1" t="n">
        <v>201</v>
      </c>
      <c r="J3" s="39" t="n">
        <v>162</v>
      </c>
      <c r="K3" s="3" t="n">
        <v>104</v>
      </c>
      <c r="L3" s="2" t="n">
        <v>136.5</v>
      </c>
      <c r="M3" s="4" t="n">
        <v>0.23</v>
      </c>
      <c r="N3" s="26" t="n">
        <v>0.176982162918118</v>
      </c>
      <c r="O3" s="27" t="n">
        <v>304.251943982088</v>
      </c>
      <c r="P3" s="27" t="n">
        <v>90.1359745417982</v>
      </c>
      <c r="Q3" s="28" t="n">
        <v>0.0607235456892252</v>
      </c>
      <c r="R3" s="25" t="n">
        <v>0.769487664861383</v>
      </c>
      <c r="S3" s="29" t="n">
        <v>0.147126541852635</v>
      </c>
      <c r="T3" s="27" t="n">
        <v>304.251943982088</v>
      </c>
      <c r="U3" s="27" t="n">
        <v>216</v>
      </c>
      <c r="V3" s="28" t="n">
        <v>0.0212996879663546</v>
      </c>
      <c r="W3" s="25" t="n">
        <f aca="false">(I3-H3)/(J3-H3)</f>
        <v>1.37271274996284</v>
      </c>
      <c r="X3" s="25" t="n">
        <f aca="false">0.5*(1+(I3-K3-L3)/(I3-K3))</f>
        <v>0.29639175257732</v>
      </c>
      <c r="Y3" s="25" t="n">
        <v>0.639680616750585</v>
      </c>
      <c r="Z3" s="26" t="n">
        <v>0.176359421423795</v>
      </c>
      <c r="AA3" s="27" t="n">
        <v>304.251943982088</v>
      </c>
      <c r="AB3" s="27" t="n">
        <v>90.1359745417982</v>
      </c>
      <c r="AC3" s="28" t="n">
        <v>0.0607235456892252</v>
      </c>
      <c r="AD3" s="25" t="n">
        <v>0.766780093146934</v>
      </c>
      <c r="AE3" s="4" t="n">
        <v>0.344488970313243</v>
      </c>
      <c r="AF3" s="25" t="n">
        <v>0.2711110866315</v>
      </c>
      <c r="AG3" s="26" t="n">
        <f aca="false">SMALL(AE3:AF3,1)</f>
        <v>0.2711110866315</v>
      </c>
      <c r="AH3" s="27" t="n">
        <v>323.612904861859</v>
      </c>
      <c r="AI3" s="28" t="n">
        <v>0.0157</v>
      </c>
      <c r="AJ3" s="25" t="n">
        <v>1.17874385491957</v>
      </c>
      <c r="AK3" s="29" t="n">
        <v>0.240948247559995</v>
      </c>
      <c r="AN3" s="4" t="n">
        <f aca="false">(N3-$N$344)/$N$345</f>
        <v>-0.451180789987636</v>
      </c>
      <c r="AO3" s="4" t="n">
        <f aca="false">(S3-$S$344)/$S$345</f>
        <v>-0.816884876603245</v>
      </c>
      <c r="AP3" s="4" t="n">
        <f aca="false">(Z3-$Z$344)/$Z$345</f>
        <v>-0.637523027306417</v>
      </c>
      <c r="AQ3" s="4" t="n">
        <f aca="false">(AE3-$AE$344)/$AE$345</f>
        <v>0.944191848447818</v>
      </c>
    </row>
    <row r="4" customFormat="false" ht="14.25" hidden="false" customHeight="false" outlineLevel="0" collapsed="false">
      <c r="B4" s="1" t="n">
        <v>20</v>
      </c>
      <c r="C4" s="1" t="n">
        <v>2</v>
      </c>
      <c r="D4" s="2" t="n">
        <v>126</v>
      </c>
      <c r="E4" s="4" t="n">
        <v>4.12034052390144</v>
      </c>
      <c r="F4" s="1" t="n">
        <v>25</v>
      </c>
      <c r="G4" s="1" t="n">
        <v>39</v>
      </c>
      <c r="H4" s="3" t="n">
        <v>57.3617765856203</v>
      </c>
      <c r="I4" s="1" t="n">
        <v>201</v>
      </c>
      <c r="J4" s="39" t="n">
        <v>162</v>
      </c>
      <c r="K4" s="3" t="n">
        <v>104</v>
      </c>
      <c r="L4" s="2" t="n">
        <v>136.5</v>
      </c>
      <c r="M4" s="4" t="n">
        <v>0.24</v>
      </c>
      <c r="N4" s="26" t="n">
        <v>0.184078052850212</v>
      </c>
      <c r="O4" s="27" t="n">
        <v>314.282227849629</v>
      </c>
      <c r="P4" s="27" t="n">
        <v>90.1359745417982</v>
      </c>
      <c r="Q4" s="28" t="n">
        <v>0.0607235456892252</v>
      </c>
      <c r="R4" s="25" t="n">
        <v>0.766991886875884</v>
      </c>
      <c r="S4" s="29" t="n">
        <v>0.155568148530403</v>
      </c>
      <c r="T4" s="27" t="n">
        <v>314.282227849629</v>
      </c>
      <c r="U4" s="27" t="n">
        <v>216</v>
      </c>
      <c r="V4" s="28" t="n">
        <v>0.0212996879663546</v>
      </c>
      <c r="W4" s="25" t="n">
        <f aca="false">(I4-H4)/(J4-H4)</f>
        <v>1.37271274996284</v>
      </c>
      <c r="X4" s="25" t="n">
        <f aca="false">0.5*(1+(I4-K4-L4)/(I4-K4))</f>
        <v>0.29639175257732</v>
      </c>
      <c r="Y4" s="25" t="n">
        <v>0.648200618876678</v>
      </c>
      <c r="Z4" s="26" t="n">
        <v>0.183430343274208</v>
      </c>
      <c r="AA4" s="27" t="n">
        <v>314.282227849629</v>
      </c>
      <c r="AB4" s="27" t="n">
        <v>90.1359745417982</v>
      </c>
      <c r="AC4" s="28" t="n">
        <v>0.0607235456892252</v>
      </c>
      <c r="AD4" s="25" t="n">
        <v>0.764293096975865</v>
      </c>
      <c r="AE4" s="4" t="n">
        <v>0.355845749554339</v>
      </c>
      <c r="AF4" s="25" t="n">
        <v>0.289281193270853</v>
      </c>
      <c r="AG4" s="26" t="n">
        <f aca="false">SMALL(AE4:AF4,1)</f>
        <v>0.289281193270853</v>
      </c>
      <c r="AH4" s="27" t="n">
        <v>334.281462164997</v>
      </c>
      <c r="AI4" s="28" t="n">
        <v>0.0157</v>
      </c>
      <c r="AJ4" s="25" t="n">
        <v>1.20533830529522</v>
      </c>
      <c r="AK4" s="29" t="n">
        <v>0.251872396234459</v>
      </c>
      <c r="AN4" s="4" t="n">
        <f aca="false">(N4-$N$344)/$N$345</f>
        <v>-0.367702432451807</v>
      </c>
      <c r="AO4" s="4" t="n">
        <f aca="false">(S4-$S$344)/$S$345</f>
        <v>-0.715062607620085</v>
      </c>
      <c r="AP4" s="4" t="n">
        <f aca="false">(Z4-$Z$344)/$Z$345</f>
        <v>-0.541479283556707</v>
      </c>
      <c r="AQ4" s="4" t="n">
        <f aca="false">(AE4-$AE$344)/$AE$345</f>
        <v>1.08730846945771</v>
      </c>
    </row>
    <row r="5" customFormat="false" ht="14.25" hidden="false" customHeight="false" outlineLevel="0" collapsed="false">
      <c r="B5" s="1" t="n">
        <v>20</v>
      </c>
      <c r="C5" s="1" t="n">
        <v>2</v>
      </c>
      <c r="D5" s="2" t="n">
        <v>126</v>
      </c>
      <c r="E5" s="4" t="n">
        <v>4.12034052390144</v>
      </c>
      <c r="F5" s="1" t="n">
        <v>25</v>
      </c>
      <c r="G5" s="1" t="n">
        <v>39</v>
      </c>
      <c r="H5" s="3" t="n">
        <v>57.3617765856203</v>
      </c>
      <c r="I5" s="1" t="n">
        <v>201</v>
      </c>
      <c r="J5" s="39" t="n">
        <v>162</v>
      </c>
      <c r="K5" s="3" t="n">
        <v>104</v>
      </c>
      <c r="L5" s="2" t="n">
        <v>136.5</v>
      </c>
      <c r="M5" s="4" t="n">
        <v>0.27</v>
      </c>
      <c r="N5" s="26" t="n">
        <v>0.218769070296006</v>
      </c>
      <c r="O5" s="27" t="n">
        <v>363.319171202054</v>
      </c>
      <c r="P5" s="27" t="n">
        <v>90.1359745417982</v>
      </c>
      <c r="Q5" s="28" t="n">
        <v>0.0607235456892252</v>
      </c>
      <c r="R5" s="25" t="n">
        <v>0.810255815911132</v>
      </c>
      <c r="S5" s="29" t="n">
        <v>0.196838225621714</v>
      </c>
      <c r="T5" s="27" t="n">
        <v>363.319171202054</v>
      </c>
      <c r="U5" s="27" t="n">
        <v>216</v>
      </c>
      <c r="V5" s="28" t="n">
        <v>0.0212996879663546</v>
      </c>
      <c r="W5" s="25" t="n">
        <f aca="false">(I5-H5)/(J5-H5)</f>
        <v>1.37271274996284</v>
      </c>
      <c r="X5" s="25" t="n">
        <f aca="false">0.5*(1+(I5-K5-L5)/(I5-K5))</f>
        <v>0.29639175257732</v>
      </c>
      <c r="Y5" s="25" t="n">
        <v>0.729030465265607</v>
      </c>
      <c r="Z5" s="26" t="n">
        <v>0.217999294542893</v>
      </c>
      <c r="AA5" s="27" t="n">
        <v>363.319171202054</v>
      </c>
      <c r="AB5" s="27" t="n">
        <v>90.1359745417982</v>
      </c>
      <c r="AC5" s="28" t="n">
        <v>0.0607235456892252</v>
      </c>
      <c r="AD5" s="25" t="n">
        <v>0.807404794603306</v>
      </c>
      <c r="AE5" s="4" t="n">
        <v>0.411367781399697</v>
      </c>
      <c r="AF5" s="25" t="n">
        <v>0.386595846487264</v>
      </c>
      <c r="AG5" s="26" t="n">
        <f aca="false">SMALL(AE5:AF5,1)</f>
        <v>0.386595846487264</v>
      </c>
      <c r="AH5" s="27" t="n">
        <v>386.438853424784</v>
      </c>
      <c r="AI5" s="28" t="n">
        <v>0.0157</v>
      </c>
      <c r="AJ5" s="25" t="n">
        <v>1.43183646847135</v>
      </c>
      <c r="AK5" s="29" t="n">
        <v>0.305279345309621</v>
      </c>
      <c r="AN5" s="4" t="n">
        <f aca="false">(N5-$N$344)/$N$345</f>
        <v>0.0404139821678009</v>
      </c>
      <c r="AO5" s="4" t="n">
        <f aca="false">(S5-$S$344)/$S$345</f>
        <v>-0.217264848146855</v>
      </c>
      <c r="AP5" s="4" t="n">
        <f aca="false">(Z5-$Z$344)/$Z$345</f>
        <v>-0.0719320918914592</v>
      </c>
      <c r="AQ5" s="4" t="n">
        <f aca="false">(AE5-$AE$344)/$AE$345</f>
        <v>1.78698972772832</v>
      </c>
    </row>
    <row r="6" customFormat="false" ht="14.25" hidden="false" customHeight="false" outlineLevel="0" collapsed="false">
      <c r="B6" s="1" t="n">
        <v>20</v>
      </c>
      <c r="C6" s="1" t="n">
        <v>2</v>
      </c>
      <c r="D6" s="2" t="n">
        <v>126</v>
      </c>
      <c r="E6" s="4" t="n">
        <v>4.12034052390144</v>
      </c>
      <c r="F6" s="1" t="n">
        <v>25</v>
      </c>
      <c r="G6" s="1" t="n">
        <v>39</v>
      </c>
      <c r="H6" s="3" t="n">
        <v>57.3617765856203</v>
      </c>
      <c r="I6" s="1" t="n">
        <v>201</v>
      </c>
      <c r="J6" s="39" t="n">
        <v>162</v>
      </c>
      <c r="K6" s="3" t="n">
        <v>104</v>
      </c>
      <c r="L6" s="2" t="n">
        <v>136.5</v>
      </c>
      <c r="M6" s="4" t="n">
        <v>0.35</v>
      </c>
      <c r="N6" s="26" t="n">
        <v>0.286574240758238</v>
      </c>
      <c r="O6" s="27" t="n">
        <v>459.164105936338</v>
      </c>
      <c r="P6" s="27" t="n">
        <v>90.1359745417982</v>
      </c>
      <c r="Q6" s="28" t="n">
        <v>0.0607235456892252</v>
      </c>
      <c r="R6" s="25" t="n">
        <v>0.818783545023538</v>
      </c>
      <c r="S6" s="29" t="n">
        <v>0.277502467209276</v>
      </c>
      <c r="T6" s="27" t="n">
        <v>459.164105936338</v>
      </c>
      <c r="U6" s="27" t="n">
        <v>216</v>
      </c>
      <c r="V6" s="28" t="n">
        <v>0.0212996879663546</v>
      </c>
      <c r="W6" s="25" t="n">
        <f aca="false">(I6-H6)/(J6-H6)</f>
        <v>1.37271274996284</v>
      </c>
      <c r="X6" s="25" t="n">
        <f aca="false">0.5*(1+(I6-K6-L6)/(I6-K6))</f>
        <v>0.29639175257732</v>
      </c>
      <c r="Y6" s="25" t="n">
        <v>0.792864192026504</v>
      </c>
      <c r="Z6" s="26" t="n">
        <v>0.285565881113504</v>
      </c>
      <c r="AA6" s="27" t="n">
        <v>459.164105936338</v>
      </c>
      <c r="AB6" s="27" t="n">
        <v>90.1359745417982</v>
      </c>
      <c r="AC6" s="28" t="n">
        <v>0.0607235456892252</v>
      </c>
      <c r="AD6" s="25" t="n">
        <v>0.815902517467155</v>
      </c>
      <c r="AE6" s="4" t="n">
        <v>0.519888116370169</v>
      </c>
      <c r="AF6" s="25" t="n">
        <v>0.617470787065134</v>
      </c>
      <c r="AG6" s="26" t="n">
        <f aca="false">SMALL(AE6:AF6,1)</f>
        <v>0.519888116370169</v>
      </c>
      <c r="AH6" s="27" t="n">
        <v>488.382845432549</v>
      </c>
      <c r="AI6" s="28" t="n">
        <v>0.0157</v>
      </c>
      <c r="AJ6" s="25" t="n">
        <v>1.48539461820048</v>
      </c>
      <c r="AK6" s="29" t="n">
        <v>0.409665654865618</v>
      </c>
      <c r="AN6" s="4" t="n">
        <f aca="false">(N6-$N$344)/$N$345</f>
        <v>0.838096065287943</v>
      </c>
      <c r="AO6" s="4" t="n">
        <f aca="false">(S6-$S$344)/$S$345</f>
        <v>0.755703499914456</v>
      </c>
      <c r="AP6" s="4" t="n">
        <f aca="false">(Z6-$Z$344)/$Z$345</f>
        <v>0.845819237272434</v>
      </c>
      <c r="AQ6" s="4" t="n">
        <f aca="false">(AE6-$AE$344)/$AE$345</f>
        <v>3.15454855071177</v>
      </c>
    </row>
    <row r="7" customFormat="false" ht="14.25" hidden="false" customHeight="false" outlineLevel="0" collapsed="false">
      <c r="B7" s="1" t="n">
        <v>20</v>
      </c>
      <c r="C7" s="1" t="n">
        <v>2</v>
      </c>
      <c r="D7" s="2" t="n">
        <v>126</v>
      </c>
      <c r="E7" s="4" t="n">
        <v>4.12034052390144</v>
      </c>
      <c r="F7" s="1" t="n">
        <v>25</v>
      </c>
      <c r="G7" s="1" t="n">
        <v>39</v>
      </c>
      <c r="H7" s="3" t="n">
        <v>57.3617765856203</v>
      </c>
      <c r="I7" s="1" t="n">
        <v>201</v>
      </c>
      <c r="J7" s="39" t="n">
        <v>162</v>
      </c>
      <c r="K7" s="3" t="n">
        <v>104</v>
      </c>
      <c r="L7" s="2" t="n">
        <v>136.5</v>
      </c>
      <c r="M7" s="4" t="n">
        <v>0.4</v>
      </c>
      <c r="N7" s="26" t="n">
        <v>0.315463454002951</v>
      </c>
      <c r="O7" s="27" t="n">
        <v>500</v>
      </c>
      <c r="P7" s="27" t="n">
        <v>90.1359745417982</v>
      </c>
      <c r="Q7" s="28" t="n">
        <v>0.0607235456892252</v>
      </c>
      <c r="R7" s="25" t="n">
        <v>0.788658635007377</v>
      </c>
      <c r="S7" s="29" t="n">
        <v>0.311870443287798</v>
      </c>
      <c r="T7" s="27" t="n">
        <v>500</v>
      </c>
      <c r="U7" s="27" t="n">
        <v>216</v>
      </c>
      <c r="V7" s="28" t="n">
        <v>0.0212996879663546</v>
      </c>
      <c r="W7" s="25" t="n">
        <f aca="false">(I7-H7)/(J7-H7)</f>
        <v>1.37271274996284</v>
      </c>
      <c r="X7" s="25" t="n">
        <f aca="false">0.5*(1+(I7-K7-L7)/(I7-K7))</f>
        <v>0.29639175257732</v>
      </c>
      <c r="Y7" s="25" t="n">
        <v>0.779676108219496</v>
      </c>
      <c r="Z7" s="26" t="n">
        <v>0.314353442804585</v>
      </c>
      <c r="AA7" s="27" t="n">
        <v>500</v>
      </c>
      <c r="AB7" s="27" t="n">
        <v>90.1359745417982</v>
      </c>
      <c r="AC7" s="28" t="n">
        <v>0.0607235456892252</v>
      </c>
      <c r="AD7" s="25" t="n">
        <v>0.785883607011461</v>
      </c>
      <c r="AE7" s="4" t="n">
        <v>0.53225468628993</v>
      </c>
      <c r="AF7" s="25" t="n">
        <v>0.64719569928693</v>
      </c>
      <c r="AG7" s="26" t="n">
        <f aca="false">SMALL(AE7:AF7,1)</f>
        <v>0.53225468628993</v>
      </c>
      <c r="AH7" s="27" t="n">
        <v>500</v>
      </c>
      <c r="AI7" s="28" t="n">
        <v>0.0157</v>
      </c>
      <c r="AJ7" s="25" t="n">
        <v>1.33063671572482</v>
      </c>
      <c r="AK7" s="29" t="n">
        <v>0.446749012714816</v>
      </c>
      <c r="AN7" s="4" t="n">
        <f aca="false">(N7-$N$344)/$N$345</f>
        <v>1.17795816789235</v>
      </c>
      <c r="AO7" s="4" t="n">
        <f aca="false">(S7-$S$344)/$S$345</f>
        <v>1.1702484364714</v>
      </c>
      <c r="AP7" s="4" t="n">
        <f aca="false">(Z7-$Z$344)/$Z$345</f>
        <v>1.23683829486188</v>
      </c>
      <c r="AQ7" s="4" t="n">
        <f aca="false">(AE7-$AE$344)/$AE$345</f>
        <v>3.3103904195045</v>
      </c>
    </row>
    <row r="8" customFormat="false" ht="14.25" hidden="false" customHeight="false" outlineLevel="0" collapsed="false">
      <c r="A8" s="0" t="s">
        <v>23</v>
      </c>
      <c r="B8" s="1" t="n">
        <v>10</v>
      </c>
      <c r="C8" s="1" t="n">
        <v>8</v>
      </c>
      <c r="D8" s="2" t="n">
        <v>87.7</v>
      </c>
      <c r="E8" s="4" t="n">
        <v>4.13112676332901</v>
      </c>
      <c r="F8" s="1" t="n">
        <v>25</v>
      </c>
      <c r="G8" s="1" t="n">
        <v>53</v>
      </c>
      <c r="H8" s="3" t="n">
        <v>99.6964003818006</v>
      </c>
      <c r="I8" s="1" t="n">
        <v>604</v>
      </c>
      <c r="J8" s="39" t="n">
        <v>551</v>
      </c>
      <c r="K8" s="27" t="n">
        <v>306</v>
      </c>
      <c r="L8" s="39" t="n">
        <v>141</v>
      </c>
      <c r="M8" s="4" t="n">
        <v>0.16</v>
      </c>
      <c r="N8" s="26" t="n">
        <v>0.17110696370813</v>
      </c>
      <c r="O8" s="27" t="n">
        <v>322.919715637812</v>
      </c>
      <c r="P8" s="27" t="n">
        <v>290.768494381616</v>
      </c>
      <c r="Q8" s="28" t="n">
        <v>0.015388385199706</v>
      </c>
      <c r="R8" s="25" t="n">
        <v>1.06941852317581</v>
      </c>
      <c r="S8" s="29" t="n">
        <v>0.135806726806593</v>
      </c>
      <c r="T8" s="27" t="n">
        <v>322.919715637812</v>
      </c>
      <c r="U8" s="27" t="n">
        <v>308</v>
      </c>
      <c r="V8" s="28" t="n">
        <v>0.0144607165883762</v>
      </c>
      <c r="W8" s="25" t="n">
        <f aca="false">(I8-H8)/(J8-H8)</f>
        <v>1.11743757427337</v>
      </c>
      <c r="X8" s="25" t="n">
        <f aca="false">0.5*(1+(I8-K8-L8)/(I8-K8))</f>
        <v>0.763422818791946</v>
      </c>
      <c r="Y8" s="25" t="n">
        <v>0.848792042541209</v>
      </c>
      <c r="Z8" s="26" t="n">
        <v>0.189366188849765</v>
      </c>
      <c r="AA8" s="27" t="n">
        <v>322.919715637812</v>
      </c>
      <c r="AB8" s="27" t="n">
        <v>290.768494381616</v>
      </c>
      <c r="AC8" s="28" t="n">
        <v>0.015388385199706</v>
      </c>
      <c r="AD8" s="25" t="n">
        <v>1.18353868031103</v>
      </c>
      <c r="AE8" s="4" t="n">
        <v>0.2432137981837</v>
      </c>
      <c r="AF8" s="25" t="n">
        <v>0.144849533368963</v>
      </c>
      <c r="AG8" s="26" t="n">
        <f aca="false">SMALL(AE8:AF8,1)</f>
        <v>0.144849533368963</v>
      </c>
      <c r="AH8" s="27" t="n">
        <v>334.960384958872</v>
      </c>
      <c r="AI8" s="28" t="n">
        <v>0.011</v>
      </c>
      <c r="AJ8" s="25" t="n">
        <v>0.90530958355602</v>
      </c>
      <c r="AK8" s="29" t="n">
        <v>0.139464715415351</v>
      </c>
      <c r="AN8" s="4" t="n">
        <f aca="false">(N8-$N$344)/$N$345</f>
        <v>-0.520298544763872</v>
      </c>
      <c r="AO8" s="4" t="n">
        <f aca="false">(S8-$S$344)/$S$345</f>
        <v>-0.95342396169153</v>
      </c>
      <c r="AP8" s="4" t="n">
        <f aca="false">(Z8-$Z$344)/$Z$345</f>
        <v>-0.460853186499303</v>
      </c>
      <c r="AQ8" s="4" t="n">
        <f aca="false">(AE8-$AE$344)/$AE$345</f>
        <v>-0.332064396362058</v>
      </c>
    </row>
    <row r="9" customFormat="false" ht="14.25" hidden="false" customHeight="false" outlineLevel="0" collapsed="false">
      <c r="B9" s="1" t="n">
        <v>10</v>
      </c>
      <c r="C9" s="1" t="n">
        <v>8</v>
      </c>
      <c r="D9" s="2" t="n">
        <v>87.7</v>
      </c>
      <c r="E9" s="4" t="n">
        <v>4.13112676332901</v>
      </c>
      <c r="F9" s="1" t="n">
        <v>25</v>
      </c>
      <c r="G9" s="1" t="n">
        <v>53</v>
      </c>
      <c r="H9" s="3" t="n">
        <v>99.6964003818006</v>
      </c>
      <c r="I9" s="1" t="n">
        <v>604</v>
      </c>
      <c r="J9" s="39" t="n">
        <v>551</v>
      </c>
      <c r="K9" s="27" t="n">
        <v>306</v>
      </c>
      <c r="L9" s="39" t="n">
        <v>141</v>
      </c>
      <c r="M9" s="4" t="n">
        <v>0.18</v>
      </c>
      <c r="N9" s="26" t="n">
        <v>0.22285815917348</v>
      </c>
      <c r="O9" s="27" t="n">
        <v>367.820933240784</v>
      </c>
      <c r="P9" s="27" t="n">
        <v>290.768494381616</v>
      </c>
      <c r="Q9" s="28" t="n">
        <v>0.015388385199706</v>
      </c>
      <c r="R9" s="25" t="n">
        <v>1.23810088429711</v>
      </c>
      <c r="S9" s="29" t="n">
        <v>0.179954155396124</v>
      </c>
      <c r="T9" s="27" t="n">
        <v>367.820933240784</v>
      </c>
      <c r="U9" s="27" t="n">
        <v>308</v>
      </c>
      <c r="V9" s="28" t="n">
        <v>0.0144607165883762</v>
      </c>
      <c r="W9" s="25" t="n">
        <f aca="false">(I9-H9)/(J9-H9)</f>
        <v>1.11743757427337</v>
      </c>
      <c r="X9" s="25" t="n">
        <f aca="false">0.5*(1+(I9-K9-L9)/(I9-K9))</f>
        <v>0.763422818791946</v>
      </c>
      <c r="Y9" s="25" t="n">
        <v>0.999745307756244</v>
      </c>
      <c r="Z9" s="26" t="n">
        <v>0.215697106537447</v>
      </c>
      <c r="AA9" s="27" t="n">
        <v>367.820933240784</v>
      </c>
      <c r="AB9" s="27" t="n">
        <v>290.768494381616</v>
      </c>
      <c r="AC9" s="28" t="n">
        <v>0.015388385199706</v>
      </c>
      <c r="AD9" s="25" t="n">
        <v>1.19831725854137</v>
      </c>
      <c r="AE9" s="4" t="n">
        <v>0.277032097740672</v>
      </c>
      <c r="AF9" s="25" t="n">
        <v>0.187932054533786</v>
      </c>
      <c r="AG9" s="26" t="n">
        <f aca="false">SMALL(AE9:AF9,1)</f>
        <v>0.187932054533786</v>
      </c>
      <c r="AH9" s="27" t="n">
        <v>381.535828962677</v>
      </c>
      <c r="AI9" s="28" t="n">
        <v>0.011</v>
      </c>
      <c r="AJ9" s="25" t="n">
        <v>1.04406696963214</v>
      </c>
      <c r="AK9" s="29" t="n">
        <v>0.204082019655829</v>
      </c>
      <c r="AN9" s="4" t="n">
        <f aca="false">(N9-$N$344)/$N$345</f>
        <v>0.0885193539500862</v>
      </c>
      <c r="AO9" s="4" t="n">
        <f aca="false">(S9-$S$344)/$S$345</f>
        <v>-0.420919721640097</v>
      </c>
      <c r="AP9" s="4" t="n">
        <f aca="false">(Z9-$Z$344)/$Z$345</f>
        <v>-0.103202520208495</v>
      </c>
      <c r="AQ9" s="4" t="n">
        <f aca="false">(AE9-$AE$344)/$AE$345</f>
        <v>0.0941093152286589</v>
      </c>
    </row>
    <row r="10" customFormat="false" ht="14.25" hidden="false" customHeight="false" outlineLevel="0" collapsed="false">
      <c r="B10" s="1" t="n">
        <v>10</v>
      </c>
      <c r="C10" s="1" t="n">
        <v>8</v>
      </c>
      <c r="D10" s="2" t="n">
        <v>87.7</v>
      </c>
      <c r="E10" s="4" t="n">
        <v>4.13112676332901</v>
      </c>
      <c r="F10" s="1" t="n">
        <v>25</v>
      </c>
      <c r="G10" s="1" t="n">
        <v>53</v>
      </c>
      <c r="H10" s="3" t="n">
        <v>99.6964003818006</v>
      </c>
      <c r="I10" s="1" t="n">
        <v>604</v>
      </c>
      <c r="J10" s="39" t="n">
        <v>551</v>
      </c>
      <c r="K10" s="27" t="n">
        <v>306</v>
      </c>
      <c r="L10" s="39" t="n">
        <v>141</v>
      </c>
      <c r="M10" s="4" t="n">
        <v>0.26</v>
      </c>
      <c r="N10" s="26" t="n">
        <v>0.375202017212444</v>
      </c>
      <c r="O10" s="27" t="n">
        <v>500</v>
      </c>
      <c r="P10" s="27" t="n">
        <v>290.768494381616</v>
      </c>
      <c r="Q10" s="28" t="n">
        <v>0.015388385199706</v>
      </c>
      <c r="R10" s="25" t="n">
        <v>1.44308468158632</v>
      </c>
      <c r="S10" s="29" t="n">
        <v>0.309914237155623</v>
      </c>
      <c r="T10" s="27" t="n">
        <v>500</v>
      </c>
      <c r="U10" s="27" t="n">
        <v>308</v>
      </c>
      <c r="V10" s="28" t="n">
        <v>0.0144607165883762</v>
      </c>
      <c r="W10" s="25" t="n">
        <f aca="false">(I10-H10)/(J10-H10)</f>
        <v>1.11743757427337</v>
      </c>
      <c r="X10" s="25" t="n">
        <f aca="false">0.5*(1+(I10-K10-L10)/(I10-K10))</f>
        <v>0.763422818791946</v>
      </c>
      <c r="Y10" s="25" t="n">
        <v>1.19197783521394</v>
      </c>
      <c r="Z10" s="26" t="n">
        <v>0.318170216250936</v>
      </c>
      <c r="AA10" s="27" t="n">
        <v>500</v>
      </c>
      <c r="AB10" s="27" t="n">
        <v>290.768494381616</v>
      </c>
      <c r="AC10" s="28" t="n">
        <v>0.015388385199706</v>
      </c>
      <c r="AD10" s="25" t="n">
        <v>1.22373160096514</v>
      </c>
      <c r="AE10" s="4" t="n">
        <v>0.363048600827174</v>
      </c>
      <c r="AF10" s="25" t="n">
        <v>0.322752946041018</v>
      </c>
      <c r="AG10" s="26" t="n">
        <f aca="false">SMALL(AE10:AF10,1)</f>
        <v>0.322752946041018</v>
      </c>
      <c r="AH10" s="27" t="n">
        <v>500</v>
      </c>
      <c r="AI10" s="28" t="n">
        <v>0.011</v>
      </c>
      <c r="AJ10" s="25" t="n">
        <v>1.24135748477314</v>
      </c>
      <c r="AK10" s="29" t="n">
        <v>0.340938726014653</v>
      </c>
      <c r="AN10" s="4" t="n">
        <f aca="false">(N10-$N$344)/$N$345</f>
        <v>1.88074205913107</v>
      </c>
      <c r="AO10" s="4" t="n">
        <f aca="false">(S10-$S$344)/$S$345</f>
        <v>1.14665276865838</v>
      </c>
      <c r="AP10" s="4" t="n">
        <f aca="false">(Z10-$Z$344)/$Z$345</f>
        <v>1.28868121132838</v>
      </c>
      <c r="AQ10" s="4" t="n">
        <f aca="false">(AE10-$AE$344)/$AE$345</f>
        <v>1.1780778428796</v>
      </c>
    </row>
    <row r="11" customFormat="false" ht="14.25" hidden="false" customHeight="false" outlineLevel="0" collapsed="false">
      <c r="A11" s="0" t="s">
        <v>24</v>
      </c>
      <c r="B11" s="1" t="n">
        <v>10</v>
      </c>
      <c r="C11" s="1" t="n">
        <v>4</v>
      </c>
      <c r="D11" s="2" t="n">
        <v>32.4666666666667</v>
      </c>
      <c r="E11" s="4" t="n">
        <v>3.262</v>
      </c>
      <c r="F11" s="1" t="n">
        <v>25</v>
      </c>
      <c r="G11" s="1" t="n">
        <v>36</v>
      </c>
      <c r="H11" s="3" t="n">
        <v>95.7219268645215</v>
      </c>
      <c r="I11" s="1" t="n">
        <v>600</v>
      </c>
      <c r="J11" s="39" t="n">
        <v>564</v>
      </c>
      <c r="K11" s="27" t="n">
        <v>304</v>
      </c>
      <c r="L11" s="39" t="n">
        <v>86</v>
      </c>
      <c r="M11" s="4" t="n">
        <v>0.16</v>
      </c>
      <c r="N11" s="26" t="n">
        <v>0.160070918112908</v>
      </c>
      <c r="O11" s="27" t="n">
        <v>285.048032184717</v>
      </c>
      <c r="P11" s="27" t="n">
        <v>207.320633540607</v>
      </c>
      <c r="Q11" s="28" t="n">
        <v>0.0174444444444444</v>
      </c>
      <c r="R11" s="25" t="n">
        <v>1.00044323820567</v>
      </c>
      <c r="S11" s="29" t="n">
        <v>0.138680290254408</v>
      </c>
      <c r="T11" s="27" t="n">
        <v>285.048032184717</v>
      </c>
      <c r="U11" s="27" t="n">
        <v>199</v>
      </c>
      <c r="V11" s="28" t="n">
        <v>0.0182558139534884</v>
      </c>
      <c r="W11" s="25" t="n">
        <f aca="false">(I11-H11)/(J11-H11)</f>
        <v>1.07687739842046</v>
      </c>
      <c r="X11" s="25" t="n">
        <f aca="false">0.5*(1+(I11-K11-L11)/(I11-K11))</f>
        <v>0.85472972972973</v>
      </c>
      <c r="Y11" s="25" t="n">
        <v>0.866751814090053</v>
      </c>
      <c r="Z11" s="26" t="n">
        <v>0.148593282655709</v>
      </c>
      <c r="AA11" s="27" t="n">
        <v>285.048032184717</v>
      </c>
      <c r="AB11" s="27" t="n">
        <v>207.320633540607</v>
      </c>
      <c r="AC11" s="28" t="n">
        <v>0.0174444444444444</v>
      </c>
      <c r="AD11" s="25" t="n">
        <v>0.928708016598181</v>
      </c>
      <c r="AE11" s="4" t="n">
        <v>0.184403997894612</v>
      </c>
      <c r="AF11" s="25" t="n">
        <v>0.13403771715747</v>
      </c>
      <c r="AG11" s="26" t="n">
        <f aca="false">SMALL(AE11:AF11,1)</f>
        <v>0.13403771715747</v>
      </c>
      <c r="AH11" s="27" t="n">
        <v>293.393694026064</v>
      </c>
      <c r="AI11" s="28" t="n">
        <v>0.0123</v>
      </c>
      <c r="AJ11" s="25" t="n">
        <v>0.837735732234187</v>
      </c>
      <c r="AK11" s="29" t="n">
        <v>0.147641277546107</v>
      </c>
      <c r="AN11" s="4" t="n">
        <f aca="false">(N11-$N$344)/$N$345</f>
        <v>-0.650130175298729</v>
      </c>
      <c r="AO11" s="4" t="n">
        <f aca="false">(S11-$S$344)/$S$345</f>
        <v>-0.918763172401955</v>
      </c>
      <c r="AP11" s="4" t="n">
        <f aca="false">(Z11-$Z$344)/$Z$345</f>
        <v>-1.01466818223487</v>
      </c>
      <c r="AQ11" s="4" t="n">
        <f aca="false">(AE11-$AE$344)/$AE$345</f>
        <v>-1.07317767513253</v>
      </c>
    </row>
    <row r="12" customFormat="false" ht="14.25" hidden="false" customHeight="false" outlineLevel="0" collapsed="false">
      <c r="B12" s="1" t="n">
        <v>10</v>
      </c>
      <c r="C12" s="1" t="n">
        <v>4</v>
      </c>
      <c r="D12" s="2" t="n">
        <v>32.4666666666667</v>
      </c>
      <c r="E12" s="4" t="n">
        <v>3.262</v>
      </c>
      <c r="F12" s="1" t="n">
        <v>25</v>
      </c>
      <c r="G12" s="1" t="n">
        <v>36</v>
      </c>
      <c r="H12" s="3" t="n">
        <v>95.7219268645215</v>
      </c>
      <c r="I12" s="1" t="n">
        <v>600</v>
      </c>
      <c r="J12" s="39" t="n">
        <v>564</v>
      </c>
      <c r="K12" s="27" t="n">
        <v>304</v>
      </c>
      <c r="L12" s="39" t="n">
        <v>86</v>
      </c>
      <c r="M12" s="4" t="n">
        <v>0.2</v>
      </c>
      <c r="N12" s="26" t="n">
        <v>0.199877121284813</v>
      </c>
      <c r="O12" s="27" t="n">
        <v>324.999646144464</v>
      </c>
      <c r="P12" s="27" t="n">
        <v>207.320633540607</v>
      </c>
      <c r="Q12" s="28" t="n">
        <v>0.0174444444444444</v>
      </c>
      <c r="R12" s="25" t="n">
        <v>0.999385606424064</v>
      </c>
      <c r="S12" s="29" t="n">
        <v>0.172128911017169</v>
      </c>
      <c r="T12" s="27" t="n">
        <v>324.999646144464</v>
      </c>
      <c r="U12" s="27" t="n">
        <v>199</v>
      </c>
      <c r="V12" s="28" t="n">
        <v>0.0182558139534884</v>
      </c>
      <c r="W12" s="25" t="n">
        <f aca="false">(I12-H12)/(J12-H12)</f>
        <v>1.07687739842046</v>
      </c>
      <c r="X12" s="25" t="n">
        <f aca="false">0.5*(1+(I12-K12-L12)/(I12-K12))</f>
        <v>0.85472972972973</v>
      </c>
      <c r="Y12" s="25" t="n">
        <v>0.860644555085843</v>
      </c>
      <c r="Z12" s="26" t="n">
        <v>0.174291632852465</v>
      </c>
      <c r="AA12" s="27" t="n">
        <v>324.999646144464</v>
      </c>
      <c r="AB12" s="27" t="n">
        <v>207.320633540607</v>
      </c>
      <c r="AC12" s="28" t="n">
        <v>0.0174444444444444</v>
      </c>
      <c r="AD12" s="25" t="n">
        <v>0.871458164262323</v>
      </c>
      <c r="AE12" s="4" t="n">
        <v>0.210249597599527</v>
      </c>
      <c r="AF12" s="25" t="n">
        <v>0.174243547470355</v>
      </c>
      <c r="AG12" s="26" t="n">
        <f aca="false">SMALL(AE12:AF12,1)</f>
        <v>0.174243547470355</v>
      </c>
      <c r="AH12" s="27" t="n">
        <v>334.515014921055</v>
      </c>
      <c r="AI12" s="28" t="n">
        <v>0.0123</v>
      </c>
      <c r="AJ12" s="25" t="n">
        <v>0.871217737351776</v>
      </c>
      <c r="AK12" s="29" t="n">
        <v>0.202615670383278</v>
      </c>
      <c r="AN12" s="4" t="n">
        <f aca="false">(N12-$N$344)/$N$345</f>
        <v>-0.181837051768346</v>
      </c>
      <c r="AO12" s="4" t="n">
        <f aca="false">(S12-$S$344)/$S$345</f>
        <v>-0.515307457106542</v>
      </c>
      <c r="AP12" s="4" t="n">
        <f aca="false">(Z12-$Z$344)/$Z$345</f>
        <v>-0.665609627593453</v>
      </c>
      <c r="AQ12" s="4" t="n">
        <f aca="false">(AE12-$AE$344)/$AE$345</f>
        <v>-0.747474866332949</v>
      </c>
    </row>
    <row r="13" customFormat="false" ht="14.25" hidden="false" customHeight="false" outlineLevel="0" collapsed="false">
      <c r="B13" s="1" t="n">
        <v>10</v>
      </c>
      <c r="C13" s="1" t="n">
        <v>4</v>
      </c>
      <c r="D13" s="2" t="n">
        <v>32.4666666666667</v>
      </c>
      <c r="E13" s="4" t="n">
        <v>3.262</v>
      </c>
      <c r="F13" s="1" t="n">
        <v>25</v>
      </c>
      <c r="G13" s="1" t="n">
        <v>36</v>
      </c>
      <c r="H13" s="3" t="n">
        <v>95.7219268645215</v>
      </c>
      <c r="I13" s="1" t="n">
        <v>600</v>
      </c>
      <c r="J13" s="39" t="n">
        <v>564</v>
      </c>
      <c r="K13" s="27" t="n">
        <v>304</v>
      </c>
      <c r="L13" s="39" t="n">
        <v>86</v>
      </c>
      <c r="M13" s="4" t="n">
        <v>0.2</v>
      </c>
      <c r="N13" s="26" t="n">
        <v>0.242366888715498</v>
      </c>
      <c r="O13" s="27" t="n">
        <v>367.644627337453</v>
      </c>
      <c r="P13" s="27" t="n">
        <v>207.320633540607</v>
      </c>
      <c r="Q13" s="28" t="n">
        <v>0.0174444444444444</v>
      </c>
      <c r="R13" s="25" t="n">
        <v>1.21183444357749</v>
      </c>
      <c r="S13" s="29" t="n">
        <v>0.207832494977418</v>
      </c>
      <c r="T13" s="27" t="n">
        <v>367.644627337453</v>
      </c>
      <c r="U13" s="27" t="n">
        <v>199</v>
      </c>
      <c r="V13" s="28" t="n">
        <v>0.0182558139534884</v>
      </c>
      <c r="W13" s="25" t="n">
        <f aca="false">(I13-H13)/(J13-H13)</f>
        <v>1.07687739842046</v>
      </c>
      <c r="X13" s="25" t="n">
        <f aca="false">0.5*(1+(I13-K13-L13)/(I13-K13))</f>
        <v>0.85472972972973</v>
      </c>
      <c r="Y13" s="25" t="n">
        <v>1.03916247488709</v>
      </c>
      <c r="Z13" s="26" t="n">
        <v>0.211342451362418</v>
      </c>
      <c r="AA13" s="27" t="n">
        <v>367.644627337453</v>
      </c>
      <c r="AB13" s="27" t="n">
        <v>207.320633540607</v>
      </c>
      <c r="AC13" s="28" t="n">
        <v>0.0174444444444444</v>
      </c>
      <c r="AD13" s="25" t="n">
        <v>1.05671225681209</v>
      </c>
      <c r="AE13" s="4" t="n">
        <v>0.237837597284547</v>
      </c>
      <c r="AF13" s="25" t="n">
        <v>0.222970483472656</v>
      </c>
      <c r="AG13" s="26" t="n">
        <f aca="false">SMALL(AE13:AF13,1)</f>
        <v>0.222970483472656</v>
      </c>
      <c r="AH13" s="27" t="n">
        <v>378.408559696608</v>
      </c>
      <c r="AI13" s="28" t="n">
        <v>0.0123</v>
      </c>
      <c r="AJ13" s="25" t="n">
        <v>1.11485241736328</v>
      </c>
      <c r="AK13" s="29" t="n">
        <v>0.261296202063405</v>
      </c>
      <c r="AN13" s="4" t="n">
        <f aca="false">(N13-$N$344)/$N$345</f>
        <v>0.318026394696668</v>
      </c>
      <c r="AO13" s="4" t="n">
        <f aca="false">(S13-$S$344)/$S$345</f>
        <v>-0.0846524801058215</v>
      </c>
      <c r="AP13" s="4" t="n">
        <f aca="false">(Z13-$Z$344)/$Z$345</f>
        <v>-0.162351439486165</v>
      </c>
      <c r="AQ13" s="4" t="n">
        <f aca="false">(AE13-$AE$344)/$AE$345</f>
        <v>-0.399814564805309</v>
      </c>
    </row>
    <row r="14" customFormat="false" ht="14.25" hidden="false" customHeight="false" outlineLevel="0" collapsed="false">
      <c r="B14" s="1" t="n">
        <v>10</v>
      </c>
      <c r="C14" s="1" t="n">
        <v>4</v>
      </c>
      <c r="D14" s="2" t="n">
        <v>32.4666666666667</v>
      </c>
      <c r="E14" s="4" t="n">
        <v>3.262</v>
      </c>
      <c r="F14" s="1" t="n">
        <v>25</v>
      </c>
      <c r="G14" s="1" t="n">
        <v>36</v>
      </c>
      <c r="H14" s="3" t="n">
        <v>95.7219268645215</v>
      </c>
      <c r="I14" s="1" t="n">
        <v>600</v>
      </c>
      <c r="J14" s="39" t="n">
        <v>564</v>
      </c>
      <c r="K14" s="27" t="n">
        <v>304</v>
      </c>
      <c r="L14" s="39" t="n">
        <v>86</v>
      </c>
      <c r="M14" s="4" t="n">
        <v>0.24</v>
      </c>
      <c r="N14" s="26" t="n">
        <v>0.28530391685598</v>
      </c>
      <c r="O14" s="27" t="n">
        <v>410.738503069316</v>
      </c>
      <c r="P14" s="27" t="n">
        <v>207.320633540607</v>
      </c>
      <c r="Q14" s="28" t="n">
        <v>0.0174444444444444</v>
      </c>
      <c r="R14" s="25" t="n">
        <v>1.18876632023325</v>
      </c>
      <c r="S14" s="29" t="n">
        <v>0.243911906137249</v>
      </c>
      <c r="T14" s="27" t="n">
        <v>410.738503069316</v>
      </c>
      <c r="U14" s="27" t="n">
        <v>199</v>
      </c>
      <c r="V14" s="28" t="n">
        <v>0.0182558139534884</v>
      </c>
      <c r="W14" s="25" t="n">
        <f aca="false">(I14-H14)/(J14-H14)</f>
        <v>1.07687739842046</v>
      </c>
      <c r="X14" s="25" t="n">
        <f aca="false">0.5*(1+(I14-K14-L14)/(I14-K14))</f>
        <v>0.85472972972973</v>
      </c>
      <c r="Y14" s="25" t="n">
        <v>1.0162996089052</v>
      </c>
      <c r="Z14" s="26" t="n">
        <v>0.248783278488266</v>
      </c>
      <c r="AA14" s="27" t="n">
        <v>410.738503069316</v>
      </c>
      <c r="AB14" s="27" t="n">
        <v>207.320633540607</v>
      </c>
      <c r="AC14" s="28" t="n">
        <v>0.0174444444444444</v>
      </c>
      <c r="AD14" s="25" t="n">
        <v>1.03659699370111</v>
      </c>
      <c r="AE14" s="4" t="n">
        <v>0.265715996966253</v>
      </c>
      <c r="AF14" s="25" t="n">
        <v>0.278305481423927</v>
      </c>
      <c r="AG14" s="26" t="n">
        <f aca="false">SMALL(AE14:AF14,1)</f>
        <v>0.265715996966253</v>
      </c>
      <c r="AH14" s="27" t="n">
        <v>422.764141785588</v>
      </c>
      <c r="AI14" s="28" t="n">
        <v>0.0123</v>
      </c>
      <c r="AJ14" s="25" t="n">
        <v>1.10714998735939</v>
      </c>
      <c r="AK14" s="29" t="n">
        <v>0.32059442355069</v>
      </c>
      <c r="AN14" s="4" t="n">
        <f aca="false">(N14-$N$344)/$N$345</f>
        <v>0.823151561650786</v>
      </c>
      <c r="AO14" s="4" t="n">
        <f aca="false">(S14-$S$344)/$S$345</f>
        <v>0.350535707179116</v>
      </c>
      <c r="AP14" s="4" t="n">
        <f aca="false">(Z14-$Z$344)/$Z$345</f>
        <v>0.346204203232776</v>
      </c>
      <c r="AQ14" s="4" t="n">
        <f aca="false">(AE14-$AE$344)/$AE$345</f>
        <v>-0.0484946811563254</v>
      </c>
    </row>
    <row r="15" customFormat="false" ht="14.25" hidden="false" customHeight="false" outlineLevel="0" collapsed="false">
      <c r="B15" s="1" t="n">
        <v>10</v>
      </c>
      <c r="C15" s="1" t="n">
        <v>4</v>
      </c>
      <c r="D15" s="2" t="n">
        <v>32.4666666666667</v>
      </c>
      <c r="E15" s="4" t="n">
        <v>3.262</v>
      </c>
      <c r="F15" s="1" t="n">
        <v>25</v>
      </c>
      <c r="G15" s="1" t="n">
        <v>36</v>
      </c>
      <c r="H15" s="3" t="n">
        <v>95.7219268645215</v>
      </c>
      <c r="I15" s="1" t="n">
        <v>600</v>
      </c>
      <c r="J15" s="39" t="n">
        <v>564</v>
      </c>
      <c r="K15" s="27" t="n">
        <v>304</v>
      </c>
      <c r="L15" s="39" t="n">
        <v>86</v>
      </c>
      <c r="M15" s="4" t="n">
        <v>0.3</v>
      </c>
      <c r="N15" s="26" t="n">
        <v>0.313034080863375</v>
      </c>
      <c r="O15" s="27" t="n">
        <v>438.569964479477</v>
      </c>
      <c r="P15" s="27" t="n">
        <v>207.320633540607</v>
      </c>
      <c r="Q15" s="28" t="n">
        <v>0.0174444444444444</v>
      </c>
      <c r="R15" s="25" t="n">
        <v>1.04344693621125</v>
      </c>
      <c r="S15" s="29" t="n">
        <v>0.267213192511307</v>
      </c>
      <c r="T15" s="27" t="n">
        <v>438.569964479477</v>
      </c>
      <c r="U15" s="27" t="n">
        <v>199</v>
      </c>
      <c r="V15" s="28" t="n">
        <v>0.0182558139534884</v>
      </c>
      <c r="W15" s="25" t="n">
        <f aca="false">(I15-H15)/(J15-H15)</f>
        <v>1.07687739842046</v>
      </c>
      <c r="X15" s="25" t="n">
        <f aca="false">0.5*(1+(I15-K15-L15)/(I15-K15))</f>
        <v>0.85472972972973</v>
      </c>
      <c r="Y15" s="25" t="n">
        <v>0.890710641704356</v>
      </c>
      <c r="Z15" s="26" t="n">
        <v>0.27296381267371</v>
      </c>
      <c r="AA15" s="27" t="n">
        <v>438.569964479477</v>
      </c>
      <c r="AB15" s="27" t="n">
        <v>207.320633540607</v>
      </c>
      <c r="AC15" s="28" t="n">
        <v>0.0174444444444444</v>
      </c>
      <c r="AD15" s="25" t="n">
        <v>0.909879375579032</v>
      </c>
      <c r="AE15" s="4" t="n">
        <v>0.283720796760687</v>
      </c>
      <c r="AF15" s="25" t="n">
        <v>0.317298997137089</v>
      </c>
      <c r="AG15" s="26" t="n">
        <f aca="false">SMALL(AE15:AF15,1)</f>
        <v>0.283720796760687</v>
      </c>
      <c r="AH15" s="27" t="n">
        <v>451.410455218054</v>
      </c>
      <c r="AI15" s="28" t="n">
        <v>0.0123</v>
      </c>
      <c r="AJ15" s="25" t="n">
        <v>0.945735989202291</v>
      </c>
      <c r="AK15" s="29" t="n">
        <v>0.358891191594562</v>
      </c>
      <c r="AN15" s="4" t="n">
        <f aca="false">(N15-$N$344)/$N$345</f>
        <v>1.14937823197532</v>
      </c>
      <c r="AO15" s="4" t="n">
        <f aca="false">(S15-$S$344)/$S$345</f>
        <v>0.63159474480064</v>
      </c>
      <c r="AP15" s="4" t="n">
        <f aca="false">(Z15-$Z$344)/$Z$345</f>
        <v>0.674646389155428</v>
      </c>
      <c r="AQ15" s="4" t="n">
        <f aca="false">(AE15-$AE$344)/$AE$345</f>
        <v>0.178399410366978</v>
      </c>
    </row>
    <row r="16" customFormat="false" ht="14.25" hidden="false" customHeight="false" outlineLevel="0" collapsed="false">
      <c r="B16" s="1" t="n">
        <v>10</v>
      </c>
      <c r="C16" s="1" t="n">
        <v>4</v>
      </c>
      <c r="D16" s="2" t="n">
        <v>32.4666666666667</v>
      </c>
      <c r="E16" s="4" t="n">
        <v>3.262</v>
      </c>
      <c r="F16" s="1" t="n">
        <v>25</v>
      </c>
      <c r="G16" s="1" t="n">
        <v>36</v>
      </c>
      <c r="H16" s="3" t="n">
        <v>95.7219268645215</v>
      </c>
      <c r="I16" s="1" t="n">
        <v>600</v>
      </c>
      <c r="J16" s="39" t="n">
        <v>564</v>
      </c>
      <c r="K16" s="27" t="n">
        <v>304</v>
      </c>
      <c r="L16" s="39" t="n">
        <v>86</v>
      </c>
      <c r="M16" s="4" t="n">
        <v>0.32</v>
      </c>
      <c r="N16" s="26" t="n">
        <v>0.372519755266334</v>
      </c>
      <c r="O16" s="27" t="n">
        <v>498.272938149662</v>
      </c>
      <c r="P16" s="27" t="n">
        <v>207.320633540607</v>
      </c>
      <c r="Q16" s="28" t="n">
        <v>0.0174444444444444</v>
      </c>
      <c r="R16" s="25" t="n">
        <v>1.16412423520729</v>
      </c>
      <c r="S16" s="29" t="n">
        <v>0.317198210055656</v>
      </c>
      <c r="T16" s="27" t="n">
        <v>498.272938149662</v>
      </c>
      <c r="U16" s="27" t="n">
        <v>199</v>
      </c>
      <c r="V16" s="28" t="n">
        <v>0.0182558139534884</v>
      </c>
      <c r="W16" s="25" t="n">
        <f aca="false">(I16-H16)/(J16-H16)</f>
        <v>1.07687739842046</v>
      </c>
      <c r="X16" s="25" t="n">
        <f aca="false">0.5*(1+(I16-K16-L16)/(I16-K16))</f>
        <v>0.85472972972973</v>
      </c>
      <c r="Y16" s="25" t="n">
        <v>0.991244406423925</v>
      </c>
      <c r="Z16" s="26" t="n">
        <v>0.324834958587645</v>
      </c>
      <c r="AA16" s="27" t="n">
        <v>498.272938149662</v>
      </c>
      <c r="AB16" s="27" t="n">
        <v>207.320633540607</v>
      </c>
      <c r="AC16" s="28" t="n">
        <v>0.0174444444444444</v>
      </c>
      <c r="AD16" s="25" t="n">
        <v>1.01510924558639</v>
      </c>
      <c r="AE16" s="4" t="n">
        <v>0.322343996319716</v>
      </c>
      <c r="AF16" s="25" t="n">
        <v>0.409567539983182</v>
      </c>
      <c r="AG16" s="26" t="n">
        <f aca="false">SMALL(AE16:AF16,1)</f>
        <v>0.322343996319716</v>
      </c>
      <c r="AH16" s="27" t="n">
        <v>512.861417903828</v>
      </c>
      <c r="AI16" s="28" t="n">
        <v>0.0123</v>
      </c>
      <c r="AJ16" s="25" t="n">
        <v>1.00732498849911</v>
      </c>
      <c r="AK16" s="29" t="n">
        <v>0.441043935946739</v>
      </c>
      <c r="AN16" s="4" t="n">
        <f aca="false">(N16-$N$344)/$N$345</f>
        <v>1.84918705702634</v>
      </c>
      <c r="AO16" s="4" t="n">
        <f aca="false">(S16-$S$344)/$S$345</f>
        <v>1.23451171260165</v>
      </c>
      <c r="AP16" s="4" t="n">
        <f aca="false">(Z16-$Z$344)/$Z$345</f>
        <v>1.37920785250563</v>
      </c>
      <c r="AQ16" s="4" t="n">
        <f aca="false">(AE16-$AE$344)/$AE$345</f>
        <v>0.665123832505674</v>
      </c>
    </row>
    <row r="17" customFormat="false" ht="14.25" hidden="false" customHeight="false" outlineLevel="0" collapsed="false">
      <c r="B17" s="1" t="n">
        <v>10</v>
      </c>
      <c r="C17" s="1" t="n">
        <v>4</v>
      </c>
      <c r="D17" s="2" t="n">
        <v>32.4666666666667</v>
      </c>
      <c r="E17" s="4" t="n">
        <v>3.262</v>
      </c>
      <c r="F17" s="1" t="n">
        <v>25</v>
      </c>
      <c r="G17" s="1" t="n">
        <v>36</v>
      </c>
      <c r="H17" s="3" t="n">
        <v>95.7219268645215</v>
      </c>
      <c r="I17" s="1" t="n">
        <v>600</v>
      </c>
      <c r="J17" s="39" t="n">
        <v>564</v>
      </c>
      <c r="K17" s="27" t="n">
        <v>304</v>
      </c>
      <c r="L17" s="39" t="n">
        <v>86</v>
      </c>
      <c r="M17" s="4" t="n">
        <v>0.38</v>
      </c>
      <c r="N17" s="26" t="n">
        <v>0.376992362364301</v>
      </c>
      <c r="O17" s="27" t="n">
        <v>502.761883538398</v>
      </c>
      <c r="P17" s="27" t="n">
        <v>207.320633540607</v>
      </c>
      <c r="Q17" s="28" t="n">
        <v>0.0174444444444444</v>
      </c>
      <c r="R17" s="25" t="n">
        <v>0.992085164116581</v>
      </c>
      <c r="S17" s="29" t="n">
        <v>0.320956482051472</v>
      </c>
      <c r="T17" s="27" t="n">
        <v>502.761883538398</v>
      </c>
      <c r="U17" s="27" t="n">
        <v>199</v>
      </c>
      <c r="V17" s="28" t="n">
        <v>0.0182558139534884</v>
      </c>
      <c r="W17" s="25" t="n">
        <f aca="false">(I17-H17)/(J17-H17)</f>
        <v>1.07687739842046</v>
      </c>
      <c r="X17" s="25" t="n">
        <f aca="false">0.5*(1+(I17-K17-L17)/(I17-K17))</f>
        <v>0.85472972972973</v>
      </c>
      <c r="Y17" s="25" t="n">
        <v>0.844622321188084</v>
      </c>
      <c r="Z17" s="26" t="n">
        <v>0.328735044746587</v>
      </c>
      <c r="AA17" s="27" t="n">
        <v>502.761883538398</v>
      </c>
      <c r="AB17" s="27" t="n">
        <v>207.320633540607</v>
      </c>
      <c r="AC17" s="28" t="n">
        <v>0.0174444444444444</v>
      </c>
      <c r="AD17" s="25" t="n">
        <v>0.865092223017335</v>
      </c>
      <c r="AE17" s="4" t="n">
        <v>0.325247996286561</v>
      </c>
      <c r="AF17" s="25" t="n">
        <v>0.416980376718533</v>
      </c>
      <c r="AG17" s="26" t="n">
        <f aca="false">SMALL(AE17:AF17,1)</f>
        <v>0.325247996286561</v>
      </c>
      <c r="AH17" s="27" t="n">
        <v>517.481791038096</v>
      </c>
      <c r="AI17" s="28" t="n">
        <v>0.0123</v>
      </c>
      <c r="AJ17" s="25" t="n">
        <v>0.855915779701475</v>
      </c>
      <c r="AK17" s="29" t="n">
        <v>0.447220834018331</v>
      </c>
      <c r="AN17" s="4" t="n">
        <f aca="false">(N17-$N$344)/$N$345</f>
        <v>1.9018042619174</v>
      </c>
      <c r="AO17" s="4" t="n">
        <f aca="false">(S17-$S$344)/$S$345</f>
        <v>1.27984381544383</v>
      </c>
      <c r="AP17" s="4" t="n">
        <f aca="false">(Z17-$Z$344)/$Z$345</f>
        <v>1.43218239862219</v>
      </c>
      <c r="AQ17" s="4" t="n">
        <f aca="false">(AE17-$AE$344)/$AE$345</f>
        <v>0.701719653719109</v>
      </c>
    </row>
    <row r="18" customFormat="false" ht="14.25" hidden="false" customHeight="false" outlineLevel="0" collapsed="false">
      <c r="B18" s="1" t="n">
        <v>10</v>
      </c>
      <c r="C18" s="1" t="n">
        <v>4</v>
      </c>
      <c r="D18" s="2" t="n">
        <v>32.4666666666667</v>
      </c>
      <c r="E18" s="4" t="n">
        <v>3.262</v>
      </c>
      <c r="F18" s="1" t="n">
        <v>25</v>
      </c>
      <c r="G18" s="1" t="n">
        <v>36</v>
      </c>
      <c r="H18" s="3" t="n">
        <v>95.7219268645215</v>
      </c>
      <c r="I18" s="1" t="n">
        <v>600</v>
      </c>
      <c r="J18" s="39" t="n">
        <v>564</v>
      </c>
      <c r="K18" s="27" t="n">
        <v>304</v>
      </c>
      <c r="L18" s="39" t="n">
        <v>86</v>
      </c>
      <c r="M18" s="4" t="n">
        <v>0.42</v>
      </c>
      <c r="N18" s="26" t="n">
        <v>0.412773219148035</v>
      </c>
      <c r="O18" s="27" t="n">
        <v>538.673446648283</v>
      </c>
      <c r="P18" s="27" t="n">
        <v>207.320633540607</v>
      </c>
      <c r="Q18" s="28" t="n">
        <v>0.0174444444444444</v>
      </c>
      <c r="R18" s="25" t="n">
        <v>0.982793378923894</v>
      </c>
      <c r="S18" s="29" t="n">
        <v>0.351022658017998</v>
      </c>
      <c r="T18" s="27" t="n">
        <v>538.673446648283</v>
      </c>
      <c r="U18" s="27" t="n">
        <v>199</v>
      </c>
      <c r="V18" s="28" t="n">
        <v>0.0182558139534884</v>
      </c>
      <c r="W18" s="25" t="n">
        <f aca="false">(I18-H18)/(J18-H18)</f>
        <v>1.07687739842046</v>
      </c>
      <c r="X18" s="25" t="n">
        <f aca="false">0.5*(1+(I18-K18-L18)/(I18-K18))</f>
        <v>0.85472972972973</v>
      </c>
      <c r="Y18" s="25" t="n">
        <v>0.835768233376185</v>
      </c>
      <c r="Z18" s="26" t="n">
        <v>0.359935734018127</v>
      </c>
      <c r="AA18" s="27" t="n">
        <v>538.673446648283</v>
      </c>
      <c r="AB18" s="27" t="n">
        <v>207.320633540607</v>
      </c>
      <c r="AC18" s="28" t="n">
        <v>0.0174444444444444</v>
      </c>
      <c r="AD18" s="25" t="n">
        <v>0.856989842900303</v>
      </c>
      <c r="AE18" s="4" t="n">
        <v>0.348479996021315</v>
      </c>
      <c r="AF18" s="25" t="n">
        <v>0.478676452865663</v>
      </c>
      <c r="AG18" s="26" t="n">
        <f aca="false">SMALL(AE18:AF18,1)</f>
        <v>0.348479996021315</v>
      </c>
      <c r="AH18" s="27" t="n">
        <v>554.444776112246</v>
      </c>
      <c r="AI18" s="28" t="n">
        <v>0.0123</v>
      </c>
      <c r="AJ18" s="25" t="n">
        <v>0.829714276241226</v>
      </c>
      <c r="AK18" s="29" t="n">
        <v>0.496636018591069</v>
      </c>
      <c r="AN18" s="4" t="n">
        <f aca="false">(N18-$N$344)/$N$345</f>
        <v>2.32274190104583</v>
      </c>
      <c r="AO18" s="4" t="n">
        <f aca="false">(S18-$S$344)/$S$345</f>
        <v>1.64250063818128</v>
      </c>
      <c r="AP18" s="4" t="n">
        <f aca="false">(Z18-$Z$344)/$Z$345</f>
        <v>1.85597876755464</v>
      </c>
      <c r="AQ18" s="4" t="n">
        <f aca="false">(AE18-$AE$344)/$AE$345</f>
        <v>0.994486223426598</v>
      </c>
    </row>
    <row r="19" customFormat="false" ht="14.25" hidden="false" customHeight="false" outlineLevel="0" collapsed="false">
      <c r="B19" s="1" t="n">
        <v>10</v>
      </c>
      <c r="C19" s="1" t="n">
        <v>4</v>
      </c>
      <c r="D19" s="2" t="n">
        <v>32.4666666666667</v>
      </c>
      <c r="E19" s="4" t="n">
        <v>3.262</v>
      </c>
      <c r="F19" s="1" t="n">
        <v>25</v>
      </c>
      <c r="G19" s="1" t="n">
        <v>36</v>
      </c>
      <c r="H19" s="3" t="n">
        <v>95.7219268645215</v>
      </c>
      <c r="I19" s="1" t="n">
        <v>600</v>
      </c>
      <c r="J19" s="39" t="n">
        <v>564</v>
      </c>
      <c r="K19" s="27" t="n">
        <v>304</v>
      </c>
      <c r="L19" s="39" t="n">
        <v>86</v>
      </c>
      <c r="M19" s="4" t="n">
        <v>0.44</v>
      </c>
      <c r="N19" s="26" t="n">
        <v>0.501774653106298</v>
      </c>
      <c r="O19" s="27" t="n">
        <v>628</v>
      </c>
      <c r="P19" s="27" t="n">
        <v>207.320633540607</v>
      </c>
      <c r="Q19" s="28" t="n">
        <v>0.0174444444444444</v>
      </c>
      <c r="R19" s="25" t="n">
        <v>1.14039693887795</v>
      </c>
      <c r="S19" s="29" t="n">
        <v>0.425809374021921</v>
      </c>
      <c r="T19" s="27" t="n">
        <v>628</v>
      </c>
      <c r="U19" s="27" t="n">
        <v>199</v>
      </c>
      <c r="V19" s="28" t="n">
        <v>0.0182558139534884</v>
      </c>
      <c r="W19" s="25" t="n">
        <f aca="false">(I19-H19)/(J19-H19)</f>
        <v>1.07687739842046</v>
      </c>
      <c r="X19" s="25" t="n">
        <f aca="false">0.5*(1+(I19-K19-L19)/(I19-K19))</f>
        <v>0.85472972972973</v>
      </c>
      <c r="Y19" s="25" t="n">
        <v>0.967748577322548</v>
      </c>
      <c r="Z19" s="26" t="n">
        <v>0.437544442564076</v>
      </c>
      <c r="AA19" s="27" t="n">
        <v>628</v>
      </c>
      <c r="AB19" s="27" t="n">
        <v>207.320633540607</v>
      </c>
      <c r="AC19" s="28" t="n">
        <v>0.0174444444444444</v>
      </c>
      <c r="AD19" s="25" t="n">
        <v>0.994419187645627</v>
      </c>
      <c r="AE19" s="4" t="n">
        <v>0.39471097380685</v>
      </c>
      <c r="AF19" s="25" t="n">
        <v>0.614108006578883</v>
      </c>
      <c r="AG19" s="26" t="n">
        <f aca="false">SMALL(AE19:AF19,1)</f>
        <v>0.39471097380685</v>
      </c>
      <c r="AH19" s="27" t="n">
        <v>628</v>
      </c>
      <c r="AI19" s="28" t="n">
        <v>0.0123</v>
      </c>
      <c r="AJ19" s="25" t="n">
        <v>0.897070395015569</v>
      </c>
      <c r="AK19" s="29" t="n">
        <v>0.552295392857143</v>
      </c>
      <c r="AN19" s="4" t="n">
        <f aca="false">(N19-$N$344)/$N$345</f>
        <v>3.36978372332176</v>
      </c>
      <c r="AO19" s="4" t="n">
        <f aca="false">(S19-$S$344)/$S$345</f>
        <v>2.54457454472486</v>
      </c>
      <c r="AP19" s="4" t="n">
        <f aca="false">(Z19-$Z$344)/$Z$345</f>
        <v>2.91013140479497</v>
      </c>
      <c r="AQ19" s="4" t="n">
        <f aca="false">(AE19-$AE$344)/$AE$345</f>
        <v>1.577082854583</v>
      </c>
    </row>
    <row r="20" customFormat="false" ht="14.25" hidden="false" customHeight="false" outlineLevel="0" collapsed="false">
      <c r="B20" s="1" t="n">
        <v>10</v>
      </c>
      <c r="C20" s="1" t="n">
        <v>4</v>
      </c>
      <c r="D20" s="2" t="n">
        <v>32.4666666666667</v>
      </c>
      <c r="E20" s="4" t="n">
        <v>3.262</v>
      </c>
      <c r="F20" s="1" t="n">
        <v>25</v>
      </c>
      <c r="G20" s="1" t="n">
        <v>36</v>
      </c>
      <c r="H20" s="3" t="n">
        <v>95.7219268645215</v>
      </c>
      <c r="I20" s="1" t="n">
        <v>600</v>
      </c>
      <c r="J20" s="39" t="n">
        <v>564</v>
      </c>
      <c r="K20" s="27" t="n">
        <v>304</v>
      </c>
      <c r="L20" s="39" t="n">
        <v>86</v>
      </c>
      <c r="M20" s="4" t="n">
        <v>0.5</v>
      </c>
      <c r="N20" s="26" t="n">
        <v>0.501774653106298</v>
      </c>
      <c r="O20" s="27" t="n">
        <v>628</v>
      </c>
      <c r="P20" s="27" t="n">
        <v>207.320633540607</v>
      </c>
      <c r="Q20" s="28" t="n">
        <v>0.0174444444444444</v>
      </c>
      <c r="R20" s="25" t="n">
        <v>1.0035493062126</v>
      </c>
      <c r="S20" s="29" t="n">
        <v>0.425809374021921</v>
      </c>
      <c r="T20" s="27" t="n">
        <v>628</v>
      </c>
      <c r="U20" s="27" t="n">
        <v>199</v>
      </c>
      <c r="V20" s="28" t="n">
        <v>0.0182558139534884</v>
      </c>
      <c r="W20" s="25" t="n">
        <f aca="false">(I20-H20)/(J20-H20)</f>
        <v>1.07687739842046</v>
      </c>
      <c r="X20" s="25" t="n">
        <f aca="false">0.5*(1+(I20-K20-L20)/(I20-K20))</f>
        <v>0.85472972972973</v>
      </c>
      <c r="Y20" s="25" t="n">
        <v>0.851618748043842</v>
      </c>
      <c r="Z20" s="26" t="n">
        <v>0.437544442564076</v>
      </c>
      <c r="AA20" s="27" t="n">
        <v>628</v>
      </c>
      <c r="AB20" s="27" t="n">
        <v>207.320633540607</v>
      </c>
      <c r="AC20" s="28" t="n">
        <v>0.0174444444444444</v>
      </c>
      <c r="AD20" s="25" t="n">
        <v>0.875088885128152</v>
      </c>
      <c r="AE20" s="4" t="n">
        <v>0.39471097380685</v>
      </c>
      <c r="AF20" s="25" t="n">
        <v>0.614108006578883</v>
      </c>
      <c r="AG20" s="26" t="n">
        <f aca="false">SMALL(AE20:AF20,1)</f>
        <v>0.39471097380685</v>
      </c>
      <c r="AH20" s="27" t="n">
        <v>628</v>
      </c>
      <c r="AI20" s="28" t="n">
        <v>0.0123</v>
      </c>
      <c r="AJ20" s="25" t="n">
        <v>0.789421947613701</v>
      </c>
      <c r="AK20" s="29" t="n">
        <v>0.552295392857143</v>
      </c>
      <c r="AN20" s="4" t="n">
        <f aca="false">(N20-$N$344)/$N$345</f>
        <v>3.36978372332176</v>
      </c>
      <c r="AO20" s="4" t="n">
        <f aca="false">(S20-$S$344)/$S$345</f>
        <v>2.54457454472486</v>
      </c>
      <c r="AP20" s="4" t="n">
        <f aca="false">(Z20-$Z$344)/$Z$345</f>
        <v>2.91013140479497</v>
      </c>
      <c r="AQ20" s="4" t="n">
        <f aca="false">(AE20-$AE$344)/$AE$345</f>
        <v>1.577082854583</v>
      </c>
    </row>
    <row r="21" customFormat="false" ht="14.25" hidden="false" customHeight="false" outlineLevel="0" collapsed="false">
      <c r="A21" s="0" t="s">
        <v>25</v>
      </c>
      <c r="B21" s="1" t="n">
        <v>10</v>
      </c>
      <c r="C21" s="1" t="n">
        <v>4</v>
      </c>
      <c r="D21" s="2" t="n">
        <v>32.4666666666667</v>
      </c>
      <c r="E21" s="4" t="n">
        <v>3.514</v>
      </c>
      <c r="F21" s="1" t="n">
        <v>25</v>
      </c>
      <c r="G21" s="1" t="n">
        <v>36</v>
      </c>
      <c r="H21" s="3" t="n">
        <v>87.1206787100977</v>
      </c>
      <c r="I21" s="1" t="n">
        <v>600</v>
      </c>
      <c r="J21" s="39" t="n">
        <v>564</v>
      </c>
      <c r="K21" s="27" t="n">
        <v>303</v>
      </c>
      <c r="L21" s="39" t="n">
        <v>86</v>
      </c>
      <c r="M21" s="4" t="n">
        <v>0.24</v>
      </c>
      <c r="N21" s="26" t="n">
        <v>0.189229893046237</v>
      </c>
      <c r="O21" s="27" t="n">
        <v>321.471876442594</v>
      </c>
      <c r="P21" s="27" t="n">
        <v>219.251221075838</v>
      </c>
      <c r="Q21" s="28" t="n">
        <v>0.0174444444444444</v>
      </c>
      <c r="R21" s="25" t="n">
        <v>0.788457887692654</v>
      </c>
      <c r="S21" s="29" t="n">
        <v>0.163338720819284</v>
      </c>
      <c r="T21" s="27" t="n">
        <v>321.471876442594</v>
      </c>
      <c r="U21" s="27" t="n">
        <v>210</v>
      </c>
      <c r="V21" s="28" t="n">
        <v>0.0182558139534884</v>
      </c>
      <c r="W21" s="25" t="n">
        <f aca="false">(I21-H21)/(J21-H21)</f>
        <v>1.07549079692243</v>
      </c>
      <c r="X21" s="25" t="n">
        <f aca="false">0.5*(1+(I21-K21-L21)/(I21-K21))</f>
        <v>0.855218855218855</v>
      </c>
      <c r="Y21" s="25" t="n">
        <v>0.680578003413682</v>
      </c>
      <c r="Z21" s="26" t="n">
        <v>0.167580744325716</v>
      </c>
      <c r="AA21" s="27" t="n">
        <v>321.471876442594</v>
      </c>
      <c r="AB21" s="27" t="n">
        <v>219.251221075838</v>
      </c>
      <c r="AC21" s="28" t="n">
        <v>0.0174444444444444</v>
      </c>
      <c r="AD21" s="25" t="n">
        <v>0.69825310135715</v>
      </c>
      <c r="AE21" s="4" t="n">
        <v>0.209087997612789</v>
      </c>
      <c r="AF21" s="25" t="n">
        <v>0.159965660822198</v>
      </c>
      <c r="AG21" s="26" t="n">
        <f aca="false">SMALL(AE21:AF21,1)</f>
        <v>0.159965660822198</v>
      </c>
      <c r="AH21" s="27" t="n">
        <v>332.666865667348</v>
      </c>
      <c r="AI21" s="28" t="n">
        <v>0.0123</v>
      </c>
      <c r="AJ21" s="25" t="n">
        <v>0.66652358675916</v>
      </c>
      <c r="AK21" s="29" t="n">
        <v>0.181249411154641</v>
      </c>
      <c r="AN21" s="4" t="n">
        <f aca="false">(N21-$N$344)/$N$345</f>
        <v>-0.307094508432855</v>
      </c>
      <c r="AO21" s="4" t="n">
        <f aca="false">(S21-$S$344)/$S$345</f>
        <v>-0.621334324373332</v>
      </c>
      <c r="AP21" s="4" t="n">
        <f aca="false">(Z21-$Z$344)/$Z$345</f>
        <v>-0.75676306863428</v>
      </c>
      <c r="AQ21" s="4" t="n">
        <f aca="false">(AE21-$AE$344)/$AE$345</f>
        <v>-0.762113194818324</v>
      </c>
    </row>
    <row r="22" customFormat="false" ht="14.25" hidden="false" customHeight="false" outlineLevel="0" collapsed="false">
      <c r="B22" s="1" t="n">
        <v>10</v>
      </c>
      <c r="C22" s="1" t="n">
        <v>4</v>
      </c>
      <c r="D22" s="2" t="n">
        <v>32.4666666666667</v>
      </c>
      <c r="E22" s="4" t="n">
        <v>3.514</v>
      </c>
      <c r="F22" s="1" t="n">
        <v>25</v>
      </c>
      <c r="G22" s="1" t="n">
        <v>36</v>
      </c>
      <c r="H22" s="3" t="n">
        <v>87.1206787100977</v>
      </c>
      <c r="I22" s="1" t="n">
        <v>600</v>
      </c>
      <c r="J22" s="39" t="n">
        <v>564</v>
      </c>
      <c r="K22" s="27" t="n">
        <v>303</v>
      </c>
      <c r="L22" s="39" t="n">
        <v>86</v>
      </c>
      <c r="M22" s="4" t="n">
        <v>0.3</v>
      </c>
      <c r="N22" s="26" t="n">
        <v>0.224818984614798</v>
      </c>
      <c r="O22" s="27" t="n">
        <v>357.190973825104</v>
      </c>
      <c r="P22" s="27" t="n">
        <v>219.251221075838</v>
      </c>
      <c r="Q22" s="28" t="n">
        <v>0.0174444444444444</v>
      </c>
      <c r="R22" s="25" t="n">
        <v>0.749396615382661</v>
      </c>
      <c r="S22" s="29" t="n">
        <v>0.193213400157039</v>
      </c>
      <c r="T22" s="27" t="n">
        <v>357.190973825104</v>
      </c>
      <c r="U22" s="27" t="n">
        <v>210</v>
      </c>
      <c r="V22" s="28" t="n">
        <v>0.0182558139534884</v>
      </c>
      <c r="W22" s="25" t="n">
        <f aca="false">(I22-H22)/(J22-H22)</f>
        <v>1.07549079692243</v>
      </c>
      <c r="X22" s="25" t="n">
        <f aca="false">0.5*(1+(I22-K22-L22)/(I22-K22))</f>
        <v>0.855218855218855</v>
      </c>
      <c r="Y22" s="25" t="n">
        <v>0.644044667190131</v>
      </c>
      <c r="Z22" s="26" t="n">
        <v>0.196040785823163</v>
      </c>
      <c r="AA22" s="27" t="n">
        <v>357.190973825104</v>
      </c>
      <c r="AB22" s="27" t="n">
        <v>219.251221075838</v>
      </c>
      <c r="AC22" s="28" t="n">
        <v>0.0174444444444444</v>
      </c>
      <c r="AD22" s="25" t="n">
        <v>0.653469286077209</v>
      </c>
      <c r="AE22" s="4" t="n">
        <v>0.232319997347543</v>
      </c>
      <c r="AF22" s="25" t="n">
        <v>0.197488470150862</v>
      </c>
      <c r="AG22" s="26" t="n">
        <f aca="false">SMALL(AE22:AF22,1)</f>
        <v>0.197488470150862</v>
      </c>
      <c r="AH22" s="27" t="n">
        <v>369.629850741498</v>
      </c>
      <c r="AI22" s="28" t="n">
        <v>0.0123</v>
      </c>
      <c r="AJ22" s="25" t="n">
        <v>0.658294900502874</v>
      </c>
      <c r="AK22" s="29" t="n">
        <v>0.230664595727379</v>
      </c>
      <c r="AN22" s="4" t="n">
        <f aca="false">(N22-$N$344)/$N$345</f>
        <v>0.111587142320844</v>
      </c>
      <c r="AO22" s="4" t="n">
        <f aca="false">(S22-$S$344)/$S$345</f>
        <v>-0.260987325107683</v>
      </c>
      <c r="AP22" s="4" t="n">
        <f aca="false">(Z22-$Z$344)/$Z$345</f>
        <v>-0.370192690611039</v>
      </c>
      <c r="AQ22" s="4" t="n">
        <f aca="false">(AE22-$AE$344)/$AE$345</f>
        <v>-0.469346625110837</v>
      </c>
    </row>
    <row r="23" customFormat="false" ht="14.25" hidden="false" customHeight="false" outlineLevel="0" collapsed="false">
      <c r="B23" s="1" t="n">
        <v>10</v>
      </c>
      <c r="C23" s="1" t="n">
        <v>4</v>
      </c>
      <c r="D23" s="2" t="n">
        <v>32.4666666666667</v>
      </c>
      <c r="E23" s="4" t="n">
        <v>3.514</v>
      </c>
      <c r="F23" s="1" t="n">
        <v>25</v>
      </c>
      <c r="G23" s="1" t="n">
        <v>36</v>
      </c>
      <c r="H23" s="3" t="n">
        <v>87.1206787100977</v>
      </c>
      <c r="I23" s="1" t="n">
        <v>600</v>
      </c>
      <c r="J23" s="39" t="n">
        <v>564</v>
      </c>
      <c r="K23" s="27" t="n">
        <v>303</v>
      </c>
      <c r="L23" s="39" t="n">
        <v>86</v>
      </c>
      <c r="M23" s="4" t="n">
        <v>0.3</v>
      </c>
      <c r="N23" s="26" t="n">
        <v>0.238164893953009</v>
      </c>
      <c r="O23" s="27" t="n">
        <v>370.585635343545</v>
      </c>
      <c r="P23" s="27" t="n">
        <v>219.251221075838</v>
      </c>
      <c r="Q23" s="28" t="n">
        <v>0.0174444444444444</v>
      </c>
      <c r="R23" s="25" t="n">
        <v>0.793882979843363</v>
      </c>
      <c r="S23" s="29" t="n">
        <v>0.204416404908698</v>
      </c>
      <c r="T23" s="27" t="n">
        <v>370.585635343545</v>
      </c>
      <c r="U23" s="27" t="n">
        <v>210</v>
      </c>
      <c r="V23" s="28" t="n">
        <v>0.0182558139534884</v>
      </c>
      <c r="W23" s="25" t="n">
        <f aca="false">(I23-H23)/(J23-H23)</f>
        <v>1.07549079692243</v>
      </c>
      <c r="X23" s="25" t="n">
        <f aca="false">0.5*(1+(I23-K23-L23)/(I23-K23))</f>
        <v>0.855218855218855</v>
      </c>
      <c r="Y23" s="25" t="n">
        <v>0.681388016362326</v>
      </c>
      <c r="Z23" s="26" t="n">
        <v>0.207678337512449</v>
      </c>
      <c r="AA23" s="27" t="n">
        <v>370.585635343545</v>
      </c>
      <c r="AB23" s="27" t="n">
        <v>219.251221075838</v>
      </c>
      <c r="AC23" s="28" t="n">
        <v>0.0174444444444444</v>
      </c>
      <c r="AD23" s="25" t="n">
        <v>0.692261125041495</v>
      </c>
      <c r="AE23" s="4" t="n">
        <v>0.241031997248076</v>
      </c>
      <c r="AF23" s="25" t="n">
        <v>0.212577823573326</v>
      </c>
      <c r="AG23" s="26" t="n">
        <f aca="false">SMALL(AE23:AF23,1)</f>
        <v>0.212577823573326</v>
      </c>
      <c r="AH23" s="27" t="n">
        <v>383.490970144304</v>
      </c>
      <c r="AI23" s="28" t="n">
        <v>0.0123</v>
      </c>
      <c r="AJ23" s="25" t="n">
        <v>0.708592745244421</v>
      </c>
      <c r="AK23" s="29" t="n">
        <v>0.249195289942156</v>
      </c>
      <c r="AN23" s="4" t="n">
        <f aca="false">(N23-$N$344)/$N$345</f>
        <v>0.268592761353481</v>
      </c>
      <c r="AO23" s="4" t="n">
        <f aca="false">(S23-$S$344)/$S$345</f>
        <v>-0.125857200383066</v>
      </c>
      <c r="AP23" s="4" t="n">
        <f aca="false">(Z23-$Z$344)/$Z$345</f>
        <v>-0.212120793344277</v>
      </c>
      <c r="AQ23" s="4" t="n">
        <f aca="false">(AE23-$AE$344)/$AE$345</f>
        <v>-0.35955916147053</v>
      </c>
    </row>
    <row r="24" customFormat="false" ht="14.25" hidden="false" customHeight="false" outlineLevel="0" collapsed="false">
      <c r="B24" s="1" t="n">
        <v>10</v>
      </c>
      <c r="C24" s="1" t="n">
        <v>4</v>
      </c>
      <c r="D24" s="2" t="n">
        <v>32.4666666666667</v>
      </c>
      <c r="E24" s="4" t="n">
        <v>3.514</v>
      </c>
      <c r="F24" s="1" t="n">
        <v>25</v>
      </c>
      <c r="G24" s="1" t="n">
        <v>36</v>
      </c>
      <c r="H24" s="3" t="n">
        <v>87.1206787100977</v>
      </c>
      <c r="I24" s="1" t="n">
        <v>600</v>
      </c>
      <c r="J24" s="39" t="n">
        <v>564</v>
      </c>
      <c r="K24" s="27" t="n">
        <v>303</v>
      </c>
      <c r="L24" s="39" t="n">
        <v>86</v>
      </c>
      <c r="M24" s="4" t="n">
        <v>0.3</v>
      </c>
      <c r="N24" s="26" t="n">
        <v>0.26040807618336</v>
      </c>
      <c r="O24" s="27" t="n">
        <v>392.910071207614</v>
      </c>
      <c r="P24" s="27" t="n">
        <v>219.251221075838</v>
      </c>
      <c r="Q24" s="28" t="n">
        <v>0.0174444444444444</v>
      </c>
      <c r="R24" s="25" t="n">
        <v>0.868026920611199</v>
      </c>
      <c r="S24" s="29" t="n">
        <v>0.223088079494795</v>
      </c>
      <c r="T24" s="27" t="n">
        <v>392.910071207614</v>
      </c>
      <c r="U24" s="27" t="n">
        <v>210</v>
      </c>
      <c r="V24" s="28" t="n">
        <v>0.0182558139534884</v>
      </c>
      <c r="W24" s="25" t="n">
        <f aca="false">(I24-H24)/(J24-H24)</f>
        <v>1.07549079692243</v>
      </c>
      <c r="X24" s="25" t="n">
        <f aca="false">0.5*(1+(I24-K24-L24)/(I24-K24))</f>
        <v>0.855218855218855</v>
      </c>
      <c r="Y24" s="25" t="n">
        <v>0.743626931649316</v>
      </c>
      <c r="Z24" s="26" t="n">
        <v>0.227074256994592</v>
      </c>
      <c r="AA24" s="27" t="n">
        <v>392.910071207614</v>
      </c>
      <c r="AB24" s="27" t="n">
        <v>219.251221075838</v>
      </c>
      <c r="AC24" s="28" t="n">
        <v>0.0174444444444444</v>
      </c>
      <c r="AD24" s="25" t="n">
        <v>0.756914189981972</v>
      </c>
      <c r="AE24" s="4" t="n">
        <v>0.255551997082298</v>
      </c>
      <c r="AF24" s="25" t="n">
        <v>0.238961048882543</v>
      </c>
      <c r="AG24" s="26" t="n">
        <f aca="false">SMALL(AE24:AF24,1)</f>
        <v>0.238961048882543</v>
      </c>
      <c r="AH24" s="27" t="n">
        <v>406.592835815647</v>
      </c>
      <c r="AI24" s="28" t="n">
        <v>0.0123</v>
      </c>
      <c r="AJ24" s="25" t="n">
        <v>0.796536829608477</v>
      </c>
      <c r="AK24" s="29" t="n">
        <v>0.280079780300117</v>
      </c>
      <c r="AN24" s="4" t="n">
        <f aca="false">(N24-$N$344)/$N$345</f>
        <v>0.530268793074542</v>
      </c>
      <c r="AO24" s="4" t="n">
        <f aca="false">(S24-$S$344)/$S$345</f>
        <v>0.0993596741579637</v>
      </c>
      <c r="AP24" s="4" t="n">
        <f aca="false">(Z24-$Z$344)/$Z$345</f>
        <v>0.0513323687669947</v>
      </c>
      <c r="AQ24" s="4" t="n">
        <f aca="false">(AE24-$AE$344)/$AE$345</f>
        <v>-0.17658005540335</v>
      </c>
    </row>
    <row r="25" customFormat="false" ht="14.25" hidden="false" customHeight="false" outlineLevel="0" collapsed="false">
      <c r="B25" s="1" t="n">
        <v>10</v>
      </c>
      <c r="C25" s="1" t="n">
        <v>4</v>
      </c>
      <c r="D25" s="2" t="n">
        <v>32.4666666666667</v>
      </c>
      <c r="E25" s="4" t="n">
        <v>3.514</v>
      </c>
      <c r="F25" s="1" t="n">
        <v>25</v>
      </c>
      <c r="G25" s="1" t="n">
        <v>36</v>
      </c>
      <c r="H25" s="3" t="n">
        <v>87.1206787100977</v>
      </c>
      <c r="I25" s="1" t="n">
        <v>600</v>
      </c>
      <c r="J25" s="39" t="n">
        <v>564</v>
      </c>
      <c r="K25" s="27" t="n">
        <v>303</v>
      </c>
      <c r="L25" s="39" t="n">
        <v>86</v>
      </c>
      <c r="M25" s="4" t="n">
        <v>0.38</v>
      </c>
      <c r="N25" s="26" t="n">
        <v>0.291548531305851</v>
      </c>
      <c r="O25" s="27" t="n">
        <v>424.164281417311</v>
      </c>
      <c r="P25" s="27" t="n">
        <v>219.251221075838</v>
      </c>
      <c r="Q25" s="28" t="n">
        <v>0.0174444444444444</v>
      </c>
      <c r="R25" s="25" t="n">
        <v>0.76723297712066</v>
      </c>
      <c r="S25" s="29" t="n">
        <v>0.249228423915331</v>
      </c>
      <c r="T25" s="27" t="n">
        <v>424.164281417311</v>
      </c>
      <c r="U25" s="27" t="n">
        <v>210</v>
      </c>
      <c r="V25" s="28" t="n">
        <v>0.0182558139534884</v>
      </c>
      <c r="W25" s="25" t="n">
        <f aca="false">(I25-H25)/(J25-H25)</f>
        <v>1.07549079692243</v>
      </c>
      <c r="X25" s="25" t="n">
        <f aca="false">0.5*(1+(I25-K25-L25)/(I25-K25))</f>
        <v>0.855218855218855</v>
      </c>
      <c r="Y25" s="25" t="n">
        <v>0.655864273461397</v>
      </c>
      <c r="Z25" s="26" t="n">
        <v>0.254228544269592</v>
      </c>
      <c r="AA25" s="27" t="n">
        <v>424.164281417311</v>
      </c>
      <c r="AB25" s="27" t="n">
        <v>219.251221075838</v>
      </c>
      <c r="AC25" s="28" t="n">
        <v>0.0174444444444444</v>
      </c>
      <c r="AD25" s="25" t="n">
        <v>0.669022484919979</v>
      </c>
      <c r="AE25" s="4" t="n">
        <v>0.275879996850208</v>
      </c>
      <c r="AF25" s="25" t="n">
        <v>0.278489600486177</v>
      </c>
      <c r="AG25" s="26" t="n">
        <f aca="false">SMALL(AE25:AF25,1)</f>
        <v>0.275879996850208</v>
      </c>
      <c r="AH25" s="27" t="n">
        <v>438.935447755528</v>
      </c>
      <c r="AI25" s="28" t="n">
        <v>0.0123</v>
      </c>
      <c r="AJ25" s="25" t="n">
        <v>0.725999991711073</v>
      </c>
      <c r="AK25" s="29" t="n">
        <v>0.323318066801263</v>
      </c>
      <c r="AN25" s="4" t="n">
        <f aca="false">(N25-$N$344)/$N$345</f>
        <v>0.896615237484028</v>
      </c>
      <c r="AO25" s="4" t="n">
        <f aca="false">(S25-$S$344)/$S$345</f>
        <v>0.414663298515405</v>
      </c>
      <c r="AP25" s="4" t="n">
        <f aca="false">(Z25-$Z$344)/$Z$345</f>
        <v>0.420166795722775</v>
      </c>
      <c r="AQ25" s="4" t="n">
        <f aca="false">(AE25-$AE$344)/$AE$345</f>
        <v>0.0795906930907006</v>
      </c>
    </row>
    <row r="26" customFormat="false" ht="14.25" hidden="false" customHeight="false" outlineLevel="0" collapsed="false">
      <c r="B26" s="1" t="n">
        <v>10</v>
      </c>
      <c r="C26" s="1" t="n">
        <v>4</v>
      </c>
      <c r="D26" s="2" t="n">
        <v>32.4666666666667</v>
      </c>
      <c r="E26" s="4" t="n">
        <v>3.514</v>
      </c>
      <c r="F26" s="1" t="n">
        <v>25</v>
      </c>
      <c r="G26" s="1" t="n">
        <v>36</v>
      </c>
      <c r="H26" s="3" t="n">
        <v>87.1206787100977</v>
      </c>
      <c r="I26" s="1" t="n">
        <v>600</v>
      </c>
      <c r="J26" s="39" t="n">
        <v>564</v>
      </c>
      <c r="K26" s="27" t="n">
        <v>303</v>
      </c>
      <c r="L26" s="39" t="n">
        <v>86</v>
      </c>
      <c r="M26" s="4" t="n">
        <v>0.44</v>
      </c>
      <c r="N26" s="26" t="n">
        <v>0.358278077996903</v>
      </c>
      <c r="O26" s="27" t="n">
        <v>491.137589009518</v>
      </c>
      <c r="P26" s="27" t="n">
        <v>219.251221075838</v>
      </c>
      <c r="Q26" s="28" t="n">
        <v>0.0174444444444444</v>
      </c>
      <c r="R26" s="25" t="n">
        <v>0.814268359083871</v>
      </c>
      <c r="S26" s="29" t="n">
        <v>0.305243447673623</v>
      </c>
      <c r="T26" s="27" t="n">
        <v>491.137589009518</v>
      </c>
      <c r="U26" s="27" t="n">
        <v>210</v>
      </c>
      <c r="V26" s="28" t="n">
        <v>0.0182558139534884</v>
      </c>
      <c r="W26" s="25" t="n">
        <f aca="false">(I26-H26)/(J26-H26)</f>
        <v>1.07549079692243</v>
      </c>
      <c r="X26" s="25" t="n">
        <f aca="false">0.5*(1+(I26-K26-L26)/(I26-K26))</f>
        <v>0.855218855218855</v>
      </c>
      <c r="Y26" s="25" t="n">
        <v>0.693735108349142</v>
      </c>
      <c r="Z26" s="26" t="n">
        <v>0.312416302716021</v>
      </c>
      <c r="AA26" s="27" t="n">
        <v>491.137589009518</v>
      </c>
      <c r="AB26" s="27" t="n">
        <v>219.251221075838</v>
      </c>
      <c r="AC26" s="28" t="n">
        <v>0.0174444444444444</v>
      </c>
      <c r="AD26" s="25" t="n">
        <v>0.710037051627321</v>
      </c>
      <c r="AE26" s="4" t="n">
        <v>0.319439996352872</v>
      </c>
      <c r="AF26" s="25" t="n">
        <v>0.373376638878974</v>
      </c>
      <c r="AG26" s="26" t="n">
        <f aca="false">SMALL(AE26:AF26,1)</f>
        <v>0.319439996352872</v>
      </c>
      <c r="AH26" s="27" t="n">
        <v>508.241044769559</v>
      </c>
      <c r="AI26" s="28" t="n">
        <v>0.0123</v>
      </c>
      <c r="AJ26" s="25" t="n">
        <v>0.725999991711073</v>
      </c>
      <c r="AK26" s="29" t="n">
        <v>0.415971537875147</v>
      </c>
      <c r="AN26" s="4" t="n">
        <f aca="false">(N26-$N$344)/$N$345</f>
        <v>1.68164333264721</v>
      </c>
      <c r="AO26" s="4" t="n">
        <f aca="false">(S26-$S$344)/$S$345</f>
        <v>1.09031392213849</v>
      </c>
      <c r="AP26" s="4" t="n">
        <f aca="false">(Z26-$Z$344)/$Z$345</f>
        <v>1.21052628205659</v>
      </c>
      <c r="AQ26" s="4" t="n">
        <f aca="false">(AE26-$AE$344)/$AE$345</f>
        <v>0.628528011292239</v>
      </c>
    </row>
    <row r="27" customFormat="false" ht="14.25" hidden="false" customHeight="false" outlineLevel="0" collapsed="false">
      <c r="A27" s="0" t="s">
        <v>26</v>
      </c>
      <c r="B27" s="1" t="n">
        <v>16</v>
      </c>
      <c r="C27" s="1" t="n">
        <v>4</v>
      </c>
      <c r="D27" s="2" t="n">
        <v>37</v>
      </c>
      <c r="E27" s="4" t="n">
        <v>4.2588</v>
      </c>
      <c r="F27" s="1" t="n">
        <v>33</v>
      </c>
      <c r="G27" s="1" t="n">
        <v>59</v>
      </c>
      <c r="H27" s="3" t="n">
        <v>86</v>
      </c>
      <c r="I27" s="1" t="n">
        <v>250</v>
      </c>
      <c r="J27" s="39" t="n">
        <v>191</v>
      </c>
      <c r="K27" s="27" t="n">
        <v>132</v>
      </c>
      <c r="L27" s="39" t="n">
        <v>132</v>
      </c>
      <c r="M27" s="4" t="n">
        <v>0.18</v>
      </c>
      <c r="N27" s="26" t="n">
        <v>0.0534417672094403</v>
      </c>
      <c r="O27" s="40" t="n">
        <v>140.041965597591</v>
      </c>
      <c r="P27" s="27" t="n">
        <v>60</v>
      </c>
      <c r="Q27" s="28" t="n">
        <v>0.1168</v>
      </c>
      <c r="R27" s="41" t="n">
        <v>0.296898706719113</v>
      </c>
      <c r="S27" s="29" t="n">
        <v>0.0547132573499686</v>
      </c>
      <c r="T27" s="27" t="n">
        <v>140.041965597591</v>
      </c>
      <c r="U27" s="27" t="n">
        <v>128</v>
      </c>
      <c r="V27" s="28" t="n">
        <v>0.0408</v>
      </c>
      <c r="W27" s="25" t="n">
        <f aca="false">(I27-H27)/(J27-H27)</f>
        <v>1.56190476190476</v>
      </c>
      <c r="X27" s="25" t="n">
        <f aca="false">0.5*(1+(I27-K27-L27)/(I27-K27))</f>
        <v>0.440677966101695</v>
      </c>
      <c r="Y27" s="25" t="n">
        <v>0.303962540833159</v>
      </c>
      <c r="Z27" s="26" t="n">
        <v>0.0695899270348662</v>
      </c>
      <c r="AA27" s="27" t="n">
        <v>140.041965597591</v>
      </c>
      <c r="AB27" s="27" t="n">
        <v>60</v>
      </c>
      <c r="AC27" s="28" t="n">
        <v>0.1168</v>
      </c>
      <c r="AD27" s="25" t="n">
        <v>0.386610705749257</v>
      </c>
      <c r="AE27" s="4" t="n">
        <v>0.0497776641482087</v>
      </c>
      <c r="AF27" s="25" t="n">
        <v>0.0444588449024558</v>
      </c>
      <c r="AG27" s="26" t="n">
        <f aca="false">SMALL(AE27:AF27,1)</f>
        <v>0.0444588449024558</v>
      </c>
      <c r="AH27" s="27" t="n">
        <v>150.070861621726</v>
      </c>
      <c r="AI27" s="28" t="n">
        <v>0.0545</v>
      </c>
      <c r="AJ27" s="25" t="n">
        <v>0.246993582791421</v>
      </c>
      <c r="AK27" s="29" t="n">
        <v>0.0792370693474501</v>
      </c>
      <c r="AN27" s="4" t="n">
        <f aca="false">(N27-$N$344)/$N$345</f>
        <v>-1.90455019421729</v>
      </c>
      <c r="AO27" s="4" t="n">
        <f aca="false">(S27-$S$344)/$S$345</f>
        <v>-1.93156963644041</v>
      </c>
      <c r="AP27" s="4" t="n">
        <f aca="false">(Z27-$Z$344)/$Z$345</f>
        <v>-2.08776419476856</v>
      </c>
      <c r="AQ27" s="4" t="n">
        <f aca="false">(AE27-$AE$344)/$AE$345</f>
        <v>-2.76972082136319</v>
      </c>
    </row>
    <row r="28" customFormat="false" ht="14.25" hidden="false" customHeight="false" outlineLevel="0" collapsed="false">
      <c r="B28" s="1" t="n">
        <v>16</v>
      </c>
      <c r="C28" s="1" t="n">
        <v>4</v>
      </c>
      <c r="D28" s="2" t="n">
        <v>37</v>
      </c>
      <c r="E28" s="4" t="n">
        <v>4.2588</v>
      </c>
      <c r="F28" s="1" t="n">
        <v>33</v>
      </c>
      <c r="G28" s="1" t="n">
        <v>59</v>
      </c>
      <c r="H28" s="3" t="n">
        <v>86</v>
      </c>
      <c r="I28" s="1" t="n">
        <v>250</v>
      </c>
      <c r="J28" s="39" t="n">
        <v>191</v>
      </c>
      <c r="K28" s="27" t="n">
        <v>132</v>
      </c>
      <c r="L28" s="39" t="n">
        <v>132</v>
      </c>
      <c r="M28" s="4" t="n">
        <v>0.2</v>
      </c>
      <c r="N28" s="26" t="n">
        <v>0.0849919226631271</v>
      </c>
      <c r="O28" s="40" t="n">
        <v>201.598873552576</v>
      </c>
      <c r="P28" s="27" t="n">
        <v>60</v>
      </c>
      <c r="Q28" s="28" t="n">
        <v>0.1168</v>
      </c>
      <c r="R28" s="41" t="n">
        <v>0.424959613315635</v>
      </c>
      <c r="S28" s="29" t="n">
        <v>0.107787020276924</v>
      </c>
      <c r="T28" s="27" t="n">
        <v>201.598873552576</v>
      </c>
      <c r="U28" s="27" t="n">
        <v>128</v>
      </c>
      <c r="V28" s="28" t="n">
        <v>0.0408</v>
      </c>
      <c r="W28" s="25" t="n">
        <f aca="false">(I28-H28)/(J28-H28)</f>
        <v>1.56190476190476</v>
      </c>
      <c r="X28" s="25" t="n">
        <f aca="false">0.5*(1+(I28-K28-L28)/(I28-K28))</f>
        <v>0.440677966101695</v>
      </c>
      <c r="Y28" s="25" t="n">
        <v>0.53893510138462</v>
      </c>
      <c r="Z28" s="26" t="n">
        <v>0.110673392844599</v>
      </c>
      <c r="AA28" s="27" t="n">
        <v>201.598873552576</v>
      </c>
      <c r="AB28" s="27" t="n">
        <v>60</v>
      </c>
      <c r="AC28" s="28" t="n">
        <v>0.1168</v>
      </c>
      <c r="AD28" s="25" t="n">
        <v>0.553366964222996</v>
      </c>
      <c r="AE28" s="4" t="n">
        <v>0.0716579560814873</v>
      </c>
      <c r="AF28" s="25" t="n">
        <v>0.092133587413482</v>
      </c>
      <c r="AG28" s="26" t="n">
        <f aca="false">SMALL(AE28:AF28,1)</f>
        <v>0.0716579560814873</v>
      </c>
      <c r="AH28" s="27" t="n">
        <v>216.036075521386</v>
      </c>
      <c r="AI28" s="28" t="n">
        <v>0.0545</v>
      </c>
      <c r="AJ28" s="25" t="n">
        <v>0.358289780407436</v>
      </c>
      <c r="AK28" s="29" t="n">
        <v>0.133574265126833</v>
      </c>
      <c r="AN28" s="4" t="n">
        <f aca="false">(N28-$N$344)/$N$345</f>
        <v>-1.53338390183138</v>
      </c>
      <c r="AO28" s="4" t="n">
        <f aca="false">(S28-$S$344)/$S$345</f>
        <v>-1.2913963648132</v>
      </c>
      <c r="AP28" s="4" t="n">
        <f aca="false">(Z28-$Z$344)/$Z$345</f>
        <v>-1.52973089358739</v>
      </c>
      <c r="AQ28" s="4" t="n">
        <f aca="false">(AE28-$AE$344)/$AE$345</f>
        <v>-2.49398829352911</v>
      </c>
    </row>
    <row r="29" customFormat="false" ht="14.25" hidden="false" customHeight="false" outlineLevel="0" collapsed="false">
      <c r="B29" s="1" t="n">
        <v>16</v>
      </c>
      <c r="C29" s="1" t="n">
        <v>4</v>
      </c>
      <c r="D29" s="2" t="n">
        <v>37</v>
      </c>
      <c r="E29" s="4" t="n">
        <v>4.2588</v>
      </c>
      <c r="F29" s="1" t="n">
        <v>33</v>
      </c>
      <c r="G29" s="1" t="n">
        <v>59</v>
      </c>
      <c r="H29" s="3" t="n">
        <v>86</v>
      </c>
      <c r="I29" s="1" t="n">
        <v>250</v>
      </c>
      <c r="J29" s="39" t="n">
        <v>191</v>
      </c>
      <c r="K29" s="27" t="n">
        <v>132</v>
      </c>
      <c r="L29" s="39" t="n">
        <v>132</v>
      </c>
      <c r="M29" s="4" t="n">
        <v>0.26</v>
      </c>
      <c r="N29" s="26" t="n">
        <v>0.106682654537537</v>
      </c>
      <c r="O29" s="40" t="n">
        <v>243.919247771628</v>
      </c>
      <c r="P29" s="27" t="n">
        <v>60</v>
      </c>
      <c r="Q29" s="28" t="n">
        <v>0.1168</v>
      </c>
      <c r="R29" s="41" t="n">
        <v>0.410317902067449</v>
      </c>
      <c r="S29" s="29" t="n">
        <v>0.144275232289206</v>
      </c>
      <c r="T29" s="27" t="n">
        <v>243.919247771628</v>
      </c>
      <c r="U29" s="27" t="n">
        <v>128</v>
      </c>
      <c r="V29" s="28" t="n">
        <v>0.0408</v>
      </c>
      <c r="W29" s="25" t="n">
        <f aca="false">(I29-H29)/(J29-H29)</f>
        <v>1.56190476190476</v>
      </c>
      <c r="X29" s="25" t="n">
        <f aca="false">0.5*(1+(I29-K29-L29)/(I29-K29))</f>
        <v>0.440677966101695</v>
      </c>
      <c r="Y29" s="25" t="n">
        <v>0.554904739573869</v>
      </c>
      <c r="Z29" s="26" t="n">
        <v>0.138918275588791</v>
      </c>
      <c r="AA29" s="27" t="n">
        <v>243.919247771628</v>
      </c>
      <c r="AB29" s="27" t="n">
        <v>60</v>
      </c>
      <c r="AC29" s="28" t="n">
        <v>0.1168</v>
      </c>
      <c r="AD29" s="25" t="n">
        <v>0.534301059956887</v>
      </c>
      <c r="AE29" s="4" t="n">
        <v>0.0867006567856163</v>
      </c>
      <c r="AF29" s="25" t="n">
        <v>0.134875765771129</v>
      </c>
      <c r="AG29" s="26" t="n">
        <f aca="false">SMALL(AE29:AF29,1)</f>
        <v>0.0867006567856163</v>
      </c>
      <c r="AH29" s="27" t="n">
        <v>261.387160077402</v>
      </c>
      <c r="AI29" s="28" t="n">
        <v>0.0545</v>
      </c>
      <c r="AJ29" s="25" t="n">
        <v>0.333464064560063</v>
      </c>
      <c r="AK29" s="29" t="n">
        <v>0.170931087225159</v>
      </c>
      <c r="AN29" s="4" t="n">
        <f aca="false">(N29-$N$344)/$N$345</f>
        <v>-1.27820707581607</v>
      </c>
      <c r="AO29" s="4" t="n">
        <f aca="false">(S29-$S$344)/$S$345</f>
        <v>-0.85127724056949</v>
      </c>
      <c r="AP29" s="4" t="n">
        <f aca="false">(Z29-$Z$344)/$Z$345</f>
        <v>-1.14608299902533</v>
      </c>
      <c r="AQ29" s="4" t="n">
        <f aca="false">(AE29-$AE$344)/$AE$345</f>
        <v>-2.30442218064319</v>
      </c>
    </row>
    <row r="30" customFormat="false" ht="14.25" hidden="false" customHeight="false" outlineLevel="0" collapsed="false">
      <c r="B30" s="1" t="n">
        <v>16</v>
      </c>
      <c r="C30" s="1" t="n">
        <v>4</v>
      </c>
      <c r="D30" s="2" t="n">
        <v>37</v>
      </c>
      <c r="E30" s="4" t="n">
        <v>4.2588</v>
      </c>
      <c r="F30" s="1" t="n">
        <v>33</v>
      </c>
      <c r="G30" s="1" t="n">
        <v>59</v>
      </c>
      <c r="H30" s="3" t="n">
        <v>86</v>
      </c>
      <c r="I30" s="1" t="n">
        <v>250</v>
      </c>
      <c r="J30" s="39" t="n">
        <v>191</v>
      </c>
      <c r="K30" s="27" t="n">
        <v>132</v>
      </c>
      <c r="L30" s="39" t="n">
        <v>132</v>
      </c>
      <c r="M30" s="4" t="n">
        <v>0.44</v>
      </c>
      <c r="N30" s="26" t="n">
        <v>0.142570956366105</v>
      </c>
      <c r="O30" s="40" t="n">
        <v>313.940230570424</v>
      </c>
      <c r="P30" s="27" t="n">
        <v>60</v>
      </c>
      <c r="Q30" s="28" t="n">
        <v>0.1168</v>
      </c>
      <c r="R30" s="41" t="n">
        <v>0.324024900832058</v>
      </c>
      <c r="S30" s="29" t="n">
        <v>0.204646637618618</v>
      </c>
      <c r="T30" s="27" t="n">
        <v>313.940230570424</v>
      </c>
      <c r="U30" s="27" t="n">
        <v>128</v>
      </c>
      <c r="V30" s="28" t="n">
        <v>0.0408</v>
      </c>
      <c r="W30" s="25" t="n">
        <f aca="false">(I30-H30)/(J30-H30)</f>
        <v>1.56190476190476</v>
      </c>
      <c r="X30" s="25" t="n">
        <f aca="false">0.5*(1+(I30-K30-L30)/(I30-K30))</f>
        <v>0.440677966101695</v>
      </c>
      <c r="Y30" s="25" t="n">
        <v>0.465105994587768</v>
      </c>
      <c r="Z30" s="26" t="n">
        <v>0.185650717947362</v>
      </c>
      <c r="AA30" s="27" t="n">
        <v>313.940230570424</v>
      </c>
      <c r="AB30" s="27" t="n">
        <v>60</v>
      </c>
      <c r="AC30" s="28" t="n">
        <v>0.1168</v>
      </c>
      <c r="AD30" s="25" t="n">
        <v>0.421933449880368</v>
      </c>
      <c r="AE30" s="4" t="n">
        <v>0.111589488859721</v>
      </c>
      <c r="AF30" s="25" t="n">
        <v>0.223427036524647</v>
      </c>
      <c r="AG30" s="26" t="n">
        <f aca="false">SMALL(AE30:AF30,1)</f>
        <v>0.111589488859721</v>
      </c>
      <c r="AH30" s="27" t="n">
        <v>336.422590888265</v>
      </c>
      <c r="AI30" s="28" t="n">
        <v>0.0545</v>
      </c>
      <c r="AJ30" s="25" t="n">
        <v>0.253612474681183</v>
      </c>
      <c r="AK30" s="29" t="n">
        <v>0.232739647424208</v>
      </c>
      <c r="AN30" s="4" t="n">
        <f aca="false">(N30-$N$344)/$N$345</f>
        <v>-0.856005418227103</v>
      </c>
      <c r="AO30" s="4" t="n">
        <f aca="false">(S30-$S$344)/$S$345</f>
        <v>-0.12308014409354</v>
      </c>
      <c r="AP30" s="4" t="n">
        <f aca="false">(Z30-$Z$344)/$Z$345</f>
        <v>-0.511320118931753</v>
      </c>
      <c r="AQ30" s="4" t="n">
        <f aca="false">(AE30-$AE$344)/$AE$345</f>
        <v>-1.99077643023193</v>
      </c>
    </row>
    <row r="31" customFormat="false" ht="14.25" hidden="false" customHeight="false" outlineLevel="0" collapsed="false">
      <c r="B31" s="1" t="n">
        <v>16</v>
      </c>
      <c r="C31" s="1" t="n">
        <v>4</v>
      </c>
      <c r="D31" s="2" t="n">
        <v>37</v>
      </c>
      <c r="E31" s="4" t="n">
        <v>4.2588</v>
      </c>
      <c r="F31" s="1" t="n">
        <v>33</v>
      </c>
      <c r="G31" s="1" t="n">
        <v>59</v>
      </c>
      <c r="H31" s="3" t="n">
        <v>86</v>
      </c>
      <c r="I31" s="1" t="n">
        <v>250</v>
      </c>
      <c r="J31" s="39" t="n">
        <v>191</v>
      </c>
      <c r="K31" s="27" t="n">
        <v>132</v>
      </c>
      <c r="L31" s="39" t="n">
        <v>132</v>
      </c>
      <c r="M31" s="4" t="n">
        <v>0.6</v>
      </c>
      <c r="N31" s="26" t="n">
        <v>0.19502308980786</v>
      </c>
      <c r="O31" s="40" t="n">
        <v>416.278590045587</v>
      </c>
      <c r="P31" s="27" t="n">
        <v>60</v>
      </c>
      <c r="Q31" s="28" t="n">
        <v>0.1168</v>
      </c>
      <c r="R31" s="41" t="n">
        <v>0.3250384830131</v>
      </c>
      <c r="S31" s="29" t="n">
        <v>0.292881768484681</v>
      </c>
      <c r="T31" s="27" t="n">
        <v>416.278590045587</v>
      </c>
      <c r="U31" s="27" t="n">
        <v>128</v>
      </c>
      <c r="V31" s="28" t="n">
        <v>0.0408</v>
      </c>
      <c r="W31" s="25" t="n">
        <f aca="false">(I31-H31)/(J31-H31)</f>
        <v>1.56190476190476</v>
      </c>
      <c r="X31" s="25" t="n">
        <f aca="false">0.5*(1+(I31-K31-L31)/(I31-K31))</f>
        <v>0.440677966101695</v>
      </c>
      <c r="Y31" s="25" t="n">
        <v>0.488136280807802</v>
      </c>
      <c r="Z31" s="26" t="n">
        <v>0.253951979856043</v>
      </c>
      <c r="AA31" s="27" t="n">
        <v>416.278590045587</v>
      </c>
      <c r="AB31" s="27" t="n">
        <v>60</v>
      </c>
      <c r="AC31" s="28" t="n">
        <v>0.1168</v>
      </c>
      <c r="AD31" s="25" t="n">
        <v>0.423253299760072</v>
      </c>
      <c r="AE31" s="4" t="n">
        <v>0.147965474198796</v>
      </c>
      <c r="AF31" s="25" t="n">
        <v>0.392834777952411</v>
      </c>
      <c r="AG31" s="26" t="n">
        <f aca="false">SMALL(AE31:AF31,1)</f>
        <v>0.147965474198796</v>
      </c>
      <c r="AH31" s="27" t="n">
        <v>446.089758996449</v>
      </c>
      <c r="AI31" s="28" t="n">
        <v>0.0545</v>
      </c>
      <c r="AJ31" s="25" t="n">
        <v>0.24660912366466</v>
      </c>
      <c r="AK31" s="29" t="n">
        <v>0.323075235407432</v>
      </c>
      <c r="AN31" s="4" t="n">
        <f aca="false">(N31-$N$344)/$N$345</f>
        <v>-0.238941457135534</v>
      </c>
      <c r="AO31" s="4" t="n">
        <f aca="false">(S31-$S$344)/$S$345</f>
        <v>0.941207919986697</v>
      </c>
      <c r="AP31" s="4" t="n">
        <f aca="false">(Z31-$Z$344)/$Z$345</f>
        <v>0.416410244281947</v>
      </c>
      <c r="AQ31" s="4" t="n">
        <f aca="false">(AE31-$AE$344)/$AE$345</f>
        <v>-1.53237110270778</v>
      </c>
    </row>
    <row r="32" customFormat="false" ht="14.25" hidden="false" customHeight="false" outlineLevel="0" collapsed="false">
      <c r="A32" s="0" t="s">
        <v>27</v>
      </c>
      <c r="B32" s="1" t="n">
        <v>12</v>
      </c>
      <c r="C32" s="1" t="n">
        <v>4</v>
      </c>
      <c r="D32" s="2" t="n">
        <v>79.3</v>
      </c>
      <c r="E32" s="4" t="n">
        <v>2.69332921131829</v>
      </c>
      <c r="F32" s="1" t="n">
        <v>20</v>
      </c>
      <c r="G32" s="1" t="n">
        <v>38</v>
      </c>
      <c r="H32" s="3" t="n">
        <v>76.1694282016424</v>
      </c>
      <c r="I32" s="1" t="n">
        <v>450</v>
      </c>
      <c r="J32" s="39" t="n">
        <v>412</v>
      </c>
      <c r="K32" s="27" t="n">
        <v>228</v>
      </c>
      <c r="L32" s="39" t="n">
        <v>98</v>
      </c>
      <c r="M32" s="4" t="n">
        <v>0.36</v>
      </c>
      <c r="N32" s="26" t="n">
        <v>0.243492377830339</v>
      </c>
      <c r="O32" s="27" t="n">
        <v>300.432956249241</v>
      </c>
      <c r="P32" s="27" t="n">
        <v>216.141372464892</v>
      </c>
      <c r="Q32" s="28" t="n">
        <v>0.013593984962406</v>
      </c>
      <c r="R32" s="25" t="n">
        <v>0.676367716195387</v>
      </c>
      <c r="S32" s="29" t="n">
        <v>0.234277041464278</v>
      </c>
      <c r="T32" s="27" t="n">
        <v>300.432956249241</v>
      </c>
      <c r="U32" s="27" t="n">
        <v>222</v>
      </c>
      <c r="V32" s="28" t="n">
        <v>0.0131778425655977</v>
      </c>
      <c r="W32" s="25" t="n">
        <f aca="false">(I32-H32)/(J32-H32)</f>
        <v>1.113152295208</v>
      </c>
      <c r="X32" s="25" t="n">
        <f aca="false">0.5*(1+(I32-K32-L32)/(I32-K32))</f>
        <v>0.779279279279279</v>
      </c>
      <c r="Y32" s="25" t="n">
        <v>0.650769559622994</v>
      </c>
      <c r="Z32" s="26" t="n">
        <v>0.196542974108381</v>
      </c>
      <c r="AA32" s="27" t="n">
        <v>300.432956249241</v>
      </c>
      <c r="AB32" s="27" t="n">
        <v>216.141372464892</v>
      </c>
      <c r="AC32" s="28" t="n">
        <v>0.013593984962406</v>
      </c>
      <c r="AD32" s="25" t="n">
        <v>0.545952705856613</v>
      </c>
      <c r="AE32" s="4" t="n">
        <v>0.223463390024859</v>
      </c>
      <c r="AF32" s="25" t="n">
        <v>0.226934289651311</v>
      </c>
      <c r="AG32" s="26" t="n">
        <f aca="false">SMALL(AE32:AF32,1)</f>
        <v>0.223463390024859</v>
      </c>
      <c r="AH32" s="27" t="n">
        <v>309.032955202506</v>
      </c>
      <c r="AI32" s="28" t="n">
        <v>0.0136</v>
      </c>
      <c r="AJ32" s="25" t="n">
        <v>0.620731638957942</v>
      </c>
      <c r="AK32" s="29" t="n">
        <v>0.230899721708235</v>
      </c>
      <c r="AN32" s="4" t="n">
        <f aca="false">(N32-$N$344)/$N$345</f>
        <v>0.331267014778227</v>
      </c>
      <c r="AO32" s="4" t="n">
        <f aca="false">(S32-$S$344)/$S$345</f>
        <v>0.234320415494027</v>
      </c>
      <c r="AP32" s="4" t="n">
        <f aca="false">(Z32-$Z$344)/$Z$345</f>
        <v>-0.363371508875483</v>
      </c>
      <c r="AQ32" s="4" t="n">
        <f aca="false">(AE32-$AE$344)/$AE$345</f>
        <v>-0.580956412245502</v>
      </c>
    </row>
    <row r="33" customFormat="false" ht="14.25" hidden="false" customHeight="false" outlineLevel="0" collapsed="false">
      <c r="B33" s="1" t="n">
        <v>12</v>
      </c>
      <c r="C33" s="1" t="n">
        <v>4</v>
      </c>
      <c r="D33" s="2" t="n">
        <v>79.3</v>
      </c>
      <c r="E33" s="4" t="n">
        <v>2.69332921131829</v>
      </c>
      <c r="F33" s="1" t="n">
        <v>20</v>
      </c>
      <c r="G33" s="1" t="n">
        <v>38</v>
      </c>
      <c r="H33" s="3" t="n">
        <v>76.1694282016424</v>
      </c>
      <c r="I33" s="1" t="n">
        <v>450</v>
      </c>
      <c r="J33" s="39" t="n">
        <v>412</v>
      </c>
      <c r="K33" s="27" t="n">
        <v>228</v>
      </c>
      <c r="L33" s="39" t="n">
        <v>98</v>
      </c>
      <c r="M33" s="4" t="n">
        <v>0.43</v>
      </c>
      <c r="N33" s="26" t="n">
        <v>0.36590013330846</v>
      </c>
      <c r="O33" s="27" t="n">
        <v>386.270943749024</v>
      </c>
      <c r="P33" s="27" t="n">
        <v>216.141372464892</v>
      </c>
      <c r="Q33" s="28" t="n">
        <v>0.013593984962406</v>
      </c>
      <c r="R33" s="25" t="n">
        <v>0.850930542577813</v>
      </c>
      <c r="S33" s="29" t="n">
        <v>0.354699637155838</v>
      </c>
      <c r="T33" s="27" t="n">
        <v>386.270943749024</v>
      </c>
      <c r="U33" s="27" t="n">
        <v>222</v>
      </c>
      <c r="V33" s="28" t="n">
        <v>0.0131778425655977</v>
      </c>
      <c r="W33" s="25" t="n">
        <f aca="false">(I33-H33)/(J33-H33)</f>
        <v>1.113152295208</v>
      </c>
      <c r="X33" s="25" t="n">
        <f aca="false">0.5*(1+(I33-K33-L33)/(I33-K33))</f>
        <v>0.779279279279279</v>
      </c>
      <c r="Y33" s="25" t="n">
        <v>0.8248828771066</v>
      </c>
      <c r="Z33" s="26" t="n">
        <v>0.279764021355549</v>
      </c>
      <c r="AA33" s="27" t="n">
        <v>386.270943749024</v>
      </c>
      <c r="AB33" s="27" t="n">
        <v>216.141372464892</v>
      </c>
      <c r="AC33" s="28" t="n">
        <v>0.013593984962406</v>
      </c>
      <c r="AD33" s="25" t="n">
        <v>0.650614003152439</v>
      </c>
      <c r="AE33" s="4" t="n">
        <v>0.287310072889104</v>
      </c>
      <c r="AF33" s="25" t="n">
        <v>0.375136274729718</v>
      </c>
      <c r="AG33" s="26" t="n">
        <f aca="false">SMALL(AE33:AF33,1)</f>
        <v>0.287310072889104</v>
      </c>
      <c r="AH33" s="27" t="n">
        <v>397.328085260365</v>
      </c>
      <c r="AI33" s="28" t="n">
        <v>0.0136</v>
      </c>
      <c r="AJ33" s="25" t="n">
        <v>0.668162960207219</v>
      </c>
      <c r="AK33" s="29" t="n">
        <v>0.360545220936454</v>
      </c>
      <c r="AN33" s="4" t="n">
        <f aca="false">(N33-$N$344)/$N$345</f>
        <v>1.77131167087469</v>
      </c>
      <c r="AO33" s="4" t="n">
        <f aca="false">(S33-$S$344)/$S$345</f>
        <v>1.68685219033362</v>
      </c>
      <c r="AP33" s="4" t="n">
        <f aca="false">(Z33-$Z$344)/$Z$345</f>
        <v>0.767013058438437</v>
      </c>
      <c r="AQ33" s="4" t="n">
        <f aca="false">(AE33-$AE$344)/$AE$345</f>
        <v>0.223630990594555</v>
      </c>
    </row>
    <row r="34" customFormat="false" ht="14.25" hidden="false" customHeight="false" outlineLevel="0" collapsed="false">
      <c r="B34" s="1" t="n">
        <v>12</v>
      </c>
      <c r="C34" s="1" t="n">
        <v>4</v>
      </c>
      <c r="D34" s="2" t="n">
        <v>79.3</v>
      </c>
      <c r="E34" s="4" t="n">
        <v>2.69332921131829</v>
      </c>
      <c r="F34" s="1" t="n">
        <v>20</v>
      </c>
      <c r="G34" s="1" t="n">
        <v>38</v>
      </c>
      <c r="H34" s="3" t="n">
        <v>76.1694282016424</v>
      </c>
      <c r="I34" s="1" t="n">
        <v>450</v>
      </c>
      <c r="J34" s="39" t="n">
        <v>412</v>
      </c>
      <c r="K34" s="27" t="n">
        <v>228</v>
      </c>
      <c r="L34" s="39" t="n">
        <v>98</v>
      </c>
      <c r="M34" s="4" t="n">
        <v>0.56</v>
      </c>
      <c r="N34" s="26" t="n">
        <v>0.52808145784571</v>
      </c>
      <c r="O34" s="27" t="n">
        <v>500</v>
      </c>
      <c r="P34" s="27" t="n">
        <v>216.141372464892</v>
      </c>
      <c r="Q34" s="28" t="n">
        <v>0.013593984962406</v>
      </c>
      <c r="R34" s="25" t="n">
        <v>0.943002603295911</v>
      </c>
      <c r="S34" s="29" t="n">
        <v>0.51425077014726</v>
      </c>
      <c r="T34" s="27" t="n">
        <v>500</v>
      </c>
      <c r="U34" s="27" t="n">
        <v>222</v>
      </c>
      <c r="V34" s="28" t="n">
        <v>0.0131778425655977</v>
      </c>
      <c r="W34" s="25" t="n">
        <f aca="false">(I34-H34)/(J34-H34)</f>
        <v>1.113152295208</v>
      </c>
      <c r="X34" s="25" t="n">
        <f aca="false">0.5*(1+(I34-K34-L34)/(I34-K34))</f>
        <v>0.779279279279279</v>
      </c>
      <c r="Y34" s="25" t="n">
        <v>0.918304946691535</v>
      </c>
      <c r="Z34" s="26" t="n">
        <v>0.403766434612558</v>
      </c>
      <c r="AA34" s="27" t="n">
        <v>500</v>
      </c>
      <c r="AB34" s="27" t="n">
        <v>216.141372464892</v>
      </c>
      <c r="AC34" s="28" t="n">
        <v>0.013593984962406</v>
      </c>
      <c r="AD34" s="25" t="n">
        <v>0.721011490379568</v>
      </c>
      <c r="AE34" s="4" t="n">
        <v>0.361552685988499</v>
      </c>
      <c r="AF34" s="25" t="n">
        <v>0.594060315120875</v>
      </c>
      <c r="AG34" s="26" t="n">
        <f aca="false">SMALL(AE34:AF34,1)</f>
        <v>0.361552685988499</v>
      </c>
      <c r="AH34" s="27" t="n">
        <v>500</v>
      </c>
      <c r="AI34" s="28" t="n">
        <v>0.0136</v>
      </c>
      <c r="AJ34" s="25" t="n">
        <v>0.645629796408033</v>
      </c>
      <c r="AK34" s="29" t="n">
        <v>0.477290474409468</v>
      </c>
      <c r="AN34" s="4" t="n">
        <f aca="false">(N34-$N$344)/$N$345</f>
        <v>3.6792655321826</v>
      </c>
      <c r="AO34" s="4" t="n">
        <f aca="false">(S34-$S$344)/$S$345</f>
        <v>3.6113505708144</v>
      </c>
      <c r="AP34" s="4" t="n">
        <f aca="false">(Z34-$Z$344)/$Z$345</f>
        <v>2.45132753046255</v>
      </c>
      <c r="AQ34" s="4" t="n">
        <f aca="false">(AE34-$AE$344)/$AE$345</f>
        <v>1.15922652310973</v>
      </c>
    </row>
    <row r="35" customFormat="false" ht="14.25" hidden="false" customHeight="false" outlineLevel="0" collapsed="false">
      <c r="B35" s="1" t="n">
        <v>12</v>
      </c>
      <c r="C35" s="1" t="n">
        <v>4</v>
      </c>
      <c r="D35" s="2" t="n">
        <v>79.3</v>
      </c>
      <c r="E35" s="4" t="n">
        <v>2.69332921131829</v>
      </c>
      <c r="F35" s="1" t="n">
        <v>20</v>
      </c>
      <c r="G35" s="1" t="n">
        <v>38</v>
      </c>
      <c r="H35" s="3" t="n">
        <v>76.1694282016424</v>
      </c>
      <c r="I35" s="1" t="n">
        <v>450</v>
      </c>
      <c r="J35" s="39" t="n">
        <v>412</v>
      </c>
      <c r="K35" s="27" t="n">
        <v>228</v>
      </c>
      <c r="L35" s="39" t="n">
        <v>98</v>
      </c>
      <c r="M35" s="4" t="n">
        <v>0.71</v>
      </c>
      <c r="N35" s="26" t="n">
        <v>0.52808145784571</v>
      </c>
      <c r="O35" s="27" t="n">
        <v>500</v>
      </c>
      <c r="P35" s="27" t="n">
        <v>216.141372464892</v>
      </c>
      <c r="Q35" s="28" t="n">
        <v>0.013593984962406</v>
      </c>
      <c r="R35" s="25" t="n">
        <v>0.743776701191141</v>
      </c>
      <c r="S35" s="29" t="n">
        <v>0.51425077014726</v>
      </c>
      <c r="T35" s="27" t="n">
        <v>500</v>
      </c>
      <c r="U35" s="27" t="n">
        <v>222</v>
      </c>
      <c r="V35" s="28" t="n">
        <v>0.0131778425655977</v>
      </c>
      <c r="W35" s="25" t="n">
        <f aca="false">(I35-H35)/(J35-H35)</f>
        <v>1.113152295208</v>
      </c>
      <c r="X35" s="25" t="n">
        <f aca="false">0.5*(1+(I35-K35-L35)/(I35-K35))</f>
        <v>0.779279279279279</v>
      </c>
      <c r="Y35" s="25" t="n">
        <v>0.724296859362337</v>
      </c>
      <c r="Z35" s="26" t="n">
        <v>0.403766434612558</v>
      </c>
      <c r="AA35" s="27" t="n">
        <v>500</v>
      </c>
      <c r="AB35" s="27" t="n">
        <v>216.141372464892</v>
      </c>
      <c r="AC35" s="28" t="n">
        <v>0.013593984962406</v>
      </c>
      <c r="AD35" s="25" t="n">
        <v>0.568685119172617</v>
      </c>
      <c r="AE35" s="4" t="n">
        <v>0.361552685988499</v>
      </c>
      <c r="AF35" s="25" t="n">
        <v>0.594060315120875</v>
      </c>
      <c r="AG35" s="26" t="n">
        <f aca="false">SMALL(AE35:AF35,1)</f>
        <v>0.361552685988499</v>
      </c>
      <c r="AH35" s="27" t="n">
        <v>500</v>
      </c>
      <c r="AI35" s="28" t="n">
        <v>0.0136</v>
      </c>
      <c r="AJ35" s="25" t="n">
        <v>0.509229135195069</v>
      </c>
      <c r="AK35" s="29" t="n">
        <v>0.477290474409468</v>
      </c>
      <c r="AN35" s="4" t="n">
        <f aca="false">(N35-$N$344)/$N$345</f>
        <v>3.6792655321826</v>
      </c>
      <c r="AO35" s="4" t="n">
        <f aca="false">(S35-$S$344)/$S$345</f>
        <v>3.6113505708144</v>
      </c>
      <c r="AP35" s="4" t="n">
        <f aca="false">(Z35-$Z$344)/$Z$345</f>
        <v>2.45132753046255</v>
      </c>
      <c r="AQ35" s="4" t="n">
        <f aca="false">(AE35-$AE$344)/$AE$345</f>
        <v>1.15922652310973</v>
      </c>
    </row>
    <row r="36" customFormat="false" ht="14.25" hidden="false" customHeight="false" outlineLevel="0" collapsed="false">
      <c r="B36" s="1" t="n">
        <v>12</v>
      </c>
      <c r="C36" s="1" t="n">
        <v>4</v>
      </c>
      <c r="D36" s="2" t="n">
        <v>79.3</v>
      </c>
      <c r="E36" s="4" t="n">
        <v>2.69332921131829</v>
      </c>
      <c r="F36" s="1" t="n">
        <v>20</v>
      </c>
      <c r="G36" s="1" t="n">
        <v>38</v>
      </c>
      <c r="H36" s="3" t="n">
        <v>76.1694282016424</v>
      </c>
      <c r="I36" s="1" t="n">
        <v>450</v>
      </c>
      <c r="J36" s="39" t="n">
        <v>412</v>
      </c>
      <c r="K36" s="27" t="n">
        <v>228</v>
      </c>
      <c r="L36" s="39" t="n">
        <v>98</v>
      </c>
      <c r="M36" s="4" t="n">
        <v>0.79</v>
      </c>
      <c r="N36" s="26" t="n">
        <v>0.52808145784571</v>
      </c>
      <c r="O36" s="27" t="n">
        <v>500</v>
      </c>
      <c r="P36" s="27" t="n">
        <v>216.141372464892</v>
      </c>
      <c r="Q36" s="28" t="n">
        <v>0.013593984962406</v>
      </c>
      <c r="R36" s="25" t="n">
        <v>0.668457541576848</v>
      </c>
      <c r="S36" s="29" t="n">
        <v>0.51425077014726</v>
      </c>
      <c r="T36" s="27" t="n">
        <v>500</v>
      </c>
      <c r="U36" s="27" t="n">
        <v>222</v>
      </c>
      <c r="V36" s="28" t="n">
        <v>0.0131778425655977</v>
      </c>
      <c r="W36" s="25" t="n">
        <f aca="false">(I36-H36)/(J36-H36)</f>
        <v>1.113152295208</v>
      </c>
      <c r="X36" s="25" t="n">
        <f aca="false">0.5*(1+(I36-K36-L36)/(I36-K36))</f>
        <v>0.779279279279279</v>
      </c>
      <c r="Y36" s="25" t="n">
        <v>0.650950341958556</v>
      </c>
      <c r="Z36" s="26" t="n">
        <v>0.403766434612558</v>
      </c>
      <c r="AA36" s="27" t="n">
        <v>500</v>
      </c>
      <c r="AB36" s="27" t="n">
        <v>216.141372464892</v>
      </c>
      <c r="AC36" s="28" t="n">
        <v>0.013593984962406</v>
      </c>
      <c r="AD36" s="25" t="n">
        <v>0.511096752674124</v>
      </c>
      <c r="AE36" s="4" t="n">
        <v>0.361552685988499</v>
      </c>
      <c r="AF36" s="25" t="n">
        <v>0.594060315120875</v>
      </c>
      <c r="AG36" s="26" t="n">
        <f aca="false">SMALL(AE36:AF36,1)</f>
        <v>0.361552685988499</v>
      </c>
      <c r="AH36" s="27" t="n">
        <v>500</v>
      </c>
      <c r="AI36" s="28" t="n">
        <v>0.0136</v>
      </c>
      <c r="AJ36" s="25" t="n">
        <v>0.457661627833543</v>
      </c>
      <c r="AK36" s="29" t="n">
        <v>0.477290474409468</v>
      </c>
      <c r="AN36" s="4" t="n">
        <f aca="false">(N36-$N$344)/$N$345</f>
        <v>3.6792655321826</v>
      </c>
      <c r="AO36" s="4" t="n">
        <f aca="false">(S36-$S$344)/$S$345</f>
        <v>3.6113505708144</v>
      </c>
      <c r="AP36" s="4" t="n">
        <f aca="false">(Z36-$Z$344)/$Z$345</f>
        <v>2.45132753046255</v>
      </c>
      <c r="AQ36" s="4" t="n">
        <f aca="false">(AE36-$AE$344)/$AE$345</f>
        <v>1.15922652310973</v>
      </c>
    </row>
    <row r="37" customFormat="false" ht="14.25" hidden="false" customHeight="false" outlineLevel="0" collapsed="false">
      <c r="A37" s="0" t="s">
        <v>28</v>
      </c>
      <c r="B37" s="1" t="n">
        <v>25</v>
      </c>
      <c r="C37" s="1" t="n">
        <v>4</v>
      </c>
      <c r="D37" s="2" t="n">
        <v>62</v>
      </c>
      <c r="E37" s="4" t="n">
        <v>2.69332921131829</v>
      </c>
      <c r="F37" s="1" t="n">
        <v>20</v>
      </c>
      <c r="G37" s="1" t="n">
        <v>44.5</v>
      </c>
      <c r="H37" s="3" t="n">
        <v>140.92716892937</v>
      </c>
      <c r="I37" s="1" t="n">
        <v>450</v>
      </c>
      <c r="J37" s="39" t="n">
        <v>405.5</v>
      </c>
      <c r="K37" s="27" t="n">
        <v>237</v>
      </c>
      <c r="L37" s="39" t="n">
        <v>155.75</v>
      </c>
      <c r="M37" s="4" t="n">
        <v>0.2</v>
      </c>
      <c r="N37" s="26" t="n">
        <v>0.0553032499253404</v>
      </c>
      <c r="O37" s="27" t="n">
        <v>106.512655225995</v>
      </c>
      <c r="P37" s="27" t="n">
        <v>67.4636116506187</v>
      </c>
      <c r="Q37" s="28" t="n">
        <v>0.0544670511994589</v>
      </c>
      <c r="R37" s="25" t="n">
        <v>0.276516249626702</v>
      </c>
      <c r="S37" s="29" t="n">
        <v>0.0521970847573939</v>
      </c>
      <c r="T37" s="27" t="n">
        <v>106.512655225995</v>
      </c>
      <c r="U37" s="27" t="n">
        <v>93</v>
      </c>
      <c r="V37" s="28" t="n">
        <v>0.0360284338454483</v>
      </c>
      <c r="W37" s="25" t="n">
        <f aca="false">(I37-H37)/(J37-H37)</f>
        <v>1.16819565266745</v>
      </c>
      <c r="X37" s="25" t="n">
        <f aca="false">0.5*(1+(I37-K37-L37)/(I37-K37))</f>
        <v>0.634389671361502</v>
      </c>
      <c r="Y37" s="25" t="n">
        <v>0.26098542378697</v>
      </c>
      <c r="Z37" s="26" t="n">
        <v>0.04821469359438</v>
      </c>
      <c r="AA37" s="27" t="n">
        <v>106.512655225995</v>
      </c>
      <c r="AB37" s="27" t="n">
        <v>67.4636116506187</v>
      </c>
      <c r="AC37" s="28" t="n">
        <v>0.0544670511994589</v>
      </c>
      <c r="AD37" s="25" t="n">
        <v>0.2410734679719</v>
      </c>
      <c r="AE37" s="4" t="n">
        <v>0.0899305279180532</v>
      </c>
      <c r="AF37" s="25" t="n">
        <v>0.0617003800958814</v>
      </c>
      <c r="AG37" s="26" t="n">
        <f aca="false">SMALL(AE37:AF37,1)</f>
        <v>0.0617003800958814</v>
      </c>
      <c r="AH37" s="27" t="n">
        <v>111.639857150688</v>
      </c>
      <c r="AI37" s="28" t="n">
        <v>0.0294</v>
      </c>
      <c r="AJ37" s="25" t="n">
        <v>0.308501900479407</v>
      </c>
      <c r="AK37" s="29" t="n">
        <v>0.054877677299517</v>
      </c>
      <c r="AN37" s="4" t="n">
        <f aca="false">(N37-$N$344)/$N$345</f>
        <v>-1.88265110598568</v>
      </c>
      <c r="AO37" s="4" t="n">
        <f aca="false">(S37-$S$344)/$S$345</f>
        <v>-1.96191959377778</v>
      </c>
      <c r="AP37" s="4" t="n">
        <f aca="false">(Z37-$Z$344)/$Z$345</f>
        <v>-2.3781022138528</v>
      </c>
      <c r="AQ37" s="4" t="n">
        <f aca="false">(AE37-$AE$344)/$AE$345</f>
        <v>-2.26371977435716</v>
      </c>
    </row>
    <row r="38" customFormat="false" ht="14.25" hidden="false" customHeight="false" outlineLevel="0" collapsed="false">
      <c r="B38" s="1" t="n">
        <v>25</v>
      </c>
      <c r="C38" s="1" t="n">
        <v>4</v>
      </c>
      <c r="D38" s="2" t="n">
        <v>62</v>
      </c>
      <c r="E38" s="4" t="n">
        <v>2.69332921131829</v>
      </c>
      <c r="F38" s="1" t="n">
        <v>20</v>
      </c>
      <c r="G38" s="1" t="n">
        <v>44.5</v>
      </c>
      <c r="H38" s="3" t="n">
        <v>140.92716892937</v>
      </c>
      <c r="I38" s="1" t="n">
        <v>450</v>
      </c>
      <c r="J38" s="39" t="n">
        <v>405.5</v>
      </c>
      <c r="K38" s="27" t="n">
        <v>237</v>
      </c>
      <c r="L38" s="39" t="n">
        <v>155.75</v>
      </c>
      <c r="M38" s="4" t="n">
        <v>0.25</v>
      </c>
      <c r="N38" s="26" t="n">
        <v>0.126665910856779</v>
      </c>
      <c r="O38" s="27" t="n">
        <v>191.72277940679</v>
      </c>
      <c r="P38" s="27" t="n">
        <v>67.4636116506187</v>
      </c>
      <c r="Q38" s="28" t="n">
        <v>0.0544670511994589</v>
      </c>
      <c r="R38" s="25" t="n">
        <v>0.506663643427114</v>
      </c>
      <c r="S38" s="29" t="n">
        <v>0.139663916262374</v>
      </c>
      <c r="T38" s="27" t="n">
        <v>191.72277940679</v>
      </c>
      <c r="U38" s="27" t="n">
        <v>93</v>
      </c>
      <c r="V38" s="28" t="n">
        <v>0.0360284338454483</v>
      </c>
      <c r="W38" s="25" t="n">
        <f aca="false">(I38-H38)/(J38-H38)</f>
        <v>1.16819565266745</v>
      </c>
      <c r="X38" s="25" t="n">
        <f aca="false">0.5*(1+(I38-K38-L38)/(I38-K38))</f>
        <v>0.634389671361502</v>
      </c>
      <c r="Y38" s="25" t="n">
        <v>0.558655665049494</v>
      </c>
      <c r="Z38" s="26" t="n">
        <v>0.110430365106161</v>
      </c>
      <c r="AA38" s="27" t="n">
        <v>191.72277940679</v>
      </c>
      <c r="AB38" s="27" t="n">
        <v>67.4636116506187</v>
      </c>
      <c r="AC38" s="28" t="n">
        <v>0.0544670511994589</v>
      </c>
      <c r="AD38" s="25" t="n">
        <v>0.441721460424645</v>
      </c>
      <c r="AE38" s="4" t="n">
        <v>0.161874950252496</v>
      </c>
      <c r="AF38" s="25" t="n">
        <v>0.199909231510656</v>
      </c>
      <c r="AG38" s="26" t="n">
        <f aca="false">SMALL(AE38:AF38,1)</f>
        <v>0.161874950252496</v>
      </c>
      <c r="AH38" s="27" t="n">
        <v>200.951742871238</v>
      </c>
      <c r="AI38" s="28" t="n">
        <v>0.0294</v>
      </c>
      <c r="AJ38" s="25" t="n">
        <v>0.647499801009983</v>
      </c>
      <c r="AK38" s="29" t="n">
        <v>0.161834742051141</v>
      </c>
      <c r="AN38" s="4" t="n">
        <f aca="false">(N38-$N$344)/$N$345</f>
        <v>-1.04311754769321</v>
      </c>
      <c r="AO38" s="4" t="n">
        <f aca="false">(S38-$S$344)/$S$345</f>
        <v>-0.906898721026173</v>
      </c>
      <c r="AP38" s="4" t="n">
        <f aca="false">(Z38-$Z$344)/$Z$345</f>
        <v>-1.5330319191578</v>
      </c>
      <c r="AQ38" s="4" t="n">
        <f aca="false">(AE38-$AE$344)/$AE$345</f>
        <v>-1.35708573609433</v>
      </c>
    </row>
    <row r="39" customFormat="false" ht="14.25" hidden="false" customHeight="false" outlineLevel="0" collapsed="false">
      <c r="B39" s="1" t="n">
        <v>25</v>
      </c>
      <c r="C39" s="1" t="n">
        <v>4</v>
      </c>
      <c r="D39" s="2" t="n">
        <v>62</v>
      </c>
      <c r="E39" s="4" t="n">
        <v>2.69332921131829</v>
      </c>
      <c r="F39" s="1" t="n">
        <v>20</v>
      </c>
      <c r="G39" s="1" t="n">
        <v>44.5</v>
      </c>
      <c r="H39" s="3" t="n">
        <v>140.92716892937</v>
      </c>
      <c r="I39" s="1" t="n">
        <v>450</v>
      </c>
      <c r="J39" s="39" t="n">
        <v>405.5</v>
      </c>
      <c r="K39" s="27" t="n">
        <v>237</v>
      </c>
      <c r="L39" s="39" t="n">
        <v>155.75</v>
      </c>
      <c r="M39" s="4" t="n">
        <v>0.36</v>
      </c>
      <c r="N39" s="26" t="n">
        <v>0.198028571788217</v>
      </c>
      <c r="O39" s="27" t="n">
        <v>276.932903587586</v>
      </c>
      <c r="P39" s="27" t="n">
        <v>67.4636116506187</v>
      </c>
      <c r="Q39" s="28" t="n">
        <v>0.0544670511994589</v>
      </c>
      <c r="R39" s="25" t="n">
        <v>0.55007936607838</v>
      </c>
      <c r="S39" s="29" t="n">
        <v>0.227130747767353</v>
      </c>
      <c r="T39" s="27" t="n">
        <v>276.932903587586</v>
      </c>
      <c r="U39" s="27" t="n">
        <v>93</v>
      </c>
      <c r="V39" s="28" t="n">
        <v>0.0360284338454483</v>
      </c>
      <c r="W39" s="25" t="n">
        <f aca="false">(I39-H39)/(J39-H39)</f>
        <v>1.16819565266745</v>
      </c>
      <c r="X39" s="25" t="n">
        <f aca="false">0.5*(1+(I39-K39-L39)/(I39-K39))</f>
        <v>0.634389671361502</v>
      </c>
      <c r="Y39" s="25" t="n">
        <v>0.630918743798204</v>
      </c>
      <c r="Z39" s="26" t="n">
        <v>0.172646036617943</v>
      </c>
      <c r="AA39" s="27" t="n">
        <v>276.932903587586</v>
      </c>
      <c r="AB39" s="27" t="n">
        <v>67.4636116506187</v>
      </c>
      <c r="AC39" s="28" t="n">
        <v>0.0544670511994589</v>
      </c>
      <c r="AD39" s="25" t="n">
        <v>0.479572323938729</v>
      </c>
      <c r="AE39" s="4" t="n">
        <v>0.233819372586938</v>
      </c>
      <c r="AF39" s="25" t="n">
        <v>0.417094569448159</v>
      </c>
      <c r="AG39" s="26" t="n">
        <f aca="false">SMALL(AE39:AF39,1)</f>
        <v>0.233819372586938</v>
      </c>
      <c r="AH39" s="27" t="n">
        <v>290.263628591788</v>
      </c>
      <c r="AI39" s="28" t="n">
        <v>0.0294</v>
      </c>
      <c r="AJ39" s="25" t="n">
        <v>0.64949825718594</v>
      </c>
      <c r="AK39" s="29" t="n">
        <v>0.268791806802766</v>
      </c>
      <c r="AN39" s="4" t="n">
        <f aca="false">(N39-$N$344)/$N$345</f>
        <v>-0.203583989400732</v>
      </c>
      <c r="AO39" s="4" t="n">
        <f aca="false">(S39-$S$344)/$S$345</f>
        <v>0.14812215172544</v>
      </c>
      <c r="AP39" s="4" t="n">
        <f aca="false">(Z39-$Z$344)/$Z$345</f>
        <v>-0.687961624462812</v>
      </c>
      <c r="AQ39" s="4" t="n">
        <f aca="false">(AE39-$AE$344)/$AE$345</f>
        <v>-0.45045169783149</v>
      </c>
    </row>
    <row r="40" customFormat="false" ht="14.25" hidden="false" customHeight="false" outlineLevel="0" collapsed="false">
      <c r="B40" s="1" t="n">
        <v>25</v>
      </c>
      <c r="C40" s="1" t="n">
        <v>4</v>
      </c>
      <c r="D40" s="2" t="n">
        <v>62</v>
      </c>
      <c r="E40" s="4" t="n">
        <v>2.69332921131829</v>
      </c>
      <c r="F40" s="1" t="n">
        <v>20</v>
      </c>
      <c r="G40" s="1" t="n">
        <v>44.5</v>
      </c>
      <c r="H40" s="3" t="n">
        <v>140.92716892937</v>
      </c>
      <c r="I40" s="1" t="n">
        <v>450</v>
      </c>
      <c r="J40" s="39" t="n">
        <v>405.5</v>
      </c>
      <c r="K40" s="27" t="n">
        <v>237</v>
      </c>
      <c r="L40" s="39" t="n">
        <v>155.75</v>
      </c>
      <c r="M40" s="4" t="n">
        <v>0.47</v>
      </c>
      <c r="N40" s="26" t="n">
        <v>0.269391232719655</v>
      </c>
      <c r="O40" s="27" t="n">
        <v>362.143027768382</v>
      </c>
      <c r="P40" s="27" t="n">
        <v>67.4636116506187</v>
      </c>
      <c r="Q40" s="28" t="n">
        <v>0.0544670511994589</v>
      </c>
      <c r="R40" s="25" t="n">
        <v>0.573172835573734</v>
      </c>
      <c r="S40" s="29" t="n">
        <v>0.314597579272333</v>
      </c>
      <c r="T40" s="27" t="n">
        <v>362.143027768382</v>
      </c>
      <c r="U40" s="27" t="n">
        <v>93</v>
      </c>
      <c r="V40" s="28" t="n">
        <v>0.0360284338454483</v>
      </c>
      <c r="W40" s="25" t="n">
        <f aca="false">(I40-H40)/(J40-H40)</f>
        <v>1.16819565266745</v>
      </c>
      <c r="X40" s="25" t="n">
        <f aca="false">0.5*(1+(I40-K40-L40)/(I40-K40))</f>
        <v>0.634389671361502</v>
      </c>
      <c r="Y40" s="25" t="n">
        <v>0.669356551643262</v>
      </c>
      <c r="Z40" s="26" t="n">
        <v>0.234861708129724</v>
      </c>
      <c r="AA40" s="27" t="n">
        <v>362.143027768382</v>
      </c>
      <c r="AB40" s="27" t="n">
        <v>67.4636116506187</v>
      </c>
      <c r="AC40" s="28" t="n">
        <v>0.0544670511994589</v>
      </c>
      <c r="AD40" s="25" t="n">
        <v>0.499705761978136</v>
      </c>
      <c r="AE40" s="4" t="n">
        <v>0.305763794921381</v>
      </c>
      <c r="AF40" s="25" t="n">
        <v>0.71325639390839</v>
      </c>
      <c r="AG40" s="26" t="n">
        <f aca="false">SMALL(AE40:AF40,1)</f>
        <v>0.305763794921381</v>
      </c>
      <c r="AH40" s="27" t="n">
        <v>379.575514312338</v>
      </c>
      <c r="AI40" s="28" t="n">
        <v>0.0294</v>
      </c>
      <c r="AJ40" s="25" t="n">
        <v>0.650561265790172</v>
      </c>
      <c r="AK40" s="29" t="n">
        <v>0.37574887155439</v>
      </c>
      <c r="AN40" s="4" t="n">
        <f aca="false">(N40-$N$344)/$N$345</f>
        <v>0.635949568891744</v>
      </c>
      <c r="AO40" s="4" t="n">
        <f aca="false">(S40-$S$344)/$S$345</f>
        <v>1.20314302447705</v>
      </c>
      <c r="AP40" s="4" t="n">
        <f aca="false">(Z40-$Z$344)/$Z$345</f>
        <v>0.157108670232179</v>
      </c>
      <c r="AQ40" s="4" t="n">
        <f aca="false">(AE40-$AE$344)/$AE$345</f>
        <v>0.456182340431347</v>
      </c>
    </row>
    <row r="41" customFormat="false" ht="14.25" hidden="false" customHeight="false" outlineLevel="0" collapsed="false">
      <c r="B41" s="1" t="n">
        <v>25</v>
      </c>
      <c r="C41" s="1" t="n">
        <v>4</v>
      </c>
      <c r="D41" s="2" t="n">
        <v>62</v>
      </c>
      <c r="E41" s="4" t="n">
        <v>2.69332921131829</v>
      </c>
      <c r="F41" s="1" t="n">
        <v>20</v>
      </c>
      <c r="G41" s="1" t="n">
        <v>44.5</v>
      </c>
      <c r="H41" s="3" t="n">
        <v>140.92716892937</v>
      </c>
      <c r="I41" s="1" t="n">
        <v>450</v>
      </c>
      <c r="J41" s="39" t="n">
        <v>405.5</v>
      </c>
      <c r="K41" s="27" t="n">
        <v>237</v>
      </c>
      <c r="L41" s="39" t="n">
        <v>155.75</v>
      </c>
      <c r="M41" s="4" t="n">
        <v>0.57</v>
      </c>
      <c r="N41" s="26" t="n">
        <v>0.322913228418233</v>
      </c>
      <c r="O41" s="27" t="n">
        <v>426.050620903978</v>
      </c>
      <c r="P41" s="27" t="n">
        <v>67.4636116506187</v>
      </c>
      <c r="Q41" s="28" t="n">
        <v>0.0544670511994589</v>
      </c>
      <c r="R41" s="25" t="n">
        <v>0.566514435821462</v>
      </c>
      <c r="S41" s="29" t="n">
        <v>0.380197702901068</v>
      </c>
      <c r="T41" s="27" t="n">
        <v>426.050620903978</v>
      </c>
      <c r="U41" s="27" t="n">
        <v>93</v>
      </c>
      <c r="V41" s="28" t="n">
        <v>0.0360284338454483</v>
      </c>
      <c r="W41" s="25" t="n">
        <f aca="false">(I41-H41)/(J41-H41)</f>
        <v>1.16819565266745</v>
      </c>
      <c r="X41" s="25" t="n">
        <f aca="false">0.5*(1+(I41-K41-L41)/(I41-K41))</f>
        <v>0.634389671361502</v>
      </c>
      <c r="Y41" s="25" t="n">
        <v>0.667013513861522</v>
      </c>
      <c r="Z41" s="26" t="n">
        <v>0.28152346176356</v>
      </c>
      <c r="AA41" s="27" t="n">
        <v>426.050620903978</v>
      </c>
      <c r="AB41" s="27" t="n">
        <v>67.4636116506187</v>
      </c>
      <c r="AC41" s="28" t="n">
        <v>0.0544670511994589</v>
      </c>
      <c r="AD41" s="25" t="n">
        <v>0.493900810111509</v>
      </c>
      <c r="AE41" s="4" t="n">
        <v>0.359722111672213</v>
      </c>
      <c r="AF41" s="25" t="n">
        <v>0.987206081534103</v>
      </c>
      <c r="AG41" s="26" t="n">
        <f aca="false">SMALL(AE41:AF41,1)</f>
        <v>0.359722111672213</v>
      </c>
      <c r="AH41" s="27" t="n">
        <v>446.55942860275</v>
      </c>
      <c r="AI41" s="28" t="n">
        <v>0.0294</v>
      </c>
      <c r="AJ41" s="25" t="n">
        <v>0.631091423986338</v>
      </c>
      <c r="AK41" s="29" t="n">
        <v>0.455966670118109</v>
      </c>
      <c r="AN41" s="4" t="n">
        <f aca="false">(N41-$N$344)/$N$345</f>
        <v>1.2655997376111</v>
      </c>
      <c r="AO41" s="4" t="n">
        <f aca="false">(S41-$S$344)/$S$345</f>
        <v>1.99440867904076</v>
      </c>
      <c r="AP41" s="4" t="n">
        <f aca="false">(Z41-$Z$344)/$Z$345</f>
        <v>0.790911391253423</v>
      </c>
      <c r="AQ41" s="4" t="n">
        <f aca="false">(AE41-$AE$344)/$AE$345</f>
        <v>1.13615786912847</v>
      </c>
    </row>
    <row r="42" customFormat="false" ht="14.25" hidden="false" customHeight="false" outlineLevel="0" collapsed="false">
      <c r="B42" s="1" t="n">
        <v>25</v>
      </c>
      <c r="C42" s="1" t="n">
        <v>4</v>
      </c>
      <c r="D42" s="2" t="n">
        <v>62</v>
      </c>
      <c r="E42" s="4" t="n">
        <v>2.69332921131829</v>
      </c>
      <c r="F42" s="1" t="n">
        <v>20</v>
      </c>
      <c r="G42" s="1" t="n">
        <v>44.5</v>
      </c>
      <c r="H42" s="3" t="n">
        <v>140.92716892937</v>
      </c>
      <c r="I42" s="1" t="n">
        <v>450</v>
      </c>
      <c r="J42" s="39" t="n">
        <v>405.5</v>
      </c>
      <c r="K42" s="27" t="n">
        <v>237</v>
      </c>
      <c r="L42" s="39" t="n">
        <v>155.75</v>
      </c>
      <c r="M42" s="4" t="n">
        <v>0.78</v>
      </c>
      <c r="N42" s="26" t="n">
        <v>0.384845123451302</v>
      </c>
      <c r="O42" s="27" t="n">
        <v>500</v>
      </c>
      <c r="P42" s="27" t="n">
        <v>67.4636116506187</v>
      </c>
      <c r="Q42" s="28" t="n">
        <v>0.0544670511994589</v>
      </c>
      <c r="R42" s="25" t="n">
        <v>0.493391183911926</v>
      </c>
      <c r="S42" s="29" t="n">
        <v>0.456105559431892</v>
      </c>
      <c r="T42" s="27" t="n">
        <v>500</v>
      </c>
      <c r="U42" s="27" t="n">
        <v>93</v>
      </c>
      <c r="V42" s="28" t="n">
        <v>0.0360284338454483</v>
      </c>
      <c r="W42" s="25" t="n">
        <f aca="false">(I42-H42)/(J42-H42)</f>
        <v>1.16819565266745</v>
      </c>
      <c r="X42" s="25" t="n">
        <f aca="false">0.5*(1+(I42-K42-L42)/(I42-K42))</f>
        <v>0.634389671361502</v>
      </c>
      <c r="Y42" s="25" t="n">
        <v>0.584750717220375</v>
      </c>
      <c r="Z42" s="26" t="n">
        <v>0.335517166415092</v>
      </c>
      <c r="AA42" s="27" t="n">
        <v>500</v>
      </c>
      <c r="AB42" s="27" t="n">
        <v>67.4636116506187</v>
      </c>
      <c r="AC42" s="28" t="n">
        <v>0.0544670511994589</v>
      </c>
      <c r="AD42" s="25" t="n">
        <v>0.430150213352682</v>
      </c>
      <c r="AE42" s="4" t="n">
        <v>0.402770704895601</v>
      </c>
      <c r="AF42" s="25" t="n">
        <v>1.23762565650182</v>
      </c>
      <c r="AG42" s="26" t="n">
        <f aca="false">SMALL(AE42:AF42,1)</f>
        <v>0.402770704895601</v>
      </c>
      <c r="AH42" s="27" t="n">
        <v>500</v>
      </c>
      <c r="AI42" s="28" t="n">
        <v>0.0294</v>
      </c>
      <c r="AJ42" s="25" t="n">
        <v>0.516372698584103</v>
      </c>
      <c r="AK42" s="29" t="n">
        <v>0.53874229340683</v>
      </c>
      <c r="AN42" s="4" t="n">
        <f aca="false">(N42-$N$344)/$N$345</f>
        <v>1.99418669793845</v>
      </c>
      <c r="AO42" s="4" t="n">
        <f aca="false">(S42-$S$344)/$S$345</f>
        <v>2.91000573072195</v>
      </c>
      <c r="AP42" s="4" t="n">
        <f aca="false">(Z42-$Z$344)/$Z$345</f>
        <v>1.52430339350649</v>
      </c>
      <c r="AQ42" s="4" t="n">
        <f aca="false">(AE42-$AE$344)/$AE$345</f>
        <v>1.67865051343969</v>
      </c>
    </row>
    <row r="43" customFormat="false" ht="14.25" hidden="false" customHeight="false" outlineLevel="0" collapsed="false">
      <c r="A43" s="0" t="s">
        <v>29</v>
      </c>
      <c r="B43" s="1" t="n">
        <v>12</v>
      </c>
      <c r="C43" s="1" t="n">
        <v>4</v>
      </c>
      <c r="D43" s="2" t="n">
        <v>79.3</v>
      </c>
      <c r="E43" s="4" t="n">
        <v>2.69332921131829</v>
      </c>
      <c r="F43" s="1" t="n">
        <v>20</v>
      </c>
      <c r="G43" s="1" t="n">
        <v>34</v>
      </c>
      <c r="H43" s="3" t="n">
        <v>76.5758696896729</v>
      </c>
      <c r="I43" s="1" t="n">
        <v>450</v>
      </c>
      <c r="J43" s="39" t="n">
        <v>416</v>
      </c>
      <c r="K43" s="27" t="n">
        <v>228</v>
      </c>
      <c r="L43" s="39" t="n">
        <v>94</v>
      </c>
      <c r="M43" s="4" t="n">
        <v>0.21</v>
      </c>
      <c r="N43" s="26" t="n">
        <v>0.123601278848589</v>
      </c>
      <c r="O43" s="27" t="n">
        <v>212.47112712609</v>
      </c>
      <c r="P43" s="27" t="n">
        <v>195.285947156012</v>
      </c>
      <c r="Q43" s="28" t="n">
        <v>0.0151932773109244</v>
      </c>
      <c r="R43" s="25" t="n">
        <v>0.588577518326616</v>
      </c>
      <c r="S43" s="29" t="n">
        <v>0.115038822092364</v>
      </c>
      <c r="T43" s="27" t="n">
        <v>212.47112712609</v>
      </c>
      <c r="U43" s="27" t="n">
        <v>214</v>
      </c>
      <c r="V43" s="28" t="n">
        <v>0.0137386018237082</v>
      </c>
      <c r="W43" s="25" t="n">
        <f aca="false">(I43-H43)/(J43-H43)</f>
        <v>1.10016966079847</v>
      </c>
      <c r="X43" s="25" t="n">
        <f aca="false">0.5*(1+(I43-K43-L43)/(I43-K43))</f>
        <v>0.788288288288288</v>
      </c>
      <c r="Y43" s="25" t="n">
        <v>0.547803914725544</v>
      </c>
      <c r="Z43" s="26" t="n">
        <v>0.128929548243119</v>
      </c>
      <c r="AA43" s="27" t="n">
        <v>212.47112712609</v>
      </c>
      <c r="AB43" s="27" t="n">
        <v>195.285947156012</v>
      </c>
      <c r="AC43" s="28" t="n">
        <v>0.0151932773109244</v>
      </c>
      <c r="AD43" s="25" t="n">
        <v>0.613950229729136</v>
      </c>
      <c r="AE43" s="4" t="n">
        <v>0.158019738781601</v>
      </c>
      <c r="AF43" s="25" t="n">
        <v>0.113477572228636</v>
      </c>
      <c r="AG43" s="26" t="n">
        <f aca="false">SMALL(AE43:AF43,1)</f>
        <v>0.113477572228636</v>
      </c>
      <c r="AH43" s="27" t="n">
        <v>218.529338745705</v>
      </c>
      <c r="AI43" s="28" t="n">
        <v>0.0136</v>
      </c>
      <c r="AJ43" s="25" t="n">
        <v>0.540369391564933</v>
      </c>
      <c r="AK43" s="29" t="n">
        <v>0.0981377441331837</v>
      </c>
      <c r="AN43" s="4" t="n">
        <f aca="false">(N43-$N$344)/$N$345</f>
        <v>-1.07917087559761</v>
      </c>
      <c r="AO43" s="4" t="n">
        <f aca="false">(S43-$S$344)/$S$345</f>
        <v>-1.20392546700307</v>
      </c>
      <c r="AP43" s="4" t="n">
        <f aca="false">(Z43-$Z$344)/$Z$345</f>
        <v>-1.28175905228527</v>
      </c>
      <c r="AQ43" s="4" t="n">
        <f aca="false">(AE43-$AE$344)/$AE$345</f>
        <v>-1.40566859812589</v>
      </c>
    </row>
    <row r="44" customFormat="false" ht="14.25" hidden="false" customHeight="false" outlineLevel="0" collapsed="false">
      <c r="B44" s="1" t="n">
        <v>12</v>
      </c>
      <c r="C44" s="1" t="n">
        <v>4</v>
      </c>
      <c r="D44" s="2" t="n">
        <v>79.3</v>
      </c>
      <c r="E44" s="4" t="n">
        <v>2.69332921131829</v>
      </c>
      <c r="F44" s="1" t="n">
        <v>20</v>
      </c>
      <c r="G44" s="1" t="n">
        <v>34</v>
      </c>
      <c r="H44" s="3" t="n">
        <v>76.5758696896729</v>
      </c>
      <c r="I44" s="1" t="n">
        <v>450</v>
      </c>
      <c r="J44" s="39" t="n">
        <v>416</v>
      </c>
      <c r="K44" s="27" t="n">
        <v>228</v>
      </c>
      <c r="L44" s="39" t="n">
        <v>94</v>
      </c>
      <c r="M44" s="4" t="n">
        <v>0.31</v>
      </c>
      <c r="N44" s="26" t="n">
        <v>0.178715286411518</v>
      </c>
      <c r="O44" s="27" t="n">
        <v>254.965352551308</v>
      </c>
      <c r="P44" s="27" t="n">
        <v>195.285947156012</v>
      </c>
      <c r="Q44" s="28" t="n">
        <v>0.0151932773109244</v>
      </c>
      <c r="R44" s="25" t="n">
        <v>0.576500923908122</v>
      </c>
      <c r="S44" s="29" t="n">
        <v>0.171271218190764</v>
      </c>
      <c r="T44" s="27" t="n">
        <v>254.965352551308</v>
      </c>
      <c r="U44" s="27" t="n">
        <v>214</v>
      </c>
      <c r="V44" s="28" t="n">
        <v>0.0137386018237082</v>
      </c>
      <c r="W44" s="25" t="n">
        <f aca="false">(I44-H44)/(J44-H44)</f>
        <v>1.10016966079847</v>
      </c>
      <c r="X44" s="25" t="n">
        <f aca="false">0.5*(1+(I44-K44-L44)/(I44-K44))</f>
        <v>0.788288288288288</v>
      </c>
      <c r="Y44" s="25" t="n">
        <v>0.552487800615368</v>
      </c>
      <c r="Z44" s="26" t="n">
        <v>0.154715457891742</v>
      </c>
      <c r="AA44" s="27" t="n">
        <v>254.965352551308</v>
      </c>
      <c r="AB44" s="27" t="n">
        <v>195.285947156012</v>
      </c>
      <c r="AC44" s="28" t="n">
        <v>0.0151932773109244</v>
      </c>
      <c r="AD44" s="25" t="n">
        <v>0.499082122231427</v>
      </c>
      <c r="AE44" s="4" t="n">
        <v>0.189623686537921</v>
      </c>
      <c r="AF44" s="25" t="n">
        <v>0.163407704009236</v>
      </c>
      <c r="AG44" s="26" t="n">
        <f aca="false">SMALL(AE44:AF44,1)</f>
        <v>0.163407704009236</v>
      </c>
      <c r="AH44" s="27" t="n">
        <v>262.235206494847</v>
      </c>
      <c r="AI44" s="28" t="n">
        <v>0.0136</v>
      </c>
      <c r="AJ44" s="25" t="n">
        <v>0.527121625836244</v>
      </c>
      <c r="AK44" s="29" t="n">
        <v>0.162337198077927</v>
      </c>
      <c r="AN44" s="4" t="n">
        <f aca="false">(N44-$N$344)/$N$345</f>
        <v>-0.430791761406262</v>
      </c>
      <c r="AO44" s="4" t="n">
        <f aca="false">(S44-$S$344)/$S$345</f>
        <v>-0.52565290827582</v>
      </c>
      <c r="AP44" s="4" t="n">
        <f aca="false">(Z44-$Z$344)/$Z$345</f>
        <v>-0.931511184887189</v>
      </c>
      <c r="AQ44" s="4" t="n">
        <f aca="false">(AE44-$AE$344)/$AE$345</f>
        <v>-1.00739985331393</v>
      </c>
    </row>
    <row r="45" customFormat="false" ht="14.25" hidden="false" customHeight="false" outlineLevel="0" collapsed="false">
      <c r="B45" s="1" t="n">
        <v>12</v>
      </c>
      <c r="C45" s="1" t="n">
        <v>4</v>
      </c>
      <c r="D45" s="2" t="n">
        <v>79.3</v>
      </c>
      <c r="E45" s="4" t="n">
        <v>2.69332921131829</v>
      </c>
      <c r="F45" s="1" t="n">
        <v>20</v>
      </c>
      <c r="G45" s="1" t="n">
        <v>34</v>
      </c>
      <c r="H45" s="3" t="n">
        <v>76.5758696896729</v>
      </c>
      <c r="I45" s="1" t="n">
        <v>450</v>
      </c>
      <c r="J45" s="39" t="n">
        <v>416</v>
      </c>
      <c r="K45" s="27" t="n">
        <v>228</v>
      </c>
      <c r="L45" s="39" t="n">
        <v>94</v>
      </c>
      <c r="M45" s="4" t="n">
        <v>0.38</v>
      </c>
      <c r="N45" s="26" t="n">
        <v>0.233829293974446</v>
      </c>
      <c r="O45" s="27" t="n">
        <v>297.459577976525</v>
      </c>
      <c r="P45" s="27" t="n">
        <v>195.285947156012</v>
      </c>
      <c r="Q45" s="28" t="n">
        <v>0.0151932773109244</v>
      </c>
      <c r="R45" s="25" t="n">
        <v>0.615340247301173</v>
      </c>
      <c r="S45" s="29" t="n">
        <v>0.228790629236946</v>
      </c>
      <c r="T45" s="27" t="n">
        <v>297.459577976525</v>
      </c>
      <c r="U45" s="27" t="n">
        <v>214</v>
      </c>
      <c r="V45" s="28" t="n">
        <v>0.0137386018237082</v>
      </c>
      <c r="W45" s="25" t="n">
        <f aca="false">(I45-H45)/(J45-H45)</f>
        <v>1.10016966079847</v>
      </c>
      <c r="X45" s="25" t="n">
        <f aca="false">0.5*(1+(I45-K45-L45)/(I45-K45))</f>
        <v>0.788288288288288</v>
      </c>
      <c r="Y45" s="25" t="n">
        <v>0.602080603255121</v>
      </c>
      <c r="Z45" s="26" t="n">
        <v>0.182334198819364</v>
      </c>
      <c r="AA45" s="27" t="n">
        <v>297.459577976525</v>
      </c>
      <c r="AB45" s="27" t="n">
        <v>195.285947156012</v>
      </c>
      <c r="AC45" s="28" t="n">
        <v>0.0151932773109244</v>
      </c>
      <c r="AD45" s="25" t="n">
        <v>0.479826838998326</v>
      </c>
      <c r="AE45" s="4" t="n">
        <v>0.221227634294241</v>
      </c>
      <c r="AF45" s="25" t="n">
        <v>0.222416041568126</v>
      </c>
      <c r="AG45" s="26" t="n">
        <f aca="false">SMALL(AE45:AF45,1)</f>
        <v>0.221227634294241</v>
      </c>
      <c r="AH45" s="27" t="n">
        <v>305.941074243988</v>
      </c>
      <c r="AI45" s="28" t="n">
        <v>0.0136</v>
      </c>
      <c r="AJ45" s="25" t="n">
        <v>0.582177984984844</v>
      </c>
      <c r="AK45" s="29" t="n">
        <v>0.22653665202267</v>
      </c>
      <c r="AN45" s="4" t="n">
        <f aca="false">(N45-$N$344)/$N$345</f>
        <v>0.217587352785088</v>
      </c>
      <c r="AO45" s="4" t="n">
        <f aca="false">(S45-$S$344)/$S$345</f>
        <v>0.16814356517534</v>
      </c>
      <c r="AP45" s="4" t="n">
        <f aca="false">(Z45-$Z$344)/$Z$345</f>
        <v>-0.55636812257386</v>
      </c>
      <c r="AQ45" s="4" t="n">
        <f aca="false">(AE45-$AE$344)/$AE$345</f>
        <v>-0.609131108501963</v>
      </c>
    </row>
    <row r="46" customFormat="false" ht="14.25" hidden="false" customHeight="false" outlineLevel="0" collapsed="false">
      <c r="B46" s="1" t="n">
        <v>12</v>
      </c>
      <c r="C46" s="1" t="n">
        <v>4</v>
      </c>
      <c r="D46" s="2" t="n">
        <v>79.3</v>
      </c>
      <c r="E46" s="4" t="n">
        <v>2.69332921131829</v>
      </c>
      <c r="F46" s="1" t="n">
        <v>20</v>
      </c>
      <c r="G46" s="1" t="n">
        <v>34</v>
      </c>
      <c r="H46" s="3" t="n">
        <v>76.5758696896729</v>
      </c>
      <c r="I46" s="1" t="n">
        <v>450</v>
      </c>
      <c r="J46" s="39" t="n">
        <v>416</v>
      </c>
      <c r="K46" s="27" t="n">
        <v>228</v>
      </c>
      <c r="L46" s="39" t="n">
        <v>94</v>
      </c>
      <c r="M46" s="4" t="n">
        <v>0.52</v>
      </c>
      <c r="N46" s="26" t="n">
        <v>0.344057309100303</v>
      </c>
      <c r="O46" s="27" t="n">
        <v>382.448028826961</v>
      </c>
      <c r="P46" s="27" t="n">
        <v>195.285947156012</v>
      </c>
      <c r="Q46" s="28" t="n">
        <v>0.0151932773109244</v>
      </c>
      <c r="R46" s="25" t="n">
        <v>0.661648671346736</v>
      </c>
      <c r="S46" s="29" t="n">
        <v>0.34382945132931</v>
      </c>
      <c r="T46" s="27" t="n">
        <v>382.448028826961</v>
      </c>
      <c r="U46" s="27" t="n">
        <v>214</v>
      </c>
      <c r="V46" s="28" t="n">
        <v>0.0137386018237082</v>
      </c>
      <c r="W46" s="25" t="n">
        <f aca="false">(I46-H46)/(J46-H46)</f>
        <v>1.10016966079847</v>
      </c>
      <c r="X46" s="25" t="n">
        <f aca="false">0.5*(1+(I46-K46-L46)/(I46-K46))</f>
        <v>0.788288288288288</v>
      </c>
      <c r="Y46" s="25" t="n">
        <v>0.661210483325597</v>
      </c>
      <c r="Z46" s="26" t="n">
        <v>0.268287230981443</v>
      </c>
      <c r="AA46" s="27" t="n">
        <v>382.448028826961</v>
      </c>
      <c r="AB46" s="27" t="n">
        <v>195.285947156012</v>
      </c>
      <c r="AC46" s="28" t="n">
        <v>0.0151932773109244</v>
      </c>
      <c r="AD46" s="25" t="n">
        <v>0.515936982656621</v>
      </c>
      <c r="AE46" s="4" t="n">
        <v>0.284435529806881</v>
      </c>
      <c r="AF46" s="25" t="n">
        <v>0.36766733402078</v>
      </c>
      <c r="AG46" s="26" t="n">
        <f aca="false">SMALL(AE46:AF46,1)</f>
        <v>0.284435529806881</v>
      </c>
      <c r="AH46" s="27" t="n">
        <v>393.35280974227</v>
      </c>
      <c r="AI46" s="28" t="n">
        <v>0.0136</v>
      </c>
      <c r="AJ46" s="25" t="n">
        <v>0.546991403474771</v>
      </c>
      <c r="AK46" s="29" t="n">
        <v>0.354935559912156</v>
      </c>
      <c r="AN46" s="4" t="n">
        <f aca="false">(N46-$N$344)/$N$345</f>
        <v>1.51434558116779</v>
      </c>
      <c r="AO46" s="4" t="n">
        <f aca="false">(S46-$S$344)/$S$345</f>
        <v>1.55573651207766</v>
      </c>
      <c r="AP46" s="4" t="n">
        <f aca="false">(Z46-$Z$344)/$Z$345</f>
        <v>0.611124768753074</v>
      </c>
      <c r="AQ46" s="4" t="n">
        <f aca="false">(AE46-$AE$344)/$AE$345</f>
        <v>0.187406381121963</v>
      </c>
    </row>
    <row r="47" customFormat="false" ht="14.25" hidden="false" customHeight="false" outlineLevel="0" collapsed="false">
      <c r="B47" s="1" t="n">
        <v>12</v>
      </c>
      <c r="C47" s="1" t="n">
        <v>4</v>
      </c>
      <c r="D47" s="2" t="n">
        <v>79.3</v>
      </c>
      <c r="E47" s="4" t="n">
        <v>2.69332921131829</v>
      </c>
      <c r="F47" s="1" t="n">
        <v>20</v>
      </c>
      <c r="G47" s="1" t="n">
        <v>34</v>
      </c>
      <c r="H47" s="3" t="n">
        <v>76.5758696896729</v>
      </c>
      <c r="I47" s="1" t="n">
        <v>450</v>
      </c>
      <c r="J47" s="39" t="n">
        <v>416</v>
      </c>
      <c r="K47" s="27" t="n">
        <v>228</v>
      </c>
      <c r="L47" s="39" t="n">
        <v>94</v>
      </c>
      <c r="M47" s="4" t="n">
        <v>0.74</v>
      </c>
      <c r="N47" s="26" t="n">
        <v>0.496519441623919</v>
      </c>
      <c r="O47" s="27" t="n">
        <v>500</v>
      </c>
      <c r="P47" s="27" t="n">
        <v>195.285947156012</v>
      </c>
      <c r="Q47" s="28" t="n">
        <v>0.0151932773109244</v>
      </c>
      <c r="R47" s="25" t="n">
        <v>0.670972218410701</v>
      </c>
      <c r="S47" s="29" t="n">
        <v>0.502945662568176</v>
      </c>
      <c r="T47" s="27" t="n">
        <v>500</v>
      </c>
      <c r="U47" s="27" t="n">
        <v>214</v>
      </c>
      <c r="V47" s="28" t="n">
        <v>0.0137386018237082</v>
      </c>
      <c r="W47" s="25" t="n">
        <f aca="false">(I47-H47)/(J47-H47)</f>
        <v>1.10016966079847</v>
      </c>
      <c r="X47" s="25" t="n">
        <f aca="false">0.5*(1+(I47-K47-L47)/(I47-K47))</f>
        <v>0.788288288288288</v>
      </c>
      <c r="Y47" s="25" t="n">
        <v>0.679656300767806</v>
      </c>
      <c r="Z47" s="26" t="n">
        <v>0.387173365013149</v>
      </c>
      <c r="AA47" s="27" t="n">
        <v>500</v>
      </c>
      <c r="AB47" s="27" t="n">
        <v>195.285947156012</v>
      </c>
      <c r="AC47" s="28" t="n">
        <v>0.0151932773109244</v>
      </c>
      <c r="AD47" s="25" t="n">
        <v>0.523207250017769</v>
      </c>
      <c r="AE47" s="4" t="n">
        <v>0.361552685988499</v>
      </c>
      <c r="AF47" s="25" t="n">
        <v>0.594060315120875</v>
      </c>
      <c r="AG47" s="26" t="n">
        <f aca="false">SMALL(AE47:AF47,1)</f>
        <v>0.361552685988499</v>
      </c>
      <c r="AH47" s="27" t="n">
        <v>500</v>
      </c>
      <c r="AI47" s="28" t="n">
        <v>0.0136</v>
      </c>
      <c r="AJ47" s="25" t="n">
        <v>0.488584710795269</v>
      </c>
      <c r="AK47" s="29" t="n">
        <v>0.477290474409468</v>
      </c>
      <c r="AN47" s="4" t="n">
        <f aca="false">(N47-$N$344)/$N$345</f>
        <v>3.30795970586227</v>
      </c>
      <c r="AO47" s="4" t="n">
        <f aca="false">(S47-$S$344)/$S$345</f>
        <v>3.47498888651175</v>
      </c>
      <c r="AP47" s="4" t="n">
        <f aca="false">(Z47-$Z$344)/$Z$345</f>
        <v>2.22594524533183</v>
      </c>
      <c r="AQ47" s="4" t="n">
        <f aca="false">(AE47-$AE$344)/$AE$345</f>
        <v>1.15922652310973</v>
      </c>
    </row>
    <row r="48" customFormat="false" ht="14.25" hidden="false" customHeight="false" outlineLevel="0" collapsed="false">
      <c r="A48" s="0" t="s">
        <v>30</v>
      </c>
      <c r="B48" s="1" t="n">
        <v>12</v>
      </c>
      <c r="C48" s="1" t="n">
        <v>4</v>
      </c>
      <c r="D48" s="2" t="n">
        <v>79.3</v>
      </c>
      <c r="E48" s="4" t="n">
        <v>2.69332921131829</v>
      </c>
      <c r="F48" s="1" t="n">
        <v>20</v>
      </c>
      <c r="G48" s="1" t="n">
        <v>34</v>
      </c>
      <c r="H48" s="3" t="n">
        <v>76.5758696896729</v>
      </c>
      <c r="I48" s="1" t="n">
        <v>450</v>
      </c>
      <c r="J48" s="39" t="n">
        <v>416</v>
      </c>
      <c r="K48" s="27" t="n">
        <v>228</v>
      </c>
      <c r="L48" s="39" t="n">
        <v>94</v>
      </c>
      <c r="M48" s="4" t="n">
        <v>0.17</v>
      </c>
      <c r="N48" s="26" t="n">
        <v>0.123601278848589</v>
      </c>
      <c r="O48" s="27" t="n">
        <v>212.47112712609</v>
      </c>
      <c r="P48" s="27" t="n">
        <v>195.285947156012</v>
      </c>
      <c r="Q48" s="28" t="n">
        <v>0.0151932773109244</v>
      </c>
      <c r="R48" s="25" t="n">
        <v>0.727066346168173</v>
      </c>
      <c r="S48" s="29" t="n">
        <v>0.115038822092364</v>
      </c>
      <c r="T48" s="27" t="n">
        <v>212.47112712609</v>
      </c>
      <c r="U48" s="27" t="n">
        <v>214</v>
      </c>
      <c r="V48" s="28" t="n">
        <v>0.0137386018237082</v>
      </c>
      <c r="W48" s="25" t="n">
        <f aca="false">(I48-H48)/(J48-H48)</f>
        <v>1.10016966079847</v>
      </c>
      <c r="X48" s="25" t="n">
        <f aca="false">0.5*(1+(I48-K48-L48)/(I48-K48))</f>
        <v>0.788288288288288</v>
      </c>
      <c r="Y48" s="25" t="n">
        <v>0.676698953484495</v>
      </c>
      <c r="Z48" s="26" t="n">
        <v>0.128929548243119</v>
      </c>
      <c r="AA48" s="27" t="n">
        <v>212.47112712609</v>
      </c>
      <c r="AB48" s="27" t="n">
        <v>195.285947156012</v>
      </c>
      <c r="AC48" s="28" t="n">
        <v>0.0151932773109244</v>
      </c>
      <c r="AD48" s="25" t="n">
        <v>0.758409107312462</v>
      </c>
      <c r="AE48" s="4" t="n">
        <v>0.158019738781601</v>
      </c>
      <c r="AF48" s="25" t="n">
        <v>0.113477572228636</v>
      </c>
      <c r="AG48" s="26" t="n">
        <f aca="false">SMALL(AE48:AF48,1)</f>
        <v>0.113477572228636</v>
      </c>
      <c r="AH48" s="27" t="n">
        <v>218.529338745705</v>
      </c>
      <c r="AI48" s="28" t="n">
        <v>0.0136</v>
      </c>
      <c r="AJ48" s="25" t="n">
        <v>0.667515130756681</v>
      </c>
      <c r="AK48" s="29" t="n">
        <v>0.0981377441331837</v>
      </c>
      <c r="AN48" s="4" t="n">
        <f aca="false">(N48-$N$344)/$N$345</f>
        <v>-1.07917087559761</v>
      </c>
      <c r="AO48" s="4" t="n">
        <f aca="false">(S48-$S$344)/$S$345</f>
        <v>-1.20392546700307</v>
      </c>
      <c r="AP48" s="4" t="n">
        <f aca="false">(Z48-$Z$344)/$Z$345</f>
        <v>-1.28175905228527</v>
      </c>
      <c r="AQ48" s="4" t="n">
        <f aca="false">(AE48-$AE$344)/$AE$345</f>
        <v>-1.40566859812589</v>
      </c>
    </row>
    <row r="49" customFormat="false" ht="14.25" hidden="false" customHeight="false" outlineLevel="0" collapsed="false">
      <c r="B49" s="1" t="n">
        <v>12</v>
      </c>
      <c r="C49" s="1" t="n">
        <v>4</v>
      </c>
      <c r="D49" s="2" t="n">
        <v>79.3</v>
      </c>
      <c r="E49" s="4" t="n">
        <v>2.69332921131829</v>
      </c>
      <c r="F49" s="1" t="n">
        <v>20</v>
      </c>
      <c r="G49" s="1" t="n">
        <v>34</v>
      </c>
      <c r="H49" s="3" t="n">
        <v>76.5758696896729</v>
      </c>
      <c r="I49" s="1" t="n">
        <v>450</v>
      </c>
      <c r="J49" s="39" t="n">
        <v>416</v>
      </c>
      <c r="K49" s="27" t="n">
        <v>228</v>
      </c>
      <c r="L49" s="39" t="n">
        <v>94</v>
      </c>
      <c r="M49" s="4" t="n">
        <v>0.36</v>
      </c>
      <c r="N49" s="26" t="n">
        <v>0.233829293974446</v>
      </c>
      <c r="O49" s="27" t="n">
        <v>297.459577976525</v>
      </c>
      <c r="P49" s="27" t="n">
        <v>195.285947156012</v>
      </c>
      <c r="Q49" s="28" t="n">
        <v>0.0151932773109244</v>
      </c>
      <c r="R49" s="25" t="n">
        <v>0.649525816595683</v>
      </c>
      <c r="S49" s="29" t="n">
        <v>0.228790629236946</v>
      </c>
      <c r="T49" s="27" t="n">
        <v>297.459577976525</v>
      </c>
      <c r="U49" s="27" t="n">
        <v>214</v>
      </c>
      <c r="V49" s="28" t="n">
        <v>0.0137386018237082</v>
      </c>
      <c r="W49" s="25" t="n">
        <f aca="false">(I49-H49)/(J49-H49)</f>
        <v>1.10016966079847</v>
      </c>
      <c r="X49" s="25" t="n">
        <f aca="false">0.5*(1+(I49-K49-L49)/(I49-K49))</f>
        <v>0.788288288288288</v>
      </c>
      <c r="Y49" s="25" t="n">
        <v>0.635529525658183</v>
      </c>
      <c r="Z49" s="26" t="n">
        <v>0.182334198819364</v>
      </c>
      <c r="AA49" s="27" t="n">
        <v>297.459577976525</v>
      </c>
      <c r="AB49" s="27" t="n">
        <v>195.285947156012</v>
      </c>
      <c r="AC49" s="28" t="n">
        <v>0.0151932773109244</v>
      </c>
      <c r="AD49" s="25" t="n">
        <v>0.506483885609344</v>
      </c>
      <c r="AE49" s="4" t="n">
        <v>0.221227634294241</v>
      </c>
      <c r="AF49" s="25" t="n">
        <v>0.222416041568126</v>
      </c>
      <c r="AG49" s="26" t="n">
        <f aca="false">SMALL(AE49:AF49,1)</f>
        <v>0.221227634294241</v>
      </c>
      <c r="AH49" s="27" t="n">
        <v>305.941074243988</v>
      </c>
      <c r="AI49" s="28" t="n">
        <v>0.0136</v>
      </c>
      <c r="AJ49" s="25" t="n">
        <v>0.614521206372891</v>
      </c>
      <c r="AK49" s="29" t="n">
        <v>0.22653665202267</v>
      </c>
      <c r="AN49" s="4" t="n">
        <f aca="false">(N49-$N$344)/$N$345</f>
        <v>0.217587352785088</v>
      </c>
      <c r="AO49" s="4" t="n">
        <f aca="false">(S49-$S$344)/$S$345</f>
        <v>0.16814356517534</v>
      </c>
      <c r="AP49" s="4" t="n">
        <f aca="false">(Z49-$Z$344)/$Z$345</f>
        <v>-0.55636812257386</v>
      </c>
      <c r="AQ49" s="4" t="n">
        <f aca="false">(AE49-$AE$344)/$AE$345</f>
        <v>-0.609131108501963</v>
      </c>
    </row>
    <row r="50" customFormat="false" ht="14.25" hidden="false" customHeight="false" outlineLevel="0" collapsed="false">
      <c r="B50" s="1" t="n">
        <v>12</v>
      </c>
      <c r="C50" s="1" t="n">
        <v>4</v>
      </c>
      <c r="D50" s="2" t="n">
        <v>79.3</v>
      </c>
      <c r="E50" s="4" t="n">
        <v>2.69332921131829</v>
      </c>
      <c r="F50" s="1" t="n">
        <v>20</v>
      </c>
      <c r="G50" s="1" t="n">
        <v>34</v>
      </c>
      <c r="H50" s="3" t="n">
        <v>76.5758696896729</v>
      </c>
      <c r="I50" s="1" t="n">
        <v>450</v>
      </c>
      <c r="J50" s="39" t="n">
        <v>416</v>
      </c>
      <c r="K50" s="27" t="n">
        <v>228</v>
      </c>
      <c r="L50" s="39" t="n">
        <v>94</v>
      </c>
      <c r="M50" s="4" t="n">
        <v>0.56</v>
      </c>
      <c r="N50" s="26" t="n">
        <v>0.344057309100303</v>
      </c>
      <c r="O50" s="27" t="n">
        <v>382.448028826961</v>
      </c>
      <c r="P50" s="27" t="n">
        <v>195.285947156012</v>
      </c>
      <c r="Q50" s="28" t="n">
        <v>0.0151932773109244</v>
      </c>
      <c r="R50" s="25" t="n">
        <v>0.614388051964826</v>
      </c>
      <c r="S50" s="29" t="n">
        <v>0.34382945132931</v>
      </c>
      <c r="T50" s="27" t="n">
        <v>382.448028826961</v>
      </c>
      <c r="U50" s="27" t="n">
        <v>214</v>
      </c>
      <c r="V50" s="28" t="n">
        <v>0.0137386018237082</v>
      </c>
      <c r="W50" s="25" t="n">
        <f aca="false">(I50-H50)/(J50-H50)</f>
        <v>1.10016966079847</v>
      </c>
      <c r="X50" s="25" t="n">
        <f aca="false">0.5*(1+(I50-K50-L50)/(I50-K50))</f>
        <v>0.788288288288288</v>
      </c>
      <c r="Y50" s="25" t="n">
        <v>0.613981163088054</v>
      </c>
      <c r="Z50" s="26" t="n">
        <v>0.268287230981443</v>
      </c>
      <c r="AA50" s="27" t="n">
        <v>382.448028826961</v>
      </c>
      <c r="AB50" s="27" t="n">
        <v>195.285947156012</v>
      </c>
      <c r="AC50" s="28" t="n">
        <v>0.0151932773109244</v>
      </c>
      <c r="AD50" s="25" t="n">
        <v>0.479084341038291</v>
      </c>
      <c r="AE50" s="4" t="n">
        <v>0.284435529806881</v>
      </c>
      <c r="AF50" s="25" t="n">
        <v>0.36766733402078</v>
      </c>
      <c r="AG50" s="26" t="n">
        <f aca="false">SMALL(AE50:AF50,1)</f>
        <v>0.284435529806881</v>
      </c>
      <c r="AH50" s="27" t="n">
        <v>393.35280974227</v>
      </c>
      <c r="AI50" s="28" t="n">
        <v>0.0136</v>
      </c>
      <c r="AJ50" s="25" t="n">
        <v>0.507920588940859</v>
      </c>
      <c r="AK50" s="29" t="n">
        <v>0.354935559912156</v>
      </c>
      <c r="AN50" s="4" t="n">
        <f aca="false">(N50-$N$344)/$N$345</f>
        <v>1.51434558116779</v>
      </c>
      <c r="AO50" s="4" t="n">
        <f aca="false">(S50-$S$344)/$S$345</f>
        <v>1.55573651207766</v>
      </c>
      <c r="AP50" s="4" t="n">
        <f aca="false">(Z50-$Z$344)/$Z$345</f>
        <v>0.611124768753074</v>
      </c>
      <c r="AQ50" s="4" t="n">
        <f aca="false">(AE50-$AE$344)/$AE$345</f>
        <v>0.187406381121963</v>
      </c>
    </row>
    <row r="51" customFormat="false" ht="14.25" hidden="false" customHeight="false" outlineLevel="0" collapsed="false">
      <c r="B51" s="1" t="n">
        <v>12</v>
      </c>
      <c r="C51" s="1" t="n">
        <v>4</v>
      </c>
      <c r="D51" s="2" t="n">
        <v>79.3</v>
      </c>
      <c r="E51" s="4" t="n">
        <v>2.69332921131829</v>
      </c>
      <c r="F51" s="1" t="n">
        <v>20</v>
      </c>
      <c r="G51" s="1" t="n">
        <v>34</v>
      </c>
      <c r="H51" s="3" t="n">
        <v>76.5758696896729</v>
      </c>
      <c r="I51" s="1" t="n">
        <v>450</v>
      </c>
      <c r="J51" s="39" t="n">
        <v>416</v>
      </c>
      <c r="K51" s="27" t="n">
        <v>228</v>
      </c>
      <c r="L51" s="39" t="n">
        <v>94</v>
      </c>
      <c r="M51" s="4" t="n">
        <v>0.78</v>
      </c>
      <c r="N51" s="26" t="n">
        <v>0.496519441623919</v>
      </c>
      <c r="O51" s="27" t="n">
        <v>500</v>
      </c>
      <c r="P51" s="27" t="n">
        <v>195.285947156012</v>
      </c>
      <c r="Q51" s="28" t="n">
        <v>0.0151932773109244</v>
      </c>
      <c r="R51" s="25" t="n">
        <v>0.636563386697331</v>
      </c>
      <c r="S51" s="29" t="n">
        <v>0.502945662568176</v>
      </c>
      <c r="T51" s="27" t="n">
        <v>500</v>
      </c>
      <c r="U51" s="27" t="n">
        <v>214</v>
      </c>
      <c r="V51" s="28" t="n">
        <v>0.0137386018237082</v>
      </c>
      <c r="W51" s="25" t="n">
        <f aca="false">(I51-H51)/(J51-H51)</f>
        <v>1.10016966079847</v>
      </c>
      <c r="X51" s="25" t="n">
        <f aca="false">0.5*(1+(I51-K51-L51)/(I51-K51))</f>
        <v>0.788288288288288</v>
      </c>
      <c r="Y51" s="25" t="n">
        <v>0.644802131497662</v>
      </c>
      <c r="Z51" s="26" t="n">
        <v>0.387173365013149</v>
      </c>
      <c r="AA51" s="27" t="n">
        <v>500</v>
      </c>
      <c r="AB51" s="27" t="n">
        <v>195.285947156012</v>
      </c>
      <c r="AC51" s="28" t="n">
        <v>0.0151932773109244</v>
      </c>
      <c r="AD51" s="25" t="n">
        <v>0.496376108991217</v>
      </c>
      <c r="AE51" s="4" t="n">
        <v>0.361552685988499</v>
      </c>
      <c r="AF51" s="25" t="n">
        <v>0.594060315120875</v>
      </c>
      <c r="AG51" s="26" t="n">
        <f aca="false">SMALL(AE51:AF51,1)</f>
        <v>0.361552685988499</v>
      </c>
      <c r="AH51" s="27" t="n">
        <v>500</v>
      </c>
      <c r="AI51" s="28" t="n">
        <v>0.0136</v>
      </c>
      <c r="AJ51" s="25" t="n">
        <v>0.463529084600639</v>
      </c>
      <c r="AK51" s="29" t="n">
        <v>0.477290474409468</v>
      </c>
      <c r="AN51" s="4" t="n">
        <f aca="false">(N51-$N$344)/$N$345</f>
        <v>3.30795970586227</v>
      </c>
      <c r="AO51" s="4" t="n">
        <f aca="false">(S51-$S$344)/$S$345</f>
        <v>3.47498888651175</v>
      </c>
      <c r="AP51" s="4" t="n">
        <f aca="false">(Z51-$Z$344)/$Z$345</f>
        <v>2.22594524533183</v>
      </c>
      <c r="AQ51" s="4" t="n">
        <f aca="false">(AE51-$AE$344)/$AE$345</f>
        <v>1.15922652310973</v>
      </c>
    </row>
    <row r="52" customFormat="false" ht="14.25" hidden="false" customHeight="false" outlineLevel="0" collapsed="false">
      <c r="A52" s="0" t="s">
        <v>31</v>
      </c>
      <c r="B52" s="1" t="n">
        <v>12</v>
      </c>
      <c r="C52" s="1" t="n">
        <v>4</v>
      </c>
      <c r="D52" s="2" t="n">
        <v>46</v>
      </c>
      <c r="E52" s="4" t="n">
        <v>2.69332921131829</v>
      </c>
      <c r="F52" s="1" t="n">
        <v>70</v>
      </c>
      <c r="G52" s="1" t="n">
        <v>88</v>
      </c>
      <c r="H52" s="3" t="n">
        <v>70.9138918544459</v>
      </c>
      <c r="I52" s="1" t="n">
        <v>450</v>
      </c>
      <c r="J52" s="39" t="n">
        <v>362</v>
      </c>
      <c r="K52" s="27" t="n">
        <v>227</v>
      </c>
      <c r="L52" s="39" t="n">
        <v>120</v>
      </c>
      <c r="M52" s="4" t="n">
        <v>0.31</v>
      </c>
      <c r="N52" s="26" t="n">
        <v>0.177758758294371</v>
      </c>
      <c r="O52" s="27" t="n">
        <v>245.194770485466</v>
      </c>
      <c r="P52" s="27" t="n">
        <v>281.548232499321</v>
      </c>
      <c r="Q52" s="28" t="n">
        <v>0.0102200677657071</v>
      </c>
      <c r="R52" s="25" t="n">
        <v>0.573415349336681</v>
      </c>
      <c r="S52" s="29" t="n">
        <v>0.261427701149999</v>
      </c>
      <c r="T52" s="27" t="n">
        <v>245.194770485466</v>
      </c>
      <c r="U52" s="27" t="n">
        <v>268</v>
      </c>
      <c r="V52" s="28" t="n">
        <v>0.0107619047619048</v>
      </c>
      <c r="W52" s="25" t="n">
        <f aca="false">(I52-H52)/(J52-H52)</f>
        <v>1.30231604167107</v>
      </c>
      <c r="X52" s="25" t="n">
        <f aca="false">0.5*(1+(I52-K52-L52)/(I52-K52))</f>
        <v>0.730941704035874</v>
      </c>
      <c r="Y52" s="25" t="n">
        <v>0.843315164999996</v>
      </c>
      <c r="Z52" s="26" t="n">
        <v>0.321897054920026</v>
      </c>
      <c r="AA52" s="27" t="n">
        <v>245.194770485466</v>
      </c>
      <c r="AB52" s="27" t="n">
        <v>281.548232499321</v>
      </c>
      <c r="AC52" s="28" t="n">
        <v>0.0102200677657071</v>
      </c>
      <c r="AD52" s="25" t="n">
        <v>1.03837759651621</v>
      </c>
      <c r="AE52" s="4" t="n">
        <v>0.35643211676505</v>
      </c>
      <c r="AF52" s="25" t="n">
        <v>0.1516070469554</v>
      </c>
      <c r="AG52" s="26" t="n">
        <f aca="false">SMALL(AE52:AF52,1)</f>
        <v>0.1516070469554</v>
      </c>
      <c r="AH52" s="27" t="n">
        <v>252.588996756181</v>
      </c>
      <c r="AI52" s="28" t="n">
        <v>0.0065</v>
      </c>
      <c r="AJ52" s="25" t="n">
        <v>0.48905499017871</v>
      </c>
      <c r="AK52" s="29" t="n">
        <v>0.239191631259047</v>
      </c>
      <c r="AN52" s="4" t="n">
        <f aca="false">(N52-$N$344)/$N$345</f>
        <v>-0.442044669345983</v>
      </c>
      <c r="AO52" s="4" t="n">
        <f aca="false">(S52-$S$344)/$S$345</f>
        <v>0.561810415812382</v>
      </c>
      <c r="AP52" s="4" t="n">
        <f aca="false">(Z52-$Z$344)/$Z$345</f>
        <v>1.33930255119083</v>
      </c>
      <c r="AQ52" s="4" t="n">
        <f aca="false">(AE52-$AE$344)/$AE$345</f>
        <v>1.09469779103265</v>
      </c>
    </row>
    <row r="53" customFormat="false" ht="14.25" hidden="false" customHeight="false" outlineLevel="0" collapsed="false">
      <c r="B53" s="1" t="n">
        <v>12</v>
      </c>
      <c r="C53" s="1" t="n">
        <v>4</v>
      </c>
      <c r="D53" s="2" t="n">
        <v>46</v>
      </c>
      <c r="E53" s="4" t="n">
        <v>2.69332921131829</v>
      </c>
      <c r="F53" s="1" t="n">
        <v>70</v>
      </c>
      <c r="G53" s="1" t="n">
        <v>88</v>
      </c>
      <c r="H53" s="3" t="n">
        <v>70.9138918544459</v>
      </c>
      <c r="I53" s="1" t="n">
        <v>450</v>
      </c>
      <c r="J53" s="39" t="n">
        <v>362</v>
      </c>
      <c r="K53" s="27" t="n">
        <v>227</v>
      </c>
      <c r="L53" s="39" t="n">
        <v>120</v>
      </c>
      <c r="M53" s="4" t="n">
        <v>0.44</v>
      </c>
      <c r="N53" s="26" t="n">
        <v>0.292057697618438</v>
      </c>
      <c r="O53" s="27" t="n">
        <v>294.23372458256</v>
      </c>
      <c r="P53" s="27" t="n">
        <v>281.548232499321</v>
      </c>
      <c r="Q53" s="28" t="n">
        <v>0.0102200677657071</v>
      </c>
      <c r="R53" s="25" t="n">
        <v>0.66376749458736</v>
      </c>
      <c r="S53" s="29" t="n">
        <v>0.355221300507252</v>
      </c>
      <c r="T53" s="27" t="n">
        <v>294.23372458256</v>
      </c>
      <c r="U53" s="27" t="n">
        <v>268</v>
      </c>
      <c r="V53" s="28" t="n">
        <v>0.0107619047619048</v>
      </c>
      <c r="W53" s="25" t="n">
        <f aca="false">(I53-H53)/(J53-H53)</f>
        <v>1.30231604167107</v>
      </c>
      <c r="X53" s="25" t="n">
        <f aca="false">0.5*(1+(I53-K53-L53)/(I53-K53))</f>
        <v>0.730941704035874</v>
      </c>
      <c r="Y53" s="25" t="n">
        <v>0.807321137516482</v>
      </c>
      <c r="Z53" s="26" t="n">
        <v>0.386276465904031</v>
      </c>
      <c r="AA53" s="27" t="n">
        <v>294.23372458256</v>
      </c>
      <c r="AB53" s="27" t="n">
        <v>281.548232499321</v>
      </c>
      <c r="AC53" s="28" t="n">
        <v>0.0102200677657071</v>
      </c>
      <c r="AD53" s="25" t="n">
        <v>0.877901058872799</v>
      </c>
      <c r="AE53" s="4" t="n">
        <v>0.42771854011806</v>
      </c>
      <c r="AF53" s="25" t="n">
        <v>0.218314147615776</v>
      </c>
      <c r="AG53" s="26" t="n">
        <f aca="false">SMALL(AE53:AF53,1)</f>
        <v>0.218314147615776</v>
      </c>
      <c r="AH53" s="27" t="n">
        <v>303.106796107418</v>
      </c>
      <c r="AI53" s="28" t="n">
        <v>0.0065</v>
      </c>
      <c r="AJ53" s="25" t="n">
        <v>0.496168517308582</v>
      </c>
      <c r="AK53" s="29" t="n">
        <v>0.360041399103575</v>
      </c>
      <c r="AN53" s="4" t="n">
        <f aca="false">(N53-$N$344)/$N$345</f>
        <v>0.90260523562297</v>
      </c>
      <c r="AO53" s="4" t="n">
        <f aca="false">(S53-$S$344)/$S$345</f>
        <v>1.69314446953045</v>
      </c>
      <c r="AP53" s="4" t="n">
        <f aca="false">(Z53-$Z$344)/$Z$345</f>
        <v>2.21376273928413</v>
      </c>
      <c r="AQ53" s="4" t="n">
        <f aca="false">(AE53-$AE$344)/$AE$345</f>
        <v>1.99303981367632</v>
      </c>
    </row>
    <row r="54" customFormat="false" ht="14.25" hidden="false" customHeight="false" outlineLevel="0" collapsed="false">
      <c r="A54" s="0" t="s">
        <v>32</v>
      </c>
      <c r="B54" s="1" t="n">
        <v>12</v>
      </c>
      <c r="C54" s="1" t="n">
        <v>4</v>
      </c>
      <c r="D54" s="2" t="n">
        <v>46</v>
      </c>
      <c r="E54" s="4" t="n">
        <v>2.69332921131829</v>
      </c>
      <c r="F54" s="1" t="n">
        <v>70</v>
      </c>
      <c r="G54" s="1" t="n">
        <v>84</v>
      </c>
      <c r="H54" s="3" t="n">
        <v>71.3470436587611</v>
      </c>
      <c r="I54" s="1" t="n">
        <v>450</v>
      </c>
      <c r="J54" s="39" t="n">
        <v>366</v>
      </c>
      <c r="K54" s="27" t="n">
        <v>227</v>
      </c>
      <c r="L54" s="39" t="n">
        <v>120</v>
      </c>
      <c r="M54" s="4" t="n">
        <v>0.14</v>
      </c>
      <c r="N54" s="26" t="n">
        <v>0.058682947698772</v>
      </c>
      <c r="O54" s="27" t="n">
        <v>193.945814910414</v>
      </c>
      <c r="P54" s="27" t="n">
        <v>281.247113662578</v>
      </c>
      <c r="Q54" s="28" t="n">
        <v>0.0102317587896877</v>
      </c>
      <c r="R54" s="25" t="n">
        <v>0.419163912134086</v>
      </c>
      <c r="S54" s="29" t="n">
        <v>0.204037001359618</v>
      </c>
      <c r="T54" s="27" t="n">
        <v>193.945814910414</v>
      </c>
      <c r="U54" s="27" t="n">
        <v>268</v>
      </c>
      <c r="V54" s="28" t="n">
        <v>0.0107619047619048</v>
      </c>
      <c r="W54" s="25" t="n">
        <f aca="false">(I54-H54)/(J54-H54)</f>
        <v>1.28508113763067</v>
      </c>
      <c r="X54" s="25" t="n">
        <f aca="false">0.5*(1+(I54-K54-L54)/(I54-K54))</f>
        <v>0.730941704035874</v>
      </c>
      <c r="Y54" s="25" t="n">
        <v>1.4574071525687</v>
      </c>
      <c r="Z54" s="26" t="n">
        <v>0.254483602812162</v>
      </c>
      <c r="AA54" s="27" t="n">
        <v>193.945814910414</v>
      </c>
      <c r="AB54" s="27" t="n">
        <v>281.247113662578</v>
      </c>
      <c r="AC54" s="28" t="n">
        <v>0.0102317587896877</v>
      </c>
      <c r="AD54" s="25" t="n">
        <v>1.81774002008687</v>
      </c>
      <c r="AE54" s="4" t="n">
        <v>0.281896939977587</v>
      </c>
      <c r="AF54" s="25" t="n">
        <v>0.0948301531895278</v>
      </c>
      <c r="AG54" s="26" t="n">
        <f aca="false">SMALL(AE54:AF54,1)</f>
        <v>0.0948301531895278</v>
      </c>
      <c r="AH54" s="27" t="n">
        <v>199.768937501532</v>
      </c>
      <c r="AI54" s="28" t="n">
        <v>0.0065</v>
      </c>
      <c r="AJ54" s="25" t="n">
        <v>0.677358237068056</v>
      </c>
      <c r="AK54" s="29" t="n">
        <v>0.113058813454102</v>
      </c>
      <c r="AN54" s="4" t="n">
        <f aca="false">(N54-$N$344)/$N$345</f>
        <v>-1.84289124192444</v>
      </c>
      <c r="AO54" s="4" t="n">
        <f aca="false">(S54-$S$344)/$S$345</f>
        <v>-0.130433548429381</v>
      </c>
      <c r="AP54" s="4" t="n">
        <f aca="false">(Z54-$Z$344)/$Z$345</f>
        <v>0.423631234705703</v>
      </c>
      <c r="AQ54" s="4" t="n">
        <f aca="false">(AE54-$AE$344)/$AE$345</f>
        <v>0.155415409845183</v>
      </c>
    </row>
    <row r="55" customFormat="false" ht="14.25" hidden="false" customHeight="false" outlineLevel="0" collapsed="false">
      <c r="B55" s="1" t="n">
        <v>12</v>
      </c>
      <c r="C55" s="1" t="n">
        <v>4</v>
      </c>
      <c r="D55" s="2" t="n">
        <v>46</v>
      </c>
      <c r="E55" s="4" t="n">
        <v>2.69332921131829</v>
      </c>
      <c r="F55" s="1" t="n">
        <v>70</v>
      </c>
      <c r="G55" s="1" t="n">
        <v>84</v>
      </c>
      <c r="H55" s="3" t="n">
        <v>71.3470436587611</v>
      </c>
      <c r="I55" s="1" t="n">
        <v>450</v>
      </c>
      <c r="J55" s="39" t="n">
        <v>366</v>
      </c>
      <c r="K55" s="27" t="n">
        <v>227</v>
      </c>
      <c r="L55" s="39" t="n">
        <v>120</v>
      </c>
      <c r="M55" s="4" t="n">
        <v>0.31</v>
      </c>
      <c r="N55" s="26" t="n">
        <v>0.171603783231656</v>
      </c>
      <c r="O55" s="27" t="n">
        <v>242.432268638018</v>
      </c>
      <c r="P55" s="27" t="n">
        <v>281.247113662578</v>
      </c>
      <c r="Q55" s="28" t="n">
        <v>0.0102317587896877</v>
      </c>
      <c r="R55" s="25" t="n">
        <v>0.553560591069857</v>
      </c>
      <c r="S55" s="29" t="n">
        <v>0.255046251699522</v>
      </c>
      <c r="T55" s="27" t="n">
        <v>242.432268638018</v>
      </c>
      <c r="U55" s="27" t="n">
        <v>268</v>
      </c>
      <c r="V55" s="28" t="n">
        <v>0.0107619047619048</v>
      </c>
      <c r="W55" s="25" t="n">
        <f aca="false">(I55-H55)/(J55-H55)</f>
        <v>1.28508113763067</v>
      </c>
      <c r="X55" s="25" t="n">
        <f aca="false">0.5*(1+(I55-K55-L55)/(I55-K55))</f>
        <v>0.730941704035874</v>
      </c>
      <c r="Y55" s="25" t="n">
        <v>0.822729844192008</v>
      </c>
      <c r="Z55" s="26" t="n">
        <v>0.318104503515203</v>
      </c>
      <c r="AA55" s="27" t="n">
        <v>242.432268638018</v>
      </c>
      <c r="AB55" s="27" t="n">
        <v>281.247113662578</v>
      </c>
      <c r="AC55" s="28" t="n">
        <v>0.0102317587896877</v>
      </c>
      <c r="AD55" s="25" t="n">
        <v>1.02614355972646</v>
      </c>
      <c r="AE55" s="4" t="n">
        <v>0.352371174971984</v>
      </c>
      <c r="AF55" s="25" t="n">
        <v>0.148172114358637</v>
      </c>
      <c r="AG55" s="26" t="n">
        <f aca="false">SMALL(AE55:AF55,1)</f>
        <v>0.148172114358637</v>
      </c>
      <c r="AH55" s="27" t="n">
        <v>249.711171876915</v>
      </c>
      <c r="AI55" s="28" t="n">
        <v>0.0065</v>
      </c>
      <c r="AJ55" s="25" t="n">
        <v>0.477974562447217</v>
      </c>
      <c r="AK55" s="29" t="n">
        <v>0.232587818808526</v>
      </c>
      <c r="AN55" s="4" t="n">
        <f aca="false">(N55-$N$344)/$N$345</f>
        <v>-0.514453798268003</v>
      </c>
      <c r="AO55" s="4" t="n">
        <f aca="false">(S55-$S$344)/$S$345</f>
        <v>0.484837667939622</v>
      </c>
      <c r="AP55" s="4" t="n">
        <f aca="false">(Z55-$Z$344)/$Z$345</f>
        <v>1.28778864070105</v>
      </c>
      <c r="AQ55" s="4" t="n">
        <f aca="false">(AE55-$AE$344)/$AE$345</f>
        <v>1.04352234285291</v>
      </c>
    </row>
    <row r="56" customFormat="false" ht="14.25" hidden="false" customHeight="false" outlineLevel="0" collapsed="false">
      <c r="B56" s="1" t="n">
        <v>12</v>
      </c>
      <c r="C56" s="1" t="n">
        <v>4</v>
      </c>
      <c r="D56" s="2" t="n">
        <v>46</v>
      </c>
      <c r="E56" s="4" t="n">
        <v>2.69332921131829</v>
      </c>
      <c r="F56" s="1" t="n">
        <v>70</v>
      </c>
      <c r="G56" s="1" t="n">
        <v>84</v>
      </c>
      <c r="H56" s="3" t="n">
        <v>71.3470436587611</v>
      </c>
      <c r="I56" s="1" t="n">
        <v>450</v>
      </c>
      <c r="J56" s="39" t="n">
        <v>366</v>
      </c>
      <c r="K56" s="27" t="n">
        <v>227</v>
      </c>
      <c r="L56" s="39" t="n">
        <v>120</v>
      </c>
      <c r="M56" s="4" t="n">
        <v>0.4</v>
      </c>
      <c r="N56" s="26" t="n">
        <v>0.284524618764539</v>
      </c>
      <c r="O56" s="27" t="n">
        <v>290.918722365622</v>
      </c>
      <c r="P56" s="27" t="n">
        <v>281.247113662578</v>
      </c>
      <c r="Q56" s="28" t="n">
        <v>0.0102317587896877</v>
      </c>
      <c r="R56" s="25" t="n">
        <v>0.711311546911348</v>
      </c>
      <c r="S56" s="29" t="n">
        <v>0.341780558598951</v>
      </c>
      <c r="T56" s="27" t="n">
        <v>290.918722365622</v>
      </c>
      <c r="U56" s="27" t="n">
        <v>268</v>
      </c>
      <c r="V56" s="28" t="n">
        <v>0.0107619047619048</v>
      </c>
      <c r="W56" s="25" t="n">
        <f aca="false">(I56-H56)/(J56-H56)</f>
        <v>1.28508113763067</v>
      </c>
      <c r="X56" s="25" t="n">
        <f aca="false">0.5*(1+(I56-K56-L56)/(I56-K56))</f>
        <v>0.730941704035874</v>
      </c>
      <c r="Y56" s="25" t="n">
        <v>0.854451396497377</v>
      </c>
      <c r="Z56" s="26" t="n">
        <v>0.381725404218243</v>
      </c>
      <c r="AA56" s="27" t="n">
        <v>290.918722365622</v>
      </c>
      <c r="AB56" s="27" t="n">
        <v>281.247113662578</v>
      </c>
      <c r="AC56" s="28" t="n">
        <v>0.0102317587896877</v>
      </c>
      <c r="AD56" s="25" t="n">
        <v>0.954313510545609</v>
      </c>
      <c r="AE56" s="4" t="n">
        <v>0.422845409966381</v>
      </c>
      <c r="AF56" s="25" t="n">
        <v>0.213367844676438</v>
      </c>
      <c r="AG56" s="26" t="n">
        <f aca="false">SMALL(AE56:AF56,1)</f>
        <v>0.213367844676438</v>
      </c>
      <c r="AH56" s="27" t="n">
        <v>299.653406252299</v>
      </c>
      <c r="AI56" s="28" t="n">
        <v>0.0065</v>
      </c>
      <c r="AJ56" s="25" t="n">
        <v>0.533419611691094</v>
      </c>
      <c r="AK56" s="29" t="n">
        <v>0.35211682416295</v>
      </c>
      <c r="AN56" s="4" t="n">
        <f aca="false">(N56-$N$344)/$N$345</f>
        <v>0.813983645388439</v>
      </c>
      <c r="AO56" s="4" t="n">
        <f aca="false">(S56-$S$344)/$S$345</f>
        <v>1.53102286280782</v>
      </c>
      <c r="AP56" s="4" t="n">
        <f aca="false">(Z56-$Z$344)/$Z$345</f>
        <v>2.15194604669639</v>
      </c>
      <c r="AQ56" s="4" t="n">
        <f aca="false">(AE56-$AE$344)/$AE$345</f>
        <v>1.93162927586063</v>
      </c>
    </row>
    <row r="57" customFormat="false" ht="14.25" hidden="false" customHeight="false" outlineLevel="0" collapsed="false">
      <c r="A57" s="0" t="s">
        <v>33</v>
      </c>
      <c r="B57" s="1" t="n">
        <v>12</v>
      </c>
      <c r="C57" s="1" t="n">
        <v>4</v>
      </c>
      <c r="D57" s="2" t="n">
        <v>46</v>
      </c>
      <c r="E57" s="4" t="n">
        <v>2.69332921131829</v>
      </c>
      <c r="F57" s="1" t="n">
        <v>70</v>
      </c>
      <c r="G57" s="1" t="n">
        <v>84</v>
      </c>
      <c r="H57" s="3" t="n">
        <v>71.3470436587611</v>
      </c>
      <c r="I57" s="1" t="n">
        <v>450</v>
      </c>
      <c r="J57" s="39" t="n">
        <v>366</v>
      </c>
      <c r="K57" s="27" t="n">
        <v>227</v>
      </c>
      <c r="L57" s="39" t="n">
        <v>120</v>
      </c>
      <c r="M57" s="4" t="n">
        <v>0.25</v>
      </c>
      <c r="N57" s="26" t="n">
        <v>0.058682947698772</v>
      </c>
      <c r="O57" s="27" t="n">
        <v>193.945814910414</v>
      </c>
      <c r="P57" s="27" t="n">
        <v>281.247113662578</v>
      </c>
      <c r="Q57" s="28" t="n">
        <v>0.0102317587896877</v>
      </c>
      <c r="R57" s="25" t="n">
        <v>0.234731790795088</v>
      </c>
      <c r="S57" s="29" t="n">
        <v>0.204037001359618</v>
      </c>
      <c r="T57" s="27" t="n">
        <v>193.945814910414</v>
      </c>
      <c r="U57" s="27" t="n">
        <v>268</v>
      </c>
      <c r="V57" s="28" t="n">
        <v>0.0107619047619048</v>
      </c>
      <c r="W57" s="25" t="n">
        <f aca="false">(I57-H57)/(J57-H57)</f>
        <v>1.28508113763067</v>
      </c>
      <c r="X57" s="25" t="n">
        <f aca="false">0.5*(1+(I57-K57-L57)/(I57-K57))</f>
        <v>0.730941704035874</v>
      </c>
      <c r="Y57" s="25" t="n">
        <v>0.816148005438472</v>
      </c>
      <c r="Z57" s="26" t="n">
        <v>0.254483602812162</v>
      </c>
      <c r="AA57" s="27" t="n">
        <v>193.945814910414</v>
      </c>
      <c r="AB57" s="27" t="n">
        <v>281.247113662578</v>
      </c>
      <c r="AC57" s="28" t="n">
        <v>0.0102317587896877</v>
      </c>
      <c r="AD57" s="25" t="n">
        <v>1.01793441124865</v>
      </c>
      <c r="AE57" s="4" t="n">
        <v>0.281896939977587</v>
      </c>
      <c r="AF57" s="25" t="n">
        <v>0.0948301531895278</v>
      </c>
      <c r="AG57" s="26" t="n">
        <f aca="false">SMALL(AE57:AF57,1)</f>
        <v>0.0948301531895278</v>
      </c>
      <c r="AH57" s="27" t="n">
        <v>199.768937501532</v>
      </c>
      <c r="AI57" s="28" t="n">
        <v>0.0065</v>
      </c>
      <c r="AJ57" s="25" t="n">
        <v>0.379320612758111</v>
      </c>
      <c r="AK57" s="29" t="n">
        <v>0.113058813454102</v>
      </c>
      <c r="AN57" s="4" t="n">
        <f aca="false">(N57-$N$344)/$N$345</f>
        <v>-1.84289124192444</v>
      </c>
      <c r="AO57" s="4" t="n">
        <f aca="false">(S57-$S$344)/$S$345</f>
        <v>-0.130433548429381</v>
      </c>
      <c r="AP57" s="4" t="n">
        <f aca="false">(Z57-$Z$344)/$Z$345</f>
        <v>0.423631234705703</v>
      </c>
      <c r="AQ57" s="4" t="n">
        <f aca="false">(AE57-$AE$344)/$AE$345</f>
        <v>0.155415409845183</v>
      </c>
    </row>
    <row r="58" customFormat="false" ht="14.25" hidden="false" customHeight="false" outlineLevel="0" collapsed="false">
      <c r="B58" s="1" t="n">
        <v>12</v>
      </c>
      <c r="C58" s="1" t="n">
        <v>4</v>
      </c>
      <c r="D58" s="2" t="n">
        <v>46</v>
      </c>
      <c r="E58" s="4" t="n">
        <v>2.69332921131829</v>
      </c>
      <c r="F58" s="1" t="n">
        <v>70</v>
      </c>
      <c r="G58" s="1" t="n">
        <v>84</v>
      </c>
      <c r="H58" s="3" t="n">
        <v>71.3470436587611</v>
      </c>
      <c r="I58" s="1" t="n">
        <v>450</v>
      </c>
      <c r="J58" s="39" t="n">
        <v>366</v>
      </c>
      <c r="K58" s="27" t="n">
        <v>227</v>
      </c>
      <c r="L58" s="39" t="n">
        <v>120</v>
      </c>
      <c r="M58" s="4" t="n">
        <v>0.44</v>
      </c>
      <c r="N58" s="26" t="n">
        <v>0.171603783231656</v>
      </c>
      <c r="O58" s="27" t="n">
        <v>242.432268638018</v>
      </c>
      <c r="P58" s="27" t="n">
        <v>281.247113662578</v>
      </c>
      <c r="Q58" s="28" t="n">
        <v>0.0102317587896877</v>
      </c>
      <c r="R58" s="25" t="n">
        <v>0.390008598253763</v>
      </c>
      <c r="S58" s="29" t="n">
        <v>0.255046251699522</v>
      </c>
      <c r="T58" s="27" t="n">
        <v>242.432268638018</v>
      </c>
      <c r="U58" s="27" t="n">
        <v>268</v>
      </c>
      <c r="V58" s="28" t="n">
        <v>0.0107619047619048</v>
      </c>
      <c r="W58" s="25" t="n">
        <f aca="false">(I58-H58)/(J58-H58)</f>
        <v>1.28508113763067</v>
      </c>
      <c r="X58" s="25" t="n">
        <f aca="false">0.5*(1+(I58-K58-L58)/(I58-K58))</f>
        <v>0.730941704035874</v>
      </c>
      <c r="Y58" s="25" t="n">
        <v>0.579650572044369</v>
      </c>
      <c r="Z58" s="26" t="n">
        <v>0.318104503515203</v>
      </c>
      <c r="AA58" s="27" t="n">
        <v>242.432268638018</v>
      </c>
      <c r="AB58" s="27" t="n">
        <v>281.247113662578</v>
      </c>
      <c r="AC58" s="28" t="n">
        <v>0.0102317587896877</v>
      </c>
      <c r="AD58" s="25" t="n">
        <v>0.72296478071637</v>
      </c>
      <c r="AE58" s="4" t="n">
        <v>0.352371174971984</v>
      </c>
      <c r="AF58" s="25" t="n">
        <v>0.148172114358637</v>
      </c>
      <c r="AG58" s="26" t="n">
        <f aca="false">SMALL(AE58:AF58,1)</f>
        <v>0.148172114358637</v>
      </c>
      <c r="AH58" s="27" t="n">
        <v>249.711171876915</v>
      </c>
      <c r="AI58" s="28" t="n">
        <v>0.0065</v>
      </c>
      <c r="AJ58" s="25" t="n">
        <v>0.336754805360539</v>
      </c>
      <c r="AK58" s="29" t="n">
        <v>0.232587818808526</v>
      </c>
      <c r="AN58" s="4" t="n">
        <f aca="false">(N58-$N$344)/$N$345</f>
        <v>-0.514453798268003</v>
      </c>
      <c r="AO58" s="4" t="n">
        <f aca="false">(S58-$S$344)/$S$345</f>
        <v>0.484837667939622</v>
      </c>
      <c r="AP58" s="4" t="n">
        <f aca="false">(Z58-$Z$344)/$Z$345</f>
        <v>1.28778864070105</v>
      </c>
      <c r="AQ58" s="4" t="n">
        <f aca="false">(AE58-$AE$344)/$AE$345</f>
        <v>1.04352234285291</v>
      </c>
    </row>
    <row r="59" customFormat="false" ht="14.25" hidden="false" customHeight="false" outlineLevel="0" collapsed="false">
      <c r="B59" s="1" t="n">
        <v>12</v>
      </c>
      <c r="C59" s="1" t="n">
        <v>4</v>
      </c>
      <c r="D59" s="2" t="n">
        <v>46</v>
      </c>
      <c r="E59" s="4" t="n">
        <v>2.69332921131829</v>
      </c>
      <c r="F59" s="1" t="n">
        <v>70</v>
      </c>
      <c r="G59" s="1" t="n">
        <v>84</v>
      </c>
      <c r="H59" s="3" t="n">
        <v>71.3470436587611</v>
      </c>
      <c r="I59" s="1" t="n">
        <v>450</v>
      </c>
      <c r="J59" s="39" t="n">
        <v>366</v>
      </c>
      <c r="K59" s="27" t="n">
        <v>227</v>
      </c>
      <c r="L59" s="39" t="n">
        <v>120</v>
      </c>
      <c r="M59" s="4" t="n">
        <v>0.56</v>
      </c>
      <c r="N59" s="26" t="n">
        <v>0.284524618764539</v>
      </c>
      <c r="O59" s="27" t="n">
        <v>290.918722365622</v>
      </c>
      <c r="P59" s="27" t="n">
        <v>281.247113662578</v>
      </c>
      <c r="Q59" s="28" t="n">
        <v>0.0102317587896877</v>
      </c>
      <c r="R59" s="25" t="n">
        <v>0.508079676365248</v>
      </c>
      <c r="S59" s="29" t="n">
        <v>0.341780558598951</v>
      </c>
      <c r="T59" s="27" t="n">
        <v>290.918722365622</v>
      </c>
      <c r="U59" s="27" t="n">
        <v>268</v>
      </c>
      <c r="V59" s="28" t="n">
        <v>0.0107619047619048</v>
      </c>
      <c r="W59" s="25" t="n">
        <f aca="false">(I59-H59)/(J59-H59)</f>
        <v>1.28508113763067</v>
      </c>
      <c r="X59" s="25" t="n">
        <f aca="false">0.5*(1+(I59-K59-L59)/(I59-K59))</f>
        <v>0.730941704035874</v>
      </c>
      <c r="Y59" s="25" t="n">
        <v>0.610322426069555</v>
      </c>
      <c r="Z59" s="26" t="n">
        <v>0.381725404218243</v>
      </c>
      <c r="AA59" s="27" t="n">
        <v>290.918722365622</v>
      </c>
      <c r="AB59" s="27" t="n">
        <v>281.247113662578</v>
      </c>
      <c r="AC59" s="28" t="n">
        <v>0.0102317587896877</v>
      </c>
      <c r="AD59" s="25" t="n">
        <v>0.681652507532577</v>
      </c>
      <c r="AE59" s="4" t="n">
        <v>0.422845409966381</v>
      </c>
      <c r="AF59" s="25" t="n">
        <v>0.213367844676438</v>
      </c>
      <c r="AG59" s="26" t="n">
        <f aca="false">SMALL(AE59:AF59,1)</f>
        <v>0.213367844676438</v>
      </c>
      <c r="AH59" s="27" t="n">
        <v>299.653406252299</v>
      </c>
      <c r="AI59" s="28" t="n">
        <v>0.0065</v>
      </c>
      <c r="AJ59" s="25" t="n">
        <v>0.381014008350781</v>
      </c>
      <c r="AK59" s="29" t="n">
        <v>0.35211682416295</v>
      </c>
      <c r="AN59" s="4" t="n">
        <f aca="false">(N59-$N$344)/$N$345</f>
        <v>0.813983645388439</v>
      </c>
      <c r="AO59" s="4" t="n">
        <f aca="false">(S59-$S$344)/$S$345</f>
        <v>1.53102286280782</v>
      </c>
      <c r="AP59" s="4" t="n">
        <f aca="false">(Z59-$Z$344)/$Z$345</f>
        <v>2.15194604669639</v>
      </c>
      <c r="AQ59" s="4" t="n">
        <f aca="false">(AE59-$AE$344)/$AE$345</f>
        <v>1.93162927586063</v>
      </c>
    </row>
    <row r="60" customFormat="false" ht="14.25" hidden="false" customHeight="false" outlineLevel="0" collapsed="false">
      <c r="A60" s="0" t="s">
        <v>34</v>
      </c>
      <c r="B60" s="1" t="n">
        <v>25</v>
      </c>
      <c r="C60" s="1" t="n">
        <v>4</v>
      </c>
      <c r="D60" s="2" t="n">
        <v>62</v>
      </c>
      <c r="E60" s="4" t="n">
        <v>2.69332921131829</v>
      </c>
      <c r="F60" s="1" t="n">
        <v>20</v>
      </c>
      <c r="G60" s="1" t="n">
        <v>40.5</v>
      </c>
      <c r="H60" s="3" t="n">
        <v>141.766460137701</v>
      </c>
      <c r="I60" s="1" t="n">
        <v>450</v>
      </c>
      <c r="J60" s="39" t="n">
        <v>409.5</v>
      </c>
      <c r="K60" s="27" t="n">
        <v>237</v>
      </c>
      <c r="L60" s="39" t="n">
        <v>141.75</v>
      </c>
      <c r="M60" s="4" t="n">
        <v>0.23</v>
      </c>
      <c r="N60" s="26" t="n">
        <v>0.14122631889913</v>
      </c>
      <c r="O60" s="27" t="n">
        <v>210.837549268589</v>
      </c>
      <c r="P60" s="27" t="n">
        <v>66.6120081639751</v>
      </c>
      <c r="Q60" s="28" t="n">
        <v>0.0554215167548501</v>
      </c>
      <c r="R60" s="25" t="n">
        <v>0.614027473474477</v>
      </c>
      <c r="S60" s="29" t="n">
        <v>0.15610003267779</v>
      </c>
      <c r="T60" s="27" t="n">
        <v>210.837549268589</v>
      </c>
      <c r="U60" s="27" t="n">
        <v>86</v>
      </c>
      <c r="V60" s="28" t="n">
        <v>0.0395867976820358</v>
      </c>
      <c r="W60" s="25" t="n">
        <f aca="false">(I60-H60)/(J60-H60)</f>
        <v>1.1512698036295</v>
      </c>
      <c r="X60" s="25" t="n">
        <f aca="false">0.5*(1+(I60-K60-L60)/(I60-K60))</f>
        <v>0.667253521126761</v>
      </c>
      <c r="Y60" s="25" t="n">
        <v>0.678695794251259</v>
      </c>
      <c r="Z60" s="26" t="n">
        <v>0.123611894101224</v>
      </c>
      <c r="AA60" s="27" t="n">
        <v>210.837549268589</v>
      </c>
      <c r="AB60" s="27" t="n">
        <v>66.6120081639751</v>
      </c>
      <c r="AC60" s="28" t="n">
        <v>0.0554215167548501</v>
      </c>
      <c r="AD60" s="25" t="n">
        <v>0.537443017831408</v>
      </c>
      <c r="AE60" s="4" t="n">
        <v>0.177991911594174</v>
      </c>
      <c r="AF60" s="25" t="n">
        <v>0.241698574134364</v>
      </c>
      <c r="AG60" s="26" t="n">
        <f aca="false">SMALL(AE60:AF60,1)</f>
        <v>0.177991911594174</v>
      </c>
      <c r="AH60" s="27" t="n">
        <v>220.959356565307</v>
      </c>
      <c r="AI60" s="28" t="n">
        <v>0.0294</v>
      </c>
      <c r="AJ60" s="25" t="n">
        <v>0.77387787649641</v>
      </c>
      <c r="AK60" s="29" t="n">
        <v>0.185962114105919</v>
      </c>
      <c r="AN60" s="4" t="n">
        <f aca="false">(N60-$N$344)/$N$345</f>
        <v>-0.871824170814649</v>
      </c>
      <c r="AO60" s="4" t="n">
        <f aca="false">(S60-$S$344)/$S$345</f>
        <v>-0.708647045655354</v>
      </c>
      <c r="AP60" s="4" t="n">
        <f aca="false">(Z60-$Z$344)/$Z$345</f>
        <v>-1.35398830648413</v>
      </c>
      <c r="AQ60" s="4" t="n">
        <f aca="false">(AE60-$AE$344)/$AE$345</f>
        <v>-1.15398193358125</v>
      </c>
    </row>
    <row r="61" customFormat="false" ht="14.25" hidden="false" customHeight="false" outlineLevel="0" collapsed="false">
      <c r="B61" s="1" t="n">
        <v>25</v>
      </c>
      <c r="C61" s="1" t="n">
        <v>4</v>
      </c>
      <c r="D61" s="2" t="n">
        <v>62</v>
      </c>
      <c r="E61" s="4" t="n">
        <v>2.69332921131829</v>
      </c>
      <c r="F61" s="1" t="n">
        <v>20</v>
      </c>
      <c r="G61" s="1" t="n">
        <v>40.5</v>
      </c>
      <c r="H61" s="3" t="n">
        <v>141.766460137701</v>
      </c>
      <c r="I61" s="1" t="n">
        <v>450</v>
      </c>
      <c r="J61" s="39" t="n">
        <v>409.5</v>
      </c>
      <c r="K61" s="27" t="n">
        <v>237</v>
      </c>
      <c r="L61" s="39" t="n">
        <v>141.75</v>
      </c>
      <c r="M61" s="4" t="n">
        <v>0.35</v>
      </c>
      <c r="N61" s="26" t="n">
        <v>0.228356157253072</v>
      </c>
      <c r="O61" s="27" t="n">
        <v>316.256323902884</v>
      </c>
      <c r="P61" s="27" t="n">
        <v>66.6120081639751</v>
      </c>
      <c r="Q61" s="28" t="n">
        <v>0.0554215167548501</v>
      </c>
      <c r="R61" s="25" t="n">
        <v>0.652446163580207</v>
      </c>
      <c r="S61" s="29" t="n">
        <v>0.2594615172932</v>
      </c>
      <c r="T61" s="27" t="n">
        <v>316.256323902884</v>
      </c>
      <c r="U61" s="27" t="n">
        <v>86</v>
      </c>
      <c r="V61" s="28" t="n">
        <v>0.0395867976820358</v>
      </c>
      <c r="W61" s="25" t="n">
        <f aca="false">(I61-H61)/(J61-H61)</f>
        <v>1.1512698036295</v>
      </c>
      <c r="X61" s="25" t="n">
        <f aca="false">0.5*(1+(I61-K61-L61)/(I61-K61))</f>
        <v>0.667253521126761</v>
      </c>
      <c r="Y61" s="25" t="n">
        <v>0.741318620837713</v>
      </c>
      <c r="Z61" s="26" t="n">
        <v>0.199874480534259</v>
      </c>
      <c r="AA61" s="27" t="n">
        <v>316.256323902884</v>
      </c>
      <c r="AB61" s="27" t="n">
        <v>66.6120081639751</v>
      </c>
      <c r="AC61" s="28" t="n">
        <v>0.0554215167548501</v>
      </c>
      <c r="AD61" s="25" t="n">
        <v>0.571069944383598</v>
      </c>
      <c r="AE61" s="4" t="n">
        <v>0.266987867391261</v>
      </c>
      <c r="AF61" s="25" t="n">
        <v>0.543821791802318</v>
      </c>
      <c r="AG61" s="26" t="n">
        <f aca="false">SMALL(AE61:AF61,1)</f>
        <v>0.266987867391261</v>
      </c>
      <c r="AH61" s="27" t="n">
        <v>331.439034847961</v>
      </c>
      <c r="AI61" s="28" t="n">
        <v>0.0294</v>
      </c>
      <c r="AJ61" s="25" t="n">
        <v>0.762822478260747</v>
      </c>
      <c r="AK61" s="29" t="n">
        <v>0.318352497978885</v>
      </c>
      <c r="AN61" s="4" t="n">
        <f aca="false">(N61-$N$344)/$N$345</f>
        <v>0.153199591920475</v>
      </c>
      <c r="AO61" s="4" t="n">
        <f aca="false">(S61-$S$344)/$S$345</f>
        <v>0.53809439714681</v>
      </c>
      <c r="AP61" s="4" t="n">
        <f aca="false">(Z61-$Z$344)/$Z$345</f>
        <v>-0.31811993401203</v>
      </c>
      <c r="AQ61" s="4" t="n">
        <f aca="false">(AE61-$AE$344)/$AE$345</f>
        <v>-0.03246673927902</v>
      </c>
    </row>
    <row r="62" customFormat="false" ht="14.25" hidden="false" customHeight="false" outlineLevel="0" collapsed="false">
      <c r="B62" s="1" t="n">
        <v>25</v>
      </c>
      <c r="C62" s="1" t="n">
        <v>4</v>
      </c>
      <c r="D62" s="2" t="n">
        <v>62</v>
      </c>
      <c r="E62" s="4" t="n">
        <v>2.69332921131829</v>
      </c>
      <c r="F62" s="1" t="n">
        <v>20</v>
      </c>
      <c r="G62" s="1" t="n">
        <v>40.5</v>
      </c>
      <c r="H62" s="3" t="n">
        <v>141.766460137701</v>
      </c>
      <c r="I62" s="1" t="n">
        <v>450</v>
      </c>
      <c r="J62" s="39" t="n">
        <v>409.5</v>
      </c>
      <c r="K62" s="27" t="n">
        <v>237</v>
      </c>
      <c r="L62" s="39" t="n">
        <v>141.75</v>
      </c>
      <c r="M62" s="4" t="n">
        <v>0.49</v>
      </c>
      <c r="N62" s="26" t="n">
        <v>0.315485995607015</v>
      </c>
      <c r="O62" s="27" t="n">
        <v>421.675098537179</v>
      </c>
      <c r="P62" s="27" t="n">
        <v>66.6120081639751</v>
      </c>
      <c r="Q62" s="28" t="n">
        <v>0.0554215167548501</v>
      </c>
      <c r="R62" s="25" t="n">
        <v>0.643848970626561</v>
      </c>
      <c r="S62" s="29" t="n">
        <v>0.36282300190861</v>
      </c>
      <c r="T62" s="27" t="n">
        <v>421.675098537179</v>
      </c>
      <c r="U62" s="27" t="n">
        <v>86</v>
      </c>
      <c r="V62" s="28" t="n">
        <v>0.0395867976820358</v>
      </c>
      <c r="W62" s="25" t="n">
        <f aca="false">(I62-H62)/(J62-H62)</f>
        <v>1.1512698036295</v>
      </c>
      <c r="X62" s="25" t="n">
        <f aca="false">0.5*(1+(I62-K62-L62)/(I62-K62))</f>
        <v>0.667253521126761</v>
      </c>
      <c r="Y62" s="25" t="n">
        <v>0.740455105935938</v>
      </c>
      <c r="Z62" s="26" t="n">
        <v>0.276137066967295</v>
      </c>
      <c r="AA62" s="27" t="n">
        <v>421.675098537179</v>
      </c>
      <c r="AB62" s="27" t="n">
        <v>66.6120081639751</v>
      </c>
      <c r="AC62" s="28" t="n">
        <v>0.0554215167548501</v>
      </c>
      <c r="AD62" s="25" t="n">
        <v>0.563545034627132</v>
      </c>
      <c r="AE62" s="4" t="n">
        <v>0.355983823188348</v>
      </c>
      <c r="AF62" s="25" t="n">
        <v>0.966794296537454</v>
      </c>
      <c r="AG62" s="26" t="n">
        <f aca="false">SMALL(AE62:AF62,1)</f>
        <v>0.355983823188348</v>
      </c>
      <c r="AH62" s="27" t="n">
        <v>441.918713130614</v>
      </c>
      <c r="AI62" s="28" t="n">
        <v>0.0294</v>
      </c>
      <c r="AJ62" s="25" t="n">
        <v>0.726497598343568</v>
      </c>
      <c r="AK62" s="29" t="n">
        <v>0.450742881851851</v>
      </c>
      <c r="AN62" s="4" t="n">
        <f aca="false">(N62-$N$344)/$N$345</f>
        <v>1.1782233546556</v>
      </c>
      <c r="AO62" s="4" t="n">
        <f aca="false">(S62-$S$344)/$S$345</f>
        <v>1.78483583994897</v>
      </c>
      <c r="AP62" s="4" t="n">
        <f aca="false">(Z62-$Z$344)/$Z$345</f>
        <v>0.717748438460066</v>
      </c>
      <c r="AQ62" s="4" t="n">
        <f aca="false">(AE62-$AE$344)/$AE$345</f>
        <v>1.08904845502321</v>
      </c>
    </row>
    <row r="63" customFormat="false" ht="14.25" hidden="false" customHeight="false" outlineLevel="0" collapsed="false">
      <c r="B63" s="1" t="n">
        <v>25</v>
      </c>
      <c r="C63" s="1" t="n">
        <v>4</v>
      </c>
      <c r="D63" s="2" t="n">
        <v>62</v>
      </c>
      <c r="E63" s="4" t="n">
        <v>2.69332921131829</v>
      </c>
      <c r="F63" s="1" t="n">
        <v>20</v>
      </c>
      <c r="G63" s="1" t="n">
        <v>40.5</v>
      </c>
      <c r="H63" s="3" t="n">
        <v>141.766460137701</v>
      </c>
      <c r="I63" s="1" t="n">
        <v>450</v>
      </c>
      <c r="J63" s="39" t="n">
        <v>409.5</v>
      </c>
      <c r="K63" s="27" t="n">
        <v>237</v>
      </c>
      <c r="L63" s="39" t="n">
        <v>141.75</v>
      </c>
      <c r="M63" s="4" t="n">
        <v>0.67</v>
      </c>
      <c r="N63" s="26" t="n">
        <v>0.380222433942772</v>
      </c>
      <c r="O63" s="27" t="n">
        <v>500</v>
      </c>
      <c r="P63" s="27" t="n">
        <v>66.6120081639751</v>
      </c>
      <c r="Q63" s="28" t="n">
        <v>0.0554215167548501</v>
      </c>
      <c r="R63" s="25" t="n">
        <v>0.567496170063839</v>
      </c>
      <c r="S63" s="29" t="n">
        <v>0.43961936124439</v>
      </c>
      <c r="T63" s="27" t="n">
        <v>500</v>
      </c>
      <c r="U63" s="27" t="n">
        <v>86</v>
      </c>
      <c r="V63" s="28" t="n">
        <v>0.0395867976820358</v>
      </c>
      <c r="W63" s="25" t="n">
        <f aca="false">(I63-H63)/(J63-H63)</f>
        <v>1.1512698036295</v>
      </c>
      <c r="X63" s="25" t="n">
        <f aca="false">0.5*(1+(I63-K63-L63)/(I63-K63))</f>
        <v>0.667253521126761</v>
      </c>
      <c r="Y63" s="25" t="n">
        <v>0.656148300364761</v>
      </c>
      <c r="Z63" s="26" t="n">
        <v>0.332799265787088</v>
      </c>
      <c r="AA63" s="27" t="n">
        <v>500</v>
      </c>
      <c r="AB63" s="27" t="n">
        <v>66.6120081639751</v>
      </c>
      <c r="AC63" s="28" t="n">
        <v>0.0554215167548501</v>
      </c>
      <c r="AD63" s="25" t="n">
        <v>0.496715322070281</v>
      </c>
      <c r="AE63" s="4" t="n">
        <v>0.402770704895601</v>
      </c>
      <c r="AF63" s="25" t="n">
        <v>1.23762565650182</v>
      </c>
      <c r="AG63" s="26" t="n">
        <f aca="false">SMALL(AE63:AF63,1)</f>
        <v>0.402770704895601</v>
      </c>
      <c r="AH63" s="27" t="n">
        <v>500</v>
      </c>
      <c r="AI63" s="28" t="n">
        <v>0.0294</v>
      </c>
      <c r="AJ63" s="25" t="n">
        <v>0.601150305814329</v>
      </c>
      <c r="AK63" s="29" t="n">
        <v>0.53874229340683</v>
      </c>
      <c r="AN63" s="4" t="n">
        <f aca="false">(N63-$N$344)/$N$345</f>
        <v>1.939803874746</v>
      </c>
      <c r="AO63" s="4" t="n">
        <f aca="false">(S63-$S$344)/$S$345</f>
        <v>2.71114997133452</v>
      </c>
      <c r="AP63" s="4" t="n">
        <f aca="false">(Z63-$Z$344)/$Z$345</f>
        <v>1.48738637519184</v>
      </c>
      <c r="AQ63" s="4" t="n">
        <f aca="false">(AE63-$AE$344)/$AE$345</f>
        <v>1.67865051343969</v>
      </c>
    </row>
    <row r="64" customFormat="false" ht="14.25" hidden="false" customHeight="false" outlineLevel="0" collapsed="false">
      <c r="A64" s="0" t="s">
        <v>35</v>
      </c>
      <c r="B64" s="1" t="n">
        <v>25</v>
      </c>
      <c r="C64" s="1" t="n">
        <v>4</v>
      </c>
      <c r="D64" s="2" t="n">
        <v>62</v>
      </c>
      <c r="E64" s="4" t="n">
        <v>2.69332921131829</v>
      </c>
      <c r="F64" s="1" t="n">
        <v>20</v>
      </c>
      <c r="G64" s="1" t="n">
        <v>40.5</v>
      </c>
      <c r="H64" s="3" t="n">
        <v>141.766460137701</v>
      </c>
      <c r="I64" s="1" t="n">
        <v>450</v>
      </c>
      <c r="J64" s="39" t="n">
        <v>409.5</v>
      </c>
      <c r="K64" s="27" t="n">
        <v>237</v>
      </c>
      <c r="L64" s="39" t="n">
        <v>141.75</v>
      </c>
      <c r="M64" s="4" t="n">
        <v>0.27</v>
      </c>
      <c r="N64" s="26" t="n">
        <v>0.14122631889913</v>
      </c>
      <c r="O64" s="27" t="n">
        <v>210.837549268589</v>
      </c>
      <c r="P64" s="27" t="n">
        <v>66.6120081639751</v>
      </c>
      <c r="Q64" s="28" t="n">
        <v>0.0554215167548501</v>
      </c>
      <c r="R64" s="25" t="n">
        <v>0.523060440367147</v>
      </c>
      <c r="S64" s="29" t="n">
        <v>0.15610003267779</v>
      </c>
      <c r="T64" s="27" t="n">
        <v>210.837549268589</v>
      </c>
      <c r="U64" s="27" t="n">
        <v>86</v>
      </c>
      <c r="V64" s="28" t="n">
        <v>0.0395867976820358</v>
      </c>
      <c r="W64" s="25" t="n">
        <f aca="false">(I64-H64)/(J64-H64)</f>
        <v>1.1512698036295</v>
      </c>
      <c r="X64" s="25" t="n">
        <f aca="false">0.5*(1+(I64-K64-L64)/(I64-K64))</f>
        <v>0.667253521126761</v>
      </c>
      <c r="Y64" s="25" t="n">
        <v>0.578148269176998</v>
      </c>
      <c r="Z64" s="26" t="n">
        <v>0.123611894101224</v>
      </c>
      <c r="AA64" s="27" t="n">
        <v>210.837549268589</v>
      </c>
      <c r="AB64" s="27" t="n">
        <v>66.6120081639751</v>
      </c>
      <c r="AC64" s="28" t="n">
        <v>0.0554215167548501</v>
      </c>
      <c r="AD64" s="25" t="n">
        <v>0.457821830004533</v>
      </c>
      <c r="AE64" s="4" t="n">
        <v>0.177991911594174</v>
      </c>
      <c r="AF64" s="25" t="n">
        <v>0.241698574134364</v>
      </c>
      <c r="AG64" s="26" t="n">
        <f aca="false">SMALL(AE64:AF64,1)</f>
        <v>0.177991911594174</v>
      </c>
      <c r="AH64" s="27" t="n">
        <v>220.959356565307</v>
      </c>
      <c r="AI64" s="28" t="n">
        <v>0.0294</v>
      </c>
      <c r="AJ64" s="25" t="n">
        <v>0.659229302200645</v>
      </c>
      <c r="AK64" s="29" t="n">
        <v>0.185962114105919</v>
      </c>
      <c r="AN64" s="4" t="n">
        <f aca="false">(N64-$N$344)/$N$345</f>
        <v>-0.871824170814649</v>
      </c>
      <c r="AO64" s="4" t="n">
        <f aca="false">(S64-$S$344)/$S$345</f>
        <v>-0.708647045655354</v>
      </c>
      <c r="AP64" s="4" t="n">
        <f aca="false">(Z64-$Z$344)/$Z$345</f>
        <v>-1.35398830648413</v>
      </c>
      <c r="AQ64" s="4" t="n">
        <f aca="false">(AE64-$AE$344)/$AE$345</f>
        <v>-1.15398193358125</v>
      </c>
    </row>
    <row r="65" customFormat="false" ht="14.25" hidden="false" customHeight="false" outlineLevel="0" collapsed="false">
      <c r="B65" s="1" t="n">
        <v>25</v>
      </c>
      <c r="C65" s="1" t="n">
        <v>4</v>
      </c>
      <c r="D65" s="2" t="n">
        <v>62</v>
      </c>
      <c r="E65" s="4" t="n">
        <v>2.69332921131829</v>
      </c>
      <c r="F65" s="1" t="n">
        <v>20</v>
      </c>
      <c r="G65" s="1" t="n">
        <v>40.5</v>
      </c>
      <c r="H65" s="3" t="n">
        <v>141.766460137701</v>
      </c>
      <c r="I65" s="1" t="n">
        <v>450</v>
      </c>
      <c r="J65" s="39" t="n">
        <v>409.5</v>
      </c>
      <c r="K65" s="27" t="n">
        <v>237</v>
      </c>
      <c r="L65" s="39" t="n">
        <v>141.75</v>
      </c>
      <c r="M65" s="4" t="n">
        <v>0.4</v>
      </c>
      <c r="N65" s="26" t="n">
        <v>0.228356157253072</v>
      </c>
      <c r="O65" s="27" t="n">
        <v>316.256323902884</v>
      </c>
      <c r="P65" s="27" t="n">
        <v>66.6120081639751</v>
      </c>
      <c r="Q65" s="28" t="n">
        <v>0.0554215167548501</v>
      </c>
      <c r="R65" s="25" t="n">
        <v>0.570890393132681</v>
      </c>
      <c r="S65" s="29" t="n">
        <v>0.2594615172932</v>
      </c>
      <c r="T65" s="27" t="n">
        <v>316.256323902884</v>
      </c>
      <c r="U65" s="27" t="n">
        <v>86</v>
      </c>
      <c r="V65" s="28" t="n">
        <v>0.0395867976820358</v>
      </c>
      <c r="W65" s="25" t="n">
        <f aca="false">(I65-H65)/(J65-H65)</f>
        <v>1.1512698036295</v>
      </c>
      <c r="X65" s="25" t="n">
        <f aca="false">0.5*(1+(I65-K65-L65)/(I65-K65))</f>
        <v>0.667253521126761</v>
      </c>
      <c r="Y65" s="25" t="n">
        <v>0.648653793232999</v>
      </c>
      <c r="Z65" s="26" t="n">
        <v>0.199874480534259</v>
      </c>
      <c r="AA65" s="27" t="n">
        <v>316.256323902884</v>
      </c>
      <c r="AB65" s="27" t="n">
        <v>66.6120081639751</v>
      </c>
      <c r="AC65" s="28" t="n">
        <v>0.0554215167548501</v>
      </c>
      <c r="AD65" s="25" t="n">
        <v>0.499686201335648</v>
      </c>
      <c r="AE65" s="4" t="n">
        <v>0.266987867391261</v>
      </c>
      <c r="AF65" s="25" t="n">
        <v>0.543821791802318</v>
      </c>
      <c r="AG65" s="26" t="n">
        <f aca="false">SMALL(AE65:AF65,1)</f>
        <v>0.266987867391261</v>
      </c>
      <c r="AH65" s="27" t="n">
        <v>331.439034847961</v>
      </c>
      <c r="AI65" s="28" t="n">
        <v>0.0294</v>
      </c>
      <c r="AJ65" s="25" t="n">
        <v>0.667469668478153</v>
      </c>
      <c r="AK65" s="29" t="n">
        <v>0.318352497978885</v>
      </c>
      <c r="AN65" s="4" t="n">
        <f aca="false">(N65-$N$344)/$N$345</f>
        <v>0.153199591920475</v>
      </c>
      <c r="AO65" s="4" t="n">
        <f aca="false">(S65-$S$344)/$S$345</f>
        <v>0.53809439714681</v>
      </c>
      <c r="AP65" s="4" t="n">
        <f aca="false">(Z65-$Z$344)/$Z$345</f>
        <v>-0.31811993401203</v>
      </c>
      <c r="AQ65" s="4" t="n">
        <f aca="false">(AE65-$AE$344)/$AE$345</f>
        <v>-0.03246673927902</v>
      </c>
    </row>
    <row r="66" customFormat="false" ht="14.25" hidden="false" customHeight="false" outlineLevel="0" collapsed="false">
      <c r="B66" s="1" t="n">
        <v>25</v>
      </c>
      <c r="C66" s="1" t="n">
        <v>4</v>
      </c>
      <c r="D66" s="2" t="n">
        <v>62</v>
      </c>
      <c r="E66" s="4" t="n">
        <v>2.69332921131829</v>
      </c>
      <c r="F66" s="1" t="n">
        <v>20</v>
      </c>
      <c r="G66" s="1" t="n">
        <v>40.5</v>
      </c>
      <c r="H66" s="3" t="n">
        <v>141.766460137701</v>
      </c>
      <c r="I66" s="1" t="n">
        <v>450</v>
      </c>
      <c r="J66" s="39" t="n">
        <v>409.5</v>
      </c>
      <c r="K66" s="27" t="n">
        <v>237</v>
      </c>
      <c r="L66" s="39" t="n">
        <v>141.75</v>
      </c>
      <c r="M66" s="4" t="n">
        <v>0.53</v>
      </c>
      <c r="N66" s="26" t="n">
        <v>0.315485995607015</v>
      </c>
      <c r="O66" s="27" t="n">
        <v>421.675098537179</v>
      </c>
      <c r="P66" s="27" t="n">
        <v>66.6120081639751</v>
      </c>
      <c r="Q66" s="28" t="n">
        <v>0.0554215167548501</v>
      </c>
      <c r="R66" s="25" t="n">
        <v>0.595256595484934</v>
      </c>
      <c r="S66" s="29" t="n">
        <v>0.36282300190861</v>
      </c>
      <c r="T66" s="27" t="n">
        <v>421.675098537179</v>
      </c>
      <c r="U66" s="27" t="n">
        <v>86</v>
      </c>
      <c r="V66" s="28" t="n">
        <v>0.0395867976820358</v>
      </c>
      <c r="W66" s="25" t="n">
        <f aca="false">(I66-H66)/(J66-H66)</f>
        <v>1.1512698036295</v>
      </c>
      <c r="X66" s="25" t="n">
        <f aca="false">0.5*(1+(I66-K66-L66)/(I66-K66))</f>
        <v>0.667253521126761</v>
      </c>
      <c r="Y66" s="25" t="n">
        <v>0.684571701714358</v>
      </c>
      <c r="Z66" s="26" t="n">
        <v>0.276137066967295</v>
      </c>
      <c r="AA66" s="27" t="n">
        <v>421.675098537179</v>
      </c>
      <c r="AB66" s="27" t="n">
        <v>66.6120081639751</v>
      </c>
      <c r="AC66" s="28" t="n">
        <v>0.0554215167548501</v>
      </c>
      <c r="AD66" s="25" t="n">
        <v>0.521013333900556</v>
      </c>
      <c r="AE66" s="4" t="n">
        <v>0.355983823188348</v>
      </c>
      <c r="AF66" s="25" t="n">
        <v>0.966794296537454</v>
      </c>
      <c r="AG66" s="26" t="n">
        <f aca="false">SMALL(AE66:AF66,1)</f>
        <v>0.355983823188348</v>
      </c>
      <c r="AH66" s="27" t="n">
        <v>441.918713130614</v>
      </c>
      <c r="AI66" s="28" t="n">
        <v>0.0294</v>
      </c>
      <c r="AJ66" s="25" t="n">
        <v>0.671667590921412</v>
      </c>
      <c r="AK66" s="29" t="n">
        <v>0.450742881851851</v>
      </c>
      <c r="AN66" s="4" t="n">
        <f aca="false">(N66-$N$344)/$N$345</f>
        <v>1.1782233546556</v>
      </c>
      <c r="AO66" s="4" t="n">
        <f aca="false">(S66-$S$344)/$S$345</f>
        <v>1.78483583994897</v>
      </c>
      <c r="AP66" s="4" t="n">
        <f aca="false">(Z66-$Z$344)/$Z$345</f>
        <v>0.717748438460066</v>
      </c>
      <c r="AQ66" s="4" t="n">
        <f aca="false">(AE66-$AE$344)/$AE$345</f>
        <v>1.08904845502321</v>
      </c>
    </row>
    <row r="67" customFormat="false" ht="14.25" hidden="false" customHeight="false" outlineLevel="0" collapsed="false">
      <c r="B67" s="1" t="n">
        <v>25</v>
      </c>
      <c r="C67" s="1" t="n">
        <v>4</v>
      </c>
      <c r="D67" s="2" t="n">
        <v>62</v>
      </c>
      <c r="E67" s="4" t="n">
        <v>2.69332921131829</v>
      </c>
      <c r="F67" s="1" t="n">
        <v>20</v>
      </c>
      <c r="G67" s="1" t="n">
        <v>40.5</v>
      </c>
      <c r="H67" s="3" t="n">
        <v>141.766460137701</v>
      </c>
      <c r="I67" s="1" t="n">
        <v>450</v>
      </c>
      <c r="J67" s="39" t="n">
        <v>409.5</v>
      </c>
      <c r="K67" s="27" t="n">
        <v>237</v>
      </c>
      <c r="L67" s="39" t="n">
        <v>141.75</v>
      </c>
      <c r="M67" s="4" t="n">
        <v>0.72</v>
      </c>
      <c r="N67" s="26" t="n">
        <v>0.380222433942772</v>
      </c>
      <c r="O67" s="27" t="n">
        <v>500</v>
      </c>
      <c r="P67" s="27" t="n">
        <v>66.6120081639751</v>
      </c>
      <c r="Q67" s="28" t="n">
        <v>0.0554215167548501</v>
      </c>
      <c r="R67" s="25" t="n">
        <v>0.528086713809406</v>
      </c>
      <c r="S67" s="29" t="n">
        <v>0.43961936124439</v>
      </c>
      <c r="T67" s="27" t="n">
        <v>500</v>
      </c>
      <c r="U67" s="27" t="n">
        <v>86</v>
      </c>
      <c r="V67" s="28" t="n">
        <v>0.0395867976820358</v>
      </c>
      <c r="W67" s="25" t="n">
        <f aca="false">(I67-H67)/(J67-H67)</f>
        <v>1.1512698036295</v>
      </c>
      <c r="X67" s="25" t="n">
        <f aca="false">0.5*(1+(I67-K67-L67)/(I67-K67))</f>
        <v>0.667253521126761</v>
      </c>
      <c r="Y67" s="25" t="n">
        <v>0.610582446172764</v>
      </c>
      <c r="Z67" s="26" t="n">
        <v>0.332799265787088</v>
      </c>
      <c r="AA67" s="27" t="n">
        <v>500</v>
      </c>
      <c r="AB67" s="27" t="n">
        <v>66.6120081639751</v>
      </c>
      <c r="AC67" s="28" t="n">
        <v>0.0554215167548501</v>
      </c>
      <c r="AD67" s="25" t="n">
        <v>0.462221202482067</v>
      </c>
      <c r="AE67" s="4" t="n">
        <v>0.402770704895601</v>
      </c>
      <c r="AF67" s="25" t="n">
        <v>1.23762565650182</v>
      </c>
      <c r="AG67" s="26" t="n">
        <f aca="false">SMALL(AE67:AF67,1)</f>
        <v>0.402770704895601</v>
      </c>
      <c r="AH67" s="27" t="n">
        <v>500</v>
      </c>
      <c r="AI67" s="28" t="n">
        <v>0.0294</v>
      </c>
      <c r="AJ67" s="25" t="n">
        <v>0.559403756799445</v>
      </c>
      <c r="AK67" s="29" t="n">
        <v>0.53874229340683</v>
      </c>
      <c r="AN67" s="4" t="n">
        <f aca="false">(N67-$N$344)/$N$345</f>
        <v>1.939803874746</v>
      </c>
      <c r="AO67" s="4" t="n">
        <f aca="false">(S67-$S$344)/$S$345</f>
        <v>2.71114997133452</v>
      </c>
      <c r="AP67" s="4" t="n">
        <f aca="false">(Z67-$Z$344)/$Z$345</f>
        <v>1.48738637519184</v>
      </c>
      <c r="AQ67" s="4" t="n">
        <f aca="false">(AE67-$AE$344)/$AE$345</f>
        <v>1.67865051343969</v>
      </c>
    </row>
    <row r="68" customFormat="false" ht="14.25" hidden="false" customHeight="false" outlineLevel="0" collapsed="false">
      <c r="A68" s="0" t="s">
        <v>36</v>
      </c>
      <c r="B68" s="1" t="n">
        <v>25</v>
      </c>
      <c r="C68" s="1" t="n">
        <v>4</v>
      </c>
      <c r="D68" s="2" t="n">
        <v>28.7</v>
      </c>
      <c r="E68" s="4" t="n">
        <v>2.69332921131829</v>
      </c>
      <c r="F68" s="1" t="n">
        <v>70</v>
      </c>
      <c r="G68" s="1" t="n">
        <v>94.5</v>
      </c>
      <c r="H68" s="3" t="n">
        <v>130.081813066926</v>
      </c>
      <c r="I68" s="1" t="n">
        <v>450</v>
      </c>
      <c r="J68" s="39" t="n">
        <v>355.5</v>
      </c>
      <c r="K68" s="27" t="n">
        <v>234</v>
      </c>
      <c r="L68" s="39" t="n">
        <v>219.5</v>
      </c>
      <c r="M68" s="4" t="n">
        <v>0.3</v>
      </c>
      <c r="N68" s="26" t="n">
        <v>0.109905925341171</v>
      </c>
      <c r="O68" s="27" t="n">
        <v>122.340765829723</v>
      </c>
      <c r="P68" s="27" t="n">
        <v>69.1987677628068</v>
      </c>
      <c r="Q68" s="28" t="n">
        <v>0.0526205961457496</v>
      </c>
      <c r="R68" s="25" t="n">
        <v>0.366353084470569</v>
      </c>
      <c r="S68" s="29" t="n">
        <v>0.109394577369187</v>
      </c>
      <c r="T68" s="27" t="n">
        <v>122.340765829723</v>
      </c>
      <c r="U68" s="27" t="n">
        <v>123</v>
      </c>
      <c r="V68" s="28" t="n">
        <v>0.0255645948584445</v>
      </c>
      <c r="W68" s="25" t="n">
        <f aca="false">(I68-H68)/(J68-H68)</f>
        <v>1.41922083255889</v>
      </c>
      <c r="X68" s="25" t="n">
        <f aca="false">0.5*(1+(I68-K68-L68)/(I68-K68))</f>
        <v>0.491898148148148</v>
      </c>
      <c r="Y68" s="25" t="n">
        <v>0.364648591230624</v>
      </c>
      <c r="Z68" s="26" t="n">
        <v>0.128816084647821</v>
      </c>
      <c r="AA68" s="27" t="n">
        <v>122.340765829723</v>
      </c>
      <c r="AB68" s="27" t="n">
        <v>69.1987677628068</v>
      </c>
      <c r="AC68" s="28" t="n">
        <v>0.0526205961457496</v>
      </c>
      <c r="AD68" s="25" t="n">
        <v>0.429386948826071</v>
      </c>
      <c r="AE68" s="4" t="n">
        <v>0.165567113081299</v>
      </c>
      <c r="AF68" s="25" t="n">
        <v>0.0816655582722089</v>
      </c>
      <c r="AG68" s="26" t="n">
        <f aca="false">SMALL(AE68:AF68,1)</f>
        <v>0.0816655582722089</v>
      </c>
      <c r="AH68" s="27" t="n">
        <v>128.438380260679</v>
      </c>
      <c r="AI68" s="28" t="n">
        <v>0.0163</v>
      </c>
      <c r="AJ68" s="25" t="n">
        <v>0.27221852757403</v>
      </c>
      <c r="AK68" s="29" t="n">
        <v>0.126982249728355</v>
      </c>
      <c r="AN68" s="4" t="n">
        <f aca="false">(N68-$N$344)/$N$345</f>
        <v>-1.24028746951503</v>
      </c>
      <c r="AO68" s="4" t="n">
        <f aca="false">(S68-$S$344)/$S$345</f>
        <v>-1.27200608558054</v>
      </c>
      <c r="AP68" s="4" t="n">
        <f aca="false">(Z68-$Z$344)/$Z$345</f>
        <v>-1.28330021886895</v>
      </c>
      <c r="AQ68" s="4" t="n">
        <f aca="false">(AE68-$AE$344)/$AE$345</f>
        <v>-1.31055759135725</v>
      </c>
    </row>
    <row r="69" customFormat="false" ht="14.25" hidden="false" customHeight="false" outlineLevel="0" collapsed="false">
      <c r="B69" s="1" t="n">
        <v>25</v>
      </c>
      <c r="C69" s="1" t="n">
        <v>4</v>
      </c>
      <c r="D69" s="2" t="n">
        <v>28.7</v>
      </c>
      <c r="E69" s="4" t="n">
        <v>2.69332921131829</v>
      </c>
      <c r="F69" s="1" t="n">
        <v>70</v>
      </c>
      <c r="G69" s="1" t="n">
        <v>94.5</v>
      </c>
      <c r="H69" s="3" t="n">
        <v>130.081813066926</v>
      </c>
      <c r="I69" s="1" t="n">
        <v>450</v>
      </c>
      <c r="J69" s="39" t="n">
        <v>355.5</v>
      </c>
      <c r="K69" s="27" t="n">
        <v>234</v>
      </c>
      <c r="L69" s="39" t="n">
        <v>219.5</v>
      </c>
      <c r="M69" s="4" t="n">
        <v>0.57</v>
      </c>
      <c r="N69" s="26" t="n">
        <v>0.276272229047612</v>
      </c>
      <c r="O69" s="27" t="n">
        <v>244.681531659446</v>
      </c>
      <c r="P69" s="27" t="n">
        <v>69.1987677628068</v>
      </c>
      <c r="Q69" s="28" t="n">
        <v>0.0526205961457496</v>
      </c>
      <c r="R69" s="25" t="n">
        <v>0.484688121136162</v>
      </c>
      <c r="S69" s="29" t="n">
        <v>0.381502271008165</v>
      </c>
      <c r="T69" s="27" t="n">
        <v>244.681531659446</v>
      </c>
      <c r="U69" s="27" t="n">
        <v>123</v>
      </c>
      <c r="V69" s="28" t="n">
        <v>0.0255645948584445</v>
      </c>
      <c r="W69" s="25" t="n">
        <f aca="false">(I69-H69)/(J69-H69)</f>
        <v>1.41922083255889</v>
      </c>
      <c r="X69" s="25" t="n">
        <f aca="false">0.5*(1+(I69-K69-L69)/(I69-K69))</f>
        <v>0.491898148148148</v>
      </c>
      <c r="Y69" s="25" t="n">
        <v>0.669302229838885</v>
      </c>
      <c r="Z69" s="26" t="n">
        <v>0.32380698977208</v>
      </c>
      <c r="AA69" s="27" t="n">
        <v>244.681531659446</v>
      </c>
      <c r="AB69" s="27" t="n">
        <v>69.1987677628068</v>
      </c>
      <c r="AC69" s="28" t="n">
        <v>0.0526205961457496</v>
      </c>
      <c r="AD69" s="25" t="n">
        <v>0.568082438196632</v>
      </c>
      <c r="AE69" s="4" t="n">
        <v>0.331134226162599</v>
      </c>
      <c r="AF69" s="25" t="n">
        <v>0.326662233088835</v>
      </c>
      <c r="AG69" s="26" t="n">
        <f aca="false">SMALL(AE69:AF69,1)</f>
        <v>0.326662233088835</v>
      </c>
      <c r="AH69" s="27" t="n">
        <v>256.876760521357</v>
      </c>
      <c r="AI69" s="28" t="n">
        <v>0.0163</v>
      </c>
      <c r="AJ69" s="25" t="n">
        <v>0.573091636997957</v>
      </c>
      <c r="AK69" s="29" t="n">
        <v>0.389799789995292</v>
      </c>
      <c r="AN69" s="4" t="n">
        <f aca="false">(N69-$N$344)/$N$345</f>
        <v>0.716899848161145</v>
      </c>
      <c r="AO69" s="4" t="n">
        <f aca="false">(S69-$S$344)/$S$345</f>
        <v>2.01014431915978</v>
      </c>
      <c r="AP69" s="4" t="n">
        <f aca="false">(Z69-$Z$344)/$Z$345</f>
        <v>1.36524503752996</v>
      </c>
      <c r="AQ69" s="4" t="n">
        <f aca="false">(AE69-$AE$344)/$AE$345</f>
        <v>0.775897139471204</v>
      </c>
    </row>
    <row r="70" customFormat="false" ht="14.25" hidden="false" customHeight="false" outlineLevel="0" collapsed="false">
      <c r="A70" s="0" t="s">
        <v>37</v>
      </c>
      <c r="B70" s="1" t="n">
        <v>25</v>
      </c>
      <c r="C70" s="1" t="n">
        <v>4</v>
      </c>
      <c r="D70" s="2" t="n">
        <v>28.7</v>
      </c>
      <c r="E70" s="4" t="n">
        <v>2.69332921131829</v>
      </c>
      <c r="F70" s="1" t="n">
        <v>70</v>
      </c>
      <c r="G70" s="1" t="n">
        <v>90.5</v>
      </c>
      <c r="H70" s="3" t="n">
        <v>130.975130551886</v>
      </c>
      <c r="I70" s="1" t="n">
        <v>450</v>
      </c>
      <c r="J70" s="39" t="n">
        <v>359.5</v>
      </c>
      <c r="K70" s="27" t="n">
        <v>234</v>
      </c>
      <c r="L70" s="39" t="n">
        <v>215.5</v>
      </c>
      <c r="M70" s="4" t="n">
        <v>0.26</v>
      </c>
      <c r="N70" s="26" t="n">
        <v>0.107925994945012</v>
      </c>
      <c r="O70" s="27" t="n">
        <v>120.90671371296</v>
      </c>
      <c r="P70" s="27" t="n">
        <v>69.0558452701</v>
      </c>
      <c r="Q70" s="28" t="n">
        <v>0.0527679417075151</v>
      </c>
      <c r="R70" s="25" t="n">
        <v>0.415099980557738</v>
      </c>
      <c r="S70" s="29" t="n">
        <v>0.106297702576725</v>
      </c>
      <c r="T70" s="27" t="n">
        <v>120.90671371296</v>
      </c>
      <c r="U70" s="27" t="n">
        <v>121</v>
      </c>
      <c r="V70" s="28" t="n">
        <v>0.0260391117003646</v>
      </c>
      <c r="W70" s="25" t="n">
        <f aca="false">(I70-H70)/(J70-H70)</f>
        <v>1.39601816738177</v>
      </c>
      <c r="X70" s="25" t="n">
        <f aca="false">0.5*(1+(I70-K70-L70)/(I70-K70))</f>
        <v>0.501157407407407</v>
      </c>
      <c r="Y70" s="25" t="n">
        <v>0.408837317602789</v>
      </c>
      <c r="Z70" s="26" t="n">
        <v>0.126577503015513</v>
      </c>
      <c r="AA70" s="27" t="n">
        <v>120.90671371296</v>
      </c>
      <c r="AB70" s="27" t="n">
        <v>69.0558452701</v>
      </c>
      <c r="AC70" s="28" t="n">
        <v>0.0527679417075151</v>
      </c>
      <c r="AD70" s="25" t="n">
        <v>0.486836550059664</v>
      </c>
      <c r="AE70" s="4" t="n">
        <v>0.163604172470817</v>
      </c>
      <c r="AF70" s="25" t="n">
        <v>0.0797406063526139</v>
      </c>
      <c r="AG70" s="26" t="n">
        <f aca="false">SMALL(AE70:AF70,1)</f>
        <v>0.0797406063526139</v>
      </c>
      <c r="AH70" s="27" t="n">
        <v>126.915632730289</v>
      </c>
      <c r="AI70" s="28" t="n">
        <v>0.0163</v>
      </c>
      <c r="AJ70" s="25" t="n">
        <v>0.306694639817746</v>
      </c>
      <c r="AK70" s="29" t="n">
        <v>0.124057993369335</v>
      </c>
      <c r="AN70" s="4" t="n">
        <f aca="false">(N70-$N$344)/$N$345</f>
        <v>-1.26358001478959</v>
      </c>
      <c r="AO70" s="4" t="n">
        <f aca="false">(S70-$S$344)/$S$345</f>
        <v>-1.30936044597211</v>
      </c>
      <c r="AP70" s="4" t="n">
        <f aca="false">(Z70-$Z$344)/$Z$345</f>
        <v>-1.31370668710671</v>
      </c>
      <c r="AQ70" s="4" t="n">
        <f aca="false">(AE70-$AE$344)/$AE$345</f>
        <v>-1.33529430776703</v>
      </c>
    </row>
    <row r="71" customFormat="false" ht="14.25" hidden="false" customHeight="false" outlineLevel="0" collapsed="false">
      <c r="B71" s="1" t="n">
        <v>25</v>
      </c>
      <c r="C71" s="1" t="n">
        <v>4</v>
      </c>
      <c r="D71" s="2" t="n">
        <v>28.7</v>
      </c>
      <c r="E71" s="4" t="n">
        <v>2.69332921131829</v>
      </c>
      <c r="F71" s="1" t="n">
        <v>70</v>
      </c>
      <c r="G71" s="1" t="n">
        <v>90.5</v>
      </c>
      <c r="H71" s="3" t="n">
        <v>130.975130551886</v>
      </c>
      <c r="I71" s="1" t="n">
        <v>450</v>
      </c>
      <c r="J71" s="39" t="n">
        <v>359.5</v>
      </c>
      <c r="K71" s="27" t="n">
        <v>234</v>
      </c>
      <c r="L71" s="39" t="n">
        <v>215.5</v>
      </c>
      <c r="M71" s="4" t="n">
        <v>0.6</v>
      </c>
      <c r="N71" s="26" t="n">
        <v>0.272119412315751</v>
      </c>
      <c r="O71" s="27" t="n">
        <v>241.81342742592</v>
      </c>
      <c r="P71" s="27" t="n">
        <v>69.0558452701</v>
      </c>
      <c r="Q71" s="28" t="n">
        <v>0.0527679417075151</v>
      </c>
      <c r="R71" s="25" t="n">
        <v>0.453532353859586</v>
      </c>
      <c r="S71" s="29" t="n">
        <v>0.371327050375408</v>
      </c>
      <c r="T71" s="27" t="n">
        <v>241.81342742592</v>
      </c>
      <c r="U71" s="27" t="n">
        <v>121</v>
      </c>
      <c r="V71" s="28" t="n">
        <v>0.0260391117003646</v>
      </c>
      <c r="W71" s="25" t="n">
        <f aca="false">(I71-H71)/(J71-H71)</f>
        <v>1.39601816738177</v>
      </c>
      <c r="X71" s="25" t="n">
        <f aca="false">0.5*(1+(I71-K71-L71)/(I71-K71))</f>
        <v>0.501157407407407</v>
      </c>
      <c r="Y71" s="25" t="n">
        <v>0.618878417292346</v>
      </c>
      <c r="Z71" s="26" t="n">
        <v>0.319146427610196</v>
      </c>
      <c r="AA71" s="27" t="n">
        <v>241.81342742592</v>
      </c>
      <c r="AB71" s="27" t="n">
        <v>69.0558452701</v>
      </c>
      <c r="AC71" s="28" t="n">
        <v>0.0527679417075151</v>
      </c>
      <c r="AD71" s="25" t="n">
        <v>0.531910712683659</v>
      </c>
      <c r="AE71" s="4" t="n">
        <v>0.327208344941633</v>
      </c>
      <c r="AF71" s="25" t="n">
        <v>0.318962425410456</v>
      </c>
      <c r="AG71" s="26" t="n">
        <f aca="false">SMALL(AE71:AF71,1)</f>
        <v>0.318962425410456</v>
      </c>
      <c r="AH71" s="27" t="n">
        <v>253.831265460578</v>
      </c>
      <c r="AI71" s="28" t="n">
        <v>0.0163</v>
      </c>
      <c r="AJ71" s="25" t="n">
        <v>0.531604042350759</v>
      </c>
      <c r="AK71" s="29" t="n">
        <v>0.383951277277252</v>
      </c>
      <c r="AN71" s="4" t="n">
        <f aca="false">(N71-$N$344)/$N$345</f>
        <v>0.668044761168449</v>
      </c>
      <c r="AO71" s="4" t="n">
        <f aca="false">(S71-$S$344)/$S$345</f>
        <v>1.88741127890097</v>
      </c>
      <c r="AP71" s="4" t="n">
        <f aca="false">(Z71-$Z$344)/$Z$345</f>
        <v>1.30194100907721</v>
      </c>
      <c r="AQ71" s="4" t="n">
        <f aca="false">(AE71-$AE$344)/$AE$345</f>
        <v>0.726423706651656</v>
      </c>
    </row>
    <row r="72" customFormat="false" ht="14.25" hidden="false" customHeight="false" outlineLevel="0" collapsed="false">
      <c r="A72" s="0" t="s">
        <v>38</v>
      </c>
      <c r="B72" s="1" t="n">
        <v>25</v>
      </c>
      <c r="C72" s="1" t="n">
        <v>4</v>
      </c>
      <c r="D72" s="2" t="n">
        <v>28.7</v>
      </c>
      <c r="E72" s="4" t="n">
        <v>2.69332921131829</v>
      </c>
      <c r="F72" s="1" t="n">
        <v>70</v>
      </c>
      <c r="G72" s="1" t="n">
        <v>90.5</v>
      </c>
      <c r="H72" s="3" t="n">
        <v>130.975130551886</v>
      </c>
      <c r="I72" s="1" t="n">
        <v>450</v>
      </c>
      <c r="J72" s="39" t="n">
        <v>359.5</v>
      </c>
      <c r="K72" s="27" t="n">
        <v>234</v>
      </c>
      <c r="L72" s="39" t="n">
        <v>215.5</v>
      </c>
      <c r="M72" s="4" t="n">
        <v>0.27</v>
      </c>
      <c r="N72" s="26" t="n">
        <v>0.107925994945012</v>
      </c>
      <c r="O72" s="27" t="n">
        <v>120.90671371296</v>
      </c>
      <c r="P72" s="27" t="n">
        <v>69.0558452701</v>
      </c>
      <c r="Q72" s="28" t="n">
        <v>0.0527679417075151</v>
      </c>
      <c r="R72" s="25" t="n">
        <v>0.399725907203747</v>
      </c>
      <c r="S72" s="29" t="n">
        <v>0.106297702576725</v>
      </c>
      <c r="T72" s="27" t="n">
        <v>120.90671371296</v>
      </c>
      <c r="U72" s="27" t="n">
        <v>121</v>
      </c>
      <c r="V72" s="28" t="n">
        <v>0.0260391117003646</v>
      </c>
      <c r="W72" s="25" t="n">
        <f aca="false">(I72-H72)/(J72-H72)</f>
        <v>1.39601816738177</v>
      </c>
      <c r="X72" s="25" t="n">
        <f aca="false">0.5*(1+(I72-K72-L72)/(I72-K72))</f>
        <v>0.501157407407407</v>
      </c>
      <c r="Y72" s="25" t="n">
        <v>0.393695194728611</v>
      </c>
      <c r="Z72" s="26" t="n">
        <v>0.126577503015513</v>
      </c>
      <c r="AA72" s="27" t="n">
        <v>120.90671371296</v>
      </c>
      <c r="AB72" s="27" t="n">
        <v>69.0558452701</v>
      </c>
      <c r="AC72" s="28" t="n">
        <v>0.0527679417075151</v>
      </c>
      <c r="AD72" s="25" t="n">
        <v>0.468805566724121</v>
      </c>
      <c r="AE72" s="4" t="n">
        <v>0.163604172470817</v>
      </c>
      <c r="AF72" s="25" t="n">
        <v>0.0797406063526139</v>
      </c>
      <c r="AG72" s="26" t="n">
        <f aca="false">SMALL(AE72:AF72,1)</f>
        <v>0.0797406063526139</v>
      </c>
      <c r="AH72" s="27" t="n">
        <v>126.915632730289</v>
      </c>
      <c r="AI72" s="28" t="n">
        <v>0.0163</v>
      </c>
      <c r="AJ72" s="25" t="n">
        <v>0.295335579083755</v>
      </c>
      <c r="AK72" s="29" t="n">
        <v>0.124057993369335</v>
      </c>
      <c r="AN72" s="4" t="n">
        <f aca="false">(N72-$N$344)/$N$345</f>
        <v>-1.26358001478959</v>
      </c>
      <c r="AO72" s="4" t="n">
        <f aca="false">(S72-$S$344)/$S$345</f>
        <v>-1.30936044597211</v>
      </c>
      <c r="AP72" s="4" t="n">
        <f aca="false">(Z72-$Z$344)/$Z$345</f>
        <v>-1.31370668710671</v>
      </c>
      <c r="AQ72" s="4" t="n">
        <f aca="false">(AE72-$AE$344)/$AE$345</f>
        <v>-1.33529430776703</v>
      </c>
    </row>
    <row r="73" customFormat="false" ht="14.25" hidden="false" customHeight="false" outlineLevel="0" collapsed="false">
      <c r="B73" s="1" t="n">
        <v>25</v>
      </c>
      <c r="C73" s="1" t="n">
        <v>4</v>
      </c>
      <c r="D73" s="2" t="n">
        <v>28.7</v>
      </c>
      <c r="E73" s="4" t="n">
        <v>2.69332921131829</v>
      </c>
      <c r="F73" s="1" t="n">
        <v>70</v>
      </c>
      <c r="G73" s="1" t="n">
        <v>90.5</v>
      </c>
      <c r="H73" s="3" t="n">
        <v>130.975130551886</v>
      </c>
      <c r="I73" s="1" t="n">
        <v>450</v>
      </c>
      <c r="J73" s="39" t="n">
        <v>359.5</v>
      </c>
      <c r="K73" s="27" t="n">
        <v>234</v>
      </c>
      <c r="L73" s="39" t="n">
        <v>215.5</v>
      </c>
      <c r="M73" s="4" t="n">
        <v>0.59</v>
      </c>
      <c r="N73" s="26" t="n">
        <v>0.272119412315751</v>
      </c>
      <c r="O73" s="27" t="n">
        <v>241.81342742592</v>
      </c>
      <c r="P73" s="27" t="n">
        <v>69.0558452701</v>
      </c>
      <c r="Q73" s="28" t="n">
        <v>0.0527679417075151</v>
      </c>
      <c r="R73" s="25" t="n">
        <v>0.461219342908053</v>
      </c>
      <c r="S73" s="29" t="n">
        <v>0.371327050375408</v>
      </c>
      <c r="T73" s="27" t="n">
        <v>241.81342742592</v>
      </c>
      <c r="U73" s="27" t="n">
        <v>121</v>
      </c>
      <c r="V73" s="28" t="n">
        <v>0.0260391117003646</v>
      </c>
      <c r="W73" s="25" t="n">
        <f aca="false">(I73-H73)/(J73-H73)</f>
        <v>1.39601816738177</v>
      </c>
      <c r="X73" s="25" t="n">
        <f aca="false">0.5*(1+(I73-K73-L73)/(I73-K73))</f>
        <v>0.501157407407407</v>
      </c>
      <c r="Y73" s="25" t="n">
        <v>0.629367881992216</v>
      </c>
      <c r="Z73" s="26" t="n">
        <v>0.319146427610196</v>
      </c>
      <c r="AA73" s="27" t="n">
        <v>241.81342742592</v>
      </c>
      <c r="AB73" s="27" t="n">
        <v>69.0558452701</v>
      </c>
      <c r="AC73" s="28" t="n">
        <v>0.0527679417075151</v>
      </c>
      <c r="AD73" s="25" t="n">
        <v>0.540926148491857</v>
      </c>
      <c r="AE73" s="4" t="n">
        <v>0.327208344941633</v>
      </c>
      <c r="AF73" s="25" t="n">
        <v>0.318962425410456</v>
      </c>
      <c r="AG73" s="26" t="n">
        <f aca="false">SMALL(AE73:AF73,1)</f>
        <v>0.318962425410456</v>
      </c>
      <c r="AH73" s="27" t="n">
        <v>253.831265460578</v>
      </c>
      <c r="AI73" s="28" t="n">
        <v>0.0163</v>
      </c>
      <c r="AJ73" s="25" t="n">
        <v>0.540614280356704</v>
      </c>
      <c r="AK73" s="29" t="n">
        <v>0.383951277277252</v>
      </c>
      <c r="AN73" s="4" t="n">
        <f aca="false">(N73-$N$344)/$N$345</f>
        <v>0.668044761168449</v>
      </c>
      <c r="AO73" s="4" t="n">
        <f aca="false">(S73-$S$344)/$S$345</f>
        <v>1.88741127890097</v>
      </c>
      <c r="AP73" s="4" t="n">
        <f aca="false">(Z73-$Z$344)/$Z$345</f>
        <v>1.30194100907721</v>
      </c>
      <c r="AQ73" s="4" t="n">
        <f aca="false">(AE73-$AE$344)/$AE$345</f>
        <v>0.726423706651656</v>
      </c>
    </row>
    <row r="74" customFormat="false" ht="14.25" hidden="false" customHeight="false" outlineLevel="0" collapsed="false">
      <c r="A74" s="0" t="s">
        <v>39</v>
      </c>
      <c r="B74" s="1" t="n">
        <v>9.52</v>
      </c>
      <c r="C74" s="1" t="n">
        <v>3</v>
      </c>
      <c r="D74" s="2" t="n">
        <v>22.2</v>
      </c>
      <c r="E74" s="4" t="n">
        <v>3.56416000199951</v>
      </c>
      <c r="F74" s="1" t="n">
        <v>20.64</v>
      </c>
      <c r="G74" s="1" t="n">
        <v>25.4</v>
      </c>
      <c r="H74" s="3" t="n">
        <v>56.390968153099</v>
      </c>
      <c r="I74" s="1" t="n">
        <v>228.6</v>
      </c>
      <c r="J74" s="39" t="n">
        <v>203.2</v>
      </c>
      <c r="K74" s="27" t="n">
        <v>118</v>
      </c>
      <c r="L74" s="39" t="n">
        <v>73</v>
      </c>
      <c r="M74" s="4" t="n">
        <v>0.15</v>
      </c>
      <c r="N74" s="26" t="n">
        <v>0.133293814927704</v>
      </c>
      <c r="O74" s="27" t="n">
        <v>295.47063165326</v>
      </c>
      <c r="P74" s="27" t="n">
        <v>130.564029483945</v>
      </c>
      <c r="Q74" s="28" t="n">
        <v>0.0324485100999475</v>
      </c>
      <c r="R74" s="25" t="n">
        <v>0.888625432851363</v>
      </c>
      <c r="S74" s="29" t="n">
        <v>0.123662143998871</v>
      </c>
      <c r="T74" s="27" t="n">
        <v>295.47063165326</v>
      </c>
      <c r="U74" s="27" t="n">
        <v>160</v>
      </c>
      <c r="V74" s="28" t="n">
        <v>0.0255156461606683</v>
      </c>
      <c r="W74" s="25" t="n">
        <f aca="false">(I74-H74)/(J74-H74)</f>
        <v>1.17301387850911</v>
      </c>
      <c r="X74" s="25" t="n">
        <f aca="false">0.5*(1+(I74-K74-L74)/(I74-K74))</f>
        <v>0.66998191681736</v>
      </c>
      <c r="Y74" s="25" t="n">
        <v>0.824414293325805</v>
      </c>
      <c r="Z74" s="26" t="n">
        <v>0.130335719526347</v>
      </c>
      <c r="AA74" s="27" t="n">
        <v>295.47063165326</v>
      </c>
      <c r="AB74" s="27" t="n">
        <v>130.564029483945</v>
      </c>
      <c r="AC74" s="28" t="n">
        <v>0.0324485100999475</v>
      </c>
      <c r="AD74" s="25" t="n">
        <v>0.868904796842313</v>
      </c>
      <c r="AE74" s="4" t="n">
        <v>0.141337500027187</v>
      </c>
      <c r="AF74" s="25" t="n">
        <v>0.136848304829132</v>
      </c>
      <c r="AG74" s="26" t="n">
        <f aca="false">SMALL(AE74:AF74,1)</f>
        <v>0.136848304829132</v>
      </c>
      <c r="AH74" s="27" t="n">
        <v>309.942026977108</v>
      </c>
      <c r="AI74" s="28" t="n">
        <v>0.0178</v>
      </c>
      <c r="AJ74" s="25" t="n">
        <v>0.912322032194212</v>
      </c>
      <c r="AK74" s="29" t="n">
        <v>0.16074492040548</v>
      </c>
      <c r="AN74" s="4" t="n">
        <f aca="false">(N74-$N$344)/$N$345</f>
        <v>-0.965144728069348</v>
      </c>
      <c r="AO74" s="4" t="n">
        <f aca="false">(S74-$S$344)/$S$345</f>
        <v>-1.09991135734251</v>
      </c>
      <c r="AP74" s="4" t="n">
        <f aca="false">(Z74-$Z$344)/$Z$345</f>
        <v>-1.26265914462801</v>
      </c>
      <c r="AQ74" s="4" t="n">
        <f aca="false">(AE74-$AE$344)/$AE$345</f>
        <v>-1.61589595138575</v>
      </c>
    </row>
    <row r="75" customFormat="false" ht="14.25" hidden="false" customHeight="false" outlineLevel="0" collapsed="false">
      <c r="B75" s="1" t="n">
        <v>9.52</v>
      </c>
      <c r="C75" s="1" t="n">
        <v>3</v>
      </c>
      <c r="D75" s="2" t="n">
        <v>22.2</v>
      </c>
      <c r="E75" s="4" t="n">
        <v>3.56416000199951</v>
      </c>
      <c r="F75" s="1" t="n">
        <v>20.64</v>
      </c>
      <c r="G75" s="1" t="n">
        <v>25.4</v>
      </c>
      <c r="H75" s="3" t="n">
        <v>56.390968153099</v>
      </c>
      <c r="I75" s="1" t="n">
        <v>228.6</v>
      </c>
      <c r="J75" s="39" t="n">
        <v>203.2</v>
      </c>
      <c r="K75" s="27" t="n">
        <v>118</v>
      </c>
      <c r="L75" s="39" t="n">
        <v>73</v>
      </c>
      <c r="M75" s="4" t="n">
        <v>0.17</v>
      </c>
      <c r="N75" s="26" t="n">
        <v>0.163003337276488</v>
      </c>
      <c r="O75" s="27" t="n">
        <v>343.866683389569</v>
      </c>
      <c r="P75" s="27" t="n">
        <v>130.564029483945</v>
      </c>
      <c r="Q75" s="28" t="n">
        <v>0.0324485100999475</v>
      </c>
      <c r="R75" s="25" t="n">
        <v>0.958843160449926</v>
      </c>
      <c r="S75" s="29" t="n">
        <v>0.153702296183471</v>
      </c>
      <c r="T75" s="27" t="n">
        <v>343.866683389569</v>
      </c>
      <c r="U75" s="27" t="n">
        <v>160</v>
      </c>
      <c r="V75" s="28" t="n">
        <v>0.0255156461606683</v>
      </c>
      <c r="W75" s="25" t="n">
        <f aca="false">(I75-H75)/(J75-H75)</f>
        <v>1.17301387850911</v>
      </c>
      <c r="X75" s="25" t="n">
        <f aca="false">0.5*(1+(I75-K75-L75)/(I75-K75))</f>
        <v>0.66998191681736</v>
      </c>
      <c r="Y75" s="25" t="n">
        <v>0.904131154020415</v>
      </c>
      <c r="Z75" s="26" t="n">
        <v>0.159385919449073</v>
      </c>
      <c r="AA75" s="27" t="n">
        <v>343.866683389569</v>
      </c>
      <c r="AB75" s="27" t="n">
        <v>130.564029483945</v>
      </c>
      <c r="AC75" s="28" t="n">
        <v>0.0324485100999475</v>
      </c>
      <c r="AD75" s="25" t="n">
        <v>0.937564232053373</v>
      </c>
      <c r="AE75" s="4" t="n">
        <v>0.16448760779026</v>
      </c>
      <c r="AF75" s="25" t="n">
        <v>0.185349312983868</v>
      </c>
      <c r="AG75" s="26" t="n">
        <f aca="false">SMALL(AE75:AF75,1)</f>
        <v>0.16448760779026</v>
      </c>
      <c r="AH75" s="27" t="n">
        <v>360.708393464738</v>
      </c>
      <c r="AI75" s="28" t="n">
        <v>0.0178</v>
      </c>
      <c r="AJ75" s="25" t="n">
        <v>0.96757416347212</v>
      </c>
      <c r="AK75" s="29" t="n">
        <v>0.206087165120448</v>
      </c>
      <c r="AN75" s="4" t="n">
        <f aca="false">(N75-$N$344)/$N$345</f>
        <v>-0.615632242308666</v>
      </c>
      <c r="AO75" s="4" t="n">
        <f aca="false">(S75-$S$344)/$S$345</f>
        <v>-0.73756843225801</v>
      </c>
      <c r="AP75" s="4" t="n">
        <f aca="false">(Z75-$Z$344)/$Z$345</f>
        <v>-0.86807269376895</v>
      </c>
      <c r="AQ75" s="4" t="n">
        <f aca="false">(AE75-$AE$344)/$AE$345</f>
        <v>-1.32416137340989</v>
      </c>
    </row>
    <row r="76" customFormat="false" ht="14.25" hidden="false" customHeight="false" outlineLevel="0" collapsed="false">
      <c r="A76" s="0" t="s">
        <v>40</v>
      </c>
      <c r="B76" s="1" t="n">
        <v>12.7</v>
      </c>
      <c r="C76" s="1" t="n">
        <v>3</v>
      </c>
      <c r="D76" s="2" t="n">
        <v>19.05</v>
      </c>
      <c r="E76" s="4" t="n">
        <v>3.97660816382294</v>
      </c>
      <c r="F76" s="1" t="n">
        <v>19.05</v>
      </c>
      <c r="G76" s="1" t="n">
        <v>25.4</v>
      </c>
      <c r="H76" s="3" t="n">
        <v>70.3736575776165</v>
      </c>
      <c r="I76" s="1" t="n">
        <v>228.6</v>
      </c>
      <c r="J76" s="39" t="n">
        <v>203.2</v>
      </c>
      <c r="K76" s="27" t="n">
        <v>120</v>
      </c>
      <c r="L76" s="39" t="n">
        <v>88.9</v>
      </c>
      <c r="M76" s="4" t="n">
        <v>0.15</v>
      </c>
      <c r="N76" s="26" t="n">
        <v>0.117678130194578</v>
      </c>
      <c r="O76" s="27" t="n">
        <v>303.256025231297</v>
      </c>
      <c r="P76" s="27" t="n">
        <v>83.8187090455694</v>
      </c>
      <c r="Q76" s="28" t="n">
        <v>0.0642124745559393</v>
      </c>
      <c r="R76" s="25" t="n">
        <v>0.784520867963852</v>
      </c>
      <c r="S76" s="29" t="n">
        <v>0.122571018889015</v>
      </c>
      <c r="T76" s="27" t="n">
        <v>303.256025231297</v>
      </c>
      <c r="U76" s="27" t="n">
        <v>126</v>
      </c>
      <c r="V76" s="28" t="n">
        <v>0.0380956317468191</v>
      </c>
      <c r="W76" s="25" t="n">
        <f aca="false">(I76-H76)/(J76-H76)</f>
        <v>1.19122712811913</v>
      </c>
      <c r="X76" s="25" t="n">
        <f aca="false">0.5*(1+(I76-K76-L76)/(I76-K76))</f>
        <v>0.590699815837937</v>
      </c>
      <c r="Y76" s="25" t="n">
        <v>0.817140125926767</v>
      </c>
      <c r="Z76" s="26" t="n">
        <v>0.124449511945649</v>
      </c>
      <c r="AA76" s="27" t="n">
        <v>303.256025231297</v>
      </c>
      <c r="AB76" s="27" t="n">
        <v>83.8187090455694</v>
      </c>
      <c r="AC76" s="28" t="n">
        <v>0.0642124745559393</v>
      </c>
      <c r="AD76" s="25" t="n">
        <v>0.829663412970991</v>
      </c>
      <c r="AE76" s="4" t="n">
        <v>0.146986108925762</v>
      </c>
      <c r="AF76" s="25" t="n">
        <v>0.17649154312757</v>
      </c>
      <c r="AG76" s="26" t="n">
        <f aca="false">SMALL(AE76:AF76,1)</f>
        <v>0.146986108925762</v>
      </c>
      <c r="AH76" s="27" t="n">
        <v>321.897145575639</v>
      </c>
      <c r="AI76" s="28" t="n">
        <v>0.0254</v>
      </c>
      <c r="AJ76" s="25" t="n">
        <v>0.979907392838412</v>
      </c>
      <c r="AK76" s="29" t="n">
        <v>0.173011612174274</v>
      </c>
      <c r="AN76" s="4" t="n">
        <f aca="false">(N76-$N$344)/$N$345</f>
        <v>-1.14885272323184</v>
      </c>
      <c r="AO76" s="4" t="n">
        <f aca="false">(S76-$S$344)/$S$345</f>
        <v>-1.11307245790914</v>
      </c>
      <c r="AP76" s="4" t="n">
        <f aca="false">(Z76-$Z$344)/$Z$345</f>
        <v>-1.34261101292722</v>
      </c>
      <c r="AQ76" s="4" t="n">
        <f aca="false">(AE76-$AE$344)/$AE$345</f>
        <v>-1.54471293357686</v>
      </c>
    </row>
    <row r="77" customFormat="false" ht="14.25" hidden="false" customHeight="false" outlineLevel="0" collapsed="false">
      <c r="B77" s="1" t="n">
        <v>12.7</v>
      </c>
      <c r="C77" s="1" t="n">
        <v>3</v>
      </c>
      <c r="D77" s="2" t="n">
        <v>19.05</v>
      </c>
      <c r="E77" s="4" t="n">
        <v>3.97660816382294</v>
      </c>
      <c r="F77" s="1" t="n">
        <v>19.05</v>
      </c>
      <c r="G77" s="1" t="n">
        <v>25.4</v>
      </c>
      <c r="H77" s="3" t="n">
        <v>70.3736575776165</v>
      </c>
      <c r="I77" s="1" t="n">
        <v>228.6</v>
      </c>
      <c r="J77" s="39" t="n">
        <v>203.2</v>
      </c>
      <c r="K77" s="27" t="n">
        <v>120</v>
      </c>
      <c r="L77" s="39" t="n">
        <v>88.9</v>
      </c>
      <c r="M77" s="4" t="n">
        <v>0.17</v>
      </c>
      <c r="N77" s="26" t="n">
        <v>0.13840455251525</v>
      </c>
      <c r="O77" s="27" t="n">
        <v>347.810227990398</v>
      </c>
      <c r="P77" s="27" t="n">
        <v>83.8187090455694</v>
      </c>
      <c r="Q77" s="28" t="n">
        <v>0.0642124745559393</v>
      </c>
      <c r="R77" s="25" t="n">
        <v>0.814144426560293</v>
      </c>
      <c r="S77" s="29" t="n">
        <v>0.146576579413367</v>
      </c>
      <c r="T77" s="27" t="n">
        <v>347.810227990398</v>
      </c>
      <c r="U77" s="27" t="n">
        <v>126</v>
      </c>
      <c r="V77" s="28" t="n">
        <v>0.0380956317468191</v>
      </c>
      <c r="W77" s="25" t="n">
        <f aca="false">(I77-H77)/(J77-H77)</f>
        <v>1.19122712811913</v>
      </c>
      <c r="X77" s="25" t="n">
        <f aca="false">0.5*(1+(I77-K77-L77)/(I77-K77))</f>
        <v>0.590699815837937</v>
      </c>
      <c r="Y77" s="25" t="n">
        <v>0.862215173019806</v>
      </c>
      <c r="Z77" s="26" t="n">
        <v>0.146368564686562</v>
      </c>
      <c r="AA77" s="27" t="n">
        <v>347.810227990398</v>
      </c>
      <c r="AB77" s="27" t="n">
        <v>83.8187090455694</v>
      </c>
      <c r="AC77" s="28" t="n">
        <v>0.0642124745559393</v>
      </c>
      <c r="AD77" s="25" t="n">
        <v>0.860991556979777</v>
      </c>
      <c r="AE77" s="4" t="n">
        <v>0.168581224455139</v>
      </c>
      <c r="AF77" s="25" t="n">
        <v>0.232161243721457</v>
      </c>
      <c r="AG77" s="26" t="n">
        <f aca="false">SMALL(AE77:AF77,1)</f>
        <v>0.168581224455139</v>
      </c>
      <c r="AH77" s="27" t="n">
        <v>369.190091134146</v>
      </c>
      <c r="AI77" s="28" t="n">
        <v>0.0254</v>
      </c>
      <c r="AJ77" s="25" t="n">
        <v>0.991654261500818</v>
      </c>
      <c r="AK77" s="29" t="n">
        <v>0.207232238405964</v>
      </c>
      <c r="AN77" s="4" t="n">
        <f aca="false">(N77-$N$344)/$N$345</f>
        <v>-0.9050203485077</v>
      </c>
      <c r="AO77" s="4" t="n">
        <f aca="false">(S77-$S$344)/$S$345</f>
        <v>-0.82351849808779</v>
      </c>
      <c r="AP77" s="4" t="n">
        <f aca="false">(Z77-$Z$344)/$Z$345</f>
        <v>-1.04488634148827</v>
      </c>
      <c r="AQ77" s="4" t="n">
        <f aca="false">(AE77-$AE$344)/$AE$345</f>
        <v>-1.27257416084286</v>
      </c>
    </row>
    <row r="78" customFormat="false" ht="14.25" hidden="false" customHeight="false" outlineLevel="0" collapsed="false">
      <c r="B78" s="1" t="n">
        <v>12.7</v>
      </c>
      <c r="C78" s="1" t="n">
        <v>3</v>
      </c>
      <c r="D78" s="2" t="n">
        <v>19.05</v>
      </c>
      <c r="E78" s="4" t="n">
        <v>3.97660816382294</v>
      </c>
      <c r="F78" s="1" t="n">
        <v>19.05</v>
      </c>
      <c r="G78" s="1" t="n">
        <v>25.4</v>
      </c>
      <c r="H78" s="3" t="n">
        <v>70.3736575776165</v>
      </c>
      <c r="I78" s="1" t="n">
        <v>228.6</v>
      </c>
      <c r="J78" s="39" t="n">
        <v>203.2</v>
      </c>
      <c r="K78" s="27" t="n">
        <v>120</v>
      </c>
      <c r="L78" s="39" t="n">
        <v>88.9</v>
      </c>
      <c r="M78" s="4" t="n">
        <v>0.2</v>
      </c>
      <c r="N78" s="26" t="n">
        <v>0.167822700325236</v>
      </c>
      <c r="O78" s="27" t="n">
        <v>411.048451261379</v>
      </c>
      <c r="P78" s="27" t="n">
        <v>83.8187090455694</v>
      </c>
      <c r="Q78" s="28" t="n">
        <v>0.0642124745559393</v>
      </c>
      <c r="R78" s="25" t="n">
        <v>0.83911350162618</v>
      </c>
      <c r="S78" s="29" t="n">
        <v>0.180648987899544</v>
      </c>
      <c r="T78" s="27" t="n">
        <v>411.048451261379</v>
      </c>
      <c r="U78" s="27" t="n">
        <v>126</v>
      </c>
      <c r="V78" s="28" t="n">
        <v>0.0380956317468191</v>
      </c>
      <c r="W78" s="25" t="n">
        <f aca="false">(I78-H78)/(J78-H78)</f>
        <v>1.19122712811913</v>
      </c>
      <c r="X78" s="25" t="n">
        <f aca="false">0.5*(1+(I78-K78-L78)/(I78-K78))</f>
        <v>0.590699815837937</v>
      </c>
      <c r="Y78" s="25" t="n">
        <v>0.903244939497721</v>
      </c>
      <c r="Z78" s="26" t="n">
        <v>0.17747947825431</v>
      </c>
      <c r="AA78" s="27" t="n">
        <v>411.048451261379</v>
      </c>
      <c r="AB78" s="27" t="n">
        <v>83.8187090455694</v>
      </c>
      <c r="AC78" s="28" t="n">
        <v>0.0642124745559393</v>
      </c>
      <c r="AD78" s="25" t="n">
        <v>0.887397391271552</v>
      </c>
      <c r="AE78" s="4" t="n">
        <v>0.198175013822205</v>
      </c>
      <c r="AF78" s="25" t="n">
        <v>0.320825668704265</v>
      </c>
      <c r="AG78" s="26" t="n">
        <f aca="false">SMALL(AE78:AF78,1)</f>
        <v>0.198175013822205</v>
      </c>
      <c r="AH78" s="27" t="n">
        <v>434</v>
      </c>
      <c r="AI78" s="28" t="n">
        <v>0.0254</v>
      </c>
      <c r="AJ78" s="25" t="n">
        <v>0.990875069111024</v>
      </c>
      <c r="AK78" s="29" t="n">
        <v>0.255803449831587</v>
      </c>
      <c r="AN78" s="4" t="n">
        <f aca="false">(N78-$N$344)/$N$345</f>
        <v>-0.558935687608915</v>
      </c>
      <c r="AO78" s="4" t="n">
        <f aca="false">(S78-$S$344)/$S$345</f>
        <v>-0.412538684147812</v>
      </c>
      <c r="AP78" s="4" t="n">
        <f aca="false">(Z78-$Z$344)/$Z$345</f>
        <v>-0.622309388478139</v>
      </c>
      <c r="AQ78" s="4" t="n">
        <f aca="false">(AE78-$AE$344)/$AE$345</f>
        <v>-0.899637164606564</v>
      </c>
    </row>
    <row r="79" customFormat="false" ht="14.25" hidden="false" customHeight="false" outlineLevel="0" collapsed="false">
      <c r="A79" s="0" t="s">
        <v>41</v>
      </c>
      <c r="B79" s="1" t="n">
        <v>15.9</v>
      </c>
      <c r="C79" s="1" t="n">
        <v>3</v>
      </c>
      <c r="D79" s="2" t="n">
        <v>15.9</v>
      </c>
      <c r="E79" s="4" t="n">
        <v>3.97660816382294</v>
      </c>
      <c r="F79" s="1" t="n">
        <v>17.46</v>
      </c>
      <c r="G79" s="1" t="n">
        <v>25.4</v>
      </c>
      <c r="H79" s="3" t="n">
        <v>83.2568223624363</v>
      </c>
      <c r="I79" s="1" t="n">
        <v>228.6</v>
      </c>
      <c r="J79" s="39" t="n">
        <v>203.2</v>
      </c>
      <c r="K79" s="27" t="n">
        <v>123</v>
      </c>
      <c r="L79" s="39" t="n">
        <v>88.9</v>
      </c>
      <c r="M79" s="4" t="n">
        <v>0.16</v>
      </c>
      <c r="N79" s="26" t="n">
        <v>0.0963366191831329</v>
      </c>
      <c r="O79" s="27" t="n">
        <v>289.734922915654</v>
      </c>
      <c r="P79" s="27" t="n">
        <v>58.591082217381</v>
      </c>
      <c r="Q79" s="28" t="n">
        <v>0.108350675635655</v>
      </c>
      <c r="R79" s="25" t="n">
        <v>0.602103869894581</v>
      </c>
      <c r="S79" s="29" t="n">
        <v>0.111252068275181</v>
      </c>
      <c r="T79" s="27" t="n">
        <v>289.734922915654</v>
      </c>
      <c r="U79" s="27" t="n">
        <v>89</v>
      </c>
      <c r="V79" s="28" t="n">
        <v>0.0590477371430933</v>
      </c>
      <c r="W79" s="25" t="n">
        <f aca="false">(I79-H79)/(J79-H79)</f>
        <v>1.21176694248298</v>
      </c>
      <c r="X79" s="25" t="n">
        <f aca="false">0.5*(1+(I79-K79-L79)/(I79-K79))</f>
        <v>0.57907196969697</v>
      </c>
      <c r="Y79" s="25" t="n">
        <v>0.695325426719879</v>
      </c>
      <c r="Z79" s="26" t="n">
        <v>0.10731930169564</v>
      </c>
      <c r="AA79" s="27" t="n">
        <v>289.734922915654</v>
      </c>
      <c r="AB79" s="27" t="n">
        <v>58.591082217381</v>
      </c>
      <c r="AC79" s="28" t="n">
        <v>0.108350675635655</v>
      </c>
      <c r="AD79" s="25" t="n">
        <v>0.67074563559775</v>
      </c>
      <c r="AE79" s="4" t="n">
        <v>0.144641878913411</v>
      </c>
      <c r="AF79" s="25" t="n">
        <v>0.204135876154047</v>
      </c>
      <c r="AG79" s="26" t="n">
        <f aca="false">SMALL(AE79:AF79,1)</f>
        <v>0.144641878913411</v>
      </c>
      <c r="AH79" s="27" t="n">
        <v>309.398456161179</v>
      </c>
      <c r="AI79" s="28" t="n">
        <v>0.0332</v>
      </c>
      <c r="AJ79" s="25" t="n">
        <v>0.904011743208822</v>
      </c>
      <c r="AK79" s="29" t="n">
        <v>0.162281906589078</v>
      </c>
      <c r="AN79" s="4" t="n">
        <f aca="false">(N79-$N$344)/$N$345</f>
        <v>-1.39992120140967</v>
      </c>
      <c r="AO79" s="4" t="n">
        <f aca="false">(S79-$S$344)/$S$345</f>
        <v>-1.24960111625616</v>
      </c>
      <c r="AP79" s="4" t="n">
        <f aca="false">(Z79-$Z$344)/$Z$345</f>
        <v>-1.57528923486718</v>
      </c>
      <c r="AQ79" s="4" t="n">
        <f aca="false">(AE79-$AE$344)/$AE$345</f>
        <v>-1.57425460829953</v>
      </c>
    </row>
    <row r="80" customFormat="false" ht="14.25" hidden="false" customHeight="false" outlineLevel="0" collapsed="false">
      <c r="B80" s="1" t="n">
        <v>15.9</v>
      </c>
      <c r="C80" s="1" t="n">
        <v>3</v>
      </c>
      <c r="D80" s="2" t="n">
        <v>15.9</v>
      </c>
      <c r="E80" s="4" t="n">
        <v>3.97660816382294</v>
      </c>
      <c r="F80" s="1" t="n">
        <v>17.46</v>
      </c>
      <c r="G80" s="1" t="n">
        <v>25.4</v>
      </c>
      <c r="H80" s="3" t="n">
        <v>83.2568223624363</v>
      </c>
      <c r="I80" s="1" t="n">
        <v>228.6</v>
      </c>
      <c r="J80" s="39" t="n">
        <v>203.2</v>
      </c>
      <c r="K80" s="27" t="n">
        <v>123</v>
      </c>
      <c r="L80" s="39" t="n">
        <v>88.9</v>
      </c>
      <c r="M80" s="4" t="n">
        <v>0.21</v>
      </c>
      <c r="N80" s="26" t="n">
        <v>0.130486662894268</v>
      </c>
      <c r="O80" s="27" t="n">
        <v>379.980226774629</v>
      </c>
      <c r="P80" s="27" t="n">
        <v>58.591082217381</v>
      </c>
      <c r="Q80" s="28" t="n">
        <v>0.108350675635655</v>
      </c>
      <c r="R80" s="25" t="n">
        <v>0.621365061401275</v>
      </c>
      <c r="S80" s="29" t="n">
        <v>0.153759462873372</v>
      </c>
      <c r="T80" s="27" t="n">
        <v>379.980226774629</v>
      </c>
      <c r="U80" s="27" t="n">
        <v>89</v>
      </c>
      <c r="V80" s="28" t="n">
        <v>0.0590477371430933</v>
      </c>
      <c r="W80" s="25" t="n">
        <f aca="false">(I80-H80)/(J80-H80)</f>
        <v>1.21176694248298</v>
      </c>
      <c r="X80" s="25" t="n">
        <f aca="false">0.5*(1+(I80-K80-L80)/(I80-K80))</f>
        <v>0.57907196969697</v>
      </c>
      <c r="Y80" s="25" t="n">
        <v>0.732187918444626</v>
      </c>
      <c r="Z80" s="26" t="n">
        <v>0.145362559545364</v>
      </c>
      <c r="AA80" s="27" t="n">
        <v>379.980226774629</v>
      </c>
      <c r="AB80" s="27" t="n">
        <v>58.591082217381</v>
      </c>
      <c r="AC80" s="28" t="n">
        <v>0.108350675635655</v>
      </c>
      <c r="AD80" s="25" t="n">
        <v>0.692202664501733</v>
      </c>
      <c r="AE80" s="4" t="n">
        <v>0.189694267427425</v>
      </c>
      <c r="AF80" s="25" t="n">
        <v>0.351107123726391</v>
      </c>
      <c r="AG80" s="26" t="n">
        <f aca="false">SMALL(AE80:AF80,1)</f>
        <v>0.189694267427425</v>
      </c>
      <c r="AH80" s="27" t="n">
        <v>405.768467096629</v>
      </c>
      <c r="AI80" s="28" t="n">
        <v>0.0332</v>
      </c>
      <c r="AJ80" s="25" t="n">
        <v>0.90330603536869</v>
      </c>
      <c r="AK80" s="29" t="n">
        <v>0.223769765208165</v>
      </c>
      <c r="AN80" s="4" t="n">
        <f aca="false">(N80-$N$344)/$N$345</f>
        <v>-0.998168977789566</v>
      </c>
      <c r="AO80" s="4" t="n">
        <f aca="false">(S80-$S$344)/$S$345</f>
        <v>-0.736878890290685</v>
      </c>
      <c r="AP80" s="4" t="n">
        <f aca="false">(Z80-$Z$344)/$Z$345</f>
        <v>-1.05855082570067</v>
      </c>
      <c r="AQ80" s="4" t="n">
        <f aca="false">(AE80-$AE$344)/$AE$345</f>
        <v>-1.00651040233498</v>
      </c>
    </row>
    <row r="81" customFormat="false" ht="14.25" hidden="false" customHeight="false" outlineLevel="0" collapsed="false">
      <c r="A81" s="0" t="s">
        <v>42</v>
      </c>
      <c r="B81" s="1" t="n">
        <v>16</v>
      </c>
      <c r="C81" s="1" t="n">
        <v>2</v>
      </c>
      <c r="D81" s="2" t="n">
        <v>138</v>
      </c>
      <c r="E81" s="4" t="n">
        <v>3.269</v>
      </c>
      <c r="F81" s="1" t="n">
        <v>40</v>
      </c>
      <c r="G81" s="1" t="n">
        <v>48</v>
      </c>
      <c r="H81" s="3" t="n">
        <v>73.3862853425291</v>
      </c>
      <c r="I81" s="1" t="n">
        <v>348</v>
      </c>
      <c r="J81" s="39" t="n">
        <v>300</v>
      </c>
      <c r="K81" s="27" t="n">
        <v>178</v>
      </c>
      <c r="L81" s="39" t="n">
        <v>128</v>
      </c>
      <c r="M81" s="4" t="n">
        <v>0.15</v>
      </c>
      <c r="N81" s="26" t="n">
        <v>0.0977633179023726</v>
      </c>
      <c r="O81" s="27" t="n">
        <v>185.273964470166</v>
      </c>
      <c r="P81" s="27" t="n">
        <v>211.30113906801</v>
      </c>
      <c r="Q81" s="28" t="n">
        <v>0.0174790978884179</v>
      </c>
      <c r="R81" s="25" t="n">
        <v>0.651755452682484</v>
      </c>
      <c r="S81" s="29" t="n">
        <v>0.122061551131185</v>
      </c>
      <c r="T81" s="27" t="n">
        <v>185.273964470166</v>
      </c>
      <c r="U81" s="27" t="n">
        <v>286</v>
      </c>
      <c r="V81" s="28" t="n">
        <v>0.0125</v>
      </c>
      <c r="W81" s="25" t="n">
        <f aca="false">(I81-H81)/(J81-H81)</f>
        <v>1.21181418817724</v>
      </c>
      <c r="X81" s="25" t="n">
        <f aca="false">0.5*(1+(I81-K81-L81)/(I81-K81))</f>
        <v>0.623529411764706</v>
      </c>
      <c r="Y81" s="25" t="n">
        <v>0.813743674207898</v>
      </c>
      <c r="Z81" s="26" t="n">
        <v>0.162085689245024</v>
      </c>
      <c r="AA81" s="27" t="n">
        <v>185.273964470166</v>
      </c>
      <c r="AB81" s="27" t="n">
        <v>211.30113906801</v>
      </c>
      <c r="AC81" s="28" t="n">
        <v>0.0174790978884179</v>
      </c>
      <c r="AD81" s="25" t="n">
        <v>1.08057126163349</v>
      </c>
      <c r="AE81" s="4" t="n">
        <v>0.251489698791037</v>
      </c>
      <c r="AF81" s="25" t="n">
        <v>0.0952789313462403</v>
      </c>
      <c r="AG81" s="26" t="n">
        <f aca="false">SMALL(AE81:AF81,1)</f>
        <v>0.0952789313462403</v>
      </c>
      <c r="AH81" s="27" t="n">
        <v>191.049780787031</v>
      </c>
      <c r="AI81" s="28" t="n">
        <v>0.0096</v>
      </c>
      <c r="AJ81" s="25" t="n">
        <v>0.635192875641602</v>
      </c>
      <c r="AK81" s="29" t="n">
        <v>0.075812183908046</v>
      </c>
      <c r="AN81" s="4" t="n">
        <f aca="false">(N81-$N$344)/$N$345</f>
        <v>-1.38313705355502</v>
      </c>
      <c r="AO81" s="4" t="n">
        <f aca="false">(S81-$S$344)/$S$345</f>
        <v>-1.1192176344207</v>
      </c>
      <c r="AP81" s="4" t="n">
        <f aca="false">(Z81-$Z$344)/$Z$345</f>
        <v>-0.831401945039016</v>
      </c>
      <c r="AQ81" s="4" t="n">
        <f aca="false">(AE81-$AE$344)/$AE$345</f>
        <v>-0.227772597992869</v>
      </c>
    </row>
    <row r="82" customFormat="false" ht="14.25" hidden="false" customHeight="false" outlineLevel="0" collapsed="false">
      <c r="B82" s="1" t="n">
        <v>16</v>
      </c>
      <c r="C82" s="1" t="n">
        <v>2</v>
      </c>
      <c r="D82" s="2" t="n">
        <v>138</v>
      </c>
      <c r="E82" s="4" t="n">
        <v>3.269</v>
      </c>
      <c r="F82" s="1" t="n">
        <v>40</v>
      </c>
      <c r="G82" s="1" t="n">
        <v>48</v>
      </c>
      <c r="H82" s="3" t="n">
        <v>73.3862853425291</v>
      </c>
      <c r="I82" s="1" t="n">
        <v>348</v>
      </c>
      <c r="J82" s="39" t="n">
        <v>300</v>
      </c>
      <c r="K82" s="27" t="n">
        <v>178</v>
      </c>
      <c r="L82" s="39" t="n">
        <v>128</v>
      </c>
      <c r="M82" s="4" t="n">
        <v>0.2</v>
      </c>
      <c r="N82" s="26" t="n">
        <v>0.142043710005398</v>
      </c>
      <c r="O82" s="27" t="n">
        <v>211.76759699969</v>
      </c>
      <c r="P82" s="27" t="n">
        <v>211.30113906801</v>
      </c>
      <c r="Q82" s="28" t="n">
        <v>0.0174790978884179</v>
      </c>
      <c r="R82" s="25" t="n">
        <v>0.71021855002699</v>
      </c>
      <c r="S82" s="29" t="n">
        <v>0.139515994290002</v>
      </c>
      <c r="T82" s="27" t="n">
        <v>211.76759699969</v>
      </c>
      <c r="U82" s="27" t="n">
        <v>286</v>
      </c>
      <c r="V82" s="28" t="n">
        <v>0.0125</v>
      </c>
      <c r="W82" s="25" t="n">
        <f aca="false">(I82-H82)/(J82-H82)</f>
        <v>1.21181418817724</v>
      </c>
      <c r="X82" s="25" t="n">
        <f aca="false">0.5*(1+(I82-K82-L82)/(I82-K82))</f>
        <v>0.623529411764706</v>
      </c>
      <c r="Y82" s="25" t="n">
        <v>0.697579971450012</v>
      </c>
      <c r="Z82" s="26" t="n">
        <v>0.185263466551364</v>
      </c>
      <c r="AA82" s="27" t="n">
        <v>211.76759699969</v>
      </c>
      <c r="AB82" s="27" t="n">
        <v>211.30113906801</v>
      </c>
      <c r="AC82" s="28" t="n">
        <v>0.0174790978884179</v>
      </c>
      <c r="AD82" s="25" t="n">
        <v>0.926317332756822</v>
      </c>
      <c r="AE82" s="4" t="n">
        <v>0.287451986767032</v>
      </c>
      <c r="AF82" s="25" t="n">
        <v>0.124476424595924</v>
      </c>
      <c r="AG82" s="26" t="n">
        <f aca="false">SMALL(AE82:AF82,1)</f>
        <v>0.124476424595924</v>
      </c>
      <c r="AH82" s="27" t="n">
        <v>218.36933807881</v>
      </c>
      <c r="AI82" s="28" t="n">
        <v>0.0096</v>
      </c>
      <c r="AJ82" s="25" t="n">
        <v>0.622382122979621</v>
      </c>
      <c r="AK82" s="29" t="n">
        <v>0.0866531034482759</v>
      </c>
      <c r="AN82" s="4" t="n">
        <f aca="false">(N82-$N$344)/$N$345</f>
        <v>-0.862208115933774</v>
      </c>
      <c r="AO82" s="4" t="n">
        <f aca="false">(S82-$S$344)/$S$345</f>
        <v>-0.908682949009569</v>
      </c>
      <c r="AP82" s="4" t="n">
        <f aca="false">(Z82-$Z$344)/$Z$345</f>
        <v>-0.516580122454736</v>
      </c>
      <c r="AQ82" s="4" t="n">
        <f aca="false">(AE82-$AE$344)/$AE$345</f>
        <v>0.225419370402973</v>
      </c>
    </row>
    <row r="83" customFormat="false" ht="14.25" hidden="false" customHeight="false" outlineLevel="0" collapsed="false">
      <c r="B83" s="1" t="n">
        <v>16</v>
      </c>
      <c r="C83" s="1" t="n">
        <v>2</v>
      </c>
      <c r="D83" s="2" t="n">
        <v>138</v>
      </c>
      <c r="E83" s="4" t="n">
        <v>3.269</v>
      </c>
      <c r="F83" s="1" t="n">
        <v>40</v>
      </c>
      <c r="G83" s="1" t="n">
        <v>48</v>
      </c>
      <c r="H83" s="3" t="n">
        <v>73.3862853425291</v>
      </c>
      <c r="I83" s="1" t="n">
        <v>348</v>
      </c>
      <c r="J83" s="39" t="n">
        <v>300</v>
      </c>
      <c r="K83" s="27" t="n">
        <v>178</v>
      </c>
      <c r="L83" s="39" t="n">
        <v>128</v>
      </c>
      <c r="M83" s="4" t="n">
        <v>0.25</v>
      </c>
      <c r="N83" s="26" t="n">
        <v>0.186324102108424</v>
      </c>
      <c r="O83" s="27" t="n">
        <v>238.261229529214</v>
      </c>
      <c r="P83" s="27" t="n">
        <v>211.30113906801</v>
      </c>
      <c r="Q83" s="28" t="n">
        <v>0.0174790978884179</v>
      </c>
      <c r="R83" s="25" t="n">
        <v>0.745296408433695</v>
      </c>
      <c r="S83" s="29" t="n">
        <v>0.15697043744882</v>
      </c>
      <c r="T83" s="27" t="n">
        <v>238.261229529214</v>
      </c>
      <c r="U83" s="27" t="n">
        <v>286</v>
      </c>
      <c r="V83" s="28" t="n">
        <v>0.0125</v>
      </c>
      <c r="W83" s="25" t="n">
        <f aca="false">(I83-H83)/(J83-H83)</f>
        <v>1.21181418817724</v>
      </c>
      <c r="X83" s="25" t="n">
        <f aca="false">0.5*(1+(I83-K83-L83)/(I83-K83))</f>
        <v>0.623529411764706</v>
      </c>
      <c r="Y83" s="25" t="n">
        <v>0.627881749795281</v>
      </c>
      <c r="Z83" s="26" t="n">
        <v>0.208441243857705</v>
      </c>
      <c r="AA83" s="27" t="n">
        <v>238.261229529214</v>
      </c>
      <c r="AB83" s="27" t="n">
        <v>211.30113906801</v>
      </c>
      <c r="AC83" s="28" t="n">
        <v>0.0174790978884179</v>
      </c>
      <c r="AD83" s="25" t="n">
        <v>0.833764975430819</v>
      </c>
      <c r="AE83" s="4" t="n">
        <v>0.323414274743028</v>
      </c>
      <c r="AF83" s="25" t="n">
        <v>0.157570475445657</v>
      </c>
      <c r="AG83" s="26" t="n">
        <f aca="false">SMALL(AE83:AF83,1)</f>
        <v>0.157570475445657</v>
      </c>
      <c r="AH83" s="27" t="n">
        <v>245.688895370589</v>
      </c>
      <c r="AI83" s="28" t="n">
        <v>0.0096</v>
      </c>
      <c r="AJ83" s="25" t="n">
        <v>0.63028190178263</v>
      </c>
      <c r="AK83" s="29" t="n">
        <v>0.124421196436782</v>
      </c>
      <c r="AN83" s="4" t="n">
        <f aca="false">(N83-$N$344)/$N$345</f>
        <v>-0.341279178312529</v>
      </c>
      <c r="AO83" s="4" t="n">
        <f aca="false">(S83-$S$344)/$S$345</f>
        <v>-0.698148263598437</v>
      </c>
      <c r="AP83" s="4" t="n">
        <f aca="false">(Z83-$Z$344)/$Z$345</f>
        <v>-0.201758299870453</v>
      </c>
      <c r="AQ83" s="4" t="n">
        <f aca="false">(AE83-$AE$344)/$AE$345</f>
        <v>0.678611338798816</v>
      </c>
    </row>
    <row r="84" customFormat="false" ht="14.25" hidden="false" customHeight="false" outlineLevel="0" collapsed="false">
      <c r="B84" s="1" t="n">
        <v>16</v>
      </c>
      <c r="C84" s="1" t="n">
        <v>2</v>
      </c>
      <c r="D84" s="2" t="n">
        <v>138</v>
      </c>
      <c r="E84" s="4" t="n">
        <v>3.269</v>
      </c>
      <c r="F84" s="1" t="n">
        <v>40</v>
      </c>
      <c r="G84" s="1" t="n">
        <v>48</v>
      </c>
      <c r="H84" s="3" t="n">
        <v>73.3862853425291</v>
      </c>
      <c r="I84" s="1" t="n">
        <v>348</v>
      </c>
      <c r="J84" s="39" t="n">
        <v>300</v>
      </c>
      <c r="K84" s="27" t="n">
        <v>178</v>
      </c>
      <c r="L84" s="39" t="n">
        <v>128</v>
      </c>
      <c r="M84" s="4" t="n">
        <v>0.28</v>
      </c>
      <c r="N84" s="26" t="n">
        <v>0.230528671622232</v>
      </c>
      <c r="O84" s="27" t="n">
        <v>264.709496249612</v>
      </c>
      <c r="P84" s="27" t="n">
        <v>211.30113906801</v>
      </c>
      <c r="Q84" s="28" t="n">
        <v>0.0174790978884179</v>
      </c>
      <c r="R84" s="25" t="n">
        <v>0.823316684365114</v>
      </c>
      <c r="S84" s="29" t="n">
        <v>0.174394992862503</v>
      </c>
      <c r="T84" s="27" t="n">
        <v>264.709496249612</v>
      </c>
      <c r="U84" s="27" t="n">
        <v>286</v>
      </c>
      <c r="V84" s="28" t="n">
        <v>0.0125</v>
      </c>
      <c r="W84" s="25" t="n">
        <f aca="false">(I84-H84)/(J84-H84)</f>
        <v>1.21181418817724</v>
      </c>
      <c r="X84" s="25" t="n">
        <f aca="false">0.5*(1+(I84-K84-L84)/(I84-K84))</f>
        <v>0.623529411764706</v>
      </c>
      <c r="Y84" s="25" t="n">
        <v>0.622839260223225</v>
      </c>
      <c r="Z84" s="26" t="n">
        <v>0.231579333189206</v>
      </c>
      <c r="AA84" s="27" t="n">
        <v>264.709496249612</v>
      </c>
      <c r="AB84" s="27" t="n">
        <v>211.30113906801</v>
      </c>
      <c r="AC84" s="28" t="n">
        <v>0.0174790978884179</v>
      </c>
      <c r="AD84" s="25" t="n">
        <v>0.827069047104305</v>
      </c>
      <c r="AE84" s="4" t="n">
        <v>0.35931498345879</v>
      </c>
      <c r="AF84" s="25" t="n">
        <v>0.194494413431132</v>
      </c>
      <c r="AG84" s="26" t="n">
        <f aca="false">SMALL(AE84:AF84,1)</f>
        <v>0.194494413431132</v>
      </c>
      <c r="AH84" s="27" t="n">
        <v>272.961672598513</v>
      </c>
      <c r="AI84" s="28" t="n">
        <v>0.0096</v>
      </c>
      <c r="AJ84" s="25" t="n">
        <v>0.694622905111184</v>
      </c>
      <c r="AK84" s="29" t="n">
        <v>0.183944156206897</v>
      </c>
      <c r="AN84" s="4" t="n">
        <f aca="false">(N84-$N$344)/$N$345</f>
        <v>0.178757757703199</v>
      </c>
      <c r="AO84" s="4" t="n">
        <f aca="false">(S84-$S$344)/$S$345</f>
        <v>-0.487974082785612</v>
      </c>
      <c r="AP84" s="4" t="n">
        <f aca="false">(Z84-$Z$344)/$Z$345</f>
        <v>0.112524444250498</v>
      </c>
      <c r="AQ84" s="4" t="n">
        <f aca="false">(AE84-$AE$344)/$AE$345</f>
        <v>1.13102729355014</v>
      </c>
    </row>
    <row r="85" customFormat="false" ht="14.25" hidden="false" customHeight="false" outlineLevel="0" collapsed="false">
      <c r="B85" s="1" t="n">
        <v>16</v>
      </c>
      <c r="C85" s="1" t="n">
        <v>2</v>
      </c>
      <c r="D85" s="2" t="n">
        <v>138</v>
      </c>
      <c r="E85" s="4" t="n">
        <v>3.269</v>
      </c>
      <c r="F85" s="1" t="n">
        <v>40</v>
      </c>
      <c r="G85" s="1" t="n">
        <v>48</v>
      </c>
      <c r="H85" s="3" t="n">
        <v>73.3862853425291</v>
      </c>
      <c r="I85" s="1" t="n">
        <v>348</v>
      </c>
      <c r="J85" s="39" t="n">
        <v>300</v>
      </c>
      <c r="K85" s="27" t="n">
        <v>178</v>
      </c>
      <c r="L85" s="39" t="n">
        <v>128</v>
      </c>
      <c r="M85" s="4" t="n">
        <v>0.28</v>
      </c>
      <c r="N85" s="26" t="n">
        <v>0.27473324113604</v>
      </c>
      <c r="O85" s="27" t="n">
        <v>291.157762970011</v>
      </c>
      <c r="P85" s="27" t="n">
        <v>211.30113906801</v>
      </c>
      <c r="Q85" s="28" t="n">
        <v>0.0174790978884179</v>
      </c>
      <c r="R85" s="25" t="n">
        <v>0.981190146914429</v>
      </c>
      <c r="S85" s="29" t="n">
        <v>0.197116438963645</v>
      </c>
      <c r="T85" s="27" t="n">
        <v>291.157762970011</v>
      </c>
      <c r="U85" s="27" t="n">
        <v>286</v>
      </c>
      <c r="V85" s="28" t="n">
        <v>0.0125</v>
      </c>
      <c r="W85" s="25" t="n">
        <f aca="false">(I85-H85)/(J85-H85)</f>
        <v>1.21181418817724</v>
      </c>
      <c r="X85" s="25" t="n">
        <f aca="false">0.5*(1+(I85-K85-L85)/(I85-K85))</f>
        <v>0.623529411764706</v>
      </c>
      <c r="Y85" s="25" t="n">
        <v>0.703987282013016</v>
      </c>
      <c r="Z85" s="26" t="n">
        <v>0.254717422520706</v>
      </c>
      <c r="AA85" s="27" t="n">
        <v>291.157762970011</v>
      </c>
      <c r="AB85" s="27" t="n">
        <v>211.30113906801</v>
      </c>
      <c r="AC85" s="28" t="n">
        <v>0.0174790978884179</v>
      </c>
      <c r="AD85" s="25" t="n">
        <v>0.909705080431094</v>
      </c>
      <c r="AE85" s="4" t="n">
        <v>0.395215692174553</v>
      </c>
      <c r="AF85" s="25" t="n">
        <v>0.235301576066291</v>
      </c>
      <c r="AG85" s="26" t="n">
        <f aca="false">SMALL(AE85:AF85,1)</f>
        <v>0.235301576066291</v>
      </c>
      <c r="AH85" s="27" t="n">
        <v>300.234449826436</v>
      </c>
      <c r="AI85" s="28" t="n">
        <v>0.0096</v>
      </c>
      <c r="AJ85" s="25" t="n">
        <v>0.840362771665326</v>
      </c>
      <c r="AK85" s="29" t="n">
        <v>0.243467115977012</v>
      </c>
      <c r="AN85" s="4" t="n">
        <f aca="false">(N85-$N$344)/$N$345</f>
        <v>0.698794693718928</v>
      </c>
      <c r="AO85" s="4" t="n">
        <f aca="false">(S85-$S$344)/$S$345</f>
        <v>-0.213909051695051</v>
      </c>
      <c r="AP85" s="4" t="n">
        <f aca="false">(Z85-$Z$344)/$Z$345</f>
        <v>0.426807188371451</v>
      </c>
      <c r="AQ85" s="4" t="n">
        <f aca="false">(AE85-$AE$344)/$AE$345</f>
        <v>1.58344324830147</v>
      </c>
    </row>
    <row r="86" customFormat="false" ht="14.25" hidden="false" customHeight="false" outlineLevel="0" collapsed="false">
      <c r="B86" s="1" t="n">
        <v>16</v>
      </c>
      <c r="C86" s="1" t="n">
        <v>2</v>
      </c>
      <c r="D86" s="2" t="n">
        <v>138</v>
      </c>
      <c r="E86" s="4" t="n">
        <v>3.269</v>
      </c>
      <c r="F86" s="1" t="n">
        <v>40</v>
      </c>
      <c r="G86" s="1" t="n">
        <v>48</v>
      </c>
      <c r="H86" s="3" t="n">
        <v>73.3862853425291</v>
      </c>
      <c r="I86" s="1" t="n">
        <v>348</v>
      </c>
      <c r="J86" s="39" t="n">
        <v>300</v>
      </c>
      <c r="K86" s="27" t="n">
        <v>178</v>
      </c>
      <c r="L86" s="39" t="n">
        <v>128</v>
      </c>
      <c r="M86" s="4" t="n">
        <v>0.3</v>
      </c>
      <c r="N86" s="26" t="n">
        <v>0.319013633239066</v>
      </c>
      <c r="O86" s="27" t="n">
        <v>317.651395499535</v>
      </c>
      <c r="P86" s="27" t="n">
        <v>211.30113906801</v>
      </c>
      <c r="Q86" s="28" t="n">
        <v>0.0174790978884179</v>
      </c>
      <c r="R86" s="25" t="n">
        <v>1.06337877746355</v>
      </c>
      <c r="S86" s="29" t="n">
        <v>0.240752546860689</v>
      </c>
      <c r="T86" s="27" t="n">
        <v>317.651395499535</v>
      </c>
      <c r="U86" s="27" t="n">
        <v>286</v>
      </c>
      <c r="V86" s="28" t="n">
        <v>0.0125</v>
      </c>
      <c r="W86" s="25" t="n">
        <f aca="false">(I86-H86)/(J86-H86)</f>
        <v>1.21181418817724</v>
      </c>
      <c r="X86" s="25" t="n">
        <f aca="false">0.5*(1+(I86-K86-L86)/(I86-K86))</f>
        <v>0.623529411764706</v>
      </c>
      <c r="Y86" s="25" t="n">
        <v>0.80250848953563</v>
      </c>
      <c r="Z86" s="26" t="n">
        <v>0.278303277430267</v>
      </c>
      <c r="AA86" s="27" t="n">
        <v>317.651395499535</v>
      </c>
      <c r="AB86" s="27" t="n">
        <v>211.30113906801</v>
      </c>
      <c r="AC86" s="28" t="n">
        <v>0.0174790978884179</v>
      </c>
      <c r="AD86" s="25" t="n">
        <v>0.927677591434223</v>
      </c>
      <c r="AE86" s="4" t="n">
        <v>0.431177980150548</v>
      </c>
      <c r="AF86" s="25" t="n">
        <v>0.28007195534083</v>
      </c>
      <c r="AG86" s="26" t="n">
        <f aca="false">SMALL(AE86:AF86,1)</f>
        <v>0.28007195534083</v>
      </c>
      <c r="AH86" s="27" t="n">
        <v>327.554007118215</v>
      </c>
      <c r="AI86" s="28" t="n">
        <v>0.0096</v>
      </c>
      <c r="AJ86" s="25" t="n">
        <v>0.933573184469432</v>
      </c>
      <c r="AK86" s="29" t="n">
        <v>0.303092173448276</v>
      </c>
      <c r="AN86" s="4" t="n">
        <f aca="false">(N86-$N$344)/$N$345</f>
        <v>1.21972363134017</v>
      </c>
      <c r="AO86" s="4" t="n">
        <f aca="false">(S86-$S$344)/$S$345</f>
        <v>0.312427661832777</v>
      </c>
      <c r="AP86" s="4" t="n">
        <f aca="false">(Z86-$Z$344)/$Z$345</f>
        <v>0.747171895120318</v>
      </c>
      <c r="AQ86" s="4" t="n">
        <f aca="false">(AE86-$AE$344)/$AE$345</f>
        <v>2.03663521669731</v>
      </c>
    </row>
    <row r="87" customFormat="false" ht="14.25" hidden="false" customHeight="false" outlineLevel="0" collapsed="false">
      <c r="B87" s="1" t="n">
        <v>16</v>
      </c>
      <c r="C87" s="1" t="n">
        <v>2</v>
      </c>
      <c r="D87" s="2" t="n">
        <v>138</v>
      </c>
      <c r="E87" s="4" t="n">
        <v>3.269</v>
      </c>
      <c r="F87" s="1" t="n">
        <v>40</v>
      </c>
      <c r="G87" s="1" t="n">
        <v>48</v>
      </c>
      <c r="H87" s="3" t="n">
        <v>73.3862853425291</v>
      </c>
      <c r="I87" s="1" t="n">
        <v>348</v>
      </c>
      <c r="J87" s="39" t="n">
        <v>300</v>
      </c>
      <c r="K87" s="27" t="n">
        <v>178</v>
      </c>
      <c r="L87" s="39" t="n">
        <v>128</v>
      </c>
      <c r="M87" s="4" t="n">
        <v>0.33</v>
      </c>
      <c r="N87" s="26" t="n">
        <v>0.363294025342091</v>
      </c>
      <c r="O87" s="27" t="n">
        <v>344.145028029059</v>
      </c>
      <c r="P87" s="27" t="n">
        <v>211.30113906801</v>
      </c>
      <c r="Q87" s="28" t="n">
        <v>0.0174790978884179</v>
      </c>
      <c r="R87" s="25" t="n">
        <v>1.10089098588513</v>
      </c>
      <c r="S87" s="29" t="n">
        <v>0.284388654757733</v>
      </c>
      <c r="T87" s="27" t="n">
        <v>344.145028029059</v>
      </c>
      <c r="U87" s="27" t="n">
        <v>286</v>
      </c>
      <c r="V87" s="28" t="n">
        <v>0.0125</v>
      </c>
      <c r="W87" s="25" t="n">
        <f aca="false">(I87-H87)/(J87-H87)</f>
        <v>1.21181418817724</v>
      </c>
      <c r="X87" s="25" t="n">
        <f aca="false">0.5*(1+(I87-K87-L87)/(I87-K87))</f>
        <v>0.623529411764706</v>
      </c>
      <c r="Y87" s="25" t="n">
        <v>0.861783802296162</v>
      </c>
      <c r="Z87" s="26" t="n">
        <v>0.316932906274168</v>
      </c>
      <c r="AA87" s="27" t="n">
        <v>344.145028029059</v>
      </c>
      <c r="AB87" s="27" t="n">
        <v>211.30113906801</v>
      </c>
      <c r="AC87" s="28" t="n">
        <v>0.0174790978884179</v>
      </c>
      <c r="AD87" s="25" t="n">
        <v>0.960402746285356</v>
      </c>
      <c r="AE87" s="4" t="n">
        <v>0.467140268126543</v>
      </c>
      <c r="AF87" s="25" t="n">
        <v>0.328738892215417</v>
      </c>
      <c r="AG87" s="26" t="n">
        <f aca="false">SMALL(AE87:AF87,1)</f>
        <v>0.328738892215417</v>
      </c>
      <c r="AH87" s="27" t="n">
        <v>354.873564409994</v>
      </c>
      <c r="AI87" s="28" t="n">
        <v>0.0096</v>
      </c>
      <c r="AJ87" s="25" t="n">
        <v>0.99617846125884</v>
      </c>
      <c r="AK87" s="29" t="n">
        <v>0.36271723091954</v>
      </c>
      <c r="AN87" s="4" t="n">
        <f aca="false">(N87-$N$344)/$N$345</f>
        <v>1.74065256896142</v>
      </c>
      <c r="AO87" s="4" t="n">
        <f aca="false">(S87-$S$344)/$S$345</f>
        <v>0.838764375360606</v>
      </c>
      <c r="AP87" s="4" t="n">
        <f aca="false">(Z87-$Z$344)/$Z$345</f>
        <v>1.27187493276079</v>
      </c>
      <c r="AQ87" s="4" t="n">
        <f aca="false">(AE87-$AE$344)/$AE$345</f>
        <v>2.48982718509315</v>
      </c>
    </row>
    <row r="88" customFormat="false" ht="14.25" hidden="false" customHeight="false" outlineLevel="0" collapsed="false">
      <c r="B88" s="1" t="n">
        <v>16</v>
      </c>
      <c r="C88" s="1" t="n">
        <v>2</v>
      </c>
      <c r="D88" s="2" t="n">
        <v>138</v>
      </c>
      <c r="E88" s="4" t="n">
        <v>3.269</v>
      </c>
      <c r="F88" s="1" t="n">
        <v>40</v>
      </c>
      <c r="G88" s="1" t="n">
        <v>48</v>
      </c>
      <c r="H88" s="3" t="n">
        <v>73.3862853425291</v>
      </c>
      <c r="I88" s="1" t="n">
        <v>348</v>
      </c>
      <c r="J88" s="39" t="n">
        <v>300</v>
      </c>
      <c r="K88" s="27" t="n">
        <v>178</v>
      </c>
      <c r="L88" s="39" t="n">
        <v>128</v>
      </c>
      <c r="M88" s="4" t="n">
        <v>0.33</v>
      </c>
      <c r="N88" s="26" t="n">
        <v>0.407422772266682</v>
      </c>
      <c r="O88" s="27" t="n">
        <v>370.547928940332</v>
      </c>
      <c r="P88" s="27" t="n">
        <v>211.30113906801</v>
      </c>
      <c r="Q88" s="28" t="n">
        <v>0.0174790978884179</v>
      </c>
      <c r="R88" s="25" t="n">
        <v>1.23461446141419</v>
      </c>
      <c r="S88" s="29" t="n">
        <v>0.327875323929103</v>
      </c>
      <c r="T88" s="27" t="n">
        <v>370.547928940332</v>
      </c>
      <c r="U88" s="27" t="n">
        <v>286</v>
      </c>
      <c r="V88" s="28" t="n">
        <v>0.0125</v>
      </c>
      <c r="W88" s="25" t="n">
        <f aca="false">(I88-H88)/(J88-H88)</f>
        <v>1.21181418817724</v>
      </c>
      <c r="X88" s="25" t="n">
        <f aca="false">0.5*(1+(I88-K88-L88)/(I88-K88))</f>
        <v>0.623529411764706</v>
      </c>
      <c r="Y88" s="25" t="n">
        <v>0.993561587663949</v>
      </c>
      <c r="Z88" s="26" t="n">
        <v>0.355430241868603</v>
      </c>
      <c r="AA88" s="27" t="n">
        <v>370.547928940332</v>
      </c>
      <c r="AB88" s="27" t="n">
        <v>211.30113906801</v>
      </c>
      <c r="AC88" s="28" t="n">
        <v>0.0174790978884179</v>
      </c>
      <c r="AD88" s="25" t="n">
        <v>1.07706133899577</v>
      </c>
      <c r="AE88" s="4" t="n">
        <v>0.502979397582073</v>
      </c>
      <c r="AF88" s="25" t="n">
        <v>0.381115725384961</v>
      </c>
      <c r="AG88" s="26" t="n">
        <f aca="false">SMALL(AE88:AF88,1)</f>
        <v>0.381115725384961</v>
      </c>
      <c r="AH88" s="27" t="n">
        <v>382.099561574062</v>
      </c>
      <c r="AI88" s="28" t="n">
        <v>0.0096</v>
      </c>
      <c r="AJ88" s="25" t="n">
        <v>1.15489613753019</v>
      </c>
      <c r="AK88" s="29" t="n">
        <v>0.422138092988506</v>
      </c>
      <c r="AN88" s="4" t="n">
        <f aca="false">(N88-$N$344)/$N$345</f>
        <v>2.25979750337163</v>
      </c>
      <c r="AO88" s="4" t="n">
        <f aca="false">(S88-$S$344)/$S$345</f>
        <v>1.3632985658969</v>
      </c>
      <c r="AP88" s="4" t="n">
        <f aca="false">(Z88-$Z$344)/$Z$345</f>
        <v>1.79478104219016</v>
      </c>
      <c r="AQ88" s="4" t="n">
        <f aca="false">(AE88-$AE$344)/$AE$345</f>
        <v>2.94146712619997</v>
      </c>
    </row>
    <row r="89" customFormat="false" ht="14.25" hidden="false" customHeight="false" outlineLevel="0" collapsed="false">
      <c r="A89" s="0" t="s">
        <v>43</v>
      </c>
      <c r="B89" s="1" t="n">
        <v>16</v>
      </c>
      <c r="C89" s="1" t="n">
        <v>2</v>
      </c>
      <c r="D89" s="2" t="n">
        <v>138</v>
      </c>
      <c r="E89" s="4" t="n">
        <v>3.269</v>
      </c>
      <c r="F89" s="1" t="n">
        <v>40</v>
      </c>
      <c r="G89" s="1" t="n">
        <v>48</v>
      </c>
      <c r="H89" s="3" t="n">
        <v>73.3862853425291</v>
      </c>
      <c r="I89" s="1" t="n">
        <v>348</v>
      </c>
      <c r="J89" s="39" t="n">
        <v>300</v>
      </c>
      <c r="K89" s="27" t="n">
        <v>178</v>
      </c>
      <c r="L89" s="39" t="n">
        <v>128</v>
      </c>
      <c r="M89" s="4" t="n">
        <v>0.15</v>
      </c>
      <c r="N89" s="26" t="n">
        <v>0.142043710005398</v>
      </c>
      <c r="O89" s="27" t="n">
        <v>211.76759699969</v>
      </c>
      <c r="P89" s="27" t="n">
        <v>211.30113906801</v>
      </c>
      <c r="Q89" s="28" t="n">
        <v>0.0174790978884179</v>
      </c>
      <c r="R89" s="25" t="n">
        <v>0.946958066702654</v>
      </c>
      <c r="S89" s="29" t="n">
        <v>0.139515994290002</v>
      </c>
      <c r="T89" s="27" t="n">
        <v>211.76759699969</v>
      </c>
      <c r="U89" s="27" t="n">
        <v>286</v>
      </c>
      <c r="V89" s="28" t="n">
        <v>0.0125</v>
      </c>
      <c r="W89" s="25" t="n">
        <f aca="false">(I89-H89)/(J89-H89)</f>
        <v>1.21181418817724</v>
      </c>
      <c r="X89" s="25" t="n">
        <f aca="false">0.5*(1+(I89-K89-L89)/(I89-K89))</f>
        <v>0.623529411764706</v>
      </c>
      <c r="Y89" s="25" t="n">
        <v>0.930106628600016</v>
      </c>
      <c r="Z89" s="26" t="n">
        <v>0.185263466551364</v>
      </c>
      <c r="AA89" s="27" t="n">
        <v>211.76759699969</v>
      </c>
      <c r="AB89" s="27" t="n">
        <v>211.30113906801</v>
      </c>
      <c r="AC89" s="28" t="n">
        <v>0.0174790978884179</v>
      </c>
      <c r="AD89" s="25" t="n">
        <v>1.2350897770091</v>
      </c>
      <c r="AE89" s="4" t="n">
        <v>0.287451986767032</v>
      </c>
      <c r="AF89" s="25" t="n">
        <v>0.124476424595924</v>
      </c>
      <c r="AG89" s="26" t="n">
        <f aca="false">SMALL(AE89:AF89,1)</f>
        <v>0.124476424595924</v>
      </c>
      <c r="AH89" s="27" t="n">
        <v>218.36933807881</v>
      </c>
      <c r="AI89" s="28" t="n">
        <v>0.0096</v>
      </c>
      <c r="AJ89" s="25" t="n">
        <v>0.829842830639495</v>
      </c>
      <c r="AK89" s="29" t="n">
        <v>0.0866531034482759</v>
      </c>
      <c r="AN89" s="4" t="n">
        <f aca="false">(N89-$N$344)/$N$345</f>
        <v>-0.862208115933774</v>
      </c>
      <c r="AO89" s="4" t="n">
        <f aca="false">(S89-$S$344)/$S$345</f>
        <v>-0.908682949009569</v>
      </c>
      <c r="AP89" s="4" t="n">
        <f aca="false">(Z89-$Z$344)/$Z$345</f>
        <v>-0.516580122454736</v>
      </c>
      <c r="AQ89" s="4" t="n">
        <f aca="false">(AE89-$AE$344)/$AE$345</f>
        <v>0.225419370402973</v>
      </c>
    </row>
    <row r="90" customFormat="false" ht="14.25" hidden="false" customHeight="false" outlineLevel="0" collapsed="false">
      <c r="B90" s="1" t="n">
        <v>16</v>
      </c>
      <c r="C90" s="1" t="n">
        <v>2</v>
      </c>
      <c r="D90" s="2" t="n">
        <v>138</v>
      </c>
      <c r="E90" s="4" t="n">
        <v>3.269</v>
      </c>
      <c r="F90" s="1" t="n">
        <v>40</v>
      </c>
      <c r="G90" s="1" t="n">
        <v>48</v>
      </c>
      <c r="H90" s="3" t="n">
        <v>73.3862853425291</v>
      </c>
      <c r="I90" s="1" t="n">
        <v>348</v>
      </c>
      <c r="J90" s="39" t="n">
        <v>300</v>
      </c>
      <c r="K90" s="27" t="n">
        <v>178</v>
      </c>
      <c r="L90" s="39" t="n">
        <v>128</v>
      </c>
      <c r="M90" s="4" t="n">
        <v>0.18</v>
      </c>
      <c r="N90" s="26" t="n">
        <v>0.186324102108424</v>
      </c>
      <c r="O90" s="27" t="n">
        <v>238.261229529214</v>
      </c>
      <c r="P90" s="27" t="n">
        <v>211.30113906801</v>
      </c>
      <c r="Q90" s="28" t="n">
        <v>0.0174790978884179</v>
      </c>
      <c r="R90" s="25" t="n">
        <v>1.03513390060235</v>
      </c>
      <c r="S90" s="29" t="n">
        <v>0.15697043744882</v>
      </c>
      <c r="T90" s="27" t="n">
        <v>238.261229529214</v>
      </c>
      <c r="U90" s="27" t="n">
        <v>286</v>
      </c>
      <c r="V90" s="28" t="n">
        <v>0.0125</v>
      </c>
      <c r="W90" s="25" t="n">
        <f aca="false">(I90-H90)/(J90-H90)</f>
        <v>1.21181418817724</v>
      </c>
      <c r="X90" s="25" t="n">
        <f aca="false">0.5*(1+(I90-K90-L90)/(I90-K90))</f>
        <v>0.623529411764706</v>
      </c>
      <c r="Y90" s="25" t="n">
        <v>0.872057985826779</v>
      </c>
      <c r="Z90" s="26" t="n">
        <v>0.208441243857705</v>
      </c>
      <c r="AA90" s="27" t="n">
        <v>238.261229529214</v>
      </c>
      <c r="AB90" s="27" t="n">
        <v>211.30113906801</v>
      </c>
      <c r="AC90" s="28" t="n">
        <v>0.0174790978884179</v>
      </c>
      <c r="AD90" s="25" t="n">
        <v>1.15800691032058</v>
      </c>
      <c r="AE90" s="4" t="n">
        <v>0.323414274743028</v>
      </c>
      <c r="AF90" s="25" t="n">
        <v>0.157570475445657</v>
      </c>
      <c r="AG90" s="26" t="n">
        <f aca="false">SMALL(AE90:AF90,1)</f>
        <v>0.157570475445657</v>
      </c>
      <c r="AH90" s="27" t="n">
        <v>245.688895370589</v>
      </c>
      <c r="AI90" s="28" t="n">
        <v>0.0096</v>
      </c>
      <c r="AJ90" s="25" t="n">
        <v>0.875391530253653</v>
      </c>
      <c r="AK90" s="29" t="n">
        <v>0.124421196436782</v>
      </c>
      <c r="AN90" s="4" t="n">
        <f aca="false">(N90-$N$344)/$N$345</f>
        <v>-0.341279178312529</v>
      </c>
      <c r="AO90" s="4" t="n">
        <f aca="false">(S90-$S$344)/$S$345</f>
        <v>-0.698148263598437</v>
      </c>
      <c r="AP90" s="4" t="n">
        <f aca="false">(Z90-$Z$344)/$Z$345</f>
        <v>-0.201758299870453</v>
      </c>
      <c r="AQ90" s="4" t="n">
        <f aca="false">(AE90-$AE$344)/$AE$345</f>
        <v>0.678611338798816</v>
      </c>
    </row>
    <row r="91" customFormat="false" ht="14.25" hidden="false" customHeight="false" outlineLevel="0" collapsed="false">
      <c r="B91" s="1" t="n">
        <v>16</v>
      </c>
      <c r="C91" s="1" t="n">
        <v>2</v>
      </c>
      <c r="D91" s="2" t="n">
        <v>138</v>
      </c>
      <c r="E91" s="4" t="n">
        <v>3.269</v>
      </c>
      <c r="F91" s="1" t="n">
        <v>40</v>
      </c>
      <c r="G91" s="1" t="n">
        <v>48</v>
      </c>
      <c r="H91" s="3" t="n">
        <v>73.3862853425291</v>
      </c>
      <c r="I91" s="1" t="n">
        <v>348</v>
      </c>
      <c r="J91" s="39" t="n">
        <v>300</v>
      </c>
      <c r="K91" s="27" t="n">
        <v>178</v>
      </c>
      <c r="L91" s="39" t="n">
        <v>128</v>
      </c>
      <c r="M91" s="4" t="n">
        <v>0.2</v>
      </c>
      <c r="N91" s="26" t="n">
        <v>0.230528671622232</v>
      </c>
      <c r="O91" s="27" t="n">
        <v>264.709496249612</v>
      </c>
      <c r="P91" s="27" t="n">
        <v>211.30113906801</v>
      </c>
      <c r="Q91" s="28" t="n">
        <v>0.0174790978884179</v>
      </c>
      <c r="R91" s="25" t="n">
        <v>1.15264335811116</v>
      </c>
      <c r="S91" s="29" t="n">
        <v>0.174394992862503</v>
      </c>
      <c r="T91" s="27" t="n">
        <v>264.709496249612</v>
      </c>
      <c r="U91" s="27" t="n">
        <v>286</v>
      </c>
      <c r="V91" s="28" t="n">
        <v>0.0125</v>
      </c>
      <c r="W91" s="25" t="n">
        <f aca="false">(I91-H91)/(J91-H91)</f>
        <v>1.21181418817724</v>
      </c>
      <c r="X91" s="25" t="n">
        <f aca="false">0.5*(1+(I91-K91-L91)/(I91-K91))</f>
        <v>0.623529411764706</v>
      </c>
      <c r="Y91" s="25" t="n">
        <v>0.871974964312515</v>
      </c>
      <c r="Z91" s="26" t="n">
        <v>0.231579333189206</v>
      </c>
      <c r="AA91" s="27" t="n">
        <v>264.709496249612</v>
      </c>
      <c r="AB91" s="27" t="n">
        <v>211.30113906801</v>
      </c>
      <c r="AC91" s="28" t="n">
        <v>0.0174790978884179</v>
      </c>
      <c r="AD91" s="25" t="n">
        <v>1.15789666594603</v>
      </c>
      <c r="AE91" s="4" t="n">
        <v>0.35931498345879</v>
      </c>
      <c r="AF91" s="25" t="n">
        <v>0.194494413431132</v>
      </c>
      <c r="AG91" s="26" t="n">
        <f aca="false">SMALL(AE91:AF91,1)</f>
        <v>0.194494413431132</v>
      </c>
      <c r="AH91" s="27" t="n">
        <v>272.961672598513</v>
      </c>
      <c r="AI91" s="28" t="n">
        <v>0.0096</v>
      </c>
      <c r="AJ91" s="25" t="n">
        <v>0.972472067155658</v>
      </c>
      <c r="AK91" s="29" t="n">
        <v>0.183944156206897</v>
      </c>
      <c r="AN91" s="4" t="n">
        <f aca="false">(N91-$N$344)/$N$345</f>
        <v>0.178757757703199</v>
      </c>
      <c r="AO91" s="4" t="n">
        <f aca="false">(S91-$S$344)/$S$345</f>
        <v>-0.487974082785612</v>
      </c>
      <c r="AP91" s="4" t="n">
        <f aca="false">(Z91-$Z$344)/$Z$345</f>
        <v>0.112524444250498</v>
      </c>
      <c r="AQ91" s="4" t="n">
        <f aca="false">(AE91-$AE$344)/$AE$345</f>
        <v>1.13102729355014</v>
      </c>
    </row>
    <row r="92" customFormat="false" ht="14.25" hidden="false" customHeight="false" outlineLevel="0" collapsed="false">
      <c r="B92" s="1" t="n">
        <v>16</v>
      </c>
      <c r="C92" s="1" t="n">
        <v>2</v>
      </c>
      <c r="D92" s="2" t="n">
        <v>138</v>
      </c>
      <c r="E92" s="4" t="n">
        <v>3.269</v>
      </c>
      <c r="F92" s="1" t="n">
        <v>40</v>
      </c>
      <c r="G92" s="1" t="n">
        <v>48</v>
      </c>
      <c r="H92" s="3" t="n">
        <v>73.3862853425291</v>
      </c>
      <c r="I92" s="1" t="n">
        <v>348</v>
      </c>
      <c r="J92" s="39" t="n">
        <v>300</v>
      </c>
      <c r="K92" s="27" t="n">
        <v>178</v>
      </c>
      <c r="L92" s="39" t="n">
        <v>128</v>
      </c>
      <c r="M92" s="4" t="n">
        <v>0.25</v>
      </c>
      <c r="N92" s="26" t="n">
        <v>0.27473324113604</v>
      </c>
      <c r="O92" s="27" t="n">
        <v>291.157762970011</v>
      </c>
      <c r="P92" s="27" t="n">
        <v>211.30113906801</v>
      </c>
      <c r="Q92" s="28" t="n">
        <v>0.0174790978884179</v>
      </c>
      <c r="R92" s="25" t="n">
        <v>1.09893296454416</v>
      </c>
      <c r="S92" s="29" t="n">
        <v>0.197116438963645</v>
      </c>
      <c r="T92" s="27" t="n">
        <v>291.157762970011</v>
      </c>
      <c r="U92" s="27" t="n">
        <v>286</v>
      </c>
      <c r="V92" s="28" t="n">
        <v>0.0125</v>
      </c>
      <c r="W92" s="25" t="n">
        <f aca="false">(I92-H92)/(J92-H92)</f>
        <v>1.21181418817724</v>
      </c>
      <c r="X92" s="25" t="n">
        <f aca="false">0.5*(1+(I92-K92-L92)/(I92-K92))</f>
        <v>0.623529411764706</v>
      </c>
      <c r="Y92" s="25" t="n">
        <v>0.788465755854579</v>
      </c>
      <c r="Z92" s="26" t="n">
        <v>0.254717422520706</v>
      </c>
      <c r="AA92" s="27" t="n">
        <v>291.157762970011</v>
      </c>
      <c r="AB92" s="27" t="n">
        <v>211.30113906801</v>
      </c>
      <c r="AC92" s="28" t="n">
        <v>0.0174790978884179</v>
      </c>
      <c r="AD92" s="25" t="n">
        <v>1.01886969008283</v>
      </c>
      <c r="AE92" s="4" t="n">
        <v>0.395215692174553</v>
      </c>
      <c r="AF92" s="25" t="n">
        <v>0.235301576066291</v>
      </c>
      <c r="AG92" s="26" t="n">
        <f aca="false">SMALL(AE92:AF92,1)</f>
        <v>0.235301576066291</v>
      </c>
      <c r="AH92" s="27" t="n">
        <v>300.234449826436</v>
      </c>
      <c r="AI92" s="28" t="n">
        <v>0.0096</v>
      </c>
      <c r="AJ92" s="25" t="n">
        <v>0.941206304265165</v>
      </c>
      <c r="AK92" s="29" t="n">
        <v>0.243467115977012</v>
      </c>
      <c r="AN92" s="4" t="n">
        <f aca="false">(N92-$N$344)/$N$345</f>
        <v>0.698794693718928</v>
      </c>
      <c r="AO92" s="4" t="n">
        <f aca="false">(S92-$S$344)/$S$345</f>
        <v>-0.213909051695051</v>
      </c>
      <c r="AP92" s="4" t="n">
        <f aca="false">(Z92-$Z$344)/$Z$345</f>
        <v>0.426807188371451</v>
      </c>
      <c r="AQ92" s="4" t="n">
        <f aca="false">(AE92-$AE$344)/$AE$345</f>
        <v>1.58344324830147</v>
      </c>
    </row>
    <row r="93" customFormat="false" ht="14.25" hidden="false" customHeight="false" outlineLevel="0" collapsed="false">
      <c r="B93" s="1" t="n">
        <v>16</v>
      </c>
      <c r="C93" s="1" t="n">
        <v>2</v>
      </c>
      <c r="D93" s="2" t="n">
        <v>138</v>
      </c>
      <c r="E93" s="4" t="n">
        <v>3.269</v>
      </c>
      <c r="F93" s="1" t="n">
        <v>40</v>
      </c>
      <c r="G93" s="1" t="n">
        <v>48</v>
      </c>
      <c r="H93" s="3" t="n">
        <v>73.3862853425291</v>
      </c>
      <c r="I93" s="1" t="n">
        <v>348</v>
      </c>
      <c r="J93" s="39" t="n">
        <v>300</v>
      </c>
      <c r="K93" s="27" t="n">
        <v>178</v>
      </c>
      <c r="L93" s="39" t="n">
        <v>128</v>
      </c>
      <c r="M93" s="4" t="n">
        <v>0.3</v>
      </c>
      <c r="N93" s="26" t="n">
        <v>0.319013633239066</v>
      </c>
      <c r="O93" s="27" t="n">
        <v>317.651395499535</v>
      </c>
      <c r="P93" s="27" t="n">
        <v>211.30113906801</v>
      </c>
      <c r="Q93" s="28" t="n">
        <v>0.0174790978884179</v>
      </c>
      <c r="R93" s="25" t="n">
        <v>1.06337877746355</v>
      </c>
      <c r="S93" s="29" t="n">
        <v>0.240752546860689</v>
      </c>
      <c r="T93" s="27" t="n">
        <v>317.651395499535</v>
      </c>
      <c r="U93" s="27" t="n">
        <v>286</v>
      </c>
      <c r="V93" s="28" t="n">
        <v>0.0125</v>
      </c>
      <c r="W93" s="25" t="n">
        <f aca="false">(I93-H93)/(J93-H93)</f>
        <v>1.21181418817724</v>
      </c>
      <c r="X93" s="25" t="n">
        <f aca="false">0.5*(1+(I93-K93-L93)/(I93-K93))</f>
        <v>0.623529411764706</v>
      </c>
      <c r="Y93" s="25" t="n">
        <v>0.80250848953563</v>
      </c>
      <c r="Z93" s="26" t="n">
        <v>0.278303277430267</v>
      </c>
      <c r="AA93" s="27" t="n">
        <v>317.651395499535</v>
      </c>
      <c r="AB93" s="27" t="n">
        <v>211.30113906801</v>
      </c>
      <c r="AC93" s="28" t="n">
        <v>0.0174790978884179</v>
      </c>
      <c r="AD93" s="25" t="n">
        <v>0.927677591434223</v>
      </c>
      <c r="AE93" s="4" t="n">
        <v>0.431177980150548</v>
      </c>
      <c r="AF93" s="25" t="n">
        <v>0.28007195534083</v>
      </c>
      <c r="AG93" s="26" t="n">
        <f aca="false">SMALL(AE93:AF93,1)</f>
        <v>0.28007195534083</v>
      </c>
      <c r="AH93" s="27" t="n">
        <v>327.554007118215</v>
      </c>
      <c r="AI93" s="28" t="n">
        <v>0.0096</v>
      </c>
      <c r="AJ93" s="25" t="n">
        <v>0.933573184469432</v>
      </c>
      <c r="AK93" s="29" t="n">
        <v>0.303092173448276</v>
      </c>
      <c r="AN93" s="4" t="n">
        <f aca="false">(N93-$N$344)/$N$345</f>
        <v>1.21972363134017</v>
      </c>
      <c r="AO93" s="4" t="n">
        <f aca="false">(S93-$S$344)/$S$345</f>
        <v>0.312427661832777</v>
      </c>
      <c r="AP93" s="4" t="n">
        <f aca="false">(Z93-$Z$344)/$Z$345</f>
        <v>0.747171895120318</v>
      </c>
      <c r="AQ93" s="4" t="n">
        <f aca="false">(AE93-$AE$344)/$AE$345</f>
        <v>2.03663521669731</v>
      </c>
    </row>
    <row r="94" customFormat="false" ht="14.25" hidden="false" customHeight="false" outlineLevel="0" collapsed="false">
      <c r="B94" s="1" t="n">
        <v>16</v>
      </c>
      <c r="C94" s="1" t="n">
        <v>2</v>
      </c>
      <c r="D94" s="2" t="n">
        <v>138</v>
      </c>
      <c r="E94" s="4" t="n">
        <v>3.269</v>
      </c>
      <c r="F94" s="1" t="n">
        <v>40</v>
      </c>
      <c r="G94" s="1" t="n">
        <v>48</v>
      </c>
      <c r="H94" s="3" t="n">
        <v>73.3862853425291</v>
      </c>
      <c r="I94" s="1" t="n">
        <v>348</v>
      </c>
      <c r="J94" s="39" t="n">
        <v>300</v>
      </c>
      <c r="K94" s="27" t="n">
        <v>178</v>
      </c>
      <c r="L94" s="39" t="n">
        <v>128</v>
      </c>
      <c r="M94" s="4" t="n">
        <v>0.33</v>
      </c>
      <c r="N94" s="26" t="n">
        <v>0.363294025342091</v>
      </c>
      <c r="O94" s="27" t="n">
        <v>344.145028029059</v>
      </c>
      <c r="P94" s="27" t="n">
        <v>211.30113906801</v>
      </c>
      <c r="Q94" s="28" t="n">
        <v>0.0174790978884179</v>
      </c>
      <c r="R94" s="25" t="n">
        <v>1.10089098588513</v>
      </c>
      <c r="S94" s="29" t="n">
        <v>0.284388654757733</v>
      </c>
      <c r="T94" s="27" t="n">
        <v>344.145028029059</v>
      </c>
      <c r="U94" s="27" t="n">
        <v>286</v>
      </c>
      <c r="V94" s="28" t="n">
        <v>0.0125</v>
      </c>
      <c r="W94" s="25" t="n">
        <f aca="false">(I94-H94)/(J94-H94)</f>
        <v>1.21181418817724</v>
      </c>
      <c r="X94" s="25" t="n">
        <f aca="false">0.5*(1+(I94-K94-L94)/(I94-K94))</f>
        <v>0.623529411764706</v>
      </c>
      <c r="Y94" s="25" t="n">
        <v>0.861783802296162</v>
      </c>
      <c r="Z94" s="26" t="n">
        <v>0.316932906274168</v>
      </c>
      <c r="AA94" s="27" t="n">
        <v>344.145028029059</v>
      </c>
      <c r="AB94" s="27" t="n">
        <v>211.30113906801</v>
      </c>
      <c r="AC94" s="28" t="n">
        <v>0.0174790978884179</v>
      </c>
      <c r="AD94" s="25" t="n">
        <v>0.960402746285356</v>
      </c>
      <c r="AE94" s="4" t="n">
        <v>0.467140268126543</v>
      </c>
      <c r="AF94" s="25" t="n">
        <v>0.328738892215417</v>
      </c>
      <c r="AG94" s="26" t="n">
        <f aca="false">SMALL(AE94:AF94,1)</f>
        <v>0.328738892215417</v>
      </c>
      <c r="AH94" s="27" t="n">
        <v>354.873564409994</v>
      </c>
      <c r="AI94" s="28" t="n">
        <v>0.0096</v>
      </c>
      <c r="AJ94" s="25" t="n">
        <v>0.99617846125884</v>
      </c>
      <c r="AK94" s="29" t="n">
        <v>0.36271723091954</v>
      </c>
      <c r="AN94" s="4" t="n">
        <f aca="false">(N94-$N$344)/$N$345</f>
        <v>1.74065256896142</v>
      </c>
      <c r="AO94" s="4" t="n">
        <f aca="false">(S94-$S$344)/$S$345</f>
        <v>0.838764375360606</v>
      </c>
      <c r="AP94" s="4" t="n">
        <f aca="false">(Z94-$Z$344)/$Z$345</f>
        <v>1.27187493276079</v>
      </c>
      <c r="AQ94" s="4" t="n">
        <f aca="false">(AE94-$AE$344)/$AE$345</f>
        <v>2.48982718509315</v>
      </c>
    </row>
    <row r="95" customFormat="false" ht="14.25" hidden="false" customHeight="false" outlineLevel="0" collapsed="false">
      <c r="B95" s="1" t="n">
        <v>16</v>
      </c>
      <c r="C95" s="1" t="n">
        <v>2</v>
      </c>
      <c r="D95" s="2" t="n">
        <v>138</v>
      </c>
      <c r="E95" s="4" t="n">
        <v>3.269</v>
      </c>
      <c r="F95" s="1" t="n">
        <v>40</v>
      </c>
      <c r="G95" s="1" t="n">
        <v>48</v>
      </c>
      <c r="H95" s="3" t="n">
        <v>73.3862853425291</v>
      </c>
      <c r="I95" s="1" t="n">
        <v>348</v>
      </c>
      <c r="J95" s="39" t="n">
        <v>300</v>
      </c>
      <c r="K95" s="27" t="n">
        <v>178</v>
      </c>
      <c r="L95" s="39" t="n">
        <v>128</v>
      </c>
      <c r="M95" s="4" t="n">
        <v>0.38</v>
      </c>
      <c r="N95" s="26" t="n">
        <v>0.407422772266682</v>
      </c>
      <c r="O95" s="27" t="n">
        <v>370.547928940332</v>
      </c>
      <c r="P95" s="27" t="n">
        <v>211.30113906801</v>
      </c>
      <c r="Q95" s="28" t="n">
        <v>0.0174790978884179</v>
      </c>
      <c r="R95" s="25" t="n">
        <v>1.07216519017548</v>
      </c>
      <c r="S95" s="29" t="n">
        <v>0.327875323929103</v>
      </c>
      <c r="T95" s="27" t="n">
        <v>370.547928940332</v>
      </c>
      <c r="U95" s="27" t="n">
        <v>286</v>
      </c>
      <c r="V95" s="28" t="n">
        <v>0.0125</v>
      </c>
      <c r="W95" s="25" t="n">
        <f aca="false">(I95-H95)/(J95-H95)</f>
        <v>1.21181418817724</v>
      </c>
      <c r="X95" s="25" t="n">
        <f aca="false">0.5*(1+(I95-K95-L95)/(I95-K95))</f>
        <v>0.623529411764706</v>
      </c>
      <c r="Y95" s="25" t="n">
        <v>0.86282979981343</v>
      </c>
      <c r="Z95" s="26" t="n">
        <v>0.355430241868603</v>
      </c>
      <c r="AA95" s="27" t="n">
        <v>370.547928940332</v>
      </c>
      <c r="AB95" s="27" t="n">
        <v>211.30113906801</v>
      </c>
      <c r="AC95" s="28" t="n">
        <v>0.0174790978884179</v>
      </c>
      <c r="AD95" s="25" t="n">
        <v>0.935342741759481</v>
      </c>
      <c r="AE95" s="4" t="n">
        <v>0.502979397582073</v>
      </c>
      <c r="AF95" s="25" t="n">
        <v>0.381115725384961</v>
      </c>
      <c r="AG95" s="26" t="n">
        <f aca="false">SMALL(AE95:AF95,1)</f>
        <v>0.381115725384961</v>
      </c>
      <c r="AH95" s="27" t="n">
        <v>382.099561574062</v>
      </c>
      <c r="AI95" s="28" t="n">
        <v>0.0096</v>
      </c>
      <c r="AJ95" s="25" t="n">
        <v>1.00293611943411</v>
      </c>
      <c r="AK95" s="29" t="n">
        <v>0.422138092988506</v>
      </c>
      <c r="AN95" s="4" t="n">
        <f aca="false">(N95-$N$344)/$N$345</f>
        <v>2.25979750337163</v>
      </c>
      <c r="AO95" s="4" t="n">
        <f aca="false">(S95-$S$344)/$S$345</f>
        <v>1.3632985658969</v>
      </c>
      <c r="AP95" s="4" t="n">
        <f aca="false">(Z95-$Z$344)/$Z$345</f>
        <v>1.79478104219016</v>
      </c>
      <c r="AQ95" s="4" t="n">
        <f aca="false">(AE95-$AE$344)/$AE$345</f>
        <v>2.94146712619997</v>
      </c>
    </row>
    <row r="96" customFormat="false" ht="14.25" hidden="false" customHeight="false" outlineLevel="0" collapsed="false">
      <c r="A96" s="0" t="s">
        <v>44</v>
      </c>
      <c r="B96" s="1" t="n">
        <v>16</v>
      </c>
      <c r="C96" s="1" t="n">
        <v>2</v>
      </c>
      <c r="D96" s="2" t="n">
        <v>168</v>
      </c>
      <c r="E96" s="4" t="n">
        <v>3.269</v>
      </c>
      <c r="F96" s="1" t="n">
        <v>25</v>
      </c>
      <c r="G96" s="1" t="n">
        <v>33</v>
      </c>
      <c r="H96" s="3" t="n">
        <v>73.3862853425291</v>
      </c>
      <c r="I96" s="1" t="n">
        <v>333</v>
      </c>
      <c r="J96" s="39" t="n">
        <v>300</v>
      </c>
      <c r="K96" s="27" t="n">
        <v>170</v>
      </c>
      <c r="L96" s="39" t="n">
        <v>113</v>
      </c>
      <c r="M96" s="4" t="n">
        <v>0.15</v>
      </c>
      <c r="N96" s="26" t="n">
        <v>0.134092481231732</v>
      </c>
      <c r="O96" s="27" t="n">
        <v>211.76759699969</v>
      </c>
      <c r="P96" s="27" t="n">
        <v>192.835569648162</v>
      </c>
      <c r="Q96" s="28" t="n">
        <v>0.0193939393939394</v>
      </c>
      <c r="R96" s="25" t="n">
        <v>0.893949874878211</v>
      </c>
      <c r="S96" s="29" t="n">
        <v>0.09927475204534</v>
      </c>
      <c r="T96" s="27" t="n">
        <v>211.76759699969</v>
      </c>
      <c r="U96" s="27" t="n">
        <v>232</v>
      </c>
      <c r="V96" s="28" t="n">
        <v>0.0157460983498901</v>
      </c>
      <c r="W96" s="25" t="n">
        <f aca="false">(I96-H96)/(J96-H96)</f>
        <v>1.14562225437185</v>
      </c>
      <c r="X96" s="25" t="n">
        <f aca="false">0.5*(1+(I96-K96-L96)/(I96-K96))</f>
        <v>0.653374233128834</v>
      </c>
      <c r="Y96" s="25" t="n">
        <v>0.661831680302267</v>
      </c>
      <c r="Z96" s="26" t="n">
        <v>0.14310195367254</v>
      </c>
      <c r="AA96" s="27" t="n">
        <v>211.76759699969</v>
      </c>
      <c r="AB96" s="27" t="n">
        <v>192.835569648162</v>
      </c>
      <c r="AC96" s="28" t="n">
        <v>0.0193939393939394</v>
      </c>
      <c r="AD96" s="25" t="n">
        <v>0.954013024483603</v>
      </c>
      <c r="AE96" s="4" t="n">
        <v>0.264282280383733</v>
      </c>
      <c r="AF96" s="25" t="n">
        <v>0.124476424595924</v>
      </c>
      <c r="AG96" s="26" t="n">
        <f aca="false">SMALL(AE96:AF96,1)</f>
        <v>0.124476424595924</v>
      </c>
      <c r="AH96" s="27" t="n">
        <v>218.36933807881</v>
      </c>
      <c r="AI96" s="28" t="n">
        <v>0.0105</v>
      </c>
      <c r="AJ96" s="25" t="n">
        <v>0.829842830639495</v>
      </c>
      <c r="AK96" s="29" t="n">
        <v>0.0745471551724138</v>
      </c>
      <c r="AN96" s="4" t="n">
        <f aca="false">(N96-$N$344)/$N$345</f>
        <v>-0.955748957853431</v>
      </c>
      <c r="AO96" s="4" t="n">
        <f aca="false">(S96-$S$344)/$S$345</f>
        <v>-1.39407095018754</v>
      </c>
      <c r="AP96" s="4" t="n">
        <f aca="false">(Z96-$Z$344)/$Z$345</f>
        <v>-1.08925644736666</v>
      </c>
      <c r="AQ96" s="4" t="n">
        <f aca="false">(AE96-$AE$344)/$AE$345</f>
        <v>-0.0665621867774187</v>
      </c>
    </row>
    <row r="97" customFormat="false" ht="14.25" hidden="false" customHeight="false" outlineLevel="0" collapsed="false">
      <c r="B97" s="1" t="n">
        <v>16</v>
      </c>
      <c r="C97" s="1" t="n">
        <v>2</v>
      </c>
      <c r="D97" s="2" t="n">
        <v>168</v>
      </c>
      <c r="E97" s="4" t="n">
        <v>3.269</v>
      </c>
      <c r="F97" s="1" t="n">
        <v>25</v>
      </c>
      <c r="G97" s="1" t="n">
        <v>33</v>
      </c>
      <c r="H97" s="3" t="n">
        <v>73.3862853425291</v>
      </c>
      <c r="I97" s="1" t="n">
        <v>333</v>
      </c>
      <c r="J97" s="39" t="n">
        <v>300</v>
      </c>
      <c r="K97" s="27" t="n">
        <v>170</v>
      </c>
      <c r="L97" s="39" t="n">
        <v>113</v>
      </c>
      <c r="M97" s="4" t="n">
        <v>0.18</v>
      </c>
      <c r="N97" s="26" t="n">
        <v>0.171073176637526</v>
      </c>
      <c r="O97" s="27" t="n">
        <v>238.261229529214</v>
      </c>
      <c r="P97" s="27" t="n">
        <v>192.835569648162</v>
      </c>
      <c r="Q97" s="28" t="n">
        <v>0.0193939393939394</v>
      </c>
      <c r="R97" s="25" t="n">
        <v>0.950406536875143</v>
      </c>
      <c r="S97" s="29" t="n">
        <v>0.116178589995917</v>
      </c>
      <c r="T97" s="27" t="n">
        <v>238.261229529214</v>
      </c>
      <c r="U97" s="27" t="n">
        <v>232</v>
      </c>
      <c r="V97" s="28" t="n">
        <v>0.0157460983498901</v>
      </c>
      <c r="W97" s="25" t="n">
        <f aca="false">(I97-H97)/(J97-H97)</f>
        <v>1.14562225437185</v>
      </c>
      <c r="X97" s="25" t="n">
        <f aca="false">0.5*(1+(I97-K97-L97)/(I97-K97))</f>
        <v>0.653374233128834</v>
      </c>
      <c r="Y97" s="25" t="n">
        <v>0.645436611088427</v>
      </c>
      <c r="Z97" s="26" t="n">
        <v>0.161005025854366</v>
      </c>
      <c r="AA97" s="27" t="n">
        <v>238.261229529214</v>
      </c>
      <c r="AB97" s="27" t="n">
        <v>192.835569648162</v>
      </c>
      <c r="AC97" s="28" t="n">
        <v>0.0193939393939394</v>
      </c>
      <c r="AD97" s="25" t="n">
        <v>0.894472365857592</v>
      </c>
      <c r="AE97" s="4" t="n">
        <v>0.29734587330235</v>
      </c>
      <c r="AF97" s="25" t="n">
        <v>0.157570475445657</v>
      </c>
      <c r="AG97" s="26" t="n">
        <f aca="false">SMALL(AE97:AF97,1)</f>
        <v>0.157570475445657</v>
      </c>
      <c r="AH97" s="27" t="n">
        <v>245.688895370589</v>
      </c>
      <c r="AI97" s="28" t="n">
        <v>0.0105</v>
      </c>
      <c r="AJ97" s="25" t="n">
        <v>0.875391530253653</v>
      </c>
      <c r="AK97" s="29" t="n">
        <v>0.107038823405173</v>
      </c>
      <c r="AN97" s="4" t="n">
        <f aca="false">(N97-$N$344)/$N$345</f>
        <v>-0.520696026853778</v>
      </c>
      <c r="AO97" s="4" t="n">
        <f aca="false">(S97-$S$344)/$S$345</f>
        <v>-1.19017763931056</v>
      </c>
      <c r="AP97" s="4" t="n">
        <f aca="false">(Z97-$Z$344)/$Z$345</f>
        <v>-0.846080506048137</v>
      </c>
      <c r="AQ97" s="4" t="n">
        <f aca="false">(AE97-$AE$344)/$AE$345</f>
        <v>0.350100812168263</v>
      </c>
    </row>
    <row r="98" customFormat="false" ht="14.25" hidden="false" customHeight="false" outlineLevel="0" collapsed="false">
      <c r="B98" s="1" t="n">
        <v>16</v>
      </c>
      <c r="C98" s="1" t="n">
        <v>2</v>
      </c>
      <c r="D98" s="2" t="n">
        <v>168</v>
      </c>
      <c r="E98" s="4" t="n">
        <v>3.269</v>
      </c>
      <c r="F98" s="1" t="n">
        <v>25</v>
      </c>
      <c r="G98" s="1" t="n">
        <v>33</v>
      </c>
      <c r="H98" s="3" t="n">
        <v>73.3862853425291</v>
      </c>
      <c r="I98" s="1" t="n">
        <v>333</v>
      </c>
      <c r="J98" s="39" t="n">
        <v>300</v>
      </c>
      <c r="K98" s="27" t="n">
        <v>170</v>
      </c>
      <c r="L98" s="39" t="n">
        <v>113</v>
      </c>
      <c r="M98" s="4" t="n">
        <v>0.2</v>
      </c>
      <c r="N98" s="26" t="n">
        <v>0.207990548934748</v>
      </c>
      <c r="O98" s="27" t="n">
        <v>264.709496249612</v>
      </c>
      <c r="P98" s="27" t="n">
        <v>192.835569648162</v>
      </c>
      <c r="Q98" s="28" t="n">
        <v>0.0193939393939394</v>
      </c>
      <c r="R98" s="25" t="n">
        <v>1.03995274467374</v>
      </c>
      <c r="S98" s="29" t="n">
        <v>0.147175366154032</v>
      </c>
      <c r="T98" s="27" t="n">
        <v>264.709496249612</v>
      </c>
      <c r="U98" s="27" t="n">
        <v>232</v>
      </c>
      <c r="V98" s="28" t="n">
        <v>0.0157460983498901</v>
      </c>
      <c r="W98" s="25" t="n">
        <f aca="false">(I98-H98)/(J98-H98)</f>
        <v>1.14562225437185</v>
      </c>
      <c r="X98" s="25" t="n">
        <f aca="false">0.5*(1+(I98-K98-L98)/(I98-K98))</f>
        <v>0.653374233128834</v>
      </c>
      <c r="Y98" s="25" t="n">
        <v>0.735876830770162</v>
      </c>
      <c r="Z98" s="26" t="n">
        <v>0.178877442090676</v>
      </c>
      <c r="AA98" s="27" t="n">
        <v>264.709496249612</v>
      </c>
      <c r="AB98" s="27" t="n">
        <v>192.835569648162</v>
      </c>
      <c r="AC98" s="28" t="n">
        <v>0.0193939393939394</v>
      </c>
      <c r="AD98" s="25" t="n">
        <v>0.894387210453378</v>
      </c>
      <c r="AE98" s="4" t="n">
        <v>0.330352850479667</v>
      </c>
      <c r="AF98" s="25" t="n">
        <v>0.194494413431132</v>
      </c>
      <c r="AG98" s="26" t="n">
        <f aca="false">SMALL(AE98:AF98,1)</f>
        <v>0.194494413431132</v>
      </c>
      <c r="AH98" s="27" t="n">
        <v>272.961672598513</v>
      </c>
      <c r="AI98" s="28" t="n">
        <v>0.0105</v>
      </c>
      <c r="AJ98" s="25" t="n">
        <v>0.972472067155658</v>
      </c>
      <c r="AK98" s="29" t="n">
        <v>0.158246075560345</v>
      </c>
      <c r="AN98" s="4" t="n">
        <f aca="false">(N98-$N$344)/$N$345</f>
        <v>-0.0863880495030976</v>
      </c>
      <c r="AO98" s="4" t="n">
        <f aca="false">(S98-$S$344)/$S$345</f>
        <v>-0.816295960139874</v>
      </c>
      <c r="AP98" s="4" t="n">
        <f aca="false">(Z98-$Z$344)/$Z$345</f>
        <v>-0.603320961889407</v>
      </c>
      <c r="AQ98" s="4" t="n">
        <f aca="false">(AE98-$AE$344)/$AE$345</f>
        <v>0.766050347074654</v>
      </c>
    </row>
    <row r="99" customFormat="false" ht="14.25" hidden="false" customHeight="false" outlineLevel="0" collapsed="false">
      <c r="B99" s="1" t="n">
        <v>16</v>
      </c>
      <c r="C99" s="1" t="n">
        <v>2</v>
      </c>
      <c r="D99" s="2" t="n">
        <v>168</v>
      </c>
      <c r="E99" s="4" t="n">
        <v>3.269</v>
      </c>
      <c r="F99" s="1" t="n">
        <v>25</v>
      </c>
      <c r="G99" s="1" t="n">
        <v>33</v>
      </c>
      <c r="H99" s="3" t="n">
        <v>73.3862853425291</v>
      </c>
      <c r="I99" s="1" t="n">
        <v>333</v>
      </c>
      <c r="J99" s="39" t="n">
        <v>300</v>
      </c>
      <c r="K99" s="27" t="n">
        <v>170</v>
      </c>
      <c r="L99" s="39" t="n">
        <v>113</v>
      </c>
      <c r="M99" s="4" t="n">
        <v>0.23</v>
      </c>
      <c r="N99" s="26" t="n">
        <v>0.244907921231971</v>
      </c>
      <c r="O99" s="27" t="n">
        <v>291.157762970011</v>
      </c>
      <c r="P99" s="27" t="n">
        <v>192.835569648162</v>
      </c>
      <c r="Q99" s="28" t="n">
        <v>0.0193939393939394</v>
      </c>
      <c r="R99" s="25" t="n">
        <v>1.06481704883466</v>
      </c>
      <c r="S99" s="29" t="n">
        <v>0.178172142312148</v>
      </c>
      <c r="T99" s="27" t="n">
        <v>291.157762970011</v>
      </c>
      <c r="U99" s="27" t="n">
        <v>232</v>
      </c>
      <c r="V99" s="28" t="n">
        <v>0.0157460983498901</v>
      </c>
      <c r="W99" s="25" t="n">
        <f aca="false">(I99-H99)/(J99-H99)</f>
        <v>1.14562225437185</v>
      </c>
      <c r="X99" s="25" t="n">
        <f aca="false">0.5*(1+(I99-K99-L99)/(I99-K99))</f>
        <v>0.653374233128834</v>
      </c>
      <c r="Y99" s="25" t="n">
        <v>0.774661488313686</v>
      </c>
      <c r="Z99" s="26" t="n">
        <v>0.197607794355229</v>
      </c>
      <c r="AA99" s="27" t="n">
        <v>291.157762970011</v>
      </c>
      <c r="AB99" s="27" t="n">
        <v>192.835569648162</v>
      </c>
      <c r="AC99" s="28" t="n">
        <v>0.0193939393939394</v>
      </c>
      <c r="AD99" s="25" t="n">
        <v>0.859164323283605</v>
      </c>
      <c r="AE99" s="4" t="n">
        <v>0.363359827656984</v>
      </c>
      <c r="AF99" s="25" t="n">
        <v>0.235301576066291</v>
      </c>
      <c r="AG99" s="26" t="n">
        <f aca="false">SMALL(AE99:AF99,1)</f>
        <v>0.235301576066291</v>
      </c>
      <c r="AH99" s="27" t="n">
        <v>300.234449826436</v>
      </c>
      <c r="AI99" s="28" t="n">
        <v>0.0105</v>
      </c>
      <c r="AJ99" s="25" t="n">
        <v>1.02305033072301</v>
      </c>
      <c r="AK99" s="29" t="n">
        <v>0.209453327715517</v>
      </c>
      <c r="AN99" s="4" t="n">
        <f aca="false">(N99-$N$344)/$N$345</f>
        <v>0.347919927847583</v>
      </c>
      <c r="AO99" s="4" t="n">
        <f aca="false">(S99-$S$344)/$S$345</f>
        <v>-0.442414280969187</v>
      </c>
      <c r="AP99" s="4" t="n">
        <f aca="false">(Z99-$Z$344)/$Z$345</f>
        <v>-0.34890814397182</v>
      </c>
      <c r="AQ99" s="4" t="n">
        <f aca="false">(AE99-$AE$344)/$AE$345</f>
        <v>1.18199988198104</v>
      </c>
    </row>
    <row r="100" customFormat="false" ht="14.25" hidden="false" customHeight="false" outlineLevel="0" collapsed="false">
      <c r="B100" s="1" t="n">
        <v>16</v>
      </c>
      <c r="C100" s="1" t="n">
        <v>2</v>
      </c>
      <c r="D100" s="2" t="n">
        <v>168</v>
      </c>
      <c r="E100" s="4" t="n">
        <v>3.269</v>
      </c>
      <c r="F100" s="1" t="n">
        <v>25</v>
      </c>
      <c r="G100" s="1" t="n">
        <v>33</v>
      </c>
      <c r="H100" s="3" t="n">
        <v>73.3862853425291</v>
      </c>
      <c r="I100" s="1" t="n">
        <v>333</v>
      </c>
      <c r="J100" s="39" t="n">
        <v>300</v>
      </c>
      <c r="K100" s="27" t="n">
        <v>170</v>
      </c>
      <c r="L100" s="39" t="n">
        <v>113</v>
      </c>
      <c r="M100" s="4" t="n">
        <v>0.25</v>
      </c>
      <c r="N100" s="26" t="n">
        <v>0.281888616637765</v>
      </c>
      <c r="O100" s="27" t="n">
        <v>317.651395499535</v>
      </c>
      <c r="P100" s="27" t="n">
        <v>192.835569648162</v>
      </c>
      <c r="Q100" s="28" t="n">
        <v>0.0193939393939394</v>
      </c>
      <c r="R100" s="25" t="n">
        <v>1.12755446655106</v>
      </c>
      <c r="S100" s="29" t="n">
        <v>0.20922208618237</v>
      </c>
      <c r="T100" s="27" t="n">
        <v>317.651395499535</v>
      </c>
      <c r="U100" s="27" t="n">
        <v>232</v>
      </c>
      <c r="V100" s="28" t="n">
        <v>0.0157460983498901</v>
      </c>
      <c r="W100" s="25" t="n">
        <f aca="false">(I100-H100)/(J100-H100)</f>
        <v>1.14562225437185</v>
      </c>
      <c r="X100" s="25" t="n">
        <f aca="false">0.5*(1+(I100-K100-L100)/(I100-K100))</f>
        <v>0.653374233128834</v>
      </c>
      <c r="Y100" s="25" t="n">
        <v>0.836888344729479</v>
      </c>
      <c r="Z100" s="26" t="n">
        <v>0.227446247991606</v>
      </c>
      <c r="AA100" s="27" t="n">
        <v>317.651395499535</v>
      </c>
      <c r="AB100" s="27" t="n">
        <v>192.835569648162</v>
      </c>
      <c r="AC100" s="28" t="n">
        <v>0.0193939393939394</v>
      </c>
      <c r="AD100" s="25" t="n">
        <v>0.909784991966423</v>
      </c>
      <c r="AE100" s="4" t="n">
        <v>0.3964234205756</v>
      </c>
      <c r="AF100" s="25" t="n">
        <v>0.28007195534083</v>
      </c>
      <c r="AG100" s="26" t="n">
        <f aca="false">SMALL(AE100:AF100,1)</f>
        <v>0.28007195534083</v>
      </c>
      <c r="AH100" s="27" t="n">
        <v>327.554007118215</v>
      </c>
      <c r="AI100" s="28" t="n">
        <v>0.0105</v>
      </c>
      <c r="AJ100" s="25" t="n">
        <v>1.12028782136332</v>
      </c>
      <c r="AK100" s="29" t="n">
        <v>0.260748413922414</v>
      </c>
      <c r="AN100" s="4" t="n">
        <f aca="false">(N100-$N$344)/$N$345</f>
        <v>0.782972858847236</v>
      </c>
      <c r="AO100" s="4" t="n">
        <f aca="false">(S100-$S$344)/$S$345</f>
        <v>-0.0678912953162178</v>
      </c>
      <c r="AP100" s="4" t="n">
        <f aca="false">(Z100-$Z$344)/$Z$345</f>
        <v>0.0563850915590509</v>
      </c>
      <c r="AQ100" s="4" t="n">
        <f aca="false">(AE100-$AE$344)/$AE$345</f>
        <v>1.59866288092673</v>
      </c>
    </row>
    <row r="101" customFormat="false" ht="14.25" hidden="false" customHeight="false" outlineLevel="0" collapsed="false">
      <c r="B101" s="1" t="n">
        <v>16</v>
      </c>
      <c r="C101" s="1" t="n">
        <v>2</v>
      </c>
      <c r="D101" s="2" t="n">
        <v>168</v>
      </c>
      <c r="E101" s="4" t="n">
        <v>3.269</v>
      </c>
      <c r="F101" s="1" t="n">
        <v>25</v>
      </c>
      <c r="G101" s="1" t="n">
        <v>33</v>
      </c>
      <c r="H101" s="3" t="n">
        <v>73.3862853425291</v>
      </c>
      <c r="I101" s="1" t="n">
        <v>333</v>
      </c>
      <c r="J101" s="39" t="n">
        <v>300</v>
      </c>
      <c r="K101" s="27" t="n">
        <v>170</v>
      </c>
      <c r="L101" s="39" t="n">
        <v>113</v>
      </c>
      <c r="M101" s="4" t="n">
        <v>0.3</v>
      </c>
      <c r="N101" s="26" t="n">
        <v>0.318869312043559</v>
      </c>
      <c r="O101" s="27" t="n">
        <v>344.145028029059</v>
      </c>
      <c r="P101" s="27" t="n">
        <v>192.835569648162</v>
      </c>
      <c r="Q101" s="28" t="n">
        <v>0.0193939393939394</v>
      </c>
      <c r="R101" s="25" t="n">
        <v>1.06289770681186</v>
      </c>
      <c r="S101" s="29" t="n">
        <v>0.240272030052592</v>
      </c>
      <c r="T101" s="27" t="n">
        <v>344.145028029059</v>
      </c>
      <c r="U101" s="27" t="n">
        <v>232</v>
      </c>
      <c r="V101" s="28" t="n">
        <v>0.0157460983498901</v>
      </c>
      <c r="W101" s="25" t="n">
        <f aca="false">(I101-H101)/(J101-H101)</f>
        <v>1.14562225437185</v>
      </c>
      <c r="X101" s="25" t="n">
        <f aca="false">0.5*(1+(I101-K101-L101)/(I101-K101))</f>
        <v>0.653374233128834</v>
      </c>
      <c r="Y101" s="25" t="n">
        <v>0.800906766841973</v>
      </c>
      <c r="Z101" s="26" t="n">
        <v>0.257284701627982</v>
      </c>
      <c r="AA101" s="27" t="n">
        <v>344.145028029059</v>
      </c>
      <c r="AB101" s="27" t="n">
        <v>192.835569648162</v>
      </c>
      <c r="AC101" s="28" t="n">
        <v>0.0193939393939394</v>
      </c>
      <c r="AD101" s="25" t="n">
        <v>0.857615672093275</v>
      </c>
      <c r="AE101" s="4" t="n">
        <v>0.429487013494216</v>
      </c>
      <c r="AF101" s="25" t="n">
        <v>0.328738892215417</v>
      </c>
      <c r="AG101" s="26" t="n">
        <f aca="false">SMALL(AE101:AF101,1)</f>
        <v>0.328738892215417</v>
      </c>
      <c r="AH101" s="27" t="n">
        <v>354.873564409995</v>
      </c>
      <c r="AI101" s="28" t="n">
        <v>0.0105</v>
      </c>
      <c r="AJ101" s="25" t="n">
        <v>1.09579630738472</v>
      </c>
      <c r="AK101" s="29" t="n">
        <v>0.31204350012931</v>
      </c>
      <c r="AN101" s="4" t="n">
        <f aca="false">(N101-$N$344)/$N$345</f>
        <v>1.21802578984689</v>
      </c>
      <c r="AO101" s="4" t="n">
        <f aca="false">(S101-$S$344)/$S$345</f>
        <v>0.306631690336751</v>
      </c>
      <c r="AP101" s="4" t="n">
        <f aca="false">(Z101-$Z$344)/$Z$345</f>
        <v>0.46167832708992</v>
      </c>
      <c r="AQ101" s="4" t="n">
        <f aca="false">(AE101-$AE$344)/$AE$345</f>
        <v>2.01532587987241</v>
      </c>
    </row>
    <row r="102" customFormat="false" ht="14.25" hidden="false" customHeight="false" outlineLevel="0" collapsed="false">
      <c r="B102" s="1" t="n">
        <v>16</v>
      </c>
      <c r="C102" s="1" t="n">
        <v>2</v>
      </c>
      <c r="D102" s="2" t="n">
        <v>168</v>
      </c>
      <c r="E102" s="4" t="n">
        <v>3.269</v>
      </c>
      <c r="F102" s="1" t="n">
        <v>25</v>
      </c>
      <c r="G102" s="1" t="n">
        <v>33</v>
      </c>
      <c r="H102" s="3" t="n">
        <v>73.3862853425291</v>
      </c>
      <c r="I102" s="1" t="n">
        <v>333</v>
      </c>
      <c r="J102" s="39" t="n">
        <v>300</v>
      </c>
      <c r="K102" s="27" t="n">
        <v>170</v>
      </c>
      <c r="L102" s="39" t="n">
        <v>113</v>
      </c>
      <c r="M102" s="4" t="n">
        <v>0.3</v>
      </c>
      <c r="N102" s="26" t="n">
        <v>0.35572336123221</v>
      </c>
      <c r="O102" s="27" t="n">
        <v>370.547928940332</v>
      </c>
      <c r="P102" s="27" t="n">
        <v>192.835569648162</v>
      </c>
      <c r="Q102" s="28" t="n">
        <v>0.0193939393939394</v>
      </c>
      <c r="R102" s="25" t="n">
        <v>1.1857445374407</v>
      </c>
      <c r="S102" s="29" t="n">
        <v>0.271215638498601</v>
      </c>
      <c r="T102" s="27" t="n">
        <v>370.547928940332</v>
      </c>
      <c r="U102" s="27" t="n">
        <v>232</v>
      </c>
      <c r="V102" s="28" t="n">
        <v>0.0157460983498901</v>
      </c>
      <c r="W102" s="25" t="n">
        <f aca="false">(I102-H102)/(J102-H102)</f>
        <v>1.14562225437185</v>
      </c>
      <c r="X102" s="25" t="n">
        <f aca="false">0.5*(1+(I102-K102-L102)/(I102-K102))</f>
        <v>0.653374233128834</v>
      </c>
      <c r="Y102" s="25" t="n">
        <v>0.904052128328669</v>
      </c>
      <c r="Z102" s="26" t="n">
        <v>0.287020968779303</v>
      </c>
      <c r="AA102" s="27" t="n">
        <v>370.547928940332</v>
      </c>
      <c r="AB102" s="27" t="n">
        <v>192.835569648162</v>
      </c>
      <c r="AC102" s="28" t="n">
        <v>0.0193939393939394</v>
      </c>
      <c r="AD102" s="25" t="n">
        <v>0.956736562597677</v>
      </c>
      <c r="AE102" s="4" t="n">
        <v>0.462437374930234</v>
      </c>
      <c r="AF102" s="25" t="n">
        <v>0.381115725384961</v>
      </c>
      <c r="AG102" s="26" t="n">
        <f aca="false">SMALL(AE102:AF102,1)</f>
        <v>0.381115725384961</v>
      </c>
      <c r="AH102" s="27" t="n">
        <v>382.099561574062</v>
      </c>
      <c r="AI102" s="28" t="n">
        <v>0.0105</v>
      </c>
      <c r="AJ102" s="25" t="n">
        <v>1.2703857512832</v>
      </c>
      <c r="AK102" s="29" t="n">
        <v>0.363162918232759</v>
      </c>
      <c r="AN102" s="4" t="n">
        <f aca="false">(N102-$N$344)/$N$345</f>
        <v>1.6515888135486</v>
      </c>
      <c r="AO102" s="4" t="n">
        <f aca="false">(S102-$S$344)/$S$345</f>
        <v>0.679872063025157</v>
      </c>
      <c r="AP102" s="4" t="n">
        <f aca="false">(Z102-$Z$344)/$Z$345</f>
        <v>0.865583572088151</v>
      </c>
      <c r="AQ102" s="4" t="n">
        <f aca="false">(AE102-$AE$344)/$AE$345</f>
        <v>2.43056195073951</v>
      </c>
    </row>
    <row r="103" customFormat="false" ht="14.25" hidden="false" customHeight="false" outlineLevel="0" collapsed="false">
      <c r="A103" s="0" t="s">
        <v>45</v>
      </c>
      <c r="B103" s="1" t="n">
        <v>16</v>
      </c>
      <c r="C103" s="1" t="n">
        <v>2</v>
      </c>
      <c r="D103" s="2" t="n">
        <v>168</v>
      </c>
      <c r="E103" s="4" t="n">
        <v>3.269</v>
      </c>
      <c r="F103" s="1" t="n">
        <v>25</v>
      </c>
      <c r="G103" s="1" t="n">
        <v>33</v>
      </c>
      <c r="H103" s="3" t="n">
        <v>73.3862853425291</v>
      </c>
      <c r="I103" s="1" t="n">
        <v>333</v>
      </c>
      <c r="J103" s="39" t="n">
        <v>300</v>
      </c>
      <c r="K103" s="27" t="n">
        <v>170</v>
      </c>
      <c r="L103" s="39" t="n">
        <v>113</v>
      </c>
      <c r="M103" s="4" t="n">
        <v>0.15</v>
      </c>
      <c r="N103" s="26" t="n">
        <v>0.0971117858259375</v>
      </c>
      <c r="O103" s="27" t="n">
        <v>185.273964470166</v>
      </c>
      <c r="P103" s="27" t="n">
        <v>192.835569648162</v>
      </c>
      <c r="Q103" s="28" t="n">
        <v>0.0193939393939394</v>
      </c>
      <c r="R103" s="25" t="n">
        <v>0.64741190550625</v>
      </c>
      <c r="S103" s="29" t="n">
        <v>0.0868547744972512</v>
      </c>
      <c r="T103" s="27" t="n">
        <v>185.273964470166</v>
      </c>
      <c r="U103" s="27" t="n">
        <v>232</v>
      </c>
      <c r="V103" s="28" t="n">
        <v>0.0157460983498901</v>
      </c>
      <c r="W103" s="25" t="n">
        <f aca="false">(I103-H103)/(J103-H103)</f>
        <v>1.14562225437185</v>
      </c>
      <c r="X103" s="25" t="n">
        <f aca="false">0.5*(1+(I103-K103-L103)/(I103-K103))</f>
        <v>0.653374233128834</v>
      </c>
      <c r="Y103" s="25" t="n">
        <v>0.579031829981675</v>
      </c>
      <c r="Z103" s="26" t="n">
        <v>0.125198881490715</v>
      </c>
      <c r="AA103" s="27" t="n">
        <v>185.273964470166</v>
      </c>
      <c r="AB103" s="27" t="n">
        <v>192.835569648162</v>
      </c>
      <c r="AC103" s="28" t="n">
        <v>0.0193939393939394</v>
      </c>
      <c r="AD103" s="25" t="n">
        <v>0.834659209938097</v>
      </c>
      <c r="AE103" s="4" t="n">
        <v>0.231218687465117</v>
      </c>
      <c r="AF103" s="25" t="n">
        <v>0.0952789313462403</v>
      </c>
      <c r="AG103" s="26" t="n">
        <f aca="false">SMALL(AE103:AF103,1)</f>
        <v>0.0952789313462403</v>
      </c>
      <c r="AH103" s="27" t="n">
        <v>191.049780787031</v>
      </c>
      <c r="AI103" s="28" t="n">
        <v>0.0105</v>
      </c>
      <c r="AJ103" s="25" t="n">
        <v>0.635192875641602</v>
      </c>
      <c r="AK103" s="29" t="n">
        <v>0.065220775862069</v>
      </c>
      <c r="AN103" s="4" t="n">
        <f aca="false">(N103-$N$344)/$N$345</f>
        <v>-1.39080188885308</v>
      </c>
      <c r="AO103" s="4" t="n">
        <f aca="false">(S103-$S$344)/$S$345</f>
        <v>-1.54388014444873</v>
      </c>
      <c r="AP103" s="4" t="n">
        <f aca="false">(Z103-$Z$344)/$Z$345</f>
        <v>-1.33243238868518</v>
      </c>
      <c r="AQ103" s="4" t="n">
        <f aca="false">(AE103-$AE$344)/$AE$345</f>
        <v>-0.4832251857231</v>
      </c>
    </row>
    <row r="104" customFormat="false" ht="14.25" hidden="false" customHeight="false" outlineLevel="0" collapsed="false">
      <c r="B104" s="1" t="n">
        <v>16</v>
      </c>
      <c r="C104" s="1" t="n">
        <v>2</v>
      </c>
      <c r="D104" s="2" t="n">
        <v>168</v>
      </c>
      <c r="E104" s="4" t="n">
        <v>3.269</v>
      </c>
      <c r="F104" s="1" t="n">
        <v>25</v>
      </c>
      <c r="G104" s="1" t="n">
        <v>33</v>
      </c>
      <c r="H104" s="3" t="n">
        <v>73.3862853425291</v>
      </c>
      <c r="I104" s="1" t="n">
        <v>333</v>
      </c>
      <c r="J104" s="39" t="n">
        <v>300</v>
      </c>
      <c r="K104" s="27" t="n">
        <v>170</v>
      </c>
      <c r="L104" s="39" t="n">
        <v>113</v>
      </c>
      <c r="M104" s="4" t="n">
        <v>0.18</v>
      </c>
      <c r="N104" s="26" t="n">
        <v>0.134092481231732</v>
      </c>
      <c r="O104" s="27" t="n">
        <v>211.76759699969</v>
      </c>
      <c r="P104" s="27" t="n">
        <v>192.835569648162</v>
      </c>
      <c r="Q104" s="28" t="n">
        <v>0.0193939393939394</v>
      </c>
      <c r="R104" s="25" t="n">
        <v>0.744958229065176</v>
      </c>
      <c r="S104" s="29" t="n">
        <v>0.09927475204534</v>
      </c>
      <c r="T104" s="27" t="n">
        <v>211.76759699969</v>
      </c>
      <c r="U104" s="27" t="n">
        <v>232</v>
      </c>
      <c r="V104" s="28" t="n">
        <v>0.0157460983498901</v>
      </c>
      <c r="W104" s="25" t="n">
        <f aca="false">(I104-H104)/(J104-H104)</f>
        <v>1.14562225437185</v>
      </c>
      <c r="X104" s="25" t="n">
        <f aca="false">0.5*(1+(I104-K104-L104)/(I104-K104))</f>
        <v>0.653374233128834</v>
      </c>
      <c r="Y104" s="25" t="n">
        <v>0.551526400251889</v>
      </c>
      <c r="Z104" s="26" t="n">
        <v>0.14310195367254</v>
      </c>
      <c r="AA104" s="27" t="n">
        <v>211.76759699969</v>
      </c>
      <c r="AB104" s="27" t="n">
        <v>192.835569648162</v>
      </c>
      <c r="AC104" s="28" t="n">
        <v>0.0193939393939394</v>
      </c>
      <c r="AD104" s="25" t="n">
        <v>0.795010853736336</v>
      </c>
      <c r="AE104" s="4" t="n">
        <v>0.264282280383733</v>
      </c>
      <c r="AF104" s="25" t="n">
        <v>0.124476424595924</v>
      </c>
      <c r="AG104" s="26" t="n">
        <f aca="false">SMALL(AE104:AF104,1)</f>
        <v>0.124476424595924</v>
      </c>
      <c r="AH104" s="27" t="n">
        <v>218.36933807881</v>
      </c>
      <c r="AI104" s="28" t="n">
        <v>0.0105</v>
      </c>
      <c r="AJ104" s="25" t="n">
        <v>0.691535692199579</v>
      </c>
      <c r="AK104" s="29" t="n">
        <v>0.0745471551724138</v>
      </c>
      <c r="AN104" s="4" t="n">
        <f aca="false">(N104-$N$344)/$N$345</f>
        <v>-0.955748957853431</v>
      </c>
      <c r="AO104" s="4" t="n">
        <f aca="false">(S104-$S$344)/$S$345</f>
        <v>-1.39407095018754</v>
      </c>
      <c r="AP104" s="4" t="n">
        <f aca="false">(Z104-$Z$344)/$Z$345</f>
        <v>-1.08925644736666</v>
      </c>
      <c r="AQ104" s="4" t="n">
        <f aca="false">(AE104-$AE$344)/$AE$345</f>
        <v>-0.0665621867774187</v>
      </c>
    </row>
    <row r="105" customFormat="false" ht="14.25" hidden="false" customHeight="false" outlineLevel="0" collapsed="false">
      <c r="B105" s="1" t="n">
        <v>16</v>
      </c>
      <c r="C105" s="1" t="n">
        <v>2</v>
      </c>
      <c r="D105" s="2" t="n">
        <v>168</v>
      </c>
      <c r="E105" s="4" t="n">
        <v>3.269</v>
      </c>
      <c r="F105" s="1" t="n">
        <v>25</v>
      </c>
      <c r="G105" s="1" t="n">
        <v>33</v>
      </c>
      <c r="H105" s="3" t="n">
        <v>73.3862853425291</v>
      </c>
      <c r="I105" s="1" t="n">
        <v>333</v>
      </c>
      <c r="J105" s="39" t="n">
        <v>300</v>
      </c>
      <c r="K105" s="27" t="n">
        <v>170</v>
      </c>
      <c r="L105" s="39" t="n">
        <v>113</v>
      </c>
      <c r="M105" s="4" t="n">
        <v>0.18</v>
      </c>
      <c r="N105" s="26" t="n">
        <v>0.171073176637526</v>
      </c>
      <c r="O105" s="27" t="n">
        <v>238.261229529214</v>
      </c>
      <c r="P105" s="27" t="n">
        <v>192.835569648162</v>
      </c>
      <c r="Q105" s="28" t="n">
        <v>0.0193939393939394</v>
      </c>
      <c r="R105" s="25" t="n">
        <v>0.950406536875143</v>
      </c>
      <c r="S105" s="29" t="n">
        <v>0.116178589995917</v>
      </c>
      <c r="T105" s="27" t="n">
        <v>238.261229529214</v>
      </c>
      <c r="U105" s="27" t="n">
        <v>232</v>
      </c>
      <c r="V105" s="28" t="n">
        <v>0.0157460983498901</v>
      </c>
      <c r="W105" s="25" t="n">
        <f aca="false">(I105-H105)/(J105-H105)</f>
        <v>1.14562225437185</v>
      </c>
      <c r="X105" s="25" t="n">
        <f aca="false">0.5*(1+(I105-K105-L105)/(I105-K105))</f>
        <v>0.653374233128834</v>
      </c>
      <c r="Y105" s="25" t="n">
        <v>0.645436611088427</v>
      </c>
      <c r="Z105" s="26" t="n">
        <v>0.161005025854366</v>
      </c>
      <c r="AA105" s="27" t="n">
        <v>238.261229529214</v>
      </c>
      <c r="AB105" s="27" t="n">
        <v>192.835569648162</v>
      </c>
      <c r="AC105" s="28" t="n">
        <v>0.0193939393939394</v>
      </c>
      <c r="AD105" s="25" t="n">
        <v>0.894472365857592</v>
      </c>
      <c r="AE105" s="4" t="n">
        <v>0.29734587330235</v>
      </c>
      <c r="AF105" s="25" t="n">
        <v>0.157570475445657</v>
      </c>
      <c r="AG105" s="26" t="n">
        <f aca="false">SMALL(AE105:AF105,1)</f>
        <v>0.157570475445657</v>
      </c>
      <c r="AH105" s="27" t="n">
        <v>245.688895370589</v>
      </c>
      <c r="AI105" s="28" t="n">
        <v>0.0105</v>
      </c>
      <c r="AJ105" s="25" t="n">
        <v>0.875391530253653</v>
      </c>
      <c r="AK105" s="29" t="n">
        <v>0.107038823405173</v>
      </c>
      <c r="AN105" s="4" t="n">
        <f aca="false">(N105-$N$344)/$N$345</f>
        <v>-0.520696026853778</v>
      </c>
      <c r="AO105" s="4" t="n">
        <f aca="false">(S105-$S$344)/$S$345</f>
        <v>-1.19017763931056</v>
      </c>
      <c r="AP105" s="4" t="n">
        <f aca="false">(Z105-$Z$344)/$Z$345</f>
        <v>-0.846080506048137</v>
      </c>
      <c r="AQ105" s="4" t="n">
        <f aca="false">(AE105-$AE$344)/$AE$345</f>
        <v>0.350100812168263</v>
      </c>
    </row>
    <row r="106" customFormat="false" ht="14.25" hidden="false" customHeight="false" outlineLevel="0" collapsed="false">
      <c r="B106" s="1" t="n">
        <v>16</v>
      </c>
      <c r="C106" s="1" t="n">
        <v>2</v>
      </c>
      <c r="D106" s="2" t="n">
        <v>168</v>
      </c>
      <c r="E106" s="4" t="n">
        <v>3.269</v>
      </c>
      <c r="F106" s="1" t="n">
        <v>25</v>
      </c>
      <c r="G106" s="1" t="n">
        <v>33</v>
      </c>
      <c r="H106" s="3" t="n">
        <v>73.3862853425291</v>
      </c>
      <c r="I106" s="1" t="n">
        <v>333</v>
      </c>
      <c r="J106" s="39" t="n">
        <v>300</v>
      </c>
      <c r="K106" s="27" t="n">
        <v>170</v>
      </c>
      <c r="L106" s="39" t="n">
        <v>113</v>
      </c>
      <c r="M106" s="4" t="n">
        <v>0.25</v>
      </c>
      <c r="N106" s="26" t="n">
        <v>0.207990548934748</v>
      </c>
      <c r="O106" s="27" t="n">
        <v>264.709496249612</v>
      </c>
      <c r="P106" s="27" t="n">
        <v>192.835569648162</v>
      </c>
      <c r="Q106" s="28" t="n">
        <v>0.0193939393939394</v>
      </c>
      <c r="R106" s="25" t="n">
        <v>0.831962195738993</v>
      </c>
      <c r="S106" s="29" t="n">
        <v>0.147175366154032</v>
      </c>
      <c r="T106" s="27" t="n">
        <v>264.709496249612</v>
      </c>
      <c r="U106" s="27" t="n">
        <v>232</v>
      </c>
      <c r="V106" s="28" t="n">
        <v>0.0157460983498901</v>
      </c>
      <c r="W106" s="25" t="n">
        <f aca="false">(I106-H106)/(J106-H106)</f>
        <v>1.14562225437185</v>
      </c>
      <c r="X106" s="25" t="n">
        <f aca="false">0.5*(1+(I106-K106-L106)/(I106-K106))</f>
        <v>0.653374233128834</v>
      </c>
      <c r="Y106" s="25" t="n">
        <v>0.588701464616129</v>
      </c>
      <c r="Z106" s="26" t="n">
        <v>0.178877442090676</v>
      </c>
      <c r="AA106" s="27" t="n">
        <v>264.709496249612</v>
      </c>
      <c r="AB106" s="27" t="n">
        <v>192.835569648162</v>
      </c>
      <c r="AC106" s="28" t="n">
        <v>0.0193939393939394</v>
      </c>
      <c r="AD106" s="25" t="n">
        <v>0.715509768362702</v>
      </c>
      <c r="AE106" s="4" t="n">
        <v>0.330352850479667</v>
      </c>
      <c r="AF106" s="25" t="n">
        <v>0.194494413431132</v>
      </c>
      <c r="AG106" s="26" t="n">
        <f aca="false">SMALL(AE106:AF106,1)</f>
        <v>0.194494413431132</v>
      </c>
      <c r="AH106" s="27" t="n">
        <v>272.961672598513</v>
      </c>
      <c r="AI106" s="28" t="n">
        <v>0.0105</v>
      </c>
      <c r="AJ106" s="25" t="n">
        <v>0.777977653724527</v>
      </c>
      <c r="AK106" s="29" t="n">
        <v>0.158246075560345</v>
      </c>
      <c r="AN106" s="4" t="n">
        <f aca="false">(N106-$N$344)/$N$345</f>
        <v>-0.0863880495030976</v>
      </c>
      <c r="AO106" s="4" t="n">
        <f aca="false">(S106-$S$344)/$S$345</f>
        <v>-0.816295960139874</v>
      </c>
      <c r="AP106" s="4" t="n">
        <f aca="false">(Z106-$Z$344)/$Z$345</f>
        <v>-0.603320961889407</v>
      </c>
      <c r="AQ106" s="4" t="n">
        <f aca="false">(AE106-$AE$344)/$AE$345</f>
        <v>0.766050347074654</v>
      </c>
    </row>
    <row r="107" customFormat="false" ht="14.25" hidden="false" customHeight="false" outlineLevel="0" collapsed="false">
      <c r="B107" s="1" t="n">
        <v>16</v>
      </c>
      <c r="C107" s="1" t="n">
        <v>2</v>
      </c>
      <c r="D107" s="2" t="n">
        <v>168</v>
      </c>
      <c r="E107" s="4" t="n">
        <v>3.269</v>
      </c>
      <c r="F107" s="1" t="n">
        <v>25</v>
      </c>
      <c r="G107" s="1" t="n">
        <v>33</v>
      </c>
      <c r="H107" s="3" t="n">
        <v>73.3862853425291</v>
      </c>
      <c r="I107" s="1" t="n">
        <v>333</v>
      </c>
      <c r="J107" s="39" t="n">
        <v>300</v>
      </c>
      <c r="K107" s="27" t="n">
        <v>170</v>
      </c>
      <c r="L107" s="39" t="n">
        <v>113</v>
      </c>
      <c r="M107" s="4" t="n">
        <v>0.28</v>
      </c>
      <c r="N107" s="26" t="n">
        <v>0.244907921231971</v>
      </c>
      <c r="O107" s="27" t="n">
        <v>291.157762970011</v>
      </c>
      <c r="P107" s="27" t="n">
        <v>192.835569648162</v>
      </c>
      <c r="Q107" s="28" t="n">
        <v>0.0193939393939394</v>
      </c>
      <c r="R107" s="25" t="n">
        <v>0.874671147257039</v>
      </c>
      <c r="S107" s="29" t="n">
        <v>0.178172142312148</v>
      </c>
      <c r="T107" s="27" t="n">
        <v>291.157762970011</v>
      </c>
      <c r="U107" s="27" t="n">
        <v>232</v>
      </c>
      <c r="V107" s="28" t="n">
        <v>0.0157460983498901</v>
      </c>
      <c r="W107" s="25" t="n">
        <f aca="false">(I107-H107)/(J107-H107)</f>
        <v>1.14562225437185</v>
      </c>
      <c r="X107" s="25" t="n">
        <f aca="false">0.5*(1+(I107-K107-L107)/(I107-K107))</f>
        <v>0.653374233128834</v>
      </c>
      <c r="Y107" s="25" t="n">
        <v>0.636329079686242</v>
      </c>
      <c r="Z107" s="26" t="n">
        <v>0.197607794355229</v>
      </c>
      <c r="AA107" s="27" t="n">
        <v>291.157762970011</v>
      </c>
      <c r="AB107" s="27" t="n">
        <v>192.835569648162</v>
      </c>
      <c r="AC107" s="28" t="n">
        <v>0.0193939393939394</v>
      </c>
      <c r="AD107" s="25" t="n">
        <v>0.705742122697247</v>
      </c>
      <c r="AE107" s="4" t="n">
        <v>0.363359827656984</v>
      </c>
      <c r="AF107" s="25" t="n">
        <v>0.235301576066291</v>
      </c>
      <c r="AG107" s="26" t="n">
        <f aca="false">SMALL(AE107:AF107,1)</f>
        <v>0.235301576066291</v>
      </c>
      <c r="AH107" s="27" t="n">
        <v>300.234449826436</v>
      </c>
      <c r="AI107" s="28" t="n">
        <v>0.0105</v>
      </c>
      <c r="AJ107" s="25" t="n">
        <v>0.840362771665326</v>
      </c>
      <c r="AK107" s="29" t="n">
        <v>0.209453327715517</v>
      </c>
      <c r="AN107" s="4" t="n">
        <f aca="false">(N107-$N$344)/$N$345</f>
        <v>0.347919927847583</v>
      </c>
      <c r="AO107" s="4" t="n">
        <f aca="false">(S107-$S$344)/$S$345</f>
        <v>-0.442414280969187</v>
      </c>
      <c r="AP107" s="4" t="n">
        <f aca="false">(Z107-$Z$344)/$Z$345</f>
        <v>-0.34890814397182</v>
      </c>
      <c r="AQ107" s="4" t="n">
        <f aca="false">(AE107-$AE$344)/$AE$345</f>
        <v>1.18199988198104</v>
      </c>
    </row>
    <row r="108" customFormat="false" ht="14.25" hidden="false" customHeight="false" outlineLevel="0" collapsed="false">
      <c r="B108" s="1" t="n">
        <v>16</v>
      </c>
      <c r="C108" s="1" t="n">
        <v>2</v>
      </c>
      <c r="D108" s="2" t="n">
        <v>168</v>
      </c>
      <c r="E108" s="4" t="n">
        <v>3.269</v>
      </c>
      <c r="F108" s="1" t="n">
        <v>25</v>
      </c>
      <c r="G108" s="1" t="n">
        <v>33</v>
      </c>
      <c r="H108" s="3" t="n">
        <v>73.3862853425291</v>
      </c>
      <c r="I108" s="1" t="n">
        <v>333</v>
      </c>
      <c r="J108" s="39" t="n">
        <v>300</v>
      </c>
      <c r="K108" s="27" t="n">
        <v>170</v>
      </c>
      <c r="L108" s="39" t="n">
        <v>113</v>
      </c>
      <c r="M108" s="4" t="n">
        <v>0.33</v>
      </c>
      <c r="N108" s="26" t="n">
        <v>0.281888616637765</v>
      </c>
      <c r="O108" s="27" t="n">
        <v>317.651395499535</v>
      </c>
      <c r="P108" s="27" t="n">
        <v>192.835569648162</v>
      </c>
      <c r="Q108" s="28" t="n">
        <v>0.0193939393939394</v>
      </c>
      <c r="R108" s="25" t="n">
        <v>0.854207929205349</v>
      </c>
      <c r="S108" s="29" t="n">
        <v>0.20922208618237</v>
      </c>
      <c r="T108" s="27" t="n">
        <v>317.651395499535</v>
      </c>
      <c r="U108" s="27" t="n">
        <v>232</v>
      </c>
      <c r="V108" s="28" t="n">
        <v>0.0157460983498901</v>
      </c>
      <c r="W108" s="25" t="n">
        <f aca="false">(I108-H108)/(J108-H108)</f>
        <v>1.14562225437185</v>
      </c>
      <c r="X108" s="25" t="n">
        <f aca="false">0.5*(1+(I108-K108-L108)/(I108-K108))</f>
        <v>0.653374233128834</v>
      </c>
      <c r="Y108" s="25" t="n">
        <v>0.634006321764757</v>
      </c>
      <c r="Z108" s="26" t="n">
        <v>0.227446247991606</v>
      </c>
      <c r="AA108" s="27" t="n">
        <v>317.651395499535</v>
      </c>
      <c r="AB108" s="27" t="n">
        <v>192.835569648162</v>
      </c>
      <c r="AC108" s="28" t="n">
        <v>0.0193939393939394</v>
      </c>
      <c r="AD108" s="25" t="n">
        <v>0.689231054520018</v>
      </c>
      <c r="AE108" s="4" t="n">
        <v>0.3964234205756</v>
      </c>
      <c r="AF108" s="25" t="n">
        <v>0.28007195534083</v>
      </c>
      <c r="AG108" s="26" t="n">
        <f aca="false">SMALL(AE108:AF108,1)</f>
        <v>0.28007195534083</v>
      </c>
      <c r="AH108" s="27" t="n">
        <v>327.554007118215</v>
      </c>
      <c r="AI108" s="28" t="n">
        <v>0.0105</v>
      </c>
      <c r="AJ108" s="25" t="n">
        <v>0.848702894972211</v>
      </c>
      <c r="AK108" s="29" t="n">
        <v>0.260748413922414</v>
      </c>
      <c r="AN108" s="4" t="n">
        <f aca="false">(N108-$N$344)/$N$345</f>
        <v>0.782972858847236</v>
      </c>
      <c r="AO108" s="4" t="n">
        <f aca="false">(S108-$S$344)/$S$345</f>
        <v>-0.0678912953162178</v>
      </c>
      <c r="AP108" s="4" t="n">
        <f aca="false">(Z108-$Z$344)/$Z$345</f>
        <v>0.0563850915590509</v>
      </c>
      <c r="AQ108" s="4" t="n">
        <f aca="false">(AE108-$AE$344)/$AE$345</f>
        <v>1.59866288092673</v>
      </c>
    </row>
    <row r="109" customFormat="false" ht="14.25" hidden="false" customHeight="false" outlineLevel="0" collapsed="false">
      <c r="B109" s="1" t="n">
        <v>16</v>
      </c>
      <c r="C109" s="1" t="n">
        <v>2</v>
      </c>
      <c r="D109" s="2" t="n">
        <v>168</v>
      </c>
      <c r="E109" s="4" t="n">
        <v>3.269</v>
      </c>
      <c r="F109" s="1" t="n">
        <v>25</v>
      </c>
      <c r="G109" s="1" t="n">
        <v>33</v>
      </c>
      <c r="H109" s="3" t="n">
        <v>73.3862853425291</v>
      </c>
      <c r="I109" s="1" t="n">
        <v>333</v>
      </c>
      <c r="J109" s="39" t="n">
        <v>300</v>
      </c>
      <c r="K109" s="27" t="n">
        <v>170</v>
      </c>
      <c r="L109" s="39" t="n">
        <v>113</v>
      </c>
      <c r="M109" s="4" t="n">
        <v>0.38</v>
      </c>
      <c r="N109" s="26" t="n">
        <v>0.318869312043559</v>
      </c>
      <c r="O109" s="27" t="n">
        <v>344.145028029059</v>
      </c>
      <c r="P109" s="27" t="n">
        <v>192.835569648162</v>
      </c>
      <c r="Q109" s="28" t="n">
        <v>0.0193939393939394</v>
      </c>
      <c r="R109" s="25" t="n">
        <v>0.839129768535682</v>
      </c>
      <c r="S109" s="29" t="n">
        <v>0.240272030052592</v>
      </c>
      <c r="T109" s="27" t="n">
        <v>344.145028029059</v>
      </c>
      <c r="U109" s="27" t="n">
        <v>232</v>
      </c>
      <c r="V109" s="28" t="n">
        <v>0.0157460983498901</v>
      </c>
      <c r="W109" s="25" t="n">
        <f aca="false">(I109-H109)/(J109-H109)</f>
        <v>1.14562225437185</v>
      </c>
      <c r="X109" s="25" t="n">
        <f aca="false">0.5*(1+(I109-K109-L109)/(I109-K109))</f>
        <v>0.653374233128834</v>
      </c>
      <c r="Y109" s="25" t="n">
        <v>0.632294815927873</v>
      </c>
      <c r="Z109" s="26" t="n">
        <v>0.257284701627982</v>
      </c>
      <c r="AA109" s="27" t="n">
        <v>344.145028029059</v>
      </c>
      <c r="AB109" s="27" t="n">
        <v>192.835569648162</v>
      </c>
      <c r="AC109" s="28" t="n">
        <v>0.0193939393939394</v>
      </c>
      <c r="AD109" s="25" t="n">
        <v>0.677065004284164</v>
      </c>
      <c r="AE109" s="4" t="n">
        <v>0.429487013494216</v>
      </c>
      <c r="AF109" s="25" t="n">
        <v>0.328738892215417</v>
      </c>
      <c r="AG109" s="26" t="n">
        <f aca="false">SMALL(AE109:AF109,1)</f>
        <v>0.328738892215417</v>
      </c>
      <c r="AH109" s="27" t="n">
        <v>354.873564409995</v>
      </c>
      <c r="AI109" s="28" t="n">
        <v>0.0105</v>
      </c>
      <c r="AJ109" s="25" t="n">
        <v>0.865102347935308</v>
      </c>
      <c r="AK109" s="29" t="n">
        <v>0.31204350012931</v>
      </c>
      <c r="AN109" s="4" t="n">
        <f aca="false">(N109-$N$344)/$N$345</f>
        <v>1.21802578984689</v>
      </c>
      <c r="AO109" s="4" t="n">
        <f aca="false">(S109-$S$344)/$S$345</f>
        <v>0.306631690336751</v>
      </c>
      <c r="AP109" s="4" t="n">
        <f aca="false">(Z109-$Z$344)/$Z$345</f>
        <v>0.46167832708992</v>
      </c>
      <c r="AQ109" s="4" t="n">
        <f aca="false">(AE109-$AE$344)/$AE$345</f>
        <v>2.01532587987241</v>
      </c>
    </row>
    <row r="110" customFormat="false" ht="14.25" hidden="false" customHeight="false" outlineLevel="0" collapsed="false">
      <c r="B110" s="1" t="n">
        <v>16</v>
      </c>
      <c r="C110" s="1" t="n">
        <v>2</v>
      </c>
      <c r="D110" s="2" t="n">
        <v>168</v>
      </c>
      <c r="E110" s="4" t="n">
        <v>3.269</v>
      </c>
      <c r="F110" s="1" t="n">
        <v>25</v>
      </c>
      <c r="G110" s="1" t="n">
        <v>33</v>
      </c>
      <c r="H110" s="3" t="n">
        <v>73.3862853425291</v>
      </c>
      <c r="I110" s="1" t="n">
        <v>333</v>
      </c>
      <c r="J110" s="39" t="n">
        <v>300</v>
      </c>
      <c r="K110" s="27" t="n">
        <v>170</v>
      </c>
      <c r="L110" s="39" t="n">
        <v>113</v>
      </c>
      <c r="M110" s="4" t="n">
        <v>0.43</v>
      </c>
      <c r="N110" s="26" t="n">
        <v>0.35572336123221</v>
      </c>
      <c r="O110" s="27" t="n">
        <v>370.547928940332</v>
      </c>
      <c r="P110" s="27" t="n">
        <v>192.835569648162</v>
      </c>
      <c r="Q110" s="28" t="n">
        <v>0.0193939393939394</v>
      </c>
      <c r="R110" s="25" t="n">
        <v>0.827263630772583</v>
      </c>
      <c r="S110" s="29" t="n">
        <v>0.271215638498601</v>
      </c>
      <c r="T110" s="27" t="n">
        <v>370.547928940332</v>
      </c>
      <c r="U110" s="27" t="n">
        <v>232</v>
      </c>
      <c r="V110" s="28" t="n">
        <v>0.0157460983498901</v>
      </c>
      <c r="W110" s="25" t="n">
        <f aca="false">(I110-H110)/(J110-H110)</f>
        <v>1.14562225437185</v>
      </c>
      <c r="X110" s="25" t="n">
        <f aca="false">0.5*(1+(I110-K110-L110)/(I110-K110))</f>
        <v>0.653374233128834</v>
      </c>
      <c r="Y110" s="25" t="n">
        <v>0.630734043020002</v>
      </c>
      <c r="Z110" s="26" t="n">
        <v>0.287020968779303</v>
      </c>
      <c r="AA110" s="27" t="n">
        <v>370.547928940332</v>
      </c>
      <c r="AB110" s="27" t="n">
        <v>192.835569648162</v>
      </c>
      <c r="AC110" s="28" t="n">
        <v>0.0193939393939394</v>
      </c>
      <c r="AD110" s="25" t="n">
        <v>0.667490625068146</v>
      </c>
      <c r="AE110" s="4" t="n">
        <v>0.462437374930234</v>
      </c>
      <c r="AF110" s="25" t="n">
        <v>0.381115725384961</v>
      </c>
      <c r="AG110" s="26" t="n">
        <f aca="false">SMALL(AE110:AF110,1)</f>
        <v>0.381115725384961</v>
      </c>
      <c r="AH110" s="27" t="n">
        <v>382.099561574062</v>
      </c>
      <c r="AI110" s="28" t="n">
        <v>0.0105</v>
      </c>
      <c r="AJ110" s="25" t="n">
        <v>0.886315640430142</v>
      </c>
      <c r="AK110" s="29" t="n">
        <v>0.363162918232759</v>
      </c>
      <c r="AN110" s="4" t="n">
        <f aca="false">(N110-$N$344)/$N$345</f>
        <v>1.6515888135486</v>
      </c>
      <c r="AO110" s="4" t="n">
        <f aca="false">(S110-$S$344)/$S$345</f>
        <v>0.679872063025157</v>
      </c>
      <c r="AP110" s="4" t="n">
        <f aca="false">(Z110-$Z$344)/$Z$345</f>
        <v>0.865583572088151</v>
      </c>
      <c r="AQ110" s="4" t="n">
        <f aca="false">(AE110-$AE$344)/$AE$345</f>
        <v>2.43056195073951</v>
      </c>
    </row>
    <row r="111" customFormat="false" ht="14.25" hidden="false" customHeight="false" outlineLevel="0" collapsed="false">
      <c r="A111" s="0" t="s">
        <v>46</v>
      </c>
      <c r="B111" s="1" t="n">
        <v>16</v>
      </c>
      <c r="C111" s="1" t="n">
        <v>3</v>
      </c>
      <c r="D111" s="2" t="n">
        <v>76</v>
      </c>
      <c r="E111" s="4" t="n">
        <v>3.269</v>
      </c>
      <c r="F111" s="1" t="n">
        <v>25</v>
      </c>
      <c r="G111" s="1" t="n">
        <v>33</v>
      </c>
      <c r="H111" s="3" t="n">
        <v>87.1145054053498</v>
      </c>
      <c r="I111" s="1" t="n">
        <v>333</v>
      </c>
      <c r="J111" s="39" t="n">
        <v>300</v>
      </c>
      <c r="K111" s="27" t="n">
        <v>172</v>
      </c>
      <c r="L111" s="39" t="n">
        <v>113</v>
      </c>
      <c r="M111" s="4" t="n">
        <v>0.15</v>
      </c>
      <c r="N111" s="26" t="n">
        <v>0.153106235449795</v>
      </c>
      <c r="O111" s="27" t="n">
        <v>233.304692064372</v>
      </c>
      <c r="P111" s="27" t="n">
        <v>135.916601846761</v>
      </c>
      <c r="Q111" s="28" t="n">
        <v>0.0292819225138491</v>
      </c>
      <c r="R111" s="25" t="n">
        <v>1.02070823633196</v>
      </c>
      <c r="S111" s="29" t="n">
        <v>0.122267343570241</v>
      </c>
      <c r="T111" s="27" t="n">
        <v>233.304692064372</v>
      </c>
      <c r="U111" s="27" t="n">
        <v>178</v>
      </c>
      <c r="V111" s="28" t="n">
        <v>0.0212389380530973</v>
      </c>
      <c r="W111" s="25" t="n">
        <f aca="false">(I111-H111)/(J111-H111)</f>
        <v>1.15501290993468</v>
      </c>
      <c r="X111" s="25" t="n">
        <f aca="false">0.5*(1+(I111-K111-L111)/(I111-K111))</f>
        <v>0.649068322981367</v>
      </c>
      <c r="Y111" s="25" t="n">
        <v>0.815115623801606</v>
      </c>
      <c r="Z111" s="26" t="n">
        <v>0.134978302915392</v>
      </c>
      <c r="AA111" s="27" t="n">
        <v>233.304692064372</v>
      </c>
      <c r="AB111" s="27" t="n">
        <v>135.916601846761</v>
      </c>
      <c r="AC111" s="28" t="n">
        <v>0.0292819225138491</v>
      </c>
      <c r="AD111" s="25" t="n">
        <v>0.899855352769282</v>
      </c>
      <c r="AE111" s="4" t="n">
        <v>0.196247756368415</v>
      </c>
      <c r="AF111" s="25" t="n">
        <v>0.152481776878277</v>
      </c>
      <c r="AG111" s="26" t="n">
        <f aca="false">SMALL(AE111:AF111,1)</f>
        <v>0.152481776878277</v>
      </c>
      <c r="AH111" s="27" t="n">
        <v>241.689107009564</v>
      </c>
      <c r="AI111" s="28" t="n">
        <v>0.0166</v>
      </c>
      <c r="AJ111" s="25" t="n">
        <v>1.01654517918851</v>
      </c>
      <c r="AK111" s="29" t="n">
        <v>0.154111657837211</v>
      </c>
      <c r="AN111" s="4" t="n">
        <f aca="false">(N111-$N$344)/$N$345</f>
        <v>-0.732064967839028</v>
      </c>
      <c r="AO111" s="4" t="n">
        <f aca="false">(S111-$S$344)/$S$345</f>
        <v>-1.11673537554699</v>
      </c>
      <c r="AP111" s="4" t="n">
        <f aca="false">(Z111-$Z$344)/$Z$345</f>
        <v>-1.19959932035233</v>
      </c>
      <c r="AQ111" s="4" t="n">
        <f aca="false">(AE111-$AE$344)/$AE$345</f>
        <v>-0.92392420662323</v>
      </c>
    </row>
    <row r="112" customFormat="false" ht="14.25" hidden="false" customHeight="false" outlineLevel="0" collapsed="false">
      <c r="B112" s="1" t="n">
        <v>16</v>
      </c>
      <c r="C112" s="1" t="n">
        <v>3</v>
      </c>
      <c r="D112" s="2" t="n">
        <v>76</v>
      </c>
      <c r="E112" s="4" t="n">
        <v>3.269</v>
      </c>
      <c r="F112" s="1" t="n">
        <v>25</v>
      </c>
      <c r="G112" s="1" t="n">
        <v>33</v>
      </c>
      <c r="H112" s="3" t="n">
        <v>87.1145054053498</v>
      </c>
      <c r="I112" s="1" t="n">
        <v>333</v>
      </c>
      <c r="J112" s="39" t="n">
        <v>300</v>
      </c>
      <c r="K112" s="27" t="n">
        <v>172</v>
      </c>
      <c r="L112" s="39" t="n">
        <v>113</v>
      </c>
      <c r="M112" s="4" t="n">
        <v>0.18</v>
      </c>
      <c r="N112" s="26" t="n">
        <v>0.17116484293996</v>
      </c>
      <c r="O112" s="27" t="n">
        <v>251.2038920092</v>
      </c>
      <c r="P112" s="27" t="n">
        <v>135.916601846761</v>
      </c>
      <c r="Q112" s="28" t="n">
        <v>0.0292819225138491</v>
      </c>
      <c r="R112" s="25" t="n">
        <v>0.950915794110889</v>
      </c>
      <c r="S112" s="29" t="n">
        <v>0.139582863940406</v>
      </c>
      <c r="T112" s="27" t="n">
        <v>251.2038920092</v>
      </c>
      <c r="U112" s="27" t="n">
        <v>178</v>
      </c>
      <c r="V112" s="28" t="n">
        <v>0.0212389380530973</v>
      </c>
      <c r="W112" s="25" t="n">
        <f aca="false">(I112-H112)/(J112-H112)</f>
        <v>1.15501290993468</v>
      </c>
      <c r="X112" s="25" t="n">
        <f aca="false">0.5*(1+(I112-K112-L112)/(I112-K112))</f>
        <v>0.649068322981367</v>
      </c>
      <c r="Y112" s="25" t="n">
        <v>0.775460355224478</v>
      </c>
      <c r="Z112" s="26" t="n">
        <v>0.150898753084367</v>
      </c>
      <c r="AA112" s="27" t="n">
        <v>251.2038920092</v>
      </c>
      <c r="AB112" s="27" t="n">
        <v>135.916601846761</v>
      </c>
      <c r="AC112" s="28" t="n">
        <v>0.0292819225138491</v>
      </c>
      <c r="AD112" s="25" t="n">
        <v>0.83832640602426</v>
      </c>
      <c r="AE112" s="4" t="n">
        <v>0.211303938046034</v>
      </c>
      <c r="AF112" s="25" t="n">
        <v>0.17677617215085</v>
      </c>
      <c r="AG112" s="26" t="n">
        <f aca="false">SMALL(AE112:AF112,1)</f>
        <v>0.17677617215085</v>
      </c>
      <c r="AH112" s="27" t="n">
        <v>260.231561567904</v>
      </c>
      <c r="AI112" s="28" t="n">
        <v>0.0166</v>
      </c>
      <c r="AJ112" s="25" t="n">
        <v>0.982089845282499</v>
      </c>
      <c r="AK112" s="29" t="n">
        <v>0.180579185614988</v>
      </c>
      <c r="AN112" s="4" t="n">
        <f aca="false">(N112-$N$344)/$N$345</f>
        <v>-0.519617634651838</v>
      </c>
      <c r="AO112" s="4" t="n">
        <f aca="false">(S112-$S$344)/$S$345</f>
        <v>-0.907876370381814</v>
      </c>
      <c r="AP112" s="4" t="n">
        <f aca="false">(Z112-$Z$344)/$Z$345</f>
        <v>-0.983353169036182</v>
      </c>
      <c r="AQ112" s="4" t="n">
        <f aca="false">(AE112-$AE$344)/$AE$345</f>
        <v>-0.734188208302986</v>
      </c>
    </row>
    <row r="113" customFormat="false" ht="14.25" hidden="false" customHeight="false" outlineLevel="0" collapsed="false">
      <c r="B113" s="1" t="n">
        <v>16</v>
      </c>
      <c r="C113" s="1" t="n">
        <v>3</v>
      </c>
      <c r="D113" s="2" t="n">
        <v>76</v>
      </c>
      <c r="E113" s="4" t="n">
        <v>3.269</v>
      </c>
      <c r="F113" s="1" t="n">
        <v>25</v>
      </c>
      <c r="G113" s="1" t="n">
        <v>33</v>
      </c>
      <c r="H113" s="3" t="n">
        <v>87.1145054053498</v>
      </c>
      <c r="I113" s="1" t="n">
        <v>333</v>
      </c>
      <c r="J113" s="39" t="n">
        <v>300</v>
      </c>
      <c r="K113" s="27" t="n">
        <v>172</v>
      </c>
      <c r="L113" s="39" t="n">
        <v>113</v>
      </c>
      <c r="M113" s="4" t="n">
        <v>0.18</v>
      </c>
      <c r="N113" s="26" t="n">
        <v>0.189285507500539</v>
      </c>
      <c r="O113" s="27" t="n">
        <v>269.164601232189</v>
      </c>
      <c r="P113" s="27" t="n">
        <v>135.916601846761</v>
      </c>
      <c r="Q113" s="28" t="n">
        <v>0.0292819225138491</v>
      </c>
      <c r="R113" s="25" t="n">
        <v>1.05158615278077</v>
      </c>
      <c r="S113" s="29" t="n">
        <v>0.156957887816998</v>
      </c>
      <c r="T113" s="27" t="n">
        <v>269.164601232189</v>
      </c>
      <c r="U113" s="27" t="n">
        <v>178</v>
      </c>
      <c r="V113" s="28" t="n">
        <v>0.0212389380530973</v>
      </c>
      <c r="W113" s="25" t="n">
        <f aca="false">(I113-H113)/(J113-H113)</f>
        <v>1.15501290993468</v>
      </c>
      <c r="X113" s="25" t="n">
        <f aca="false">0.5*(1+(I113-K113-L113)/(I113-K113))</f>
        <v>0.649068322981367</v>
      </c>
      <c r="Y113" s="25" t="n">
        <v>0.871988265649987</v>
      </c>
      <c r="Z113" s="26" t="n">
        <v>0.166873912704094</v>
      </c>
      <c r="AA113" s="27" t="n">
        <v>269.164601232189</v>
      </c>
      <c r="AB113" s="27" t="n">
        <v>135.916601846761</v>
      </c>
      <c r="AC113" s="28" t="n">
        <v>0.0292819225138491</v>
      </c>
      <c r="AD113" s="25" t="n">
        <v>0.927077292800521</v>
      </c>
      <c r="AE113" s="4" t="n">
        <v>0.22641185917959</v>
      </c>
      <c r="AF113" s="25" t="n">
        <v>0.20295833219562</v>
      </c>
      <c r="AG113" s="26" t="n">
        <f aca="false">SMALL(AE113:AF113,1)</f>
        <v>0.20295833219562</v>
      </c>
      <c r="AH113" s="27" t="n">
        <v>278.837735901358</v>
      </c>
      <c r="AI113" s="28" t="n">
        <v>0.0166</v>
      </c>
      <c r="AJ113" s="25" t="n">
        <v>1.12754628997567</v>
      </c>
      <c r="AK113" s="29" t="n">
        <v>0.20713766709647</v>
      </c>
      <c r="AN113" s="4" t="n">
        <f aca="false">(N113-$N$344)/$N$345</f>
        <v>-0.30644024190043</v>
      </c>
      <c r="AO113" s="4" t="n">
        <f aca="false">(S113-$S$344)/$S$345</f>
        <v>-0.698299636676554</v>
      </c>
      <c r="AP113" s="4" t="n">
        <f aca="false">(Z113-$Z$344)/$Z$345</f>
        <v>-0.766363903797989</v>
      </c>
      <c r="AQ113" s="4" t="n">
        <f aca="false">(AE113-$AE$344)/$AE$345</f>
        <v>-0.543800196242812</v>
      </c>
    </row>
    <row r="114" customFormat="false" ht="14.25" hidden="false" customHeight="false" outlineLevel="0" collapsed="false">
      <c r="B114" s="1" t="n">
        <v>16</v>
      </c>
      <c r="C114" s="1" t="n">
        <v>3</v>
      </c>
      <c r="D114" s="2" t="n">
        <v>76</v>
      </c>
      <c r="E114" s="4" t="n">
        <v>3.269</v>
      </c>
      <c r="F114" s="1" t="n">
        <v>25</v>
      </c>
      <c r="G114" s="1" t="n">
        <v>33</v>
      </c>
      <c r="H114" s="3" t="n">
        <v>87.1145054053498</v>
      </c>
      <c r="I114" s="1" t="n">
        <v>333</v>
      </c>
      <c r="J114" s="39" t="n">
        <v>300</v>
      </c>
      <c r="K114" s="27" t="n">
        <v>172</v>
      </c>
      <c r="L114" s="39" t="n">
        <v>113</v>
      </c>
      <c r="M114" s="4" t="n">
        <v>0.2</v>
      </c>
      <c r="N114" s="26" t="n">
        <v>0.207406172061117</v>
      </c>
      <c r="O114" s="27" t="n">
        <v>287.125310455178</v>
      </c>
      <c r="P114" s="27" t="n">
        <v>135.916601846761</v>
      </c>
      <c r="Q114" s="28" t="n">
        <v>0.0292819225138491</v>
      </c>
      <c r="R114" s="25" t="n">
        <v>1.03703086030558</v>
      </c>
      <c r="S114" s="29" t="n">
        <v>0.17433291169359</v>
      </c>
      <c r="T114" s="27" t="n">
        <v>287.125310455178</v>
      </c>
      <c r="U114" s="27" t="n">
        <v>178</v>
      </c>
      <c r="V114" s="28" t="n">
        <v>0.0212389380530973</v>
      </c>
      <c r="W114" s="25" t="n">
        <f aca="false">(I114-H114)/(J114-H114)</f>
        <v>1.15501290993468</v>
      </c>
      <c r="X114" s="25" t="n">
        <f aca="false">0.5*(1+(I114-K114-L114)/(I114-K114))</f>
        <v>0.649068322981367</v>
      </c>
      <c r="Y114" s="25" t="n">
        <v>0.871664558467947</v>
      </c>
      <c r="Z114" s="26" t="n">
        <v>0.182849072323821</v>
      </c>
      <c r="AA114" s="27" t="n">
        <v>287.125310455178</v>
      </c>
      <c r="AB114" s="27" t="n">
        <v>135.916601846761</v>
      </c>
      <c r="AC114" s="28" t="n">
        <v>0.0292819225138491</v>
      </c>
      <c r="AD114" s="25" t="n">
        <v>0.914245361619103</v>
      </c>
      <c r="AE114" s="4" t="n">
        <v>0.241519780313146</v>
      </c>
      <c r="AF114" s="25" t="n">
        <v>0.230947865936152</v>
      </c>
      <c r="AG114" s="26" t="n">
        <f aca="false">SMALL(AE114:AF114,1)</f>
        <v>0.230947865936152</v>
      </c>
      <c r="AH114" s="27" t="n">
        <v>297.443910234813</v>
      </c>
      <c r="AI114" s="28" t="n">
        <v>0.0166</v>
      </c>
      <c r="AJ114" s="25" t="n">
        <v>1.15473932968076</v>
      </c>
      <c r="AK114" s="29" t="n">
        <v>0.233696148577951</v>
      </c>
      <c r="AN114" s="4" t="n">
        <f aca="false">(N114-$N$344)/$N$345</f>
        <v>-0.0932628491490218</v>
      </c>
      <c r="AO114" s="4" t="n">
        <f aca="false">(S114-$S$344)/$S$345</f>
        <v>-0.488722902971294</v>
      </c>
      <c r="AP114" s="4" t="n">
        <f aca="false">(Z114-$Z$344)/$Z$345</f>
        <v>-0.549374638559797</v>
      </c>
      <c r="AQ114" s="4" t="n">
        <f aca="false">(AE114-$AE$344)/$AE$345</f>
        <v>-0.353412184182637</v>
      </c>
    </row>
    <row r="115" customFormat="false" ht="14.25" hidden="false" customHeight="false" outlineLevel="0" collapsed="false">
      <c r="B115" s="1" t="n">
        <v>16</v>
      </c>
      <c r="C115" s="1" t="n">
        <v>3</v>
      </c>
      <c r="D115" s="2" t="n">
        <v>76</v>
      </c>
      <c r="E115" s="4" t="n">
        <v>3.269</v>
      </c>
      <c r="F115" s="1" t="n">
        <v>25</v>
      </c>
      <c r="G115" s="1" t="n">
        <v>33</v>
      </c>
      <c r="H115" s="3" t="n">
        <v>87.1145054053498</v>
      </c>
      <c r="I115" s="1" t="n">
        <v>333</v>
      </c>
      <c r="J115" s="39" t="n">
        <v>300</v>
      </c>
      <c r="K115" s="27" t="n">
        <v>172</v>
      </c>
      <c r="L115" s="39" t="n">
        <v>113</v>
      </c>
      <c r="M115" s="4" t="n">
        <v>0.2</v>
      </c>
      <c r="N115" s="26" t="n">
        <v>0.225526836621695</v>
      </c>
      <c r="O115" s="27" t="n">
        <v>305.086019678167</v>
      </c>
      <c r="P115" s="27" t="n">
        <v>135.916601846761</v>
      </c>
      <c r="Q115" s="28" t="n">
        <v>0.0292819225138491</v>
      </c>
      <c r="R115" s="25" t="n">
        <v>1.12763418310848</v>
      </c>
      <c r="S115" s="29" t="n">
        <v>0.191707935570181</v>
      </c>
      <c r="T115" s="27" t="n">
        <v>305.086019678167</v>
      </c>
      <c r="U115" s="27" t="n">
        <v>178</v>
      </c>
      <c r="V115" s="28" t="n">
        <v>0.0212389380530973</v>
      </c>
      <c r="W115" s="25" t="n">
        <f aca="false">(I115-H115)/(J115-H115)</f>
        <v>1.15501290993468</v>
      </c>
      <c r="X115" s="25" t="n">
        <f aca="false">0.5*(1+(I115-K115-L115)/(I115-K115))</f>
        <v>0.649068322981367</v>
      </c>
      <c r="Y115" s="25" t="n">
        <v>0.958539677850907</v>
      </c>
      <c r="Z115" s="26" t="n">
        <v>0.198824231943548</v>
      </c>
      <c r="AA115" s="27" t="n">
        <v>305.086019678167</v>
      </c>
      <c r="AB115" s="27" t="n">
        <v>135.916601846761</v>
      </c>
      <c r="AC115" s="28" t="n">
        <v>0.0292819225138491</v>
      </c>
      <c r="AD115" s="25" t="n">
        <v>0.994121159717738</v>
      </c>
      <c r="AE115" s="4" t="n">
        <v>0.256627701446702</v>
      </c>
      <c r="AF115" s="25" t="n">
        <v>0.260744773372447</v>
      </c>
      <c r="AG115" s="26" t="n">
        <f aca="false">SMALL(AE115:AF115,1)</f>
        <v>0.256627701446702</v>
      </c>
      <c r="AH115" s="27" t="n">
        <v>316.050084568267</v>
      </c>
      <c r="AI115" s="28" t="n">
        <v>0.0166</v>
      </c>
      <c r="AJ115" s="25" t="n">
        <v>1.28313850723351</v>
      </c>
      <c r="AK115" s="29" t="n">
        <v>0.260254630059433</v>
      </c>
      <c r="AN115" s="4" t="n">
        <f aca="false">(N115-$N$344)/$N$345</f>
        <v>0.119914543602387</v>
      </c>
      <c r="AO115" s="4" t="n">
        <f aca="false">(S115-$S$344)/$S$345</f>
        <v>-0.279146169266034</v>
      </c>
      <c r="AP115" s="4" t="n">
        <f aca="false">(Z115-$Z$344)/$Z$345</f>
        <v>-0.332385373321603</v>
      </c>
      <c r="AQ115" s="4" t="n">
        <f aca="false">(AE115-$AE$344)/$AE$345</f>
        <v>-0.163024172122462</v>
      </c>
    </row>
    <row r="116" customFormat="false" ht="14.25" hidden="false" customHeight="false" outlineLevel="0" collapsed="false">
      <c r="A116" s="0" t="s">
        <v>47</v>
      </c>
      <c r="B116" s="1" t="n">
        <v>16</v>
      </c>
      <c r="C116" s="1" t="n">
        <v>3</v>
      </c>
      <c r="D116" s="2" t="n">
        <v>76</v>
      </c>
      <c r="E116" s="4" t="n">
        <v>3.269</v>
      </c>
      <c r="F116" s="1" t="n">
        <v>25</v>
      </c>
      <c r="G116" s="1" t="n">
        <v>33</v>
      </c>
      <c r="H116" s="3" t="n">
        <v>87.1145054053498</v>
      </c>
      <c r="I116" s="1" t="n">
        <v>333</v>
      </c>
      <c r="J116" s="39" t="n">
        <v>300</v>
      </c>
      <c r="K116" s="27" t="n">
        <v>172</v>
      </c>
      <c r="L116" s="39" t="n">
        <v>113</v>
      </c>
      <c r="M116" s="4" t="n">
        <v>0.15</v>
      </c>
      <c r="N116" s="26" t="n">
        <v>0.17116484293996</v>
      </c>
      <c r="O116" s="27" t="n">
        <v>251.2038920092</v>
      </c>
      <c r="P116" s="27" t="n">
        <v>135.916601846761</v>
      </c>
      <c r="Q116" s="28" t="n">
        <v>0.0292819225138491</v>
      </c>
      <c r="R116" s="25" t="n">
        <v>1.14109895293307</v>
      </c>
      <c r="S116" s="29" t="n">
        <v>0.139582863940406</v>
      </c>
      <c r="T116" s="27" t="n">
        <v>251.2038920092</v>
      </c>
      <c r="U116" s="27" t="n">
        <v>178</v>
      </c>
      <c r="V116" s="28" t="n">
        <v>0.0212389380530973</v>
      </c>
      <c r="W116" s="25" t="n">
        <f aca="false">(I116-H116)/(J116-H116)</f>
        <v>1.15501290993468</v>
      </c>
      <c r="X116" s="25" t="n">
        <f aca="false">0.5*(1+(I116-K116-L116)/(I116-K116))</f>
        <v>0.649068322981367</v>
      </c>
      <c r="Y116" s="25" t="n">
        <v>0.930552426269373</v>
      </c>
      <c r="Z116" s="26" t="n">
        <v>0.150898753084367</v>
      </c>
      <c r="AA116" s="27" t="n">
        <v>251.2038920092</v>
      </c>
      <c r="AB116" s="27" t="n">
        <v>135.916601846761</v>
      </c>
      <c r="AC116" s="28" t="n">
        <v>0.0292819225138491</v>
      </c>
      <c r="AD116" s="25" t="n">
        <v>1.00599168722911</v>
      </c>
      <c r="AE116" s="4" t="n">
        <v>0.211303938046034</v>
      </c>
      <c r="AF116" s="25" t="n">
        <v>0.17677617215085</v>
      </c>
      <c r="AG116" s="26" t="n">
        <f aca="false">SMALL(AE116:AF116,1)</f>
        <v>0.17677617215085</v>
      </c>
      <c r="AH116" s="27" t="n">
        <v>260.231561567904</v>
      </c>
      <c r="AI116" s="28" t="n">
        <v>0.0166</v>
      </c>
      <c r="AJ116" s="25" t="n">
        <v>1.178507814339</v>
      </c>
      <c r="AK116" s="29" t="n">
        <v>0.180579185614988</v>
      </c>
      <c r="AN116" s="4" t="n">
        <f aca="false">(N116-$N$344)/$N$345</f>
        <v>-0.519617634651838</v>
      </c>
      <c r="AO116" s="4" t="n">
        <f aca="false">(S116-$S$344)/$S$345</f>
        <v>-0.907876370381814</v>
      </c>
      <c r="AP116" s="4" t="n">
        <f aca="false">(Z116-$Z$344)/$Z$345</f>
        <v>-0.983353169036182</v>
      </c>
      <c r="AQ116" s="4" t="n">
        <f aca="false">(AE116-$AE$344)/$AE$345</f>
        <v>-0.734188208302986</v>
      </c>
    </row>
    <row r="117" customFormat="false" ht="14.25" hidden="false" customHeight="false" outlineLevel="0" collapsed="false">
      <c r="B117" s="1" t="n">
        <v>16</v>
      </c>
      <c r="C117" s="1" t="n">
        <v>3</v>
      </c>
      <c r="D117" s="2" t="n">
        <v>76</v>
      </c>
      <c r="E117" s="4" t="n">
        <v>3.269</v>
      </c>
      <c r="F117" s="1" t="n">
        <v>25</v>
      </c>
      <c r="G117" s="1" t="n">
        <v>33</v>
      </c>
      <c r="H117" s="3" t="n">
        <v>87.1145054053498</v>
      </c>
      <c r="I117" s="1" t="n">
        <v>333</v>
      </c>
      <c r="J117" s="39" t="n">
        <v>300</v>
      </c>
      <c r="K117" s="27" t="n">
        <v>172</v>
      </c>
      <c r="L117" s="39" t="n">
        <v>113</v>
      </c>
      <c r="M117" s="4" t="n">
        <v>0.18</v>
      </c>
      <c r="N117" s="26" t="n">
        <v>0.189285507500539</v>
      </c>
      <c r="O117" s="27" t="n">
        <v>269.164601232189</v>
      </c>
      <c r="P117" s="27" t="n">
        <v>135.916601846761</v>
      </c>
      <c r="Q117" s="28" t="n">
        <v>0.0292819225138491</v>
      </c>
      <c r="R117" s="25" t="n">
        <v>1.05158615278077</v>
      </c>
      <c r="S117" s="29" t="n">
        <v>0.156957887816998</v>
      </c>
      <c r="T117" s="27" t="n">
        <v>269.164601232189</v>
      </c>
      <c r="U117" s="27" t="n">
        <v>178</v>
      </c>
      <c r="V117" s="28" t="n">
        <v>0.0212389380530973</v>
      </c>
      <c r="W117" s="25" t="n">
        <f aca="false">(I117-H117)/(J117-H117)</f>
        <v>1.15501290993468</v>
      </c>
      <c r="X117" s="25" t="n">
        <f aca="false">0.5*(1+(I117-K117-L117)/(I117-K117))</f>
        <v>0.649068322981367</v>
      </c>
      <c r="Y117" s="25" t="n">
        <v>0.871988265649987</v>
      </c>
      <c r="Z117" s="26" t="n">
        <v>0.166873912704094</v>
      </c>
      <c r="AA117" s="27" t="n">
        <v>269.164601232189</v>
      </c>
      <c r="AB117" s="27" t="n">
        <v>135.916601846761</v>
      </c>
      <c r="AC117" s="28" t="n">
        <v>0.0292819225138491</v>
      </c>
      <c r="AD117" s="25" t="n">
        <v>0.927077292800521</v>
      </c>
      <c r="AE117" s="4" t="n">
        <v>0.22641185917959</v>
      </c>
      <c r="AF117" s="25" t="n">
        <v>0.20295833219562</v>
      </c>
      <c r="AG117" s="26" t="n">
        <f aca="false">SMALL(AE117:AF117,1)</f>
        <v>0.20295833219562</v>
      </c>
      <c r="AH117" s="27" t="n">
        <v>278.837735901358</v>
      </c>
      <c r="AI117" s="28" t="n">
        <v>0.0166</v>
      </c>
      <c r="AJ117" s="25" t="n">
        <v>1.12754628997567</v>
      </c>
      <c r="AK117" s="29" t="n">
        <v>0.20713766709647</v>
      </c>
      <c r="AN117" s="4" t="n">
        <f aca="false">(N117-$N$344)/$N$345</f>
        <v>-0.30644024190043</v>
      </c>
      <c r="AO117" s="4" t="n">
        <f aca="false">(S117-$S$344)/$S$345</f>
        <v>-0.698299636676554</v>
      </c>
      <c r="AP117" s="4" t="n">
        <f aca="false">(Z117-$Z$344)/$Z$345</f>
        <v>-0.766363903797989</v>
      </c>
      <c r="AQ117" s="4" t="n">
        <f aca="false">(AE117-$AE$344)/$AE$345</f>
        <v>-0.543800196242812</v>
      </c>
    </row>
    <row r="118" customFormat="false" ht="14.25" hidden="false" customHeight="false" outlineLevel="0" collapsed="false">
      <c r="B118" s="1" t="n">
        <v>16</v>
      </c>
      <c r="C118" s="1" t="n">
        <v>3</v>
      </c>
      <c r="D118" s="2" t="n">
        <v>76</v>
      </c>
      <c r="E118" s="4" t="n">
        <v>3.269</v>
      </c>
      <c r="F118" s="1" t="n">
        <v>25</v>
      </c>
      <c r="G118" s="1" t="n">
        <v>33</v>
      </c>
      <c r="H118" s="3" t="n">
        <v>87.1145054053498</v>
      </c>
      <c r="I118" s="1" t="n">
        <v>333</v>
      </c>
      <c r="J118" s="39" t="n">
        <v>300</v>
      </c>
      <c r="K118" s="27" t="n">
        <v>172</v>
      </c>
      <c r="L118" s="39" t="n">
        <v>113</v>
      </c>
      <c r="M118" s="4" t="n">
        <v>0.2</v>
      </c>
      <c r="N118" s="26" t="n">
        <v>0.207406172061117</v>
      </c>
      <c r="O118" s="27" t="n">
        <v>287.125310455178</v>
      </c>
      <c r="P118" s="27" t="n">
        <v>135.916601846761</v>
      </c>
      <c r="Q118" s="28" t="n">
        <v>0.0292819225138491</v>
      </c>
      <c r="R118" s="25" t="n">
        <v>1.03703086030558</v>
      </c>
      <c r="S118" s="29" t="n">
        <v>0.17433291169359</v>
      </c>
      <c r="T118" s="27" t="n">
        <v>287.125310455178</v>
      </c>
      <c r="U118" s="27" t="n">
        <v>178</v>
      </c>
      <c r="V118" s="28" t="n">
        <v>0.0212389380530973</v>
      </c>
      <c r="W118" s="25" t="n">
        <f aca="false">(I118-H118)/(J118-H118)</f>
        <v>1.15501290993468</v>
      </c>
      <c r="X118" s="25" t="n">
        <f aca="false">0.5*(1+(I118-K118-L118)/(I118-K118))</f>
        <v>0.649068322981367</v>
      </c>
      <c r="Y118" s="25" t="n">
        <v>0.871664558467947</v>
      </c>
      <c r="Z118" s="26" t="n">
        <v>0.182849072323821</v>
      </c>
      <c r="AA118" s="27" t="n">
        <v>287.125310455178</v>
      </c>
      <c r="AB118" s="27" t="n">
        <v>135.916601846761</v>
      </c>
      <c r="AC118" s="28" t="n">
        <v>0.0292819225138491</v>
      </c>
      <c r="AD118" s="25" t="n">
        <v>0.914245361619103</v>
      </c>
      <c r="AE118" s="4" t="n">
        <v>0.241519780313146</v>
      </c>
      <c r="AF118" s="25" t="n">
        <v>0.230947865936152</v>
      </c>
      <c r="AG118" s="26" t="n">
        <f aca="false">SMALL(AE118:AF118,1)</f>
        <v>0.230947865936152</v>
      </c>
      <c r="AH118" s="27" t="n">
        <v>297.443910234813</v>
      </c>
      <c r="AI118" s="28" t="n">
        <v>0.0166</v>
      </c>
      <c r="AJ118" s="25" t="n">
        <v>1.15473932968076</v>
      </c>
      <c r="AK118" s="29" t="n">
        <v>0.233696148577951</v>
      </c>
      <c r="AN118" s="4" t="n">
        <f aca="false">(N118-$N$344)/$N$345</f>
        <v>-0.0932628491490218</v>
      </c>
      <c r="AO118" s="4" t="n">
        <f aca="false">(S118-$S$344)/$S$345</f>
        <v>-0.488722902971294</v>
      </c>
      <c r="AP118" s="4" t="n">
        <f aca="false">(Z118-$Z$344)/$Z$345</f>
        <v>-0.549374638559797</v>
      </c>
      <c r="AQ118" s="4" t="n">
        <f aca="false">(AE118-$AE$344)/$AE$345</f>
        <v>-0.353412184182637</v>
      </c>
    </row>
    <row r="119" customFormat="false" ht="14.25" hidden="false" customHeight="false" outlineLevel="0" collapsed="false">
      <c r="B119" s="1" t="n">
        <v>16</v>
      </c>
      <c r="C119" s="1" t="n">
        <v>3</v>
      </c>
      <c r="D119" s="2" t="n">
        <v>76</v>
      </c>
      <c r="E119" s="4" t="n">
        <v>3.269</v>
      </c>
      <c r="F119" s="1" t="n">
        <v>25</v>
      </c>
      <c r="G119" s="1" t="n">
        <v>33</v>
      </c>
      <c r="H119" s="3" t="n">
        <v>87.1145054053498</v>
      </c>
      <c r="I119" s="1" t="n">
        <v>333</v>
      </c>
      <c r="J119" s="39" t="n">
        <v>300</v>
      </c>
      <c r="K119" s="27" t="n">
        <v>172</v>
      </c>
      <c r="L119" s="39" t="n">
        <v>113</v>
      </c>
      <c r="M119" s="4" t="n">
        <v>0.2</v>
      </c>
      <c r="N119" s="26" t="n">
        <v>0.225526836621695</v>
      </c>
      <c r="O119" s="27" t="n">
        <v>305.086019678167</v>
      </c>
      <c r="P119" s="27" t="n">
        <v>135.916601846761</v>
      </c>
      <c r="Q119" s="28" t="n">
        <v>0.0292819225138491</v>
      </c>
      <c r="R119" s="25" t="n">
        <v>1.12763418310848</v>
      </c>
      <c r="S119" s="29" t="n">
        <v>0.191707935570181</v>
      </c>
      <c r="T119" s="27" t="n">
        <v>305.086019678167</v>
      </c>
      <c r="U119" s="27" t="n">
        <v>178</v>
      </c>
      <c r="V119" s="28" t="n">
        <v>0.0212389380530973</v>
      </c>
      <c r="W119" s="25" t="n">
        <f aca="false">(I119-H119)/(J119-H119)</f>
        <v>1.15501290993468</v>
      </c>
      <c r="X119" s="25" t="n">
        <f aca="false">0.5*(1+(I119-K119-L119)/(I119-K119))</f>
        <v>0.649068322981367</v>
      </c>
      <c r="Y119" s="25" t="n">
        <v>0.958539677850907</v>
      </c>
      <c r="Z119" s="26" t="n">
        <v>0.198824231943548</v>
      </c>
      <c r="AA119" s="27" t="n">
        <v>305.086019678167</v>
      </c>
      <c r="AB119" s="27" t="n">
        <v>135.916601846761</v>
      </c>
      <c r="AC119" s="28" t="n">
        <v>0.0292819225138491</v>
      </c>
      <c r="AD119" s="25" t="n">
        <v>0.994121159717738</v>
      </c>
      <c r="AE119" s="4" t="n">
        <v>0.256627701446702</v>
      </c>
      <c r="AF119" s="25" t="n">
        <v>0.260744773372447</v>
      </c>
      <c r="AG119" s="26" t="n">
        <f aca="false">SMALL(AE119:AF119,1)</f>
        <v>0.256627701446702</v>
      </c>
      <c r="AH119" s="27" t="n">
        <v>316.050084568267</v>
      </c>
      <c r="AI119" s="28" t="n">
        <v>0.0166</v>
      </c>
      <c r="AJ119" s="25" t="n">
        <v>1.28313850723351</v>
      </c>
      <c r="AK119" s="29" t="n">
        <v>0.260254630059433</v>
      </c>
      <c r="AN119" s="4" t="n">
        <f aca="false">(N119-$N$344)/$N$345</f>
        <v>0.119914543602387</v>
      </c>
      <c r="AO119" s="4" t="n">
        <f aca="false">(S119-$S$344)/$S$345</f>
        <v>-0.279146169266034</v>
      </c>
      <c r="AP119" s="4" t="n">
        <f aca="false">(Z119-$Z$344)/$Z$345</f>
        <v>-0.332385373321603</v>
      </c>
      <c r="AQ119" s="4" t="n">
        <f aca="false">(AE119-$AE$344)/$AE$345</f>
        <v>-0.163024172122462</v>
      </c>
    </row>
    <row r="120" customFormat="false" ht="14.25" hidden="false" customHeight="false" outlineLevel="0" collapsed="false">
      <c r="A120" s="0" t="s">
        <v>48</v>
      </c>
      <c r="B120" s="1" t="n">
        <v>12</v>
      </c>
      <c r="C120" s="1" t="n">
        <v>2</v>
      </c>
      <c r="D120" s="2" t="n">
        <v>296</v>
      </c>
      <c r="E120" s="4" t="n">
        <v>3.269</v>
      </c>
      <c r="F120" s="1" t="n">
        <v>25</v>
      </c>
      <c r="G120" s="1" t="n">
        <v>31</v>
      </c>
      <c r="H120" s="3" t="n">
        <v>28.7588606062944</v>
      </c>
      <c r="I120" s="1" t="n">
        <v>161</v>
      </c>
      <c r="J120" s="39" t="n">
        <v>130</v>
      </c>
      <c r="K120" s="27" t="n">
        <v>82</v>
      </c>
      <c r="L120" s="39" t="n">
        <v>91</v>
      </c>
      <c r="M120" s="4" t="n">
        <v>0.2</v>
      </c>
      <c r="N120" s="26" t="n">
        <v>0.0071690562907373</v>
      </c>
      <c r="O120" s="27" t="n">
        <v>176.286173520268</v>
      </c>
      <c r="P120" s="27" t="n">
        <v>286.275505437873</v>
      </c>
      <c r="Q120" s="28" t="n">
        <v>0.0124772064696725</v>
      </c>
      <c r="R120" s="25" t="n">
        <v>0.0358452814536865</v>
      </c>
      <c r="S120" s="29" t="n">
        <v>0.0721486096686359</v>
      </c>
      <c r="T120" s="27" t="n">
        <v>176.286173520268</v>
      </c>
      <c r="U120" s="27" t="n">
        <v>303</v>
      </c>
      <c r="V120" s="28" t="n">
        <v>0.0117247911599868</v>
      </c>
      <c r="W120" s="25" t="n">
        <f aca="false">(I120-H120)/(J120-H120)</f>
        <v>1.30619963569797</v>
      </c>
      <c r="X120" s="25" t="n">
        <f aca="false">0.5*(1+(I120-K120-L120)/(I120-K120))</f>
        <v>0.424050632911392</v>
      </c>
      <c r="Y120" s="25" t="n">
        <v>0.36074304834318</v>
      </c>
      <c r="Z120" s="26" t="n">
        <v>0.131420356555269</v>
      </c>
      <c r="AA120" s="27" t="n">
        <v>176.286173520268</v>
      </c>
      <c r="AB120" s="27" t="n">
        <v>286.275505437873</v>
      </c>
      <c r="AC120" s="28" t="n">
        <v>0.0124772064696725</v>
      </c>
      <c r="AD120" s="25" t="n">
        <v>0.657101782776347</v>
      </c>
      <c r="AE120" s="4" t="n">
        <v>0.242542063772406</v>
      </c>
      <c r="AF120" s="25" t="n">
        <v>0.0643680163992452</v>
      </c>
      <c r="AG120" s="26" t="n">
        <f aca="false">SMALL(AE120:AF120,1)</f>
        <v>0.0643680163992452</v>
      </c>
      <c r="AH120" s="27" t="n">
        <v>181.322849846419</v>
      </c>
      <c r="AI120" s="28" t="n">
        <v>0.0069</v>
      </c>
      <c r="AJ120" s="25" t="n">
        <v>0.321840081996226</v>
      </c>
      <c r="AK120" s="29" t="n">
        <v>0.0511725544570372</v>
      </c>
      <c r="AN120" s="4" t="n">
        <f aca="false">(N120-$N$344)/$N$345</f>
        <v>-2.4489174185104</v>
      </c>
      <c r="AO120" s="4" t="n">
        <f aca="false">(S120-$S$344)/$S$345</f>
        <v>-1.72126522385945</v>
      </c>
      <c r="AP120" s="4" t="n">
        <f aca="false">(Z120-$Z$344)/$Z$345</f>
        <v>-1.24792661002063</v>
      </c>
      <c r="AQ120" s="4" t="n">
        <f aca="false">(AE120-$AE$344)/$AE$345</f>
        <v>-0.340529504040872</v>
      </c>
    </row>
    <row r="121" customFormat="false" ht="14.25" hidden="false" customHeight="false" outlineLevel="0" collapsed="false">
      <c r="B121" s="1" t="n">
        <v>12</v>
      </c>
      <c r="C121" s="1" t="n">
        <v>2</v>
      </c>
      <c r="D121" s="2" t="n">
        <v>296</v>
      </c>
      <c r="E121" s="4" t="n">
        <v>3.269</v>
      </c>
      <c r="F121" s="1" t="n">
        <v>25</v>
      </c>
      <c r="G121" s="1" t="n">
        <v>31</v>
      </c>
      <c r="H121" s="3" t="n">
        <v>28.7588606062944</v>
      </c>
      <c r="I121" s="1" t="n">
        <v>161</v>
      </c>
      <c r="J121" s="39" t="n">
        <v>130</v>
      </c>
      <c r="K121" s="27" t="n">
        <v>82</v>
      </c>
      <c r="L121" s="39" t="n">
        <v>91</v>
      </c>
      <c r="M121" s="4" t="n">
        <v>0.25</v>
      </c>
      <c r="N121" s="26" t="n">
        <v>0.111925167013664</v>
      </c>
      <c r="O121" s="27" t="n">
        <v>242.346302783752</v>
      </c>
      <c r="P121" s="27" t="n">
        <v>286.275505437873</v>
      </c>
      <c r="Q121" s="28" t="n">
        <v>0.0124772064696725</v>
      </c>
      <c r="R121" s="25" t="n">
        <v>0.447700668054658</v>
      </c>
      <c r="S121" s="29" t="n">
        <v>0.0991850265680176</v>
      </c>
      <c r="T121" s="27" t="n">
        <v>242.346302783752</v>
      </c>
      <c r="U121" s="27" t="n">
        <v>303</v>
      </c>
      <c r="V121" s="28" t="n">
        <v>0.0117247911599868</v>
      </c>
      <c r="W121" s="25" t="n">
        <f aca="false">(I121-H121)/(J121-H121)</f>
        <v>1.30619963569797</v>
      </c>
      <c r="X121" s="25" t="n">
        <f aca="false">0.5*(1+(I121-K121-L121)/(I121-K121))</f>
        <v>0.424050632911392</v>
      </c>
      <c r="Y121" s="25" t="n">
        <v>0.396740106272071</v>
      </c>
      <c r="Z121" s="26" t="n">
        <v>0.180667813508529</v>
      </c>
      <c r="AA121" s="27" t="n">
        <v>242.346302783752</v>
      </c>
      <c r="AB121" s="27" t="n">
        <v>286.275505437873</v>
      </c>
      <c r="AC121" s="28" t="n">
        <v>0.0124772064696725</v>
      </c>
      <c r="AD121" s="25" t="n">
        <v>0.722671254034115</v>
      </c>
      <c r="AE121" s="4" t="n">
        <v>0.333430417434443</v>
      </c>
      <c r="AF121" s="25" t="n">
        <v>0.121648405518749</v>
      </c>
      <c r="AG121" s="26" t="n">
        <f aca="false">SMALL(AE121:AF121,1)</f>
        <v>0.121648405518749</v>
      </c>
      <c r="AH121" s="27" t="n">
        <v>249.270384585441</v>
      </c>
      <c r="AI121" s="28" t="n">
        <v>0.0069</v>
      </c>
      <c r="AJ121" s="25" t="n">
        <v>0.486593622074997</v>
      </c>
      <c r="AK121" s="29" t="n">
        <v>0.0972469325033157</v>
      </c>
      <c r="AN121" s="4" t="n">
        <f aca="false">(N121-$N$344)/$N$345</f>
        <v>-1.21653245359725</v>
      </c>
      <c r="AO121" s="4" t="n">
        <f aca="false">(S121-$S$344)/$S$345</f>
        <v>-1.39515321474159</v>
      </c>
      <c r="AP121" s="4" t="n">
        <f aca="false">(Z121-$Z$344)/$Z$345</f>
        <v>-0.579002495738765</v>
      </c>
      <c r="AQ121" s="4" t="n">
        <f aca="false">(AE121-$AE$344)/$AE$345</f>
        <v>0.804833436377427</v>
      </c>
    </row>
    <row r="122" customFormat="false" ht="14.25" hidden="false" customHeight="false" outlineLevel="0" collapsed="false">
      <c r="B122" s="1" t="n">
        <v>12</v>
      </c>
      <c r="C122" s="1" t="n">
        <v>2</v>
      </c>
      <c r="D122" s="2" t="n">
        <v>296</v>
      </c>
      <c r="E122" s="4" t="n">
        <v>3.269</v>
      </c>
      <c r="F122" s="1" t="n">
        <v>25</v>
      </c>
      <c r="G122" s="1" t="n">
        <v>31</v>
      </c>
      <c r="H122" s="3" t="n">
        <v>28.7588606062944</v>
      </c>
      <c r="I122" s="1" t="n">
        <v>161</v>
      </c>
      <c r="J122" s="39" t="n">
        <v>130</v>
      </c>
      <c r="K122" s="27" t="n">
        <v>82</v>
      </c>
      <c r="L122" s="39" t="n">
        <v>91</v>
      </c>
      <c r="M122" s="4" t="n">
        <v>0.33</v>
      </c>
      <c r="N122" s="26" t="n">
        <v>0.216681277736592</v>
      </c>
      <c r="O122" s="27" t="n">
        <v>308.406432047236</v>
      </c>
      <c r="P122" s="27" t="n">
        <v>286.275505437873</v>
      </c>
      <c r="Q122" s="28" t="n">
        <v>0.0124772064696725</v>
      </c>
      <c r="R122" s="25" t="n">
        <v>0.656609932535127</v>
      </c>
      <c r="S122" s="29" t="n">
        <v>0.12948602837324</v>
      </c>
      <c r="T122" s="27" t="n">
        <v>308.406432047236</v>
      </c>
      <c r="U122" s="27" t="n">
        <v>303</v>
      </c>
      <c r="V122" s="28" t="n">
        <v>0.0117247911599868</v>
      </c>
      <c r="W122" s="25" t="n">
        <f aca="false">(I122-H122)/(J122-H122)</f>
        <v>1.30619963569797</v>
      </c>
      <c r="X122" s="25" t="n">
        <f aca="false">0.5*(1+(I122-K122-L122)/(I122-K122))</f>
        <v>0.424050632911392</v>
      </c>
      <c r="Y122" s="25" t="n">
        <v>0.392381904161332</v>
      </c>
      <c r="Z122" s="26" t="n">
        <v>0.229915270461788</v>
      </c>
      <c r="AA122" s="27" t="n">
        <v>308.406432047236</v>
      </c>
      <c r="AB122" s="27" t="n">
        <v>286.275505437873</v>
      </c>
      <c r="AC122" s="28" t="n">
        <v>0.0124772064696725</v>
      </c>
      <c r="AD122" s="25" t="n">
        <v>0.696712940793298</v>
      </c>
      <c r="AE122" s="4" t="n">
        <v>0.42431877109648</v>
      </c>
      <c r="AF122" s="25" t="n">
        <v>0.197006464784174</v>
      </c>
      <c r="AG122" s="26" t="n">
        <f aca="false">SMALL(AE122:AF122,1)</f>
        <v>0.197006464784174</v>
      </c>
      <c r="AH122" s="27" t="n">
        <v>317.217919324463</v>
      </c>
      <c r="AI122" s="28" t="n">
        <v>0.0069</v>
      </c>
      <c r="AJ122" s="25" t="n">
        <v>0.596989287224771</v>
      </c>
      <c r="AK122" s="29" t="n">
        <v>0.202714991742927</v>
      </c>
      <c r="AN122" s="4" t="n">
        <f aca="false">(N122-$N$344)/$N$345</f>
        <v>0.0158525113159037</v>
      </c>
      <c r="AO122" s="4" t="n">
        <f aca="false">(S122-$S$344)/$S$345</f>
        <v>-1.02966393360794</v>
      </c>
      <c r="AP122" s="4" t="n">
        <f aca="false">(Z122-$Z$344)/$Z$345</f>
        <v>0.0899216185431018</v>
      </c>
      <c r="AQ122" s="4" t="n">
        <f aca="false">(AE122-$AE$344)/$AE$345</f>
        <v>1.95019637679573</v>
      </c>
    </row>
    <row r="123" customFormat="false" ht="14.25" hidden="false" customHeight="false" outlineLevel="0" collapsed="false">
      <c r="A123" s="0" t="s">
        <v>49</v>
      </c>
      <c r="B123" s="1" t="n">
        <v>12</v>
      </c>
      <c r="C123" s="1" t="n">
        <v>2</v>
      </c>
      <c r="D123" s="2" t="n">
        <v>296</v>
      </c>
      <c r="E123" s="4" t="n">
        <v>3.269</v>
      </c>
      <c r="F123" s="1" t="n">
        <v>25</v>
      </c>
      <c r="G123" s="1" t="n">
        <v>31</v>
      </c>
      <c r="H123" s="3" t="n">
        <v>28.7588606062944</v>
      </c>
      <c r="I123" s="1" t="n">
        <v>161</v>
      </c>
      <c r="J123" s="39" t="n">
        <v>130</v>
      </c>
      <c r="K123" s="27" t="n">
        <v>82</v>
      </c>
      <c r="L123" s="39" t="n">
        <v>91</v>
      </c>
      <c r="M123" s="4" t="n">
        <v>0.23</v>
      </c>
      <c r="N123" s="26" t="n">
        <v>0.111925167013664</v>
      </c>
      <c r="O123" s="27" t="n">
        <v>242.346302783752</v>
      </c>
      <c r="P123" s="27" t="n">
        <v>286.275505437873</v>
      </c>
      <c r="Q123" s="28" t="n">
        <v>0.0124772064696725</v>
      </c>
      <c r="R123" s="25" t="n">
        <v>0.486631160928976</v>
      </c>
      <c r="S123" s="29" t="n">
        <v>0.0991850265680176</v>
      </c>
      <c r="T123" s="27" t="n">
        <v>242.346302783752</v>
      </c>
      <c r="U123" s="27" t="n">
        <v>303</v>
      </c>
      <c r="V123" s="28" t="n">
        <v>0.0117247911599868</v>
      </c>
      <c r="W123" s="25" t="n">
        <f aca="false">(I123-H123)/(J123-H123)</f>
        <v>1.30619963569797</v>
      </c>
      <c r="X123" s="25" t="n">
        <f aca="false">0.5*(1+(I123-K123-L123)/(I123-K123))</f>
        <v>0.424050632911392</v>
      </c>
      <c r="Y123" s="25" t="n">
        <v>0.431239245947903</v>
      </c>
      <c r="Z123" s="26" t="n">
        <v>0.180667813508529</v>
      </c>
      <c r="AA123" s="27" t="n">
        <v>242.346302783752</v>
      </c>
      <c r="AB123" s="27" t="n">
        <v>286.275505437873</v>
      </c>
      <c r="AC123" s="28" t="n">
        <v>0.0124772064696725</v>
      </c>
      <c r="AD123" s="25" t="n">
        <v>0.785512232645778</v>
      </c>
      <c r="AE123" s="4" t="n">
        <v>0.333430417434443</v>
      </c>
      <c r="AF123" s="25" t="n">
        <v>0.121648405518749</v>
      </c>
      <c r="AG123" s="26" t="n">
        <f aca="false">SMALL(AE123:AF123,1)</f>
        <v>0.121648405518749</v>
      </c>
      <c r="AH123" s="27" t="n">
        <v>249.270384585441</v>
      </c>
      <c r="AI123" s="28" t="n">
        <v>0.0069</v>
      </c>
      <c r="AJ123" s="25" t="n">
        <v>0.528906110951084</v>
      </c>
      <c r="AK123" s="29" t="n">
        <v>0.0972469325033157</v>
      </c>
      <c r="AN123" s="4" t="n">
        <f aca="false">(N123-$N$344)/$N$345</f>
        <v>-1.21653245359725</v>
      </c>
      <c r="AO123" s="4" t="n">
        <f aca="false">(S123-$S$344)/$S$345</f>
        <v>-1.39515321474159</v>
      </c>
      <c r="AP123" s="4" t="n">
        <f aca="false">(Z123-$Z$344)/$Z$345</f>
        <v>-0.579002495738765</v>
      </c>
      <c r="AQ123" s="4" t="n">
        <f aca="false">(AE123-$AE$344)/$AE$345</f>
        <v>0.804833436377427</v>
      </c>
    </row>
    <row r="124" customFormat="false" ht="14.25" hidden="false" customHeight="false" outlineLevel="0" collapsed="false">
      <c r="B124" s="1" t="n">
        <v>12</v>
      </c>
      <c r="C124" s="1" t="n">
        <v>2</v>
      </c>
      <c r="D124" s="2" t="n">
        <v>296</v>
      </c>
      <c r="E124" s="4" t="n">
        <v>3.269</v>
      </c>
      <c r="F124" s="1" t="n">
        <v>25</v>
      </c>
      <c r="G124" s="1" t="n">
        <v>31</v>
      </c>
      <c r="H124" s="3" t="n">
        <v>28.7588606062944</v>
      </c>
      <c r="I124" s="1" t="n">
        <v>161</v>
      </c>
      <c r="J124" s="39" t="n">
        <v>130</v>
      </c>
      <c r="K124" s="27" t="n">
        <v>82</v>
      </c>
      <c r="L124" s="39" t="n">
        <v>91</v>
      </c>
      <c r="M124" s="4" t="n">
        <v>0.28</v>
      </c>
      <c r="N124" s="26" t="n">
        <v>0.216681277736592</v>
      </c>
      <c r="O124" s="27" t="n">
        <v>308.406432047236</v>
      </c>
      <c r="P124" s="27" t="n">
        <v>286.275505437873</v>
      </c>
      <c r="Q124" s="28" t="n">
        <v>0.0124772064696725</v>
      </c>
      <c r="R124" s="25" t="n">
        <v>0.773861706202113</v>
      </c>
      <c r="S124" s="29" t="n">
        <v>0.12948602837324</v>
      </c>
      <c r="T124" s="27" t="n">
        <v>308.406432047236</v>
      </c>
      <c r="U124" s="27" t="n">
        <v>303</v>
      </c>
      <c r="V124" s="28" t="n">
        <v>0.0117247911599868</v>
      </c>
      <c r="W124" s="25" t="n">
        <f aca="false">(I124-H124)/(J124-H124)</f>
        <v>1.30619963569797</v>
      </c>
      <c r="X124" s="25" t="n">
        <f aca="false">0.5*(1+(I124-K124-L124)/(I124-K124))</f>
        <v>0.424050632911392</v>
      </c>
      <c r="Y124" s="25" t="n">
        <v>0.462450101332999</v>
      </c>
      <c r="Z124" s="26" t="n">
        <v>0.229915270461788</v>
      </c>
      <c r="AA124" s="27" t="n">
        <v>308.406432047236</v>
      </c>
      <c r="AB124" s="27" t="n">
        <v>286.275505437873</v>
      </c>
      <c r="AC124" s="28" t="n">
        <v>0.0124772064696725</v>
      </c>
      <c r="AD124" s="25" t="n">
        <v>0.821125965934958</v>
      </c>
      <c r="AE124" s="4" t="n">
        <v>0.42431877109648</v>
      </c>
      <c r="AF124" s="25" t="n">
        <v>0.197006464784174</v>
      </c>
      <c r="AG124" s="26" t="n">
        <f aca="false">SMALL(AE124:AF124,1)</f>
        <v>0.197006464784174</v>
      </c>
      <c r="AH124" s="27" t="n">
        <v>317.217919324463</v>
      </c>
      <c r="AI124" s="28" t="n">
        <v>0.0069</v>
      </c>
      <c r="AJ124" s="25" t="n">
        <v>0.703594517086337</v>
      </c>
      <c r="AK124" s="29" t="n">
        <v>0.202714991742927</v>
      </c>
      <c r="AN124" s="4" t="n">
        <f aca="false">(N124-$N$344)/$N$345</f>
        <v>0.0158525113159037</v>
      </c>
      <c r="AO124" s="4" t="n">
        <f aca="false">(S124-$S$344)/$S$345</f>
        <v>-1.02966393360794</v>
      </c>
      <c r="AP124" s="4" t="n">
        <f aca="false">(Z124-$Z$344)/$Z$345</f>
        <v>0.0899216185431018</v>
      </c>
      <c r="AQ124" s="4" t="n">
        <f aca="false">(AE124-$AE$344)/$AE$345</f>
        <v>1.95019637679573</v>
      </c>
    </row>
    <row r="125" customFormat="false" ht="14.25" hidden="false" customHeight="false" outlineLevel="0" collapsed="false">
      <c r="A125" s="0" t="s">
        <v>50</v>
      </c>
      <c r="B125" s="1" t="n">
        <v>12</v>
      </c>
      <c r="C125" s="1" t="n">
        <v>3</v>
      </c>
      <c r="D125" s="2" t="n">
        <v>142</v>
      </c>
      <c r="E125" s="4" t="n">
        <v>3.269</v>
      </c>
      <c r="F125" s="1" t="n">
        <v>25</v>
      </c>
      <c r="G125" s="1" t="n">
        <v>31</v>
      </c>
      <c r="H125" s="3" t="n">
        <v>34.253185076506</v>
      </c>
      <c r="I125" s="1" t="n">
        <v>161</v>
      </c>
      <c r="J125" s="39" t="n">
        <v>130</v>
      </c>
      <c r="K125" s="27" t="n">
        <v>82</v>
      </c>
      <c r="L125" s="39" t="n">
        <v>91</v>
      </c>
      <c r="M125" s="4" t="n">
        <v>0.18</v>
      </c>
      <c r="N125" s="26" t="n">
        <v>0.103474462444596</v>
      </c>
      <c r="O125" s="27" t="n">
        <v>208.779739289304</v>
      </c>
      <c r="P125" s="27" t="n">
        <v>191.685974515799</v>
      </c>
      <c r="Q125" s="28" t="n">
        <v>0.0195271179121459</v>
      </c>
      <c r="R125" s="25" t="n">
        <v>0.574858124692201</v>
      </c>
      <c r="S125" s="29" t="n">
        <v>0.0861475657176162</v>
      </c>
      <c r="T125" s="27" t="n">
        <v>208.779739289304</v>
      </c>
      <c r="U125" s="27" t="n">
        <v>303</v>
      </c>
      <c r="V125" s="28" t="n">
        <v>0.0117247911599868</v>
      </c>
      <c r="W125" s="25" t="n">
        <f aca="false">(I125-H125)/(J125-H125)</f>
        <v>1.32377056119068</v>
      </c>
      <c r="X125" s="25" t="n">
        <f aca="false">0.5*(1+(I125-K125-L125)/(I125-K125))</f>
        <v>0.424050632911392</v>
      </c>
      <c r="Y125" s="25" t="n">
        <v>0.47859758732009</v>
      </c>
      <c r="Z125" s="26" t="n">
        <v>0.118672555494497</v>
      </c>
      <c r="AA125" s="27" t="n">
        <v>208.779739289304</v>
      </c>
      <c r="AB125" s="27" t="n">
        <v>191.685974515799</v>
      </c>
      <c r="AC125" s="28" t="n">
        <v>0.0195271179121459</v>
      </c>
      <c r="AD125" s="25" t="n">
        <v>0.659291974969426</v>
      </c>
      <c r="AE125" s="4" t="n">
        <v>0.262937479003861</v>
      </c>
      <c r="AF125" s="25" t="n">
        <v>0.0910971716584437</v>
      </c>
      <c r="AG125" s="26" t="n">
        <f aca="false">SMALL(AE125:AF125,1)</f>
        <v>0.0910971716584437</v>
      </c>
      <c r="AH125" s="27" t="n">
        <v>215.70982177723</v>
      </c>
      <c r="AI125" s="28" t="n">
        <v>0.0076</v>
      </c>
      <c r="AJ125" s="25" t="n">
        <v>0.506095398102465</v>
      </c>
      <c r="AK125" s="29" t="n">
        <v>0.0587151152226387</v>
      </c>
      <c r="AN125" s="4" t="n">
        <f aca="false">(N125-$N$344)/$N$345</f>
        <v>-1.31594929125924</v>
      </c>
      <c r="AO125" s="4" t="n">
        <f aca="false">(S125-$S$344)/$S$345</f>
        <v>-1.55241046401182</v>
      </c>
      <c r="AP125" s="4" t="n">
        <f aca="false">(Z125-$Z$344)/$Z$345</f>
        <v>-1.42107893221489</v>
      </c>
      <c r="AQ125" s="4" t="n">
        <f aca="false">(AE125-$AE$344)/$AE$345</f>
        <v>-0.0835091948446691</v>
      </c>
    </row>
    <row r="126" customFormat="false" ht="14.25" hidden="false" customHeight="false" outlineLevel="0" collapsed="false">
      <c r="B126" s="1" t="n">
        <v>12</v>
      </c>
      <c r="C126" s="1" t="n">
        <v>3</v>
      </c>
      <c r="D126" s="2" t="n">
        <v>142</v>
      </c>
      <c r="E126" s="4" t="n">
        <v>3.269</v>
      </c>
      <c r="F126" s="1" t="n">
        <v>25</v>
      </c>
      <c r="G126" s="1" t="n">
        <v>31</v>
      </c>
      <c r="H126" s="3" t="n">
        <v>34.253185076506</v>
      </c>
      <c r="I126" s="1" t="n">
        <v>161</v>
      </c>
      <c r="J126" s="39" t="n">
        <v>130</v>
      </c>
      <c r="K126" s="27" t="n">
        <v>82</v>
      </c>
      <c r="L126" s="39" t="n">
        <v>91</v>
      </c>
      <c r="M126" s="4" t="n">
        <v>0.23</v>
      </c>
      <c r="N126" s="26" t="n">
        <v>0.152823893840593</v>
      </c>
      <c r="O126" s="27" t="n">
        <v>253.500001682973</v>
      </c>
      <c r="P126" s="27" t="n">
        <v>191.685974515799</v>
      </c>
      <c r="Q126" s="28" t="n">
        <v>0.0195271179121459</v>
      </c>
      <c r="R126" s="25" t="n">
        <v>0.664451712350405</v>
      </c>
      <c r="S126" s="29" t="n">
        <v>0.104600226673042</v>
      </c>
      <c r="T126" s="27" t="n">
        <v>253.500001682973</v>
      </c>
      <c r="U126" s="27" t="n">
        <v>303</v>
      </c>
      <c r="V126" s="28" t="n">
        <v>0.0117247911599868</v>
      </c>
      <c r="W126" s="25" t="n">
        <f aca="false">(I126-H126)/(J126-H126)</f>
        <v>1.32377056119068</v>
      </c>
      <c r="X126" s="25" t="n">
        <f aca="false">0.5*(1+(I126-K126-L126)/(I126-K126))</f>
        <v>0.424050632911392</v>
      </c>
      <c r="Y126" s="25" t="n">
        <v>0.454783594230617</v>
      </c>
      <c r="Z126" s="26" t="n">
        <v>0.144092013525754</v>
      </c>
      <c r="AA126" s="27" t="n">
        <v>253.500001682973</v>
      </c>
      <c r="AB126" s="27" t="n">
        <v>191.685974515799</v>
      </c>
      <c r="AC126" s="28" t="n">
        <v>0.0195271179121459</v>
      </c>
      <c r="AD126" s="25" t="n">
        <v>0.626487015329364</v>
      </c>
      <c r="AE126" s="4" t="n">
        <v>0.319258236440428</v>
      </c>
      <c r="AF126" s="25" t="n">
        <v>0.134302508552043</v>
      </c>
      <c r="AG126" s="26" t="n">
        <f aca="false">SMALL(AE126:AF126,1)</f>
        <v>0.134302508552043</v>
      </c>
      <c r="AH126" s="27" t="n">
        <v>261.914495964519</v>
      </c>
      <c r="AI126" s="28" t="n">
        <v>0.0076</v>
      </c>
      <c r="AJ126" s="25" t="n">
        <v>0.583923950226275</v>
      </c>
      <c r="AK126" s="29" t="n">
        <v>0.114040951552226</v>
      </c>
      <c r="AN126" s="4" t="n">
        <f aca="false">(N126-$N$344)/$N$345</f>
        <v>-0.73538652637865</v>
      </c>
      <c r="AO126" s="4" t="n">
        <f aca="false">(S126-$S$344)/$S$345</f>
        <v>-1.32983532174575</v>
      </c>
      <c r="AP126" s="4" t="n">
        <f aca="false">(Z126-$Z$344)/$Z$345</f>
        <v>-1.07580854667556</v>
      </c>
      <c r="AQ126" s="4" t="n">
        <f aca="false">(AE126-$AE$344)/$AE$345</f>
        <v>0.626237497058246</v>
      </c>
    </row>
    <row r="127" customFormat="false" ht="14.25" hidden="false" customHeight="false" outlineLevel="0" collapsed="false">
      <c r="B127" s="1" t="n">
        <v>12</v>
      </c>
      <c r="C127" s="1" t="n">
        <v>3</v>
      </c>
      <c r="D127" s="2" t="n">
        <v>142</v>
      </c>
      <c r="E127" s="4" t="n">
        <v>3.269</v>
      </c>
      <c r="F127" s="1" t="n">
        <v>25</v>
      </c>
      <c r="G127" s="1" t="n">
        <v>31</v>
      </c>
      <c r="H127" s="3" t="n">
        <v>34.253185076506</v>
      </c>
      <c r="I127" s="1" t="n">
        <v>161</v>
      </c>
      <c r="J127" s="39" t="n">
        <v>130</v>
      </c>
      <c r="K127" s="27" t="n">
        <v>82</v>
      </c>
      <c r="L127" s="39" t="n">
        <v>91</v>
      </c>
      <c r="M127" s="4" t="n">
        <v>0.25</v>
      </c>
      <c r="N127" s="26" t="n">
        <v>0.20217332523659</v>
      </c>
      <c r="O127" s="27" t="n">
        <v>298.220264076643</v>
      </c>
      <c r="P127" s="27" t="n">
        <v>191.685974515799</v>
      </c>
      <c r="Q127" s="28" t="n">
        <v>0.0195271179121459</v>
      </c>
      <c r="R127" s="25" t="n">
        <v>0.80869330094636</v>
      </c>
      <c r="S127" s="29" t="n">
        <v>0.123052887628468</v>
      </c>
      <c r="T127" s="27" t="n">
        <v>298.220264076643</v>
      </c>
      <c r="U127" s="27" t="n">
        <v>303</v>
      </c>
      <c r="V127" s="28" t="n">
        <v>0.0117247911599868</v>
      </c>
      <c r="W127" s="25" t="n">
        <f aca="false">(I127-H127)/(J127-H127)</f>
        <v>1.32377056119068</v>
      </c>
      <c r="X127" s="25" t="n">
        <f aca="false">0.5*(1+(I127-K127-L127)/(I127-K127))</f>
        <v>0.424050632911392</v>
      </c>
      <c r="Y127" s="25" t="n">
        <v>0.492211550513871</v>
      </c>
      <c r="Z127" s="26" t="n">
        <v>0.173562835832662</v>
      </c>
      <c r="AA127" s="27" t="n">
        <v>298.220264076643</v>
      </c>
      <c r="AB127" s="27" t="n">
        <v>191.685974515799</v>
      </c>
      <c r="AC127" s="28" t="n">
        <v>0.0195271179121459</v>
      </c>
      <c r="AD127" s="25" t="n">
        <v>0.694251343330646</v>
      </c>
      <c r="AE127" s="4" t="n">
        <v>0.375578993876996</v>
      </c>
      <c r="AF127" s="25" t="n">
        <v>0.185867086967345</v>
      </c>
      <c r="AG127" s="26" t="n">
        <f aca="false">SMALL(AE127:AF127,1)</f>
        <v>0.185867086967345</v>
      </c>
      <c r="AH127" s="27" t="n">
        <v>308.119170151809</v>
      </c>
      <c r="AI127" s="28" t="n">
        <v>0.0076</v>
      </c>
      <c r="AJ127" s="25" t="n">
        <v>0.74346834786938</v>
      </c>
      <c r="AK127" s="29" t="n">
        <v>0.183212675422226</v>
      </c>
      <c r="AN127" s="4" t="n">
        <f aca="false">(N127-$N$344)/$N$345</f>
        <v>-0.154823761498063</v>
      </c>
      <c r="AO127" s="4" t="n">
        <f aca="false">(S127-$S$344)/$S$345</f>
        <v>-1.10726017947969</v>
      </c>
      <c r="AP127" s="4" t="n">
        <f aca="false">(Z127-$Z$344)/$Z$345</f>
        <v>-0.675508816934857</v>
      </c>
      <c r="AQ127" s="4" t="n">
        <f aca="false">(AE127-$AE$344)/$AE$345</f>
        <v>1.33598418896116</v>
      </c>
    </row>
    <row r="128" customFormat="false" ht="14.25" hidden="false" customHeight="false" outlineLevel="0" collapsed="false">
      <c r="A128" s="0" t="s">
        <v>51</v>
      </c>
      <c r="B128" s="1" t="n">
        <v>12</v>
      </c>
      <c r="C128" s="1" t="n">
        <v>3</v>
      </c>
      <c r="D128" s="2" t="n">
        <v>142</v>
      </c>
      <c r="E128" s="4" t="n">
        <v>3.269</v>
      </c>
      <c r="F128" s="1" t="n">
        <v>25</v>
      </c>
      <c r="G128" s="1" t="n">
        <v>31</v>
      </c>
      <c r="H128" s="3" t="n">
        <v>34.253185076506</v>
      </c>
      <c r="I128" s="1" t="n">
        <v>161</v>
      </c>
      <c r="J128" s="39" t="n">
        <v>130</v>
      </c>
      <c r="K128" s="27" t="n">
        <v>82</v>
      </c>
      <c r="L128" s="39" t="n">
        <v>91</v>
      </c>
      <c r="M128" s="4" t="n">
        <v>0.18</v>
      </c>
      <c r="N128" s="26" t="n">
        <v>0.103474462444596</v>
      </c>
      <c r="O128" s="27" t="n">
        <v>208.779739289304</v>
      </c>
      <c r="P128" s="27" t="n">
        <v>191.685974515799</v>
      </c>
      <c r="Q128" s="28" t="n">
        <v>0.0195271179121459</v>
      </c>
      <c r="R128" s="25" t="n">
        <v>0.574858124692201</v>
      </c>
      <c r="S128" s="29" t="n">
        <v>0.0861475657176162</v>
      </c>
      <c r="T128" s="27" t="n">
        <v>208.779739289304</v>
      </c>
      <c r="U128" s="27" t="n">
        <v>303</v>
      </c>
      <c r="V128" s="28" t="n">
        <v>0.0117247911599868</v>
      </c>
      <c r="W128" s="25" t="n">
        <f aca="false">(I128-H128)/(J128-H128)</f>
        <v>1.32377056119068</v>
      </c>
      <c r="X128" s="25" t="n">
        <f aca="false">0.5*(1+(I128-K128-L128)/(I128-K128))</f>
        <v>0.424050632911392</v>
      </c>
      <c r="Y128" s="25" t="n">
        <v>0.47859758732009</v>
      </c>
      <c r="Z128" s="26" t="n">
        <v>0.118672555494497</v>
      </c>
      <c r="AA128" s="27" t="n">
        <v>208.779739289304</v>
      </c>
      <c r="AB128" s="27" t="n">
        <v>191.685974515799</v>
      </c>
      <c r="AC128" s="28" t="n">
        <v>0.0195271179121459</v>
      </c>
      <c r="AD128" s="25" t="n">
        <v>0.659291974969426</v>
      </c>
      <c r="AE128" s="4" t="n">
        <v>0.262937479003861</v>
      </c>
      <c r="AF128" s="25" t="n">
        <v>0.0910971716584437</v>
      </c>
      <c r="AG128" s="26" t="n">
        <f aca="false">SMALL(AE128:AF128,1)</f>
        <v>0.0910971716584437</v>
      </c>
      <c r="AH128" s="27" t="n">
        <v>215.70982177723</v>
      </c>
      <c r="AI128" s="28" t="n">
        <v>0.0076</v>
      </c>
      <c r="AJ128" s="25" t="n">
        <v>0.506095398102465</v>
      </c>
      <c r="AK128" s="29" t="n">
        <v>0.0587151152226387</v>
      </c>
      <c r="AN128" s="4" t="n">
        <f aca="false">(N128-$N$344)/$N$345</f>
        <v>-1.31594929125924</v>
      </c>
      <c r="AO128" s="4" t="n">
        <f aca="false">(S128-$S$344)/$S$345</f>
        <v>-1.55241046401182</v>
      </c>
      <c r="AP128" s="4" t="n">
        <f aca="false">(Z128-$Z$344)/$Z$345</f>
        <v>-1.42107893221489</v>
      </c>
      <c r="AQ128" s="4" t="n">
        <f aca="false">(AE128-$AE$344)/$AE$345</f>
        <v>-0.0835091948446691</v>
      </c>
    </row>
    <row r="129" customFormat="false" ht="14.25" hidden="false" customHeight="false" outlineLevel="0" collapsed="false">
      <c r="B129" s="1" t="n">
        <v>12</v>
      </c>
      <c r="C129" s="1" t="n">
        <v>3</v>
      </c>
      <c r="D129" s="2" t="n">
        <v>142</v>
      </c>
      <c r="E129" s="4" t="n">
        <v>3.269</v>
      </c>
      <c r="F129" s="1" t="n">
        <v>25</v>
      </c>
      <c r="G129" s="1" t="n">
        <v>31</v>
      </c>
      <c r="H129" s="3" t="n">
        <v>34.253185076506</v>
      </c>
      <c r="I129" s="1" t="n">
        <v>161</v>
      </c>
      <c r="J129" s="39" t="n">
        <v>130</v>
      </c>
      <c r="K129" s="27" t="n">
        <v>82</v>
      </c>
      <c r="L129" s="39" t="n">
        <v>91</v>
      </c>
      <c r="M129" s="4" t="n">
        <v>0.23</v>
      </c>
      <c r="N129" s="26" t="n">
        <v>0.152823893840593</v>
      </c>
      <c r="O129" s="27" t="n">
        <v>253.500001682973</v>
      </c>
      <c r="P129" s="27" t="n">
        <v>191.685974515799</v>
      </c>
      <c r="Q129" s="28" t="n">
        <v>0.0195271179121459</v>
      </c>
      <c r="R129" s="25" t="n">
        <v>0.664451712350405</v>
      </c>
      <c r="S129" s="29" t="n">
        <v>0.104600226673042</v>
      </c>
      <c r="T129" s="27" t="n">
        <v>253.500001682973</v>
      </c>
      <c r="U129" s="27" t="n">
        <v>303</v>
      </c>
      <c r="V129" s="28" t="n">
        <v>0.0117247911599868</v>
      </c>
      <c r="W129" s="25" t="n">
        <f aca="false">(I129-H129)/(J129-H129)</f>
        <v>1.32377056119068</v>
      </c>
      <c r="X129" s="25" t="n">
        <f aca="false">0.5*(1+(I129-K129-L129)/(I129-K129))</f>
        <v>0.424050632911392</v>
      </c>
      <c r="Y129" s="25" t="n">
        <v>0.454783594230617</v>
      </c>
      <c r="Z129" s="26" t="n">
        <v>0.144092013525754</v>
      </c>
      <c r="AA129" s="27" t="n">
        <v>253.500001682973</v>
      </c>
      <c r="AB129" s="27" t="n">
        <v>191.685974515799</v>
      </c>
      <c r="AC129" s="28" t="n">
        <v>0.0195271179121459</v>
      </c>
      <c r="AD129" s="25" t="n">
        <v>0.626487015329364</v>
      </c>
      <c r="AE129" s="4" t="n">
        <v>0.319258236440428</v>
      </c>
      <c r="AF129" s="25" t="n">
        <v>0.134302508552043</v>
      </c>
      <c r="AG129" s="26" t="n">
        <f aca="false">SMALL(AE129:AF129,1)</f>
        <v>0.134302508552043</v>
      </c>
      <c r="AH129" s="27" t="n">
        <v>261.914495964519</v>
      </c>
      <c r="AI129" s="28" t="n">
        <v>0.0076</v>
      </c>
      <c r="AJ129" s="25" t="n">
        <v>0.583923950226275</v>
      </c>
      <c r="AK129" s="29" t="n">
        <v>0.114040951552226</v>
      </c>
      <c r="AN129" s="4" t="n">
        <f aca="false">(N129-$N$344)/$N$345</f>
        <v>-0.73538652637865</v>
      </c>
      <c r="AO129" s="4" t="n">
        <f aca="false">(S129-$S$344)/$S$345</f>
        <v>-1.32983532174575</v>
      </c>
      <c r="AP129" s="4" t="n">
        <f aca="false">(Z129-$Z$344)/$Z$345</f>
        <v>-1.07580854667556</v>
      </c>
      <c r="AQ129" s="4" t="n">
        <f aca="false">(AE129-$AE$344)/$AE$345</f>
        <v>0.626237497058246</v>
      </c>
    </row>
    <row r="130" customFormat="false" ht="14.25" hidden="false" customHeight="false" outlineLevel="0" collapsed="false">
      <c r="B130" s="1" t="n">
        <v>12</v>
      </c>
      <c r="C130" s="1" t="n">
        <v>3</v>
      </c>
      <c r="D130" s="2" t="n">
        <v>142</v>
      </c>
      <c r="E130" s="4" t="n">
        <v>3.269</v>
      </c>
      <c r="F130" s="1" t="n">
        <v>25</v>
      </c>
      <c r="G130" s="1" t="n">
        <v>31</v>
      </c>
      <c r="H130" s="3" t="n">
        <v>34.253185076506</v>
      </c>
      <c r="I130" s="1" t="n">
        <v>161</v>
      </c>
      <c r="J130" s="39" t="n">
        <v>130</v>
      </c>
      <c r="K130" s="27" t="n">
        <v>82</v>
      </c>
      <c r="L130" s="39" t="n">
        <v>91</v>
      </c>
      <c r="M130" s="4" t="n">
        <v>0.25</v>
      </c>
      <c r="N130" s="26" t="n">
        <v>0.20217332523659</v>
      </c>
      <c r="O130" s="27" t="n">
        <v>298.220264076643</v>
      </c>
      <c r="P130" s="27" t="n">
        <v>191.685974515799</v>
      </c>
      <c r="Q130" s="28" t="n">
        <v>0.0195271179121459</v>
      </c>
      <c r="R130" s="25" t="n">
        <v>0.80869330094636</v>
      </c>
      <c r="S130" s="29" t="n">
        <v>0.123052887628468</v>
      </c>
      <c r="T130" s="27" t="n">
        <v>298.220264076643</v>
      </c>
      <c r="U130" s="27" t="n">
        <v>303</v>
      </c>
      <c r="V130" s="28" t="n">
        <v>0.0117247911599868</v>
      </c>
      <c r="W130" s="25" t="n">
        <f aca="false">(I130-H130)/(J130-H130)</f>
        <v>1.32377056119068</v>
      </c>
      <c r="X130" s="25" t="n">
        <f aca="false">0.5*(1+(I130-K130-L130)/(I130-K130))</f>
        <v>0.424050632911392</v>
      </c>
      <c r="Y130" s="25" t="n">
        <v>0.492211550513871</v>
      </c>
      <c r="Z130" s="26" t="n">
        <v>0.173562835832662</v>
      </c>
      <c r="AA130" s="27" t="n">
        <v>298.220264076643</v>
      </c>
      <c r="AB130" s="27" t="n">
        <v>191.685974515799</v>
      </c>
      <c r="AC130" s="28" t="n">
        <v>0.0195271179121459</v>
      </c>
      <c r="AD130" s="25" t="n">
        <v>0.694251343330646</v>
      </c>
      <c r="AE130" s="4" t="n">
        <v>0.375578993876996</v>
      </c>
      <c r="AF130" s="25" t="n">
        <v>0.185867086967345</v>
      </c>
      <c r="AG130" s="26" t="n">
        <f aca="false">SMALL(AE130:AF130,1)</f>
        <v>0.185867086967345</v>
      </c>
      <c r="AH130" s="27" t="n">
        <v>308.119170151809</v>
      </c>
      <c r="AI130" s="28" t="n">
        <v>0.0076</v>
      </c>
      <c r="AJ130" s="25" t="n">
        <v>0.74346834786938</v>
      </c>
      <c r="AK130" s="29" t="n">
        <v>0.183212675422226</v>
      </c>
      <c r="AN130" s="4" t="n">
        <f aca="false">(N130-$N$344)/$N$345</f>
        <v>-0.154823761498063</v>
      </c>
      <c r="AO130" s="4" t="n">
        <f aca="false">(S130-$S$344)/$S$345</f>
        <v>-1.10726017947969</v>
      </c>
      <c r="AP130" s="4" t="n">
        <f aca="false">(Z130-$Z$344)/$Z$345</f>
        <v>-0.675508816934857</v>
      </c>
      <c r="AQ130" s="4" t="n">
        <f aca="false">(AE130-$AE$344)/$AE$345</f>
        <v>1.33598418896116</v>
      </c>
    </row>
    <row r="131" customFormat="false" ht="14.25" hidden="false" customHeight="false" outlineLevel="0" collapsed="false">
      <c r="A131" s="0" t="s">
        <v>52</v>
      </c>
      <c r="B131" s="1" t="n">
        <v>12</v>
      </c>
      <c r="C131" s="1" t="n">
        <v>4</v>
      </c>
      <c r="D131" s="2" t="n">
        <v>90.67</v>
      </c>
      <c r="E131" s="4" t="n">
        <v>3.269</v>
      </c>
      <c r="F131" s="1" t="n">
        <v>25</v>
      </c>
      <c r="G131" s="1" t="n">
        <v>31</v>
      </c>
      <c r="H131" s="3" t="n">
        <v>38.6362611891593</v>
      </c>
      <c r="I131" s="1" t="n">
        <v>161</v>
      </c>
      <c r="J131" s="39" t="n">
        <v>130</v>
      </c>
      <c r="K131" s="27" t="n">
        <v>83</v>
      </c>
      <c r="L131" s="39" t="n">
        <v>91</v>
      </c>
      <c r="M131" s="4" t="n">
        <v>0.15</v>
      </c>
      <c r="N131" s="26" t="n">
        <v>0.120790775953349</v>
      </c>
      <c r="O131" s="27" t="n">
        <v>226.45530266576</v>
      </c>
      <c r="P131" s="27" t="n">
        <v>145.492018412598</v>
      </c>
      <c r="Q131" s="28" t="n">
        <v>0.026968773854658</v>
      </c>
      <c r="R131" s="25" t="n">
        <v>0.805271839688994</v>
      </c>
      <c r="S131" s="29" t="n">
        <v>0.0923849935957769</v>
      </c>
      <c r="T131" s="27" t="n">
        <v>226.45530266576</v>
      </c>
      <c r="U131" s="27" t="n">
        <v>295</v>
      </c>
      <c r="V131" s="28" t="n">
        <v>0.0120879120879121</v>
      </c>
      <c r="W131" s="25" t="n">
        <f aca="false">(I131-H131)/(J131-H131)</f>
        <v>1.33930310212219</v>
      </c>
      <c r="X131" s="25" t="n">
        <f aca="false">0.5*(1+(I131-K131-L131)/(I131-K131))</f>
        <v>0.416666666666667</v>
      </c>
      <c r="Y131" s="25" t="n">
        <v>0.615899957305179</v>
      </c>
      <c r="Z131" s="26" t="n">
        <v>0.1117754998036</v>
      </c>
      <c r="AA131" s="27" t="n">
        <v>226.45530266576</v>
      </c>
      <c r="AB131" s="27" t="n">
        <v>145.492018412598</v>
      </c>
      <c r="AC131" s="28" t="n">
        <v>0.026968773854658</v>
      </c>
      <c r="AD131" s="25" t="n">
        <v>0.745169998690669</v>
      </c>
      <c r="AE131" s="4" t="n">
        <v>0.231137022897011</v>
      </c>
      <c r="AF131" s="25" t="n">
        <v>0.107884330678079</v>
      </c>
      <c r="AG131" s="26" t="n">
        <f aca="false">SMALL(AE131:AF131,1)</f>
        <v>0.107884330678079</v>
      </c>
      <c r="AH131" s="27" t="n">
        <v>234.745166679024</v>
      </c>
      <c r="AI131" s="28" t="n">
        <v>0.0096</v>
      </c>
      <c r="AJ131" s="25" t="n">
        <v>0.719228871187195</v>
      </c>
      <c r="AK131" s="29" t="n">
        <v>0.114615579789946</v>
      </c>
      <c r="AN131" s="4" t="n">
        <f aca="false">(N131-$N$344)/$N$345</f>
        <v>-1.11223454594616</v>
      </c>
      <c r="AO131" s="4" t="n">
        <f aca="false">(S131-$S$344)/$S$345</f>
        <v>-1.47717489767754</v>
      </c>
      <c r="AP131" s="4" t="n">
        <f aca="false">(Z131-$Z$344)/$Z$345</f>
        <v>-1.51476106637188</v>
      </c>
      <c r="AQ131" s="4" t="n">
        <f aca="false">(AE131-$AE$344)/$AE$345</f>
        <v>-0.484254311745138</v>
      </c>
    </row>
    <row r="132" customFormat="false" ht="14.25" hidden="false" customHeight="false" outlineLevel="0" collapsed="false">
      <c r="B132" s="1" t="n">
        <v>12</v>
      </c>
      <c r="C132" s="1" t="n">
        <v>4</v>
      </c>
      <c r="D132" s="2" t="n">
        <v>90.67</v>
      </c>
      <c r="E132" s="4" t="n">
        <v>3.269</v>
      </c>
      <c r="F132" s="1" t="n">
        <v>25</v>
      </c>
      <c r="G132" s="1" t="n">
        <v>31</v>
      </c>
      <c r="H132" s="3" t="n">
        <v>38.6362611891593</v>
      </c>
      <c r="I132" s="1" t="n">
        <v>161</v>
      </c>
      <c r="J132" s="39" t="n">
        <v>130</v>
      </c>
      <c r="K132" s="27" t="n">
        <v>83</v>
      </c>
      <c r="L132" s="39" t="n">
        <v>91</v>
      </c>
      <c r="M132" s="4" t="n">
        <v>0.15</v>
      </c>
      <c r="N132" s="26" t="n">
        <v>0.150266789833339</v>
      </c>
      <c r="O132" s="27" t="n">
        <v>260.413895610496</v>
      </c>
      <c r="P132" s="27" t="n">
        <v>145.492018412598</v>
      </c>
      <c r="Q132" s="28" t="n">
        <v>0.026968773854658</v>
      </c>
      <c r="R132" s="25" t="n">
        <v>1.00177859888892</v>
      </c>
      <c r="S132" s="29" t="n">
        <v>0.106238784409197</v>
      </c>
      <c r="T132" s="27" t="n">
        <v>260.413895610496</v>
      </c>
      <c r="U132" s="27" t="n">
        <v>295</v>
      </c>
      <c r="V132" s="28" t="n">
        <v>0.0120879120879121</v>
      </c>
      <c r="W132" s="25" t="n">
        <f aca="false">(I132-H132)/(J132-H132)</f>
        <v>1.33930310212219</v>
      </c>
      <c r="X132" s="25" t="n">
        <f aca="false">0.5*(1+(I132-K132-L132)/(I132-K132))</f>
        <v>0.416666666666667</v>
      </c>
      <c r="Y132" s="25" t="n">
        <v>0.708258562727978</v>
      </c>
      <c r="Z132" s="26" t="n">
        <v>0.139051557579122</v>
      </c>
      <c r="AA132" s="27" t="n">
        <v>260.413895610496</v>
      </c>
      <c r="AB132" s="27" t="n">
        <v>145.492018412598</v>
      </c>
      <c r="AC132" s="28" t="n">
        <v>0.026968773854658</v>
      </c>
      <c r="AD132" s="25" t="n">
        <v>0.927010383860815</v>
      </c>
      <c r="AE132" s="4" t="n">
        <v>0.265797673288594</v>
      </c>
      <c r="AF132" s="25" t="n">
        <v>0.142666396244713</v>
      </c>
      <c r="AG132" s="26" t="n">
        <f aca="false">SMALL(AE132:AF132,1)</f>
        <v>0.142666396244713</v>
      </c>
      <c r="AH132" s="27" t="n">
        <v>269.946884047344</v>
      </c>
      <c r="AI132" s="28" t="n">
        <v>0.0096</v>
      </c>
      <c r="AJ132" s="25" t="n">
        <v>0.951109308298089</v>
      </c>
      <c r="AK132" s="29" t="n">
        <v>0.157888553224557</v>
      </c>
      <c r="AN132" s="4" t="n">
        <f aca="false">(N132-$N$344)/$N$345</f>
        <v>-0.76546912977536</v>
      </c>
      <c r="AO132" s="4" t="n">
        <f aca="false">(S132-$S$344)/$S$345</f>
        <v>-1.3100711141815</v>
      </c>
      <c r="AP132" s="4" t="n">
        <f aca="false">(Z132-$Z$344)/$Z$345</f>
        <v>-1.14427264082924</v>
      </c>
      <c r="AQ132" s="4" t="n">
        <f aca="false">(AE132-$AE$344)/$AE$345</f>
        <v>-0.0474654070089772</v>
      </c>
    </row>
    <row r="133" customFormat="false" ht="14.25" hidden="false" customHeight="false" outlineLevel="0" collapsed="false">
      <c r="B133" s="1" t="n">
        <v>12</v>
      </c>
      <c r="C133" s="1" t="n">
        <v>4</v>
      </c>
      <c r="D133" s="2" t="n">
        <v>90.67</v>
      </c>
      <c r="E133" s="4" t="n">
        <v>3.269</v>
      </c>
      <c r="F133" s="1" t="n">
        <v>25</v>
      </c>
      <c r="G133" s="1" t="n">
        <v>31</v>
      </c>
      <c r="H133" s="3" t="n">
        <v>38.6362611891593</v>
      </c>
      <c r="I133" s="1" t="n">
        <v>161</v>
      </c>
      <c r="J133" s="39" t="n">
        <v>130</v>
      </c>
      <c r="K133" s="27" t="n">
        <v>83</v>
      </c>
      <c r="L133" s="39" t="n">
        <v>91</v>
      </c>
      <c r="M133" s="4" t="n">
        <v>0.18</v>
      </c>
      <c r="N133" s="26" t="n">
        <v>0.179742803713328</v>
      </c>
      <c r="O133" s="27" t="n">
        <v>294.372488555233</v>
      </c>
      <c r="P133" s="27" t="n">
        <v>145.492018412598</v>
      </c>
      <c r="Q133" s="28" t="n">
        <v>0.026968773854658</v>
      </c>
      <c r="R133" s="25" t="n">
        <v>0.998571131740712</v>
      </c>
      <c r="S133" s="29" t="n">
        <v>0.120092575222617</v>
      </c>
      <c r="T133" s="27" t="n">
        <v>294.372488555233</v>
      </c>
      <c r="U133" s="27" t="n">
        <v>295</v>
      </c>
      <c r="V133" s="28" t="n">
        <v>0.0120879120879121</v>
      </c>
      <c r="W133" s="25" t="n">
        <f aca="false">(I133-H133)/(J133-H133)</f>
        <v>1.33930310212219</v>
      </c>
      <c r="X133" s="25" t="n">
        <f aca="false">0.5*(1+(I133-K133-L133)/(I133-K133))</f>
        <v>0.416666666666667</v>
      </c>
      <c r="Y133" s="25" t="n">
        <v>0.667180973458981</v>
      </c>
      <c r="Z133" s="26" t="n">
        <v>0.166327615354644</v>
      </c>
      <c r="AA133" s="27" t="n">
        <v>294.372488555233</v>
      </c>
      <c r="AB133" s="27" t="n">
        <v>145.492018412598</v>
      </c>
      <c r="AC133" s="28" t="n">
        <v>0.026968773854658</v>
      </c>
      <c r="AD133" s="25" t="n">
        <v>0.924042307525802</v>
      </c>
      <c r="AE133" s="4" t="n">
        <v>0.300458323680177</v>
      </c>
      <c r="AF133" s="25" t="n">
        <v>0.182300483711834</v>
      </c>
      <c r="AG133" s="26" t="n">
        <f aca="false">SMALL(AE133:AF133,1)</f>
        <v>0.182300483711834</v>
      </c>
      <c r="AH133" s="27" t="n">
        <v>305.148601415663</v>
      </c>
      <c r="AI133" s="28" t="n">
        <v>0.0096</v>
      </c>
      <c r="AJ133" s="25" t="n">
        <v>1.01278046506575</v>
      </c>
      <c r="AK133" s="29" t="n">
        <v>0.201161526659169</v>
      </c>
      <c r="AN133" s="4" t="n">
        <f aca="false">(N133-$N$344)/$N$345</f>
        <v>-0.418703713604557</v>
      </c>
      <c r="AO133" s="4" t="n">
        <f aca="false">(S133-$S$344)/$S$345</f>
        <v>-1.14296733068546</v>
      </c>
      <c r="AP133" s="4" t="n">
        <f aca="false">(Z133-$Z$344)/$Z$345</f>
        <v>-0.773784215286596</v>
      </c>
      <c r="AQ133" s="4" t="n">
        <f aca="false">(AE133-$AE$344)/$AE$345</f>
        <v>0.389323497727184</v>
      </c>
    </row>
    <row r="134" customFormat="false" ht="14.25" hidden="false" customHeight="false" outlineLevel="0" collapsed="false">
      <c r="A134" s="0" t="s">
        <v>53</v>
      </c>
      <c r="B134" s="1" t="n">
        <v>12</v>
      </c>
      <c r="C134" s="1" t="n">
        <v>4</v>
      </c>
      <c r="D134" s="2" t="n">
        <v>90.67</v>
      </c>
      <c r="E134" s="4" t="n">
        <v>3.269</v>
      </c>
      <c r="F134" s="1" t="n">
        <v>25</v>
      </c>
      <c r="G134" s="1" t="n">
        <v>31</v>
      </c>
      <c r="H134" s="3" t="n">
        <v>38.6362611891593</v>
      </c>
      <c r="I134" s="1" t="n">
        <v>161</v>
      </c>
      <c r="J134" s="39" t="n">
        <v>130</v>
      </c>
      <c r="K134" s="27" t="n">
        <v>83</v>
      </c>
      <c r="L134" s="39" t="n">
        <v>91</v>
      </c>
      <c r="M134" s="4" t="n">
        <v>0.18</v>
      </c>
      <c r="N134" s="26" t="n">
        <v>0.120790775953349</v>
      </c>
      <c r="O134" s="27" t="n">
        <v>226.45530266576</v>
      </c>
      <c r="P134" s="27" t="n">
        <v>145.492018412598</v>
      </c>
      <c r="Q134" s="28" t="n">
        <v>0.026968773854658</v>
      </c>
      <c r="R134" s="25" t="n">
        <v>0.671059866407495</v>
      </c>
      <c r="S134" s="29" t="n">
        <v>0.0923849935957769</v>
      </c>
      <c r="T134" s="27" t="n">
        <v>226.45530266576</v>
      </c>
      <c r="U134" s="27" t="n">
        <v>295</v>
      </c>
      <c r="V134" s="28" t="n">
        <v>0.0120879120879121</v>
      </c>
      <c r="W134" s="25" t="n">
        <f aca="false">(I134-H134)/(J134-H134)</f>
        <v>1.33930310212219</v>
      </c>
      <c r="X134" s="25" t="n">
        <f aca="false">0.5*(1+(I134-K134-L134)/(I134-K134))</f>
        <v>0.416666666666667</v>
      </c>
      <c r="Y134" s="25" t="n">
        <v>0.513249964420983</v>
      </c>
      <c r="Z134" s="26" t="n">
        <v>0.1117754998036</v>
      </c>
      <c r="AA134" s="27" t="n">
        <v>226.45530266576</v>
      </c>
      <c r="AB134" s="27" t="n">
        <v>145.492018412598</v>
      </c>
      <c r="AC134" s="28" t="n">
        <v>0.026968773854658</v>
      </c>
      <c r="AD134" s="25" t="n">
        <v>0.620974998908891</v>
      </c>
      <c r="AE134" s="4" t="n">
        <v>0.231137022897011</v>
      </c>
      <c r="AF134" s="25" t="n">
        <v>0.107884330678079</v>
      </c>
      <c r="AG134" s="26" t="n">
        <f aca="false">SMALL(AE134:AF134,1)</f>
        <v>0.107884330678079</v>
      </c>
      <c r="AH134" s="27" t="n">
        <v>234.745166679024</v>
      </c>
      <c r="AI134" s="28" t="n">
        <v>0.0096</v>
      </c>
      <c r="AJ134" s="25" t="n">
        <v>0.599357392655996</v>
      </c>
      <c r="AK134" s="29" t="n">
        <v>0.114615579789946</v>
      </c>
      <c r="AN134" s="4" t="n">
        <f aca="false">(N134-$N$344)/$N$345</f>
        <v>-1.11223454594616</v>
      </c>
      <c r="AO134" s="4" t="n">
        <f aca="false">(S134-$S$344)/$S$345</f>
        <v>-1.47717489767754</v>
      </c>
      <c r="AP134" s="4" t="n">
        <f aca="false">(Z134-$Z$344)/$Z$345</f>
        <v>-1.51476106637188</v>
      </c>
      <c r="AQ134" s="4" t="n">
        <f aca="false">(AE134-$AE$344)/$AE$345</f>
        <v>-0.484254311745138</v>
      </c>
    </row>
    <row r="135" customFormat="false" ht="14.25" hidden="false" customHeight="false" outlineLevel="0" collapsed="false">
      <c r="B135" s="1" t="n">
        <v>12</v>
      </c>
      <c r="C135" s="1" t="n">
        <v>4</v>
      </c>
      <c r="D135" s="2" t="n">
        <v>90.67</v>
      </c>
      <c r="E135" s="4" t="n">
        <v>3.269</v>
      </c>
      <c r="F135" s="1" t="n">
        <v>25</v>
      </c>
      <c r="G135" s="1" t="n">
        <v>31</v>
      </c>
      <c r="H135" s="3" t="n">
        <v>38.6362611891593</v>
      </c>
      <c r="I135" s="1" t="n">
        <v>161</v>
      </c>
      <c r="J135" s="39" t="n">
        <v>130</v>
      </c>
      <c r="K135" s="27" t="n">
        <v>83</v>
      </c>
      <c r="L135" s="39" t="n">
        <v>91</v>
      </c>
      <c r="M135" s="4" t="n">
        <v>0.2</v>
      </c>
      <c r="N135" s="26" t="n">
        <v>0.150266789833339</v>
      </c>
      <c r="O135" s="27" t="n">
        <v>260.413895610496</v>
      </c>
      <c r="P135" s="27" t="n">
        <v>145.492018412598</v>
      </c>
      <c r="Q135" s="28" t="n">
        <v>0.026968773854658</v>
      </c>
      <c r="R135" s="25" t="n">
        <v>0.751333949166693</v>
      </c>
      <c r="S135" s="29" t="n">
        <v>0.106238784409197</v>
      </c>
      <c r="T135" s="27" t="n">
        <v>260.413895610496</v>
      </c>
      <c r="U135" s="27" t="n">
        <v>295</v>
      </c>
      <c r="V135" s="28" t="n">
        <v>0.0120879120879121</v>
      </c>
      <c r="W135" s="25" t="n">
        <f aca="false">(I135-H135)/(J135-H135)</f>
        <v>1.33930310212219</v>
      </c>
      <c r="X135" s="25" t="n">
        <f aca="false">0.5*(1+(I135-K135-L135)/(I135-K135))</f>
        <v>0.416666666666667</v>
      </c>
      <c r="Y135" s="25" t="n">
        <v>0.531193922045984</v>
      </c>
      <c r="Z135" s="26" t="n">
        <v>0.139051557579122</v>
      </c>
      <c r="AA135" s="27" t="n">
        <v>260.413895610496</v>
      </c>
      <c r="AB135" s="27" t="n">
        <v>145.492018412598</v>
      </c>
      <c r="AC135" s="28" t="n">
        <v>0.026968773854658</v>
      </c>
      <c r="AD135" s="25" t="n">
        <v>0.695257787895611</v>
      </c>
      <c r="AE135" s="4" t="n">
        <v>0.265797673288594</v>
      </c>
      <c r="AF135" s="25" t="n">
        <v>0.142666396244713</v>
      </c>
      <c r="AG135" s="26" t="n">
        <f aca="false">SMALL(AE135:AF135,1)</f>
        <v>0.142666396244713</v>
      </c>
      <c r="AH135" s="27" t="n">
        <v>269.946884047344</v>
      </c>
      <c r="AI135" s="28" t="n">
        <v>0.0096</v>
      </c>
      <c r="AJ135" s="25" t="n">
        <v>0.713331981223567</v>
      </c>
      <c r="AK135" s="29" t="n">
        <v>0.157888553224557</v>
      </c>
      <c r="AN135" s="4" t="n">
        <f aca="false">(N135-$N$344)/$N$345</f>
        <v>-0.76546912977536</v>
      </c>
      <c r="AO135" s="4" t="n">
        <f aca="false">(S135-$S$344)/$S$345</f>
        <v>-1.3100711141815</v>
      </c>
      <c r="AP135" s="4" t="n">
        <f aca="false">(Z135-$Z$344)/$Z$345</f>
        <v>-1.14427264082924</v>
      </c>
      <c r="AQ135" s="4" t="n">
        <f aca="false">(AE135-$AE$344)/$AE$345</f>
        <v>-0.0474654070089772</v>
      </c>
    </row>
    <row r="136" customFormat="false" ht="14.25" hidden="false" customHeight="false" outlineLevel="0" collapsed="false">
      <c r="B136" s="1" t="n">
        <v>12</v>
      </c>
      <c r="C136" s="1" t="n">
        <v>4</v>
      </c>
      <c r="D136" s="2" t="n">
        <v>90.67</v>
      </c>
      <c r="E136" s="4" t="n">
        <v>3.269</v>
      </c>
      <c r="F136" s="1" t="n">
        <v>25</v>
      </c>
      <c r="G136" s="1" t="n">
        <v>31</v>
      </c>
      <c r="H136" s="3" t="n">
        <v>38.6362611891593</v>
      </c>
      <c r="I136" s="1" t="n">
        <v>161</v>
      </c>
      <c r="J136" s="39" t="n">
        <v>130</v>
      </c>
      <c r="K136" s="27" t="n">
        <v>83</v>
      </c>
      <c r="L136" s="39" t="n">
        <v>91</v>
      </c>
      <c r="M136" s="4" t="n">
        <v>0.23</v>
      </c>
      <c r="N136" s="26" t="n">
        <v>0.179742803713328</v>
      </c>
      <c r="O136" s="27" t="n">
        <v>294.372488555233</v>
      </c>
      <c r="P136" s="27" t="n">
        <v>145.492018412598</v>
      </c>
      <c r="Q136" s="28" t="n">
        <v>0.026968773854658</v>
      </c>
      <c r="R136" s="25" t="n">
        <v>0.781490450927514</v>
      </c>
      <c r="S136" s="29" t="n">
        <v>0.120092575222617</v>
      </c>
      <c r="T136" s="27" t="n">
        <v>294.372488555233</v>
      </c>
      <c r="U136" s="27" t="n">
        <v>295</v>
      </c>
      <c r="V136" s="28" t="n">
        <v>0.0120879120879121</v>
      </c>
      <c r="W136" s="25" t="n">
        <f aca="false">(I136-H136)/(J136-H136)</f>
        <v>1.33930310212219</v>
      </c>
      <c r="X136" s="25" t="n">
        <f aca="false">0.5*(1+(I136-K136-L136)/(I136-K136))</f>
        <v>0.416666666666667</v>
      </c>
      <c r="Y136" s="25" t="n">
        <v>0.522141631402681</v>
      </c>
      <c r="Z136" s="26" t="n">
        <v>0.166327615354644</v>
      </c>
      <c r="AA136" s="27" t="n">
        <v>294.372488555233</v>
      </c>
      <c r="AB136" s="27" t="n">
        <v>145.492018412598</v>
      </c>
      <c r="AC136" s="28" t="n">
        <v>0.026968773854658</v>
      </c>
      <c r="AD136" s="25" t="n">
        <v>0.723163545020193</v>
      </c>
      <c r="AE136" s="4" t="n">
        <v>0.300458323680177</v>
      </c>
      <c r="AF136" s="25" t="n">
        <v>0.182300483711834</v>
      </c>
      <c r="AG136" s="26" t="n">
        <f aca="false">SMALL(AE136:AF136,1)</f>
        <v>0.182300483711834</v>
      </c>
      <c r="AH136" s="27" t="n">
        <v>305.148601415663</v>
      </c>
      <c r="AI136" s="28" t="n">
        <v>0.0096</v>
      </c>
      <c r="AJ136" s="25" t="n">
        <v>0.792610798747106</v>
      </c>
      <c r="AK136" s="29" t="n">
        <v>0.201161526659169</v>
      </c>
      <c r="AN136" s="4" t="n">
        <f aca="false">(N136-$N$344)/$N$345</f>
        <v>-0.418703713604557</v>
      </c>
      <c r="AO136" s="4" t="n">
        <f aca="false">(S136-$S$344)/$S$345</f>
        <v>-1.14296733068546</v>
      </c>
      <c r="AP136" s="4" t="n">
        <f aca="false">(Z136-$Z$344)/$Z$345</f>
        <v>-0.773784215286596</v>
      </c>
      <c r="AQ136" s="4" t="n">
        <f aca="false">(AE136-$AE$344)/$AE$345</f>
        <v>0.389323497727184</v>
      </c>
    </row>
    <row r="137" customFormat="false" ht="14.25" hidden="false" customHeight="false" outlineLevel="0" collapsed="false">
      <c r="A137" s="0" t="s">
        <v>54</v>
      </c>
      <c r="B137" s="1" t="n">
        <v>10</v>
      </c>
      <c r="C137" s="1" t="n">
        <v>1</v>
      </c>
      <c r="D137" s="2" t="n">
        <v>45</v>
      </c>
      <c r="E137" s="4" t="n">
        <v>2.8</v>
      </c>
      <c r="F137" s="1" t="n">
        <v>40</v>
      </c>
      <c r="G137" s="1" t="n">
        <v>45</v>
      </c>
      <c r="H137" s="3" t="n">
        <v>43.4459689087927</v>
      </c>
      <c r="I137" s="1" t="n">
        <v>250</v>
      </c>
      <c r="J137" s="39" t="n">
        <v>205</v>
      </c>
      <c r="K137" s="27" t="n">
        <v>127</v>
      </c>
      <c r="L137" s="39" t="n">
        <v>95</v>
      </c>
      <c r="M137" s="4" t="n">
        <v>0.16</v>
      </c>
      <c r="N137" s="26" t="n">
        <v>0.165127211242677</v>
      </c>
      <c r="O137" s="27" t="n">
        <v>274.143632212731</v>
      </c>
      <c r="P137" s="27" t="n">
        <v>266.421619941553</v>
      </c>
      <c r="Q137" s="28" t="n">
        <v>0.0114013751634802</v>
      </c>
      <c r="R137" s="25" t="n">
        <v>1.03204507026673</v>
      </c>
      <c r="S137" s="29" t="n">
        <v>0.162851279564335</v>
      </c>
      <c r="T137" s="27" t="n">
        <v>274.143632212731</v>
      </c>
      <c r="U137" s="27" t="n">
        <v>360</v>
      </c>
      <c r="V137" s="28" t="n">
        <v>0.00826315789473684</v>
      </c>
      <c r="W137" s="25" t="n">
        <f aca="false">(I137-H137)/(J137-H137)</f>
        <v>1.27854458162418</v>
      </c>
      <c r="X137" s="25" t="n">
        <f aca="false">0.5*(1+(I137-K137-L137)/(I137-K137))</f>
        <v>0.613821138211382</v>
      </c>
      <c r="Y137" s="25" t="n">
        <v>1.01782049727709</v>
      </c>
      <c r="Z137" s="26" t="n">
        <v>0.209356261929807</v>
      </c>
      <c r="AA137" s="27" t="n">
        <v>274.143632212731</v>
      </c>
      <c r="AB137" s="27" t="n">
        <v>266.421619941553</v>
      </c>
      <c r="AC137" s="28" t="n">
        <v>0.0114013751634802</v>
      </c>
      <c r="AD137" s="25" t="n">
        <v>1.30847663706129</v>
      </c>
      <c r="AE137" s="4" t="n">
        <v>0.231875216932936</v>
      </c>
      <c r="AF137" s="25" t="n">
        <v>0.134918611549185</v>
      </c>
      <c r="AG137" s="26" t="n">
        <f aca="false">SMALL(AE137:AF137,1)</f>
        <v>0.134918611549185</v>
      </c>
      <c r="AH137" s="27" t="n">
        <v>281.659623643363</v>
      </c>
      <c r="AI137" s="28" t="n">
        <v>0.0084</v>
      </c>
      <c r="AJ137" s="25" t="n">
        <v>0.843241322182408</v>
      </c>
      <c r="AK137" s="29" t="n">
        <v>0.185424568573311</v>
      </c>
      <c r="AN137" s="4" t="n">
        <f aca="false">(N137-$N$344)/$N$345</f>
        <v>-0.590646298049761</v>
      </c>
      <c r="AO137" s="4" t="n">
        <f aca="false">(S137-$S$344)/$S$345</f>
        <v>-0.627213818226747</v>
      </c>
      <c r="AP137" s="4" t="n">
        <f aca="false">(Z137-$Z$344)/$Z$345</f>
        <v>-0.189329685454614</v>
      </c>
      <c r="AQ137" s="4" t="n">
        <f aca="false">(AE137-$AE$344)/$AE$345</f>
        <v>-0.474951688718977</v>
      </c>
    </row>
    <row r="138" customFormat="false" ht="14.25" hidden="false" customHeight="false" outlineLevel="0" collapsed="false">
      <c r="B138" s="1" t="n">
        <v>10</v>
      </c>
      <c r="C138" s="1" t="n">
        <v>1</v>
      </c>
      <c r="D138" s="2" t="n">
        <v>45</v>
      </c>
      <c r="E138" s="4" t="n">
        <v>2.8</v>
      </c>
      <c r="F138" s="1" t="n">
        <v>40</v>
      </c>
      <c r="G138" s="1" t="n">
        <v>45</v>
      </c>
      <c r="H138" s="3" t="n">
        <v>43.4459689087927</v>
      </c>
      <c r="I138" s="1" t="n">
        <v>250</v>
      </c>
      <c r="J138" s="39" t="n">
        <v>205</v>
      </c>
      <c r="K138" s="27" t="n">
        <v>127</v>
      </c>
      <c r="L138" s="39" t="n">
        <v>95</v>
      </c>
      <c r="M138" s="4" t="n">
        <v>0.18</v>
      </c>
      <c r="N138" s="26" t="n">
        <v>0.194108885132405</v>
      </c>
      <c r="O138" s="27" t="n">
        <v>294.202922374639</v>
      </c>
      <c r="P138" s="27" t="n">
        <v>266.421619941553</v>
      </c>
      <c r="Q138" s="28" t="n">
        <v>0.0114013751634802</v>
      </c>
      <c r="R138" s="25" t="n">
        <v>1.07838269518003</v>
      </c>
      <c r="S138" s="29" t="n">
        <v>0.17476722684953</v>
      </c>
      <c r="T138" s="27" t="n">
        <v>294.202922374639</v>
      </c>
      <c r="U138" s="27" t="n">
        <v>360</v>
      </c>
      <c r="V138" s="28" t="n">
        <v>0.00826315789473684</v>
      </c>
      <c r="W138" s="25" t="n">
        <f aca="false">(I138-H138)/(J138-H138)</f>
        <v>1.27854458162418</v>
      </c>
      <c r="X138" s="25" t="n">
        <f aca="false">0.5*(1+(I138-K138-L138)/(I138-K138))</f>
        <v>0.613821138211382</v>
      </c>
      <c r="Y138" s="25" t="n">
        <v>0.970929038052946</v>
      </c>
      <c r="Z138" s="26" t="n">
        <v>0.224675012802719</v>
      </c>
      <c r="AA138" s="27" t="n">
        <v>294.202922374639</v>
      </c>
      <c r="AB138" s="27" t="n">
        <v>266.421619941553</v>
      </c>
      <c r="AC138" s="28" t="n">
        <v>0.0114013751634802</v>
      </c>
      <c r="AD138" s="25" t="n">
        <v>1.24819451557066</v>
      </c>
      <c r="AE138" s="4" t="n">
        <v>0.248841696220712</v>
      </c>
      <c r="AF138" s="25" t="n">
        <v>0.15538514691209</v>
      </c>
      <c r="AG138" s="26" t="n">
        <f aca="false">SMALL(AE138:AF138,1)</f>
        <v>0.15538514691209</v>
      </c>
      <c r="AH138" s="27" t="n">
        <v>302.268864397756</v>
      </c>
      <c r="AI138" s="28" t="n">
        <v>0.0084</v>
      </c>
      <c r="AJ138" s="25" t="n">
        <v>0.863250816178276</v>
      </c>
      <c r="AK138" s="29" t="n">
        <v>0.216613561395749</v>
      </c>
      <c r="AN138" s="4" t="n">
        <f aca="false">(N138-$N$344)/$N$345</f>
        <v>-0.249696458338886</v>
      </c>
      <c r="AO138" s="4" t="n">
        <f aca="false">(S138-$S$344)/$S$345</f>
        <v>-0.483484213664894</v>
      </c>
      <c r="AP138" s="4" t="n">
        <f aca="false">(Z138-$Z$344)/$Z$345</f>
        <v>0.0187436343371701</v>
      </c>
      <c r="AQ138" s="4" t="n">
        <f aca="false">(AE138-$AE$344)/$AE$345</f>
        <v>-0.261142374075069</v>
      </c>
    </row>
    <row r="139" customFormat="false" ht="14.25" hidden="false" customHeight="false" outlineLevel="0" collapsed="false">
      <c r="B139" s="1" t="n">
        <v>10</v>
      </c>
      <c r="C139" s="1" t="n">
        <v>1</v>
      </c>
      <c r="D139" s="2" t="n">
        <v>45</v>
      </c>
      <c r="E139" s="4" t="n">
        <v>2.8</v>
      </c>
      <c r="F139" s="1" t="n">
        <v>40</v>
      </c>
      <c r="G139" s="1" t="n">
        <v>45</v>
      </c>
      <c r="H139" s="3" t="n">
        <v>43.4459689087927</v>
      </c>
      <c r="I139" s="1" t="n">
        <v>250</v>
      </c>
      <c r="J139" s="39" t="n">
        <v>205</v>
      </c>
      <c r="K139" s="27" t="n">
        <v>127</v>
      </c>
      <c r="L139" s="39" t="n">
        <v>95</v>
      </c>
      <c r="M139" s="4" t="n">
        <v>0.2</v>
      </c>
      <c r="N139" s="26" t="n">
        <v>0.22695478220743</v>
      </c>
      <c r="O139" s="27" t="n">
        <v>316.936784558133</v>
      </c>
      <c r="P139" s="27" t="n">
        <v>266.421619941553</v>
      </c>
      <c r="Q139" s="28" t="n">
        <v>0.0114013751634802</v>
      </c>
      <c r="R139" s="25" t="n">
        <v>1.13477391103715</v>
      </c>
      <c r="S139" s="29" t="n">
        <v>0.188271967106085</v>
      </c>
      <c r="T139" s="27" t="n">
        <v>316.936784558133</v>
      </c>
      <c r="U139" s="27" t="n">
        <v>360</v>
      </c>
      <c r="V139" s="28" t="n">
        <v>0.00826315789473684</v>
      </c>
      <c r="W139" s="25" t="n">
        <f aca="false">(I139-H139)/(J139-H139)</f>
        <v>1.27854458162418</v>
      </c>
      <c r="X139" s="25" t="n">
        <f aca="false">0.5*(1+(I139-K139-L139)/(I139-K139))</f>
        <v>0.613821138211382</v>
      </c>
      <c r="Y139" s="25" t="n">
        <v>0.941359835530424</v>
      </c>
      <c r="Z139" s="26" t="n">
        <v>0.242036263792021</v>
      </c>
      <c r="AA139" s="27" t="n">
        <v>316.936784558133</v>
      </c>
      <c r="AB139" s="27" t="n">
        <v>266.421619941553</v>
      </c>
      <c r="AC139" s="28" t="n">
        <v>0.0114013751634802</v>
      </c>
      <c r="AD139" s="25" t="n">
        <v>1.2101813189601</v>
      </c>
      <c r="AE139" s="4" t="n">
        <v>0.268070372746858</v>
      </c>
      <c r="AF139" s="25" t="n">
        <v>0.180327031341016</v>
      </c>
      <c r="AG139" s="26" t="n">
        <f aca="false">SMALL(AE139:AF139,1)</f>
        <v>0.180327031341016</v>
      </c>
      <c r="AH139" s="27" t="n">
        <v>325.6260039194</v>
      </c>
      <c r="AI139" s="28" t="n">
        <v>0.0084</v>
      </c>
      <c r="AJ139" s="25" t="n">
        <v>0.901635156705079</v>
      </c>
      <c r="AK139" s="29" t="n">
        <v>0.251961086594511</v>
      </c>
      <c r="AN139" s="4" t="n">
        <f aca="false">(N139-$N$344)/$N$345</f>
        <v>0.136713360000105</v>
      </c>
      <c r="AO139" s="4" t="n">
        <f aca="false">(S139-$S$344)/$S$345</f>
        <v>-0.320590661828129</v>
      </c>
      <c r="AP139" s="4" t="n">
        <f aca="false">(Z139-$Z$344)/$Z$345</f>
        <v>0.254560063434526</v>
      </c>
      <c r="AQ139" s="4" t="n">
        <f aca="false">(AE139-$AE$344)/$AE$345</f>
        <v>-0.0188251508119741</v>
      </c>
    </row>
    <row r="140" customFormat="false" ht="14.25" hidden="false" customHeight="false" outlineLevel="0" collapsed="false">
      <c r="B140" s="1" t="n">
        <v>10</v>
      </c>
      <c r="C140" s="1" t="n">
        <v>1</v>
      </c>
      <c r="D140" s="2" t="n">
        <v>45</v>
      </c>
      <c r="E140" s="4" t="n">
        <v>2.8</v>
      </c>
      <c r="F140" s="1" t="n">
        <v>40</v>
      </c>
      <c r="G140" s="1" t="n">
        <v>45</v>
      </c>
      <c r="H140" s="3" t="n">
        <v>43.4459689087927</v>
      </c>
      <c r="I140" s="1" t="n">
        <v>250</v>
      </c>
      <c r="J140" s="39" t="n">
        <v>205</v>
      </c>
      <c r="K140" s="27" t="n">
        <v>127</v>
      </c>
      <c r="L140" s="39" t="n">
        <v>95</v>
      </c>
      <c r="M140" s="4" t="n">
        <v>0.22</v>
      </c>
      <c r="N140" s="26" t="n">
        <v>0.255936456097158</v>
      </c>
      <c r="O140" s="27" t="n">
        <v>336.996074720041</v>
      </c>
      <c r="P140" s="27" t="n">
        <v>266.421619941553</v>
      </c>
      <c r="Q140" s="28" t="n">
        <v>0.0114013751634802</v>
      </c>
      <c r="R140" s="25" t="n">
        <v>1.16334752771435</v>
      </c>
      <c r="S140" s="29" t="n">
        <v>0.20018791439128</v>
      </c>
      <c r="T140" s="27" t="n">
        <v>336.996074720041</v>
      </c>
      <c r="U140" s="27" t="n">
        <v>360</v>
      </c>
      <c r="V140" s="28" t="n">
        <v>0.00826315789473684</v>
      </c>
      <c r="W140" s="25" t="n">
        <f aca="false">(I140-H140)/(J140-H140)</f>
        <v>1.27854458162418</v>
      </c>
      <c r="X140" s="25" t="n">
        <f aca="false">0.5*(1+(I140-K140-L140)/(I140-K140))</f>
        <v>0.613821138211382</v>
      </c>
      <c r="Y140" s="25" t="n">
        <v>0.909945065414909</v>
      </c>
      <c r="Z140" s="26" t="n">
        <v>0.257355014664933</v>
      </c>
      <c r="AA140" s="27" t="n">
        <v>336.996074720041</v>
      </c>
      <c r="AB140" s="27" t="n">
        <v>266.421619941553</v>
      </c>
      <c r="AC140" s="28" t="n">
        <v>0.0114013751634802</v>
      </c>
      <c r="AD140" s="25" t="n">
        <v>1.16979552120424</v>
      </c>
      <c r="AE140" s="4" t="n">
        <v>0.285036852034634</v>
      </c>
      <c r="AF140" s="25" t="n">
        <v>0.203875586146805</v>
      </c>
      <c r="AG140" s="26" t="n">
        <f aca="false">SMALL(AE140:AF140,1)</f>
        <v>0.203875586146805</v>
      </c>
      <c r="AH140" s="27" t="n">
        <v>346.235244673793</v>
      </c>
      <c r="AI140" s="28" t="n">
        <v>0.0084</v>
      </c>
      <c r="AJ140" s="25" t="n">
        <v>0.926707209758203</v>
      </c>
      <c r="AK140" s="29" t="n">
        <v>0.283150079416948</v>
      </c>
      <c r="AN140" s="4" t="n">
        <f aca="false">(N140-$N$344)/$N$345</f>
        <v>0.477663199710979</v>
      </c>
      <c r="AO140" s="4" t="n">
        <f aca="false">(S140-$S$344)/$S$345</f>
        <v>-0.176861057266276</v>
      </c>
      <c r="AP140" s="4" t="n">
        <f aca="false">(Z140-$Z$344)/$Z$345</f>
        <v>0.462633383226311</v>
      </c>
      <c r="AQ140" s="4" t="n">
        <f aca="false">(AE140-$AE$344)/$AE$345</f>
        <v>0.194984163831933</v>
      </c>
    </row>
    <row r="141" customFormat="false" ht="14.25" hidden="false" customHeight="false" outlineLevel="0" collapsed="false">
      <c r="B141" s="1" t="n">
        <v>10</v>
      </c>
      <c r="C141" s="1" t="n">
        <v>1</v>
      </c>
      <c r="D141" s="2" t="n">
        <v>45</v>
      </c>
      <c r="E141" s="4" t="n">
        <v>2.8</v>
      </c>
      <c r="F141" s="1" t="n">
        <v>40</v>
      </c>
      <c r="G141" s="1" t="n">
        <v>45</v>
      </c>
      <c r="H141" s="3" t="n">
        <v>43.4459689087927</v>
      </c>
      <c r="I141" s="1" t="n">
        <v>250</v>
      </c>
      <c r="J141" s="39" t="n">
        <v>205</v>
      </c>
      <c r="K141" s="27" t="n">
        <v>127</v>
      </c>
      <c r="L141" s="39" t="n">
        <v>95</v>
      </c>
      <c r="M141" s="4" t="n">
        <v>0.24</v>
      </c>
      <c r="N141" s="26" t="n">
        <v>0.288782353172183</v>
      </c>
      <c r="O141" s="27" t="n">
        <v>359.729936903535</v>
      </c>
      <c r="P141" s="27" t="n">
        <v>266.421619941553</v>
      </c>
      <c r="Q141" s="28" t="n">
        <v>0.0114013751634802</v>
      </c>
      <c r="R141" s="25" t="n">
        <v>1.20325980488409</v>
      </c>
      <c r="S141" s="29" t="n">
        <v>0.213727605740981</v>
      </c>
      <c r="T141" s="27" t="n">
        <v>359.729936903535</v>
      </c>
      <c r="U141" s="27" t="n">
        <v>360</v>
      </c>
      <c r="V141" s="28" t="n">
        <v>0.00826315789473684</v>
      </c>
      <c r="W141" s="25" t="n">
        <f aca="false">(I141-H141)/(J141-H141)</f>
        <v>1.27854458162418</v>
      </c>
      <c r="X141" s="25" t="n">
        <f aca="false">0.5*(1+(I141-K141-L141)/(I141-K141))</f>
        <v>0.613821138211382</v>
      </c>
      <c r="Y141" s="25" t="n">
        <v>0.89053169058742</v>
      </c>
      <c r="Z141" s="26" t="n">
        <v>0.274716265654234</v>
      </c>
      <c r="AA141" s="27" t="n">
        <v>359.729936903535</v>
      </c>
      <c r="AB141" s="27" t="n">
        <v>266.421619941553</v>
      </c>
      <c r="AC141" s="28" t="n">
        <v>0.0114013751634802</v>
      </c>
      <c r="AD141" s="25" t="n">
        <v>1.14465110689264</v>
      </c>
      <c r="AE141" s="4" t="n">
        <v>0.30426552856078</v>
      </c>
      <c r="AF141" s="25" t="n">
        <v>0.232310425944333</v>
      </c>
      <c r="AG141" s="26" t="n">
        <f aca="false">SMALL(AE141:AF141,1)</f>
        <v>0.232310425944333</v>
      </c>
      <c r="AH141" s="27" t="n">
        <v>369.592384195438</v>
      </c>
      <c r="AI141" s="28" t="n">
        <v>0.0084</v>
      </c>
      <c r="AJ141" s="25" t="n">
        <v>0.967960108101388</v>
      </c>
      <c r="AK141" s="29" t="n">
        <v>0.318497604615711</v>
      </c>
      <c r="AN141" s="4" t="n">
        <f aca="false">(N141-$N$344)/$N$345</f>
        <v>0.864073018049968</v>
      </c>
      <c r="AO141" s="4" t="n">
        <f aca="false">(S141-$S$344)/$S$345</f>
        <v>-0.0135459269618773</v>
      </c>
      <c r="AP141" s="4" t="n">
        <f aca="false">(Z141-$Z$344)/$Z$345</f>
        <v>0.698449812323666</v>
      </c>
      <c r="AQ141" s="4" t="n">
        <f aca="false">(AE141-$AE$344)/$AE$345</f>
        <v>0.437301387095028</v>
      </c>
    </row>
    <row r="142" customFormat="false" ht="14.25" hidden="false" customHeight="false" outlineLevel="0" collapsed="false">
      <c r="B142" s="1" t="n">
        <v>10</v>
      </c>
      <c r="C142" s="1" t="n">
        <v>1</v>
      </c>
      <c r="D142" s="2" t="n">
        <v>45</v>
      </c>
      <c r="E142" s="4" t="n">
        <v>2.8</v>
      </c>
      <c r="F142" s="1" t="n">
        <v>40</v>
      </c>
      <c r="G142" s="1" t="n">
        <v>45</v>
      </c>
      <c r="H142" s="3" t="n">
        <v>43.4459689087927</v>
      </c>
      <c r="I142" s="1" t="n">
        <v>250</v>
      </c>
      <c r="J142" s="39" t="n">
        <v>205</v>
      </c>
      <c r="K142" s="27" t="n">
        <v>127</v>
      </c>
      <c r="L142" s="39" t="n">
        <v>95</v>
      </c>
      <c r="M142" s="4" t="n">
        <v>0.26</v>
      </c>
      <c r="N142" s="26" t="n">
        <v>0.31776402706191</v>
      </c>
      <c r="O142" s="27" t="n">
        <v>379.789227065442</v>
      </c>
      <c r="P142" s="27" t="n">
        <v>266.421619941553</v>
      </c>
      <c r="Q142" s="28" t="n">
        <v>0.0114013751634802</v>
      </c>
      <c r="R142" s="25" t="n">
        <v>1.2221693348535</v>
      </c>
      <c r="S142" s="29" t="n">
        <v>0.243517473953969</v>
      </c>
      <c r="T142" s="27" t="n">
        <v>379.789227065442</v>
      </c>
      <c r="U142" s="27" t="n">
        <v>360</v>
      </c>
      <c r="V142" s="28" t="n">
        <v>0.00826315789473684</v>
      </c>
      <c r="W142" s="25" t="n">
        <f aca="false">(I142-H142)/(J142-H142)</f>
        <v>1.27854458162418</v>
      </c>
      <c r="X142" s="25" t="n">
        <f aca="false">0.5*(1+(I142-K142-L142)/(I142-K142))</f>
        <v>0.613821138211382</v>
      </c>
      <c r="Y142" s="25" t="n">
        <v>0.936605669053726</v>
      </c>
      <c r="Z142" s="26" t="n">
        <v>0.290035016527147</v>
      </c>
      <c r="AA142" s="27" t="n">
        <v>379.789227065442</v>
      </c>
      <c r="AB142" s="27" t="n">
        <v>266.421619941553</v>
      </c>
      <c r="AC142" s="28" t="n">
        <v>0.0114013751634802</v>
      </c>
      <c r="AD142" s="25" t="n">
        <v>1.11551929433518</v>
      </c>
      <c r="AE142" s="4" t="n">
        <v>0.321232007848556</v>
      </c>
      <c r="AF142" s="25" t="n">
        <v>0.258941000193006</v>
      </c>
      <c r="AG142" s="26" t="n">
        <f aca="false">SMALL(AE142:AF142,1)</f>
        <v>0.258941000193006</v>
      </c>
      <c r="AH142" s="27" t="n">
        <v>390.20162494983</v>
      </c>
      <c r="AI142" s="28" t="n">
        <v>0.0084</v>
      </c>
      <c r="AJ142" s="25" t="n">
        <v>0.995926923819255</v>
      </c>
      <c r="AK142" s="29" t="n">
        <v>0.349686597438148</v>
      </c>
      <c r="AN142" s="4" t="n">
        <f aca="false">(N142-$N$344)/$N$345</f>
        <v>1.20502285776084</v>
      </c>
      <c r="AO142" s="4" t="n">
        <f aca="false">(S142-$S$344)/$S$345</f>
        <v>0.345778084442754</v>
      </c>
      <c r="AP142" s="4" t="n">
        <f aca="false">(Z142-$Z$344)/$Z$345</f>
        <v>0.90652313211545</v>
      </c>
      <c r="AQ142" s="4" t="n">
        <f aca="false">(AE142-$AE$344)/$AE$345</f>
        <v>0.651110701738933</v>
      </c>
    </row>
    <row r="143" customFormat="false" ht="14.25" hidden="false" customHeight="false" outlineLevel="0" collapsed="false">
      <c r="B143" s="1" t="n">
        <v>10</v>
      </c>
      <c r="C143" s="1" t="n">
        <v>1</v>
      </c>
      <c r="D143" s="2" t="n">
        <v>45</v>
      </c>
      <c r="E143" s="4" t="n">
        <v>2.8</v>
      </c>
      <c r="F143" s="1" t="n">
        <v>40</v>
      </c>
      <c r="G143" s="1" t="n">
        <v>45</v>
      </c>
      <c r="H143" s="3" t="n">
        <v>43.4459689087927</v>
      </c>
      <c r="I143" s="1" t="n">
        <v>250</v>
      </c>
      <c r="J143" s="39" t="n">
        <v>205</v>
      </c>
      <c r="K143" s="27" t="n">
        <v>127</v>
      </c>
      <c r="L143" s="39" t="n">
        <v>95</v>
      </c>
      <c r="M143" s="4" t="n">
        <v>0.28</v>
      </c>
      <c r="N143" s="26" t="n">
        <v>0.352542035729584</v>
      </c>
      <c r="O143" s="27" t="n">
        <v>403.860375259731</v>
      </c>
      <c r="P143" s="27" t="n">
        <v>266.421619941553</v>
      </c>
      <c r="Q143" s="28" t="n">
        <v>0.0114013751634802</v>
      </c>
      <c r="R143" s="25" t="n">
        <v>1.25907869903423</v>
      </c>
      <c r="S143" s="29" t="n">
        <v>0.279265315809555</v>
      </c>
      <c r="T143" s="27" t="n">
        <v>403.860375259731</v>
      </c>
      <c r="U143" s="27" t="n">
        <v>360</v>
      </c>
      <c r="V143" s="28" t="n">
        <v>0.00826315789473684</v>
      </c>
      <c r="W143" s="25" t="n">
        <f aca="false">(I143-H143)/(J143-H143)</f>
        <v>1.27854458162418</v>
      </c>
      <c r="X143" s="25" t="n">
        <f aca="false">0.5*(1+(I143-K143-L143)/(I143-K143))</f>
        <v>0.613821138211382</v>
      </c>
      <c r="Y143" s="25" t="n">
        <v>0.997376127891266</v>
      </c>
      <c r="Z143" s="26" t="n">
        <v>0.31057003114677</v>
      </c>
      <c r="AA143" s="27" t="n">
        <v>403.860375259731</v>
      </c>
      <c r="AB143" s="27" t="n">
        <v>266.421619941553</v>
      </c>
      <c r="AC143" s="28" t="n">
        <v>0.0114013751634802</v>
      </c>
      <c r="AD143" s="25" t="n">
        <v>1.10917868266704</v>
      </c>
      <c r="AE143" s="4" t="n">
        <v>0.341591782993887</v>
      </c>
      <c r="AF143" s="25" t="n">
        <v>0.292804688821699</v>
      </c>
      <c r="AG143" s="26" t="n">
        <f aca="false">SMALL(AE143:AF143,1)</f>
        <v>0.292804688821699</v>
      </c>
      <c r="AH143" s="27" t="n">
        <v>414.932713855101</v>
      </c>
      <c r="AI143" s="28" t="n">
        <v>0.0084</v>
      </c>
      <c r="AJ143" s="25" t="n">
        <v>1.04573103150607</v>
      </c>
      <c r="AK143" s="29" t="n">
        <v>0.387113388825073</v>
      </c>
      <c r="AN143" s="4" t="n">
        <f aca="false">(N143-$N$344)/$N$345</f>
        <v>1.61416266541389</v>
      </c>
      <c r="AO143" s="4" t="n">
        <f aca="false">(S143-$S$344)/$S$345</f>
        <v>0.776966898128311</v>
      </c>
      <c r="AP143" s="4" t="n">
        <f aca="false">(Z143-$Z$344)/$Z$345</f>
        <v>1.18544852879601</v>
      </c>
      <c r="AQ143" s="4" t="n">
        <f aca="false">(AE143-$AE$344)/$AE$345</f>
        <v>0.907681879311623</v>
      </c>
    </row>
    <row r="144" customFormat="false" ht="14.25" hidden="false" customHeight="false" outlineLevel="0" collapsed="false">
      <c r="A144" s="0" t="s">
        <v>55</v>
      </c>
      <c r="B144" s="1" t="n">
        <v>10</v>
      </c>
      <c r="C144" s="1" t="n">
        <v>1</v>
      </c>
      <c r="D144" s="2" t="n">
        <v>45</v>
      </c>
      <c r="E144" s="4" t="n">
        <v>2.8</v>
      </c>
      <c r="F144" s="1" t="n">
        <v>40</v>
      </c>
      <c r="G144" s="1" t="n">
        <v>45</v>
      </c>
      <c r="H144" s="3" t="n">
        <v>43.4459689087927</v>
      </c>
      <c r="I144" s="1" t="n">
        <v>250</v>
      </c>
      <c r="J144" s="39" t="n">
        <v>205</v>
      </c>
      <c r="K144" s="27" t="n">
        <v>127</v>
      </c>
      <c r="L144" s="39" t="n">
        <v>95</v>
      </c>
      <c r="M144" s="4" t="n">
        <v>0.15</v>
      </c>
      <c r="N144" s="26" t="n">
        <v>0.132281314167652</v>
      </c>
      <c r="O144" s="27" t="n">
        <v>251.409770029237</v>
      </c>
      <c r="P144" s="27" t="n">
        <v>266.421619941553</v>
      </c>
      <c r="Q144" s="28" t="n">
        <v>0.0114013751634802</v>
      </c>
      <c r="R144" s="25" t="n">
        <v>0.88187542778435</v>
      </c>
      <c r="S144" s="29" t="n">
        <v>0.14934653930778</v>
      </c>
      <c r="T144" s="27" t="n">
        <v>251.409770029237</v>
      </c>
      <c r="U144" s="27" t="n">
        <v>360</v>
      </c>
      <c r="V144" s="28" t="n">
        <v>0.00826315789473684</v>
      </c>
      <c r="W144" s="25" t="n">
        <f aca="false">(I144-H144)/(J144-H144)</f>
        <v>1.27854458162418</v>
      </c>
      <c r="X144" s="25" t="n">
        <f aca="false">0.5*(1+(I144-K144-L144)/(I144-K144))</f>
        <v>0.613821138211382</v>
      </c>
      <c r="Y144" s="25" t="n">
        <v>0.995643595385202</v>
      </c>
      <c r="Z144" s="26" t="n">
        <v>0.191995010940506</v>
      </c>
      <c r="AA144" s="27" t="n">
        <v>251.409770029237</v>
      </c>
      <c r="AB144" s="27" t="n">
        <v>266.421619941553</v>
      </c>
      <c r="AC144" s="28" t="n">
        <v>0.0114013751634802</v>
      </c>
      <c r="AD144" s="25" t="n">
        <v>1.27996673960337</v>
      </c>
      <c r="AE144" s="4" t="n">
        <v>0.21264654040679</v>
      </c>
      <c r="AF144" s="25" t="n">
        <v>0.113469682488862</v>
      </c>
      <c r="AG144" s="26" t="n">
        <f aca="false">SMALL(AE144:AF144,1)</f>
        <v>0.113469682488862</v>
      </c>
      <c r="AH144" s="27" t="n">
        <v>258.302484121718</v>
      </c>
      <c r="AI144" s="28" t="n">
        <v>0.0084</v>
      </c>
      <c r="AJ144" s="25" t="n">
        <v>0.756464549925744</v>
      </c>
      <c r="AK144" s="29" t="n">
        <v>0.150077043374549</v>
      </c>
      <c r="AN144" s="4" t="n">
        <f aca="false">(N144-$N$344)/$N$345</f>
        <v>-0.977056116388752</v>
      </c>
      <c r="AO144" s="4" t="n">
        <f aca="false">(S144-$S$344)/$S$345</f>
        <v>-0.790107370063513</v>
      </c>
      <c r="AP144" s="4" t="n">
        <f aca="false">(Z144-$Z$344)/$Z$345</f>
        <v>-0.42514611455197</v>
      </c>
      <c r="AQ144" s="4" t="n">
        <f aca="false">(AE144-$AE$344)/$AE$345</f>
        <v>-0.717268911982071</v>
      </c>
    </row>
    <row r="145" customFormat="false" ht="14.25" hidden="false" customHeight="false" outlineLevel="0" collapsed="false">
      <c r="B145" s="1" t="n">
        <v>10</v>
      </c>
      <c r="C145" s="1" t="n">
        <v>1</v>
      </c>
      <c r="D145" s="2" t="n">
        <v>45</v>
      </c>
      <c r="E145" s="4" t="n">
        <v>2.8</v>
      </c>
      <c r="F145" s="1" t="n">
        <v>40</v>
      </c>
      <c r="G145" s="1" t="n">
        <v>45</v>
      </c>
      <c r="H145" s="3" t="n">
        <v>43.4459689087927</v>
      </c>
      <c r="I145" s="1" t="n">
        <v>250</v>
      </c>
      <c r="J145" s="39" t="n">
        <v>205</v>
      </c>
      <c r="K145" s="27" t="n">
        <v>127</v>
      </c>
      <c r="L145" s="39" t="n">
        <v>95</v>
      </c>
      <c r="M145" s="4" t="n">
        <v>0.17</v>
      </c>
      <c r="N145" s="26" t="n">
        <v>0.165127211242677</v>
      </c>
      <c r="O145" s="27" t="n">
        <v>274.143632212731</v>
      </c>
      <c r="P145" s="27" t="n">
        <v>266.421619941553</v>
      </c>
      <c r="Q145" s="28" t="n">
        <v>0.0114013751634802</v>
      </c>
      <c r="R145" s="25" t="n">
        <v>0.971336536721631</v>
      </c>
      <c r="S145" s="29" t="n">
        <v>0.162851279564335</v>
      </c>
      <c r="T145" s="27" t="n">
        <v>274.143632212731</v>
      </c>
      <c r="U145" s="27" t="n">
        <v>360</v>
      </c>
      <c r="V145" s="28" t="n">
        <v>0.00826315789473684</v>
      </c>
      <c r="W145" s="25" t="n">
        <f aca="false">(I145-H145)/(J145-H145)</f>
        <v>1.27854458162418</v>
      </c>
      <c r="X145" s="25" t="n">
        <f aca="false">0.5*(1+(I145-K145-L145)/(I145-K145))</f>
        <v>0.613821138211382</v>
      </c>
      <c r="Y145" s="25" t="n">
        <v>0.957948703319617</v>
      </c>
      <c r="Z145" s="26" t="n">
        <v>0.209356261929807</v>
      </c>
      <c r="AA145" s="27" t="n">
        <v>274.143632212731</v>
      </c>
      <c r="AB145" s="27" t="n">
        <v>266.421619941553</v>
      </c>
      <c r="AC145" s="28" t="n">
        <v>0.0114013751634802</v>
      </c>
      <c r="AD145" s="25" t="n">
        <v>1.23150742311651</v>
      </c>
      <c r="AE145" s="4" t="n">
        <v>0.231875216932936</v>
      </c>
      <c r="AF145" s="25" t="n">
        <v>0.134918611549185</v>
      </c>
      <c r="AG145" s="26" t="n">
        <f aca="false">SMALL(AE145:AF145,1)</f>
        <v>0.134918611549185</v>
      </c>
      <c r="AH145" s="27" t="n">
        <v>281.659623643363</v>
      </c>
      <c r="AI145" s="28" t="n">
        <v>0.0084</v>
      </c>
      <c r="AJ145" s="25" t="n">
        <v>0.793638891465796</v>
      </c>
      <c r="AK145" s="29" t="n">
        <v>0.185424568573311</v>
      </c>
      <c r="AN145" s="4" t="n">
        <f aca="false">(N145-$N$344)/$N$345</f>
        <v>-0.590646298049761</v>
      </c>
      <c r="AO145" s="4" t="n">
        <f aca="false">(S145-$S$344)/$S$345</f>
        <v>-0.627213818226747</v>
      </c>
      <c r="AP145" s="4" t="n">
        <f aca="false">(Z145-$Z$344)/$Z$345</f>
        <v>-0.189329685454614</v>
      </c>
      <c r="AQ145" s="4" t="n">
        <f aca="false">(AE145-$AE$344)/$AE$345</f>
        <v>-0.474951688718977</v>
      </c>
    </row>
    <row r="146" customFormat="false" ht="14.25" hidden="false" customHeight="false" outlineLevel="0" collapsed="false">
      <c r="B146" s="1" t="n">
        <v>10</v>
      </c>
      <c r="C146" s="1" t="n">
        <v>1</v>
      </c>
      <c r="D146" s="2" t="n">
        <v>45</v>
      </c>
      <c r="E146" s="4" t="n">
        <v>2.8</v>
      </c>
      <c r="F146" s="1" t="n">
        <v>40</v>
      </c>
      <c r="G146" s="1" t="n">
        <v>45</v>
      </c>
      <c r="H146" s="3" t="n">
        <v>43.4459689087927</v>
      </c>
      <c r="I146" s="1" t="n">
        <v>250</v>
      </c>
      <c r="J146" s="39" t="n">
        <v>205</v>
      </c>
      <c r="K146" s="27" t="n">
        <v>127</v>
      </c>
      <c r="L146" s="39" t="n">
        <v>95</v>
      </c>
      <c r="M146" s="4" t="n">
        <v>0.19</v>
      </c>
      <c r="N146" s="26" t="n">
        <v>0.196040996725054</v>
      </c>
      <c r="O146" s="27" t="n">
        <v>295.540208385432</v>
      </c>
      <c r="P146" s="27" t="n">
        <v>266.421619941553</v>
      </c>
      <c r="Q146" s="28" t="n">
        <v>0.0114013751634802</v>
      </c>
      <c r="R146" s="25" t="n">
        <v>1.03179471960555</v>
      </c>
      <c r="S146" s="29" t="n">
        <v>0.17556162333521</v>
      </c>
      <c r="T146" s="27" t="n">
        <v>295.540208385432</v>
      </c>
      <c r="U146" s="27" t="n">
        <v>360</v>
      </c>
      <c r="V146" s="28" t="n">
        <v>0.00826315789473684</v>
      </c>
      <c r="W146" s="25" t="n">
        <f aca="false">(I146-H146)/(J146-H146)</f>
        <v>1.27854458162418</v>
      </c>
      <c r="X146" s="25" t="n">
        <f aca="false">0.5*(1+(I146-K146-L146)/(I146-K146))</f>
        <v>0.613821138211382</v>
      </c>
      <c r="Y146" s="25" t="n">
        <v>0.924008543869526</v>
      </c>
      <c r="Z146" s="26" t="n">
        <v>0.225696262860914</v>
      </c>
      <c r="AA146" s="27" t="n">
        <v>295.540208385432</v>
      </c>
      <c r="AB146" s="27" t="n">
        <v>266.421619941553</v>
      </c>
      <c r="AC146" s="28" t="n">
        <v>0.0114013751634802</v>
      </c>
      <c r="AD146" s="25" t="n">
        <v>1.18787506768902</v>
      </c>
      <c r="AE146" s="4" t="n">
        <v>0.249972794839897</v>
      </c>
      <c r="AF146" s="25" t="n">
        <v>0.156800949593665</v>
      </c>
      <c r="AG146" s="26" t="n">
        <f aca="false">SMALL(AE146:AF146,1)</f>
        <v>0.156800949593665</v>
      </c>
      <c r="AH146" s="27" t="n">
        <v>303.642813781382</v>
      </c>
      <c r="AI146" s="28" t="n">
        <v>0.0084</v>
      </c>
      <c r="AJ146" s="25" t="n">
        <v>0.82526815575613</v>
      </c>
      <c r="AK146" s="29" t="n">
        <v>0.218692827583911</v>
      </c>
      <c r="AN146" s="4" t="n">
        <f aca="false">(N146-$N$344)/$N$345</f>
        <v>-0.226966469024829</v>
      </c>
      <c r="AO146" s="4" t="n">
        <f aca="false">(S146-$S$344)/$S$345</f>
        <v>-0.473902240027438</v>
      </c>
      <c r="AP146" s="4" t="n">
        <f aca="false">(Z146-$Z$344)/$Z$345</f>
        <v>0.0326151889899556</v>
      </c>
      <c r="AQ146" s="4" t="n">
        <f aca="false">(AE146-$AE$344)/$AE$345</f>
        <v>-0.246888419765476</v>
      </c>
    </row>
    <row r="147" customFormat="false" ht="14.25" hidden="false" customHeight="false" outlineLevel="0" collapsed="false">
      <c r="B147" s="1" t="n">
        <v>10</v>
      </c>
      <c r="C147" s="1" t="n">
        <v>1</v>
      </c>
      <c r="D147" s="2" t="n">
        <v>45</v>
      </c>
      <c r="E147" s="4" t="n">
        <v>2.8</v>
      </c>
      <c r="F147" s="1" t="n">
        <v>40</v>
      </c>
      <c r="G147" s="1" t="n">
        <v>45</v>
      </c>
      <c r="H147" s="3" t="n">
        <v>43.4459689087927</v>
      </c>
      <c r="I147" s="1" t="n">
        <v>250</v>
      </c>
      <c r="J147" s="39" t="n">
        <v>205</v>
      </c>
      <c r="K147" s="27" t="n">
        <v>127</v>
      </c>
      <c r="L147" s="39" t="n">
        <v>95</v>
      </c>
      <c r="M147" s="4" t="n">
        <v>0.2</v>
      </c>
      <c r="N147" s="26" t="n">
        <v>0.224056614818457</v>
      </c>
      <c r="O147" s="27" t="n">
        <v>314.930855541943</v>
      </c>
      <c r="P147" s="27" t="n">
        <v>266.421619941553</v>
      </c>
      <c r="Q147" s="28" t="n">
        <v>0.0114013751634802</v>
      </c>
      <c r="R147" s="25" t="n">
        <v>1.12028307409229</v>
      </c>
      <c r="S147" s="29" t="n">
        <v>0.187080372377565</v>
      </c>
      <c r="T147" s="27" t="n">
        <v>314.930855541943</v>
      </c>
      <c r="U147" s="27" t="n">
        <v>360</v>
      </c>
      <c r="V147" s="28" t="n">
        <v>0.00826315789473684</v>
      </c>
      <c r="W147" s="25" t="n">
        <f aca="false">(I147-H147)/(J147-H147)</f>
        <v>1.27854458162418</v>
      </c>
      <c r="X147" s="25" t="n">
        <f aca="false">0.5*(1+(I147-K147-L147)/(I147-K147))</f>
        <v>0.613821138211382</v>
      </c>
      <c r="Y147" s="25" t="n">
        <v>0.935401861887826</v>
      </c>
      <c r="Z147" s="26" t="n">
        <v>0.240504388704729</v>
      </c>
      <c r="AA147" s="27" t="n">
        <v>314.930855541943</v>
      </c>
      <c r="AB147" s="27" t="n">
        <v>266.421619941553</v>
      </c>
      <c r="AC147" s="28" t="n">
        <v>0.0114013751634802</v>
      </c>
      <c r="AD147" s="25" t="n">
        <v>1.20252194352365</v>
      </c>
      <c r="AE147" s="4" t="n">
        <v>0.26637372481808</v>
      </c>
      <c r="AF147" s="25" t="n">
        <v>0.178051634174199</v>
      </c>
      <c r="AG147" s="26" t="n">
        <f aca="false">SMALL(AE147:AF147,1)</f>
        <v>0.178051634174199</v>
      </c>
      <c r="AH147" s="27" t="n">
        <v>323.565079843961</v>
      </c>
      <c r="AI147" s="28" t="n">
        <v>0.0084</v>
      </c>
      <c r="AJ147" s="25" t="n">
        <v>0.890258170870994</v>
      </c>
      <c r="AK147" s="29" t="n">
        <v>0.248842187312267</v>
      </c>
      <c r="AN147" s="4" t="n">
        <f aca="false">(N147-$N$344)/$N$345</f>
        <v>0.102618376029018</v>
      </c>
      <c r="AO147" s="4" t="n">
        <f aca="false">(S147-$S$344)/$S$345</f>
        <v>-0.334963622284314</v>
      </c>
      <c r="AP147" s="4" t="n">
        <f aca="false">(Z147-$Z$344)/$Z$345</f>
        <v>0.233752731455348</v>
      </c>
      <c r="AQ147" s="4" t="n">
        <f aca="false">(AE147-$AE$344)/$AE$345</f>
        <v>-0.0402060822763651</v>
      </c>
    </row>
    <row r="148" customFormat="false" ht="14.25" hidden="false" customHeight="false" outlineLevel="0" collapsed="false">
      <c r="B148" s="1" t="n">
        <v>10</v>
      </c>
      <c r="C148" s="1" t="n">
        <v>1</v>
      </c>
      <c r="D148" s="2" t="n">
        <v>45</v>
      </c>
      <c r="E148" s="4" t="n">
        <v>2.8</v>
      </c>
      <c r="F148" s="1" t="n">
        <v>40</v>
      </c>
      <c r="G148" s="1" t="n">
        <v>45</v>
      </c>
      <c r="H148" s="3" t="n">
        <v>43.4459689087927</v>
      </c>
      <c r="I148" s="1" t="n">
        <v>250</v>
      </c>
      <c r="J148" s="39" t="n">
        <v>205</v>
      </c>
      <c r="K148" s="27" t="n">
        <v>127</v>
      </c>
      <c r="L148" s="39" t="n">
        <v>95</v>
      </c>
      <c r="M148" s="4" t="n">
        <v>0.22</v>
      </c>
      <c r="N148" s="26" t="n">
        <v>0.255936456097158</v>
      </c>
      <c r="O148" s="27" t="n">
        <v>336.996074720041</v>
      </c>
      <c r="P148" s="27" t="n">
        <v>266.421619941553</v>
      </c>
      <c r="Q148" s="28" t="n">
        <v>0.0114013751634802</v>
      </c>
      <c r="R148" s="25" t="n">
        <v>1.16334752771435</v>
      </c>
      <c r="S148" s="29" t="n">
        <v>0.20018791439128</v>
      </c>
      <c r="T148" s="27" t="n">
        <v>336.996074720041</v>
      </c>
      <c r="U148" s="27" t="n">
        <v>360</v>
      </c>
      <c r="V148" s="28" t="n">
        <v>0.00826315789473684</v>
      </c>
      <c r="W148" s="25" t="n">
        <f aca="false">(I148-H148)/(J148-H148)</f>
        <v>1.27854458162418</v>
      </c>
      <c r="X148" s="25" t="n">
        <f aca="false">0.5*(1+(I148-K148-L148)/(I148-K148))</f>
        <v>0.613821138211382</v>
      </c>
      <c r="Y148" s="25" t="n">
        <v>0.909945065414909</v>
      </c>
      <c r="Z148" s="26" t="n">
        <v>0.257355014664933</v>
      </c>
      <c r="AA148" s="27" t="n">
        <v>336.996074720041</v>
      </c>
      <c r="AB148" s="27" t="n">
        <v>266.421619941553</v>
      </c>
      <c r="AC148" s="28" t="n">
        <v>0.0114013751634802</v>
      </c>
      <c r="AD148" s="25" t="n">
        <v>1.16979552120424</v>
      </c>
      <c r="AE148" s="4" t="n">
        <v>0.285036852034634</v>
      </c>
      <c r="AF148" s="25" t="n">
        <v>0.203875586146805</v>
      </c>
      <c r="AG148" s="26" t="n">
        <f aca="false">SMALL(AE148:AF148,1)</f>
        <v>0.203875586146805</v>
      </c>
      <c r="AH148" s="27" t="n">
        <v>346.235244673793</v>
      </c>
      <c r="AI148" s="28" t="n">
        <v>0.0084</v>
      </c>
      <c r="AJ148" s="25" t="n">
        <v>0.926707209758203</v>
      </c>
      <c r="AK148" s="29" t="n">
        <v>0.283150079416948</v>
      </c>
      <c r="AN148" s="4" t="n">
        <f aca="false">(N148-$N$344)/$N$345</f>
        <v>0.477663199710979</v>
      </c>
      <c r="AO148" s="4" t="n">
        <f aca="false">(S148-$S$344)/$S$345</f>
        <v>-0.176861057266276</v>
      </c>
      <c r="AP148" s="4" t="n">
        <f aca="false">(Z148-$Z$344)/$Z$345</f>
        <v>0.462633383226311</v>
      </c>
      <c r="AQ148" s="4" t="n">
        <f aca="false">(AE148-$AE$344)/$AE$345</f>
        <v>0.194984163831933</v>
      </c>
    </row>
    <row r="149" customFormat="false" ht="14.25" hidden="false" customHeight="false" outlineLevel="0" collapsed="false">
      <c r="B149" s="1" t="n">
        <v>10</v>
      </c>
      <c r="C149" s="1" t="n">
        <v>1</v>
      </c>
      <c r="D149" s="2" t="n">
        <v>45</v>
      </c>
      <c r="E149" s="4" t="n">
        <v>2.8</v>
      </c>
      <c r="F149" s="1" t="n">
        <v>40</v>
      </c>
      <c r="G149" s="1" t="n">
        <v>45</v>
      </c>
      <c r="H149" s="3" t="n">
        <v>43.4459689087927</v>
      </c>
      <c r="I149" s="1" t="n">
        <v>250</v>
      </c>
      <c r="J149" s="39" t="n">
        <v>205</v>
      </c>
      <c r="K149" s="27" t="n">
        <v>127</v>
      </c>
      <c r="L149" s="39" t="n">
        <v>95</v>
      </c>
      <c r="M149" s="4" t="n">
        <v>0.24</v>
      </c>
      <c r="N149" s="26" t="n">
        <v>0.287816297375858</v>
      </c>
      <c r="O149" s="27" t="n">
        <v>359.061293898138</v>
      </c>
      <c r="P149" s="27" t="n">
        <v>266.421619941553</v>
      </c>
      <c r="Q149" s="28" t="n">
        <v>0.0114013751634802</v>
      </c>
      <c r="R149" s="25" t="n">
        <v>1.19923457239941</v>
      </c>
      <c r="S149" s="29" t="n">
        <v>0.213295456404995</v>
      </c>
      <c r="T149" s="27" t="n">
        <v>359.061293898138</v>
      </c>
      <c r="U149" s="27" t="n">
        <v>360</v>
      </c>
      <c r="V149" s="28" t="n">
        <v>0.00826315789473684</v>
      </c>
      <c r="W149" s="25" t="n">
        <f aca="false">(I149-H149)/(J149-H149)</f>
        <v>1.27854458162418</v>
      </c>
      <c r="X149" s="25" t="n">
        <f aca="false">0.5*(1+(I149-K149-L149)/(I149-K149))</f>
        <v>0.613821138211382</v>
      </c>
      <c r="Y149" s="25" t="n">
        <v>0.888731068354145</v>
      </c>
      <c r="Z149" s="26" t="n">
        <v>0.274205640625137</v>
      </c>
      <c r="AA149" s="27" t="n">
        <v>359.061293898138</v>
      </c>
      <c r="AB149" s="27" t="n">
        <v>266.421619941553</v>
      </c>
      <c r="AC149" s="28" t="n">
        <v>0.0114013751634802</v>
      </c>
      <c r="AD149" s="25" t="n">
        <v>1.14252350260474</v>
      </c>
      <c r="AE149" s="4" t="n">
        <v>0.303699979251187</v>
      </c>
      <c r="AF149" s="25" t="n">
        <v>0.231447621022171</v>
      </c>
      <c r="AG149" s="26" t="n">
        <f aca="false">SMALL(AE149:AF149,1)</f>
        <v>0.231447621022171</v>
      </c>
      <c r="AH149" s="27" t="n">
        <v>368.905409503624</v>
      </c>
      <c r="AI149" s="28" t="n">
        <v>0.0084</v>
      </c>
      <c r="AJ149" s="25" t="n">
        <v>0.964365087592381</v>
      </c>
      <c r="AK149" s="29" t="n">
        <v>0.31745797152163</v>
      </c>
      <c r="AN149" s="4" t="n">
        <f aca="false">(N149-$N$344)/$N$345</f>
        <v>0.85270802339294</v>
      </c>
      <c r="AO149" s="4" t="n">
        <f aca="false">(S149-$S$344)/$S$345</f>
        <v>-0.0187584922482386</v>
      </c>
      <c r="AP149" s="4" t="n">
        <f aca="false">(Z149-$Z$344)/$Z$345</f>
        <v>0.691514034997273</v>
      </c>
      <c r="AQ149" s="4" t="n">
        <f aca="false">(AE149-$AE$344)/$AE$345</f>
        <v>0.43017440994023</v>
      </c>
    </row>
    <row r="150" customFormat="false" ht="14.25" hidden="false" customHeight="false" outlineLevel="0" collapsed="false">
      <c r="B150" s="1" t="n">
        <v>10</v>
      </c>
      <c r="C150" s="1" t="n">
        <v>1</v>
      </c>
      <c r="D150" s="2" t="n">
        <v>45</v>
      </c>
      <c r="E150" s="4" t="n">
        <v>2.8</v>
      </c>
      <c r="F150" s="1" t="n">
        <v>40</v>
      </c>
      <c r="G150" s="1" t="n">
        <v>45</v>
      </c>
      <c r="H150" s="3" t="n">
        <v>43.4459689087927</v>
      </c>
      <c r="I150" s="1" t="n">
        <v>250</v>
      </c>
      <c r="J150" s="39" t="n">
        <v>205</v>
      </c>
      <c r="K150" s="27" t="n">
        <v>127</v>
      </c>
      <c r="L150" s="39" t="n">
        <v>95</v>
      </c>
      <c r="M150" s="4" t="n">
        <v>0.26</v>
      </c>
      <c r="N150" s="26" t="n">
        <v>0.314865859672938</v>
      </c>
      <c r="O150" s="27" t="n">
        <v>377.783298049252</v>
      </c>
      <c r="P150" s="27" t="n">
        <v>266.421619941553</v>
      </c>
      <c r="Q150" s="28" t="n">
        <v>0.0114013751634802</v>
      </c>
      <c r="R150" s="25" t="n">
        <v>1.21102253720361</v>
      </c>
      <c r="S150" s="29" t="n">
        <v>0.24053848713267</v>
      </c>
      <c r="T150" s="27" t="n">
        <v>377.783298049252</v>
      </c>
      <c r="U150" s="27" t="n">
        <v>360</v>
      </c>
      <c r="V150" s="28" t="n">
        <v>0.00826315789473684</v>
      </c>
      <c r="W150" s="25" t="n">
        <f aca="false">(I150-H150)/(J150-H150)</f>
        <v>1.27854458162418</v>
      </c>
      <c r="X150" s="25" t="n">
        <f aca="false">0.5*(1+(I150-K150-L150)/(I150-K150))</f>
        <v>0.613821138211382</v>
      </c>
      <c r="Y150" s="25" t="n">
        <v>0.925148027433346</v>
      </c>
      <c r="Z150" s="26" t="n">
        <v>0.288503141439856</v>
      </c>
      <c r="AA150" s="27" t="n">
        <v>377.783298049252</v>
      </c>
      <c r="AB150" s="27" t="n">
        <v>266.421619941553</v>
      </c>
      <c r="AC150" s="28" t="n">
        <v>0.0114013751634802</v>
      </c>
      <c r="AD150" s="25" t="n">
        <v>1.10962746707637</v>
      </c>
      <c r="AE150" s="4" t="n">
        <v>0.319535359919778</v>
      </c>
      <c r="AF150" s="25" t="n">
        <v>0.256212931420516</v>
      </c>
      <c r="AG150" s="26" t="n">
        <f aca="false">SMALL(AE150:AF150,1)</f>
        <v>0.256212931420516</v>
      </c>
      <c r="AH150" s="27" t="n">
        <v>388.140700874391</v>
      </c>
      <c r="AI150" s="28" t="n">
        <v>0.0084</v>
      </c>
      <c r="AJ150" s="25" t="n">
        <v>0.985434351617368</v>
      </c>
      <c r="AK150" s="29" t="n">
        <v>0.346567698155905</v>
      </c>
      <c r="AN150" s="4" t="n">
        <f aca="false">(N150-$N$344)/$N$345</f>
        <v>1.17092787378976</v>
      </c>
      <c r="AO150" s="4" t="n">
        <f aca="false">(S150-$S$344)/$S$345</f>
        <v>0.309845683302291</v>
      </c>
      <c r="AP150" s="4" t="n">
        <f aca="false">(Z150-$Z$344)/$Z$345</f>
        <v>0.885715800136272</v>
      </c>
      <c r="AQ150" s="4" t="n">
        <f aca="false">(AE150-$AE$344)/$AE$345</f>
        <v>0.629729770274545</v>
      </c>
    </row>
    <row r="151" customFormat="false" ht="14.25" hidden="false" customHeight="false" outlineLevel="0" collapsed="false">
      <c r="B151" s="1" t="n">
        <v>10</v>
      </c>
      <c r="C151" s="1" t="n">
        <v>1</v>
      </c>
      <c r="D151" s="2" t="n">
        <v>45</v>
      </c>
      <c r="E151" s="4" t="n">
        <v>2.8</v>
      </c>
      <c r="F151" s="1" t="n">
        <v>40</v>
      </c>
      <c r="G151" s="1" t="n">
        <v>45</v>
      </c>
      <c r="H151" s="3" t="n">
        <v>43.4459689087927</v>
      </c>
      <c r="I151" s="1" t="n">
        <v>250</v>
      </c>
      <c r="J151" s="39" t="n">
        <v>205</v>
      </c>
      <c r="K151" s="27" t="n">
        <v>127</v>
      </c>
      <c r="L151" s="39" t="n">
        <v>95</v>
      </c>
      <c r="M151" s="4" t="n">
        <v>0.29</v>
      </c>
      <c r="N151" s="26" t="n">
        <v>0.340949366173693</v>
      </c>
      <c r="O151" s="27" t="n">
        <v>395.836659194968</v>
      </c>
      <c r="P151" s="27" t="n">
        <v>266.421619941553</v>
      </c>
      <c r="Q151" s="28" t="n">
        <v>0.0114013751634802</v>
      </c>
      <c r="R151" s="25" t="n">
        <v>1.17568746956446</v>
      </c>
      <c r="S151" s="29" t="n">
        <v>0.267349368524359</v>
      </c>
      <c r="T151" s="27" t="n">
        <v>395.836659194968</v>
      </c>
      <c r="U151" s="27" t="n">
        <v>360</v>
      </c>
      <c r="V151" s="28" t="n">
        <v>0.00826315789473684</v>
      </c>
      <c r="W151" s="25" t="n">
        <f aca="false">(I151-H151)/(J151-H151)</f>
        <v>1.27854458162418</v>
      </c>
      <c r="X151" s="25" t="n">
        <f aca="false">0.5*(1+(I151-K151-L151)/(I151-K151))</f>
        <v>0.613821138211382</v>
      </c>
      <c r="Y151" s="25" t="n">
        <v>0.921894374221929</v>
      </c>
      <c r="Z151" s="26" t="n">
        <v>0.302290017225477</v>
      </c>
      <c r="AA151" s="27" t="n">
        <v>395.836659194968</v>
      </c>
      <c r="AB151" s="27" t="n">
        <v>266.421619941553</v>
      </c>
      <c r="AC151" s="28" t="n">
        <v>0.0114013751634802</v>
      </c>
      <c r="AD151" s="25" t="n">
        <v>1.04237936974302</v>
      </c>
      <c r="AE151" s="4" t="n">
        <v>0.334805191278776</v>
      </c>
      <c r="AF151" s="25" t="n">
        <v>0.281285641153918</v>
      </c>
      <c r="AG151" s="26" t="n">
        <f aca="false">SMALL(AE151:AF151,1)</f>
        <v>0.281285641153918</v>
      </c>
      <c r="AH151" s="27" t="n">
        <v>406.689017553344</v>
      </c>
      <c r="AI151" s="28" t="n">
        <v>0.0084</v>
      </c>
      <c r="AJ151" s="25" t="n">
        <v>0.96995048673765</v>
      </c>
      <c r="AK151" s="29" t="n">
        <v>0.374637791696098</v>
      </c>
      <c r="AN151" s="4" t="n">
        <f aca="false">(N151-$N$344)/$N$345</f>
        <v>1.47778272952954</v>
      </c>
      <c r="AO151" s="4" t="n">
        <f aca="false">(S151-$S$344)/$S$345</f>
        <v>0.633237293566457</v>
      </c>
      <c r="AP151" s="4" t="n">
        <f aca="false">(Z151-$Z$344)/$Z$345</f>
        <v>1.07298178794888</v>
      </c>
      <c r="AQ151" s="4" t="n">
        <f aca="false">(AE151-$AE$344)/$AE$345</f>
        <v>0.82215815345406</v>
      </c>
    </row>
    <row r="152" customFormat="false" ht="14.25" hidden="false" customHeight="false" outlineLevel="0" collapsed="false">
      <c r="A152" s="0" t="s">
        <v>56</v>
      </c>
      <c r="B152" s="1" t="n">
        <v>20</v>
      </c>
      <c r="C152" s="1" t="n">
        <v>1</v>
      </c>
      <c r="D152" s="2" t="n">
        <v>40</v>
      </c>
      <c r="E152" s="4" t="n">
        <v>2.8</v>
      </c>
      <c r="F152" s="1" t="n">
        <v>40</v>
      </c>
      <c r="G152" s="1" t="n">
        <v>50</v>
      </c>
      <c r="H152" s="3" t="n">
        <v>75.4003930660822</v>
      </c>
      <c r="I152" s="1" t="n">
        <v>250</v>
      </c>
      <c r="J152" s="39" t="n">
        <v>200</v>
      </c>
      <c r="K152" s="27" t="n">
        <v>130</v>
      </c>
      <c r="L152" s="39" t="n">
        <v>150</v>
      </c>
      <c r="M152" s="4" t="n">
        <v>0.17</v>
      </c>
      <c r="N152" s="26" t="n">
        <v>0.1324809211424</v>
      </c>
      <c r="O152" s="27" t="n">
        <v>201.33268539096</v>
      </c>
      <c r="P152" s="27" t="n">
        <v>72.0122866367508</v>
      </c>
      <c r="Q152" s="28" t="n">
        <v>0.0541238331858136</v>
      </c>
      <c r="R152" s="25" t="n">
        <v>0.779299536131765</v>
      </c>
      <c r="S152" s="29" t="n">
        <v>0.124480015931012</v>
      </c>
      <c r="T152" s="27" t="n">
        <v>201.33268539096</v>
      </c>
      <c r="U152" s="27" t="n">
        <v>154</v>
      </c>
      <c r="V152" s="28" t="n">
        <v>0.021</v>
      </c>
      <c r="W152" s="25" t="n">
        <f aca="false">(I152-H152)/(J152-H152)</f>
        <v>1.40128537505353</v>
      </c>
      <c r="X152" s="25" t="n">
        <f aca="false">0.5*(1+(I152-K152-L152)/(I152-K152))</f>
        <v>0.375</v>
      </c>
      <c r="Y152" s="25" t="n">
        <v>0.732235387829483</v>
      </c>
      <c r="Z152" s="26" t="n">
        <v>0.144212393826816</v>
      </c>
      <c r="AA152" s="27" t="n">
        <v>201.33268539096</v>
      </c>
      <c r="AB152" s="27" t="n">
        <v>72.0122866367508</v>
      </c>
      <c r="AC152" s="28" t="n">
        <v>0.0541238331858136</v>
      </c>
      <c r="AD152" s="25" t="n">
        <v>0.848308198981271</v>
      </c>
      <c r="AE152" s="4" t="n">
        <v>0.170738511362463</v>
      </c>
      <c r="AF152" s="25" t="n">
        <v>0.154785280126457</v>
      </c>
      <c r="AG152" s="26" t="n">
        <f aca="false">SMALL(AE152:AF152,1)</f>
        <v>0.154785280126457</v>
      </c>
      <c r="AH152" s="27" t="n">
        <v>210.446996358186</v>
      </c>
      <c r="AI152" s="28" t="n">
        <v>0.0196</v>
      </c>
      <c r="AJ152" s="25" t="n">
        <v>0.910501647802688</v>
      </c>
      <c r="AK152" s="29" t="n">
        <v>0.182784922015174</v>
      </c>
      <c r="AN152" s="4" t="n">
        <f aca="false">(N152-$N$344)/$N$345</f>
        <v>-0.974707875003375</v>
      </c>
      <c r="AO152" s="4" t="n">
        <f aca="false">(S152-$S$344)/$S$345</f>
        <v>-1.09004622395652</v>
      </c>
      <c r="AP152" s="4" t="n">
        <f aca="false">(Z152-$Z$344)/$Z$345</f>
        <v>-1.0741734310524</v>
      </c>
      <c r="AQ152" s="4" t="n">
        <f aca="false">(AE152-$AE$344)/$AE$345</f>
        <v>-1.2453883182575</v>
      </c>
    </row>
    <row r="153" customFormat="false" ht="14.25" hidden="false" customHeight="false" outlineLevel="0" collapsed="false">
      <c r="B153" s="1" t="n">
        <v>20</v>
      </c>
      <c r="C153" s="1" t="n">
        <v>1</v>
      </c>
      <c r="D153" s="2" t="n">
        <v>40</v>
      </c>
      <c r="E153" s="4" t="n">
        <v>2.8</v>
      </c>
      <c r="F153" s="1" t="n">
        <v>40</v>
      </c>
      <c r="G153" s="1" t="n">
        <v>50</v>
      </c>
      <c r="H153" s="3" t="n">
        <v>75.4003930660822</v>
      </c>
      <c r="I153" s="1" t="n">
        <v>250</v>
      </c>
      <c r="J153" s="39" t="n">
        <v>200</v>
      </c>
      <c r="K153" s="27" t="n">
        <v>130</v>
      </c>
      <c r="L153" s="39" t="n">
        <v>150</v>
      </c>
      <c r="M153" s="4" t="n">
        <v>0.2</v>
      </c>
      <c r="N153" s="26" t="n">
        <v>0.160923979111368</v>
      </c>
      <c r="O153" s="27" t="n">
        <v>235.281479050211</v>
      </c>
      <c r="P153" s="27" t="n">
        <v>72.0122866367508</v>
      </c>
      <c r="Q153" s="28" t="n">
        <v>0.0541238331858136</v>
      </c>
      <c r="R153" s="25" t="n">
        <v>0.80461989555684</v>
      </c>
      <c r="S153" s="29" t="n">
        <v>0.163191479752936</v>
      </c>
      <c r="T153" s="27" t="n">
        <v>235.281479050211</v>
      </c>
      <c r="U153" s="27" t="n">
        <v>154</v>
      </c>
      <c r="V153" s="28" t="n">
        <v>0.021</v>
      </c>
      <c r="W153" s="25" t="n">
        <f aca="false">(I153-H153)/(J153-H153)</f>
        <v>1.40128537505353</v>
      </c>
      <c r="X153" s="25" t="n">
        <f aca="false">0.5*(1+(I153-K153-L153)/(I153-K153))</f>
        <v>0.375</v>
      </c>
      <c r="Y153" s="25" t="n">
        <v>0.815957398764679</v>
      </c>
      <c r="Z153" s="26" t="n">
        <v>0.17517414622172</v>
      </c>
      <c r="AA153" s="27" t="n">
        <v>235.281479050211</v>
      </c>
      <c r="AB153" s="27" t="n">
        <v>72.0122866367508</v>
      </c>
      <c r="AC153" s="28" t="n">
        <v>0.0541238331858136</v>
      </c>
      <c r="AD153" s="25" t="n">
        <v>0.8758707311086</v>
      </c>
      <c r="AE153" s="4" t="n">
        <v>0.199528503810417</v>
      </c>
      <c r="AF153" s="25" t="n">
        <v>0.211386169121142</v>
      </c>
      <c r="AG153" s="26" t="n">
        <f aca="false">SMALL(AE153:AF153,1)</f>
        <v>0.199528503810417</v>
      </c>
      <c r="AH153" s="27" t="n">
        <v>245.932648584499</v>
      </c>
      <c r="AI153" s="28" t="n">
        <v>0.0196</v>
      </c>
      <c r="AJ153" s="25" t="n">
        <v>0.997642519052085</v>
      </c>
      <c r="AK153" s="29" t="n">
        <v>0.228411835987046</v>
      </c>
      <c r="AN153" s="4" t="n">
        <f aca="false">(N153-$N$344)/$N$345</f>
        <v>-0.640094488202277</v>
      </c>
      <c r="AO153" s="4" t="n">
        <f aca="false">(S153-$S$344)/$S$345</f>
        <v>-0.623110339299795</v>
      </c>
      <c r="AP153" s="4" t="n">
        <f aca="false">(Z153-$Z$344)/$Z$345</f>
        <v>-0.653622521854543</v>
      </c>
      <c r="AQ153" s="4" t="n">
        <f aca="false">(AE153-$AE$344)/$AE$345</f>
        <v>-0.882580663853014</v>
      </c>
    </row>
    <row r="154" customFormat="false" ht="14.25" hidden="false" customHeight="false" outlineLevel="0" collapsed="false">
      <c r="B154" s="1" t="n">
        <v>20</v>
      </c>
      <c r="C154" s="1" t="n">
        <v>1</v>
      </c>
      <c r="D154" s="2" t="n">
        <v>40</v>
      </c>
      <c r="E154" s="4" t="n">
        <v>2.8</v>
      </c>
      <c r="F154" s="1" t="n">
        <v>40</v>
      </c>
      <c r="G154" s="1" t="n">
        <v>50</v>
      </c>
      <c r="H154" s="3" t="n">
        <v>75.4003930660822</v>
      </c>
      <c r="I154" s="1" t="n">
        <v>250</v>
      </c>
      <c r="J154" s="39" t="n">
        <v>200</v>
      </c>
      <c r="K154" s="27" t="n">
        <v>130</v>
      </c>
      <c r="L154" s="39" t="n">
        <v>150</v>
      </c>
      <c r="M154" s="4" t="n">
        <v>0.24</v>
      </c>
      <c r="N154" s="26" t="n">
        <v>0.188454425594701</v>
      </c>
      <c r="O154" s="27" t="n">
        <v>268.141006602748</v>
      </c>
      <c r="P154" s="27" t="n">
        <v>72.0122866367508</v>
      </c>
      <c r="Q154" s="28" t="n">
        <v>0.0541238331858136</v>
      </c>
      <c r="R154" s="25" t="n">
        <v>0.785226773311254</v>
      </c>
      <c r="S154" s="29" t="n">
        <v>0.200660864521749</v>
      </c>
      <c r="T154" s="27" t="n">
        <v>268.141006602748</v>
      </c>
      <c r="U154" s="27" t="n">
        <v>154</v>
      </c>
      <c r="V154" s="28" t="n">
        <v>0.021</v>
      </c>
      <c r="W154" s="25" t="n">
        <f aca="false">(I154-H154)/(J154-H154)</f>
        <v>1.40128537505353</v>
      </c>
      <c r="X154" s="25" t="n">
        <f aca="false">0.5*(1+(I154-K154-L154)/(I154-K154))</f>
        <v>0.375</v>
      </c>
      <c r="Y154" s="25" t="n">
        <v>0.836086935507289</v>
      </c>
      <c r="Z154" s="26" t="n">
        <v>0.205142473406092</v>
      </c>
      <c r="AA154" s="27" t="n">
        <v>268.141006602748</v>
      </c>
      <c r="AB154" s="27" t="n">
        <v>72.0122866367508</v>
      </c>
      <c r="AC154" s="28" t="n">
        <v>0.0541238331858136</v>
      </c>
      <c r="AD154" s="25" t="n">
        <v>0.854760305858718</v>
      </c>
      <c r="AE154" s="4" t="n">
        <v>0.227394753185174</v>
      </c>
      <c r="AF154" s="25" t="n">
        <v>0.27455386120201</v>
      </c>
      <c r="AG154" s="26" t="n">
        <f aca="false">SMALL(AE154:AF154,1)</f>
        <v>0.227394753185174</v>
      </c>
      <c r="AH154" s="27" t="n">
        <v>280.279723734032</v>
      </c>
      <c r="AI154" s="28" t="n">
        <v>0.0196</v>
      </c>
      <c r="AJ154" s="25" t="n">
        <v>0.947478138271559</v>
      </c>
      <c r="AK154" s="29" t="n">
        <v>0.27257478480474</v>
      </c>
      <c r="AN154" s="4" t="n">
        <f aca="false">(N154-$N$344)/$N$345</f>
        <v>-0.316217359801214</v>
      </c>
      <c r="AO154" s="4" t="n">
        <f aca="false">(S154-$S$344)/$S$345</f>
        <v>-0.171156354685534</v>
      </c>
      <c r="AP154" s="4" t="n">
        <f aca="false">(Z154-$Z$344)/$Z$345</f>
        <v>-0.246565224716511</v>
      </c>
      <c r="AQ154" s="4" t="n">
        <f aca="false">(AE154-$AE$344)/$AE$345</f>
        <v>-0.531413896755624</v>
      </c>
    </row>
    <row r="155" customFormat="false" ht="14.25" hidden="false" customHeight="false" outlineLevel="0" collapsed="false">
      <c r="B155" s="1" t="n">
        <v>20</v>
      </c>
      <c r="C155" s="1" t="n">
        <v>1</v>
      </c>
      <c r="D155" s="2" t="n">
        <v>40</v>
      </c>
      <c r="E155" s="4" t="n">
        <v>2.8</v>
      </c>
      <c r="F155" s="1" t="n">
        <v>40</v>
      </c>
      <c r="G155" s="1" t="n">
        <v>50</v>
      </c>
      <c r="H155" s="3" t="n">
        <v>75.4003930660822</v>
      </c>
      <c r="I155" s="1" t="n">
        <v>250</v>
      </c>
      <c r="J155" s="39" t="n">
        <v>200</v>
      </c>
      <c r="K155" s="27" t="n">
        <v>130</v>
      </c>
      <c r="L155" s="39" t="n">
        <v>150</v>
      </c>
      <c r="M155" s="4" t="n">
        <v>0.27</v>
      </c>
      <c r="N155" s="26" t="n">
        <v>0.215832770163761</v>
      </c>
      <c r="O155" s="27" t="n">
        <v>300.818989804166</v>
      </c>
      <c r="P155" s="27" t="n">
        <v>72.0122866367508</v>
      </c>
      <c r="Q155" s="28" t="n">
        <v>0.0541238331858136</v>
      </c>
      <c r="R155" s="25" t="n">
        <v>0.799380630236152</v>
      </c>
      <c r="S155" s="29" t="n">
        <v>0.237923236115045</v>
      </c>
      <c r="T155" s="27" t="n">
        <v>300.818989804166</v>
      </c>
      <c r="U155" s="27" t="n">
        <v>154</v>
      </c>
      <c r="V155" s="28" t="n">
        <v>0.021</v>
      </c>
      <c r="W155" s="25" t="n">
        <f aca="false">(I155-H155)/(J155-H155)</f>
        <v>1.40128537505353</v>
      </c>
      <c r="X155" s="25" t="n">
        <f aca="false">0.5*(1+(I155-K155-L155)/(I155-K155))</f>
        <v>0.375</v>
      </c>
      <c r="Y155" s="25" t="n">
        <v>0.881197170796462</v>
      </c>
      <c r="Z155" s="26" t="n">
        <v>0.234945229722043</v>
      </c>
      <c r="AA155" s="27" t="n">
        <v>300.818989804166</v>
      </c>
      <c r="AB155" s="27" t="n">
        <v>72.0122866367508</v>
      </c>
      <c r="AC155" s="28" t="n">
        <v>0.0541238331858136</v>
      </c>
      <c r="AD155" s="25" t="n">
        <v>0.870167517489047</v>
      </c>
      <c r="AE155" s="4" t="n">
        <v>0.255107045381066</v>
      </c>
      <c r="AF155" s="25" t="n">
        <v>0.345550544803869</v>
      </c>
      <c r="AG155" s="26" t="n">
        <f aca="false">SMALL(AE155:AF155,1)</f>
        <v>0.255107045381066</v>
      </c>
      <c r="AH155" s="27" t="n">
        <v>314.437036037435</v>
      </c>
      <c r="AI155" s="28" t="n">
        <v>0.0196</v>
      </c>
      <c r="AJ155" s="25" t="n">
        <v>0.944840908818761</v>
      </c>
      <c r="AK155" s="29" t="n">
        <v>0.316493739430072</v>
      </c>
      <c r="AN155" s="4" t="n">
        <f aca="false">(N155-$N$344)/$N$345</f>
        <v>0.00587039219984303</v>
      </c>
      <c r="AO155" s="4" t="n">
        <f aca="false">(S155-$S$344)/$S$345</f>
        <v>0.278300646588318</v>
      </c>
      <c r="AP155" s="4" t="n">
        <f aca="false">(Z155-$Z$344)/$Z$345</f>
        <v>0.158243137078218</v>
      </c>
      <c r="AQ155" s="4" t="n">
        <f aca="false">(AE155-$AE$344)/$AE$345</f>
        <v>-0.18218727754275</v>
      </c>
    </row>
    <row r="156" customFormat="false" ht="14.25" hidden="false" customHeight="false" outlineLevel="0" collapsed="false">
      <c r="B156" s="1" t="n">
        <v>20</v>
      </c>
      <c r="C156" s="1" t="n">
        <v>1</v>
      </c>
      <c r="D156" s="2" t="n">
        <v>40</v>
      </c>
      <c r="E156" s="4" t="n">
        <v>2.8</v>
      </c>
      <c r="F156" s="1" t="n">
        <v>40</v>
      </c>
      <c r="G156" s="1" t="n">
        <v>50</v>
      </c>
      <c r="H156" s="3" t="n">
        <v>75.4003930660822</v>
      </c>
      <c r="I156" s="1" t="n">
        <v>250</v>
      </c>
      <c r="J156" s="39" t="n">
        <v>200</v>
      </c>
      <c r="K156" s="27" t="n">
        <v>130</v>
      </c>
      <c r="L156" s="39" t="n">
        <v>150</v>
      </c>
      <c r="M156" s="4" t="n">
        <v>0.32</v>
      </c>
      <c r="N156" s="26" t="n">
        <v>0.242906910904276</v>
      </c>
      <c r="O156" s="27" t="n">
        <v>333.133884303346</v>
      </c>
      <c r="P156" s="27" t="n">
        <v>72.0122866367508</v>
      </c>
      <c r="Q156" s="28" t="n">
        <v>0.0541238331858136</v>
      </c>
      <c r="R156" s="25" t="n">
        <v>0.759084096575863</v>
      </c>
      <c r="S156" s="29" t="n">
        <v>0.274771581357304</v>
      </c>
      <c r="T156" s="27" t="n">
        <v>333.133884303346</v>
      </c>
      <c r="U156" s="27" t="n">
        <v>154</v>
      </c>
      <c r="V156" s="28" t="n">
        <v>0.021</v>
      </c>
      <c r="W156" s="25" t="n">
        <f aca="false">(I156-H156)/(J156-H156)</f>
        <v>1.40128537505353</v>
      </c>
      <c r="X156" s="25" t="n">
        <f aca="false">0.5*(1+(I156-K156-L156)/(I156-K156))</f>
        <v>0.375</v>
      </c>
      <c r="Y156" s="25" t="n">
        <v>0.858661191741574</v>
      </c>
      <c r="Z156" s="26" t="n">
        <v>0.264416844301149</v>
      </c>
      <c r="AA156" s="27" t="n">
        <v>333.133884303346</v>
      </c>
      <c r="AB156" s="27" t="n">
        <v>72.0122866367508</v>
      </c>
      <c r="AC156" s="28" t="n">
        <v>0.0541238331858136</v>
      </c>
      <c r="AD156" s="25" t="n">
        <v>0.826302638441091</v>
      </c>
      <c r="AE156" s="4" t="n">
        <v>0.282511423219225</v>
      </c>
      <c r="AF156" s="25" t="n">
        <v>0.423778288203338</v>
      </c>
      <c r="AG156" s="26" t="n">
        <f aca="false">SMALL(AE156:AF156,1)</f>
        <v>0.282511423219225</v>
      </c>
      <c r="AH156" s="27" t="n">
        <v>348.214822648577</v>
      </c>
      <c r="AI156" s="28" t="n">
        <v>0.0196</v>
      </c>
      <c r="AJ156" s="25" t="n">
        <v>0.882848197560077</v>
      </c>
      <c r="AK156" s="29" t="n">
        <v>0.359924705670677</v>
      </c>
      <c r="AN156" s="4" t="n">
        <f aca="false">(N156-$N$344)/$N$345</f>
        <v>0.324379391400889</v>
      </c>
      <c r="AO156" s="4" t="n">
        <f aca="false">(S156-$S$344)/$S$345</f>
        <v>0.722763681181351</v>
      </c>
      <c r="AP156" s="4" t="n">
        <f aca="false">(Z156-$Z$344)/$Z$345</f>
        <v>0.55855362818634</v>
      </c>
      <c r="AQ156" s="4" t="n">
        <f aca="false">(AE156-$AE$344)/$AE$345</f>
        <v>0.163159045901092</v>
      </c>
    </row>
    <row r="157" customFormat="false" ht="14.25" hidden="false" customHeight="false" outlineLevel="0" collapsed="false">
      <c r="B157" s="1" t="n">
        <v>20</v>
      </c>
      <c r="C157" s="1" t="n">
        <v>1</v>
      </c>
      <c r="D157" s="2" t="n">
        <v>40</v>
      </c>
      <c r="E157" s="4" t="n">
        <v>2.8</v>
      </c>
      <c r="F157" s="1" t="n">
        <v>40</v>
      </c>
      <c r="G157" s="1" t="n">
        <v>50</v>
      </c>
      <c r="H157" s="3" t="n">
        <v>75.4003930660822</v>
      </c>
      <c r="I157" s="1" t="n">
        <v>250</v>
      </c>
      <c r="J157" s="39" t="n">
        <v>200</v>
      </c>
      <c r="K157" s="27" t="n">
        <v>130</v>
      </c>
      <c r="L157" s="39" t="n">
        <v>150</v>
      </c>
      <c r="M157" s="4" t="n">
        <v>0.34</v>
      </c>
      <c r="N157" s="26" t="n">
        <v>0.270741561216154</v>
      </c>
      <c r="O157" s="27" t="n">
        <v>366.356500558121</v>
      </c>
      <c r="P157" s="27" t="n">
        <v>72.0122866367508</v>
      </c>
      <c r="Q157" s="28" t="n">
        <v>0.0541238331858136</v>
      </c>
      <c r="R157" s="25" t="n">
        <v>0.796298709459276</v>
      </c>
      <c r="S157" s="29" t="n">
        <v>0.312654992477154</v>
      </c>
      <c r="T157" s="27" t="n">
        <v>366.356500558121</v>
      </c>
      <c r="U157" s="27" t="n">
        <v>154</v>
      </c>
      <c r="V157" s="28" t="n">
        <v>0.021</v>
      </c>
      <c r="W157" s="25" t="n">
        <f aca="false">(I157-H157)/(J157-H157)</f>
        <v>1.40128537505353</v>
      </c>
      <c r="X157" s="25" t="n">
        <f aca="false">0.5*(1+(I157-K157-L157)/(I157-K157))</f>
        <v>0.375</v>
      </c>
      <c r="Y157" s="25" t="n">
        <v>0.919573507285747</v>
      </c>
      <c r="Z157" s="26" t="n">
        <v>0.294716313222365</v>
      </c>
      <c r="AA157" s="27" t="n">
        <v>366.356500558121</v>
      </c>
      <c r="AB157" s="27" t="n">
        <v>72.0122866367508</v>
      </c>
      <c r="AC157" s="28" t="n">
        <v>0.0541238331858136</v>
      </c>
      <c r="AD157" s="25" t="n">
        <v>0.866812685948133</v>
      </c>
      <c r="AE157" s="4" t="n">
        <v>0.310685586951714</v>
      </c>
      <c r="AF157" s="25" t="n">
        <v>0.51251772415843</v>
      </c>
      <c r="AG157" s="26" t="n">
        <f aca="false">SMALL(AE157:AF157,1)</f>
        <v>0.310685586951714</v>
      </c>
      <c r="AH157" s="27" t="n">
        <v>382.94142349037</v>
      </c>
      <c r="AI157" s="28" t="n">
        <v>0.0196</v>
      </c>
      <c r="AJ157" s="25" t="n">
        <v>0.913781138093276</v>
      </c>
      <c r="AK157" s="29" t="n">
        <v>0.404575642873098</v>
      </c>
      <c r="AN157" s="4" t="n">
        <f aca="false">(N157-$N$344)/$N$345</f>
        <v>0.651835272601962</v>
      </c>
      <c r="AO157" s="4" t="n">
        <f aca="false">(S157-$S$344)/$S$345</f>
        <v>1.17971163247643</v>
      </c>
      <c r="AP157" s="4" t="n">
        <f aca="false">(Z157-$Z$344)/$Z$345</f>
        <v>0.970108796010979</v>
      </c>
      <c r="AQ157" s="4" t="n">
        <f aca="false">(AE157-$AE$344)/$AE$345</f>
        <v>0.518206108767513</v>
      </c>
    </row>
    <row r="158" customFormat="false" ht="14.25" hidden="false" customHeight="false" outlineLevel="0" collapsed="false">
      <c r="A158" s="0" t="s">
        <v>57</v>
      </c>
      <c r="B158" s="1" t="n">
        <v>20</v>
      </c>
      <c r="C158" s="1" t="n">
        <v>1</v>
      </c>
      <c r="D158" s="2" t="n">
        <v>40</v>
      </c>
      <c r="E158" s="4" t="n">
        <v>2.8</v>
      </c>
      <c r="F158" s="1" t="n">
        <v>40</v>
      </c>
      <c r="G158" s="1" t="n">
        <v>50</v>
      </c>
      <c r="H158" s="3" t="n">
        <v>75.4003930660822</v>
      </c>
      <c r="I158" s="1" t="n">
        <v>250</v>
      </c>
      <c r="J158" s="39" t="n">
        <v>200</v>
      </c>
      <c r="K158" s="27" t="n">
        <v>130</v>
      </c>
      <c r="L158" s="39" t="n">
        <v>150</v>
      </c>
      <c r="M158" s="4" t="n">
        <v>0.16</v>
      </c>
      <c r="N158" s="26" t="n">
        <v>0.106015188058975</v>
      </c>
      <c r="O158" s="27" t="n">
        <v>169.743968296255</v>
      </c>
      <c r="P158" s="27" t="n">
        <v>72.0122866367508</v>
      </c>
      <c r="Q158" s="28" t="n">
        <v>0.0541238331858136</v>
      </c>
      <c r="R158" s="25" t="n">
        <v>0.662594925368594</v>
      </c>
      <c r="S158" s="29" t="n">
        <v>0.0884597233908265</v>
      </c>
      <c r="T158" s="27" t="n">
        <v>169.743968296255</v>
      </c>
      <c r="U158" s="27" t="n">
        <v>154</v>
      </c>
      <c r="V158" s="28" t="n">
        <v>0.021</v>
      </c>
      <c r="W158" s="25" t="n">
        <f aca="false">(I158-H158)/(J158-H158)</f>
        <v>1.40128537505353</v>
      </c>
      <c r="X158" s="25" t="n">
        <f aca="false">0.5*(1+(I158-K158-L158)/(I158-K158))</f>
        <v>0.375</v>
      </c>
      <c r="Y158" s="25" t="n">
        <v>0.552873271192666</v>
      </c>
      <c r="Z158" s="26" t="n">
        <v>0.115403062721397</v>
      </c>
      <c r="AA158" s="27" t="n">
        <v>169.743968296255</v>
      </c>
      <c r="AB158" s="27" t="n">
        <v>72.0122866367508</v>
      </c>
      <c r="AC158" s="28" t="n">
        <v>0.0541238331858136</v>
      </c>
      <c r="AD158" s="25" t="n">
        <v>0.721269142008733</v>
      </c>
      <c r="AE158" s="4" t="n">
        <v>0.143949962239768</v>
      </c>
      <c r="AF158" s="25" t="n">
        <v>0.11002459711025</v>
      </c>
      <c r="AG158" s="26" t="n">
        <f aca="false">SMALL(AE158:AF158,1)</f>
        <v>0.11002459711025</v>
      </c>
      <c r="AH158" s="27" t="n">
        <v>177.428261131564</v>
      </c>
      <c r="AI158" s="28" t="n">
        <v>0.0196</v>
      </c>
      <c r="AJ158" s="25" t="n">
        <v>0.687653731939065</v>
      </c>
      <c r="AK158" s="29" t="n">
        <v>0.14032993254402</v>
      </c>
      <c r="AN158" s="4" t="n">
        <f aca="false">(N158-$N$344)/$N$345</f>
        <v>-1.2860593686044</v>
      </c>
      <c r="AO158" s="4" t="n">
        <f aca="false">(S158-$S$344)/$S$345</f>
        <v>-1.52452132518791</v>
      </c>
      <c r="AP158" s="4" t="n">
        <f aca="false">(Z158-$Z$344)/$Z$345</f>
        <v>-1.46548818078731</v>
      </c>
      <c r="AQ158" s="4" t="n">
        <f aca="false">(AE158-$AE$344)/$AE$345</f>
        <v>-1.58297405016328</v>
      </c>
    </row>
    <row r="159" customFormat="false" ht="14.25" hidden="false" customHeight="false" outlineLevel="0" collapsed="false">
      <c r="B159" s="1" t="n">
        <v>20</v>
      </c>
      <c r="C159" s="1" t="n">
        <v>1</v>
      </c>
      <c r="D159" s="2" t="n">
        <v>40</v>
      </c>
      <c r="E159" s="4" t="n">
        <v>2.8</v>
      </c>
      <c r="F159" s="1" t="n">
        <v>40</v>
      </c>
      <c r="G159" s="1" t="n">
        <v>50</v>
      </c>
      <c r="H159" s="3" t="n">
        <v>75.4003930660822</v>
      </c>
      <c r="I159" s="1" t="n">
        <v>250</v>
      </c>
      <c r="J159" s="39" t="n">
        <v>200</v>
      </c>
      <c r="K159" s="27" t="n">
        <v>130</v>
      </c>
      <c r="L159" s="39" t="n">
        <v>150</v>
      </c>
      <c r="M159" s="4" t="n">
        <v>0.2</v>
      </c>
      <c r="N159" s="26" t="n">
        <v>0.132937226885218</v>
      </c>
      <c r="O159" s="27" t="n">
        <v>201.877318444317</v>
      </c>
      <c r="P159" s="27" t="n">
        <v>72.0122866367508</v>
      </c>
      <c r="Q159" s="28" t="n">
        <v>0.0541238331858136</v>
      </c>
      <c r="R159" s="25" t="n">
        <v>0.664686134426088</v>
      </c>
      <c r="S159" s="29" t="n">
        <v>0.125101055457567</v>
      </c>
      <c r="T159" s="27" t="n">
        <v>201.877318444317</v>
      </c>
      <c r="U159" s="27" t="n">
        <v>154</v>
      </c>
      <c r="V159" s="28" t="n">
        <v>0.021</v>
      </c>
      <c r="W159" s="25" t="n">
        <f aca="false">(I159-H159)/(J159-H159)</f>
        <v>1.40128537505353</v>
      </c>
      <c r="X159" s="25" t="n">
        <f aca="false">0.5*(1+(I159-K159-L159)/(I159-K159))</f>
        <v>0.375</v>
      </c>
      <c r="Y159" s="25" t="n">
        <v>0.625505277287835</v>
      </c>
      <c r="Z159" s="26" t="n">
        <v>0.144709106432082</v>
      </c>
      <c r="AA159" s="27" t="n">
        <v>201.877318444317</v>
      </c>
      <c r="AB159" s="27" t="n">
        <v>72.0122866367508</v>
      </c>
      <c r="AC159" s="28" t="n">
        <v>0.0541238331858136</v>
      </c>
      <c r="AD159" s="25" t="n">
        <v>0.723545532160409</v>
      </c>
      <c r="AE159" s="4" t="n">
        <v>0.171200382899061</v>
      </c>
      <c r="AF159" s="25" t="n">
        <v>0.155623844444048</v>
      </c>
      <c r="AG159" s="26" t="n">
        <f aca="false">SMALL(AE159:AF159,1)</f>
        <v>0.155623844444048</v>
      </c>
      <c r="AH159" s="27" t="n">
        <v>211.016284896576</v>
      </c>
      <c r="AI159" s="28" t="n">
        <v>0.0196</v>
      </c>
      <c r="AJ159" s="25" t="n">
        <v>0.778119222220238</v>
      </c>
      <c r="AK159" s="29" t="n">
        <v>0.183516904592263</v>
      </c>
      <c r="AN159" s="4" t="n">
        <f aca="false">(N159-$N$344)/$N$345</f>
        <v>-0.969339745803357</v>
      </c>
      <c r="AO159" s="4" t="n">
        <f aca="false">(S159-$S$344)/$S$345</f>
        <v>-1.08255527393529</v>
      </c>
      <c r="AP159" s="4" t="n">
        <f aca="false">(Z159-$Z$344)/$Z$345</f>
        <v>-1.06742662502249</v>
      </c>
      <c r="AQ159" s="4" t="n">
        <f aca="false">(AE159-$AE$344)/$AE$345</f>
        <v>-1.23956787460395</v>
      </c>
    </row>
    <row r="160" customFormat="false" ht="14.25" hidden="false" customHeight="false" outlineLevel="0" collapsed="false">
      <c r="B160" s="1" t="n">
        <v>20</v>
      </c>
      <c r="C160" s="1" t="n">
        <v>1</v>
      </c>
      <c r="D160" s="2" t="n">
        <v>40</v>
      </c>
      <c r="E160" s="4" t="n">
        <v>2.8</v>
      </c>
      <c r="F160" s="1" t="n">
        <v>40</v>
      </c>
      <c r="G160" s="1" t="n">
        <v>50</v>
      </c>
      <c r="H160" s="3" t="n">
        <v>75.4003930660822</v>
      </c>
      <c r="I160" s="1" t="n">
        <v>250</v>
      </c>
      <c r="J160" s="39" t="n">
        <v>200</v>
      </c>
      <c r="K160" s="27" t="n">
        <v>130</v>
      </c>
      <c r="L160" s="39" t="n">
        <v>150</v>
      </c>
      <c r="M160" s="4" t="n">
        <v>0.24</v>
      </c>
      <c r="N160" s="26" t="n">
        <v>0.16046767336855</v>
      </c>
      <c r="O160" s="27" t="n">
        <v>234.736845996854</v>
      </c>
      <c r="P160" s="27" t="n">
        <v>72.0122866367508</v>
      </c>
      <c r="Q160" s="28" t="n">
        <v>0.0541238331858136</v>
      </c>
      <c r="R160" s="25" t="n">
        <v>0.668615305702293</v>
      </c>
      <c r="S160" s="29" t="n">
        <v>0.162570440226381</v>
      </c>
      <c r="T160" s="27" t="n">
        <v>234.736845996854</v>
      </c>
      <c r="U160" s="27" t="n">
        <v>154</v>
      </c>
      <c r="V160" s="28" t="n">
        <v>0.021</v>
      </c>
      <c r="W160" s="25" t="n">
        <f aca="false">(I160-H160)/(J160-H160)</f>
        <v>1.40128537505353</v>
      </c>
      <c r="X160" s="25" t="n">
        <f aca="false">0.5*(1+(I160-K160-L160)/(I160-K160))</f>
        <v>0.375</v>
      </c>
      <c r="Y160" s="25" t="n">
        <v>0.677376834276587</v>
      </c>
      <c r="Z160" s="26" t="n">
        <v>0.174677433616454</v>
      </c>
      <c r="AA160" s="27" t="n">
        <v>234.736845996854</v>
      </c>
      <c r="AB160" s="27" t="n">
        <v>72.0122866367508</v>
      </c>
      <c r="AC160" s="28" t="n">
        <v>0.0541238331858136</v>
      </c>
      <c r="AD160" s="25" t="n">
        <v>0.727822640068559</v>
      </c>
      <c r="AE160" s="4" t="n">
        <v>0.199066632273819</v>
      </c>
      <c r="AF160" s="25" t="n">
        <v>0.21040866213409</v>
      </c>
      <c r="AG160" s="26" t="n">
        <f aca="false">SMALL(AE160:AF160,1)</f>
        <v>0.199066632273819</v>
      </c>
      <c r="AH160" s="27" t="n">
        <v>245.363360046109</v>
      </c>
      <c r="AI160" s="28" t="n">
        <v>0.0196</v>
      </c>
      <c r="AJ160" s="25" t="n">
        <v>0.829444301140911</v>
      </c>
      <c r="AK160" s="29" t="n">
        <v>0.227679853409957</v>
      </c>
      <c r="AN160" s="4" t="n">
        <f aca="false">(N160-$N$344)/$N$345</f>
        <v>-0.645462617402295</v>
      </c>
      <c r="AO160" s="4" t="n">
        <f aca="false">(S160-$S$344)/$S$345</f>
        <v>-0.630601289321027</v>
      </c>
      <c r="AP160" s="4" t="n">
        <f aca="false">(Z160-$Z$344)/$Z$345</f>
        <v>-0.660369327884455</v>
      </c>
      <c r="AQ160" s="4" t="n">
        <f aca="false">(AE160-$AE$344)/$AE$345</f>
        <v>-0.888401107506562</v>
      </c>
    </row>
    <row r="161" customFormat="false" ht="14.25" hidden="false" customHeight="false" outlineLevel="0" collapsed="false">
      <c r="B161" s="1" t="n">
        <v>20</v>
      </c>
      <c r="C161" s="1" t="n">
        <v>1</v>
      </c>
      <c r="D161" s="2" t="n">
        <v>40</v>
      </c>
      <c r="E161" s="4" t="n">
        <v>2.8</v>
      </c>
      <c r="F161" s="1" t="n">
        <v>40</v>
      </c>
      <c r="G161" s="1" t="n">
        <v>50</v>
      </c>
      <c r="H161" s="3" t="n">
        <v>75.4003930660822</v>
      </c>
      <c r="I161" s="1" t="n">
        <v>250</v>
      </c>
      <c r="J161" s="39" t="n">
        <v>200</v>
      </c>
      <c r="K161" s="27" t="n">
        <v>130</v>
      </c>
      <c r="L161" s="39" t="n">
        <v>150</v>
      </c>
      <c r="M161" s="4" t="n">
        <v>0.27</v>
      </c>
      <c r="N161" s="26" t="n">
        <v>0.187693916023338</v>
      </c>
      <c r="O161" s="27" t="n">
        <v>267.233284847153</v>
      </c>
      <c r="P161" s="27" t="n">
        <v>72.0122866367508</v>
      </c>
      <c r="Q161" s="28" t="n">
        <v>0.0541238331858136</v>
      </c>
      <c r="R161" s="25" t="n">
        <v>0.695162651938289</v>
      </c>
      <c r="S161" s="29" t="n">
        <v>0.199625798644158</v>
      </c>
      <c r="T161" s="27" t="n">
        <v>267.233284847153</v>
      </c>
      <c r="U161" s="27" t="n">
        <v>154</v>
      </c>
      <c r="V161" s="28" t="n">
        <v>0.021</v>
      </c>
      <c r="W161" s="25" t="n">
        <f aca="false">(I161-H161)/(J161-H161)</f>
        <v>1.40128537505353</v>
      </c>
      <c r="X161" s="25" t="n">
        <f aca="false">0.5*(1+(I161-K161-L161)/(I161-K161))</f>
        <v>0.375</v>
      </c>
      <c r="Y161" s="25" t="n">
        <v>0.739354809793177</v>
      </c>
      <c r="Z161" s="26" t="n">
        <v>0.204314619063983</v>
      </c>
      <c r="AA161" s="27" t="n">
        <v>267.233284847153</v>
      </c>
      <c r="AB161" s="27" t="n">
        <v>72.0122866367508</v>
      </c>
      <c r="AC161" s="28" t="n">
        <v>0.0541238331858136</v>
      </c>
      <c r="AD161" s="25" t="n">
        <v>0.756720811348083</v>
      </c>
      <c r="AE161" s="4" t="n">
        <v>0.226624967290844</v>
      </c>
      <c r="AF161" s="25" t="n">
        <v>0.272698145929179</v>
      </c>
      <c r="AG161" s="26" t="n">
        <f aca="false">SMALL(AE161:AF161,1)</f>
        <v>0.226624967290844</v>
      </c>
      <c r="AH161" s="27" t="n">
        <v>279.330909503382</v>
      </c>
      <c r="AI161" s="28" t="n">
        <v>0.0196</v>
      </c>
      <c r="AJ161" s="25" t="n">
        <v>0.839351730706829</v>
      </c>
      <c r="AK161" s="29" t="n">
        <v>0.271354813842926</v>
      </c>
      <c r="AN161" s="4" t="n">
        <f aca="false">(N161-$N$344)/$N$345</f>
        <v>-0.325164241801244</v>
      </c>
      <c r="AO161" s="4" t="n">
        <f aca="false">(S161-$S$344)/$S$345</f>
        <v>-0.183641271387585</v>
      </c>
      <c r="AP161" s="4" t="n">
        <f aca="false">(Z161-$Z$344)/$Z$345</f>
        <v>-0.257809901433031</v>
      </c>
      <c r="AQ161" s="4" t="n">
        <f aca="false">(AE161-$AE$344)/$AE$345</f>
        <v>-0.541114636178204</v>
      </c>
    </row>
    <row r="162" customFormat="false" ht="14.25" hidden="false" customHeight="false" outlineLevel="0" collapsed="false">
      <c r="B162" s="1" t="n">
        <v>20</v>
      </c>
      <c r="C162" s="1" t="n">
        <v>1</v>
      </c>
      <c r="D162" s="2" t="n">
        <v>40</v>
      </c>
      <c r="E162" s="4" t="n">
        <v>2.8</v>
      </c>
      <c r="F162" s="1" t="n">
        <v>40</v>
      </c>
      <c r="G162" s="1" t="n">
        <v>50</v>
      </c>
      <c r="H162" s="3" t="n">
        <v>75.4003930660822</v>
      </c>
      <c r="I162" s="1" t="n">
        <v>250</v>
      </c>
      <c r="J162" s="39" t="n">
        <v>200</v>
      </c>
      <c r="K162" s="27" t="n">
        <v>130</v>
      </c>
      <c r="L162" s="39" t="n">
        <v>150</v>
      </c>
      <c r="M162" s="4" t="n">
        <v>0.29</v>
      </c>
      <c r="N162" s="26" t="n">
        <v>0.215984872078034</v>
      </c>
      <c r="O162" s="27" t="n">
        <v>301.000534155285</v>
      </c>
      <c r="P162" s="27" t="n">
        <v>72.0122866367508</v>
      </c>
      <c r="Q162" s="28" t="n">
        <v>0.0541238331858136</v>
      </c>
      <c r="R162" s="25" t="n">
        <v>0.744775420958737</v>
      </c>
      <c r="S162" s="29" t="n">
        <v>0.238130249290563</v>
      </c>
      <c r="T162" s="27" t="n">
        <v>301.000534155285</v>
      </c>
      <c r="U162" s="27" t="n">
        <v>154</v>
      </c>
      <c r="V162" s="28" t="n">
        <v>0.021</v>
      </c>
      <c r="W162" s="25" t="n">
        <f aca="false">(I162-H162)/(J162-H162)</f>
        <v>1.40128537505353</v>
      </c>
      <c r="X162" s="25" t="n">
        <f aca="false">0.5*(1+(I162-K162-L162)/(I162-K162))</f>
        <v>0.375</v>
      </c>
      <c r="Y162" s="25" t="n">
        <v>0.821138790657115</v>
      </c>
      <c r="Z162" s="26" t="n">
        <v>0.235110800590465</v>
      </c>
      <c r="AA162" s="27" t="n">
        <v>301.000534155285</v>
      </c>
      <c r="AB162" s="27" t="n">
        <v>72.0122866367508</v>
      </c>
      <c r="AC162" s="28" t="n">
        <v>0.0541238331858136</v>
      </c>
      <c r="AD162" s="25" t="n">
        <v>0.810726898587809</v>
      </c>
      <c r="AE162" s="4" t="n">
        <v>0.255261002559932</v>
      </c>
      <c r="AF162" s="25" t="n">
        <v>0.345967750373854</v>
      </c>
      <c r="AG162" s="26" t="n">
        <f aca="false">SMALL(AE162:AF162,1)</f>
        <v>0.255261002559932</v>
      </c>
      <c r="AH162" s="27" t="n">
        <v>314.626798883565</v>
      </c>
      <c r="AI162" s="28" t="n">
        <v>0.0196</v>
      </c>
      <c r="AJ162" s="25" t="n">
        <v>0.880210353654937</v>
      </c>
      <c r="AK162" s="29" t="n">
        <v>0.316737733622435</v>
      </c>
      <c r="AN162" s="4" t="n">
        <f aca="false">(N162-$N$344)/$N$345</f>
        <v>0.00765976859984864</v>
      </c>
      <c r="AO162" s="4" t="n">
        <f aca="false">(S162-$S$344)/$S$345</f>
        <v>0.280797629928728</v>
      </c>
      <c r="AP162" s="4" t="n">
        <f aca="false">(Z162-$Z$344)/$Z$345</f>
        <v>0.160492072421522</v>
      </c>
      <c r="AQ162" s="4" t="n">
        <f aca="false">(AE162-$AE$344)/$AE$345</f>
        <v>-0.180247129658234</v>
      </c>
    </row>
    <row r="163" customFormat="false" ht="14.25" hidden="false" customHeight="false" outlineLevel="0" collapsed="false">
      <c r="B163" s="1" t="n">
        <v>20</v>
      </c>
      <c r="C163" s="1" t="n">
        <v>1</v>
      </c>
      <c r="D163" s="2" t="n">
        <v>40</v>
      </c>
      <c r="E163" s="4" t="n">
        <v>2.8</v>
      </c>
      <c r="F163" s="1" t="n">
        <v>40</v>
      </c>
      <c r="G163" s="1" t="n">
        <v>50</v>
      </c>
      <c r="H163" s="3" t="n">
        <v>75.4003930660822</v>
      </c>
      <c r="I163" s="1" t="n">
        <v>250</v>
      </c>
      <c r="J163" s="39" t="n">
        <v>200</v>
      </c>
      <c r="K163" s="27" t="n">
        <v>130</v>
      </c>
      <c r="L163" s="39" t="n">
        <v>150</v>
      </c>
      <c r="M163" s="4" t="n">
        <v>0.32</v>
      </c>
      <c r="N163" s="26" t="n">
        <v>0.242906910904276</v>
      </c>
      <c r="O163" s="27" t="n">
        <v>333.133884303346</v>
      </c>
      <c r="P163" s="27" t="n">
        <v>72.0122866367508</v>
      </c>
      <c r="Q163" s="28" t="n">
        <v>0.0541238331858136</v>
      </c>
      <c r="R163" s="25" t="n">
        <v>0.759084096575863</v>
      </c>
      <c r="S163" s="29" t="n">
        <v>0.274771581357304</v>
      </c>
      <c r="T163" s="27" t="n">
        <v>333.133884303346</v>
      </c>
      <c r="U163" s="27" t="n">
        <v>154</v>
      </c>
      <c r="V163" s="28" t="n">
        <v>0.021</v>
      </c>
      <c r="W163" s="25" t="n">
        <f aca="false">(I163-H163)/(J163-H163)</f>
        <v>1.40128537505353</v>
      </c>
      <c r="X163" s="25" t="n">
        <f aca="false">0.5*(1+(I163-K163-L163)/(I163-K163))</f>
        <v>0.375</v>
      </c>
      <c r="Y163" s="25" t="n">
        <v>0.858661191741574</v>
      </c>
      <c r="Z163" s="26" t="n">
        <v>0.264416844301149</v>
      </c>
      <c r="AA163" s="27" t="n">
        <v>333.133884303346</v>
      </c>
      <c r="AB163" s="27" t="n">
        <v>72.0122866367508</v>
      </c>
      <c r="AC163" s="28" t="n">
        <v>0.0541238331858136</v>
      </c>
      <c r="AD163" s="25" t="n">
        <v>0.826302638441091</v>
      </c>
      <c r="AE163" s="4" t="n">
        <v>0.282511423219225</v>
      </c>
      <c r="AF163" s="25" t="n">
        <v>0.423778288203338</v>
      </c>
      <c r="AG163" s="26" t="n">
        <f aca="false">SMALL(AE163:AF163,1)</f>
        <v>0.282511423219225</v>
      </c>
      <c r="AH163" s="27" t="n">
        <v>348.214822648577</v>
      </c>
      <c r="AI163" s="28" t="n">
        <v>0.0196</v>
      </c>
      <c r="AJ163" s="25" t="n">
        <v>0.882848197560077</v>
      </c>
      <c r="AK163" s="29" t="n">
        <v>0.359924705670677</v>
      </c>
      <c r="AN163" s="4" t="n">
        <f aca="false">(N163-$N$344)/$N$345</f>
        <v>0.324379391400889</v>
      </c>
      <c r="AO163" s="4" t="n">
        <f aca="false">(S163-$S$344)/$S$345</f>
        <v>0.722763681181351</v>
      </c>
      <c r="AP163" s="4" t="n">
        <f aca="false">(Z163-$Z$344)/$Z$345</f>
        <v>0.55855362818634</v>
      </c>
      <c r="AQ163" s="4" t="n">
        <f aca="false">(AE163-$AE$344)/$AE$345</f>
        <v>0.163159045901092</v>
      </c>
    </row>
    <row r="164" customFormat="false" ht="14.25" hidden="false" customHeight="false" outlineLevel="0" collapsed="false">
      <c r="B164" s="1" t="n">
        <v>20</v>
      </c>
      <c r="C164" s="1" t="n">
        <v>1</v>
      </c>
      <c r="D164" s="2" t="n">
        <v>40</v>
      </c>
      <c r="E164" s="4" t="n">
        <v>2.8</v>
      </c>
      <c r="F164" s="1" t="n">
        <v>40</v>
      </c>
      <c r="G164" s="1" t="n">
        <v>50</v>
      </c>
      <c r="H164" s="3" t="n">
        <v>75.4003930660822</v>
      </c>
      <c r="I164" s="1" t="n">
        <v>250</v>
      </c>
      <c r="J164" s="39" t="n">
        <v>200</v>
      </c>
      <c r="K164" s="27" t="n">
        <v>130</v>
      </c>
      <c r="L164" s="39" t="n">
        <v>150</v>
      </c>
      <c r="M164" s="4" t="n">
        <v>0.33</v>
      </c>
      <c r="N164" s="26" t="n">
        <v>0.255987675531716</v>
      </c>
      <c r="O164" s="27" t="n">
        <v>348.746698499579</v>
      </c>
      <c r="P164" s="27" t="n">
        <v>72.0122866367508</v>
      </c>
      <c r="Q164" s="28" t="n">
        <v>0.0541238331858136</v>
      </c>
      <c r="R164" s="25" t="n">
        <v>0.775720228883988</v>
      </c>
      <c r="S164" s="29" t="n">
        <v>0.292574714451878</v>
      </c>
      <c r="T164" s="27" t="n">
        <v>348.746698499579</v>
      </c>
      <c r="U164" s="27" t="n">
        <v>154</v>
      </c>
      <c r="V164" s="28" t="n">
        <v>0.021</v>
      </c>
      <c r="W164" s="25" t="n">
        <f aca="false">(I164-H164)/(J164-H164)</f>
        <v>1.40128537505353</v>
      </c>
      <c r="X164" s="25" t="n">
        <f aca="false">0.5*(1+(I164-K164-L164)/(I164-K164))</f>
        <v>0.375</v>
      </c>
      <c r="Y164" s="25" t="n">
        <v>0.88659004379357</v>
      </c>
      <c r="Z164" s="26" t="n">
        <v>0.278655938985436</v>
      </c>
      <c r="AA164" s="27" t="n">
        <v>348.746698499579</v>
      </c>
      <c r="AB164" s="27" t="n">
        <v>72.0122866367508</v>
      </c>
      <c r="AC164" s="28" t="n">
        <v>0.0541238331858136</v>
      </c>
      <c r="AD164" s="25" t="n">
        <v>0.844411936319504</v>
      </c>
      <c r="AE164" s="4" t="n">
        <v>0.295751740601706</v>
      </c>
      <c r="AF164" s="25" t="n">
        <v>0.464431100991996</v>
      </c>
      <c r="AG164" s="26" t="n">
        <f aca="false">SMALL(AE164:AF164,1)</f>
        <v>0.295751740601706</v>
      </c>
      <c r="AH164" s="27" t="n">
        <v>364.534427415758</v>
      </c>
      <c r="AI164" s="28" t="n">
        <v>0.0196</v>
      </c>
      <c r="AJ164" s="25" t="n">
        <v>0.896217395762745</v>
      </c>
      <c r="AK164" s="29" t="n">
        <v>0.380908206213891</v>
      </c>
      <c r="AN164" s="4" t="n">
        <f aca="false">(N164-$N$344)/$N$345</f>
        <v>0.478265761801393</v>
      </c>
      <c r="AO164" s="4" t="n">
        <f aca="false">(S164-$S$344)/$S$345</f>
        <v>0.937504248456634</v>
      </c>
      <c r="AP164" s="4" t="n">
        <f aca="false">(Z164-$Z$344)/$Z$345</f>
        <v>0.751962067710487</v>
      </c>
      <c r="AQ164" s="4" t="n">
        <f aca="false">(AE164-$AE$344)/$AE$345</f>
        <v>0.330011763969466</v>
      </c>
    </row>
    <row r="165" customFormat="false" ht="14.25" hidden="false" customHeight="false" outlineLevel="0" collapsed="false">
      <c r="A165" s="0" t="s">
        <v>58</v>
      </c>
      <c r="B165" s="1" t="n">
        <v>10</v>
      </c>
      <c r="C165" s="1" t="n">
        <v>1</v>
      </c>
      <c r="D165" s="2" t="n">
        <v>45</v>
      </c>
      <c r="E165" s="4" t="n">
        <v>2.8</v>
      </c>
      <c r="F165" s="1" t="n">
        <v>40</v>
      </c>
      <c r="G165" s="1" t="n">
        <v>45</v>
      </c>
      <c r="H165" s="3" t="n">
        <v>54.1386548495659</v>
      </c>
      <c r="I165" s="1" t="n">
        <v>350</v>
      </c>
      <c r="J165" s="39" t="n">
        <v>305</v>
      </c>
      <c r="K165" s="27" t="n">
        <v>177</v>
      </c>
      <c r="L165" s="39" t="n">
        <v>95</v>
      </c>
      <c r="M165" s="4" t="n">
        <v>0.15</v>
      </c>
      <c r="N165" s="26" t="n">
        <v>0.166126862563817</v>
      </c>
      <c r="O165" s="27" t="n">
        <v>310.309853574738</v>
      </c>
      <c r="P165" s="27" t="n">
        <v>372.60441372747</v>
      </c>
      <c r="Q165" s="28" t="n">
        <v>0.00795980968315605</v>
      </c>
      <c r="R165" s="25" t="n">
        <v>1.10751241709211</v>
      </c>
      <c r="S165" s="29" t="n">
        <v>0.188618412612428</v>
      </c>
      <c r="T165" s="27" t="n">
        <v>310.309853574738</v>
      </c>
      <c r="U165" s="27" t="n">
        <v>360</v>
      </c>
      <c r="V165" s="28" t="n">
        <v>0.00826315789473684</v>
      </c>
      <c r="W165" s="25" t="n">
        <f aca="false">(I165-H165)/(J165-H165)</f>
        <v>1.17938196087171</v>
      </c>
      <c r="X165" s="25" t="n">
        <f aca="false">0.5*(1+(I165-K165-L165)/(I165-K165))</f>
        <v>0.725433526011561</v>
      </c>
      <c r="Y165" s="25" t="n">
        <v>1.25745608408285</v>
      </c>
      <c r="Z165" s="26" t="n">
        <v>0.290560525568031</v>
      </c>
      <c r="AA165" s="27" t="n">
        <v>310.309853574738</v>
      </c>
      <c r="AB165" s="27" t="n">
        <v>372.60441372747</v>
      </c>
      <c r="AC165" s="28" t="n">
        <v>0.00795980968315605</v>
      </c>
      <c r="AD165" s="25" t="n">
        <v>1.93707017045354</v>
      </c>
      <c r="AE165" s="4" t="n">
        <v>0.261429251994705</v>
      </c>
      <c r="AF165" s="25" t="n">
        <v>0.171502935220785</v>
      </c>
      <c r="AG165" s="26" t="n">
        <f aca="false">SMALL(AE165:AF165,1)</f>
        <v>0.171502935220785</v>
      </c>
      <c r="AH165" s="27" t="n">
        <v>317.559011696758</v>
      </c>
      <c r="AI165" s="28" t="n">
        <v>0.0084</v>
      </c>
      <c r="AJ165" s="25" t="n">
        <v>1.1433529014719</v>
      </c>
      <c r="AK165" s="29" t="n">
        <v>0.247615079397942</v>
      </c>
      <c r="AN165" s="4" t="n">
        <f aca="false">(N165-$N$344)/$N$345</f>
        <v>-0.578886074709794</v>
      </c>
      <c r="AO165" s="4" t="n">
        <f aca="false">(S165-$S$344)/$S$345</f>
        <v>-0.31641185216767</v>
      </c>
      <c r="AP165" s="4" t="n">
        <f aca="false">(Z165-$Z$344)/$Z$345</f>
        <v>0.913661077736769</v>
      </c>
      <c r="AQ165" s="4" t="n">
        <f aca="false">(AE165-$AE$344)/$AE$345</f>
        <v>-0.102515670948838</v>
      </c>
    </row>
    <row r="166" customFormat="false" ht="14.25" hidden="false" customHeight="false" outlineLevel="0" collapsed="false">
      <c r="B166" s="1" t="n">
        <v>10</v>
      </c>
      <c r="C166" s="1" t="n">
        <v>1</v>
      </c>
      <c r="D166" s="2" t="n">
        <v>45</v>
      </c>
      <c r="E166" s="4" t="n">
        <v>2.8</v>
      </c>
      <c r="F166" s="1" t="n">
        <v>40</v>
      </c>
      <c r="G166" s="1" t="n">
        <v>45</v>
      </c>
      <c r="H166" s="3" t="n">
        <v>54.1386548495659</v>
      </c>
      <c r="I166" s="1" t="n">
        <v>350</v>
      </c>
      <c r="J166" s="39" t="n">
        <v>305</v>
      </c>
      <c r="K166" s="27" t="n">
        <v>177</v>
      </c>
      <c r="L166" s="39" t="n">
        <v>95</v>
      </c>
      <c r="M166" s="4" t="n">
        <v>0.19</v>
      </c>
      <c r="N166" s="26" t="n">
        <v>0.204384247011143</v>
      </c>
      <c r="O166" s="27" t="n">
        <v>330.286882774829</v>
      </c>
      <c r="P166" s="27" t="n">
        <v>372.60441372747</v>
      </c>
      <c r="Q166" s="28" t="n">
        <v>0.00795980968315605</v>
      </c>
      <c r="R166" s="25" t="n">
        <v>1.07570656321654</v>
      </c>
      <c r="S166" s="29" t="n">
        <v>0.20076122887503</v>
      </c>
      <c r="T166" s="27" t="n">
        <v>330.286882774829</v>
      </c>
      <c r="U166" s="27" t="n">
        <v>360</v>
      </c>
      <c r="V166" s="28" t="n">
        <v>0.00826315789473684</v>
      </c>
      <c r="W166" s="25" t="n">
        <f aca="false">(I166-H166)/(J166-H166)</f>
        <v>1.17938196087171</v>
      </c>
      <c r="X166" s="25" t="n">
        <f aca="false">0.5*(1+(I166-K166-L166)/(I166-K166))</f>
        <v>0.725433526011561</v>
      </c>
      <c r="Y166" s="25" t="n">
        <v>1.05663804671069</v>
      </c>
      <c r="Z166" s="26" t="n">
        <v>0.309266138802025</v>
      </c>
      <c r="AA166" s="27" t="n">
        <v>330.286882774829</v>
      </c>
      <c r="AB166" s="27" t="n">
        <v>372.60441372747</v>
      </c>
      <c r="AC166" s="28" t="n">
        <v>0.00795980968315605</v>
      </c>
      <c r="AD166" s="25" t="n">
        <v>1.62771652001066</v>
      </c>
      <c r="AE166" s="4" t="n">
        <v>0.278259461350587</v>
      </c>
      <c r="AF166" s="25" t="n">
        <v>0.194295649723133</v>
      </c>
      <c r="AG166" s="26" t="n">
        <f aca="false">SMALL(AE166:AF166,1)</f>
        <v>0.194295649723133</v>
      </c>
      <c r="AH166" s="27" t="n">
        <v>338.00272489612</v>
      </c>
      <c r="AI166" s="28" t="n">
        <v>0.0084</v>
      </c>
      <c r="AJ166" s="25" t="n">
        <v>1.02260868275333</v>
      </c>
      <c r="AK166" s="29" t="n">
        <v>0.27905971970253</v>
      </c>
      <c r="AN166" s="4" t="n">
        <f aca="false">(N166-$N$344)/$N$345</f>
        <v>-0.128813758503921</v>
      </c>
      <c r="AO166" s="4" t="n">
        <f aca="false">(S166-$S$344)/$S$345</f>
        <v>-0.169945764502151</v>
      </c>
      <c r="AP166" s="4" t="n">
        <f aca="false">(Z166-$Z$344)/$Z$345</f>
        <v>1.1677378674586</v>
      </c>
      <c r="AQ166" s="4" t="n">
        <f aca="false">(AE166-$AE$344)/$AE$345</f>
        <v>0.109576388143665</v>
      </c>
    </row>
    <row r="167" customFormat="false" ht="14.25" hidden="false" customHeight="false" outlineLevel="0" collapsed="false">
      <c r="B167" s="1" t="n">
        <v>10</v>
      </c>
      <c r="C167" s="1" t="n">
        <v>1</v>
      </c>
      <c r="D167" s="2" t="n">
        <v>45</v>
      </c>
      <c r="E167" s="4" t="n">
        <v>2.8</v>
      </c>
      <c r="F167" s="1" t="n">
        <v>40</v>
      </c>
      <c r="G167" s="1" t="n">
        <v>45</v>
      </c>
      <c r="H167" s="3" t="n">
        <v>54.1386548495659</v>
      </c>
      <c r="I167" s="1" t="n">
        <v>350</v>
      </c>
      <c r="J167" s="39" t="n">
        <v>305</v>
      </c>
      <c r="K167" s="27" t="n">
        <v>177</v>
      </c>
      <c r="L167" s="39" t="n">
        <v>95</v>
      </c>
      <c r="M167" s="4" t="n">
        <v>0.2</v>
      </c>
      <c r="N167" s="26" t="n">
        <v>0.212035723900608</v>
      </c>
      <c r="O167" s="27" t="n">
        <v>334.282288614847</v>
      </c>
      <c r="P167" s="27" t="n">
        <v>372.60441372747</v>
      </c>
      <c r="Q167" s="28" t="n">
        <v>0.00795980968315605</v>
      </c>
      <c r="R167" s="25" t="n">
        <v>1.06017861950304</v>
      </c>
      <c r="S167" s="29" t="n">
        <v>0.203189792127551</v>
      </c>
      <c r="T167" s="27" t="n">
        <v>334.282288614847</v>
      </c>
      <c r="U167" s="27" t="n">
        <v>360</v>
      </c>
      <c r="V167" s="28" t="n">
        <v>0.00826315789473684</v>
      </c>
      <c r="W167" s="25" t="n">
        <f aca="false">(I167-H167)/(J167-H167)</f>
        <v>1.17938196087171</v>
      </c>
      <c r="X167" s="25" t="n">
        <f aca="false">0.5*(1+(I167-K167-L167)/(I167-K167))</f>
        <v>0.725433526011561</v>
      </c>
      <c r="Y167" s="25" t="n">
        <v>1.01594896063775</v>
      </c>
      <c r="Z167" s="26" t="n">
        <v>0.313007261448823</v>
      </c>
      <c r="AA167" s="27" t="n">
        <v>334.282288614847</v>
      </c>
      <c r="AB167" s="27" t="n">
        <v>372.60441372747</v>
      </c>
      <c r="AC167" s="28" t="n">
        <v>0.00795980968315605</v>
      </c>
      <c r="AD167" s="25" t="n">
        <v>1.56503630724412</v>
      </c>
      <c r="AE167" s="4" t="n">
        <v>0.281625503221764</v>
      </c>
      <c r="AF167" s="25" t="n">
        <v>0.199024782586614</v>
      </c>
      <c r="AG167" s="26" t="n">
        <f aca="false">SMALL(AE167:AF167,1)</f>
        <v>0.199024782586614</v>
      </c>
      <c r="AH167" s="27" t="n">
        <v>342.091467535992</v>
      </c>
      <c r="AI167" s="28" t="n">
        <v>0.0084</v>
      </c>
      <c r="AJ167" s="25" t="n">
        <v>0.995123912933068</v>
      </c>
      <c r="AK167" s="29" t="n">
        <v>0.285348647763448</v>
      </c>
      <c r="AN167" s="4" t="n">
        <f aca="false">(N167-$N$344)/$N$345</f>
        <v>-0.0387992952627456</v>
      </c>
      <c r="AO167" s="4" t="n">
        <f aca="false">(S167-$S$344)/$S$345</f>
        <v>-0.140652546969047</v>
      </c>
      <c r="AP167" s="4" t="n">
        <f aca="false">(Z167-$Z$344)/$Z$345</f>
        <v>1.21855322540297</v>
      </c>
      <c r="AQ167" s="4" t="n">
        <f aca="false">(AE167-$AE$344)/$AE$345</f>
        <v>0.151994799962165</v>
      </c>
    </row>
    <row r="168" customFormat="false" ht="14.25" hidden="false" customHeight="false" outlineLevel="0" collapsed="false">
      <c r="B168" s="1" t="n">
        <v>10</v>
      </c>
      <c r="C168" s="1" t="n">
        <v>1</v>
      </c>
      <c r="D168" s="2" t="n">
        <v>45</v>
      </c>
      <c r="E168" s="4" t="n">
        <v>2.8</v>
      </c>
      <c r="F168" s="1" t="n">
        <v>40</v>
      </c>
      <c r="G168" s="1" t="n">
        <v>45</v>
      </c>
      <c r="H168" s="3" t="n">
        <v>54.1386548495659</v>
      </c>
      <c r="I168" s="1" t="n">
        <v>350</v>
      </c>
      <c r="J168" s="39" t="n">
        <v>305</v>
      </c>
      <c r="K168" s="27" t="n">
        <v>177</v>
      </c>
      <c r="L168" s="39" t="n">
        <v>95</v>
      </c>
      <c r="M168" s="4" t="n">
        <v>0.23</v>
      </c>
      <c r="N168" s="26" t="n">
        <v>0.244341959656127</v>
      </c>
      <c r="O168" s="27" t="n">
        <v>351.151779939368</v>
      </c>
      <c r="P168" s="27" t="n">
        <v>372.60441372747</v>
      </c>
      <c r="Q168" s="28" t="n">
        <v>0.00795980968315605</v>
      </c>
      <c r="R168" s="25" t="n">
        <v>1.06235634633099</v>
      </c>
      <c r="S168" s="29" t="n">
        <v>0.213443725860415</v>
      </c>
      <c r="T168" s="27" t="n">
        <v>351.151779939368</v>
      </c>
      <c r="U168" s="27" t="n">
        <v>360</v>
      </c>
      <c r="V168" s="28" t="n">
        <v>0.00826315789473684</v>
      </c>
      <c r="W168" s="25" t="n">
        <f aca="false">(I168-H168)/(J168-H168)</f>
        <v>1.17938196087171</v>
      </c>
      <c r="X168" s="25" t="n">
        <f aca="false">0.5*(1+(I168-K168-L168)/(I168-K168))</f>
        <v>0.725433526011561</v>
      </c>
      <c r="Y168" s="25" t="n">
        <v>0.92801619939311</v>
      </c>
      <c r="Z168" s="26" t="n">
        <v>0.328803112624196</v>
      </c>
      <c r="AA168" s="27" t="n">
        <v>351.151779939368</v>
      </c>
      <c r="AB168" s="27" t="n">
        <v>372.60441372747</v>
      </c>
      <c r="AC168" s="28" t="n">
        <v>0.00795980968315605</v>
      </c>
      <c r="AD168" s="25" t="n">
        <v>1.42957875053998</v>
      </c>
      <c r="AE168" s="4" t="n">
        <v>0.295837680011176</v>
      </c>
      <c r="AF168" s="25" t="n">
        <v>0.219619133018303</v>
      </c>
      <c r="AG168" s="26" t="n">
        <f aca="false">SMALL(AE168:AF168,1)</f>
        <v>0.219619133018303</v>
      </c>
      <c r="AH168" s="27" t="n">
        <v>359.355047571009</v>
      </c>
      <c r="AI168" s="28" t="n">
        <v>0.0084</v>
      </c>
      <c r="AJ168" s="25" t="n">
        <v>0.954865795731753</v>
      </c>
      <c r="AK168" s="29" t="n">
        <v>0.311901899576212</v>
      </c>
      <c r="AN168" s="4" t="n">
        <f aca="false">(N168-$N$344)/$N$345</f>
        <v>0.341261771755545</v>
      </c>
      <c r="AO168" s="4" t="n">
        <f aca="false">(S168-$S$344)/$S$345</f>
        <v>-0.0169700729403875</v>
      </c>
      <c r="AP168" s="4" t="n">
        <f aca="false">(Z168-$Z$344)/$Z$345</f>
        <v>1.43310695894585</v>
      </c>
      <c r="AQ168" s="4" t="n">
        <f aca="false">(AE168-$AE$344)/$AE$345</f>
        <v>0.331094760973612</v>
      </c>
    </row>
    <row r="169" customFormat="false" ht="14.25" hidden="false" customHeight="false" outlineLevel="0" collapsed="false">
      <c r="B169" s="1" t="n">
        <v>10</v>
      </c>
      <c r="C169" s="1" t="n">
        <v>1</v>
      </c>
      <c r="D169" s="2" t="n">
        <v>45</v>
      </c>
      <c r="E169" s="4" t="n">
        <v>2.8</v>
      </c>
      <c r="F169" s="1" t="n">
        <v>40</v>
      </c>
      <c r="G169" s="1" t="n">
        <v>45</v>
      </c>
      <c r="H169" s="3" t="n">
        <v>54.1386548495659</v>
      </c>
      <c r="I169" s="1" t="n">
        <v>350</v>
      </c>
      <c r="J169" s="39" t="n">
        <v>305</v>
      </c>
      <c r="K169" s="27" t="n">
        <v>177</v>
      </c>
      <c r="L169" s="39" t="n">
        <v>95</v>
      </c>
      <c r="M169" s="4" t="n">
        <v>0.25</v>
      </c>
      <c r="N169" s="26" t="n">
        <v>0.266446226225694</v>
      </c>
      <c r="O169" s="27" t="n">
        <v>362.694063477198</v>
      </c>
      <c r="P169" s="27" t="n">
        <v>372.60441372747</v>
      </c>
      <c r="Q169" s="28" t="n">
        <v>0.00795980968315605</v>
      </c>
      <c r="R169" s="25" t="n">
        <v>1.06578490490277</v>
      </c>
      <c r="S169" s="29" t="n">
        <v>0.223197905782135</v>
      </c>
      <c r="T169" s="27" t="n">
        <v>362.694063477198</v>
      </c>
      <c r="U169" s="27" t="n">
        <v>360</v>
      </c>
      <c r="V169" s="28" t="n">
        <v>0.00826315789473684</v>
      </c>
      <c r="W169" s="25" t="n">
        <f aca="false">(I169-H169)/(J169-H169)</f>
        <v>1.17938196087171</v>
      </c>
      <c r="X169" s="25" t="n">
        <f aca="false">0.5*(1+(I169-K169-L169)/(I169-K169))</f>
        <v>0.725433526011561</v>
      </c>
      <c r="Y169" s="25" t="n">
        <v>0.892791623128541</v>
      </c>
      <c r="Z169" s="26" t="n">
        <v>0.339610800270503</v>
      </c>
      <c r="AA169" s="27" t="n">
        <v>362.694063477198</v>
      </c>
      <c r="AB169" s="27" t="n">
        <v>372.60441372747</v>
      </c>
      <c r="AC169" s="28" t="n">
        <v>0.00795980968315605</v>
      </c>
      <c r="AD169" s="25" t="n">
        <v>1.35844320108201</v>
      </c>
      <c r="AE169" s="4" t="n">
        <v>0.305561800972352</v>
      </c>
      <c r="AF169" s="25" t="n">
        <v>0.23429408193513</v>
      </c>
      <c r="AG169" s="26" t="n">
        <f aca="false">SMALL(AE169:AF169,1)</f>
        <v>0.23429408193513</v>
      </c>
      <c r="AH169" s="27" t="n">
        <v>371.166970752863</v>
      </c>
      <c r="AI169" s="28" t="n">
        <v>0.0084</v>
      </c>
      <c r="AJ169" s="25" t="n">
        <v>0.93717632774052</v>
      </c>
      <c r="AK169" s="29" t="n">
        <v>0.330069913974418</v>
      </c>
      <c r="AN169" s="4" t="n">
        <f aca="false">(N169-$N$344)/$N$345</f>
        <v>0.601303554452271</v>
      </c>
      <c r="AO169" s="4" t="n">
        <f aca="false">(S169-$S$344)/$S$345</f>
        <v>0.100684393751978</v>
      </c>
      <c r="AP169" s="4" t="n">
        <f aca="false">(Z169-$Z$344)/$Z$345</f>
        <v>1.57990688189624</v>
      </c>
      <c r="AQ169" s="4" t="n">
        <f aca="false">(AE169-$AE$344)/$AE$345</f>
        <v>0.45363683956039</v>
      </c>
    </row>
    <row r="170" customFormat="false" ht="14.25" hidden="false" customHeight="false" outlineLevel="0" collapsed="false">
      <c r="B170" s="1" t="n">
        <v>10</v>
      </c>
      <c r="C170" s="1" t="n">
        <v>1</v>
      </c>
      <c r="D170" s="2" t="n">
        <v>45</v>
      </c>
      <c r="E170" s="4" t="n">
        <v>2.8</v>
      </c>
      <c r="F170" s="1" t="n">
        <v>40</v>
      </c>
      <c r="G170" s="1" t="n">
        <v>45</v>
      </c>
      <c r="H170" s="3" t="n">
        <v>54.1386548495659</v>
      </c>
      <c r="I170" s="1" t="n">
        <v>350</v>
      </c>
      <c r="J170" s="39" t="n">
        <v>305</v>
      </c>
      <c r="K170" s="27" t="n">
        <v>177</v>
      </c>
      <c r="L170" s="39" t="n">
        <v>95</v>
      </c>
      <c r="M170" s="4" t="n">
        <v>0.28</v>
      </c>
      <c r="N170" s="26" t="n">
        <v>0.291100985091748</v>
      </c>
      <c r="O170" s="27" t="n">
        <v>375.568148961701</v>
      </c>
      <c r="P170" s="27" t="n">
        <v>372.60441372747</v>
      </c>
      <c r="Q170" s="28" t="n">
        <v>0.00795980968315605</v>
      </c>
      <c r="R170" s="25" t="n">
        <v>1.03964637532767</v>
      </c>
      <c r="S170" s="29" t="n">
        <v>0.242761331982995</v>
      </c>
      <c r="T170" s="27" t="n">
        <v>375.568148961701</v>
      </c>
      <c r="U170" s="27" t="n">
        <v>360</v>
      </c>
      <c r="V170" s="28" t="n">
        <v>0.00826315789473684</v>
      </c>
      <c r="W170" s="25" t="n">
        <f aca="false">(I170-H170)/(J170-H170)</f>
        <v>1.17938196087171</v>
      </c>
      <c r="X170" s="25" t="n">
        <f aca="false">0.5*(1+(I170-K170-L170)/(I170-K170))</f>
        <v>0.725433526011561</v>
      </c>
      <c r="Y170" s="25" t="n">
        <v>0.867004757082126</v>
      </c>
      <c r="Z170" s="26" t="n">
        <v>0.351665528799076</v>
      </c>
      <c r="AA170" s="27" t="n">
        <v>375.568148961701</v>
      </c>
      <c r="AB170" s="27" t="n">
        <v>372.60441372747</v>
      </c>
      <c r="AC170" s="28" t="n">
        <v>0.00795980968315605</v>
      </c>
      <c r="AD170" s="25" t="n">
        <v>1.25594831713956</v>
      </c>
      <c r="AE170" s="4" t="n">
        <v>0.316407935890587</v>
      </c>
      <c r="AF170" s="25" t="n">
        <v>0.251222152194693</v>
      </c>
      <c r="AG170" s="26" t="n">
        <f aca="false">SMALL(AE170:AF170,1)</f>
        <v>0.251222152194693</v>
      </c>
      <c r="AH170" s="27" t="n">
        <v>384.341808148007</v>
      </c>
      <c r="AI170" s="28" t="n">
        <v>0.0084</v>
      </c>
      <c r="AJ170" s="25" t="n">
        <v>0.897221972123904</v>
      </c>
      <c r="AK170" s="29" t="n">
        <v>0.350334237726264</v>
      </c>
      <c r="AN170" s="4" t="n">
        <f aca="false">(N170-$N$344)/$N$345</f>
        <v>0.89135015822939</v>
      </c>
      <c r="AO170" s="4" t="n">
        <f aca="false">(S170-$S$344)/$S$345</f>
        <v>0.336657534990871</v>
      </c>
      <c r="AP170" s="4" t="n">
        <f aca="false">(Z170-$Z$344)/$Z$345</f>
        <v>1.74364525749475</v>
      </c>
      <c r="AQ170" s="4" t="n">
        <f aca="false">(AE170-$AE$344)/$AE$345</f>
        <v>0.590318388753336</v>
      </c>
    </row>
    <row r="171" customFormat="false" ht="14.25" hidden="false" customHeight="false" outlineLevel="0" collapsed="false">
      <c r="B171" s="1" t="n">
        <v>10</v>
      </c>
      <c r="C171" s="1" t="n">
        <v>1</v>
      </c>
      <c r="D171" s="2" t="n">
        <v>45</v>
      </c>
      <c r="E171" s="4" t="n">
        <v>2.8</v>
      </c>
      <c r="F171" s="1" t="n">
        <v>40</v>
      </c>
      <c r="G171" s="1" t="n">
        <v>45</v>
      </c>
      <c r="H171" s="3" t="n">
        <v>54.1386548495659</v>
      </c>
      <c r="I171" s="1" t="n">
        <v>350</v>
      </c>
      <c r="J171" s="39" t="n">
        <v>305</v>
      </c>
      <c r="K171" s="27" t="n">
        <v>177</v>
      </c>
      <c r="L171" s="39" t="n">
        <v>95</v>
      </c>
      <c r="M171" s="4" t="n">
        <v>0.31</v>
      </c>
      <c r="N171" s="26" t="n">
        <v>0.313205251661314</v>
      </c>
      <c r="O171" s="27" t="n">
        <v>387.110432499531</v>
      </c>
      <c r="P171" s="27" t="n">
        <v>372.60441372747</v>
      </c>
      <c r="Q171" s="28" t="n">
        <v>0.00795980968315605</v>
      </c>
      <c r="R171" s="25" t="n">
        <v>1.01033952148811</v>
      </c>
      <c r="S171" s="29" t="n">
        <v>0.260300955473421</v>
      </c>
      <c r="T171" s="27" t="n">
        <v>387.110432499531</v>
      </c>
      <c r="U171" s="27" t="n">
        <v>360</v>
      </c>
      <c r="V171" s="28" t="n">
        <v>0.00826315789473684</v>
      </c>
      <c r="W171" s="25" t="n">
        <f aca="false">(I171-H171)/(J171-H171)</f>
        <v>1.17938196087171</v>
      </c>
      <c r="X171" s="25" t="n">
        <f aca="false">0.5*(1+(I171-K171-L171)/(I171-K171))</f>
        <v>0.725433526011561</v>
      </c>
      <c r="Y171" s="25" t="n">
        <v>0.839680501527165</v>
      </c>
      <c r="Z171" s="26" t="n">
        <v>0.362473216445384</v>
      </c>
      <c r="AA171" s="27" t="n">
        <v>387.110432499531</v>
      </c>
      <c r="AB171" s="27" t="n">
        <v>372.60441372747</v>
      </c>
      <c r="AC171" s="28" t="n">
        <v>0.00795980968315605</v>
      </c>
      <c r="AD171" s="25" t="n">
        <v>1.1692684401464</v>
      </c>
      <c r="AE171" s="4" t="n">
        <v>0.326132056851764</v>
      </c>
      <c r="AF171" s="25" t="n">
        <v>0.266900984432945</v>
      </c>
      <c r="AG171" s="26" t="n">
        <f aca="false">SMALL(AE171:AF171,1)</f>
        <v>0.266900984432945</v>
      </c>
      <c r="AH171" s="27" t="n">
        <v>396.153731329861</v>
      </c>
      <c r="AI171" s="28" t="n">
        <v>0.0084</v>
      </c>
      <c r="AJ171" s="25" t="n">
        <v>0.860970917525629</v>
      </c>
      <c r="AK171" s="29" t="n">
        <v>0.368502252124471</v>
      </c>
      <c r="AN171" s="4" t="n">
        <f aca="false">(N171-$N$344)/$N$345</f>
        <v>1.15139194092611</v>
      </c>
      <c r="AO171" s="4" t="n">
        <f aca="false">(S171-$S$344)/$S$345</f>
        <v>0.548219661618841</v>
      </c>
      <c r="AP171" s="4" t="n">
        <f aca="false">(Z171-$Z$344)/$Z$345</f>
        <v>1.89044518044514</v>
      </c>
      <c r="AQ171" s="4" t="n">
        <f aca="false">(AE171-$AE$344)/$AE$345</f>
        <v>0.712860467340116</v>
      </c>
    </row>
    <row r="172" customFormat="false" ht="14.25" hidden="false" customHeight="false" outlineLevel="0" collapsed="false">
      <c r="B172" s="1" t="n">
        <v>10</v>
      </c>
      <c r="C172" s="1" t="n">
        <v>1</v>
      </c>
      <c r="D172" s="2" t="n">
        <v>45</v>
      </c>
      <c r="E172" s="4" t="n">
        <v>2.8</v>
      </c>
      <c r="F172" s="1" t="n">
        <v>40</v>
      </c>
      <c r="G172" s="1" t="n">
        <v>45</v>
      </c>
      <c r="H172" s="3" t="n">
        <v>54.1386548495659</v>
      </c>
      <c r="I172" s="1" t="n">
        <v>350</v>
      </c>
      <c r="J172" s="39" t="n">
        <v>305</v>
      </c>
      <c r="K172" s="27" t="n">
        <v>177</v>
      </c>
      <c r="L172" s="39" t="n">
        <v>95</v>
      </c>
      <c r="M172" s="4" t="n">
        <v>0.36</v>
      </c>
      <c r="N172" s="26" t="n">
        <v>0.339560338725027</v>
      </c>
      <c r="O172" s="27" t="n">
        <v>400.872385948482</v>
      </c>
      <c r="P172" s="27" t="n">
        <v>372.60441372747</v>
      </c>
      <c r="Q172" s="28" t="n">
        <v>0.00795980968315605</v>
      </c>
      <c r="R172" s="25" t="n">
        <v>0.943223163125075</v>
      </c>
      <c r="S172" s="29" t="n">
        <v>0.281213583481237</v>
      </c>
      <c r="T172" s="27" t="n">
        <v>400.872385948482</v>
      </c>
      <c r="U172" s="27" t="n">
        <v>360</v>
      </c>
      <c r="V172" s="28" t="n">
        <v>0.00826315789473684</v>
      </c>
      <c r="W172" s="25" t="n">
        <f aca="false">(I172-H172)/(J172-H172)</f>
        <v>1.17938196087171</v>
      </c>
      <c r="X172" s="25" t="n">
        <f aca="false">0.5*(1+(I172-K172-L172)/(I172-K172))</f>
        <v>0.725433526011561</v>
      </c>
      <c r="Y172" s="25" t="n">
        <v>0.781148843003435</v>
      </c>
      <c r="Z172" s="26" t="n">
        <v>0.375359305562135</v>
      </c>
      <c r="AA172" s="27" t="n">
        <v>400.872385948482</v>
      </c>
      <c r="AB172" s="27" t="n">
        <v>372.60441372747</v>
      </c>
      <c r="AC172" s="28" t="n">
        <v>0.00795980968315605</v>
      </c>
      <c r="AD172" s="25" t="n">
        <v>1.0426647376726</v>
      </c>
      <c r="AE172" s="4" t="n">
        <v>0.337726201074705</v>
      </c>
      <c r="AF172" s="25" t="n">
        <v>0.286215208125741</v>
      </c>
      <c r="AG172" s="26" t="n">
        <f aca="false">SMALL(AE172:AF172,1)</f>
        <v>0.286215208125741</v>
      </c>
      <c r="AH172" s="27" t="n">
        <v>410.237178200533</v>
      </c>
      <c r="AI172" s="28" t="n">
        <v>0.0084</v>
      </c>
      <c r="AJ172" s="25" t="n">
        <v>0.795042244793724</v>
      </c>
      <c r="AK172" s="29" t="n">
        <v>0.39016411544541</v>
      </c>
      <c r="AN172" s="4" t="n">
        <f aca="false">(N172-$N$344)/$N$345</f>
        <v>1.46144175875682</v>
      </c>
      <c r="AO172" s="4" t="n">
        <f aca="false">(S172-$S$344)/$S$345</f>
        <v>0.800466812598343</v>
      </c>
      <c r="AP172" s="4" t="n">
        <f aca="false">(Z172-$Z$344)/$Z$345</f>
        <v>2.06547585780907</v>
      </c>
      <c r="AQ172" s="4" t="n">
        <f aca="false">(AE172-$AE$344)/$AE$345</f>
        <v>0.858968330270507</v>
      </c>
    </row>
    <row r="173" customFormat="false" ht="14.25" hidden="false" customHeight="false" outlineLevel="0" collapsed="false">
      <c r="A173" s="0" t="s">
        <v>59</v>
      </c>
      <c r="B173" s="1" t="n">
        <v>10</v>
      </c>
      <c r="C173" s="1" t="n">
        <v>1</v>
      </c>
      <c r="D173" s="2" t="n">
        <v>45</v>
      </c>
      <c r="E173" s="4" t="n">
        <v>2.8</v>
      </c>
      <c r="F173" s="1" t="n">
        <v>40</v>
      </c>
      <c r="G173" s="1" t="n">
        <v>45</v>
      </c>
      <c r="H173" s="3" t="n">
        <v>54.1386548495659</v>
      </c>
      <c r="I173" s="1" t="n">
        <v>350</v>
      </c>
      <c r="J173" s="39" t="n">
        <v>305</v>
      </c>
      <c r="K173" s="27" t="n">
        <v>177</v>
      </c>
      <c r="L173" s="39" t="n">
        <v>95</v>
      </c>
      <c r="M173" s="4" t="n">
        <v>0.16</v>
      </c>
      <c r="N173" s="26" t="n">
        <v>0.163576370267329</v>
      </c>
      <c r="O173" s="27" t="n">
        <v>308.978051628066</v>
      </c>
      <c r="P173" s="27" t="n">
        <v>372.60441372747</v>
      </c>
      <c r="Q173" s="28" t="n">
        <v>0.00795980968315605</v>
      </c>
      <c r="R173" s="25" t="n">
        <v>1.0223523141708</v>
      </c>
      <c r="S173" s="29" t="n">
        <v>0.187808891528254</v>
      </c>
      <c r="T173" s="27" t="n">
        <v>308.978051628066</v>
      </c>
      <c r="U173" s="27" t="n">
        <v>360</v>
      </c>
      <c r="V173" s="28" t="n">
        <v>0.00826315789473684</v>
      </c>
      <c r="W173" s="25" t="n">
        <f aca="false">(I173-H173)/(J173-H173)</f>
        <v>1.17938196087171</v>
      </c>
      <c r="X173" s="25" t="n">
        <f aca="false">0.5*(1+(I173-K173-L173)/(I173-K173))</f>
        <v>0.725433526011561</v>
      </c>
      <c r="Y173" s="25" t="n">
        <v>1.17380557205159</v>
      </c>
      <c r="Z173" s="26" t="n">
        <v>0.289313484685765</v>
      </c>
      <c r="AA173" s="27" t="n">
        <v>308.978051628066</v>
      </c>
      <c r="AB173" s="27" t="n">
        <v>372.60441372747</v>
      </c>
      <c r="AC173" s="28" t="n">
        <v>0.00795980968315605</v>
      </c>
      <c r="AD173" s="25" t="n">
        <v>1.80820927928603</v>
      </c>
      <c r="AE173" s="4" t="n">
        <v>0.260307238037646</v>
      </c>
      <c r="AF173" s="25" t="n">
        <v>0.170033966094854</v>
      </c>
      <c r="AG173" s="26" t="n">
        <f aca="false">SMALL(AE173:AF173,1)</f>
        <v>0.170033966094854</v>
      </c>
      <c r="AH173" s="27" t="n">
        <v>316.196097483467</v>
      </c>
      <c r="AI173" s="28" t="n">
        <v>0.0084</v>
      </c>
      <c r="AJ173" s="25" t="n">
        <v>1.06271228809284</v>
      </c>
      <c r="AK173" s="29" t="n">
        <v>0.245518770044303</v>
      </c>
      <c r="AN173" s="4" t="n">
        <f aca="false">(N173-$N$344)/$N$345</f>
        <v>-0.608890895790185</v>
      </c>
      <c r="AO173" s="4" t="n">
        <f aca="false">(S173-$S$344)/$S$345</f>
        <v>-0.326176258012038</v>
      </c>
      <c r="AP173" s="4" t="n">
        <f aca="false">(Z173-$Z$344)/$Z$345</f>
        <v>0.896722625088647</v>
      </c>
      <c r="AQ173" s="4" t="n">
        <f aca="false">(AE173-$AE$344)/$AE$345</f>
        <v>-0.116655141555004</v>
      </c>
    </row>
    <row r="174" customFormat="false" ht="14.25" hidden="false" customHeight="false" outlineLevel="0" collapsed="false">
      <c r="B174" s="1" t="n">
        <v>10</v>
      </c>
      <c r="C174" s="1" t="n">
        <v>1</v>
      </c>
      <c r="D174" s="2" t="n">
        <v>45</v>
      </c>
      <c r="E174" s="4" t="n">
        <v>2.8</v>
      </c>
      <c r="F174" s="1" t="n">
        <v>40</v>
      </c>
      <c r="G174" s="1" t="n">
        <v>45</v>
      </c>
      <c r="H174" s="3" t="n">
        <v>54.1386548495659</v>
      </c>
      <c r="I174" s="1" t="n">
        <v>350</v>
      </c>
      <c r="J174" s="39" t="n">
        <v>305</v>
      </c>
      <c r="K174" s="27" t="n">
        <v>177</v>
      </c>
      <c r="L174" s="39" t="n">
        <v>95</v>
      </c>
      <c r="M174" s="4" t="n">
        <v>0.18</v>
      </c>
      <c r="N174" s="26" t="n">
        <v>0.189081293232212</v>
      </c>
      <c r="O174" s="27" t="n">
        <v>322.296071094793</v>
      </c>
      <c r="P174" s="27" t="n">
        <v>372.60441372747</v>
      </c>
      <c r="Q174" s="28" t="n">
        <v>0.00795980968315605</v>
      </c>
      <c r="R174" s="25" t="n">
        <v>1.05045162906785</v>
      </c>
      <c r="S174" s="29" t="n">
        <v>0.195904102369989</v>
      </c>
      <c r="T174" s="27" t="n">
        <v>322.296071094793</v>
      </c>
      <c r="U174" s="27" t="n">
        <v>360</v>
      </c>
      <c r="V174" s="28" t="n">
        <v>0.00826315789473684</v>
      </c>
      <c r="W174" s="25" t="n">
        <f aca="false">(I174-H174)/(J174-H174)</f>
        <v>1.17938196087171</v>
      </c>
      <c r="X174" s="25" t="n">
        <f aca="false">0.5*(1+(I174-K174-L174)/(I174-K174))</f>
        <v>0.725433526011561</v>
      </c>
      <c r="Y174" s="25" t="n">
        <v>1.08835612427772</v>
      </c>
      <c r="Z174" s="26" t="n">
        <v>0.301783893508427</v>
      </c>
      <c r="AA174" s="27" t="n">
        <v>322.296071094793</v>
      </c>
      <c r="AB174" s="27" t="n">
        <v>372.60441372747</v>
      </c>
      <c r="AC174" s="28" t="n">
        <v>0.00795980968315605</v>
      </c>
      <c r="AD174" s="25" t="n">
        <v>1.67657718615793</v>
      </c>
      <c r="AE174" s="4" t="n">
        <v>0.271527377608234</v>
      </c>
      <c r="AF174" s="25" t="n">
        <v>0.185007973959182</v>
      </c>
      <c r="AG174" s="26" t="n">
        <f aca="false">SMALL(AE174:AF174,1)</f>
        <v>0.185007973959182</v>
      </c>
      <c r="AH174" s="27" t="n">
        <v>329.825239616375</v>
      </c>
      <c r="AI174" s="28" t="n">
        <v>0.0084</v>
      </c>
      <c r="AJ174" s="25" t="n">
        <v>1.02782207755101</v>
      </c>
      <c r="AK174" s="29" t="n">
        <v>0.266481863580695</v>
      </c>
      <c r="AN174" s="4" t="n">
        <f aca="false">(N174-$N$344)/$N$345</f>
        <v>-0.30884268498627</v>
      </c>
      <c r="AO174" s="4" t="n">
        <f aca="false">(S174-$S$344)/$S$345</f>
        <v>-0.228532199568359</v>
      </c>
      <c r="AP174" s="4" t="n">
        <f aca="false">(Z174-$Z$344)/$Z$345</f>
        <v>1.06610715156987</v>
      </c>
      <c r="AQ174" s="4" t="n">
        <f aca="false">(AE174-$AE$344)/$AE$345</f>
        <v>0.0247395645066638</v>
      </c>
    </row>
    <row r="175" customFormat="false" ht="14.25" hidden="false" customHeight="false" outlineLevel="0" collapsed="false">
      <c r="B175" s="1" t="n">
        <v>10</v>
      </c>
      <c r="C175" s="1" t="n">
        <v>1</v>
      </c>
      <c r="D175" s="2" t="n">
        <v>45</v>
      </c>
      <c r="E175" s="4" t="n">
        <v>2.8</v>
      </c>
      <c r="F175" s="1" t="n">
        <v>40</v>
      </c>
      <c r="G175" s="1" t="n">
        <v>45</v>
      </c>
      <c r="H175" s="3" t="n">
        <v>54.1386548495659</v>
      </c>
      <c r="I175" s="1" t="n">
        <v>350</v>
      </c>
      <c r="J175" s="39" t="n">
        <v>305</v>
      </c>
      <c r="K175" s="27" t="n">
        <v>177</v>
      </c>
      <c r="L175" s="39" t="n">
        <v>95</v>
      </c>
      <c r="M175" s="4" t="n">
        <v>0.2</v>
      </c>
      <c r="N175" s="26" t="n">
        <v>0.212885887999437</v>
      </c>
      <c r="O175" s="27" t="n">
        <v>334.726222597071</v>
      </c>
      <c r="P175" s="27" t="n">
        <v>372.60441372747</v>
      </c>
      <c r="Q175" s="28" t="n">
        <v>0.00795980968315605</v>
      </c>
      <c r="R175" s="25" t="n">
        <v>1.06442943999719</v>
      </c>
      <c r="S175" s="29" t="n">
        <v>0.203459632488942</v>
      </c>
      <c r="T175" s="27" t="n">
        <v>334.726222597071</v>
      </c>
      <c r="U175" s="27" t="n">
        <v>360</v>
      </c>
      <c r="V175" s="28" t="n">
        <v>0.00826315789473684</v>
      </c>
      <c r="W175" s="25" t="n">
        <f aca="false">(I175-H175)/(J175-H175)</f>
        <v>1.17938196087171</v>
      </c>
      <c r="X175" s="25" t="n">
        <f aca="false">0.5*(1+(I175-K175-L175)/(I175-K175))</f>
        <v>0.725433526011561</v>
      </c>
      <c r="Y175" s="25" t="n">
        <v>1.01729816244471</v>
      </c>
      <c r="Z175" s="26" t="n">
        <v>0.313422941742912</v>
      </c>
      <c r="AA175" s="27" t="n">
        <v>334.726222597071</v>
      </c>
      <c r="AB175" s="27" t="n">
        <v>372.60441372747</v>
      </c>
      <c r="AC175" s="28" t="n">
        <v>0.00795980968315605</v>
      </c>
      <c r="AD175" s="25" t="n">
        <v>1.56711470871456</v>
      </c>
      <c r="AE175" s="4" t="n">
        <v>0.281999507874117</v>
      </c>
      <c r="AF175" s="25" t="n">
        <v>0.199553751875211</v>
      </c>
      <c r="AG175" s="26" t="n">
        <f aca="false">SMALL(AE175:AF175,1)</f>
        <v>0.199553751875211</v>
      </c>
      <c r="AH175" s="27" t="n">
        <v>342.545772273756</v>
      </c>
      <c r="AI175" s="28" t="n">
        <v>0.0084</v>
      </c>
      <c r="AJ175" s="25" t="n">
        <v>0.997768759376052</v>
      </c>
      <c r="AK175" s="29" t="n">
        <v>0.286047417547995</v>
      </c>
      <c r="AN175" s="4" t="n">
        <f aca="false">(N175-$N$344)/$N$345</f>
        <v>-0.0287976882359485</v>
      </c>
      <c r="AO175" s="4" t="n">
        <f aca="false">(S175-$S$344)/$S$345</f>
        <v>-0.137397745020925</v>
      </c>
      <c r="AP175" s="4" t="n">
        <f aca="false">(Z175-$Z$344)/$Z$345</f>
        <v>1.22419937628567</v>
      </c>
      <c r="AQ175" s="4" t="n">
        <f aca="false">(AE175-$AE$344)/$AE$345</f>
        <v>0.156707956830887</v>
      </c>
    </row>
    <row r="176" customFormat="false" ht="14.25" hidden="false" customHeight="false" outlineLevel="0" collapsed="false">
      <c r="B176" s="1" t="n">
        <v>10</v>
      </c>
      <c r="C176" s="1" t="n">
        <v>1</v>
      </c>
      <c r="D176" s="2" t="n">
        <v>45</v>
      </c>
      <c r="E176" s="4" t="n">
        <v>2.8</v>
      </c>
      <c r="F176" s="1" t="n">
        <v>40</v>
      </c>
      <c r="G176" s="1" t="n">
        <v>45</v>
      </c>
      <c r="H176" s="3" t="n">
        <v>54.1386548495659</v>
      </c>
      <c r="I176" s="1" t="n">
        <v>350</v>
      </c>
      <c r="J176" s="39" t="n">
        <v>305</v>
      </c>
      <c r="K176" s="27" t="n">
        <v>177</v>
      </c>
      <c r="L176" s="39" t="n">
        <v>95</v>
      </c>
      <c r="M176" s="4" t="n">
        <v>0.23</v>
      </c>
      <c r="N176" s="26" t="n">
        <v>0.237540646865492</v>
      </c>
      <c r="O176" s="27" t="n">
        <v>347.600308081574</v>
      </c>
      <c r="P176" s="27" t="n">
        <v>372.60441372747</v>
      </c>
      <c r="Q176" s="28" t="n">
        <v>0.00795980968315605</v>
      </c>
      <c r="R176" s="25" t="n">
        <v>1.03278542115431</v>
      </c>
      <c r="S176" s="29" t="n">
        <v>0.211285002969286</v>
      </c>
      <c r="T176" s="27" t="n">
        <v>347.600308081574</v>
      </c>
      <c r="U176" s="27" t="n">
        <v>360</v>
      </c>
      <c r="V176" s="28" t="n">
        <v>0.00826315789473684</v>
      </c>
      <c r="W176" s="25" t="n">
        <f aca="false">(I176-H176)/(J176-H176)</f>
        <v>1.17938196087171</v>
      </c>
      <c r="X176" s="25" t="n">
        <f aca="false">0.5*(1+(I176-K176-L176)/(I176-K176))</f>
        <v>0.725433526011561</v>
      </c>
      <c r="Y176" s="25" t="n">
        <v>0.918630447692547</v>
      </c>
      <c r="Z176" s="26" t="n">
        <v>0.325477670271486</v>
      </c>
      <c r="AA176" s="27" t="n">
        <v>347.600308081574</v>
      </c>
      <c r="AB176" s="27" t="n">
        <v>372.60441372747</v>
      </c>
      <c r="AC176" s="28" t="n">
        <v>0.00795980968315605</v>
      </c>
      <c r="AD176" s="25" t="n">
        <v>1.4151203055282</v>
      </c>
      <c r="AE176" s="4" t="n">
        <v>0.292845642792352</v>
      </c>
      <c r="AF176" s="25" t="n">
        <v>0.2151992383388</v>
      </c>
      <c r="AG176" s="26" t="n">
        <f aca="false">SMALL(AE176:AF176,1)</f>
        <v>0.2151992383388</v>
      </c>
      <c r="AH176" s="27" t="n">
        <v>355.7206096689</v>
      </c>
      <c r="AI176" s="28" t="n">
        <v>0.0084</v>
      </c>
      <c r="AJ176" s="25" t="n">
        <v>0.935648862342607</v>
      </c>
      <c r="AK176" s="29" t="n">
        <v>0.30631174129984</v>
      </c>
      <c r="AN176" s="4" t="n">
        <f aca="false">(N176-$N$344)/$N$345</f>
        <v>0.261248915541168</v>
      </c>
      <c r="AO176" s="4" t="n">
        <f aca="false">(S176-$S$344)/$S$345</f>
        <v>-0.0430084885253684</v>
      </c>
      <c r="AP176" s="4" t="n">
        <f aca="false">(Z176-$Z$344)/$Z$345</f>
        <v>1.38793775188419</v>
      </c>
      <c r="AQ176" s="4" t="n">
        <f aca="false">(AE176-$AE$344)/$AE$345</f>
        <v>0.293389506023833</v>
      </c>
    </row>
    <row r="177" customFormat="false" ht="14.25" hidden="false" customHeight="false" outlineLevel="0" collapsed="false">
      <c r="B177" s="1" t="n">
        <v>10</v>
      </c>
      <c r="C177" s="1" t="n">
        <v>1</v>
      </c>
      <c r="D177" s="2" t="n">
        <v>45</v>
      </c>
      <c r="E177" s="4" t="n">
        <v>2.8</v>
      </c>
      <c r="F177" s="1" t="n">
        <v>40</v>
      </c>
      <c r="G177" s="1" t="n">
        <v>45</v>
      </c>
      <c r="H177" s="3" t="n">
        <v>54.1386548495659</v>
      </c>
      <c r="I177" s="1" t="n">
        <v>350</v>
      </c>
      <c r="J177" s="39" t="n">
        <v>305</v>
      </c>
      <c r="K177" s="27" t="n">
        <v>177</v>
      </c>
      <c r="L177" s="39" t="n">
        <v>95</v>
      </c>
      <c r="M177" s="4" t="n">
        <v>0.24</v>
      </c>
      <c r="N177" s="26" t="n">
        <v>0.263895733929205</v>
      </c>
      <c r="O177" s="27" t="n">
        <v>361.362261530525</v>
      </c>
      <c r="P177" s="27" t="n">
        <v>372.60441372747</v>
      </c>
      <c r="Q177" s="28" t="n">
        <v>0.00795980968315605</v>
      </c>
      <c r="R177" s="25" t="n">
        <v>1.09956555803836</v>
      </c>
      <c r="S177" s="29" t="n">
        <v>0.221174103071702</v>
      </c>
      <c r="T177" s="27" t="n">
        <v>361.362261530525</v>
      </c>
      <c r="U177" s="27" t="n">
        <v>360</v>
      </c>
      <c r="V177" s="28" t="n">
        <v>0.00826315789473684</v>
      </c>
      <c r="W177" s="25" t="n">
        <f aca="false">(I177-H177)/(J177-H177)</f>
        <v>1.17938196087171</v>
      </c>
      <c r="X177" s="25" t="n">
        <f aca="false">0.5*(1+(I177-K177-L177)/(I177-K177))</f>
        <v>0.725433526011561</v>
      </c>
      <c r="Y177" s="25" t="n">
        <v>0.921558762798757</v>
      </c>
      <c r="Z177" s="26" t="n">
        <v>0.338363759388237</v>
      </c>
      <c r="AA177" s="27" t="n">
        <v>361.362261530525</v>
      </c>
      <c r="AB177" s="27" t="n">
        <v>372.60441372747</v>
      </c>
      <c r="AC177" s="28" t="n">
        <v>0.00795980968315605</v>
      </c>
      <c r="AD177" s="25" t="n">
        <v>1.40984899745099</v>
      </c>
      <c r="AE177" s="4" t="n">
        <v>0.304439787015293</v>
      </c>
      <c r="AF177" s="25" t="n">
        <v>0.232576599035923</v>
      </c>
      <c r="AG177" s="26" t="n">
        <f aca="false">SMALL(AE177:AF177,1)</f>
        <v>0.232576599035923</v>
      </c>
      <c r="AH177" s="27" t="n">
        <v>369.804056539572</v>
      </c>
      <c r="AI177" s="28" t="n">
        <v>0.0084</v>
      </c>
      <c r="AJ177" s="25" t="n">
        <v>0.969069162649681</v>
      </c>
      <c r="AK177" s="29" t="n">
        <v>0.327973604620779</v>
      </c>
      <c r="AN177" s="4" t="n">
        <f aca="false">(N177-$N$344)/$N$345</f>
        <v>0.571298733371882</v>
      </c>
      <c r="AO177" s="4" t="n">
        <f aca="false">(S177-$S$344)/$S$345</f>
        <v>0.0762733791410595</v>
      </c>
      <c r="AP177" s="4" t="n">
        <f aca="false">(Z177-$Z$344)/$Z$345</f>
        <v>1.56296842924812</v>
      </c>
      <c r="AQ177" s="4" t="n">
        <f aca="false">(AE177-$AE$344)/$AE$345</f>
        <v>0.439497368954224</v>
      </c>
    </row>
    <row r="178" customFormat="false" ht="14.25" hidden="false" customHeight="false" outlineLevel="0" collapsed="false">
      <c r="B178" s="1" t="n">
        <v>10</v>
      </c>
      <c r="C178" s="1" t="n">
        <v>1</v>
      </c>
      <c r="D178" s="2" t="n">
        <v>45</v>
      </c>
      <c r="E178" s="4" t="n">
        <v>2.8</v>
      </c>
      <c r="F178" s="1" t="n">
        <v>40</v>
      </c>
      <c r="G178" s="1" t="n">
        <v>45</v>
      </c>
      <c r="H178" s="3" t="n">
        <v>54.1386548495659</v>
      </c>
      <c r="I178" s="1" t="n">
        <v>350</v>
      </c>
      <c r="J178" s="39" t="n">
        <v>305</v>
      </c>
      <c r="K178" s="27" t="n">
        <v>177</v>
      </c>
      <c r="L178" s="39" t="n">
        <v>95</v>
      </c>
      <c r="M178" s="4" t="n">
        <v>0.25</v>
      </c>
      <c r="N178" s="26" t="n">
        <v>0.291100985091748</v>
      </c>
      <c r="O178" s="27" t="n">
        <v>375.568148961701</v>
      </c>
      <c r="P178" s="27" t="n">
        <v>372.60441372747</v>
      </c>
      <c r="Q178" s="28" t="n">
        <v>0.00795980968315605</v>
      </c>
      <c r="R178" s="25" t="n">
        <v>1.16440394036699</v>
      </c>
      <c r="S178" s="29" t="n">
        <v>0.242761331982995</v>
      </c>
      <c r="T178" s="27" t="n">
        <v>375.568148961701</v>
      </c>
      <c r="U178" s="27" t="n">
        <v>360</v>
      </c>
      <c r="V178" s="28" t="n">
        <v>0.00826315789473684</v>
      </c>
      <c r="W178" s="25" t="n">
        <f aca="false">(I178-H178)/(J178-H178)</f>
        <v>1.17938196087171</v>
      </c>
      <c r="X178" s="25" t="n">
        <f aca="false">0.5*(1+(I178-K178-L178)/(I178-K178))</f>
        <v>0.725433526011561</v>
      </c>
      <c r="Y178" s="25" t="n">
        <v>0.971045327931981</v>
      </c>
      <c r="Z178" s="26" t="n">
        <v>0.351665528799076</v>
      </c>
      <c r="AA178" s="27" t="n">
        <v>375.568148961701</v>
      </c>
      <c r="AB178" s="27" t="n">
        <v>372.60441372747</v>
      </c>
      <c r="AC178" s="28" t="n">
        <v>0.00795980968315605</v>
      </c>
      <c r="AD178" s="25" t="n">
        <v>1.40666211519631</v>
      </c>
      <c r="AE178" s="4" t="n">
        <v>0.316407935890587</v>
      </c>
      <c r="AF178" s="25" t="n">
        <v>0.251222152194693</v>
      </c>
      <c r="AG178" s="26" t="n">
        <f aca="false">SMALL(AE178:AF178,1)</f>
        <v>0.251222152194693</v>
      </c>
      <c r="AH178" s="27" t="n">
        <v>384.341808148007</v>
      </c>
      <c r="AI178" s="28" t="n">
        <v>0.0084</v>
      </c>
      <c r="AJ178" s="25" t="n">
        <v>1.00488860877877</v>
      </c>
      <c r="AK178" s="29" t="n">
        <v>0.350334237726264</v>
      </c>
      <c r="AN178" s="4" t="n">
        <f aca="false">(N178-$N$344)/$N$345</f>
        <v>0.89135015822939</v>
      </c>
      <c r="AO178" s="4" t="n">
        <f aca="false">(S178-$S$344)/$S$345</f>
        <v>0.336657534990871</v>
      </c>
      <c r="AP178" s="4" t="n">
        <f aca="false">(Z178-$Z$344)/$Z$345</f>
        <v>1.74364525749475</v>
      </c>
      <c r="AQ178" s="4" t="n">
        <f aca="false">(AE178-$AE$344)/$AE$345</f>
        <v>0.590318388753336</v>
      </c>
    </row>
    <row r="179" customFormat="false" ht="14.25" hidden="false" customHeight="false" outlineLevel="0" collapsed="false">
      <c r="B179" s="1" t="n">
        <v>10</v>
      </c>
      <c r="C179" s="1" t="n">
        <v>1</v>
      </c>
      <c r="D179" s="2" t="n">
        <v>45</v>
      </c>
      <c r="E179" s="4" t="n">
        <v>2.8</v>
      </c>
      <c r="F179" s="1" t="n">
        <v>40</v>
      </c>
      <c r="G179" s="1" t="n">
        <v>45</v>
      </c>
      <c r="H179" s="3" t="n">
        <v>54.1386548495659</v>
      </c>
      <c r="I179" s="1" t="n">
        <v>350</v>
      </c>
      <c r="J179" s="39" t="n">
        <v>305</v>
      </c>
      <c r="K179" s="27" t="n">
        <v>177</v>
      </c>
      <c r="L179" s="39" t="n">
        <v>95</v>
      </c>
      <c r="M179" s="4" t="n">
        <v>0.27</v>
      </c>
      <c r="N179" s="26" t="n">
        <v>0.315755743957802</v>
      </c>
      <c r="O179" s="27" t="n">
        <v>388.442234446203</v>
      </c>
      <c r="P179" s="27" t="n">
        <v>372.60441372747</v>
      </c>
      <c r="Q179" s="28" t="n">
        <v>0.00795980968315605</v>
      </c>
      <c r="R179" s="25" t="n">
        <v>1.16946571836223</v>
      </c>
      <c r="S179" s="29" t="n">
        <v>0.262324758183855</v>
      </c>
      <c r="T179" s="27" t="n">
        <v>388.442234446203</v>
      </c>
      <c r="U179" s="27" t="n">
        <v>360</v>
      </c>
      <c r="V179" s="28" t="n">
        <v>0.00826315789473684</v>
      </c>
      <c r="W179" s="25" t="n">
        <f aca="false">(I179-H179)/(J179-H179)</f>
        <v>1.17938196087171</v>
      </c>
      <c r="X179" s="25" t="n">
        <f aca="false">0.5*(1+(I179-K179-L179)/(I179-K179))</f>
        <v>0.725433526011561</v>
      </c>
      <c r="Y179" s="25" t="n">
        <v>0.971573178458722</v>
      </c>
      <c r="Z179" s="26" t="n">
        <v>0.36372025732765</v>
      </c>
      <c r="AA179" s="27" t="n">
        <v>388.442234446203</v>
      </c>
      <c r="AB179" s="27" t="n">
        <v>372.60441372747</v>
      </c>
      <c r="AC179" s="28" t="n">
        <v>0.00795980968315605</v>
      </c>
      <c r="AD179" s="25" t="n">
        <v>1.34711206417648</v>
      </c>
      <c r="AE179" s="4" t="n">
        <v>0.327254070808822</v>
      </c>
      <c r="AF179" s="25" t="n">
        <v>0.268740618169863</v>
      </c>
      <c r="AG179" s="26" t="n">
        <f aca="false">SMALL(AE179:AF179,1)</f>
        <v>0.268740618169863</v>
      </c>
      <c r="AH179" s="27" t="n">
        <v>397.516645543152</v>
      </c>
      <c r="AI179" s="28" t="n">
        <v>0.0084</v>
      </c>
      <c r="AJ179" s="25" t="n">
        <v>0.995335622851346</v>
      </c>
      <c r="AK179" s="29" t="n">
        <v>0.37059856147811</v>
      </c>
      <c r="AN179" s="4" t="n">
        <f aca="false">(N179-$N$344)/$N$345</f>
        <v>1.18139676200651</v>
      </c>
      <c r="AO179" s="4" t="n">
        <f aca="false">(S179-$S$344)/$S$345</f>
        <v>0.57263067622976</v>
      </c>
      <c r="AP179" s="4" t="n">
        <f aca="false">(Z179-$Z$344)/$Z$345</f>
        <v>1.90738363309326</v>
      </c>
      <c r="AQ179" s="4" t="n">
        <f aca="false">(AE179-$AE$344)/$AE$345</f>
        <v>0.726999937946282</v>
      </c>
    </row>
    <row r="180" customFormat="false" ht="14.25" hidden="false" customHeight="false" outlineLevel="0" collapsed="false">
      <c r="B180" s="1" t="n">
        <v>10</v>
      </c>
      <c r="C180" s="1" t="n">
        <v>1</v>
      </c>
      <c r="D180" s="2" t="n">
        <v>45</v>
      </c>
      <c r="E180" s="4" t="n">
        <v>2.8</v>
      </c>
      <c r="F180" s="1" t="n">
        <v>40</v>
      </c>
      <c r="G180" s="1" t="n">
        <v>45</v>
      </c>
      <c r="H180" s="3" t="n">
        <v>54.1386548495659</v>
      </c>
      <c r="I180" s="1" t="n">
        <v>350</v>
      </c>
      <c r="J180" s="39" t="n">
        <v>305</v>
      </c>
      <c r="K180" s="27" t="n">
        <v>177</v>
      </c>
      <c r="L180" s="39" t="n">
        <v>95</v>
      </c>
      <c r="M180" s="4" t="n">
        <v>0.29</v>
      </c>
      <c r="N180" s="26" t="n">
        <v>0.337860010527368</v>
      </c>
      <c r="O180" s="27" t="n">
        <v>399.984517984033</v>
      </c>
      <c r="P180" s="27" t="n">
        <v>372.60441372747</v>
      </c>
      <c r="Q180" s="28" t="n">
        <v>0.00795980968315605</v>
      </c>
      <c r="R180" s="25" t="n">
        <v>1.16503451905989</v>
      </c>
      <c r="S180" s="29" t="n">
        <v>0.279864381674281</v>
      </c>
      <c r="T180" s="27" t="n">
        <v>399.984517984033</v>
      </c>
      <c r="U180" s="27" t="n">
        <v>360</v>
      </c>
      <c r="V180" s="28" t="n">
        <v>0.00826315789473684</v>
      </c>
      <c r="W180" s="25" t="n">
        <f aca="false">(I180-H180)/(J180-H180)</f>
        <v>1.17938196087171</v>
      </c>
      <c r="X180" s="25" t="n">
        <f aca="false">0.5*(1+(I180-K180-L180)/(I180-K180))</f>
        <v>0.725433526011561</v>
      </c>
      <c r="Y180" s="25" t="n">
        <v>0.965049591980279</v>
      </c>
      <c r="Z180" s="26" t="n">
        <v>0.374527944973957</v>
      </c>
      <c r="AA180" s="27" t="n">
        <v>399.984517984033</v>
      </c>
      <c r="AB180" s="27" t="n">
        <v>372.60441372747</v>
      </c>
      <c r="AC180" s="28" t="n">
        <v>0.00795980968315605</v>
      </c>
      <c r="AD180" s="25" t="n">
        <v>1.29147567232399</v>
      </c>
      <c r="AE180" s="4" t="n">
        <v>0.336978191769999</v>
      </c>
      <c r="AF180" s="25" t="n">
        <v>0.284948770704866</v>
      </c>
      <c r="AG180" s="26" t="n">
        <f aca="false">SMALL(AE180:AF180,1)</f>
        <v>0.284948770704866</v>
      </c>
      <c r="AH180" s="27" t="n">
        <v>409.328568725005</v>
      </c>
      <c r="AI180" s="28" t="n">
        <v>0.0084</v>
      </c>
      <c r="AJ180" s="25" t="n">
        <v>0.982581967947815</v>
      </c>
      <c r="AK180" s="29" t="n">
        <v>0.388766575876317</v>
      </c>
      <c r="AN180" s="4" t="n">
        <f aca="false">(N180-$N$344)/$N$345</f>
        <v>1.44143854470323</v>
      </c>
      <c r="AO180" s="4" t="n">
        <f aca="false">(S180-$S$344)/$S$345</f>
        <v>0.784192802857731</v>
      </c>
      <c r="AP180" s="4" t="n">
        <f aca="false">(Z180-$Z$344)/$Z$345</f>
        <v>2.05418355604365</v>
      </c>
      <c r="AQ180" s="4" t="n">
        <f aca="false">(AE180-$AE$344)/$AE$345</f>
        <v>0.849542016533062</v>
      </c>
    </row>
    <row r="181" customFormat="false" ht="14.25" hidden="false" customHeight="false" outlineLevel="0" collapsed="false">
      <c r="A181" s="0" t="s">
        <v>60</v>
      </c>
      <c r="B181" s="1" t="n">
        <v>10</v>
      </c>
      <c r="C181" s="1" t="n">
        <v>1</v>
      </c>
      <c r="D181" s="2" t="n">
        <v>45</v>
      </c>
      <c r="E181" s="4" t="n">
        <v>2.8</v>
      </c>
      <c r="F181" s="1" t="n">
        <v>40</v>
      </c>
      <c r="G181" s="1" t="n">
        <v>45</v>
      </c>
      <c r="H181" s="3" t="n">
        <v>54.1386548495659</v>
      </c>
      <c r="I181" s="1" t="n">
        <v>350</v>
      </c>
      <c r="J181" s="39" t="n">
        <v>305</v>
      </c>
      <c r="K181" s="27" t="n">
        <v>177</v>
      </c>
      <c r="L181" s="39" t="n">
        <v>95</v>
      </c>
      <c r="M181" s="4" t="n">
        <v>0.15</v>
      </c>
      <c r="N181" s="26" t="n">
        <v>0.191631785528701</v>
      </c>
      <c r="O181" s="27" t="n">
        <v>323.627873041465</v>
      </c>
      <c r="P181" s="27" t="n">
        <v>372.60441372747</v>
      </c>
      <c r="Q181" s="28" t="n">
        <v>0.00795980968315605</v>
      </c>
      <c r="R181" s="25" t="n">
        <v>1.27754523685801</v>
      </c>
      <c r="S181" s="29" t="n">
        <v>0.196713623454163</v>
      </c>
      <c r="T181" s="27" t="n">
        <v>323.627873041465</v>
      </c>
      <c r="U181" s="27" t="n">
        <v>360</v>
      </c>
      <c r="V181" s="28" t="n">
        <v>0.00826315789473684</v>
      </c>
      <c r="W181" s="25" t="n">
        <f aca="false">(I181-H181)/(J181-H181)</f>
        <v>1.17938196087171</v>
      </c>
      <c r="X181" s="25" t="n">
        <f aca="false">0.5*(1+(I181-K181-L181)/(I181-K181))</f>
        <v>0.725433526011561</v>
      </c>
      <c r="Y181" s="25" t="n">
        <v>1.31142415636109</v>
      </c>
      <c r="Z181" s="26" t="n">
        <v>0.303030934390693</v>
      </c>
      <c r="AA181" s="27" t="n">
        <v>323.627873041465</v>
      </c>
      <c r="AB181" s="27" t="n">
        <v>372.60441372747</v>
      </c>
      <c r="AC181" s="28" t="n">
        <v>0.00795980968315605</v>
      </c>
      <c r="AD181" s="25" t="n">
        <v>2.02020622927129</v>
      </c>
      <c r="AE181" s="4" t="n">
        <v>0.272649391565293</v>
      </c>
      <c r="AF181" s="25" t="n">
        <v>0.186540124552895</v>
      </c>
      <c r="AG181" s="26" t="n">
        <f aca="false">SMALL(AE181:AF181,1)</f>
        <v>0.186540124552895</v>
      </c>
      <c r="AH181" s="27" t="n">
        <v>331.188153829666</v>
      </c>
      <c r="AI181" s="28" t="n">
        <v>0.0084</v>
      </c>
      <c r="AJ181" s="25" t="n">
        <v>1.24360083035263</v>
      </c>
      <c r="AK181" s="29" t="n">
        <v>0.268578172934334</v>
      </c>
      <c r="AN181" s="4" t="n">
        <f aca="false">(N181-$N$344)/$N$345</f>
        <v>-0.278837863905878</v>
      </c>
      <c r="AO181" s="4" t="n">
        <f aca="false">(S181-$S$344)/$S$345</f>
        <v>-0.218767793723991</v>
      </c>
      <c r="AP181" s="4" t="n">
        <f aca="false">(Z181-$Z$344)/$Z$345</f>
        <v>1.08304560421799</v>
      </c>
      <c r="AQ181" s="4" t="n">
        <f aca="false">(AE181-$AE$344)/$AE$345</f>
        <v>0.0388790351128297</v>
      </c>
    </row>
    <row r="182" customFormat="false" ht="14.25" hidden="false" customHeight="false" outlineLevel="0" collapsed="false">
      <c r="B182" s="1" t="n">
        <v>10</v>
      </c>
      <c r="C182" s="1" t="n">
        <v>1</v>
      </c>
      <c r="D182" s="2" t="n">
        <v>45</v>
      </c>
      <c r="E182" s="4" t="n">
        <v>2.8</v>
      </c>
      <c r="F182" s="1" t="n">
        <v>40</v>
      </c>
      <c r="G182" s="1" t="n">
        <v>45</v>
      </c>
      <c r="H182" s="3" t="n">
        <v>54.1386548495659</v>
      </c>
      <c r="I182" s="1" t="n">
        <v>350</v>
      </c>
      <c r="J182" s="39" t="n">
        <v>305</v>
      </c>
      <c r="K182" s="27" t="n">
        <v>177</v>
      </c>
      <c r="L182" s="39" t="n">
        <v>95</v>
      </c>
      <c r="M182" s="4" t="n">
        <v>0.16</v>
      </c>
      <c r="N182" s="26" t="n">
        <v>0.216286544394755</v>
      </c>
      <c r="O182" s="27" t="n">
        <v>336.501958525968</v>
      </c>
      <c r="P182" s="27" t="n">
        <v>372.60441372747</v>
      </c>
      <c r="Q182" s="28" t="n">
        <v>0.00795980968315605</v>
      </c>
      <c r="R182" s="25" t="n">
        <v>1.35179090246722</v>
      </c>
      <c r="S182" s="29" t="n">
        <v>0.204538993934507</v>
      </c>
      <c r="T182" s="27" t="n">
        <v>336.501958525968</v>
      </c>
      <c r="U182" s="27" t="n">
        <v>360</v>
      </c>
      <c r="V182" s="28" t="n">
        <v>0.00826315789473684</v>
      </c>
      <c r="W182" s="25" t="n">
        <f aca="false">(I182-H182)/(J182-H182)</f>
        <v>1.17938196087171</v>
      </c>
      <c r="X182" s="25" t="n">
        <f aca="false">0.5*(1+(I182-K182-L182)/(I182-K182))</f>
        <v>0.725433526011561</v>
      </c>
      <c r="Y182" s="25" t="n">
        <v>1.27836871209067</v>
      </c>
      <c r="Z182" s="26" t="n">
        <v>0.315085662919267</v>
      </c>
      <c r="AA182" s="27" t="n">
        <v>336.501958525968</v>
      </c>
      <c r="AB182" s="27" t="n">
        <v>372.60441372747</v>
      </c>
      <c r="AC182" s="28" t="n">
        <v>0.00795980968315605</v>
      </c>
      <c r="AD182" s="25" t="n">
        <v>1.96928539324542</v>
      </c>
      <c r="AE182" s="4" t="n">
        <v>0.283495526483528</v>
      </c>
      <c r="AF182" s="25" t="n">
        <v>0.201676649192685</v>
      </c>
      <c r="AG182" s="26" t="n">
        <f aca="false">SMALL(AE182:AF182,1)</f>
        <v>0.201676649192685</v>
      </c>
      <c r="AH182" s="27" t="n">
        <v>344.36299122481</v>
      </c>
      <c r="AI182" s="28" t="n">
        <v>0.0084</v>
      </c>
      <c r="AJ182" s="25" t="n">
        <v>1.26047905745428</v>
      </c>
      <c r="AK182" s="29" t="n">
        <v>0.28884249668618</v>
      </c>
      <c r="AN182" s="4" t="n">
        <f aca="false">(N182-$N$344)/$N$345</f>
        <v>0.0112087398712392</v>
      </c>
      <c r="AO182" s="4" t="n">
        <f aca="false">(S182-$S$344)/$S$345</f>
        <v>-0.124378537228435</v>
      </c>
      <c r="AP182" s="4" t="n">
        <f aca="false">(Z182-$Z$344)/$Z$345</f>
        <v>1.2467839798165</v>
      </c>
      <c r="AQ182" s="4" t="n">
        <f aca="false">(AE182-$AE$344)/$AE$345</f>
        <v>0.175560584305776</v>
      </c>
    </row>
    <row r="183" customFormat="false" ht="14.25" hidden="false" customHeight="false" outlineLevel="0" collapsed="false">
      <c r="B183" s="1" t="n">
        <v>10</v>
      </c>
      <c r="C183" s="1" t="n">
        <v>1</v>
      </c>
      <c r="D183" s="2" t="n">
        <v>45</v>
      </c>
      <c r="E183" s="4" t="n">
        <v>2.8</v>
      </c>
      <c r="F183" s="1" t="n">
        <v>40</v>
      </c>
      <c r="G183" s="1" t="n">
        <v>45</v>
      </c>
      <c r="H183" s="3" t="n">
        <v>54.1386548495659</v>
      </c>
      <c r="I183" s="1" t="n">
        <v>350</v>
      </c>
      <c r="J183" s="39" t="n">
        <v>305</v>
      </c>
      <c r="K183" s="27" t="n">
        <v>177</v>
      </c>
      <c r="L183" s="39" t="n">
        <v>95</v>
      </c>
      <c r="M183" s="4" t="n">
        <v>0.18</v>
      </c>
      <c r="N183" s="26" t="n">
        <v>0.251143272446763</v>
      </c>
      <c r="O183" s="27" t="n">
        <v>354.703251797162</v>
      </c>
      <c r="P183" s="27" t="n">
        <v>372.60441372747</v>
      </c>
      <c r="Q183" s="28" t="n">
        <v>0.00795980968315605</v>
      </c>
      <c r="R183" s="25" t="n">
        <v>1.39524040248202</v>
      </c>
      <c r="S183" s="29" t="n">
        <v>0.215602448751545</v>
      </c>
      <c r="T183" s="27" t="n">
        <v>354.703251797162</v>
      </c>
      <c r="U183" s="27" t="n">
        <v>360</v>
      </c>
      <c r="V183" s="28" t="n">
        <v>0.00826315789473684</v>
      </c>
      <c r="W183" s="25" t="n">
        <f aca="false">(I183-H183)/(J183-H183)</f>
        <v>1.17938196087171</v>
      </c>
      <c r="X183" s="25" t="n">
        <f aca="false">0.5*(1+(I183-K183-L183)/(I183-K183))</f>
        <v>0.725433526011561</v>
      </c>
      <c r="Y183" s="25" t="n">
        <v>1.19779138195303</v>
      </c>
      <c r="Z183" s="26" t="n">
        <v>0.332128554976905</v>
      </c>
      <c r="AA183" s="27" t="n">
        <v>354.703251797162</v>
      </c>
      <c r="AB183" s="27" t="n">
        <v>372.60441372747</v>
      </c>
      <c r="AC183" s="28" t="n">
        <v>0.00795980968315605</v>
      </c>
      <c r="AD183" s="25" t="n">
        <v>1.84515863876059</v>
      </c>
      <c r="AE183" s="4" t="n">
        <v>0.298829717229999</v>
      </c>
      <c r="AF183" s="25" t="n">
        <v>0.224083956741563</v>
      </c>
      <c r="AG183" s="26" t="n">
        <f aca="false">SMALL(AE183:AF183,1)</f>
        <v>0.224083956741563</v>
      </c>
      <c r="AH183" s="27" t="n">
        <v>362.989485473118</v>
      </c>
      <c r="AI183" s="28" t="n">
        <v>0.0084</v>
      </c>
      <c r="AJ183" s="25" t="n">
        <v>1.24491087078646</v>
      </c>
      <c r="AK183" s="29" t="n">
        <v>0.317492057852583</v>
      </c>
      <c r="AN183" s="4" t="n">
        <f aca="false">(N183-$N$344)/$N$345</f>
        <v>0.421274627969923</v>
      </c>
      <c r="AO183" s="4" t="n">
        <f aca="false">(S183-$S$344)/$S$345</f>
        <v>0.00906834264459406</v>
      </c>
      <c r="AP183" s="4" t="n">
        <f aca="false">(Z183-$Z$344)/$Z$345</f>
        <v>1.4782761660075</v>
      </c>
      <c r="AQ183" s="4" t="n">
        <f aca="false">(AE183-$AE$344)/$AE$345</f>
        <v>0.36880001592339</v>
      </c>
    </row>
    <row r="184" customFormat="false" ht="14.25" hidden="false" customHeight="false" outlineLevel="0" collapsed="false">
      <c r="B184" s="1" t="n">
        <v>10</v>
      </c>
      <c r="C184" s="1" t="n">
        <v>1</v>
      </c>
      <c r="D184" s="2" t="n">
        <v>45</v>
      </c>
      <c r="E184" s="4" t="n">
        <v>2.8</v>
      </c>
      <c r="F184" s="1" t="n">
        <v>40</v>
      </c>
      <c r="G184" s="1" t="n">
        <v>45</v>
      </c>
      <c r="H184" s="3" t="n">
        <v>54.1386548495659</v>
      </c>
      <c r="I184" s="1" t="n">
        <v>350</v>
      </c>
      <c r="J184" s="39" t="n">
        <v>305</v>
      </c>
      <c r="K184" s="27" t="n">
        <v>177</v>
      </c>
      <c r="L184" s="39" t="n">
        <v>95</v>
      </c>
      <c r="M184" s="4" t="n">
        <v>0.18</v>
      </c>
      <c r="N184" s="26" t="n">
        <v>0.27154721081867</v>
      </c>
      <c r="O184" s="27" t="n">
        <v>365.357667370543</v>
      </c>
      <c r="P184" s="27" t="n">
        <v>372.60441372747</v>
      </c>
      <c r="Q184" s="28" t="n">
        <v>0.00795980968315605</v>
      </c>
      <c r="R184" s="25" t="n">
        <v>1.50859561565928</v>
      </c>
      <c r="S184" s="29" t="n">
        <v>0.227245511203003</v>
      </c>
      <c r="T184" s="27" t="n">
        <v>365.357667370543</v>
      </c>
      <c r="U184" s="27" t="n">
        <v>360</v>
      </c>
      <c r="V184" s="28" t="n">
        <v>0.00826315789473684</v>
      </c>
      <c r="W184" s="25" t="n">
        <f aca="false">(I184-H184)/(J184-H184)</f>
        <v>1.17938196087171</v>
      </c>
      <c r="X184" s="25" t="n">
        <f aca="false">0.5*(1+(I184-K184-L184)/(I184-K184))</f>
        <v>0.725433526011561</v>
      </c>
      <c r="Y184" s="25" t="n">
        <v>1.26247506223891</v>
      </c>
      <c r="Z184" s="26" t="n">
        <v>0.342104882035035</v>
      </c>
      <c r="AA184" s="27" t="n">
        <v>365.357667370543</v>
      </c>
      <c r="AB184" s="27" t="n">
        <v>372.60441372747</v>
      </c>
      <c r="AC184" s="28" t="n">
        <v>0.00795980968315605</v>
      </c>
      <c r="AD184" s="25" t="n">
        <v>1.90058267797242</v>
      </c>
      <c r="AE184" s="4" t="n">
        <v>0.30780582888647</v>
      </c>
      <c r="AF184" s="25" t="n">
        <v>0.237748002173878</v>
      </c>
      <c r="AG184" s="26" t="n">
        <f aca="false">SMALL(AE184:AF184,1)</f>
        <v>0.237748002173878</v>
      </c>
      <c r="AH184" s="27" t="n">
        <v>373.892799179444</v>
      </c>
      <c r="AI184" s="28" t="n">
        <v>0.0084</v>
      </c>
      <c r="AJ184" s="25" t="n">
        <v>1.32082223429932</v>
      </c>
      <c r="AK184" s="29" t="n">
        <v>0.334262532681697</v>
      </c>
      <c r="AN184" s="4" t="n">
        <f aca="false">(N184-$N$344)/$N$345</f>
        <v>0.661313196613054</v>
      </c>
      <c r="AO184" s="4" t="n">
        <f aca="false">(S184-$S$344)/$S$345</f>
        <v>0.149506422973818</v>
      </c>
      <c r="AP184" s="4" t="n">
        <f aca="false">(Z184-$Z$344)/$Z$345</f>
        <v>1.61378378719248</v>
      </c>
      <c r="AQ184" s="4" t="n">
        <f aca="false">(AE184-$AE$344)/$AE$345</f>
        <v>0.481915780772724</v>
      </c>
    </row>
    <row r="185" customFormat="false" ht="14.25" hidden="false" customHeight="false" outlineLevel="0" collapsed="false">
      <c r="B185" s="1" t="n">
        <v>10</v>
      </c>
      <c r="C185" s="1" t="n">
        <v>1</v>
      </c>
      <c r="D185" s="2" t="n">
        <v>45</v>
      </c>
      <c r="E185" s="4" t="n">
        <v>2.8</v>
      </c>
      <c r="F185" s="1" t="n">
        <v>40</v>
      </c>
      <c r="G185" s="1" t="n">
        <v>45</v>
      </c>
      <c r="H185" s="3" t="n">
        <v>54.1386548495659</v>
      </c>
      <c r="I185" s="1" t="n">
        <v>350</v>
      </c>
      <c r="J185" s="39" t="n">
        <v>305</v>
      </c>
      <c r="K185" s="27" t="n">
        <v>177</v>
      </c>
      <c r="L185" s="39" t="n">
        <v>95</v>
      </c>
      <c r="M185" s="4" t="n">
        <v>0.19</v>
      </c>
      <c r="N185" s="26" t="n">
        <v>0.291100985091748</v>
      </c>
      <c r="O185" s="27" t="n">
        <v>375.568148961701</v>
      </c>
      <c r="P185" s="27" t="n">
        <v>372.60441372747</v>
      </c>
      <c r="Q185" s="28" t="n">
        <v>0.00795980968315605</v>
      </c>
      <c r="R185" s="25" t="n">
        <v>1.53211044785131</v>
      </c>
      <c r="S185" s="29" t="n">
        <v>0.242761331982995</v>
      </c>
      <c r="T185" s="27" t="n">
        <v>375.568148961701</v>
      </c>
      <c r="U185" s="27" t="n">
        <v>360</v>
      </c>
      <c r="V185" s="28" t="n">
        <v>0.00826315789473684</v>
      </c>
      <c r="W185" s="25" t="n">
        <f aca="false">(I185-H185)/(J185-H185)</f>
        <v>1.17938196087171</v>
      </c>
      <c r="X185" s="25" t="n">
        <f aca="false">0.5*(1+(I185-K185-L185)/(I185-K185))</f>
        <v>0.725433526011561</v>
      </c>
      <c r="Y185" s="25" t="n">
        <v>1.27769122096313</v>
      </c>
      <c r="Z185" s="26" t="n">
        <v>0.351665528799076</v>
      </c>
      <c r="AA185" s="27" t="n">
        <v>375.568148961701</v>
      </c>
      <c r="AB185" s="27" t="n">
        <v>372.60441372747</v>
      </c>
      <c r="AC185" s="28" t="n">
        <v>0.00795980968315605</v>
      </c>
      <c r="AD185" s="25" t="n">
        <v>1.85087120420567</v>
      </c>
      <c r="AE185" s="4" t="n">
        <v>0.316407935890587</v>
      </c>
      <c r="AF185" s="25" t="n">
        <v>0.251222152194693</v>
      </c>
      <c r="AG185" s="26" t="n">
        <f aca="false">SMALL(AE185:AF185,1)</f>
        <v>0.251222152194693</v>
      </c>
      <c r="AH185" s="27" t="n">
        <v>384.341808148007</v>
      </c>
      <c r="AI185" s="28" t="n">
        <v>0.0084</v>
      </c>
      <c r="AJ185" s="25" t="n">
        <v>1.32222185365628</v>
      </c>
      <c r="AK185" s="29" t="n">
        <v>0.350334237726264</v>
      </c>
      <c r="AN185" s="4" t="n">
        <f aca="false">(N185-$N$344)/$N$345</f>
        <v>0.89135015822939</v>
      </c>
      <c r="AO185" s="4" t="n">
        <f aca="false">(S185-$S$344)/$S$345</f>
        <v>0.336657534990871</v>
      </c>
      <c r="AP185" s="4" t="n">
        <f aca="false">(Z185-$Z$344)/$Z$345</f>
        <v>1.74364525749475</v>
      </c>
      <c r="AQ185" s="4" t="n">
        <f aca="false">(AE185-$AE$344)/$AE$345</f>
        <v>0.590318388753336</v>
      </c>
    </row>
    <row r="186" customFormat="false" ht="14.25" hidden="false" customHeight="false" outlineLevel="0" collapsed="false">
      <c r="B186" s="1" t="n">
        <v>10</v>
      </c>
      <c r="C186" s="1" t="n">
        <v>1</v>
      </c>
      <c r="D186" s="2" t="n">
        <v>45</v>
      </c>
      <c r="E186" s="4" t="n">
        <v>2.8</v>
      </c>
      <c r="F186" s="1" t="n">
        <v>40</v>
      </c>
      <c r="G186" s="1" t="n">
        <v>45</v>
      </c>
      <c r="H186" s="3" t="n">
        <v>54.1386548495659</v>
      </c>
      <c r="I186" s="1" t="n">
        <v>350</v>
      </c>
      <c r="J186" s="39" t="n">
        <v>305</v>
      </c>
      <c r="K186" s="27" t="n">
        <v>177</v>
      </c>
      <c r="L186" s="39" t="n">
        <v>95</v>
      </c>
      <c r="M186" s="4" t="n">
        <v>0.2</v>
      </c>
      <c r="N186" s="26" t="n">
        <v>0.312355087562485</v>
      </c>
      <c r="O186" s="27" t="n">
        <v>386.666498517306</v>
      </c>
      <c r="P186" s="27" t="n">
        <v>372.60441372747</v>
      </c>
      <c r="Q186" s="28" t="n">
        <v>0.00795980968315605</v>
      </c>
      <c r="R186" s="25" t="n">
        <v>1.56177543781242</v>
      </c>
      <c r="S186" s="29" t="n">
        <v>0.259626354569943</v>
      </c>
      <c r="T186" s="27" t="n">
        <v>386.666498517306</v>
      </c>
      <c r="U186" s="27" t="n">
        <v>360</v>
      </c>
      <c r="V186" s="28" t="n">
        <v>0.00826315789473684</v>
      </c>
      <c r="W186" s="25" t="n">
        <f aca="false">(I186-H186)/(J186-H186)</f>
        <v>1.17938196087171</v>
      </c>
      <c r="X186" s="25" t="n">
        <f aca="false">0.5*(1+(I186-K186-L186)/(I186-K186))</f>
        <v>0.725433526011561</v>
      </c>
      <c r="Y186" s="25" t="n">
        <v>1.29813177284972</v>
      </c>
      <c r="Z186" s="26" t="n">
        <v>0.362057536151295</v>
      </c>
      <c r="AA186" s="27" t="n">
        <v>386.666498517306</v>
      </c>
      <c r="AB186" s="27" t="n">
        <v>372.60441372747</v>
      </c>
      <c r="AC186" s="28" t="n">
        <v>0.00795980968315605</v>
      </c>
      <c r="AD186" s="25" t="n">
        <v>1.81028768075647</v>
      </c>
      <c r="AE186" s="4" t="n">
        <v>0.325758052199411</v>
      </c>
      <c r="AF186" s="25" t="n">
        <v>0.266289177219923</v>
      </c>
      <c r="AG186" s="26" t="n">
        <f aca="false">SMALL(AE186:AF186,1)</f>
        <v>0.266289177219923</v>
      </c>
      <c r="AH186" s="27" t="n">
        <v>395.699426592097</v>
      </c>
      <c r="AI186" s="28" t="n">
        <v>0.0084</v>
      </c>
      <c r="AJ186" s="25" t="n">
        <v>1.33144588609961</v>
      </c>
      <c r="AK186" s="29" t="n">
        <v>0.367803482339925</v>
      </c>
      <c r="AN186" s="4" t="n">
        <f aca="false">(N186-$N$344)/$N$345</f>
        <v>1.14139033389932</v>
      </c>
      <c r="AO186" s="4" t="n">
        <f aca="false">(S186-$S$344)/$S$345</f>
        <v>0.540082656748536</v>
      </c>
      <c r="AP186" s="4" t="n">
        <f aca="false">(Z186-$Z$344)/$Z$345</f>
        <v>1.88479902956243</v>
      </c>
      <c r="AQ186" s="4" t="n">
        <f aca="false">(AE186-$AE$344)/$AE$345</f>
        <v>0.708147310471393</v>
      </c>
    </row>
    <row r="187" customFormat="false" ht="14.25" hidden="false" customHeight="false" outlineLevel="0" collapsed="false">
      <c r="B187" s="1" t="n">
        <v>10</v>
      </c>
      <c r="C187" s="1" t="n">
        <v>1</v>
      </c>
      <c r="D187" s="2" t="n">
        <v>45</v>
      </c>
      <c r="E187" s="4" t="n">
        <v>2.8</v>
      </c>
      <c r="F187" s="1" t="n">
        <v>40</v>
      </c>
      <c r="G187" s="1" t="n">
        <v>45</v>
      </c>
      <c r="H187" s="3" t="n">
        <v>54.1386548495659</v>
      </c>
      <c r="I187" s="1" t="n">
        <v>350</v>
      </c>
      <c r="J187" s="39" t="n">
        <v>305</v>
      </c>
      <c r="K187" s="27" t="n">
        <v>177</v>
      </c>
      <c r="L187" s="39" t="n">
        <v>95</v>
      </c>
      <c r="M187" s="4" t="n">
        <v>0.22</v>
      </c>
      <c r="N187" s="26" t="n">
        <v>0.340410502823857</v>
      </c>
      <c r="O187" s="27" t="n">
        <v>401.316319930706</v>
      </c>
      <c r="P187" s="27" t="n">
        <v>372.60441372747</v>
      </c>
      <c r="Q187" s="28" t="n">
        <v>0.00795980968315605</v>
      </c>
      <c r="R187" s="25" t="n">
        <v>1.54732046738117</v>
      </c>
      <c r="S187" s="29" t="n">
        <v>0.281888184384715</v>
      </c>
      <c r="T187" s="27" t="n">
        <v>401.316319930706</v>
      </c>
      <c r="U187" s="27" t="n">
        <v>360</v>
      </c>
      <c r="V187" s="28" t="n">
        <v>0.00826315789473684</v>
      </c>
      <c r="W187" s="25" t="n">
        <f aca="false">(I187-H187)/(J187-H187)</f>
        <v>1.17938196087171</v>
      </c>
      <c r="X187" s="25" t="n">
        <f aca="false">0.5*(1+(I187-K187-L187)/(I187-K187))</f>
        <v>0.725433526011561</v>
      </c>
      <c r="Y187" s="25" t="n">
        <v>1.28130992902143</v>
      </c>
      <c r="Z187" s="26" t="n">
        <v>0.375774985856224</v>
      </c>
      <c r="AA187" s="27" t="n">
        <v>401.316319930706</v>
      </c>
      <c r="AB187" s="27" t="n">
        <v>372.60441372747</v>
      </c>
      <c r="AC187" s="28" t="n">
        <v>0.00795980968315605</v>
      </c>
      <c r="AD187" s="25" t="n">
        <v>1.70806811752829</v>
      </c>
      <c r="AE187" s="4" t="n">
        <v>0.338100205727058</v>
      </c>
      <c r="AF187" s="25" t="n">
        <v>0.286849479860641</v>
      </c>
      <c r="AG187" s="26" t="n">
        <f aca="false">SMALL(AE187:AF187,1)</f>
        <v>0.286849479860641</v>
      </c>
      <c r="AH187" s="27" t="n">
        <v>410.691482938296</v>
      </c>
      <c r="AI187" s="28" t="n">
        <v>0.0084</v>
      </c>
      <c r="AJ187" s="25" t="n">
        <v>1.30386127209382</v>
      </c>
      <c r="AK187" s="29" t="n">
        <v>0.390862885229956</v>
      </c>
      <c r="AN187" s="4" t="n">
        <f aca="false">(N187-$N$344)/$N$345</f>
        <v>1.47144336578363</v>
      </c>
      <c r="AO187" s="4" t="n">
        <f aca="false">(S187-$S$344)/$S$345</f>
        <v>0.808603817468653</v>
      </c>
      <c r="AP187" s="4" t="n">
        <f aca="false">(Z187-$Z$344)/$Z$345</f>
        <v>2.07112200869178</v>
      </c>
      <c r="AQ187" s="4" t="n">
        <f aca="false">(AE187-$AE$344)/$AE$345</f>
        <v>0.863681487139227</v>
      </c>
    </row>
    <row r="188" customFormat="false" ht="14.25" hidden="false" customHeight="false" outlineLevel="0" collapsed="false">
      <c r="A188" s="0" t="s">
        <v>61</v>
      </c>
      <c r="B188" s="1" t="n">
        <v>20</v>
      </c>
      <c r="C188" s="1" t="n">
        <v>1</v>
      </c>
      <c r="D188" s="2" t="n">
        <v>40</v>
      </c>
      <c r="E188" s="4" t="n">
        <v>2.8</v>
      </c>
      <c r="F188" s="1" t="n">
        <v>40</v>
      </c>
      <c r="G188" s="1" t="n">
        <v>50</v>
      </c>
      <c r="H188" s="3" t="n">
        <v>96.3869213691258</v>
      </c>
      <c r="I188" s="1" t="n">
        <v>350</v>
      </c>
      <c r="J188" s="39" t="n">
        <v>300</v>
      </c>
      <c r="K188" s="27" t="n">
        <v>182</v>
      </c>
      <c r="L188" s="39" t="n">
        <v>150</v>
      </c>
      <c r="M188" s="4" t="n">
        <v>0.16</v>
      </c>
      <c r="N188" s="26" t="n">
        <v>0.176217506045446</v>
      </c>
      <c r="O188" s="27" t="n">
        <v>224.936489423332</v>
      </c>
      <c r="P188" s="27" t="n">
        <v>95.4236856580713</v>
      </c>
      <c r="Q188" s="28" t="n">
        <v>0.0372614852949054</v>
      </c>
      <c r="R188" s="25" t="n">
        <v>1.10135941278404</v>
      </c>
      <c r="S188" s="29" t="n">
        <v>0.162505263740563</v>
      </c>
      <c r="T188" s="27" t="n">
        <v>224.936489423332</v>
      </c>
      <c r="U188" s="27" t="n">
        <v>154</v>
      </c>
      <c r="V188" s="28" t="n">
        <v>0.021</v>
      </c>
      <c r="W188" s="25" t="n">
        <f aca="false">(I188-H188)/(J188-H188)</f>
        <v>1.24556379352548</v>
      </c>
      <c r="X188" s="25" t="n">
        <f aca="false">0.5*(1+(I188-K188-L188)/(I188-K188))</f>
        <v>0.553571428571429</v>
      </c>
      <c r="Y188" s="25" t="n">
        <v>1.01565789837852</v>
      </c>
      <c r="Z188" s="26" t="n">
        <v>0.174794955349353</v>
      </c>
      <c r="AA188" s="27" t="n">
        <v>224.936489423332</v>
      </c>
      <c r="AB188" s="27" t="n">
        <v>95.4236856580713</v>
      </c>
      <c r="AC188" s="28" t="n">
        <v>0.0372614852949054</v>
      </c>
      <c r="AD188" s="25" t="n">
        <v>1.09246847093345</v>
      </c>
      <c r="AE188" s="4" t="n">
        <v>0.189875768539394</v>
      </c>
      <c r="AF188" s="25" t="n">
        <v>0.191428133927133</v>
      </c>
      <c r="AG188" s="26" t="n">
        <f aca="false">SMALL(AE188:AF188,1)</f>
        <v>0.189875768539394</v>
      </c>
      <c r="AH188" s="27" t="n">
        <v>234.034986315937</v>
      </c>
      <c r="AI188" s="28" t="n">
        <v>0.0196</v>
      </c>
      <c r="AJ188" s="25" t="n">
        <v>1.18672355337121</v>
      </c>
      <c r="AK188" s="29" t="n">
        <v>0.219636803827859</v>
      </c>
      <c r="AN188" s="4" t="n">
        <f aca="false">(N188-$N$344)/$N$345</f>
        <v>-0.460176462189436</v>
      </c>
      <c r="AO188" s="4" t="n">
        <f aca="false">(S188-$S$344)/$S$345</f>
        <v>-0.631387445075924</v>
      </c>
      <c r="AP188" s="4" t="n">
        <f aca="false">(Z188-$Z$344)/$Z$345</f>
        <v>-0.658773039955058</v>
      </c>
      <c r="AQ188" s="4" t="n">
        <f aca="false">(AE188-$AE$344)/$AE$345</f>
        <v>-1.00422314947014</v>
      </c>
    </row>
    <row r="189" customFormat="false" ht="14.25" hidden="false" customHeight="false" outlineLevel="0" collapsed="false">
      <c r="B189" s="1" t="n">
        <v>20</v>
      </c>
      <c r="C189" s="1" t="n">
        <v>1</v>
      </c>
      <c r="D189" s="2" t="n">
        <v>40</v>
      </c>
      <c r="E189" s="4" t="n">
        <v>2.8</v>
      </c>
      <c r="F189" s="1" t="n">
        <v>40</v>
      </c>
      <c r="G189" s="1" t="n">
        <v>50</v>
      </c>
      <c r="H189" s="3" t="n">
        <v>96.3869213691258</v>
      </c>
      <c r="I189" s="1" t="n">
        <v>350</v>
      </c>
      <c r="J189" s="39" t="n">
        <v>300</v>
      </c>
      <c r="K189" s="27" t="n">
        <v>182</v>
      </c>
      <c r="L189" s="39" t="n">
        <v>150</v>
      </c>
      <c r="M189" s="4" t="n">
        <v>0.2</v>
      </c>
      <c r="N189" s="26" t="n">
        <v>0.212958221223473</v>
      </c>
      <c r="O189" s="27" t="n">
        <v>259.897640308412</v>
      </c>
      <c r="P189" s="27" t="n">
        <v>95.4236856580713</v>
      </c>
      <c r="Q189" s="28" t="n">
        <v>0.0372614852949054</v>
      </c>
      <c r="R189" s="25" t="n">
        <v>1.06479110611736</v>
      </c>
      <c r="S189" s="29" t="n">
        <v>0.205296645840096</v>
      </c>
      <c r="T189" s="27" t="n">
        <v>259.897640308412</v>
      </c>
      <c r="U189" s="27" t="n">
        <v>154</v>
      </c>
      <c r="V189" s="28" t="n">
        <v>0.021</v>
      </c>
      <c r="W189" s="25" t="n">
        <f aca="false">(I189-H189)/(J189-H189)</f>
        <v>1.24556379352548</v>
      </c>
      <c r="X189" s="25" t="n">
        <f aca="false">0.5*(1+(I189-K189-L189)/(I189-K189))</f>
        <v>0.553571428571429</v>
      </c>
      <c r="Y189" s="25" t="n">
        <v>1.02648322920048</v>
      </c>
      <c r="Z189" s="26" t="n">
        <v>0.211239073832055</v>
      </c>
      <c r="AA189" s="27" t="n">
        <v>259.897640308412</v>
      </c>
      <c r="AB189" s="27" t="n">
        <v>95.4236856580713</v>
      </c>
      <c r="AC189" s="28" t="n">
        <v>0.0372614852949054</v>
      </c>
      <c r="AD189" s="25" t="n">
        <v>1.05619536916027</v>
      </c>
      <c r="AE189" s="4" t="n">
        <v>0.219387544998362</v>
      </c>
      <c r="AF189" s="25" t="n">
        <v>0.255558666285329</v>
      </c>
      <c r="AG189" s="26" t="n">
        <f aca="false">SMALL(AE189:AF189,1)</f>
        <v>0.219387544998362</v>
      </c>
      <c r="AH189" s="27" t="n">
        <v>270.410287139542</v>
      </c>
      <c r="AI189" s="28" t="n">
        <v>0.0196</v>
      </c>
      <c r="AJ189" s="25" t="n">
        <v>1.09693772499181</v>
      </c>
      <c r="AK189" s="29" t="n">
        <v>0.276358882626871</v>
      </c>
      <c r="AN189" s="4" t="n">
        <f aca="false">(N189-$N$344)/$N$345</f>
        <v>-0.0279467366575685</v>
      </c>
      <c r="AO189" s="4" t="n">
        <f aca="false">(S189-$S$344)/$S$345</f>
        <v>-0.115239775015116</v>
      </c>
      <c r="AP189" s="4" t="n">
        <f aca="false">(Z189-$Z$344)/$Z$345</f>
        <v>-0.163755607888216</v>
      </c>
      <c r="AQ189" s="4" t="n">
        <f aca="false">(AE189-$AE$344)/$AE$345</f>
        <v>-0.632319668990114</v>
      </c>
    </row>
    <row r="190" customFormat="false" ht="14.25" hidden="false" customHeight="false" outlineLevel="0" collapsed="false">
      <c r="B190" s="1" t="n">
        <v>20</v>
      </c>
      <c r="C190" s="1" t="n">
        <v>1</v>
      </c>
      <c r="D190" s="2" t="n">
        <v>40</v>
      </c>
      <c r="E190" s="4" t="n">
        <v>2.8</v>
      </c>
      <c r="F190" s="1" t="n">
        <v>40</v>
      </c>
      <c r="G190" s="1" t="n">
        <v>50</v>
      </c>
      <c r="H190" s="3" t="n">
        <v>96.3869213691258</v>
      </c>
      <c r="I190" s="1" t="n">
        <v>350</v>
      </c>
      <c r="J190" s="39" t="n">
        <v>300</v>
      </c>
      <c r="K190" s="27" t="n">
        <v>182</v>
      </c>
      <c r="L190" s="39" t="n">
        <v>150</v>
      </c>
      <c r="M190" s="4" t="n">
        <v>0.23</v>
      </c>
      <c r="N190" s="26" t="n">
        <v>0.249574391604286</v>
      </c>
      <c r="O190" s="27" t="n">
        <v>294.740278817611</v>
      </c>
      <c r="P190" s="27" t="n">
        <v>95.4236856580713</v>
      </c>
      <c r="Q190" s="28" t="n">
        <v>0.0372614852949054</v>
      </c>
      <c r="R190" s="25" t="n">
        <v>1.08510605045342</v>
      </c>
      <c r="S190" s="29" t="n">
        <v>0.247942972407087</v>
      </c>
      <c r="T190" s="27" t="n">
        <v>294.740278817611</v>
      </c>
      <c r="U190" s="27" t="n">
        <v>154</v>
      </c>
      <c r="V190" s="28" t="n">
        <v>0.021</v>
      </c>
      <c r="W190" s="25" t="n">
        <f aca="false">(I190-H190)/(J190-H190)</f>
        <v>1.24556379352548</v>
      </c>
      <c r="X190" s="25" t="n">
        <f aca="false">0.5*(1+(I190-K190-L190)/(I190-K190))</f>
        <v>0.553571428571429</v>
      </c>
      <c r="Y190" s="25" t="n">
        <v>1.07801292350908</v>
      </c>
      <c r="Z190" s="26" t="n">
        <v>0.24755965293007</v>
      </c>
      <c r="AA190" s="27" t="n">
        <v>294.740278817611</v>
      </c>
      <c r="AB190" s="27" t="n">
        <v>95.4236856580713</v>
      </c>
      <c r="AC190" s="28" t="n">
        <v>0.0372614852949054</v>
      </c>
      <c r="AD190" s="25" t="n">
        <v>1.07634631708726</v>
      </c>
      <c r="AE190" s="4" t="n">
        <v>0.24879928153713</v>
      </c>
      <c r="AF190" s="25" t="n">
        <v>0.328673674494575</v>
      </c>
      <c r="AG190" s="26" t="n">
        <f aca="false">SMALL(AE190:AF190,1)</f>
        <v>0.24879928153713</v>
      </c>
      <c r="AH190" s="27" t="n">
        <v>306.66228185866</v>
      </c>
      <c r="AI190" s="28" t="n">
        <v>0.0196</v>
      </c>
      <c r="AJ190" s="25" t="n">
        <v>1.08173600668317</v>
      </c>
      <c r="AK190" s="29" t="n">
        <v>0.332888683192666</v>
      </c>
      <c r="AN190" s="4" t="n">
        <f aca="false">(N190-$N$344)/$N$345</f>
        <v>0.402817803364022</v>
      </c>
      <c r="AO190" s="4" t="n">
        <f aca="false">(S190-$S$344)/$S$345</f>
        <v>0.399158241926843</v>
      </c>
      <c r="AP190" s="4" t="n">
        <f aca="false">(Z190-$Z$344)/$Z$345</f>
        <v>0.329583798985181</v>
      </c>
      <c r="AQ190" s="4" t="n">
        <f aca="false">(AE190-$AE$344)/$AE$345</f>
        <v>-0.261676878274425</v>
      </c>
    </row>
    <row r="191" customFormat="false" ht="14.25" hidden="false" customHeight="false" outlineLevel="0" collapsed="false">
      <c r="A191" s="0" t="s">
        <v>62</v>
      </c>
      <c r="B191" s="1" t="n">
        <v>20</v>
      </c>
      <c r="C191" s="1" t="n">
        <v>1</v>
      </c>
      <c r="D191" s="2" t="n">
        <v>40</v>
      </c>
      <c r="E191" s="4" t="n">
        <v>2.8</v>
      </c>
      <c r="F191" s="1" t="n">
        <v>40</v>
      </c>
      <c r="G191" s="1" t="n">
        <v>50</v>
      </c>
      <c r="H191" s="3" t="n">
        <v>96.3869213691258</v>
      </c>
      <c r="I191" s="1" t="n">
        <v>350</v>
      </c>
      <c r="J191" s="39" t="n">
        <v>300</v>
      </c>
      <c r="K191" s="27" t="n">
        <v>182</v>
      </c>
      <c r="L191" s="39" t="n">
        <v>150</v>
      </c>
      <c r="M191" s="4" t="n">
        <v>0.14</v>
      </c>
      <c r="N191" s="26" t="n">
        <v>0.176217506045446</v>
      </c>
      <c r="O191" s="27" t="n">
        <v>224.936489423332</v>
      </c>
      <c r="P191" s="27" t="n">
        <v>95.4236856580713</v>
      </c>
      <c r="Q191" s="28" t="n">
        <v>0.0372614852949054</v>
      </c>
      <c r="R191" s="25" t="n">
        <v>1.25869647175318</v>
      </c>
      <c r="S191" s="29" t="n">
        <v>0.162505263740563</v>
      </c>
      <c r="T191" s="27" t="n">
        <v>224.936489423332</v>
      </c>
      <c r="U191" s="27" t="n">
        <v>154</v>
      </c>
      <c r="V191" s="28" t="n">
        <v>0.021</v>
      </c>
      <c r="W191" s="25" t="n">
        <f aca="false">(I191-H191)/(J191-H191)</f>
        <v>1.24556379352548</v>
      </c>
      <c r="X191" s="25" t="n">
        <f aca="false">0.5*(1+(I191-K191-L191)/(I191-K191))</f>
        <v>0.553571428571429</v>
      </c>
      <c r="Y191" s="25" t="n">
        <v>1.16075188386116</v>
      </c>
      <c r="Z191" s="26" t="n">
        <v>0.174794955349353</v>
      </c>
      <c r="AA191" s="27" t="n">
        <v>224.936489423332</v>
      </c>
      <c r="AB191" s="27" t="n">
        <v>95.4236856580713</v>
      </c>
      <c r="AC191" s="28" t="n">
        <v>0.0372614852949054</v>
      </c>
      <c r="AD191" s="25" t="n">
        <v>1.24853539535252</v>
      </c>
      <c r="AE191" s="4" t="n">
        <v>0.189875768539394</v>
      </c>
      <c r="AF191" s="25" t="n">
        <v>0.191428133927133</v>
      </c>
      <c r="AG191" s="26" t="n">
        <f aca="false">SMALL(AE191:AF191,1)</f>
        <v>0.189875768539394</v>
      </c>
      <c r="AH191" s="27" t="n">
        <v>234.034986315937</v>
      </c>
      <c r="AI191" s="28" t="n">
        <v>0.0196</v>
      </c>
      <c r="AJ191" s="25" t="n">
        <v>1.3562554895671</v>
      </c>
      <c r="AK191" s="29" t="n">
        <v>0.219636803827859</v>
      </c>
      <c r="AN191" s="4" t="n">
        <f aca="false">(N191-$N$344)/$N$345</f>
        <v>-0.460176462189436</v>
      </c>
      <c r="AO191" s="4" t="n">
        <f aca="false">(S191-$S$344)/$S$345</f>
        <v>-0.631387445075924</v>
      </c>
      <c r="AP191" s="4" t="n">
        <f aca="false">(Z191-$Z$344)/$Z$345</f>
        <v>-0.658773039955058</v>
      </c>
      <c r="AQ191" s="4" t="n">
        <f aca="false">(AE191-$AE$344)/$AE$345</f>
        <v>-1.00422314947014</v>
      </c>
    </row>
    <row r="192" customFormat="false" ht="14.25" hidden="false" customHeight="false" outlineLevel="0" collapsed="false">
      <c r="B192" s="1" t="n">
        <v>20</v>
      </c>
      <c r="C192" s="1" t="n">
        <v>1</v>
      </c>
      <c r="D192" s="2" t="n">
        <v>40</v>
      </c>
      <c r="E192" s="4" t="n">
        <v>2.8</v>
      </c>
      <c r="F192" s="1" t="n">
        <v>40</v>
      </c>
      <c r="G192" s="1" t="n">
        <v>50</v>
      </c>
      <c r="H192" s="3" t="n">
        <v>96.3869213691258</v>
      </c>
      <c r="I192" s="1" t="n">
        <v>350</v>
      </c>
      <c r="J192" s="39" t="n">
        <v>300</v>
      </c>
      <c r="K192" s="27" t="n">
        <v>182</v>
      </c>
      <c r="L192" s="39" t="n">
        <v>150</v>
      </c>
      <c r="M192" s="4" t="n">
        <v>0.17</v>
      </c>
      <c r="N192" s="26" t="n">
        <v>0.212460042034618</v>
      </c>
      <c r="O192" s="27" t="n">
        <v>259.423590804886</v>
      </c>
      <c r="P192" s="27" t="n">
        <v>95.4236856580713</v>
      </c>
      <c r="Q192" s="28" t="n">
        <v>0.0372614852949054</v>
      </c>
      <c r="R192" s="25" t="n">
        <v>1.24976495314481</v>
      </c>
      <c r="S192" s="29" t="n">
        <v>0.204716423709933</v>
      </c>
      <c r="T192" s="27" t="n">
        <v>259.423590804886</v>
      </c>
      <c r="U192" s="27" t="n">
        <v>154</v>
      </c>
      <c r="V192" s="28" t="n">
        <v>0.021</v>
      </c>
      <c r="W192" s="25" t="n">
        <f aca="false">(I192-H192)/(J192-H192)</f>
        <v>1.24556379352548</v>
      </c>
      <c r="X192" s="25" t="n">
        <f aca="false">0.5*(1+(I192-K192-L192)/(I192-K192))</f>
        <v>0.553571428571429</v>
      </c>
      <c r="Y192" s="25" t="n">
        <v>1.20421425711725</v>
      </c>
      <c r="Z192" s="26" t="n">
        <v>0.210744916293306</v>
      </c>
      <c r="AA192" s="27" t="n">
        <v>259.423590804886</v>
      </c>
      <c r="AB192" s="27" t="n">
        <v>95.4236856580713</v>
      </c>
      <c r="AC192" s="28" t="n">
        <v>0.0372614852949054</v>
      </c>
      <c r="AD192" s="25" t="n">
        <v>1.23967597819592</v>
      </c>
      <c r="AE192" s="4" t="n">
        <v>0.218987385317562</v>
      </c>
      <c r="AF192" s="25" t="n">
        <v>0.25462724595283</v>
      </c>
      <c r="AG192" s="26" t="n">
        <f aca="false">SMALL(AE192:AF192,1)</f>
        <v>0.218987385317562</v>
      </c>
      <c r="AH192" s="27" t="n">
        <v>269.917062721595</v>
      </c>
      <c r="AI192" s="28" t="n">
        <v>0.0196</v>
      </c>
      <c r="AJ192" s="25" t="n">
        <v>1.28816109010331</v>
      </c>
      <c r="AK192" s="29" t="n">
        <v>0.275589769694003</v>
      </c>
      <c r="AN192" s="4" t="n">
        <f aca="false">(N192-$N$344)/$N$345</f>
        <v>-0.0338074786986781</v>
      </c>
      <c r="AO192" s="4" t="n">
        <f aca="false">(S192-$S$344)/$S$345</f>
        <v>-0.122238387490516</v>
      </c>
      <c r="AP192" s="4" t="n">
        <f aca="false">(Z192-$Z$344)/$Z$345</f>
        <v>-0.170467708662003</v>
      </c>
      <c r="AQ192" s="4" t="n">
        <f aca="false">(AE192-$AE$344)/$AE$345</f>
        <v>-0.637362428047469</v>
      </c>
    </row>
    <row r="193" customFormat="false" ht="14.25" hidden="false" customHeight="false" outlineLevel="0" collapsed="false">
      <c r="B193" s="1" t="n">
        <v>20</v>
      </c>
      <c r="C193" s="1" t="n">
        <v>1</v>
      </c>
      <c r="D193" s="2" t="n">
        <v>40</v>
      </c>
      <c r="E193" s="4" t="n">
        <v>2.8</v>
      </c>
      <c r="F193" s="1" t="n">
        <v>40</v>
      </c>
      <c r="G193" s="1" t="n">
        <v>50</v>
      </c>
      <c r="H193" s="3" t="n">
        <v>96.3869213691258</v>
      </c>
      <c r="I193" s="1" t="n">
        <v>350</v>
      </c>
      <c r="J193" s="39" t="n">
        <v>300</v>
      </c>
      <c r="K193" s="27" t="n">
        <v>182</v>
      </c>
      <c r="L193" s="39" t="n">
        <v>150</v>
      </c>
      <c r="M193" s="4" t="n">
        <v>0.21</v>
      </c>
      <c r="N193" s="26" t="n">
        <v>0.248951667618218</v>
      </c>
      <c r="O193" s="27" t="n">
        <v>294.147716938203</v>
      </c>
      <c r="P193" s="27" t="n">
        <v>95.4236856580713</v>
      </c>
      <c r="Q193" s="28" t="n">
        <v>0.0372614852949054</v>
      </c>
      <c r="R193" s="25" t="n">
        <v>1.18548413151532</v>
      </c>
      <c r="S193" s="29" t="n">
        <v>0.247217694744383</v>
      </c>
      <c r="T193" s="27" t="n">
        <v>294.147716938203</v>
      </c>
      <c r="U193" s="27" t="n">
        <v>154</v>
      </c>
      <c r="V193" s="28" t="n">
        <v>0.021</v>
      </c>
      <c r="W193" s="25" t="n">
        <f aca="false">(I193-H193)/(J193-H193)</f>
        <v>1.24556379352548</v>
      </c>
      <c r="X193" s="25" t="n">
        <f aca="false">0.5*(1+(I193-K193-L193)/(I193-K193))</f>
        <v>0.553571428571429</v>
      </c>
      <c r="Y193" s="25" t="n">
        <v>1.1772271178304</v>
      </c>
      <c r="Z193" s="26" t="n">
        <v>0.246941956006634</v>
      </c>
      <c r="AA193" s="27" t="n">
        <v>294.147716938203</v>
      </c>
      <c r="AB193" s="27" t="n">
        <v>95.4236856580713</v>
      </c>
      <c r="AC193" s="28" t="n">
        <v>0.0372614852949054</v>
      </c>
      <c r="AD193" s="25" t="n">
        <v>1.17591407622207</v>
      </c>
      <c r="AE193" s="4" t="n">
        <v>0.24829908193613</v>
      </c>
      <c r="AF193" s="25" t="n">
        <v>0.327353436123915</v>
      </c>
      <c r="AG193" s="26" t="n">
        <f aca="false">SMALL(AE193:AF193,1)</f>
        <v>0.24829908193613</v>
      </c>
      <c r="AH193" s="27" t="n">
        <v>306.045751336226</v>
      </c>
      <c r="AI193" s="28" t="n">
        <v>0.0196</v>
      </c>
      <c r="AJ193" s="25" t="n">
        <v>1.18237658064824</v>
      </c>
      <c r="AK193" s="29" t="n">
        <v>0.331927292026581</v>
      </c>
      <c r="AN193" s="4" t="n">
        <f aca="false">(N193-$N$344)/$N$345</f>
        <v>0.395491875812634</v>
      </c>
      <c r="AO193" s="4" t="n">
        <f aca="false">(S193-$S$344)/$S$345</f>
        <v>0.390409976332591</v>
      </c>
      <c r="AP193" s="4" t="n">
        <f aca="false">(Z193-$Z$344)/$Z$345</f>
        <v>0.321193673017946</v>
      </c>
      <c r="AQ193" s="4" t="n">
        <f aca="false">(AE193-$AE$344)/$AE$345</f>
        <v>-0.26798032709612</v>
      </c>
    </row>
    <row r="194" customFormat="false" ht="14.25" hidden="false" customHeight="false" outlineLevel="0" collapsed="false">
      <c r="A194" s="0" t="s">
        <v>63</v>
      </c>
      <c r="B194" s="1" t="n">
        <v>20</v>
      </c>
      <c r="C194" s="1" t="n">
        <v>1</v>
      </c>
      <c r="D194" s="2" t="n">
        <v>40</v>
      </c>
      <c r="E194" s="4" t="n">
        <v>2.8</v>
      </c>
      <c r="F194" s="1" t="n">
        <v>40</v>
      </c>
      <c r="G194" s="1" t="n">
        <v>50</v>
      </c>
      <c r="H194" s="3" t="n">
        <v>96.3869213691258</v>
      </c>
      <c r="I194" s="1" t="n">
        <v>350</v>
      </c>
      <c r="J194" s="39" t="n">
        <v>300</v>
      </c>
      <c r="K194" s="27" t="n">
        <v>182</v>
      </c>
      <c r="L194" s="39" t="n">
        <v>150</v>
      </c>
      <c r="M194" s="4" t="n">
        <v>0.21</v>
      </c>
      <c r="N194" s="26" t="n">
        <v>0.10198880690611</v>
      </c>
      <c r="O194" s="27" t="n">
        <v>154.303113397881</v>
      </c>
      <c r="P194" s="27" t="n">
        <v>95.4236856580713</v>
      </c>
      <c r="Q194" s="28" t="n">
        <v>0.0372614852949054</v>
      </c>
      <c r="R194" s="25" t="n">
        <v>0.485660985267191</v>
      </c>
      <c r="S194" s="29" t="n">
        <v>0.0760521663462533</v>
      </c>
      <c r="T194" s="27" t="n">
        <v>154.303113397881</v>
      </c>
      <c r="U194" s="27" t="n">
        <v>154</v>
      </c>
      <c r="V194" s="28" t="n">
        <v>0.021</v>
      </c>
      <c r="W194" s="25" t="n">
        <f aca="false">(I194-H194)/(J194-H194)</f>
        <v>1.24556379352548</v>
      </c>
      <c r="X194" s="25" t="n">
        <f aca="false">0.5*(1+(I194-K194-L194)/(I194-K194))</f>
        <v>0.553571428571429</v>
      </c>
      <c r="Y194" s="25" t="n">
        <v>0.362153173077397</v>
      </c>
      <c r="Z194" s="26" t="n">
        <v>0.101165482075826</v>
      </c>
      <c r="AA194" s="27" t="n">
        <v>154.303113397881</v>
      </c>
      <c r="AB194" s="27" t="n">
        <v>95.4236856580713</v>
      </c>
      <c r="AC194" s="28" t="n">
        <v>0.0372614852949054</v>
      </c>
      <c r="AD194" s="25" t="n">
        <v>0.481740390837266</v>
      </c>
      <c r="AE194" s="4" t="n">
        <v>0.130251976100258</v>
      </c>
      <c r="AF194" s="25" t="n">
        <v>0.0900814396013918</v>
      </c>
      <c r="AG194" s="26" t="n">
        <f aca="false">SMALL(AE194:AF194,1)</f>
        <v>0.0900814396013918</v>
      </c>
      <c r="AH194" s="27" t="n">
        <v>160.544548041807</v>
      </c>
      <c r="AI194" s="28" t="n">
        <v>0.0196</v>
      </c>
      <c r="AJ194" s="25" t="n">
        <v>0.428959236197104</v>
      </c>
      <c r="AK194" s="29" t="n">
        <v>0.105038976830534</v>
      </c>
      <c r="AN194" s="4" t="n">
        <f aca="false">(N194-$N$344)/$N$345</f>
        <v>-1.33342702631484</v>
      </c>
      <c r="AO194" s="4" t="n">
        <f aca="false">(S194-$S$344)/$S$345</f>
        <v>-1.67418070391064</v>
      </c>
      <c r="AP194" s="4" t="n">
        <f aca="false">(Z194-$Z$344)/$Z$345</f>
        <v>-1.65887605524942</v>
      </c>
      <c r="AQ194" s="4" t="n">
        <f aca="false">(AE194-$AE$344)/$AE$345</f>
        <v>-1.75559424901623</v>
      </c>
    </row>
    <row r="195" customFormat="false" ht="14.25" hidden="false" customHeight="false" outlineLevel="0" collapsed="false">
      <c r="B195" s="1" t="n">
        <v>20</v>
      </c>
      <c r="C195" s="1" t="n">
        <v>1</v>
      </c>
      <c r="D195" s="2" t="n">
        <v>40</v>
      </c>
      <c r="E195" s="4" t="n">
        <v>2.8</v>
      </c>
      <c r="F195" s="1" t="n">
        <v>40</v>
      </c>
      <c r="G195" s="1" t="n">
        <v>50</v>
      </c>
      <c r="H195" s="3" t="n">
        <v>96.3869213691258</v>
      </c>
      <c r="I195" s="1" t="n">
        <v>350</v>
      </c>
      <c r="J195" s="39" t="n">
        <v>300</v>
      </c>
      <c r="K195" s="27" t="n">
        <v>182</v>
      </c>
      <c r="L195" s="39" t="n">
        <v>150</v>
      </c>
      <c r="M195" s="4" t="n">
        <v>0.25</v>
      </c>
      <c r="N195" s="26" t="n">
        <v>0.13985042525906</v>
      </c>
      <c r="O195" s="27" t="n">
        <v>190.330875665896</v>
      </c>
      <c r="P195" s="27" t="n">
        <v>95.4236856580713</v>
      </c>
      <c r="Q195" s="28" t="n">
        <v>0.0372614852949054</v>
      </c>
      <c r="R195" s="25" t="n">
        <v>0.55940170103624</v>
      </c>
      <c r="S195" s="29" t="n">
        <v>0.120149048238653</v>
      </c>
      <c r="T195" s="27" t="n">
        <v>190.330875665896</v>
      </c>
      <c r="U195" s="27" t="n">
        <v>154</v>
      </c>
      <c r="V195" s="28" t="n">
        <v>0.021</v>
      </c>
      <c r="W195" s="25" t="n">
        <f aca="false">(I195-H195)/(J195-H195)</f>
        <v>1.24556379352548</v>
      </c>
      <c r="X195" s="25" t="n">
        <f aca="false">0.5*(1+(I195-K195-L195)/(I195-K195))</f>
        <v>0.553571428571429</v>
      </c>
      <c r="Y195" s="25" t="n">
        <v>0.480596192954612</v>
      </c>
      <c r="Z195" s="26" t="n">
        <v>0.138721455020712</v>
      </c>
      <c r="AA195" s="27" t="n">
        <v>190.330875665896</v>
      </c>
      <c r="AB195" s="27" t="n">
        <v>95.4236856580713</v>
      </c>
      <c r="AC195" s="28" t="n">
        <v>0.0372614852949054</v>
      </c>
      <c r="AD195" s="25" t="n">
        <v>0.554885820082848</v>
      </c>
      <c r="AE195" s="4" t="n">
        <v>0.160664111841025</v>
      </c>
      <c r="AF195" s="25" t="n">
        <v>0.137058013048421</v>
      </c>
      <c r="AG195" s="26" t="n">
        <f aca="false">SMALL(AE195:AF195,1)</f>
        <v>0.137058013048421</v>
      </c>
      <c r="AH195" s="27" t="n">
        <v>198.029603805793</v>
      </c>
      <c r="AI195" s="28" t="n">
        <v>0.0196</v>
      </c>
      <c r="AJ195" s="25" t="n">
        <v>0.548232052193684</v>
      </c>
      <c r="AK195" s="29" t="n">
        <v>0.163491559728498</v>
      </c>
      <c r="AN195" s="4" t="n">
        <f aca="false">(N195-$N$344)/$N$345</f>
        <v>-0.888010631190471</v>
      </c>
      <c r="AO195" s="4" t="n">
        <f aca="false">(S195-$S$344)/$S$345</f>
        <v>-1.14228615578018</v>
      </c>
      <c r="AP195" s="4" t="n">
        <f aca="false">(Z195-$Z$344)/$Z$345</f>
        <v>-1.14875639644156</v>
      </c>
      <c r="AQ195" s="4" t="n">
        <f aca="false">(AE195-$AE$344)/$AE$345</f>
        <v>-1.37234456065715</v>
      </c>
    </row>
    <row r="196" customFormat="false" ht="14.25" hidden="false" customHeight="false" outlineLevel="0" collapsed="false">
      <c r="B196" s="1" t="n">
        <v>20</v>
      </c>
      <c r="C196" s="1" t="n">
        <v>1</v>
      </c>
      <c r="D196" s="2" t="n">
        <v>40</v>
      </c>
      <c r="E196" s="4" t="n">
        <v>2.8</v>
      </c>
      <c r="F196" s="1" t="n">
        <v>40</v>
      </c>
      <c r="G196" s="1" t="n">
        <v>50</v>
      </c>
      <c r="H196" s="3" t="n">
        <v>96.3869213691258</v>
      </c>
      <c r="I196" s="1" t="n">
        <v>350</v>
      </c>
      <c r="J196" s="39" t="n">
        <v>300</v>
      </c>
      <c r="K196" s="27" t="n">
        <v>182</v>
      </c>
      <c r="L196" s="39" t="n">
        <v>150</v>
      </c>
      <c r="M196" s="4" t="n">
        <v>0.29</v>
      </c>
      <c r="N196" s="26" t="n">
        <v>0.175594782059378</v>
      </c>
      <c r="O196" s="27" t="n">
        <v>224.343927543924</v>
      </c>
      <c r="P196" s="27" t="n">
        <v>95.4236856580713</v>
      </c>
      <c r="Q196" s="28" t="n">
        <v>0.0372614852949054</v>
      </c>
      <c r="R196" s="25" t="n">
        <v>0.605499248480612</v>
      </c>
      <c r="S196" s="29" t="n">
        <v>0.161779986077859</v>
      </c>
      <c r="T196" s="27" t="n">
        <v>224.343927543924</v>
      </c>
      <c r="U196" s="27" t="n">
        <v>154</v>
      </c>
      <c r="V196" s="28" t="n">
        <v>0.021</v>
      </c>
      <c r="W196" s="25" t="n">
        <f aca="false">(I196-H196)/(J196-H196)</f>
        <v>1.24556379352548</v>
      </c>
      <c r="X196" s="25" t="n">
        <f aca="false">0.5*(1+(I196-K196-L196)/(I196-K196))</f>
        <v>0.553571428571429</v>
      </c>
      <c r="Y196" s="25" t="n">
        <v>0.557862020958135</v>
      </c>
      <c r="Z196" s="26" t="n">
        <v>0.174177258425917</v>
      </c>
      <c r="AA196" s="27" t="n">
        <v>224.343927543924</v>
      </c>
      <c r="AB196" s="27" t="n">
        <v>95.4236856580713</v>
      </c>
      <c r="AC196" s="28" t="n">
        <v>0.0372614852949054</v>
      </c>
      <c r="AD196" s="25" t="n">
        <v>0.600611235951438</v>
      </c>
      <c r="AE196" s="4" t="n">
        <v>0.189375568938394</v>
      </c>
      <c r="AF196" s="25" t="n">
        <v>0.190420884246479</v>
      </c>
      <c r="AG196" s="26" t="n">
        <f aca="false">SMALL(AE196:AF196,1)</f>
        <v>0.189375568938394</v>
      </c>
      <c r="AH196" s="27" t="n">
        <v>233.418455793503</v>
      </c>
      <c r="AI196" s="28" t="n">
        <v>0.0196</v>
      </c>
      <c r="AJ196" s="25" t="n">
        <v>0.653019203235842</v>
      </c>
      <c r="AK196" s="29" t="n">
        <v>0.218675412661774</v>
      </c>
      <c r="AN196" s="4" t="n">
        <f aca="false">(N196-$N$344)/$N$345</f>
        <v>-0.467502389740824</v>
      </c>
      <c r="AO196" s="4" t="n">
        <f aca="false">(S196-$S$344)/$S$345</f>
        <v>-0.640135710670175</v>
      </c>
      <c r="AP196" s="4" t="n">
        <f aca="false">(Z196-$Z$344)/$Z$345</f>
        <v>-0.667163165922292</v>
      </c>
      <c r="AQ196" s="4" t="n">
        <f aca="false">(AE196-$AE$344)/$AE$345</f>
        <v>-1.01052659829184</v>
      </c>
    </row>
    <row r="197" customFormat="false" ht="14.25" hidden="false" customHeight="false" outlineLevel="0" collapsed="false">
      <c r="B197" s="1" t="n">
        <v>20</v>
      </c>
      <c r="C197" s="1" t="n">
        <v>1</v>
      </c>
      <c r="D197" s="2" t="n">
        <v>40</v>
      </c>
      <c r="E197" s="4" t="n">
        <v>2.8</v>
      </c>
      <c r="F197" s="1" t="n">
        <v>40</v>
      </c>
      <c r="G197" s="1" t="n">
        <v>50</v>
      </c>
      <c r="H197" s="3" t="n">
        <v>96.3869213691258</v>
      </c>
      <c r="I197" s="1" t="n">
        <v>350</v>
      </c>
      <c r="J197" s="39" t="n">
        <v>300</v>
      </c>
      <c r="K197" s="27" t="n">
        <v>182</v>
      </c>
      <c r="L197" s="39" t="n">
        <v>150</v>
      </c>
      <c r="M197" s="4" t="n">
        <v>0.33</v>
      </c>
      <c r="N197" s="26" t="n">
        <v>0.211463683656909</v>
      </c>
      <c r="O197" s="27" t="n">
        <v>258.475491797833</v>
      </c>
      <c r="P197" s="27" t="n">
        <v>95.4236856580713</v>
      </c>
      <c r="Q197" s="28" t="n">
        <v>0.0372614852949054</v>
      </c>
      <c r="R197" s="25" t="n">
        <v>0.640799041384572</v>
      </c>
      <c r="S197" s="29" t="n">
        <v>0.203555979449606</v>
      </c>
      <c r="T197" s="27" t="n">
        <v>258.475491797833</v>
      </c>
      <c r="U197" s="27" t="n">
        <v>154</v>
      </c>
      <c r="V197" s="28" t="n">
        <v>0.021</v>
      </c>
      <c r="W197" s="25" t="n">
        <f aca="false">(I197-H197)/(J197-H197)</f>
        <v>1.24556379352548</v>
      </c>
      <c r="X197" s="25" t="n">
        <f aca="false">0.5*(1+(I197-K197-L197)/(I197-K197))</f>
        <v>0.553571428571429</v>
      </c>
      <c r="Y197" s="25" t="n">
        <v>0.616836301362443</v>
      </c>
      <c r="Z197" s="26" t="n">
        <v>0.209756601215809</v>
      </c>
      <c r="AA197" s="27" t="n">
        <v>258.475491797833</v>
      </c>
      <c r="AB197" s="27" t="n">
        <v>95.4236856580713</v>
      </c>
      <c r="AC197" s="28" t="n">
        <v>0.0372614852949054</v>
      </c>
      <c r="AD197" s="25" t="n">
        <v>0.635626064290331</v>
      </c>
      <c r="AE197" s="4" t="n">
        <v>0.218187065955963</v>
      </c>
      <c r="AF197" s="25" t="n">
        <v>0.252769506631506</v>
      </c>
      <c r="AG197" s="26" t="n">
        <f aca="false">SMALL(AE197:AF197,1)</f>
        <v>0.218187065955963</v>
      </c>
      <c r="AH197" s="27" t="n">
        <v>268.930613885701</v>
      </c>
      <c r="AI197" s="28" t="n">
        <v>0.0196</v>
      </c>
      <c r="AJ197" s="25" t="n">
        <v>0.661172927139282</v>
      </c>
      <c r="AK197" s="29" t="n">
        <v>0.274051543828267</v>
      </c>
      <c r="AN197" s="4" t="n">
        <f aca="false">(N197-$N$344)/$N$345</f>
        <v>-0.0455289627808992</v>
      </c>
      <c r="AO197" s="4" t="n">
        <f aca="false">(S197-$S$344)/$S$345</f>
        <v>-0.136235612441319</v>
      </c>
      <c r="AP197" s="4" t="n">
        <f aca="false">(Z197-$Z$344)/$Z$345</f>
        <v>-0.183891910209579</v>
      </c>
      <c r="AQ197" s="4" t="n">
        <f aca="false">(AE197-$AE$344)/$AE$345</f>
        <v>-0.647447946162183</v>
      </c>
    </row>
    <row r="198" customFormat="false" ht="14.25" hidden="false" customHeight="false" outlineLevel="0" collapsed="false">
      <c r="B198" s="1" t="n">
        <v>20</v>
      </c>
      <c r="C198" s="1" t="n">
        <v>1</v>
      </c>
      <c r="D198" s="2" t="n">
        <v>40</v>
      </c>
      <c r="E198" s="4" t="n">
        <v>2.8</v>
      </c>
      <c r="F198" s="1" t="n">
        <v>40</v>
      </c>
      <c r="G198" s="1" t="n">
        <v>50</v>
      </c>
      <c r="H198" s="3" t="n">
        <v>96.3869213691258</v>
      </c>
      <c r="I198" s="1" t="n">
        <v>350</v>
      </c>
      <c r="J198" s="39" t="n">
        <v>300</v>
      </c>
      <c r="K198" s="27" t="n">
        <v>182</v>
      </c>
      <c r="L198" s="39" t="n">
        <v>150</v>
      </c>
      <c r="M198" s="4" t="n">
        <v>0.37</v>
      </c>
      <c r="N198" s="26" t="n">
        <v>0.262153416122864</v>
      </c>
      <c r="O198" s="27" t="n">
        <v>306.710028781656</v>
      </c>
      <c r="P198" s="27" t="n">
        <v>95.4236856580713</v>
      </c>
      <c r="Q198" s="28" t="n">
        <v>0.0372614852949054</v>
      </c>
      <c r="R198" s="25" t="n">
        <v>0.708522746278012</v>
      </c>
      <c r="S198" s="29" t="n">
        <v>0.262593581193707</v>
      </c>
      <c r="T198" s="27" t="n">
        <v>306.710028781656</v>
      </c>
      <c r="U198" s="27" t="n">
        <v>154</v>
      </c>
      <c r="V198" s="28" t="n">
        <v>0.021</v>
      </c>
      <c r="W198" s="25" t="n">
        <f aca="false">(I198-H198)/(J198-H198)</f>
        <v>1.24556379352548</v>
      </c>
      <c r="X198" s="25" t="n">
        <f aca="false">0.5*(1+(I198-K198-L198)/(I198-K198))</f>
        <v>0.553571428571429</v>
      </c>
      <c r="Y198" s="25" t="n">
        <v>0.709712381604613</v>
      </c>
      <c r="Z198" s="26" t="n">
        <v>0.260037130783469</v>
      </c>
      <c r="AA198" s="27" t="n">
        <v>306.710028781656</v>
      </c>
      <c r="AB198" s="27" t="n">
        <v>95.4236856580713</v>
      </c>
      <c r="AC198" s="28" t="n">
        <v>0.0372614852949054</v>
      </c>
      <c r="AD198" s="25" t="n">
        <v>0.702803056171539</v>
      </c>
      <c r="AE198" s="4" t="n">
        <v>0.258903313477319</v>
      </c>
      <c r="AF198" s="25" t="n">
        <v>0.355911395679567</v>
      </c>
      <c r="AG198" s="26" t="n">
        <f aca="false">SMALL(AE198:AF198,1)</f>
        <v>0.258903313477319</v>
      </c>
      <c r="AH198" s="27" t="n">
        <v>319.116198411826</v>
      </c>
      <c r="AI198" s="28" t="n">
        <v>0.0196</v>
      </c>
      <c r="AJ198" s="25" t="n">
        <v>0.699738685073834</v>
      </c>
      <c r="AK198" s="29" t="n">
        <v>0.352308784747582</v>
      </c>
      <c r="AN198" s="4" t="n">
        <f aca="false">(N198-$N$344)/$N$345</f>
        <v>0.55080153990205</v>
      </c>
      <c r="AO198" s="4" t="n">
        <f aca="false">(S198-$S$344)/$S$345</f>
        <v>0.575873206930712</v>
      </c>
      <c r="AP198" s="4" t="n">
        <f aca="false">(Z198-$Z$344)/$Z$345</f>
        <v>0.499064343523319</v>
      </c>
      <c r="AQ198" s="4" t="n">
        <f aca="false">(AE198-$AE$344)/$AE$345</f>
        <v>-0.134347212076179</v>
      </c>
    </row>
    <row r="199" customFormat="false" ht="14.25" hidden="false" customHeight="false" outlineLevel="0" collapsed="false">
      <c r="A199" s="0" t="s">
        <v>64</v>
      </c>
      <c r="B199" s="1" t="n">
        <v>20</v>
      </c>
      <c r="C199" s="1" t="n">
        <v>6</v>
      </c>
      <c r="D199" s="2" t="n">
        <v>84</v>
      </c>
      <c r="E199" s="4" t="n">
        <v>3.50882128585544</v>
      </c>
      <c r="F199" s="1" t="n">
        <v>50</v>
      </c>
      <c r="G199" s="1" t="n">
        <v>64</v>
      </c>
      <c r="H199" s="3" t="n">
        <v>96.251010941285</v>
      </c>
      <c r="I199" s="1" t="n">
        <v>400</v>
      </c>
      <c r="J199" s="39" t="n">
        <v>336</v>
      </c>
      <c r="K199" s="27" t="n">
        <v>205</v>
      </c>
      <c r="L199" s="39" t="n">
        <v>164</v>
      </c>
      <c r="M199" s="4" t="n">
        <v>0.15</v>
      </c>
      <c r="N199" s="26" t="n">
        <v>0.13165888294921</v>
      </c>
      <c r="O199" s="27" t="n">
        <v>179.888040262956</v>
      </c>
      <c r="P199" s="27" t="n">
        <v>134.732486106954</v>
      </c>
      <c r="Q199" s="28" t="n">
        <v>0.0310124488946994</v>
      </c>
      <c r="R199" s="25" t="n">
        <v>0.877725886328068</v>
      </c>
      <c r="S199" s="29" t="n">
        <v>0.111129674723574</v>
      </c>
      <c r="T199" s="27" t="n">
        <v>179.888040262956</v>
      </c>
      <c r="U199" s="27" t="n">
        <v>205</v>
      </c>
      <c r="V199" s="28" t="n">
        <v>0.0191463414634146</v>
      </c>
      <c r="W199" s="25" t="n">
        <f aca="false">(I199-H199)/(J199-H199)</f>
        <v>1.26694585971466</v>
      </c>
      <c r="X199" s="25" t="n">
        <f aca="false">0.5*(1+(I199-K199-L199)/(I199-K199))</f>
        <v>0.579487179487179</v>
      </c>
      <c r="Y199" s="25" t="n">
        <v>0.740864498157161</v>
      </c>
      <c r="Z199" s="26" t="n">
        <v>0.143722008779929</v>
      </c>
      <c r="AA199" s="27" t="n">
        <v>179.888040262956</v>
      </c>
      <c r="AB199" s="27" t="n">
        <v>134.732486106954</v>
      </c>
      <c r="AC199" s="28" t="n">
        <v>0.0310124488946994</v>
      </c>
      <c r="AD199" s="25" t="n">
        <v>0.958146725199527</v>
      </c>
      <c r="AE199" s="4" t="n">
        <v>0.185534235736366</v>
      </c>
      <c r="AF199" s="25" t="n">
        <v>0.102644145640501</v>
      </c>
      <c r="AG199" s="26" t="n">
        <f aca="false">SMALL(AE199:AF199,1)</f>
        <v>0.102644145640501</v>
      </c>
      <c r="AH199" s="27" t="n">
        <v>188.290324676688</v>
      </c>
      <c r="AI199" s="28" t="n">
        <v>0.0163</v>
      </c>
      <c r="AJ199" s="25" t="n">
        <v>0.684294304270004</v>
      </c>
      <c r="AK199" s="29" t="n">
        <v>0.107708529907287</v>
      </c>
      <c r="AN199" s="4" t="n">
        <f aca="false">(N199-$N$344)/$N$345</f>
        <v>-0.984378599726547</v>
      </c>
      <c r="AO199" s="4" t="n">
        <f aca="false">(S199-$S$344)/$S$345</f>
        <v>-1.25107742161001</v>
      </c>
      <c r="AP199" s="4" t="n">
        <f aca="false">(Z199-$Z$344)/$Z$345</f>
        <v>-1.08083429038281</v>
      </c>
      <c r="AQ199" s="4" t="n">
        <f aca="false">(AE199-$AE$344)/$AE$345</f>
        <v>-1.05893456822561</v>
      </c>
    </row>
    <row r="200" customFormat="false" ht="14.25" hidden="false" customHeight="false" outlineLevel="0" collapsed="false">
      <c r="B200" s="1" t="n">
        <v>20</v>
      </c>
      <c r="C200" s="1" t="n">
        <v>6</v>
      </c>
      <c r="D200" s="2" t="n">
        <v>84</v>
      </c>
      <c r="E200" s="4" t="n">
        <v>3.50882128585544</v>
      </c>
      <c r="F200" s="1" t="n">
        <v>50</v>
      </c>
      <c r="G200" s="1" t="n">
        <v>64</v>
      </c>
      <c r="H200" s="3" t="n">
        <v>96.251010941285</v>
      </c>
      <c r="I200" s="1" t="n">
        <v>400</v>
      </c>
      <c r="J200" s="39" t="n">
        <v>336</v>
      </c>
      <c r="K200" s="27" t="n">
        <v>205</v>
      </c>
      <c r="L200" s="39" t="n">
        <v>164</v>
      </c>
      <c r="M200" s="4" t="n">
        <v>0.23</v>
      </c>
      <c r="N200" s="26" t="n">
        <v>0.19201766444682</v>
      </c>
      <c r="O200" s="27" t="n">
        <v>225.296671785643</v>
      </c>
      <c r="P200" s="27" t="n">
        <v>134.732486106954</v>
      </c>
      <c r="Q200" s="28" t="n">
        <v>0.0310124488946994</v>
      </c>
      <c r="R200" s="25" t="n">
        <v>0.834859410638349</v>
      </c>
      <c r="S200" s="29" t="n">
        <v>0.158125712265201</v>
      </c>
      <c r="T200" s="27" t="n">
        <v>225.296671785643</v>
      </c>
      <c r="U200" s="27" t="n">
        <v>205</v>
      </c>
      <c r="V200" s="28" t="n">
        <v>0.0191463414634146</v>
      </c>
      <c r="W200" s="25" t="n">
        <f aca="false">(I200-H200)/(J200-H200)</f>
        <v>1.26694585971466</v>
      </c>
      <c r="X200" s="25" t="n">
        <f aca="false">0.5*(1+(I200-K200-L200)/(I200-K200))</f>
        <v>0.579487179487179</v>
      </c>
      <c r="Y200" s="25" t="n">
        <v>0.687503096805223</v>
      </c>
      <c r="Z200" s="26" t="n">
        <v>0.192357387771054</v>
      </c>
      <c r="AA200" s="27" t="n">
        <v>225.296671785643</v>
      </c>
      <c r="AB200" s="27" t="n">
        <v>134.732486106954</v>
      </c>
      <c r="AC200" s="28" t="n">
        <v>0.0310124488946994</v>
      </c>
      <c r="AD200" s="25" t="n">
        <v>0.8363364685698</v>
      </c>
      <c r="AE200" s="4" t="n">
        <v>0.232368120485351</v>
      </c>
      <c r="AF200" s="25" t="n">
        <v>0.161004922952547</v>
      </c>
      <c r="AG200" s="26" t="n">
        <f aca="false">SMALL(AE200:AF200,1)</f>
        <v>0.161004922952547</v>
      </c>
      <c r="AH200" s="27" t="n">
        <v>235.819921197017</v>
      </c>
      <c r="AI200" s="28" t="n">
        <v>0.0163</v>
      </c>
      <c r="AJ200" s="25" t="n">
        <v>0.700021404141508</v>
      </c>
      <c r="AK200" s="29" t="n">
        <v>0.20022744028347</v>
      </c>
      <c r="AN200" s="4" t="n">
        <f aca="false">(N200-$N$344)/$N$345</f>
        <v>-0.274298258782266</v>
      </c>
      <c r="AO200" s="4" t="n">
        <f aca="false">(S200-$S$344)/$S$345</f>
        <v>-0.684213392241209</v>
      </c>
      <c r="AP200" s="4" t="n">
        <f aca="false">(Z200-$Z$344)/$Z$345</f>
        <v>-0.420223980183877</v>
      </c>
      <c r="AQ200" s="4" t="n">
        <f aca="false">(AE200-$AE$344)/$AE$345</f>
        <v>-0.468740183730825</v>
      </c>
    </row>
    <row r="201" customFormat="false" ht="14.25" hidden="false" customHeight="false" outlineLevel="0" collapsed="false">
      <c r="B201" s="1" t="n">
        <v>20</v>
      </c>
      <c r="C201" s="1" t="n">
        <v>6</v>
      </c>
      <c r="D201" s="2" t="n">
        <v>84</v>
      </c>
      <c r="E201" s="4" t="n">
        <v>3.50882128585544</v>
      </c>
      <c r="F201" s="1" t="n">
        <v>50</v>
      </c>
      <c r="G201" s="1" t="n">
        <v>64</v>
      </c>
      <c r="H201" s="3" t="n">
        <v>96.251010941285</v>
      </c>
      <c r="I201" s="1" t="n">
        <v>400</v>
      </c>
      <c r="J201" s="39" t="n">
        <v>336</v>
      </c>
      <c r="K201" s="27" t="n">
        <v>205</v>
      </c>
      <c r="L201" s="39" t="n">
        <v>164</v>
      </c>
      <c r="M201" s="4" t="n">
        <v>0.28</v>
      </c>
      <c r="N201" s="26" t="n">
        <v>0.252376445944431</v>
      </c>
      <c r="O201" s="27" t="n">
        <v>270.705303308331</v>
      </c>
      <c r="P201" s="27" t="n">
        <v>134.732486106954</v>
      </c>
      <c r="Q201" s="28" t="n">
        <v>0.0310124488946994</v>
      </c>
      <c r="R201" s="25" t="n">
        <v>0.901344449801538</v>
      </c>
      <c r="S201" s="29" t="n">
        <v>0.228256089517942</v>
      </c>
      <c r="T201" s="27" t="n">
        <v>270.705303308331</v>
      </c>
      <c r="U201" s="27" t="n">
        <v>205</v>
      </c>
      <c r="V201" s="28" t="n">
        <v>0.0191463414634146</v>
      </c>
      <c r="W201" s="25" t="n">
        <f aca="false">(I201-H201)/(J201-H201)</f>
        <v>1.26694585971466</v>
      </c>
      <c r="X201" s="25" t="n">
        <f aca="false">0.5*(1+(I201-K201-L201)/(I201-K201))</f>
        <v>0.579487179487179</v>
      </c>
      <c r="Y201" s="25" t="n">
        <v>0.815200319706936</v>
      </c>
      <c r="Z201" s="26" t="n">
        <v>0.252822957807917</v>
      </c>
      <c r="AA201" s="27" t="n">
        <v>270.705303308331</v>
      </c>
      <c r="AB201" s="27" t="n">
        <v>134.732486106954</v>
      </c>
      <c r="AC201" s="28" t="n">
        <v>0.0310124488946994</v>
      </c>
      <c r="AD201" s="25" t="n">
        <v>0.902939135028276</v>
      </c>
      <c r="AE201" s="4" t="n">
        <v>0.279202005234337</v>
      </c>
      <c r="AF201" s="25" t="n">
        <v>0.23244656414488</v>
      </c>
      <c r="AG201" s="26" t="n">
        <f aca="false">SMALL(AE201:AF201,1)</f>
        <v>0.23244656414488</v>
      </c>
      <c r="AH201" s="27" t="n">
        <v>283.349517717345</v>
      </c>
      <c r="AI201" s="28" t="n">
        <v>0.0163</v>
      </c>
      <c r="AJ201" s="25" t="n">
        <v>0.830166300517427</v>
      </c>
      <c r="AK201" s="29" t="n">
        <v>0.292746350659653</v>
      </c>
      <c r="AN201" s="4" t="n">
        <f aca="false">(N201-$N$344)/$N$345</f>
        <v>0.435782082162016</v>
      </c>
      <c r="AO201" s="4" t="n">
        <f aca="false">(S201-$S$344)/$S$345</f>
        <v>0.161695971828692</v>
      </c>
      <c r="AP201" s="4" t="n">
        <f aca="false">(Z201-$Z$344)/$Z$345</f>
        <v>0.401074831648071</v>
      </c>
      <c r="AQ201" s="4" t="n">
        <f aca="false">(AE201-$AE$344)/$AE$345</f>
        <v>0.121454200763957</v>
      </c>
    </row>
    <row r="202" customFormat="false" ht="14.25" hidden="false" customHeight="false" outlineLevel="0" collapsed="false">
      <c r="A202" s="0" t="s">
        <v>65</v>
      </c>
      <c r="B202" s="1" t="n">
        <v>20</v>
      </c>
      <c r="C202" s="1" t="n">
        <v>9</v>
      </c>
      <c r="D202" s="2" t="n">
        <v>45</v>
      </c>
      <c r="E202" s="4" t="n">
        <v>3.50882128585544</v>
      </c>
      <c r="F202" s="1" t="n">
        <v>50</v>
      </c>
      <c r="G202" s="1" t="n">
        <v>64</v>
      </c>
      <c r="H202" s="3" t="n">
        <v>113.550333982961</v>
      </c>
      <c r="I202" s="1" t="n">
        <v>400</v>
      </c>
      <c r="J202" s="39" t="n">
        <v>336</v>
      </c>
      <c r="K202" s="27" t="n">
        <v>208</v>
      </c>
      <c r="L202" s="39" t="n">
        <v>164</v>
      </c>
      <c r="M202" s="4" t="n">
        <v>0.18</v>
      </c>
      <c r="N202" s="26" t="n">
        <v>0.122720959724115</v>
      </c>
      <c r="O202" s="27" t="n">
        <v>176.839573733521</v>
      </c>
      <c r="P202" s="27" t="n">
        <v>92.7225291287049</v>
      </c>
      <c r="Q202" s="28" t="n">
        <v>0.0493280379637779</v>
      </c>
      <c r="R202" s="25" t="n">
        <v>0.681783109578416</v>
      </c>
      <c r="S202" s="29" t="n">
        <v>0.117948216713536</v>
      </c>
      <c r="T202" s="27" t="n">
        <v>176.839573733521</v>
      </c>
      <c r="U202" s="27" t="n">
        <v>144</v>
      </c>
      <c r="V202" s="28" t="n">
        <v>0.028719512195122</v>
      </c>
      <c r="W202" s="25" t="n">
        <f aca="false">(I202-H202)/(J202-H202)</f>
        <v>1.28770553422678</v>
      </c>
      <c r="X202" s="25" t="n">
        <f aca="false">0.5*(1+(I202-K202-L202)/(I202-K202))</f>
        <v>0.572916666666667</v>
      </c>
      <c r="Y202" s="25" t="n">
        <v>0.655267870630753</v>
      </c>
      <c r="Z202" s="26" t="n">
        <v>0.13790150792585</v>
      </c>
      <c r="AA202" s="27" t="n">
        <v>176.839573733521</v>
      </c>
      <c r="AB202" s="27" t="n">
        <v>92.7225291287049</v>
      </c>
      <c r="AC202" s="28" t="n">
        <v>0.0493280379637779</v>
      </c>
      <c r="AD202" s="25" t="n">
        <v>0.766119488476944</v>
      </c>
      <c r="AE202" s="4" t="n">
        <v>0.150581080168074</v>
      </c>
      <c r="AF202" s="25" t="n">
        <v>0.100352810571405</v>
      </c>
      <c r="AG202" s="26" t="n">
        <f aca="false">SMALL(AE202:AF202,1)</f>
        <v>0.100352810571405</v>
      </c>
      <c r="AH202" s="27" t="n">
        <v>186.176851840473</v>
      </c>
      <c r="AI202" s="28" t="n">
        <v>0.0206</v>
      </c>
      <c r="AJ202" s="25" t="n">
        <v>0.557515614285581</v>
      </c>
      <c r="AK202" s="29" t="n">
        <v>0.149717132599541</v>
      </c>
      <c r="AN202" s="4" t="n">
        <f aca="false">(N202-$N$344)/$N$345</f>
        <v>-1.08952723615587</v>
      </c>
      <c r="AO202" s="4" t="n">
        <f aca="false">(S202-$S$344)/$S$345</f>
        <v>-1.16883248375911</v>
      </c>
      <c r="AP202" s="4" t="n">
        <f aca="false">(Z202-$Z$344)/$Z$345</f>
        <v>-1.15989366967598</v>
      </c>
      <c r="AQ202" s="4" t="n">
        <f aca="false">(AE202-$AE$344)/$AE$345</f>
        <v>-1.49940958428169</v>
      </c>
    </row>
    <row r="203" customFormat="false" ht="14.25" hidden="false" customHeight="false" outlineLevel="0" collapsed="false">
      <c r="B203" s="1" t="n">
        <v>20</v>
      </c>
      <c r="C203" s="1" t="n">
        <v>9</v>
      </c>
      <c r="D203" s="2" t="n">
        <v>45</v>
      </c>
      <c r="E203" s="4" t="n">
        <v>3.50882128585544</v>
      </c>
      <c r="F203" s="1" t="n">
        <v>50</v>
      </c>
      <c r="G203" s="1" t="n">
        <v>64</v>
      </c>
      <c r="H203" s="3" t="n">
        <v>113.550333982961</v>
      </c>
      <c r="I203" s="1" t="n">
        <v>400</v>
      </c>
      <c r="J203" s="39" t="n">
        <v>336</v>
      </c>
      <c r="K203" s="27" t="n">
        <v>208</v>
      </c>
      <c r="L203" s="39" t="n">
        <v>164</v>
      </c>
      <c r="M203" s="4" t="n">
        <v>0.26</v>
      </c>
      <c r="N203" s="26" t="n">
        <v>0.167182994846346</v>
      </c>
      <c r="O203" s="27" t="n">
        <v>220.752756472718</v>
      </c>
      <c r="P203" s="27" t="n">
        <v>92.7225291287049</v>
      </c>
      <c r="Q203" s="28" t="n">
        <v>0.0493280379637779</v>
      </c>
      <c r="R203" s="25" t="n">
        <v>0.643011518639792</v>
      </c>
      <c r="S203" s="29" t="n">
        <v>0.175129396940842</v>
      </c>
      <c r="T203" s="27" t="n">
        <v>220.752756472718</v>
      </c>
      <c r="U203" s="27" t="n">
        <v>144</v>
      </c>
      <c r="V203" s="28" t="n">
        <v>0.028719512195122</v>
      </c>
      <c r="W203" s="25" t="n">
        <f aca="false">(I203-H203)/(J203-H203)</f>
        <v>1.28770553422678</v>
      </c>
      <c r="X203" s="25" t="n">
        <f aca="false">0.5*(1+(I203-K203-L203)/(I203-K203))</f>
        <v>0.572916666666667</v>
      </c>
      <c r="Y203" s="25" t="n">
        <v>0.673574603618623</v>
      </c>
      <c r="Z203" s="26" t="n">
        <v>0.187863484287439</v>
      </c>
      <c r="AA203" s="27" t="n">
        <v>220.752756472718</v>
      </c>
      <c r="AB203" s="27" t="n">
        <v>92.7225291287049</v>
      </c>
      <c r="AC203" s="28" t="n">
        <v>0.0493280379637779</v>
      </c>
      <c r="AD203" s="25" t="n">
        <v>0.722551862643996</v>
      </c>
      <c r="AE203" s="4" t="n">
        <v>0.187973697391018</v>
      </c>
      <c r="AF203" s="25" t="n">
        <v>0.156380606032535</v>
      </c>
      <c r="AG203" s="26" t="n">
        <f aca="false">SMALL(AE203:AF203,1)</f>
        <v>0.156380606032535</v>
      </c>
      <c r="AH203" s="27" t="n">
        <v>232.408687532403</v>
      </c>
      <c r="AI203" s="28" t="n">
        <v>0.0206</v>
      </c>
      <c r="AJ203" s="25" t="n">
        <v>0.601463869355904</v>
      </c>
      <c r="AK203" s="29" t="n">
        <v>0.222349000166483</v>
      </c>
      <c r="AN203" s="4" t="n">
        <f aca="false">(N203-$N$344)/$N$345</f>
        <v>-0.566461390966133</v>
      </c>
      <c r="AO203" s="4" t="n">
        <f aca="false">(S203-$S$344)/$S$345</f>
        <v>-0.479115734788435</v>
      </c>
      <c r="AP203" s="4" t="n">
        <f aca="false">(Z203-$Z$344)/$Z$345</f>
        <v>-0.481264297662573</v>
      </c>
      <c r="AQ203" s="4" t="n">
        <f aca="false">(AE203-$AE$344)/$AE$345</f>
        <v>-1.02819279701694</v>
      </c>
    </row>
    <row r="204" customFormat="false" ht="14.25" hidden="false" customHeight="false" outlineLevel="0" collapsed="false">
      <c r="B204" s="1" t="n">
        <v>20</v>
      </c>
      <c r="C204" s="1" t="n">
        <v>9</v>
      </c>
      <c r="D204" s="2" t="n">
        <v>45</v>
      </c>
      <c r="E204" s="4" t="n">
        <v>3.50882128585544</v>
      </c>
      <c r="F204" s="1" t="n">
        <v>50</v>
      </c>
      <c r="G204" s="1" t="n">
        <v>64</v>
      </c>
      <c r="H204" s="3" t="n">
        <v>113.550333982961</v>
      </c>
      <c r="I204" s="1" t="n">
        <v>400</v>
      </c>
      <c r="J204" s="39" t="n">
        <v>336</v>
      </c>
      <c r="K204" s="27" t="n">
        <v>208</v>
      </c>
      <c r="L204" s="39" t="n">
        <v>164</v>
      </c>
      <c r="M204" s="4" t="n">
        <v>0.34</v>
      </c>
      <c r="N204" s="26" t="n">
        <v>0.211645029968577</v>
      </c>
      <c r="O204" s="27" t="n">
        <v>264.665939211914</v>
      </c>
      <c r="P204" s="27" t="n">
        <v>92.7225291287049</v>
      </c>
      <c r="Q204" s="28" t="n">
        <v>0.0493280379637779</v>
      </c>
      <c r="R204" s="25" t="n">
        <v>0.622485382260521</v>
      </c>
      <c r="S204" s="29" t="n">
        <v>0.232310577168148</v>
      </c>
      <c r="T204" s="27" t="n">
        <v>264.665939211914</v>
      </c>
      <c r="U204" s="27" t="n">
        <v>144</v>
      </c>
      <c r="V204" s="28" t="n">
        <v>0.028719512195122</v>
      </c>
      <c r="W204" s="25" t="n">
        <f aca="false">(I204-H204)/(J204-H204)</f>
        <v>1.28770553422678</v>
      </c>
      <c r="X204" s="25" t="n">
        <f aca="false">0.5*(1+(I204-K204-L204)/(I204-K204))</f>
        <v>0.572916666666667</v>
      </c>
      <c r="Y204" s="25" t="n">
        <v>0.683266403435731</v>
      </c>
      <c r="Z204" s="26" t="n">
        <v>0.237825460649028</v>
      </c>
      <c r="AA204" s="27" t="n">
        <v>264.665939211914</v>
      </c>
      <c r="AB204" s="27" t="n">
        <v>92.7225291287049</v>
      </c>
      <c r="AC204" s="28" t="n">
        <v>0.0493280379637779</v>
      </c>
      <c r="AD204" s="25" t="n">
        <v>0.69948664896773</v>
      </c>
      <c r="AE204" s="4" t="n">
        <v>0.225366314613963</v>
      </c>
      <c r="AF204" s="25" t="n">
        <v>0.224784690640303</v>
      </c>
      <c r="AG204" s="26" t="n">
        <f aca="false">SMALL(AE204:AF204,1)</f>
        <v>0.224784690640303</v>
      </c>
      <c r="AH204" s="27" t="n">
        <v>278.640523224332</v>
      </c>
      <c r="AI204" s="28" t="n">
        <v>0.0206</v>
      </c>
      <c r="AJ204" s="25" t="n">
        <v>0.661131443059716</v>
      </c>
      <c r="AK204" s="29" t="n">
        <v>0.294980867733425</v>
      </c>
      <c r="AN204" s="4" t="n">
        <f aca="false">(N204-$N$344)/$N$345</f>
        <v>-0.0433955457763913</v>
      </c>
      <c r="AO204" s="4" t="n">
        <f aca="false">(S204-$S$344)/$S$345</f>
        <v>0.210601014182236</v>
      </c>
      <c r="AP204" s="4" t="n">
        <f aca="false">(Z204-$Z$344)/$Z$345</f>
        <v>0.19736507435083</v>
      </c>
      <c r="AQ204" s="4" t="n">
        <f aca="false">(AE204-$AE$344)/$AE$345</f>
        <v>-0.556976009752186</v>
      </c>
    </row>
    <row r="205" customFormat="false" ht="14.25" hidden="false" customHeight="false" outlineLevel="0" collapsed="false">
      <c r="A205" s="0" t="s">
        <v>66</v>
      </c>
      <c r="B205" s="1" t="n">
        <v>16</v>
      </c>
      <c r="C205" s="1" t="n">
        <v>2</v>
      </c>
      <c r="D205" s="2" t="n">
        <v>52</v>
      </c>
      <c r="E205" s="4" t="n">
        <v>3.42</v>
      </c>
      <c r="F205" s="1" t="n">
        <v>27</v>
      </c>
      <c r="G205" s="1" t="n">
        <v>35</v>
      </c>
      <c r="H205" s="3" t="n">
        <v>69.8404266407112</v>
      </c>
      <c r="I205" s="1" t="n">
        <v>235</v>
      </c>
      <c r="J205" s="39" t="n">
        <v>200</v>
      </c>
      <c r="K205" s="27" t="n">
        <v>123</v>
      </c>
      <c r="L205" s="39" t="n">
        <v>115</v>
      </c>
      <c r="M205" s="4" t="n">
        <v>0.15</v>
      </c>
      <c r="N205" s="26" t="n">
        <v>0.129477989251275</v>
      </c>
      <c r="O205" s="27" t="n">
        <v>234.722345423214</v>
      </c>
      <c r="P205" s="27" t="n">
        <v>94.1655129923692</v>
      </c>
      <c r="Q205" s="28" t="n">
        <v>0.0486801935635287</v>
      </c>
      <c r="R205" s="25" t="n">
        <v>0.863186595008498</v>
      </c>
      <c r="S205" s="29" t="n">
        <v>0.117527781949306</v>
      </c>
      <c r="T205" s="27" t="n">
        <v>234.722345423214</v>
      </c>
      <c r="U205" s="27" t="n">
        <v>171</v>
      </c>
      <c r="V205" s="28" t="n">
        <v>0.023304347826087</v>
      </c>
      <c r="W205" s="25" t="n">
        <f aca="false">(I205-H205)/(J205-H205)</f>
        <v>1.26890069701894</v>
      </c>
      <c r="X205" s="25" t="n">
        <f aca="false">0.5*(1+(I205-K205-L205)/(I205-K205))</f>
        <v>0.486607142857143</v>
      </c>
      <c r="Y205" s="25" t="n">
        <v>0.783518546328709</v>
      </c>
      <c r="Z205" s="26" t="n">
        <v>0.13159532895532</v>
      </c>
      <c r="AA205" s="27" t="n">
        <v>234.722345423214</v>
      </c>
      <c r="AB205" s="27" t="n">
        <v>94.1655129923692</v>
      </c>
      <c r="AC205" s="28" t="n">
        <v>0.0486801935635287</v>
      </c>
      <c r="AD205" s="25" t="n">
        <v>0.877302193035469</v>
      </c>
      <c r="AE205" s="4" t="n">
        <v>0.179901478557426</v>
      </c>
      <c r="AF205" s="25" t="n">
        <v>0.150210926096571</v>
      </c>
      <c r="AG205" s="26" t="n">
        <f aca="false">SMALL(AE205:AF205,1)</f>
        <v>0.150210926096571</v>
      </c>
      <c r="AH205" s="27" t="n">
        <v>245.360393553323</v>
      </c>
      <c r="AI205" s="28" t="n">
        <v>0.0188</v>
      </c>
      <c r="AJ205" s="25" t="n">
        <v>1.00140617397714</v>
      </c>
      <c r="AK205" s="29" t="n">
        <v>0.168142033866659</v>
      </c>
      <c r="AN205" s="4" t="n">
        <f aca="false">(N205-$N$344)/$N$345</f>
        <v>-1.01003534265888</v>
      </c>
      <c r="AO205" s="4" t="n">
        <f aca="false">(S205-$S$344)/$S$345</f>
        <v>-1.17390374842321</v>
      </c>
      <c r="AP205" s="4" t="n">
        <f aca="false">(Z205-$Z$344)/$Z$345</f>
        <v>-1.24554997445468</v>
      </c>
      <c r="AQ205" s="4" t="n">
        <f aca="false">(AE205-$AE$344)/$AE$345</f>
        <v>-1.12991782477267</v>
      </c>
    </row>
    <row r="206" customFormat="false" ht="14.25" hidden="false" customHeight="false" outlineLevel="0" collapsed="false">
      <c r="B206" s="1" t="n">
        <v>16</v>
      </c>
      <c r="C206" s="1" t="n">
        <v>2</v>
      </c>
      <c r="D206" s="2" t="n">
        <v>52</v>
      </c>
      <c r="E206" s="4" t="n">
        <v>3.42</v>
      </c>
      <c r="F206" s="1" t="n">
        <v>27</v>
      </c>
      <c r="G206" s="1" t="n">
        <v>35</v>
      </c>
      <c r="H206" s="3" t="n">
        <v>69.8404266407112</v>
      </c>
      <c r="I206" s="1" t="n">
        <v>235</v>
      </c>
      <c r="J206" s="39" t="n">
        <v>200</v>
      </c>
      <c r="K206" s="27" t="n">
        <v>123</v>
      </c>
      <c r="L206" s="39" t="n">
        <v>115</v>
      </c>
      <c r="M206" s="4" t="n">
        <v>0.19</v>
      </c>
      <c r="N206" s="26" t="n">
        <v>0.188279507963272</v>
      </c>
      <c r="O206" s="27" t="n">
        <v>315.661085224322</v>
      </c>
      <c r="P206" s="27" t="n">
        <v>94.1655129923692</v>
      </c>
      <c r="Q206" s="28" t="n">
        <v>0.0486801935635287</v>
      </c>
      <c r="R206" s="25" t="n">
        <v>0.990944778754063</v>
      </c>
      <c r="S206" s="29" t="n">
        <v>0.189416395861782</v>
      </c>
      <c r="T206" s="27" t="n">
        <v>315.661085224322</v>
      </c>
      <c r="U206" s="27" t="n">
        <v>171</v>
      </c>
      <c r="V206" s="28" t="n">
        <v>0.023304347826087</v>
      </c>
      <c r="W206" s="25" t="n">
        <f aca="false">(I206-H206)/(J206-H206)</f>
        <v>1.26890069701894</v>
      </c>
      <c r="X206" s="25" t="n">
        <f aca="false">0.5*(1+(I206-K206-L206)/(I206-K206))</f>
        <v>0.486607142857143</v>
      </c>
      <c r="Y206" s="25" t="n">
        <v>0.996928399272535</v>
      </c>
      <c r="Z206" s="26" t="n">
        <v>0.191358422611036</v>
      </c>
      <c r="AA206" s="27" t="n">
        <v>315.661085224322</v>
      </c>
      <c r="AB206" s="27" t="n">
        <v>94.1655129923692</v>
      </c>
      <c r="AC206" s="28" t="n">
        <v>0.0486801935635287</v>
      </c>
      <c r="AD206" s="25" t="n">
        <v>1.00714959268966</v>
      </c>
      <c r="AE206" s="4" t="n">
        <v>0.241936471163435</v>
      </c>
      <c r="AF206" s="25" t="n">
        <v>0.271665658255511</v>
      </c>
      <c r="AG206" s="26" t="n">
        <f aca="false">SMALL(AE206:AF206,1)</f>
        <v>0.241936471163435</v>
      </c>
      <c r="AH206" s="27" t="n">
        <v>329.967425813089</v>
      </c>
      <c r="AI206" s="28" t="n">
        <v>0.0188</v>
      </c>
      <c r="AJ206" s="25" t="n">
        <v>1.27334984822861</v>
      </c>
      <c r="AK206" s="29" t="n">
        <v>0.260418630436477</v>
      </c>
      <c r="AN206" s="4" t="n">
        <f aca="false">(N206-$N$344)/$N$345</f>
        <v>-0.318275147720062</v>
      </c>
      <c r="AO206" s="4" t="n">
        <f aca="false">(S206-$S$344)/$S$345</f>
        <v>-0.306786615152805</v>
      </c>
      <c r="AP206" s="4" t="n">
        <f aca="false">(Z206-$Z$344)/$Z$345</f>
        <v>-0.433792840917084</v>
      </c>
      <c r="AQ206" s="4" t="n">
        <f aca="false">(AE206-$AE$344)/$AE$345</f>
        <v>-0.348161101526793</v>
      </c>
    </row>
    <row r="207" customFormat="false" ht="14.25" hidden="false" customHeight="false" outlineLevel="0" collapsed="false">
      <c r="B207" s="1" t="n">
        <v>16</v>
      </c>
      <c r="C207" s="1" t="n">
        <v>2</v>
      </c>
      <c r="D207" s="2" t="n">
        <v>52</v>
      </c>
      <c r="E207" s="4" t="n">
        <v>3.42</v>
      </c>
      <c r="F207" s="1" t="n">
        <v>27</v>
      </c>
      <c r="G207" s="1" t="n">
        <v>35</v>
      </c>
      <c r="H207" s="3" t="n">
        <v>69.8404266407112</v>
      </c>
      <c r="I207" s="1" t="n">
        <v>235</v>
      </c>
      <c r="J207" s="39" t="n">
        <v>200</v>
      </c>
      <c r="K207" s="27" t="n">
        <v>123</v>
      </c>
      <c r="L207" s="39" t="n">
        <v>115</v>
      </c>
      <c r="M207" s="4" t="n">
        <v>0.22</v>
      </c>
      <c r="N207" s="26" t="n">
        <v>0.22356041919047</v>
      </c>
      <c r="O207" s="27" t="n">
        <v>364.224329104987</v>
      </c>
      <c r="P207" s="27" t="n">
        <v>94.1655129923692</v>
      </c>
      <c r="Q207" s="28" t="n">
        <v>0.0486801935635287</v>
      </c>
      <c r="R207" s="25" t="n">
        <v>1.01618372359305</v>
      </c>
      <c r="S207" s="29" t="n">
        <v>0.232549564209267</v>
      </c>
      <c r="T207" s="27" t="n">
        <v>364.224329104987</v>
      </c>
      <c r="U207" s="27" t="n">
        <v>171</v>
      </c>
      <c r="V207" s="28" t="n">
        <v>0.023304347826087</v>
      </c>
      <c r="W207" s="25" t="n">
        <f aca="false">(I207-H207)/(J207-H207)</f>
        <v>1.26890069701894</v>
      </c>
      <c r="X207" s="25" t="n">
        <f aca="false">0.5*(1+(I207-K207-L207)/(I207-K207))</f>
        <v>0.486607142857143</v>
      </c>
      <c r="Y207" s="25" t="n">
        <v>1.05704347367849</v>
      </c>
      <c r="Z207" s="26" t="n">
        <v>0.227216278804466</v>
      </c>
      <c r="AA207" s="27" t="n">
        <v>364.224329104987</v>
      </c>
      <c r="AB207" s="27" t="n">
        <v>94.1655129923692</v>
      </c>
      <c r="AC207" s="28" t="n">
        <v>0.0486801935635287</v>
      </c>
      <c r="AD207" s="25" t="n">
        <v>1.03280126729303</v>
      </c>
      <c r="AE207" s="4" t="n">
        <v>0.279157466727041</v>
      </c>
      <c r="AF207" s="25" t="n">
        <v>0.361685047973314</v>
      </c>
      <c r="AG207" s="26" t="n">
        <f aca="false">SMALL(AE207:AF207,1)</f>
        <v>0.279157466727041</v>
      </c>
      <c r="AH207" s="27" t="n">
        <v>380.731645168949</v>
      </c>
      <c r="AI207" s="28" t="n">
        <v>0.0188</v>
      </c>
      <c r="AJ207" s="25" t="n">
        <v>1.268897576032</v>
      </c>
      <c r="AK207" s="29" t="n">
        <v>0.315784588378368</v>
      </c>
      <c r="AN207" s="4" t="n">
        <f aca="false">(N207-$N$344)/$N$345</f>
        <v>0.0967809692432292</v>
      </c>
      <c r="AO207" s="4" t="n">
        <f aca="false">(S207-$S$344)/$S$345</f>
        <v>0.213483664809437</v>
      </c>
      <c r="AP207" s="4" t="n">
        <f aca="false">(Z207-$Z$344)/$Z$345</f>
        <v>0.0532614392054733</v>
      </c>
      <c r="AQ207" s="4" t="n">
        <f aca="false">(AE207-$AE$344)/$AE$345</f>
        <v>0.120892932420732</v>
      </c>
    </row>
    <row r="208" customFormat="false" ht="14.25" hidden="false" customHeight="false" outlineLevel="0" collapsed="false">
      <c r="B208" s="1" t="n">
        <v>16</v>
      </c>
      <c r="C208" s="1" t="n">
        <v>2</v>
      </c>
      <c r="D208" s="2" t="n">
        <v>52</v>
      </c>
      <c r="E208" s="4" t="n">
        <v>3.42</v>
      </c>
      <c r="F208" s="1" t="n">
        <v>27</v>
      </c>
      <c r="G208" s="1" t="n">
        <v>35</v>
      </c>
      <c r="H208" s="3" t="n">
        <v>69.8404266407112</v>
      </c>
      <c r="I208" s="1" t="n">
        <v>235</v>
      </c>
      <c r="J208" s="39" t="n">
        <v>200</v>
      </c>
      <c r="K208" s="27" t="n">
        <v>123</v>
      </c>
      <c r="L208" s="39" t="n">
        <v>115</v>
      </c>
      <c r="M208" s="4" t="n">
        <v>0.22</v>
      </c>
      <c r="N208" s="26" t="n">
        <v>0.252961178546469</v>
      </c>
      <c r="O208" s="27" t="n">
        <v>404.693699005541</v>
      </c>
      <c r="P208" s="27" t="n">
        <v>94.1655129923692</v>
      </c>
      <c r="Q208" s="28" t="n">
        <v>0.0486801935635287</v>
      </c>
      <c r="R208" s="25" t="n">
        <v>1.14982353884759</v>
      </c>
      <c r="S208" s="29" t="n">
        <v>0.268493871165504</v>
      </c>
      <c r="T208" s="27" t="n">
        <v>404.693699005541</v>
      </c>
      <c r="U208" s="27" t="n">
        <v>171</v>
      </c>
      <c r="V208" s="28" t="n">
        <v>0.023304347826087</v>
      </c>
      <c r="W208" s="25" t="n">
        <f aca="false">(I208-H208)/(J208-H208)</f>
        <v>1.26890069701894</v>
      </c>
      <c r="X208" s="25" t="n">
        <f aca="false">0.5*(1+(I208-K208-L208)/(I208-K208))</f>
        <v>0.486607142857143</v>
      </c>
      <c r="Y208" s="25" t="n">
        <v>1.22042668711593</v>
      </c>
      <c r="Z208" s="26" t="n">
        <v>0.257097825632324</v>
      </c>
      <c r="AA208" s="27" t="n">
        <v>404.693699005541</v>
      </c>
      <c r="AB208" s="27" t="n">
        <v>94.1655129923692</v>
      </c>
      <c r="AC208" s="28" t="n">
        <v>0.0486801935635287</v>
      </c>
      <c r="AD208" s="25" t="n">
        <v>1.16862648014693</v>
      </c>
      <c r="AE208" s="4" t="n">
        <v>0.310174963030045</v>
      </c>
      <c r="AF208" s="25" t="n">
        <v>0.446524750584338</v>
      </c>
      <c r="AG208" s="26" t="n">
        <f aca="false">SMALL(AE208:AF208,1)</f>
        <v>0.310174963030045</v>
      </c>
      <c r="AH208" s="27" t="n">
        <v>423.035161298832</v>
      </c>
      <c r="AI208" s="28" t="n">
        <v>0.0188</v>
      </c>
      <c r="AJ208" s="25" t="n">
        <v>1.40988619559112</v>
      </c>
      <c r="AK208" s="29" t="n">
        <v>0.361922886663278</v>
      </c>
      <c r="AN208" s="4" t="n">
        <f aca="false">(N208-$N$344)/$N$345</f>
        <v>0.442661066712639</v>
      </c>
      <c r="AO208" s="4" t="n">
        <f aca="false">(S208-$S$344)/$S$345</f>
        <v>0.647042231444638</v>
      </c>
      <c r="AP208" s="4" t="n">
        <f aca="false">(Z208-$Z$344)/$Z$345</f>
        <v>0.45914000597427</v>
      </c>
      <c r="AQ208" s="4" t="n">
        <f aca="false">(AE208-$AE$344)/$AE$345</f>
        <v>0.51177129404367</v>
      </c>
    </row>
    <row r="209" customFormat="false" ht="14.25" hidden="false" customHeight="false" outlineLevel="0" collapsed="false">
      <c r="B209" s="1" t="n">
        <v>16</v>
      </c>
      <c r="C209" s="1" t="n">
        <v>2</v>
      </c>
      <c r="D209" s="2" t="n">
        <v>52</v>
      </c>
      <c r="E209" s="4" t="n">
        <v>3.42</v>
      </c>
      <c r="F209" s="1" t="n">
        <v>27</v>
      </c>
      <c r="G209" s="1" t="n">
        <v>35</v>
      </c>
      <c r="H209" s="3" t="n">
        <v>69.8404266407112</v>
      </c>
      <c r="I209" s="1" t="n">
        <v>235</v>
      </c>
      <c r="J209" s="39" t="n">
        <v>200</v>
      </c>
      <c r="K209" s="27" t="n">
        <v>123</v>
      </c>
      <c r="L209" s="39" t="n">
        <v>115</v>
      </c>
      <c r="M209" s="4" t="n">
        <v>0.25</v>
      </c>
      <c r="N209" s="26" t="n">
        <v>0.300002393516067</v>
      </c>
      <c r="O209" s="27" t="n">
        <v>469.444690846428</v>
      </c>
      <c r="P209" s="27" t="n">
        <v>94.1655129923692</v>
      </c>
      <c r="Q209" s="28" t="n">
        <v>0.0486801935635287</v>
      </c>
      <c r="R209" s="25" t="n">
        <v>1.20000957406427</v>
      </c>
      <c r="S209" s="29" t="n">
        <v>0.326004762295485</v>
      </c>
      <c r="T209" s="27" t="n">
        <v>469.444690846428</v>
      </c>
      <c r="U209" s="27" t="n">
        <v>171</v>
      </c>
      <c r="V209" s="28" t="n">
        <v>0.023304347826087</v>
      </c>
      <c r="W209" s="25" t="n">
        <f aca="false">(I209-H209)/(J209-H209)</f>
        <v>1.26890069701894</v>
      </c>
      <c r="X209" s="25" t="n">
        <f aca="false">0.5*(1+(I209-K209-L209)/(I209-K209))</f>
        <v>0.486607142857143</v>
      </c>
      <c r="Y209" s="25" t="n">
        <v>1.30401904918194</v>
      </c>
      <c r="Z209" s="26" t="n">
        <v>0.304908300556896</v>
      </c>
      <c r="AA209" s="27" t="n">
        <v>469.444690846428</v>
      </c>
      <c r="AB209" s="27" t="n">
        <v>94.1655129923692</v>
      </c>
      <c r="AC209" s="28" t="n">
        <v>0.0486801935635287</v>
      </c>
      <c r="AD209" s="25" t="n">
        <v>1.21963320222759</v>
      </c>
      <c r="AE209" s="4" t="n">
        <v>0.359802957114853</v>
      </c>
      <c r="AF209" s="25" t="n">
        <v>0.600843704386285</v>
      </c>
      <c r="AG209" s="26" t="n">
        <f aca="false">SMALL(AE209:AF209,1)</f>
        <v>0.359802957114853</v>
      </c>
      <c r="AH209" s="27" t="n">
        <v>490.720787106645</v>
      </c>
      <c r="AI209" s="28" t="n">
        <v>0.0188</v>
      </c>
      <c r="AJ209" s="25" t="n">
        <v>1.43921182845941</v>
      </c>
      <c r="AK209" s="29" t="n">
        <v>0.435744163919132</v>
      </c>
      <c r="AN209" s="4" t="n">
        <f aca="false">(N209-$N$344)/$N$345</f>
        <v>0.996069222663695</v>
      </c>
      <c r="AO209" s="4" t="n">
        <f aca="false">(S209-$S$344)/$S$345</f>
        <v>1.34073593806096</v>
      </c>
      <c r="AP209" s="4" t="n">
        <f aca="false">(Z209-$Z$344)/$Z$345</f>
        <v>1.10854571280435</v>
      </c>
      <c r="AQ209" s="4" t="n">
        <f aca="false">(AE209-$AE$344)/$AE$345</f>
        <v>1.13717667264037</v>
      </c>
    </row>
    <row r="210" customFormat="false" ht="14.25" hidden="false" customHeight="false" outlineLevel="0" collapsed="false">
      <c r="B210" s="1" t="n">
        <v>16</v>
      </c>
      <c r="C210" s="1" t="n">
        <v>2</v>
      </c>
      <c r="D210" s="2" t="n">
        <v>52</v>
      </c>
      <c r="E210" s="4" t="n">
        <v>3.42</v>
      </c>
      <c r="F210" s="1" t="n">
        <v>27</v>
      </c>
      <c r="G210" s="1" t="n">
        <v>35</v>
      </c>
      <c r="H210" s="3" t="n">
        <v>69.8404266407112</v>
      </c>
      <c r="I210" s="1" t="n">
        <v>235</v>
      </c>
      <c r="J210" s="39" t="n">
        <v>200</v>
      </c>
      <c r="K210" s="27" t="n">
        <v>123</v>
      </c>
      <c r="L210" s="39" t="n">
        <v>115</v>
      </c>
      <c r="M210" s="4" t="n">
        <v>0.29</v>
      </c>
      <c r="N210" s="26" t="n">
        <v>0.341163456614465</v>
      </c>
      <c r="O210" s="27" t="n">
        <v>526.101808707204</v>
      </c>
      <c r="P210" s="27" t="n">
        <v>94.1655129923692</v>
      </c>
      <c r="Q210" s="28" t="n">
        <v>0.0486801935635287</v>
      </c>
      <c r="R210" s="25" t="n">
        <v>1.17642571246367</v>
      </c>
      <c r="S210" s="29" t="n">
        <v>0.376326792034218</v>
      </c>
      <c r="T210" s="27" t="n">
        <v>526.101808707204</v>
      </c>
      <c r="U210" s="27" t="n">
        <v>171</v>
      </c>
      <c r="V210" s="28" t="n">
        <v>0.023304347826087</v>
      </c>
      <c r="W210" s="25" t="n">
        <f aca="false">(I210-H210)/(J210-H210)</f>
        <v>1.26890069701894</v>
      </c>
      <c r="X210" s="25" t="n">
        <f aca="false">0.5*(1+(I210-K210-L210)/(I210-K210))</f>
        <v>0.486607142857143</v>
      </c>
      <c r="Y210" s="25" t="n">
        <v>1.29767859322144</v>
      </c>
      <c r="Z210" s="26" t="n">
        <v>0.346742466115898</v>
      </c>
      <c r="AA210" s="27" t="n">
        <v>526.101808707204</v>
      </c>
      <c r="AB210" s="27" t="n">
        <v>94.1655129923692</v>
      </c>
      <c r="AC210" s="28" t="n">
        <v>0.0486801935635287</v>
      </c>
      <c r="AD210" s="25" t="n">
        <v>1.19566367626172</v>
      </c>
      <c r="AE210" s="4" t="n">
        <v>0.387136567979452</v>
      </c>
      <c r="AF210" s="25" t="n">
        <v>0.695601403508772</v>
      </c>
      <c r="AG210" s="26" t="n">
        <f aca="false">SMALL(AE210:AF210,1)</f>
        <v>0.387136567979452</v>
      </c>
      <c r="AH210" s="27" t="n">
        <v>528</v>
      </c>
      <c r="AI210" s="28" t="n">
        <v>0.0188</v>
      </c>
      <c r="AJ210" s="25" t="n">
        <v>1.33495368268777</v>
      </c>
      <c r="AK210" s="29" t="n">
        <v>0.493237201724632</v>
      </c>
      <c r="AN210" s="4" t="n">
        <f aca="false">(N210-$N$344)/$N$345</f>
        <v>1.48030135912087</v>
      </c>
      <c r="AO210" s="4" t="n">
        <f aca="false">(S210-$S$344)/$S$345</f>
        <v>1.94771793135025</v>
      </c>
      <c r="AP210" s="4" t="n">
        <f aca="false">(Z210-$Z$344)/$Z$345</f>
        <v>1.67677570628066</v>
      </c>
      <c r="AQ210" s="4" t="n">
        <f aca="false">(AE210-$AE$344)/$AE$345</f>
        <v>1.48163120009876</v>
      </c>
    </row>
    <row r="211" customFormat="false" ht="14.25" hidden="false" customHeight="false" outlineLevel="0" collapsed="false">
      <c r="A211" s="0" t="s">
        <v>67</v>
      </c>
      <c r="B211" s="1" t="n">
        <v>20</v>
      </c>
      <c r="C211" s="1" t="n">
        <v>2</v>
      </c>
      <c r="D211" s="2" t="n">
        <v>44</v>
      </c>
      <c r="E211" s="4" t="n">
        <v>3.42</v>
      </c>
      <c r="F211" s="1" t="n">
        <v>25</v>
      </c>
      <c r="G211" s="1" t="n">
        <v>35</v>
      </c>
      <c r="H211" s="3" t="n">
        <v>82.8238244445564</v>
      </c>
      <c r="I211" s="1" t="n">
        <v>235</v>
      </c>
      <c r="J211" s="39" t="n">
        <v>200</v>
      </c>
      <c r="K211" s="27" t="n">
        <v>125</v>
      </c>
      <c r="L211" s="39" t="n">
        <v>122.5</v>
      </c>
      <c r="M211" s="4" t="n">
        <v>0.17</v>
      </c>
      <c r="N211" s="26" t="n">
        <v>0.135881990075412</v>
      </c>
      <c r="O211" s="27" t="n">
        <v>270.870133310726</v>
      </c>
      <c r="P211" s="27" t="n">
        <v>65.3475740094375</v>
      </c>
      <c r="Q211" s="28" t="n">
        <v>0.0825359157184491</v>
      </c>
      <c r="R211" s="25" t="n">
        <v>0.799305823973012</v>
      </c>
      <c r="S211" s="29" t="n">
        <v>0.151281203007386</v>
      </c>
      <c r="T211" s="27" t="n">
        <v>270.870133310726</v>
      </c>
      <c r="U211" s="27" t="n">
        <v>124</v>
      </c>
      <c r="V211" s="28" t="n">
        <v>0.0341768707482993</v>
      </c>
      <c r="W211" s="25" t="n">
        <f aca="false">(I211-H211)/(J211-H211)</f>
        <v>1.29869553118705</v>
      </c>
      <c r="X211" s="25" t="n">
        <f aca="false">0.5*(1+(I211-K211-L211)/(I211-K211))</f>
        <v>0.443181818181818</v>
      </c>
      <c r="Y211" s="25" t="n">
        <v>0.889889429455213</v>
      </c>
      <c r="Z211" s="26" t="n">
        <v>0.146171730108329</v>
      </c>
      <c r="AA211" s="27" t="n">
        <v>270.870133310726</v>
      </c>
      <c r="AB211" s="27" t="n">
        <v>65.3475740094375</v>
      </c>
      <c r="AC211" s="28" t="n">
        <v>0.0825359157184491</v>
      </c>
      <c r="AD211" s="25" t="n">
        <v>0.859833706519585</v>
      </c>
      <c r="AE211" s="4" t="n">
        <v>0.205195232552164</v>
      </c>
      <c r="AF211" s="25" t="n">
        <v>0.252527711331119</v>
      </c>
      <c r="AG211" s="26" t="n">
        <f aca="false">SMALL(AE211:AF211,1)</f>
        <v>0.205195232552164</v>
      </c>
      <c r="AH211" s="27" t="n">
        <v>284.546476775834</v>
      </c>
      <c r="AI211" s="28" t="n">
        <v>0.0253</v>
      </c>
      <c r="AJ211" s="25" t="n">
        <v>1.20703077971861</v>
      </c>
      <c r="AK211" s="29" t="n">
        <v>0.204374499291223</v>
      </c>
      <c r="AN211" s="4" t="n">
        <f aca="false">(N211-$N$344)/$N$345</f>
        <v>-0.934696593668548</v>
      </c>
      <c r="AO211" s="4" t="n">
        <f aca="false">(S211-$S$344)/$S$345</f>
        <v>-0.766771546074931</v>
      </c>
      <c r="AP211" s="4" t="n">
        <f aca="false">(Z211-$Z$344)/$Z$345</f>
        <v>-1.04755992920325</v>
      </c>
      <c r="AQ211" s="4" t="n">
        <f aca="false">(AE211-$AE$344)/$AE$345</f>
        <v>-0.811169302191263</v>
      </c>
    </row>
    <row r="212" customFormat="false" ht="14.25" hidden="false" customHeight="false" outlineLevel="0" collapsed="false">
      <c r="B212" s="1" t="n">
        <v>20</v>
      </c>
      <c r="C212" s="1" t="n">
        <v>2</v>
      </c>
      <c r="D212" s="2" t="n">
        <v>44</v>
      </c>
      <c r="E212" s="4" t="n">
        <v>3.42</v>
      </c>
      <c r="F212" s="1" t="n">
        <v>25</v>
      </c>
      <c r="G212" s="1" t="n">
        <v>35</v>
      </c>
      <c r="H212" s="3" t="n">
        <v>82.8238244445564</v>
      </c>
      <c r="I212" s="1" t="n">
        <v>235</v>
      </c>
      <c r="J212" s="39" t="n">
        <v>200</v>
      </c>
      <c r="K212" s="27" t="n">
        <v>125</v>
      </c>
      <c r="L212" s="39" t="n">
        <v>122.5</v>
      </c>
      <c r="M212" s="4" t="n">
        <v>0.19</v>
      </c>
      <c r="N212" s="26" t="n">
        <v>0.15768903676555</v>
      </c>
      <c r="O212" s="27" t="n">
        <v>308.048386902394</v>
      </c>
      <c r="P212" s="27" t="n">
        <v>65.3475740094375</v>
      </c>
      <c r="Q212" s="28" t="n">
        <v>0.0825359157184491</v>
      </c>
      <c r="R212" s="25" t="n">
        <v>0.829942298766051</v>
      </c>
      <c r="S212" s="29" t="n">
        <v>0.179906448678004</v>
      </c>
      <c r="T212" s="27" t="n">
        <v>308.048386902394</v>
      </c>
      <c r="U212" s="27" t="n">
        <v>124</v>
      </c>
      <c r="V212" s="28" t="n">
        <v>0.0341768707482993</v>
      </c>
      <c r="W212" s="25" t="n">
        <f aca="false">(I212-H212)/(J212-H212)</f>
        <v>1.29869553118705</v>
      </c>
      <c r="X212" s="25" t="n">
        <f aca="false">0.5*(1+(I212-K212-L212)/(I212-K212))</f>
        <v>0.443181818181818</v>
      </c>
      <c r="Y212" s="25" t="n">
        <v>0.946876045673703</v>
      </c>
      <c r="Z212" s="26" t="n">
        <v>0.169630127659627</v>
      </c>
      <c r="AA212" s="27" t="n">
        <v>308.048386902394</v>
      </c>
      <c r="AB212" s="27" t="n">
        <v>65.3475740094375</v>
      </c>
      <c r="AC212" s="28" t="n">
        <v>0.0825359157184491</v>
      </c>
      <c r="AD212" s="25" t="n">
        <v>0.892790145576986</v>
      </c>
      <c r="AE212" s="4" t="n">
        <v>0.233359284078932</v>
      </c>
      <c r="AF212" s="25" t="n">
        <v>0.326606390202954</v>
      </c>
      <c r="AG212" s="26" t="n">
        <f aca="false">SMALL(AE212:AF212,1)</f>
        <v>0.233359284078932</v>
      </c>
      <c r="AH212" s="27" t="n">
        <v>323.601875548987</v>
      </c>
      <c r="AI212" s="28" t="n">
        <v>0.0253</v>
      </c>
      <c r="AJ212" s="25" t="n">
        <v>1.22820675831017</v>
      </c>
      <c r="AK212" s="29" t="n">
        <v>0.239943053305387</v>
      </c>
      <c r="AN212" s="4" t="n">
        <f aca="false">(N212-$N$344)/$N$345</f>
        <v>-0.678151402322465</v>
      </c>
      <c r="AO212" s="4" t="n">
        <f aca="false">(S212-$S$344)/$S$345</f>
        <v>-0.421495157865708</v>
      </c>
      <c r="AP212" s="4" t="n">
        <f aca="false">(Z212-$Z$344)/$Z$345</f>
        <v>-0.728926465157235</v>
      </c>
      <c r="AQ212" s="4" t="n">
        <f aca="false">(AE212-$AE$344)/$AE$345</f>
        <v>-0.456249671995948</v>
      </c>
    </row>
    <row r="213" customFormat="false" ht="14.25" hidden="false" customHeight="false" outlineLevel="0" collapsed="false">
      <c r="B213" s="1" t="n">
        <v>20</v>
      </c>
      <c r="C213" s="1" t="n">
        <v>2</v>
      </c>
      <c r="D213" s="2" t="n">
        <v>44</v>
      </c>
      <c r="E213" s="4" t="n">
        <v>3.42</v>
      </c>
      <c r="F213" s="1" t="n">
        <v>25</v>
      </c>
      <c r="G213" s="1" t="n">
        <v>35</v>
      </c>
      <c r="H213" s="3" t="n">
        <v>82.8238244445564</v>
      </c>
      <c r="I213" s="1" t="n">
        <v>235</v>
      </c>
      <c r="J213" s="39" t="n">
        <v>200</v>
      </c>
      <c r="K213" s="27" t="n">
        <v>125</v>
      </c>
      <c r="L213" s="39" t="n">
        <v>122.5</v>
      </c>
      <c r="M213" s="4" t="n">
        <v>0.21</v>
      </c>
      <c r="N213" s="26" t="n">
        <v>0.185726668224298</v>
      </c>
      <c r="O213" s="27" t="n">
        <v>355.848998663111</v>
      </c>
      <c r="P213" s="27" t="n">
        <v>65.3475740094375</v>
      </c>
      <c r="Q213" s="28" t="n">
        <v>0.0825359157184491</v>
      </c>
      <c r="R213" s="25" t="n">
        <v>0.884412705829992</v>
      </c>
      <c r="S213" s="29" t="n">
        <v>0.216710335968798</v>
      </c>
      <c r="T213" s="27" t="n">
        <v>355.848998663111</v>
      </c>
      <c r="U213" s="27" t="n">
        <v>124</v>
      </c>
      <c r="V213" s="28" t="n">
        <v>0.0341768707482993</v>
      </c>
      <c r="W213" s="25" t="n">
        <f aca="false">(I213-H213)/(J213-H213)</f>
        <v>1.29869553118705</v>
      </c>
      <c r="X213" s="25" t="n">
        <f aca="false">0.5*(1+(I213-K213-L213)/(I213-K213))</f>
        <v>0.443181818181818</v>
      </c>
      <c r="Y213" s="25" t="n">
        <v>1.0319539808038</v>
      </c>
      <c r="Z213" s="26" t="n">
        <v>0.199790924511296</v>
      </c>
      <c r="AA213" s="27" t="n">
        <v>355.848998663111</v>
      </c>
      <c r="AB213" s="27" t="n">
        <v>65.3475740094375</v>
      </c>
      <c r="AC213" s="28" t="n">
        <v>0.0825359157184491</v>
      </c>
      <c r="AD213" s="25" t="n">
        <v>0.951385354815697</v>
      </c>
      <c r="AE213" s="4" t="n">
        <v>0.269570207470491</v>
      </c>
      <c r="AF213" s="25" t="n">
        <v>0.435831178840981</v>
      </c>
      <c r="AG213" s="26" t="n">
        <f aca="false">SMALL(AE213:AF213,1)</f>
        <v>0.269570207470491</v>
      </c>
      <c r="AH213" s="27" t="n">
        <v>373.815959685899</v>
      </c>
      <c r="AI213" s="28" t="n">
        <v>0.0253</v>
      </c>
      <c r="AJ213" s="25" t="n">
        <v>1.28366765462138</v>
      </c>
      <c r="AK213" s="29" t="n">
        <v>0.285674051323597</v>
      </c>
      <c r="AN213" s="4" t="n">
        <f aca="false">(N213-$N$344)/$N$345</f>
        <v>-0.3483075848775</v>
      </c>
      <c r="AO213" s="4" t="n">
        <f aca="false">(S213-$S$344)/$S$345</f>
        <v>0.022431626974724</v>
      </c>
      <c r="AP213" s="4" t="n">
        <f aca="false">(Z213-$Z$344)/$Z$345</f>
        <v>-0.319254868526646</v>
      </c>
      <c r="AQ213" s="4" t="n">
        <f aca="false">(AE213-$AE$344)/$AE$345</f>
        <v>7.55668266007891E-005</v>
      </c>
    </row>
    <row r="214" customFormat="false" ht="14.25" hidden="false" customHeight="false" outlineLevel="0" collapsed="false">
      <c r="B214" s="1" t="n">
        <v>20</v>
      </c>
      <c r="C214" s="1" t="n">
        <v>2</v>
      </c>
      <c r="D214" s="2" t="n">
        <v>44</v>
      </c>
      <c r="E214" s="4" t="n">
        <v>3.42</v>
      </c>
      <c r="F214" s="1" t="n">
        <v>25</v>
      </c>
      <c r="G214" s="1" t="n">
        <v>35</v>
      </c>
      <c r="H214" s="3" t="n">
        <v>82.8238244445564</v>
      </c>
      <c r="I214" s="1" t="n">
        <v>235</v>
      </c>
      <c r="J214" s="39" t="n">
        <v>200</v>
      </c>
      <c r="K214" s="27" t="n">
        <v>125</v>
      </c>
      <c r="L214" s="39" t="n">
        <v>122.5</v>
      </c>
      <c r="M214" s="4" t="n">
        <v>0.23</v>
      </c>
      <c r="N214" s="26" t="n">
        <v>0.19818783776152</v>
      </c>
      <c r="O214" s="27" t="n">
        <v>377.093715001207</v>
      </c>
      <c r="P214" s="27" t="n">
        <v>65.3475740094375</v>
      </c>
      <c r="Q214" s="28" t="n">
        <v>0.0825359157184491</v>
      </c>
      <c r="R214" s="25" t="n">
        <v>0.861686251137043</v>
      </c>
      <c r="S214" s="29" t="n">
        <v>0.23306761920915</v>
      </c>
      <c r="T214" s="27" t="n">
        <v>377.093715001207</v>
      </c>
      <c r="U214" s="27" t="n">
        <v>124</v>
      </c>
      <c r="V214" s="28" t="n">
        <v>0.0341768707482993</v>
      </c>
      <c r="W214" s="25" t="n">
        <f aca="false">(I214-H214)/(J214-H214)</f>
        <v>1.29869553118705</v>
      </c>
      <c r="X214" s="25" t="n">
        <f aca="false">0.5*(1+(I214-K214-L214)/(I214-K214))</f>
        <v>0.443181818181818</v>
      </c>
      <c r="Y214" s="25" t="n">
        <v>1.01333747482239</v>
      </c>
      <c r="Z214" s="26" t="n">
        <v>0.213195723112038</v>
      </c>
      <c r="AA214" s="27" t="n">
        <v>377.093715001207</v>
      </c>
      <c r="AB214" s="27" t="n">
        <v>65.3475740094375</v>
      </c>
      <c r="AC214" s="28" t="n">
        <v>0.0825359157184491</v>
      </c>
      <c r="AD214" s="25" t="n">
        <v>0.926937926574079</v>
      </c>
      <c r="AE214" s="4" t="n">
        <v>0.285663951200072</v>
      </c>
      <c r="AF214" s="25" t="n">
        <v>0.489424141799373</v>
      </c>
      <c r="AG214" s="26" t="n">
        <f aca="false">SMALL(AE214:AF214,1)</f>
        <v>0.285663951200072</v>
      </c>
      <c r="AH214" s="27" t="n">
        <v>396.133330413415</v>
      </c>
      <c r="AI214" s="28" t="n">
        <v>0.0253</v>
      </c>
      <c r="AJ214" s="25" t="n">
        <v>1.24201717913075</v>
      </c>
      <c r="AK214" s="29" t="n">
        <v>0.30599893933169</v>
      </c>
      <c r="AN214" s="4" t="n">
        <f aca="false">(N214-$N$344)/$N$345</f>
        <v>-0.201710332679738</v>
      </c>
      <c r="AO214" s="4" t="n">
        <f aca="false">(S214-$S$344)/$S$345</f>
        <v>0.219732420237137</v>
      </c>
      <c r="AP214" s="4" t="n">
        <f aca="false">(Z214-$Z$344)/$Z$345</f>
        <v>-0.137178603357495</v>
      </c>
      <c r="AQ214" s="4" t="n">
        <f aca="false">(AE214-$AE$344)/$AE$345</f>
        <v>0.202886784081066</v>
      </c>
    </row>
    <row r="215" customFormat="false" ht="14.25" hidden="false" customHeight="false" outlineLevel="0" collapsed="false">
      <c r="B215" s="1" t="n">
        <v>20</v>
      </c>
      <c r="C215" s="1" t="n">
        <v>2</v>
      </c>
      <c r="D215" s="2" t="n">
        <v>44</v>
      </c>
      <c r="E215" s="4" t="n">
        <v>3.42</v>
      </c>
      <c r="F215" s="1" t="n">
        <v>25</v>
      </c>
      <c r="G215" s="1" t="n">
        <v>35</v>
      </c>
      <c r="H215" s="3" t="n">
        <v>82.8238244445564</v>
      </c>
      <c r="I215" s="1" t="n">
        <v>235</v>
      </c>
      <c r="J215" s="39" t="n">
        <v>200</v>
      </c>
      <c r="K215" s="27" t="n">
        <v>125</v>
      </c>
      <c r="L215" s="39" t="n">
        <v>122.5</v>
      </c>
      <c r="M215" s="4" t="n">
        <v>0.25</v>
      </c>
      <c r="N215" s="26" t="n">
        <v>0.226225469220269</v>
      </c>
      <c r="O215" s="27" t="n">
        <v>424.894326761923</v>
      </c>
      <c r="P215" s="27" t="n">
        <v>65.3475740094375</v>
      </c>
      <c r="Q215" s="28" t="n">
        <v>0.0825359157184491</v>
      </c>
      <c r="R215" s="25" t="n">
        <v>0.904901876881074</v>
      </c>
      <c r="S215" s="29" t="n">
        <v>0.269871506499944</v>
      </c>
      <c r="T215" s="27" t="n">
        <v>424.894326761923</v>
      </c>
      <c r="U215" s="27" t="n">
        <v>124</v>
      </c>
      <c r="V215" s="28" t="n">
        <v>0.0341768707482993</v>
      </c>
      <c r="W215" s="25" t="n">
        <f aca="false">(I215-H215)/(J215-H215)</f>
        <v>1.29869553118705</v>
      </c>
      <c r="X215" s="25" t="n">
        <f aca="false">0.5*(1+(I215-K215-L215)/(I215-K215))</f>
        <v>0.443181818181818</v>
      </c>
      <c r="Y215" s="25" t="n">
        <v>1.07948602599978</v>
      </c>
      <c r="Z215" s="26" t="n">
        <v>0.243356519963707</v>
      </c>
      <c r="AA215" s="27" t="n">
        <v>424.894326761923</v>
      </c>
      <c r="AB215" s="27" t="n">
        <v>65.3475740094375</v>
      </c>
      <c r="AC215" s="28" t="n">
        <v>0.0825359157184491</v>
      </c>
      <c r="AD215" s="25" t="n">
        <v>0.973426079854829</v>
      </c>
      <c r="AE215" s="4" t="n">
        <v>0.32187487459163</v>
      </c>
      <c r="AF215" s="25" t="n">
        <v>0.62136768647411</v>
      </c>
      <c r="AG215" s="26" t="n">
        <f aca="false">SMALL(AE215:AF215,1)</f>
        <v>0.32187487459163</v>
      </c>
      <c r="AH215" s="27" t="n">
        <v>446.347414550327</v>
      </c>
      <c r="AI215" s="28" t="n">
        <v>0.0253</v>
      </c>
      <c r="AJ215" s="25" t="n">
        <v>1.28749949836652</v>
      </c>
      <c r="AK215" s="29" t="n">
        <v>0.351729937349901</v>
      </c>
      <c r="AN215" s="4" t="n">
        <f aca="false">(N215-$N$344)/$N$345</f>
        <v>0.128133484765227</v>
      </c>
      <c r="AO215" s="4" t="n">
        <f aca="false">(S215-$S$344)/$S$345</f>
        <v>0.663659205077569</v>
      </c>
      <c r="AP215" s="4" t="n">
        <f aca="false">(Z215-$Z$344)/$Z$345</f>
        <v>0.272492993273094</v>
      </c>
      <c r="AQ215" s="4" t="n">
        <f aca="false">(AE215-$AE$344)/$AE$345</f>
        <v>0.659212022903615</v>
      </c>
    </row>
    <row r="216" customFormat="false" ht="14.25" hidden="false" customHeight="false" outlineLevel="0" collapsed="false">
      <c r="B216" s="1" t="n">
        <v>20</v>
      </c>
      <c r="C216" s="1" t="n">
        <v>2</v>
      </c>
      <c r="D216" s="2" t="n">
        <v>44</v>
      </c>
      <c r="E216" s="4" t="n">
        <v>3.42</v>
      </c>
      <c r="F216" s="1" t="n">
        <v>25</v>
      </c>
      <c r="G216" s="1" t="n">
        <v>35</v>
      </c>
      <c r="H216" s="3" t="n">
        <v>82.8238244445564</v>
      </c>
      <c r="I216" s="1" t="n">
        <v>235</v>
      </c>
      <c r="J216" s="39" t="n">
        <v>200</v>
      </c>
      <c r="K216" s="27" t="n">
        <v>125</v>
      </c>
      <c r="L216" s="39" t="n">
        <v>122.5</v>
      </c>
      <c r="M216" s="4" t="n">
        <v>0.25</v>
      </c>
      <c r="N216" s="26" t="n">
        <v>0.285416024522071</v>
      </c>
      <c r="O216" s="27" t="n">
        <v>525.80672936788</v>
      </c>
      <c r="P216" s="27" t="n">
        <v>65.3475740094375</v>
      </c>
      <c r="Q216" s="28" t="n">
        <v>0.0825359157184491</v>
      </c>
      <c r="R216" s="25" t="n">
        <v>1.14166409808828</v>
      </c>
      <c r="S216" s="29" t="n">
        <v>0.34756860189162</v>
      </c>
      <c r="T216" s="27" t="n">
        <v>525.80672936788</v>
      </c>
      <c r="U216" s="27" t="n">
        <v>124</v>
      </c>
      <c r="V216" s="28" t="n">
        <v>0.0341768707482993</v>
      </c>
      <c r="W216" s="25" t="n">
        <f aca="false">(I216-H216)/(J216-H216)</f>
        <v>1.29869553118705</v>
      </c>
      <c r="X216" s="25" t="n">
        <f aca="false">0.5*(1+(I216-K216-L216)/(I216-K216))</f>
        <v>0.443181818181818</v>
      </c>
      <c r="Y216" s="25" t="n">
        <v>1.39027440756648</v>
      </c>
      <c r="Z216" s="26" t="n">
        <v>0.307029313317231</v>
      </c>
      <c r="AA216" s="27" t="n">
        <v>525.80672936788</v>
      </c>
      <c r="AB216" s="27" t="n">
        <v>65.3475740094375</v>
      </c>
      <c r="AC216" s="28" t="n">
        <v>0.0825359157184491</v>
      </c>
      <c r="AD216" s="25" t="n">
        <v>1.22811725326892</v>
      </c>
      <c r="AE216" s="4" t="n">
        <v>0.380757070040603</v>
      </c>
      <c r="AF216" s="25" t="n">
        <v>0.869501754385965</v>
      </c>
      <c r="AG216" s="26" t="n">
        <f aca="false">SMALL(AE216:AF216,1)</f>
        <v>0.380757070040603</v>
      </c>
      <c r="AH216" s="27" t="n">
        <v>528</v>
      </c>
      <c r="AI216" s="28" t="n">
        <v>0.0253</v>
      </c>
      <c r="AJ216" s="25" t="n">
        <v>1.52302828016241</v>
      </c>
      <c r="AK216" s="29" t="n">
        <v>0.448273155388344</v>
      </c>
      <c r="AN216" s="4" t="n">
        <f aca="false">(N216-$N$344)/$N$345</f>
        <v>0.824470432704598</v>
      </c>
      <c r="AO216" s="4" t="n">
        <f aca="false">(S216-$S$344)/$S$345</f>
        <v>1.60083797307403</v>
      </c>
      <c r="AP216" s="4" t="n">
        <f aca="false">(Z216-$Z$344)/$Z$345</f>
        <v>1.13735525282656</v>
      </c>
      <c r="AQ216" s="4" t="n">
        <f aca="false">(AE216-$AE$344)/$AE$345</f>
        <v>1.40123761584699</v>
      </c>
    </row>
    <row r="217" customFormat="false" ht="14.25" hidden="false" customHeight="false" outlineLevel="0" collapsed="false">
      <c r="A217" s="0" t="s">
        <v>68</v>
      </c>
      <c r="B217" s="1" t="n">
        <v>20</v>
      </c>
      <c r="C217" s="1" t="n">
        <v>3</v>
      </c>
      <c r="D217" s="2" t="n">
        <v>12</v>
      </c>
      <c r="E217" s="4" t="n">
        <v>3.42</v>
      </c>
      <c r="F217" s="1" t="n">
        <v>25</v>
      </c>
      <c r="G217" s="1" t="n">
        <v>35</v>
      </c>
      <c r="H217" s="3" t="n">
        <v>95.7017321457163</v>
      </c>
      <c r="I217" s="1" t="n">
        <v>235</v>
      </c>
      <c r="J217" s="39" t="n">
        <v>200</v>
      </c>
      <c r="K217" s="27" t="n">
        <v>129</v>
      </c>
      <c r="L217" s="39" t="n">
        <v>122.5</v>
      </c>
      <c r="M217" s="4" t="n">
        <v>0.18</v>
      </c>
      <c r="N217" s="26" t="n">
        <v>0.0990015411272229</v>
      </c>
      <c r="O217" s="27" t="n">
        <v>246.921912945398</v>
      </c>
      <c r="P217" s="27" t="n">
        <v>49.1976958492583</v>
      </c>
      <c r="Q217" s="28" t="n">
        <v>0.135249348683273</v>
      </c>
      <c r="R217" s="25" t="n">
        <v>0.550008561817905</v>
      </c>
      <c r="S217" s="29" t="n">
        <v>0.127038496444004</v>
      </c>
      <c r="T217" s="27" t="n">
        <v>246.921912945398</v>
      </c>
      <c r="U217" s="27" t="n">
        <v>91</v>
      </c>
      <c r="V217" s="28" t="n">
        <v>0.051265306122449</v>
      </c>
      <c r="W217" s="25" t="n">
        <f aca="false">(I217-H217)/(J217-H217)</f>
        <v>1.33557604282459</v>
      </c>
      <c r="X217" s="25" t="n">
        <f aca="false">0.5*(1+(I217-K217-L217)/(I217-K217))</f>
        <v>0.422169811320755</v>
      </c>
      <c r="Y217" s="25" t="n">
        <v>0.705769424688912</v>
      </c>
      <c r="Z217" s="26" t="n">
        <v>0.11972263952841</v>
      </c>
      <c r="AA217" s="27" t="n">
        <v>246.921912945398</v>
      </c>
      <c r="AB217" s="27" t="n">
        <v>49.1976958492583</v>
      </c>
      <c r="AC217" s="28" t="n">
        <v>0.135249348683273</v>
      </c>
      <c r="AD217" s="25" t="n">
        <v>0.665125775157832</v>
      </c>
      <c r="AE217" s="4" t="n">
        <v>0.152811532156772</v>
      </c>
      <c r="AF217" s="25" t="n">
        <v>0.211274549254942</v>
      </c>
      <c r="AG217" s="26" t="n">
        <f aca="false">SMALL(AE217:AF217,1)</f>
        <v>0.152811532156772</v>
      </c>
      <c r="AH217" s="27" t="n">
        <v>260.268903933731</v>
      </c>
      <c r="AI217" s="28" t="n">
        <v>0.0333</v>
      </c>
      <c r="AJ217" s="25" t="n">
        <v>0.84895295642651</v>
      </c>
      <c r="AK217" s="29" t="n">
        <v>0.162438152011315</v>
      </c>
      <c r="AN217" s="4" t="n">
        <f aca="false">(N217-$N$344)/$N$345</f>
        <v>-1.36857019272961</v>
      </c>
      <c r="AO217" s="4" t="n">
        <f aca="false">(S217-$S$344)/$S$345</f>
        <v>-1.05918595044151</v>
      </c>
      <c r="AP217" s="4" t="n">
        <f aca="false">(Z217-$Z$344)/$Z$345</f>
        <v>-1.40681572806664</v>
      </c>
      <c r="AQ217" s="4" t="n">
        <f aca="false">(AE217-$AE$344)/$AE$345</f>
        <v>-1.47130172507526</v>
      </c>
    </row>
    <row r="218" customFormat="false" ht="14.25" hidden="false" customHeight="false" outlineLevel="0" collapsed="false">
      <c r="B218" s="1" t="n">
        <v>20</v>
      </c>
      <c r="C218" s="1" t="n">
        <v>3</v>
      </c>
      <c r="D218" s="2" t="n">
        <v>12</v>
      </c>
      <c r="E218" s="4" t="n">
        <v>3.42</v>
      </c>
      <c r="F218" s="1" t="n">
        <v>25</v>
      </c>
      <c r="G218" s="1" t="n">
        <v>35</v>
      </c>
      <c r="H218" s="3" t="n">
        <v>95.7017321457163</v>
      </c>
      <c r="I218" s="1" t="n">
        <v>235</v>
      </c>
      <c r="J218" s="39" t="n">
        <v>200</v>
      </c>
      <c r="K218" s="27" t="n">
        <v>129</v>
      </c>
      <c r="L218" s="39" t="n">
        <v>122.5</v>
      </c>
      <c r="M218" s="4" t="n">
        <v>0.19</v>
      </c>
      <c r="N218" s="26" t="n">
        <v>0.11553739220709</v>
      </c>
      <c r="O218" s="27" t="n">
        <v>283.23395896678</v>
      </c>
      <c r="P218" s="27" t="n">
        <v>49.1976958492583</v>
      </c>
      <c r="Q218" s="28" t="n">
        <v>0.135249348683273</v>
      </c>
      <c r="R218" s="25" t="n">
        <v>0.608091537932053</v>
      </c>
      <c r="S218" s="29" t="n">
        <v>0.150996277788399</v>
      </c>
      <c r="T218" s="27" t="n">
        <v>283.23395896678</v>
      </c>
      <c r="U218" s="27" t="n">
        <v>91</v>
      </c>
      <c r="V218" s="28" t="n">
        <v>0.051265306122449</v>
      </c>
      <c r="W218" s="25" t="n">
        <f aca="false">(I218-H218)/(J218-H218)</f>
        <v>1.33557604282459</v>
      </c>
      <c r="X218" s="25" t="n">
        <f aca="false">0.5*(1+(I218-K218-L218)/(I218-K218))</f>
        <v>0.422169811320755</v>
      </c>
      <c r="Y218" s="25" t="n">
        <v>0.794717251517889</v>
      </c>
      <c r="Z218" s="26" t="n">
        <v>0.139719456907104</v>
      </c>
      <c r="AA218" s="27" t="n">
        <v>283.23395896678</v>
      </c>
      <c r="AB218" s="27" t="n">
        <v>49.1976958492583</v>
      </c>
      <c r="AC218" s="28" t="n">
        <v>0.135249348683273</v>
      </c>
      <c r="AD218" s="25" t="n">
        <v>0.735365562668971</v>
      </c>
      <c r="AE218" s="4" t="n">
        <v>0.175283816297473</v>
      </c>
      <c r="AF218" s="25" t="n">
        <v>0.277983208838033</v>
      </c>
      <c r="AG218" s="26" t="n">
        <f aca="false">SMALL(AE218:AF218,1)</f>
        <v>0.175283816297473</v>
      </c>
      <c r="AH218" s="27" t="n">
        <v>298.543742747515</v>
      </c>
      <c r="AI218" s="28" t="n">
        <v>0.0333</v>
      </c>
      <c r="AJ218" s="25" t="n">
        <v>0.92254640156565</v>
      </c>
      <c r="AK218" s="29" t="n">
        <v>0.190825747618001</v>
      </c>
      <c r="AN218" s="4" t="n">
        <f aca="false">(N218-$N$344)/$N$345</f>
        <v>-1.17403706132336</v>
      </c>
      <c r="AO218" s="4" t="n">
        <f aca="false">(S218-$S$344)/$S$345</f>
        <v>-0.770208300877098</v>
      </c>
      <c r="AP218" s="4" t="n">
        <f aca="false">(Z218-$Z$344)/$Z$345</f>
        <v>-1.13520061977394</v>
      </c>
      <c r="AQ218" s="4" t="n">
        <f aca="false">(AE218-$AE$344)/$AE$345</f>
        <v>-1.18810899020608</v>
      </c>
    </row>
    <row r="219" customFormat="false" ht="14.25" hidden="false" customHeight="false" outlineLevel="0" collapsed="false">
      <c r="B219" s="1" t="n">
        <v>20</v>
      </c>
      <c r="C219" s="1" t="n">
        <v>3</v>
      </c>
      <c r="D219" s="2" t="n">
        <v>12</v>
      </c>
      <c r="E219" s="4" t="n">
        <v>3.42</v>
      </c>
      <c r="F219" s="1" t="n">
        <v>25</v>
      </c>
      <c r="G219" s="1" t="n">
        <v>35</v>
      </c>
      <c r="H219" s="3" t="n">
        <v>95.7017321457163</v>
      </c>
      <c r="I219" s="1" t="n">
        <v>235</v>
      </c>
      <c r="J219" s="39" t="n">
        <v>200</v>
      </c>
      <c r="K219" s="27" t="n">
        <v>129</v>
      </c>
      <c r="L219" s="39" t="n">
        <v>122.5</v>
      </c>
      <c r="M219" s="4" t="n">
        <v>0.21</v>
      </c>
      <c r="N219" s="26" t="n">
        <v>0.130419658178971</v>
      </c>
      <c r="O219" s="27" t="n">
        <v>315.914800386024</v>
      </c>
      <c r="P219" s="27" t="n">
        <v>49.1976958492583</v>
      </c>
      <c r="Q219" s="28" t="n">
        <v>0.135249348683273</v>
      </c>
      <c r="R219" s="25" t="n">
        <v>0.621045991328431</v>
      </c>
      <c r="S219" s="29" t="n">
        <v>0.172558280998354</v>
      </c>
      <c r="T219" s="27" t="n">
        <v>315.914800386024</v>
      </c>
      <c r="U219" s="27" t="n">
        <v>91</v>
      </c>
      <c r="V219" s="28" t="n">
        <v>0.051265306122449</v>
      </c>
      <c r="W219" s="25" t="n">
        <f aca="false">(I219-H219)/(J219-H219)</f>
        <v>1.33557604282459</v>
      </c>
      <c r="X219" s="25" t="n">
        <f aca="false">0.5*(1+(I219-K219-L219)/(I219-K219))</f>
        <v>0.422169811320755</v>
      </c>
      <c r="Y219" s="25" t="n">
        <v>0.821706099992163</v>
      </c>
      <c r="Z219" s="26" t="n">
        <v>0.15771659254793</v>
      </c>
      <c r="AA219" s="27" t="n">
        <v>315.914800386024</v>
      </c>
      <c r="AB219" s="27" t="n">
        <v>49.1976958492583</v>
      </c>
      <c r="AC219" s="28" t="n">
        <v>0.135249348683273</v>
      </c>
      <c r="AD219" s="25" t="n">
        <v>0.751031393085379</v>
      </c>
      <c r="AE219" s="4" t="n">
        <v>0.195508872024105</v>
      </c>
      <c r="AF219" s="25" t="n">
        <v>0.345834139989328</v>
      </c>
      <c r="AG219" s="26" t="n">
        <f aca="false">SMALL(AE219:AF219,1)</f>
        <v>0.195508872024105</v>
      </c>
      <c r="AH219" s="27" t="n">
        <v>332.99109767992</v>
      </c>
      <c r="AI219" s="28" t="n">
        <v>0.0333</v>
      </c>
      <c r="AJ219" s="25" t="n">
        <v>0.930994628686214</v>
      </c>
      <c r="AK219" s="29" t="n">
        <v>0.216374583664018</v>
      </c>
      <c r="AN219" s="4" t="n">
        <f aca="false">(N219-$N$344)/$N$345</f>
        <v>-0.998957243057728</v>
      </c>
      <c r="AO219" s="4" t="n">
        <f aca="false">(S219-$S$344)/$S$345</f>
        <v>-0.510128416269125</v>
      </c>
      <c r="AP219" s="4" t="n">
        <f aca="false">(Z219-$Z$344)/$Z$345</f>
        <v>-0.89074702231051</v>
      </c>
      <c r="AQ219" s="4" t="n">
        <f aca="false">(AE219-$AE$344)/$AE$345</f>
        <v>-0.933235528823817</v>
      </c>
    </row>
    <row r="220" customFormat="false" ht="14.25" hidden="false" customHeight="false" outlineLevel="0" collapsed="false">
      <c r="B220" s="1" t="n">
        <v>20</v>
      </c>
      <c r="C220" s="1" t="n">
        <v>3</v>
      </c>
      <c r="D220" s="2" t="n">
        <v>12</v>
      </c>
      <c r="E220" s="4" t="n">
        <v>3.42</v>
      </c>
      <c r="F220" s="1" t="n">
        <v>25</v>
      </c>
      <c r="G220" s="1" t="n">
        <v>35</v>
      </c>
      <c r="H220" s="3" t="n">
        <v>95.7017321457163</v>
      </c>
      <c r="I220" s="1" t="n">
        <v>235</v>
      </c>
      <c r="J220" s="39" t="n">
        <v>200</v>
      </c>
      <c r="K220" s="27" t="n">
        <v>129</v>
      </c>
      <c r="L220" s="39" t="n">
        <v>122.5</v>
      </c>
      <c r="M220" s="4" t="n">
        <v>0.23</v>
      </c>
      <c r="N220" s="26" t="n">
        <v>0.148609094366824</v>
      </c>
      <c r="O220" s="27" t="n">
        <v>355.858051009545</v>
      </c>
      <c r="P220" s="27" t="n">
        <v>49.1976958492583</v>
      </c>
      <c r="Q220" s="28" t="n">
        <v>0.135249348683273</v>
      </c>
      <c r="R220" s="25" t="n">
        <v>0.646126497247063</v>
      </c>
      <c r="S220" s="29" t="n">
        <v>0.198911840477188</v>
      </c>
      <c r="T220" s="27" t="n">
        <v>355.858051009545</v>
      </c>
      <c r="U220" s="27" t="n">
        <v>91</v>
      </c>
      <c r="V220" s="28" t="n">
        <v>0.051265306122449</v>
      </c>
      <c r="W220" s="25" t="n">
        <f aca="false">(I220-H220)/(J220-H220)</f>
        <v>1.33557604282459</v>
      </c>
      <c r="X220" s="25" t="n">
        <f aca="false">0.5*(1+(I220-K220-L220)/(I220-K220))</f>
        <v>0.422169811320755</v>
      </c>
      <c r="Y220" s="25" t="n">
        <v>0.864834089031253</v>
      </c>
      <c r="Z220" s="26" t="n">
        <v>0.179713091664494</v>
      </c>
      <c r="AA220" s="27" t="n">
        <v>355.858051009545</v>
      </c>
      <c r="AB220" s="27" t="n">
        <v>49.1976958492583</v>
      </c>
      <c r="AC220" s="28" t="n">
        <v>0.135249348683273</v>
      </c>
      <c r="AD220" s="25" t="n">
        <v>0.781361268106494</v>
      </c>
      <c r="AE220" s="4" t="n">
        <v>0.220228384578877</v>
      </c>
      <c r="AF220" s="25" t="n">
        <v>0.438815045641103</v>
      </c>
      <c r="AG220" s="26" t="n">
        <f aca="false">SMALL(AE220:AF220,1)</f>
        <v>0.220228384578877</v>
      </c>
      <c r="AH220" s="27" t="n">
        <v>375.093420375083</v>
      </c>
      <c r="AI220" s="28" t="n">
        <v>0.0333</v>
      </c>
      <c r="AJ220" s="25" t="n">
        <v>0.957514715560334</v>
      </c>
      <c r="AK220" s="29" t="n">
        <v>0.247600938831372</v>
      </c>
      <c r="AN220" s="4" t="n">
        <f aca="false">(N220-$N$344)/$N$345</f>
        <v>-0.78497079851085</v>
      </c>
      <c r="AO220" s="4" t="n">
        <f aca="false">(S220-$S$344)/$S$345</f>
        <v>-0.192253001748271</v>
      </c>
      <c r="AP220" s="4" t="n">
        <f aca="false">(Z220-$Z$344)/$Z$345</f>
        <v>-0.591970403188542</v>
      </c>
      <c r="AQ220" s="4" t="n">
        <f aca="false">(AE220-$AE$344)/$AE$345</f>
        <v>-0.621723520467717</v>
      </c>
    </row>
    <row r="221" customFormat="false" ht="14.25" hidden="false" customHeight="false" outlineLevel="0" collapsed="false">
      <c r="B221" s="1" t="n">
        <v>20</v>
      </c>
      <c r="C221" s="1" t="n">
        <v>3</v>
      </c>
      <c r="D221" s="2" t="n">
        <v>12</v>
      </c>
      <c r="E221" s="4" t="n">
        <v>3.42</v>
      </c>
      <c r="F221" s="1" t="n">
        <v>25</v>
      </c>
      <c r="G221" s="1" t="n">
        <v>35</v>
      </c>
      <c r="H221" s="3" t="n">
        <v>95.7017321457163</v>
      </c>
      <c r="I221" s="1" t="n">
        <v>235</v>
      </c>
      <c r="J221" s="39" t="n">
        <v>200</v>
      </c>
      <c r="K221" s="27" t="n">
        <v>129</v>
      </c>
      <c r="L221" s="39" t="n">
        <v>122.5</v>
      </c>
      <c r="M221" s="4" t="n">
        <v>0.25</v>
      </c>
      <c r="N221" s="26" t="n">
        <v>0.166798530554678</v>
      </c>
      <c r="O221" s="27" t="n">
        <v>395.801301633065</v>
      </c>
      <c r="P221" s="27" t="n">
        <v>49.1976958492583</v>
      </c>
      <c r="Q221" s="28" t="n">
        <v>0.135249348683273</v>
      </c>
      <c r="R221" s="25" t="n">
        <v>0.667194122218713</v>
      </c>
      <c r="S221" s="29" t="n">
        <v>0.225265399956023</v>
      </c>
      <c r="T221" s="27" t="n">
        <v>395.801301633065</v>
      </c>
      <c r="U221" s="27" t="n">
        <v>91</v>
      </c>
      <c r="V221" s="28" t="n">
        <v>0.051265306122449</v>
      </c>
      <c r="W221" s="25" t="n">
        <f aca="false">(I221-H221)/(J221-H221)</f>
        <v>1.33557604282459</v>
      </c>
      <c r="X221" s="25" t="n">
        <f aca="false">0.5*(1+(I221-K221-L221)/(I221-K221))</f>
        <v>0.422169811320755</v>
      </c>
      <c r="Y221" s="25" t="n">
        <v>0.90106159982409</v>
      </c>
      <c r="Z221" s="26" t="n">
        <v>0.201709590781058</v>
      </c>
      <c r="AA221" s="27" t="n">
        <v>395.801301633065</v>
      </c>
      <c r="AB221" s="27" t="n">
        <v>49.1976958492583</v>
      </c>
      <c r="AC221" s="28" t="n">
        <v>0.135249348683273</v>
      </c>
      <c r="AD221" s="25" t="n">
        <v>0.806838363124231</v>
      </c>
      <c r="AE221" s="4" t="n">
        <v>0.244947897133649</v>
      </c>
      <c r="AF221" s="25" t="n">
        <v>0.542853140073089</v>
      </c>
      <c r="AG221" s="26" t="n">
        <f aca="false">SMALL(AE221:AF221,1)</f>
        <v>0.244947897133649</v>
      </c>
      <c r="AH221" s="27" t="n">
        <v>417.195743070245</v>
      </c>
      <c r="AI221" s="28" t="n">
        <v>0.0333</v>
      </c>
      <c r="AJ221" s="25" t="n">
        <v>0.979791588534596</v>
      </c>
      <c r="AK221" s="29" t="n">
        <v>0.278827293998726</v>
      </c>
      <c r="AN221" s="4" t="n">
        <f aca="false">(N221-$N$344)/$N$345</f>
        <v>-0.57098435396397</v>
      </c>
      <c r="AO221" s="4" t="n">
        <f aca="false">(S221-$S$344)/$S$345</f>
        <v>0.125622412772584</v>
      </c>
      <c r="AP221" s="4" t="n">
        <f aca="false">(Z221-$Z$344)/$Z$345</f>
        <v>-0.293193784066574</v>
      </c>
      <c r="AQ221" s="4" t="n">
        <f aca="false">(AE221-$AE$344)/$AE$345</f>
        <v>-0.310211512111614</v>
      </c>
    </row>
    <row r="222" customFormat="false" ht="14.25" hidden="false" customHeight="false" outlineLevel="0" collapsed="false">
      <c r="B222" s="1" t="n">
        <v>20</v>
      </c>
      <c r="C222" s="1" t="n">
        <v>3</v>
      </c>
      <c r="D222" s="2" t="n">
        <v>12</v>
      </c>
      <c r="E222" s="4" t="n">
        <v>3.42</v>
      </c>
      <c r="F222" s="1" t="n">
        <v>25</v>
      </c>
      <c r="G222" s="1" t="n">
        <v>35</v>
      </c>
      <c r="H222" s="3" t="n">
        <v>95.7017321457163</v>
      </c>
      <c r="I222" s="1" t="n">
        <v>235</v>
      </c>
      <c r="J222" s="39" t="n">
        <v>200</v>
      </c>
      <c r="K222" s="27" t="n">
        <v>129</v>
      </c>
      <c r="L222" s="39" t="n">
        <v>122.5</v>
      </c>
      <c r="M222" s="4" t="n">
        <v>0.29</v>
      </c>
      <c r="N222" s="26" t="n">
        <v>0.183334381634546</v>
      </c>
      <c r="O222" s="27" t="n">
        <v>432.113347654447</v>
      </c>
      <c r="P222" s="27" t="n">
        <v>49.1976958492583</v>
      </c>
      <c r="Q222" s="28" t="n">
        <v>0.135249348683273</v>
      </c>
      <c r="R222" s="25" t="n">
        <v>0.632187522877743</v>
      </c>
      <c r="S222" s="29" t="n">
        <v>0.249223181300417</v>
      </c>
      <c r="T222" s="27" t="n">
        <v>432.113347654447</v>
      </c>
      <c r="U222" s="27" t="n">
        <v>91</v>
      </c>
      <c r="V222" s="28" t="n">
        <v>0.051265306122449</v>
      </c>
      <c r="W222" s="25" t="n">
        <f aca="false">(I222-H222)/(J222-H222)</f>
        <v>1.33557604282459</v>
      </c>
      <c r="X222" s="25" t="n">
        <f aca="false">0.5*(1+(I222-K222-L222)/(I222-K222))</f>
        <v>0.422169811320755</v>
      </c>
      <c r="Y222" s="25" t="n">
        <v>0.859390280346266</v>
      </c>
      <c r="Z222" s="26" t="n">
        <v>0.221706408159752</v>
      </c>
      <c r="AA222" s="27" t="n">
        <v>432.113347654447</v>
      </c>
      <c r="AB222" s="27" t="n">
        <v>49.1976958492583</v>
      </c>
      <c r="AC222" s="28" t="n">
        <v>0.135249348683273</v>
      </c>
      <c r="AD222" s="25" t="n">
        <v>0.764504855723284</v>
      </c>
      <c r="AE222" s="4" t="n">
        <v>0.267420181274351</v>
      </c>
      <c r="AF222" s="25" t="n">
        <v>0.647028307093258</v>
      </c>
      <c r="AG222" s="26" t="n">
        <f aca="false">SMALL(AE222:AF222,1)</f>
        <v>0.267420181274351</v>
      </c>
      <c r="AH222" s="27" t="n">
        <v>455.470581884029</v>
      </c>
      <c r="AI222" s="28" t="n">
        <v>0.0333</v>
      </c>
      <c r="AJ222" s="25" t="n">
        <v>0.92213855611845</v>
      </c>
      <c r="AK222" s="29" t="n">
        <v>0.307102170654145</v>
      </c>
      <c r="AN222" s="4" t="n">
        <f aca="false">(N222-$N$344)/$N$345</f>
        <v>-0.376451222557717</v>
      </c>
      <c r="AO222" s="4" t="n">
        <f aca="false">(S222-$S$344)/$S$345</f>
        <v>0.414600062336996</v>
      </c>
      <c r="AP222" s="4" t="n">
        <f aca="false">(Z222-$Z$344)/$Z$345</f>
        <v>-0.0215786757738767</v>
      </c>
      <c r="AQ222" s="4" t="n">
        <f aca="false">(AE222-$AE$344)/$AE$345</f>
        <v>-0.0270187772424329</v>
      </c>
    </row>
    <row r="223" customFormat="false" ht="14.25" hidden="false" customHeight="false" outlineLevel="0" collapsed="false">
      <c r="B223" s="1" t="n">
        <v>20</v>
      </c>
      <c r="C223" s="1" t="n">
        <v>3</v>
      </c>
      <c r="D223" s="2" t="n">
        <v>12</v>
      </c>
      <c r="E223" s="4" t="n">
        <v>3.42</v>
      </c>
      <c r="F223" s="1" t="n">
        <v>25</v>
      </c>
      <c r="G223" s="1" t="n">
        <v>35</v>
      </c>
      <c r="H223" s="3" t="n">
        <v>95.7017321457163</v>
      </c>
      <c r="I223" s="1" t="n">
        <v>235</v>
      </c>
      <c r="J223" s="39" t="n">
        <v>200</v>
      </c>
      <c r="K223" s="27" t="n">
        <v>129</v>
      </c>
      <c r="L223" s="39" t="n">
        <v>122.5</v>
      </c>
      <c r="M223" s="4" t="n">
        <v>0.31</v>
      </c>
      <c r="N223" s="26" t="n">
        <v>0.199870232714413</v>
      </c>
      <c r="O223" s="27" t="n">
        <v>468.425393675829</v>
      </c>
      <c r="P223" s="27" t="n">
        <v>49.1976958492583</v>
      </c>
      <c r="Q223" s="28" t="n">
        <v>0.135249348683273</v>
      </c>
      <c r="R223" s="25" t="n">
        <v>0.644742686175525</v>
      </c>
      <c r="S223" s="29" t="n">
        <v>0.273180962644812</v>
      </c>
      <c r="T223" s="27" t="n">
        <v>468.425393675829</v>
      </c>
      <c r="U223" s="27" t="n">
        <v>91</v>
      </c>
      <c r="V223" s="28" t="n">
        <v>0.051265306122449</v>
      </c>
      <c r="W223" s="25" t="n">
        <f aca="false">(I223-H223)/(J223-H223)</f>
        <v>1.33557604282459</v>
      </c>
      <c r="X223" s="25" t="n">
        <f aca="false">0.5*(1+(I223-K223-L223)/(I223-K223))</f>
        <v>0.422169811320755</v>
      </c>
      <c r="Y223" s="25" t="n">
        <v>0.881228911757457</v>
      </c>
      <c r="Z223" s="26" t="n">
        <v>0.241703225538447</v>
      </c>
      <c r="AA223" s="27" t="n">
        <v>468.425393675829</v>
      </c>
      <c r="AB223" s="27" t="n">
        <v>49.1976958492583</v>
      </c>
      <c r="AC223" s="28" t="n">
        <v>0.135249348683273</v>
      </c>
      <c r="AD223" s="25" t="n">
        <v>0.779687824317571</v>
      </c>
      <c r="AE223" s="4" t="n">
        <v>0.289892465415052</v>
      </c>
      <c r="AF223" s="25" t="n">
        <v>0.760341646659058</v>
      </c>
      <c r="AG223" s="26" t="n">
        <f aca="false">SMALL(AE223:AF223,1)</f>
        <v>0.289892465415052</v>
      </c>
      <c r="AH223" s="27" t="n">
        <v>493.745420697813</v>
      </c>
      <c r="AI223" s="28" t="n">
        <v>0.0333</v>
      </c>
      <c r="AJ223" s="25" t="n">
        <v>0.935136985209846</v>
      </c>
      <c r="AK223" s="29" t="n">
        <v>0.332909075751132</v>
      </c>
      <c r="AN223" s="4" t="n">
        <f aca="false">(N223-$N$344)/$N$345</f>
        <v>-0.181918091151464</v>
      </c>
      <c r="AO223" s="4" t="n">
        <f aca="false">(S223-$S$344)/$S$345</f>
        <v>0.703577711901409</v>
      </c>
      <c r="AP223" s="4" t="n">
        <f aca="false">(Z223-$Z$344)/$Z$345</f>
        <v>0.250036432518822</v>
      </c>
      <c r="AQ223" s="4" t="n">
        <f aca="false">(AE223-$AE$344)/$AE$345</f>
        <v>0.256173957626751</v>
      </c>
    </row>
    <row r="224" customFormat="false" ht="14.25" hidden="false" customHeight="false" outlineLevel="0" collapsed="false">
      <c r="B224" s="1" t="n">
        <v>20</v>
      </c>
      <c r="C224" s="1" t="n">
        <v>3</v>
      </c>
      <c r="D224" s="2" t="n">
        <v>12</v>
      </c>
      <c r="E224" s="4" t="n">
        <v>3.42</v>
      </c>
      <c r="F224" s="1" t="n">
        <v>25</v>
      </c>
      <c r="G224" s="1" t="n">
        <v>35</v>
      </c>
      <c r="H224" s="3" t="n">
        <v>95.7017321457163</v>
      </c>
      <c r="I224" s="1" t="n">
        <v>235</v>
      </c>
      <c r="J224" s="39" t="n">
        <v>200</v>
      </c>
      <c r="K224" s="27" t="n">
        <v>129</v>
      </c>
      <c r="L224" s="39" t="n">
        <v>122.5</v>
      </c>
      <c r="M224" s="4" t="n">
        <v>0.37</v>
      </c>
      <c r="N224" s="26" t="n">
        <v>0.214752498686293</v>
      </c>
      <c r="O224" s="27" t="n">
        <v>501.106235095073</v>
      </c>
      <c r="P224" s="27" t="n">
        <v>49.1976958492583</v>
      </c>
      <c r="Q224" s="28" t="n">
        <v>0.135249348683273</v>
      </c>
      <c r="R224" s="25" t="n">
        <v>0.580412158611603</v>
      </c>
      <c r="S224" s="29" t="n">
        <v>0.294742965854767</v>
      </c>
      <c r="T224" s="27" t="n">
        <v>501.106235095073</v>
      </c>
      <c r="U224" s="27" t="n">
        <v>91</v>
      </c>
      <c r="V224" s="28" t="n">
        <v>0.051265306122449</v>
      </c>
      <c r="W224" s="25" t="n">
        <f aca="false">(I224-H224)/(J224-H224)</f>
        <v>1.33557604282459</v>
      </c>
      <c r="X224" s="25" t="n">
        <f aca="false">0.5*(1+(I224-K224-L224)/(I224-K224))</f>
        <v>0.422169811320755</v>
      </c>
      <c r="Y224" s="25" t="n">
        <v>0.796602610418289</v>
      </c>
      <c r="Z224" s="26" t="n">
        <v>0.259700361179272</v>
      </c>
      <c r="AA224" s="27" t="n">
        <v>501.106235095073</v>
      </c>
      <c r="AB224" s="27" t="n">
        <v>49.1976958492583</v>
      </c>
      <c r="AC224" s="28" t="n">
        <v>0.135249348683273</v>
      </c>
      <c r="AD224" s="25" t="n">
        <v>0.701892868052087</v>
      </c>
      <c r="AE224" s="4" t="n">
        <v>0.310004336896578</v>
      </c>
      <c r="AF224" s="25" t="n">
        <v>0.869501754385965</v>
      </c>
      <c r="AG224" s="26" t="n">
        <f aca="false">SMALL(AE224:AF224,1)</f>
        <v>0.310004336896578</v>
      </c>
      <c r="AH224" s="27" t="n">
        <v>528</v>
      </c>
      <c r="AI224" s="28" t="n">
        <v>0.0333</v>
      </c>
      <c r="AJ224" s="25" t="n">
        <v>0.837849559179941</v>
      </c>
      <c r="AK224" s="29" t="n">
        <v>0.35613529033842</v>
      </c>
      <c r="AN224" s="4" t="n">
        <f aca="false">(N224-$N$344)/$N$345</f>
        <v>-0.00683827288583656</v>
      </c>
      <c r="AO224" s="4" t="n">
        <f aca="false">(S224-$S$344)/$S$345</f>
        <v>0.963657596509381</v>
      </c>
      <c r="AP224" s="4" t="n">
        <f aca="false">(Z224-$Z$344)/$Z$345</f>
        <v>0.494490029982249</v>
      </c>
      <c r="AQ224" s="4" t="n">
        <f aca="false">(AE224-$AE$344)/$AE$345</f>
        <v>0.509621086211029</v>
      </c>
    </row>
    <row r="225" customFormat="false" ht="14.25" hidden="false" customHeight="false" outlineLevel="0" collapsed="false">
      <c r="A225" s="0" t="s">
        <v>69</v>
      </c>
      <c r="B225" s="1" t="n">
        <v>16</v>
      </c>
      <c r="C225" s="1" t="n">
        <v>2</v>
      </c>
      <c r="D225" s="2" t="n">
        <v>52</v>
      </c>
      <c r="E225" s="4" t="n">
        <v>2.98</v>
      </c>
      <c r="F225" s="1" t="n">
        <v>27</v>
      </c>
      <c r="G225" s="1" t="n">
        <v>35</v>
      </c>
      <c r="H225" s="3" t="n">
        <v>67.594050734713</v>
      </c>
      <c r="I225" s="1" t="n">
        <v>235</v>
      </c>
      <c r="J225" s="39" t="n">
        <v>200</v>
      </c>
      <c r="K225" s="27" t="n">
        <v>122</v>
      </c>
      <c r="L225" s="39" t="n">
        <v>115</v>
      </c>
      <c r="M225" s="4" t="n">
        <v>0.16</v>
      </c>
      <c r="N225" s="26" t="n">
        <v>0.235935661884893</v>
      </c>
      <c r="O225" s="27" t="n">
        <v>370.747284048733</v>
      </c>
      <c r="P225" s="27" t="n">
        <v>81.2334347833225</v>
      </c>
      <c r="Q225" s="28" t="n">
        <v>0.04802696699422</v>
      </c>
      <c r="R225" s="25" t="n">
        <v>1.47459788678058</v>
      </c>
      <c r="S225" s="29" t="n">
        <v>0.250565220443721</v>
      </c>
      <c r="T225" s="27" t="n">
        <v>370.747284048733</v>
      </c>
      <c r="U225" s="27" t="n">
        <v>147</v>
      </c>
      <c r="V225" s="28" t="n">
        <v>0.023304347826087</v>
      </c>
      <c r="W225" s="25" t="n">
        <f aca="false">(I225-H225)/(J225-H225)</f>
        <v>1.2643385753753</v>
      </c>
      <c r="X225" s="25" t="n">
        <f aca="false">0.5*(1+(I225-K225-L225)/(I225-K225))</f>
        <v>0.491150442477876</v>
      </c>
      <c r="Y225" s="25" t="n">
        <v>1.56603262777326</v>
      </c>
      <c r="Z225" s="26" t="n">
        <v>0.238985466954541</v>
      </c>
      <c r="AA225" s="27" t="n">
        <v>370.747284048733</v>
      </c>
      <c r="AB225" s="27" t="n">
        <v>81.2334347833225</v>
      </c>
      <c r="AC225" s="28" t="n">
        <v>0.04802696699422</v>
      </c>
      <c r="AD225" s="25" t="n">
        <v>1.49365916846588</v>
      </c>
      <c r="AE225" s="4" t="n">
        <v>0.285360965987642</v>
      </c>
      <c r="AF225" s="25" t="n">
        <v>0.433741556113918</v>
      </c>
      <c r="AG225" s="26" t="n">
        <f aca="false">SMALL(AE225:AF225,1)</f>
        <v>0.285360965987642</v>
      </c>
      <c r="AH225" s="27" t="n">
        <v>389.192348394926</v>
      </c>
      <c r="AI225" s="28" t="n">
        <v>0.0188</v>
      </c>
      <c r="AJ225" s="25" t="n">
        <v>1.78350603742276</v>
      </c>
      <c r="AK225" s="29" t="n">
        <v>0.337808283801946</v>
      </c>
      <c r="AN225" s="4" t="n">
        <f aca="false">(N225-$N$344)/$N$345</f>
        <v>0.242367350109316</v>
      </c>
      <c r="AO225" s="4" t="n">
        <f aca="false">(S225-$S$344)/$S$345</f>
        <v>0.430787676360203</v>
      </c>
      <c r="AP225" s="4" t="n">
        <f aca="false">(Z225-$Z$344)/$Z$345</f>
        <v>0.213121343577341</v>
      </c>
      <c r="AQ225" s="4" t="n">
        <f aca="false">(AE225-$AE$344)/$AE$345</f>
        <v>0.19906860474532</v>
      </c>
    </row>
    <row r="226" customFormat="false" ht="14.25" hidden="false" customHeight="false" outlineLevel="0" collapsed="false">
      <c r="B226" s="1" t="n">
        <v>16</v>
      </c>
      <c r="C226" s="1" t="n">
        <v>2</v>
      </c>
      <c r="D226" s="2" t="n">
        <v>52</v>
      </c>
      <c r="E226" s="4" t="n">
        <v>2.98</v>
      </c>
      <c r="F226" s="1" t="n">
        <v>27</v>
      </c>
      <c r="G226" s="1" t="n">
        <v>35</v>
      </c>
      <c r="H226" s="3" t="n">
        <v>67.594050734713</v>
      </c>
      <c r="I226" s="1" t="n">
        <v>235</v>
      </c>
      <c r="J226" s="39" t="n">
        <v>200</v>
      </c>
      <c r="K226" s="27" t="n">
        <v>122</v>
      </c>
      <c r="L226" s="39" t="n">
        <v>115</v>
      </c>
      <c r="M226" s="4" t="n">
        <v>0.2</v>
      </c>
      <c r="N226" s="26" t="n">
        <v>0.289084115385482</v>
      </c>
      <c r="O226" s="27" t="n">
        <v>443.284796145224</v>
      </c>
      <c r="P226" s="27" t="n">
        <v>81.2334347833225</v>
      </c>
      <c r="Q226" s="28" t="n">
        <v>0.04802696699422</v>
      </c>
      <c r="R226" s="25" t="n">
        <v>1.44542057692741</v>
      </c>
      <c r="S226" s="29" t="n">
        <v>0.314900010645328</v>
      </c>
      <c r="T226" s="27" t="n">
        <v>443.284796145224</v>
      </c>
      <c r="U226" s="27" t="n">
        <v>147</v>
      </c>
      <c r="V226" s="28" t="n">
        <v>0.023304347826087</v>
      </c>
      <c r="W226" s="25" t="n">
        <f aca="false">(I226-H226)/(J226-H226)</f>
        <v>1.2643385753753</v>
      </c>
      <c r="X226" s="25" t="n">
        <f aca="false">0.5*(1+(I226-K226-L226)/(I226-K226))</f>
        <v>0.491150442477876</v>
      </c>
      <c r="Y226" s="25" t="n">
        <v>1.57450005322664</v>
      </c>
      <c r="Z226" s="26" t="n">
        <v>0.292820940050367</v>
      </c>
      <c r="AA226" s="27" t="n">
        <v>443.284796145224</v>
      </c>
      <c r="AB226" s="27" t="n">
        <v>81.2334347833225</v>
      </c>
      <c r="AC226" s="28" t="n">
        <v>0.04802696699422</v>
      </c>
      <c r="AD226" s="25" t="n">
        <v>1.46410470025183</v>
      </c>
      <c r="AE226" s="4" t="n">
        <v>0.34119245933305</v>
      </c>
      <c r="AF226" s="25" t="n">
        <v>0.620070041230908</v>
      </c>
      <c r="AG226" s="26" t="n">
        <f aca="false">SMALL(AE226:AF226,1)</f>
        <v>0.34119245933305</v>
      </c>
      <c r="AH226" s="27" t="n">
        <v>465.338677428716</v>
      </c>
      <c r="AI226" s="28" t="n">
        <v>0.0188</v>
      </c>
      <c r="AJ226" s="25" t="n">
        <v>1.70596229666525</v>
      </c>
      <c r="AK226" s="29" t="n">
        <v>0.420857220714783</v>
      </c>
      <c r="AN226" s="4" t="n">
        <f aca="false">(N226-$N$344)/$N$345</f>
        <v>0.867623046893948</v>
      </c>
      <c r="AO226" s="4" t="n">
        <f aca="false">(S226-$S$344)/$S$345</f>
        <v>1.2067909376985</v>
      </c>
      <c r="AP226" s="4" t="n">
        <f aca="false">(Z226-$Z$344)/$Z$345</f>
        <v>0.94436409976167</v>
      </c>
      <c r="AQ226" s="4" t="n">
        <f aca="false">(AE226-$AE$344)/$AE$345</f>
        <v>0.902649655666607</v>
      </c>
    </row>
    <row r="227" customFormat="false" ht="14.25" hidden="false" customHeight="false" outlineLevel="0" collapsed="false">
      <c r="B227" s="1" t="n">
        <v>16</v>
      </c>
      <c r="C227" s="1" t="n">
        <v>2</v>
      </c>
      <c r="D227" s="2" t="n">
        <v>52</v>
      </c>
      <c r="E227" s="4" t="n">
        <v>2.98</v>
      </c>
      <c r="F227" s="1" t="n">
        <v>27</v>
      </c>
      <c r="G227" s="1" t="n">
        <v>35</v>
      </c>
      <c r="H227" s="3" t="n">
        <v>67.594050734713</v>
      </c>
      <c r="I227" s="1" t="n">
        <v>235</v>
      </c>
      <c r="J227" s="39" t="n">
        <v>200</v>
      </c>
      <c r="K227" s="27" t="n">
        <v>122</v>
      </c>
      <c r="L227" s="39" t="n">
        <v>115</v>
      </c>
      <c r="M227" s="4" t="n">
        <v>0.26</v>
      </c>
      <c r="N227" s="26" t="n">
        <v>0.348137952608359</v>
      </c>
      <c r="O227" s="27" t="n">
        <v>523.882031807992</v>
      </c>
      <c r="P227" s="27" t="n">
        <v>81.2334347833225</v>
      </c>
      <c r="Q227" s="28" t="n">
        <v>0.04802696699422</v>
      </c>
      <c r="R227" s="25" t="n">
        <v>1.33899212541677</v>
      </c>
      <c r="S227" s="29" t="n">
        <v>0.386383110869336</v>
      </c>
      <c r="T227" s="27" t="n">
        <v>523.882031807992</v>
      </c>
      <c r="U227" s="27" t="n">
        <v>147</v>
      </c>
      <c r="V227" s="28" t="n">
        <v>0.023304347826087</v>
      </c>
      <c r="W227" s="25" t="n">
        <f aca="false">(I227-H227)/(J227-H227)</f>
        <v>1.2643385753753</v>
      </c>
      <c r="X227" s="25" t="n">
        <f aca="false">0.5*(1+(I227-K227-L227)/(I227-K227))</f>
        <v>0.491150442477876</v>
      </c>
      <c r="Y227" s="25" t="n">
        <v>1.48608888795899</v>
      </c>
      <c r="Z227" s="26" t="n">
        <v>0.352638132379062</v>
      </c>
      <c r="AA227" s="27" t="n">
        <v>523.882031807992</v>
      </c>
      <c r="AB227" s="27" t="n">
        <v>81.2334347833225</v>
      </c>
      <c r="AC227" s="28" t="n">
        <v>0.04802696699422</v>
      </c>
      <c r="AD227" s="25" t="n">
        <v>1.35630050915024</v>
      </c>
      <c r="AE227" s="4" t="n">
        <v>0.387136567979452</v>
      </c>
      <c r="AF227" s="25" t="n">
        <v>0.798307651006711</v>
      </c>
      <c r="AG227" s="26" t="n">
        <f aca="false">SMALL(AE227:AF227,1)</f>
        <v>0.387136567979452</v>
      </c>
      <c r="AH227" s="27" t="n">
        <v>528</v>
      </c>
      <c r="AI227" s="28" t="n">
        <v>0.0188</v>
      </c>
      <c r="AJ227" s="25" t="n">
        <v>1.48898679992097</v>
      </c>
      <c r="AK227" s="29" t="n">
        <v>0.506033237491229</v>
      </c>
      <c r="AN227" s="4" t="n">
        <f aca="false">(N227-$N$344)/$N$345</f>
        <v>1.56235159887687</v>
      </c>
      <c r="AO227" s="4" t="n">
        <f aca="false">(S227-$S$344)/$S$345</f>
        <v>2.06901678362994</v>
      </c>
      <c r="AP227" s="4" t="n">
        <f aca="false">(Z227-$Z$344)/$Z$345</f>
        <v>1.75685605107759</v>
      </c>
      <c r="AQ227" s="4" t="n">
        <f aca="false">(AE227-$AE$344)/$AE$345</f>
        <v>1.48163120009876</v>
      </c>
    </row>
    <row r="228" customFormat="false" ht="14.25" hidden="false" customHeight="false" outlineLevel="0" collapsed="false">
      <c r="A228" s="0" t="s">
        <v>70</v>
      </c>
      <c r="B228" s="1" t="n">
        <v>20</v>
      </c>
      <c r="C228" s="1" t="n">
        <v>2</v>
      </c>
      <c r="D228" s="2" t="n">
        <v>44</v>
      </c>
      <c r="E228" s="4" t="n">
        <v>2.98</v>
      </c>
      <c r="F228" s="1" t="n">
        <v>25</v>
      </c>
      <c r="G228" s="1" t="n">
        <v>35</v>
      </c>
      <c r="H228" s="3" t="n">
        <v>80.321192218195</v>
      </c>
      <c r="I228" s="1" t="n">
        <v>235</v>
      </c>
      <c r="J228" s="39" t="n">
        <v>200</v>
      </c>
      <c r="K228" s="27" t="n">
        <v>125</v>
      </c>
      <c r="L228" s="39" t="n">
        <v>122.5</v>
      </c>
      <c r="M228" s="4" t="n">
        <v>0.17</v>
      </c>
      <c r="N228" s="26" t="n">
        <v>0.136624194395983</v>
      </c>
      <c r="O228" s="27" t="n">
        <v>264.280094309474</v>
      </c>
      <c r="P228" s="27" t="n">
        <v>55.8842323237379</v>
      </c>
      <c r="Q228" s="28" t="n">
        <v>0.0812005224252669</v>
      </c>
      <c r="R228" s="25" t="n">
        <v>0.803671731741077</v>
      </c>
      <c r="S228" s="29" t="n">
        <v>0.154143497430964</v>
      </c>
      <c r="T228" s="27" t="n">
        <v>264.280094309474</v>
      </c>
      <c r="U228" s="27" t="n">
        <v>106</v>
      </c>
      <c r="V228" s="28" t="n">
        <v>0.0341768707482993</v>
      </c>
      <c r="W228" s="25" t="n">
        <f aca="false">(I228-H228)/(J228-H228)</f>
        <v>1.29244943736247</v>
      </c>
      <c r="X228" s="25" t="n">
        <f aca="false">0.5*(1+(I228-K228-L228)/(I228-K228))</f>
        <v>0.443181818181818</v>
      </c>
      <c r="Y228" s="25" t="n">
        <v>0.906726455476259</v>
      </c>
      <c r="Z228" s="26" t="n">
        <v>0.146377885907284</v>
      </c>
      <c r="AA228" s="27" t="n">
        <v>264.280094309474</v>
      </c>
      <c r="AB228" s="27" t="n">
        <v>55.8842323237379</v>
      </c>
      <c r="AC228" s="28" t="n">
        <v>0.0812005224252669</v>
      </c>
      <c r="AD228" s="25" t="n">
        <v>0.861046387689909</v>
      </c>
      <c r="AE228" s="4" t="n">
        <v>0.201171796619769</v>
      </c>
      <c r="AF228" s="25" t="n">
        <v>0.278559863640606</v>
      </c>
      <c r="AG228" s="26" t="n">
        <f aca="false">SMALL(AE228:AF228,1)</f>
        <v>0.201171796619769</v>
      </c>
      <c r="AH228" s="27" t="n">
        <v>278.967134093954</v>
      </c>
      <c r="AI228" s="28" t="n">
        <v>0.0253</v>
      </c>
      <c r="AJ228" s="25" t="n">
        <v>1.18336350952805</v>
      </c>
      <c r="AK228" s="29" t="n">
        <v>0.206339429931675</v>
      </c>
      <c r="AN228" s="4" t="n">
        <f aca="false">(N228-$N$344)/$N$345</f>
        <v>-0.925965060593741</v>
      </c>
      <c r="AO228" s="4" t="n">
        <f aca="false">(S228-$S$344)/$S$345</f>
        <v>-0.732246683234059</v>
      </c>
      <c r="AP228" s="4" t="n">
        <f aca="false">(Z228-$Z$344)/$Z$345</f>
        <v>-1.04475973212199</v>
      </c>
      <c r="AQ228" s="4" t="n">
        <f aca="false">(AE228-$AE$344)/$AE$345</f>
        <v>-0.86187210650488</v>
      </c>
    </row>
    <row r="229" customFormat="false" ht="14.25" hidden="false" customHeight="false" outlineLevel="0" collapsed="false">
      <c r="B229" s="1" t="n">
        <v>20</v>
      </c>
      <c r="C229" s="1" t="n">
        <v>2</v>
      </c>
      <c r="D229" s="2" t="n">
        <v>44</v>
      </c>
      <c r="E229" s="4" t="n">
        <v>2.98</v>
      </c>
      <c r="F229" s="1" t="n">
        <v>25</v>
      </c>
      <c r="G229" s="1" t="n">
        <v>35</v>
      </c>
      <c r="H229" s="3" t="n">
        <v>80.321192218195</v>
      </c>
      <c r="I229" s="1" t="n">
        <v>235</v>
      </c>
      <c r="J229" s="39" t="n">
        <v>200</v>
      </c>
      <c r="K229" s="27" t="n">
        <v>125</v>
      </c>
      <c r="L229" s="39" t="n">
        <v>122.5</v>
      </c>
      <c r="M229" s="4" t="n">
        <v>0.19</v>
      </c>
      <c r="N229" s="26" t="n">
        <v>0.158531008903368</v>
      </c>
      <c r="O229" s="27" t="n">
        <v>301.2793075128</v>
      </c>
      <c r="P229" s="27" t="n">
        <v>55.8842323237379</v>
      </c>
      <c r="Q229" s="28" t="n">
        <v>0.0812005224252669</v>
      </c>
      <c r="R229" s="25" t="n">
        <v>0.83437373107036</v>
      </c>
      <c r="S229" s="29" t="n">
        <v>0.18259499046457</v>
      </c>
      <c r="T229" s="27" t="n">
        <v>301.2793075128</v>
      </c>
      <c r="U229" s="27" t="n">
        <v>106</v>
      </c>
      <c r="V229" s="28" t="n">
        <v>0.0341768707482993</v>
      </c>
      <c r="W229" s="25" t="n">
        <f aca="false">(I229-H229)/(J229-H229)</f>
        <v>1.29244943736247</v>
      </c>
      <c r="X229" s="25" t="n">
        <f aca="false">0.5*(1+(I229-K229-L229)/(I229-K229))</f>
        <v>0.443181818181818</v>
      </c>
      <c r="Y229" s="25" t="n">
        <v>0.961026265602999</v>
      </c>
      <c r="Z229" s="26" t="n">
        <v>0.169848642377109</v>
      </c>
      <c r="AA229" s="27" t="n">
        <v>301.2793075128</v>
      </c>
      <c r="AB229" s="27" t="n">
        <v>55.8842323237379</v>
      </c>
      <c r="AC229" s="28" t="n">
        <v>0.0812005224252669</v>
      </c>
      <c r="AD229" s="25" t="n">
        <v>0.893940223037416</v>
      </c>
      <c r="AE229" s="4" t="n">
        <v>0.229335848146537</v>
      </c>
      <c r="AF229" s="25" t="n">
        <v>0.362016398787332</v>
      </c>
      <c r="AG229" s="26" t="n">
        <f aca="false">SMALL(AE229:AF229,1)</f>
        <v>0.229335848146537</v>
      </c>
      <c r="AH229" s="27" t="n">
        <v>318.022532867108</v>
      </c>
      <c r="AI229" s="28" t="n">
        <v>0.0253</v>
      </c>
      <c r="AJ229" s="25" t="n">
        <v>1.20703077971861</v>
      </c>
      <c r="AK229" s="29" t="n">
        <v>0.241907983945839</v>
      </c>
      <c r="AN229" s="4" t="n">
        <f aca="false">(N229-$N$344)/$N$345</f>
        <v>-0.668246168189939</v>
      </c>
      <c r="AO229" s="4" t="n">
        <f aca="false">(S229-$S$344)/$S$345</f>
        <v>-0.389066091289417</v>
      </c>
      <c r="AP229" s="4" t="n">
        <f aca="false">(Z229-$Z$344)/$Z$345</f>
        <v>-0.725958397912918</v>
      </c>
      <c r="AQ229" s="4" t="n">
        <f aca="false">(AE229-$AE$344)/$AE$345</f>
        <v>-0.506952476309564</v>
      </c>
    </row>
    <row r="230" customFormat="false" ht="14.25" hidden="false" customHeight="false" outlineLevel="0" collapsed="false">
      <c r="B230" s="1" t="n">
        <v>20</v>
      </c>
      <c r="C230" s="1" t="n">
        <v>2</v>
      </c>
      <c r="D230" s="2" t="n">
        <v>44</v>
      </c>
      <c r="E230" s="4" t="n">
        <v>2.98</v>
      </c>
      <c r="F230" s="1" t="n">
        <v>25</v>
      </c>
      <c r="G230" s="1" t="n">
        <v>35</v>
      </c>
      <c r="H230" s="3" t="n">
        <v>80.321192218195</v>
      </c>
      <c r="I230" s="1" t="n">
        <v>235</v>
      </c>
      <c r="J230" s="39" t="n">
        <v>200</v>
      </c>
      <c r="K230" s="27" t="n">
        <v>125</v>
      </c>
      <c r="L230" s="39" t="n">
        <v>122.5</v>
      </c>
      <c r="M230" s="4" t="n">
        <v>0.23</v>
      </c>
      <c r="N230" s="26" t="n">
        <v>0.186696913270007</v>
      </c>
      <c r="O230" s="27" t="n">
        <v>348.849724488505</v>
      </c>
      <c r="P230" s="27" t="n">
        <v>55.8842323237379</v>
      </c>
      <c r="Q230" s="28" t="n">
        <v>0.0812005224252669</v>
      </c>
      <c r="R230" s="25" t="n">
        <v>0.811725709869594</v>
      </c>
      <c r="S230" s="29" t="n">
        <v>0.219175481507777</v>
      </c>
      <c r="T230" s="27" t="n">
        <v>348.849724488505</v>
      </c>
      <c r="U230" s="27" t="n">
        <v>106</v>
      </c>
      <c r="V230" s="28" t="n">
        <v>0.0341768707482993</v>
      </c>
      <c r="W230" s="25" t="n">
        <f aca="false">(I230-H230)/(J230-H230)</f>
        <v>1.29244943736247</v>
      </c>
      <c r="X230" s="25" t="n">
        <f aca="false">0.5*(1+(I230-K230-L230)/(I230-K230))</f>
        <v>0.443181818181818</v>
      </c>
      <c r="Y230" s="25" t="n">
        <v>0.95293687612077</v>
      </c>
      <c r="Z230" s="26" t="n">
        <v>0.200025329266883</v>
      </c>
      <c r="AA230" s="27" t="n">
        <v>348.849724488505</v>
      </c>
      <c r="AB230" s="27" t="n">
        <v>55.8842323237379</v>
      </c>
      <c r="AC230" s="28" t="n">
        <v>0.0812005224252669</v>
      </c>
      <c r="AD230" s="25" t="n">
        <v>0.869675344638624</v>
      </c>
      <c r="AE230" s="4" t="n">
        <v>0.265546771538095</v>
      </c>
      <c r="AF230" s="25" t="n">
        <v>0.485362706407392</v>
      </c>
      <c r="AG230" s="26" t="n">
        <f aca="false">SMALL(AE230:AF230,1)</f>
        <v>0.265546771538095</v>
      </c>
      <c r="AH230" s="27" t="n">
        <v>368.23661700402</v>
      </c>
      <c r="AI230" s="28" t="n">
        <v>0.0253</v>
      </c>
      <c r="AJ230" s="25" t="n">
        <v>1.15455118060041</v>
      </c>
      <c r="AK230" s="29" t="n">
        <v>0.287638981964049</v>
      </c>
      <c r="AN230" s="4" t="n">
        <f aca="false">(N230-$N$344)/$N$345</f>
        <v>-0.336893306527906</v>
      </c>
      <c r="AO230" s="4" t="n">
        <f aca="false">(S230-$S$344)/$S$345</f>
        <v>0.0521660983536934</v>
      </c>
      <c r="AP230" s="4" t="n">
        <f aca="false">(Z230-$Z$344)/$Z$345</f>
        <v>-0.316070968215544</v>
      </c>
      <c r="AQ230" s="4" t="n">
        <f aca="false">(AE230-$AE$344)/$AE$345</f>
        <v>-0.0506272374870167</v>
      </c>
    </row>
    <row r="231" customFormat="false" ht="14.25" hidden="false" customHeight="false" outlineLevel="0" collapsed="false">
      <c r="B231" s="1" t="n">
        <v>20</v>
      </c>
      <c r="C231" s="1" t="n">
        <v>2</v>
      </c>
      <c r="D231" s="2" t="n">
        <v>44</v>
      </c>
      <c r="E231" s="4" t="n">
        <v>2.98</v>
      </c>
      <c r="F231" s="1" t="n">
        <v>25</v>
      </c>
      <c r="G231" s="1" t="n">
        <v>35</v>
      </c>
      <c r="H231" s="3" t="n">
        <v>80.321192218195</v>
      </c>
      <c r="I231" s="1" t="n">
        <v>235</v>
      </c>
      <c r="J231" s="39" t="n">
        <v>200</v>
      </c>
      <c r="K231" s="27" t="n">
        <v>125</v>
      </c>
      <c r="L231" s="39" t="n">
        <v>122.5</v>
      </c>
      <c r="M231" s="4" t="n">
        <v>0.25</v>
      </c>
      <c r="N231" s="26" t="n">
        <v>0.199215092988513</v>
      </c>
      <c r="O231" s="27" t="n">
        <v>369.992132033263</v>
      </c>
      <c r="P231" s="27" t="n">
        <v>55.8842323237379</v>
      </c>
      <c r="Q231" s="28" t="n">
        <v>0.0812005224252669</v>
      </c>
      <c r="R231" s="25" t="n">
        <v>0.79686037195405</v>
      </c>
      <c r="S231" s="29" t="n">
        <v>0.235433477526981</v>
      </c>
      <c r="T231" s="27" t="n">
        <v>369.992132033263</v>
      </c>
      <c r="U231" s="27" t="n">
        <v>106</v>
      </c>
      <c r="V231" s="28" t="n">
        <v>0.0341768707482993</v>
      </c>
      <c r="W231" s="25" t="n">
        <f aca="false">(I231-H231)/(J231-H231)</f>
        <v>1.29244943736247</v>
      </c>
      <c r="X231" s="25" t="n">
        <f aca="false">0.5*(1+(I231-K231-L231)/(I231-K231))</f>
        <v>0.443181818181818</v>
      </c>
      <c r="Y231" s="25" t="n">
        <v>0.941733910107922</v>
      </c>
      <c r="Z231" s="26" t="n">
        <v>0.213437190106783</v>
      </c>
      <c r="AA231" s="27" t="n">
        <v>369.992132033263</v>
      </c>
      <c r="AB231" s="27" t="n">
        <v>55.8842323237379</v>
      </c>
      <c r="AC231" s="28" t="n">
        <v>0.0812005224252669</v>
      </c>
      <c r="AD231" s="25" t="n">
        <v>0.853748760427133</v>
      </c>
      <c r="AE231" s="4" t="n">
        <v>0.281640515267677</v>
      </c>
      <c r="AF231" s="25" t="n">
        <v>0.545977332735588</v>
      </c>
      <c r="AG231" s="26" t="n">
        <f aca="false">SMALL(AE231:AF231,1)</f>
        <v>0.281640515267677</v>
      </c>
      <c r="AH231" s="27" t="n">
        <v>390.553987731536</v>
      </c>
      <c r="AI231" s="28" t="n">
        <v>0.0253</v>
      </c>
      <c r="AJ231" s="25" t="n">
        <v>1.12656206107071</v>
      </c>
      <c r="AK231" s="29" t="n">
        <v>0.307963869972142</v>
      </c>
      <c r="AN231" s="4" t="n">
        <f aca="false">(N231-$N$344)/$N$345</f>
        <v>-0.189625368011447</v>
      </c>
      <c r="AO231" s="4" t="n">
        <f aca="false">(S231-$S$344)/$S$345</f>
        <v>0.248269293750632</v>
      </c>
      <c r="AP231" s="4" t="n">
        <f aca="false">(Z231-$Z$344)/$Z$345</f>
        <v>-0.133898777238933</v>
      </c>
      <c r="AQ231" s="4" t="n">
        <f aca="false">(AE231-$AE$344)/$AE$345</f>
        <v>0.152183979767451</v>
      </c>
    </row>
    <row r="232" customFormat="false" ht="14.25" hidden="false" customHeight="false" outlineLevel="0" collapsed="false">
      <c r="B232" s="1" t="n">
        <v>20</v>
      </c>
      <c r="C232" s="1" t="n">
        <v>2</v>
      </c>
      <c r="D232" s="2" t="n">
        <v>44</v>
      </c>
      <c r="E232" s="4" t="n">
        <v>2.98</v>
      </c>
      <c r="F232" s="1" t="n">
        <v>25</v>
      </c>
      <c r="G232" s="1" t="n">
        <v>35</v>
      </c>
      <c r="H232" s="3" t="n">
        <v>80.321192218195</v>
      </c>
      <c r="I232" s="1" t="n">
        <v>235</v>
      </c>
      <c r="J232" s="39" t="n">
        <v>200</v>
      </c>
      <c r="K232" s="27" t="n">
        <v>125</v>
      </c>
      <c r="L232" s="39" t="n">
        <v>122.5</v>
      </c>
      <c r="M232" s="4" t="n">
        <v>0.3</v>
      </c>
      <c r="N232" s="26" t="n">
        <v>0.217992362566271</v>
      </c>
      <c r="O232" s="27" t="n">
        <v>401.7057433504</v>
      </c>
      <c r="P232" s="27" t="n">
        <v>55.8842323237379</v>
      </c>
      <c r="Q232" s="28" t="n">
        <v>0.0812005224252669</v>
      </c>
      <c r="R232" s="25" t="n">
        <v>0.726641208554238</v>
      </c>
      <c r="S232" s="29" t="n">
        <v>0.259820471555785</v>
      </c>
      <c r="T232" s="27" t="n">
        <v>401.7057433504</v>
      </c>
      <c r="U232" s="27" t="n">
        <v>106</v>
      </c>
      <c r="V232" s="28" t="n">
        <v>0.0341768707482993</v>
      </c>
      <c r="W232" s="25" t="n">
        <f aca="false">(I232-H232)/(J232-H232)</f>
        <v>1.29244943736247</v>
      </c>
      <c r="X232" s="25" t="n">
        <f aca="false">0.5*(1+(I232-K232-L232)/(I232-K232))</f>
        <v>0.443181818181818</v>
      </c>
      <c r="Y232" s="25" t="n">
        <v>0.866068238519285</v>
      </c>
      <c r="Z232" s="26" t="n">
        <v>0.233554981366633</v>
      </c>
      <c r="AA232" s="27" t="n">
        <v>401.7057433504</v>
      </c>
      <c r="AB232" s="27" t="n">
        <v>55.8842323237379</v>
      </c>
      <c r="AC232" s="28" t="n">
        <v>0.0812005224252669</v>
      </c>
      <c r="AD232" s="25" t="n">
        <v>0.778516604555443</v>
      </c>
      <c r="AE232" s="4" t="n">
        <v>0.305781130862049</v>
      </c>
      <c r="AF232" s="25" t="n">
        <v>0.643584708955256</v>
      </c>
      <c r="AG232" s="26" t="n">
        <f aca="false">SMALL(AE232:AF232,1)</f>
        <v>0.305781130862049</v>
      </c>
      <c r="AH232" s="27" t="n">
        <v>424.030043822811</v>
      </c>
      <c r="AI232" s="28" t="n">
        <v>0.0253</v>
      </c>
      <c r="AJ232" s="25" t="n">
        <v>1.01927043620683</v>
      </c>
      <c r="AK232" s="29" t="n">
        <v>0.338451201984282</v>
      </c>
      <c r="AN232" s="4" t="n">
        <f aca="false">(N232-$N$344)/$N$345</f>
        <v>0.0312765397632411</v>
      </c>
      <c r="AO232" s="4" t="n">
        <f aca="false">(S232-$S$344)/$S$345</f>
        <v>0.54242408684604</v>
      </c>
      <c r="AP232" s="4" t="n">
        <f aca="false">(Z232-$Z$344)/$Z$345</f>
        <v>0.139359509225983</v>
      </c>
      <c r="AQ232" s="4" t="n">
        <f aca="false">(AE232-$AE$344)/$AE$345</f>
        <v>0.456400805649149</v>
      </c>
    </row>
    <row r="233" customFormat="false" ht="14.25" hidden="false" customHeight="false" outlineLevel="0" collapsed="false">
      <c r="B233" s="1" t="n">
        <v>20</v>
      </c>
      <c r="C233" s="1" t="n">
        <v>2</v>
      </c>
      <c r="D233" s="2" t="n">
        <v>44</v>
      </c>
      <c r="E233" s="4" t="n">
        <v>2.98</v>
      </c>
      <c r="F233" s="1" t="n">
        <v>25</v>
      </c>
      <c r="G233" s="1" t="n">
        <v>35</v>
      </c>
      <c r="H233" s="3" t="n">
        <v>80.321192218195</v>
      </c>
      <c r="I233" s="1" t="n">
        <v>235</v>
      </c>
      <c r="J233" s="39" t="n">
        <v>200</v>
      </c>
      <c r="K233" s="27" t="n">
        <v>125</v>
      </c>
      <c r="L233" s="39" t="n">
        <v>122.5</v>
      </c>
      <c r="M233" s="4" t="n">
        <v>0.32</v>
      </c>
      <c r="N233" s="26" t="n">
        <v>0.230510542284777</v>
      </c>
      <c r="O233" s="27" t="n">
        <v>422.848150895158</v>
      </c>
      <c r="P233" s="27" t="n">
        <v>55.8842323237379</v>
      </c>
      <c r="Q233" s="28" t="n">
        <v>0.0812005224252669</v>
      </c>
      <c r="R233" s="25" t="n">
        <v>0.720345444639929</v>
      </c>
      <c r="S233" s="29" t="n">
        <v>0.276078467574989</v>
      </c>
      <c r="T233" s="27" t="n">
        <v>422.848150895158</v>
      </c>
      <c r="U233" s="27" t="n">
        <v>106</v>
      </c>
      <c r="V233" s="28" t="n">
        <v>0.0341768707482993</v>
      </c>
      <c r="W233" s="25" t="n">
        <f aca="false">(I233-H233)/(J233-H233)</f>
        <v>1.29244943736247</v>
      </c>
      <c r="X233" s="25" t="n">
        <f aca="false">0.5*(1+(I233-K233-L233)/(I233-K233))</f>
        <v>0.443181818181818</v>
      </c>
      <c r="Y233" s="25" t="n">
        <v>0.86274521117184</v>
      </c>
      <c r="Z233" s="26" t="n">
        <v>0.246966842206533</v>
      </c>
      <c r="AA233" s="27" t="n">
        <v>422.848150895158</v>
      </c>
      <c r="AB233" s="27" t="n">
        <v>55.8842323237379</v>
      </c>
      <c r="AC233" s="28" t="n">
        <v>0.0812005224252669</v>
      </c>
      <c r="AD233" s="25" t="n">
        <v>0.771771381895414</v>
      </c>
      <c r="AE233" s="4" t="n">
        <v>0.32187487459163</v>
      </c>
      <c r="AF233" s="25" t="n">
        <v>0.713113250919952</v>
      </c>
      <c r="AG233" s="26" t="n">
        <f aca="false">SMALL(AE233:AF233,1)</f>
        <v>0.32187487459163</v>
      </c>
      <c r="AH233" s="27" t="n">
        <v>446.347414550327</v>
      </c>
      <c r="AI233" s="28" t="n">
        <v>0.0253</v>
      </c>
      <c r="AJ233" s="25" t="n">
        <v>1.00585898309885</v>
      </c>
      <c r="AK233" s="29" t="n">
        <v>0.358776089992376</v>
      </c>
      <c r="AN233" s="4" t="n">
        <f aca="false">(N233-$N$344)/$N$345</f>
        <v>0.178544478279701</v>
      </c>
      <c r="AO233" s="4" t="n">
        <f aca="false">(S233-$S$344)/$S$345</f>
        <v>0.738527282242978</v>
      </c>
      <c r="AP233" s="4" t="n">
        <f aca="false">(Z233-$Z$344)/$Z$345</f>
        <v>0.321531700202594</v>
      </c>
      <c r="AQ233" s="4" t="n">
        <f aca="false">(AE233-$AE$344)/$AE$345</f>
        <v>0.659212022903615</v>
      </c>
    </row>
    <row r="234" customFormat="false" ht="14.25" hidden="false" customHeight="false" outlineLevel="0" collapsed="false">
      <c r="B234" s="1" t="n">
        <v>20</v>
      </c>
      <c r="C234" s="1" t="n">
        <v>2</v>
      </c>
      <c r="D234" s="2" t="n">
        <v>44</v>
      </c>
      <c r="E234" s="4" t="n">
        <v>2.98</v>
      </c>
      <c r="F234" s="1" t="n">
        <v>25</v>
      </c>
      <c r="G234" s="1" t="n">
        <v>35</v>
      </c>
      <c r="H234" s="3" t="n">
        <v>80.321192218195</v>
      </c>
      <c r="I234" s="1" t="n">
        <v>235</v>
      </c>
      <c r="J234" s="39" t="n">
        <v>200</v>
      </c>
      <c r="K234" s="27" t="n">
        <v>125</v>
      </c>
      <c r="L234" s="39" t="n">
        <v>122.5</v>
      </c>
      <c r="M234" s="4" t="n">
        <v>0.36</v>
      </c>
      <c r="N234" s="26" t="n">
        <v>0.261180082595117</v>
      </c>
      <c r="O234" s="27" t="n">
        <v>474.647049379814</v>
      </c>
      <c r="P234" s="27" t="n">
        <v>55.8842323237379</v>
      </c>
      <c r="Q234" s="28" t="n">
        <v>0.0812005224252669</v>
      </c>
      <c r="R234" s="25" t="n">
        <v>0.725500229430879</v>
      </c>
      <c r="S234" s="29" t="n">
        <v>0.315910557822037</v>
      </c>
      <c r="T234" s="27" t="n">
        <v>474.647049379814</v>
      </c>
      <c r="U234" s="27" t="n">
        <v>106</v>
      </c>
      <c r="V234" s="28" t="n">
        <v>0.0341768707482993</v>
      </c>
      <c r="W234" s="25" t="n">
        <f aca="false">(I234-H234)/(J234-H234)</f>
        <v>1.29244943736247</v>
      </c>
      <c r="X234" s="25" t="n">
        <f aca="false">0.5*(1+(I234-K234-L234)/(I234-K234))</f>
        <v>0.443181818181818</v>
      </c>
      <c r="Y234" s="25" t="n">
        <v>0.877529327283436</v>
      </c>
      <c r="Z234" s="26" t="n">
        <v>0.279825901264287</v>
      </c>
      <c r="AA234" s="27" t="n">
        <v>474.647049379814</v>
      </c>
      <c r="AB234" s="27" t="n">
        <v>55.8842323237379</v>
      </c>
      <c r="AC234" s="28" t="n">
        <v>0.0812005224252669</v>
      </c>
      <c r="AD234" s="25" t="n">
        <v>0.777294170178575</v>
      </c>
      <c r="AE234" s="4" t="n">
        <v>0.361304546729105</v>
      </c>
      <c r="AF234" s="25" t="n">
        <v>0.898527153116957</v>
      </c>
      <c r="AG234" s="26" t="n">
        <f aca="false">SMALL(AE234:AF234,1)</f>
        <v>0.361304546729105</v>
      </c>
      <c r="AH234" s="27" t="n">
        <v>501.024972832742</v>
      </c>
      <c r="AI234" s="28" t="n">
        <v>0.0253</v>
      </c>
      <c r="AJ234" s="25" t="n">
        <v>1.00362374091418</v>
      </c>
      <c r="AK234" s="29" t="n">
        <v>0.408572065612205</v>
      </c>
      <c r="AN234" s="4" t="n">
        <f aca="false">(N234-$N$344)/$N$345</f>
        <v>0.539350927645024</v>
      </c>
      <c r="AO234" s="4" t="n">
        <f aca="false">(S234-$S$344)/$S$345</f>
        <v>1.21898011096548</v>
      </c>
      <c r="AP234" s="4" t="n">
        <f aca="false">(Z234-$Z$344)/$Z$345</f>
        <v>0.767853568095289</v>
      </c>
      <c r="AQ234" s="4" t="n">
        <f aca="false">(AE234-$AE$344)/$AE$345</f>
        <v>1.15609950517706</v>
      </c>
    </row>
    <row r="235" customFormat="false" ht="14.25" hidden="false" customHeight="false" outlineLevel="0" collapsed="false">
      <c r="B235" s="1" t="n">
        <v>20</v>
      </c>
      <c r="C235" s="1" t="n">
        <v>2</v>
      </c>
      <c r="D235" s="2" t="n">
        <v>44</v>
      </c>
      <c r="E235" s="4" t="n">
        <v>2.98</v>
      </c>
      <c r="F235" s="1" t="n">
        <v>25</v>
      </c>
      <c r="G235" s="1" t="n">
        <v>35</v>
      </c>
      <c r="H235" s="3" t="n">
        <v>80.321192218195</v>
      </c>
      <c r="I235" s="1" t="n">
        <v>235</v>
      </c>
      <c r="J235" s="39" t="n">
        <v>200</v>
      </c>
      <c r="K235" s="27" t="n">
        <v>125</v>
      </c>
      <c r="L235" s="39" t="n">
        <v>122.5</v>
      </c>
      <c r="M235" s="4" t="n">
        <v>0.47</v>
      </c>
      <c r="N235" s="26" t="n">
        <v>0.291849622905456</v>
      </c>
      <c r="O235" s="27" t="n">
        <v>526.445947864471</v>
      </c>
      <c r="P235" s="27" t="n">
        <v>55.8842323237379</v>
      </c>
      <c r="Q235" s="28" t="n">
        <v>0.0812005224252669</v>
      </c>
      <c r="R235" s="25" t="n">
        <v>0.620956644479694</v>
      </c>
      <c r="S235" s="29" t="n">
        <v>0.355742648069085</v>
      </c>
      <c r="T235" s="27" t="n">
        <v>526.445947864471</v>
      </c>
      <c r="U235" s="27" t="n">
        <v>106</v>
      </c>
      <c r="V235" s="28" t="n">
        <v>0.0341768707482993</v>
      </c>
      <c r="W235" s="25" t="n">
        <f aca="false">(I235-H235)/(J235-H235)</f>
        <v>1.29244943736247</v>
      </c>
      <c r="X235" s="25" t="n">
        <f aca="false">0.5*(1+(I235-K235-L235)/(I235-K235))</f>
        <v>0.443181818181818</v>
      </c>
      <c r="Y235" s="25" t="n">
        <v>0.756899251210819</v>
      </c>
      <c r="Z235" s="26" t="n">
        <v>0.312684960322041</v>
      </c>
      <c r="AA235" s="27" t="n">
        <v>526.445947864471</v>
      </c>
      <c r="AB235" s="27" t="n">
        <v>55.8842323237379</v>
      </c>
      <c r="AC235" s="28" t="n">
        <v>0.0812005224252669</v>
      </c>
      <c r="AD235" s="25" t="n">
        <v>0.665287149621364</v>
      </c>
      <c r="AE235" s="4" t="n">
        <v>0.380757070040603</v>
      </c>
      <c r="AF235" s="25" t="n">
        <v>0.997884563758389</v>
      </c>
      <c r="AG235" s="26" t="n">
        <f aca="false">SMALL(AE235:AF235,1)</f>
        <v>0.380757070040603</v>
      </c>
      <c r="AH235" s="27" t="n">
        <v>528</v>
      </c>
      <c r="AI235" s="28" t="n">
        <v>0.0253</v>
      </c>
      <c r="AJ235" s="25" t="n">
        <v>0.810121425618304</v>
      </c>
      <c r="AK235" s="29" t="n">
        <v>0.458368041232034</v>
      </c>
      <c r="AN235" s="4" t="n">
        <f aca="false">(N235-$N$344)/$N$345</f>
        <v>0.900157377010348</v>
      </c>
      <c r="AO235" s="4" t="n">
        <f aca="false">(S235-$S$344)/$S$345</f>
        <v>1.69943293968797</v>
      </c>
      <c r="AP235" s="4" t="n">
        <f aca="false">(Z235-$Z$344)/$Z$345</f>
        <v>1.21417543598799</v>
      </c>
      <c r="AQ235" s="4" t="n">
        <f aca="false">(AE235-$AE$344)/$AE$345</f>
        <v>1.40123761584699</v>
      </c>
    </row>
    <row r="236" customFormat="false" ht="14.25" hidden="false" customHeight="false" outlineLevel="0" collapsed="false">
      <c r="A236" s="0" t="s">
        <v>71</v>
      </c>
      <c r="B236" s="1" t="n">
        <v>20</v>
      </c>
      <c r="C236" s="1" t="n">
        <v>3</v>
      </c>
      <c r="D236" s="2" t="n">
        <v>12</v>
      </c>
      <c r="E236" s="4" t="n">
        <v>2.98</v>
      </c>
      <c r="F236" s="1" t="n">
        <v>25</v>
      </c>
      <c r="G236" s="1" t="n">
        <v>35</v>
      </c>
      <c r="H236" s="3" t="n">
        <v>93.0113581251418</v>
      </c>
      <c r="I236" s="1" t="n">
        <v>235</v>
      </c>
      <c r="J236" s="39" t="n">
        <v>200</v>
      </c>
      <c r="K236" s="27" t="n">
        <v>128</v>
      </c>
      <c r="L236" s="39" t="n">
        <v>122.5</v>
      </c>
      <c r="M236" s="4" t="n">
        <v>0.16</v>
      </c>
      <c r="N236" s="26" t="n">
        <v>0.127890127915377</v>
      </c>
      <c r="O236" s="27" t="n">
        <v>303.402568314191</v>
      </c>
      <c r="P236" s="27" t="n">
        <v>41.643886357836</v>
      </c>
      <c r="Q236" s="28" t="n">
        <v>0.132686669519698</v>
      </c>
      <c r="R236" s="25" t="n">
        <v>0.799313299471105</v>
      </c>
      <c r="S236" s="29" t="n">
        <v>0.16920059472353</v>
      </c>
      <c r="T236" s="27" t="n">
        <v>303.402568314191</v>
      </c>
      <c r="U236" s="27" t="n">
        <v>77</v>
      </c>
      <c r="V236" s="28" t="n">
        <v>0.051265306122449</v>
      </c>
      <c r="W236" s="25" t="n">
        <f aca="false">(I236-H236)/(J236-H236)</f>
        <v>1.32713752961682</v>
      </c>
      <c r="X236" s="25" t="n">
        <f aca="false">0.5*(1+(I236-K236-L236)/(I236-K236))</f>
        <v>0.427570093457944</v>
      </c>
      <c r="Y236" s="25" t="n">
        <v>1.05750371702206</v>
      </c>
      <c r="Z236" s="26" t="n">
        <v>0.153997974612072</v>
      </c>
      <c r="AA236" s="27" t="n">
        <v>303.402568314191</v>
      </c>
      <c r="AB236" s="27" t="n">
        <v>41.643886357836</v>
      </c>
      <c r="AC236" s="28" t="n">
        <v>0.132686669519698</v>
      </c>
      <c r="AD236" s="25" t="n">
        <v>0.962487341325447</v>
      </c>
      <c r="AE236" s="4" t="n">
        <v>0.188767186781895</v>
      </c>
      <c r="AF236" s="25" t="n">
        <v>0.369996633470296</v>
      </c>
      <c r="AG236" s="26" t="n">
        <f aca="false">SMALL(AE236:AF236,1)</f>
        <v>0.188767186781895</v>
      </c>
      <c r="AH236" s="27" t="n">
        <v>321.508646035785</v>
      </c>
      <c r="AI236" s="28" t="n">
        <v>0.0333</v>
      </c>
      <c r="AJ236" s="25" t="n">
        <v>1.17979491738684</v>
      </c>
      <c r="AK236" s="29" t="n">
        <v>0.211794825207224</v>
      </c>
      <c r="AN236" s="4" t="n">
        <f aca="false">(N236-$N$344)/$N$345</f>
        <v>-1.02871545996396</v>
      </c>
      <c r="AO236" s="4" t="n">
        <f aca="false">(S236-$S$344)/$S$345</f>
        <v>-0.550628672687918</v>
      </c>
      <c r="AP236" s="4" t="n">
        <f aca="false">(Z236-$Z$344)/$Z$345</f>
        <v>-0.941256700636791</v>
      </c>
      <c r="AQ236" s="4" t="n">
        <f aca="false">(AE236-$AE$344)/$AE$345</f>
        <v>-1.01819334928457</v>
      </c>
    </row>
    <row r="237" customFormat="false" ht="14.25" hidden="false" customHeight="false" outlineLevel="0" collapsed="false">
      <c r="B237" s="1" t="n">
        <v>20</v>
      </c>
      <c r="C237" s="1" t="n">
        <v>3</v>
      </c>
      <c r="D237" s="2" t="n">
        <v>12</v>
      </c>
      <c r="E237" s="4" t="n">
        <v>2.98</v>
      </c>
      <c r="F237" s="1" t="n">
        <v>25</v>
      </c>
      <c r="G237" s="1" t="n">
        <v>35</v>
      </c>
      <c r="H237" s="3" t="n">
        <v>93.0113581251418</v>
      </c>
      <c r="I237" s="1" t="n">
        <v>235</v>
      </c>
      <c r="J237" s="39" t="n">
        <v>200</v>
      </c>
      <c r="K237" s="27" t="n">
        <v>128</v>
      </c>
      <c r="L237" s="39" t="n">
        <v>122.5</v>
      </c>
      <c r="M237" s="4" t="n">
        <v>0.18</v>
      </c>
      <c r="N237" s="26" t="n">
        <v>0.134526678686815</v>
      </c>
      <c r="O237" s="27" t="n">
        <v>317.850309662485</v>
      </c>
      <c r="P237" s="27" t="n">
        <v>41.643886357836</v>
      </c>
      <c r="Q237" s="28" t="n">
        <v>0.132686669519698</v>
      </c>
      <c r="R237" s="25" t="n">
        <v>0.747370437148974</v>
      </c>
      <c r="S237" s="29" t="n">
        <v>0.178712000702632</v>
      </c>
      <c r="T237" s="27" t="n">
        <v>317.850309662485</v>
      </c>
      <c r="U237" s="27" t="n">
        <v>77</v>
      </c>
      <c r="V237" s="28" t="n">
        <v>0.051265306122449</v>
      </c>
      <c r="W237" s="25" t="n">
        <f aca="false">(I237-H237)/(J237-H237)</f>
        <v>1.32713752961682</v>
      </c>
      <c r="X237" s="25" t="n">
        <f aca="false">0.5*(1+(I237-K237-L237)/(I237-K237))</f>
        <v>0.427570093457944</v>
      </c>
      <c r="Y237" s="25" t="n">
        <v>0.992844448347955</v>
      </c>
      <c r="Z237" s="26" t="n">
        <v>0.161989329330928</v>
      </c>
      <c r="AA237" s="27" t="n">
        <v>317.850309662485</v>
      </c>
      <c r="AB237" s="27" t="n">
        <v>41.643886357836</v>
      </c>
      <c r="AC237" s="28" t="n">
        <v>0.132686669519698</v>
      </c>
      <c r="AD237" s="25" t="n">
        <v>0.899940718505156</v>
      </c>
      <c r="AE237" s="4" t="n">
        <v>0.197756100438175</v>
      </c>
      <c r="AF237" s="25" t="n">
        <v>0.406073402720234</v>
      </c>
      <c r="AG237" s="26" t="n">
        <f aca="false">SMALL(AE237:AF237,1)</f>
        <v>0.197756100438175</v>
      </c>
      <c r="AH237" s="27" t="n">
        <v>336.818581561299</v>
      </c>
      <c r="AI237" s="28" t="n">
        <v>0.0333</v>
      </c>
      <c r="AJ237" s="25" t="n">
        <v>1.09864500243431</v>
      </c>
      <c r="AK237" s="29" t="n">
        <v>0.223149863449898</v>
      </c>
      <c r="AN237" s="4" t="n">
        <f aca="false">(N237-$N$344)/$N$345</f>
        <v>-0.950640917742397</v>
      </c>
      <c r="AO237" s="4" t="n">
        <f aca="false">(S237-$S$344)/$S$345</f>
        <v>-0.435902534053348</v>
      </c>
      <c r="AP237" s="4" t="n">
        <f aca="false">(Z237-$Z$344)/$Z$345</f>
        <v>-0.832710793742618</v>
      </c>
      <c r="AQ237" s="4" t="n">
        <f aca="false">(AE237-$AE$344)/$AE$345</f>
        <v>-0.904916255336899</v>
      </c>
    </row>
    <row r="238" customFormat="false" ht="14.25" hidden="false" customHeight="false" outlineLevel="0" collapsed="false">
      <c r="B238" s="1" t="n">
        <v>20</v>
      </c>
      <c r="C238" s="1" t="n">
        <v>3</v>
      </c>
      <c r="D238" s="2" t="n">
        <v>12</v>
      </c>
      <c r="E238" s="4" t="n">
        <v>2.98</v>
      </c>
      <c r="F238" s="1" t="n">
        <v>25</v>
      </c>
      <c r="G238" s="1" t="n">
        <v>35</v>
      </c>
      <c r="H238" s="3" t="n">
        <v>93.0113581251418</v>
      </c>
      <c r="I238" s="1" t="n">
        <v>235</v>
      </c>
      <c r="J238" s="39" t="n">
        <v>200</v>
      </c>
      <c r="K238" s="27" t="n">
        <v>128</v>
      </c>
      <c r="L238" s="39" t="n">
        <v>122.5</v>
      </c>
      <c r="M238" s="4" t="n">
        <v>0.18</v>
      </c>
      <c r="N238" s="26" t="n">
        <v>0.151118055615412</v>
      </c>
      <c r="O238" s="27" t="n">
        <v>353.969663033222</v>
      </c>
      <c r="P238" s="27" t="n">
        <v>41.643886357836</v>
      </c>
      <c r="Q238" s="28" t="n">
        <v>0.132686669519698</v>
      </c>
      <c r="R238" s="25" t="n">
        <v>0.839544753418954</v>
      </c>
      <c r="S238" s="29" t="n">
        <v>0.202490515650387</v>
      </c>
      <c r="T238" s="27" t="n">
        <v>353.969663033222</v>
      </c>
      <c r="U238" s="27" t="n">
        <v>77</v>
      </c>
      <c r="V238" s="28" t="n">
        <v>0.051265306122449</v>
      </c>
      <c r="W238" s="25" t="n">
        <f aca="false">(I238-H238)/(J238-H238)</f>
        <v>1.32713752961682</v>
      </c>
      <c r="X238" s="25" t="n">
        <f aca="false">0.5*(1+(I238-K238-L238)/(I238-K238))</f>
        <v>0.427570093457944</v>
      </c>
      <c r="Y238" s="25" t="n">
        <v>1.12494730916882</v>
      </c>
      <c r="Z238" s="26" t="n">
        <v>0.18196771612807</v>
      </c>
      <c r="AA238" s="27" t="n">
        <v>353.969663033222</v>
      </c>
      <c r="AB238" s="27" t="n">
        <v>41.643886357836</v>
      </c>
      <c r="AC238" s="28" t="n">
        <v>0.132686669519698</v>
      </c>
      <c r="AD238" s="25" t="n">
        <v>1.01093175626705</v>
      </c>
      <c r="AE238" s="4" t="n">
        <v>0.220228384578877</v>
      </c>
      <c r="AF238" s="25" t="n">
        <v>0.503606528890124</v>
      </c>
      <c r="AG238" s="26" t="n">
        <f aca="false">SMALL(AE238:AF238,1)</f>
        <v>0.220228384578877</v>
      </c>
      <c r="AH238" s="27" t="n">
        <v>375.093420375083</v>
      </c>
      <c r="AI238" s="28" t="n">
        <v>0.0333</v>
      </c>
      <c r="AJ238" s="25" t="n">
        <v>1.22349102543821</v>
      </c>
      <c r="AK238" s="29" t="n">
        <v>0.251537459056584</v>
      </c>
      <c r="AN238" s="4" t="n">
        <f aca="false">(N238-$N$344)/$N$345</f>
        <v>-0.755454562188495</v>
      </c>
      <c r="AO238" s="4" t="n">
        <f aca="false">(S238-$S$344)/$S$345</f>
        <v>-0.149087187466919</v>
      </c>
      <c r="AP238" s="4" t="n">
        <f aca="false">(Z238-$Z$344)/$Z$345</f>
        <v>-0.561346026507182</v>
      </c>
      <c r="AQ238" s="4" t="n">
        <f aca="false">(AE238-$AE$344)/$AE$345</f>
        <v>-0.621723520467717</v>
      </c>
    </row>
    <row r="239" customFormat="false" ht="14.25" hidden="false" customHeight="false" outlineLevel="0" collapsed="false">
      <c r="B239" s="1" t="n">
        <v>20</v>
      </c>
      <c r="C239" s="1" t="n">
        <v>3</v>
      </c>
      <c r="D239" s="2" t="n">
        <v>12</v>
      </c>
      <c r="E239" s="4" t="n">
        <v>2.98</v>
      </c>
      <c r="F239" s="1" t="n">
        <v>25</v>
      </c>
      <c r="G239" s="1" t="n">
        <v>35</v>
      </c>
      <c r="H239" s="3" t="n">
        <v>93.0113581251418</v>
      </c>
      <c r="I239" s="1" t="n">
        <v>235</v>
      </c>
      <c r="J239" s="39" t="n">
        <v>200</v>
      </c>
      <c r="K239" s="27" t="n">
        <v>128</v>
      </c>
      <c r="L239" s="39" t="n">
        <v>122.5</v>
      </c>
      <c r="M239" s="4" t="n">
        <v>0.2</v>
      </c>
      <c r="N239" s="26" t="n">
        <v>0.169368570236868</v>
      </c>
      <c r="O239" s="27" t="n">
        <v>393.700951741033</v>
      </c>
      <c r="P239" s="27" t="n">
        <v>41.643886357836</v>
      </c>
      <c r="Q239" s="28" t="n">
        <v>0.132686669519698</v>
      </c>
      <c r="R239" s="25" t="n">
        <v>0.846842851184338</v>
      </c>
      <c r="S239" s="29" t="n">
        <v>0.228646882092917</v>
      </c>
      <c r="T239" s="27" t="n">
        <v>393.700951741033</v>
      </c>
      <c r="U239" s="27" t="n">
        <v>77</v>
      </c>
      <c r="V239" s="28" t="n">
        <v>0.051265306122449</v>
      </c>
      <c r="W239" s="25" t="n">
        <f aca="false">(I239-H239)/(J239-H239)</f>
        <v>1.32713752961682</v>
      </c>
      <c r="X239" s="25" t="n">
        <f aca="false">0.5*(1+(I239-K239-L239)/(I239-K239))</f>
        <v>0.427570093457944</v>
      </c>
      <c r="Y239" s="25" t="n">
        <v>1.14323441046458</v>
      </c>
      <c r="Z239" s="26" t="n">
        <v>0.203943941604925</v>
      </c>
      <c r="AA239" s="27" t="n">
        <v>393.700951741033</v>
      </c>
      <c r="AB239" s="27" t="n">
        <v>41.643886357836</v>
      </c>
      <c r="AC239" s="28" t="n">
        <v>0.132686669519698</v>
      </c>
      <c r="AD239" s="25" t="n">
        <v>1.01971970802463</v>
      </c>
      <c r="AE239" s="4" t="n">
        <v>0.244947897133649</v>
      </c>
      <c r="AF239" s="25" t="n">
        <v>0.62300595270133</v>
      </c>
      <c r="AG239" s="26" t="n">
        <f aca="false">SMALL(AE239:AF239,1)</f>
        <v>0.244947897133649</v>
      </c>
      <c r="AH239" s="27" t="n">
        <v>417.195743070245</v>
      </c>
      <c r="AI239" s="28" t="n">
        <v>0.0333</v>
      </c>
      <c r="AJ239" s="25" t="n">
        <v>1.22473948566824</v>
      </c>
      <c r="AK239" s="29" t="n">
        <v>0.281295265557158</v>
      </c>
      <c r="AN239" s="4" t="n">
        <f aca="false">(N239-$N$344)/$N$345</f>
        <v>-0.540749571079204</v>
      </c>
      <c r="AO239" s="4" t="n">
        <f aca="false">(S239-$S$344)/$S$345</f>
        <v>0.166409693778153</v>
      </c>
      <c r="AP239" s="4" t="n">
        <f aca="false">(Z239-$Z$344)/$Z$345</f>
        <v>-0.262844782548203</v>
      </c>
      <c r="AQ239" s="4" t="n">
        <f aca="false">(AE239-$AE$344)/$AE$345</f>
        <v>-0.310211512111614</v>
      </c>
    </row>
    <row r="240" customFormat="false" ht="14.25" hidden="false" customHeight="false" outlineLevel="0" collapsed="false">
      <c r="B240" s="1" t="n">
        <v>20</v>
      </c>
      <c r="C240" s="1" t="n">
        <v>3</v>
      </c>
      <c r="D240" s="2" t="n">
        <v>12</v>
      </c>
      <c r="E240" s="4" t="n">
        <v>2.98</v>
      </c>
      <c r="F240" s="1" t="n">
        <v>25</v>
      </c>
      <c r="G240" s="1" t="n">
        <v>35</v>
      </c>
      <c r="H240" s="3" t="n">
        <v>93.0113581251418</v>
      </c>
      <c r="I240" s="1" t="n">
        <v>235</v>
      </c>
      <c r="J240" s="39" t="n">
        <v>200</v>
      </c>
      <c r="K240" s="27" t="n">
        <v>128</v>
      </c>
      <c r="L240" s="39" t="n">
        <v>122.5</v>
      </c>
      <c r="M240" s="4" t="n">
        <v>0.2</v>
      </c>
      <c r="N240" s="26" t="n">
        <v>0.185959947165464</v>
      </c>
      <c r="O240" s="27" t="n">
        <v>429.82030511177</v>
      </c>
      <c r="P240" s="27" t="n">
        <v>41.643886357836</v>
      </c>
      <c r="Q240" s="28" t="n">
        <v>0.132686669519698</v>
      </c>
      <c r="R240" s="25" t="n">
        <v>0.92979973582732</v>
      </c>
      <c r="S240" s="29" t="n">
        <v>0.252425397040672</v>
      </c>
      <c r="T240" s="27" t="n">
        <v>429.82030511177</v>
      </c>
      <c r="U240" s="27" t="n">
        <v>77</v>
      </c>
      <c r="V240" s="28" t="n">
        <v>0.051265306122449</v>
      </c>
      <c r="W240" s="25" t="n">
        <f aca="false">(I240-H240)/(J240-H240)</f>
        <v>1.32713752961682</v>
      </c>
      <c r="X240" s="25" t="n">
        <f aca="false">0.5*(1+(I240-K240-L240)/(I240-K240))</f>
        <v>0.427570093457944</v>
      </c>
      <c r="Y240" s="25" t="n">
        <v>1.26212698520336</v>
      </c>
      <c r="Z240" s="26" t="n">
        <v>0.223922328402067</v>
      </c>
      <c r="AA240" s="27" t="n">
        <v>429.82030511177</v>
      </c>
      <c r="AB240" s="27" t="n">
        <v>41.643886357836</v>
      </c>
      <c r="AC240" s="28" t="n">
        <v>0.132686669519698</v>
      </c>
      <c r="AD240" s="25" t="n">
        <v>1.11961164201033</v>
      </c>
      <c r="AE240" s="4" t="n">
        <v>0.267420181274351</v>
      </c>
      <c r="AF240" s="25" t="n">
        <v>0.742562688006357</v>
      </c>
      <c r="AG240" s="26" t="n">
        <f aca="false">SMALL(AE240:AF240,1)</f>
        <v>0.267420181274351</v>
      </c>
      <c r="AH240" s="27" t="n">
        <v>455.470581884029</v>
      </c>
      <c r="AI240" s="28" t="n">
        <v>0.0333</v>
      </c>
      <c r="AJ240" s="25" t="n">
        <v>1.33710090637175</v>
      </c>
      <c r="AK240" s="29" t="n">
        <v>0.307102170654145</v>
      </c>
      <c r="AN240" s="4" t="n">
        <f aca="false">(N240-$N$344)/$N$345</f>
        <v>-0.345563215525303</v>
      </c>
      <c r="AO240" s="4" t="n">
        <f aca="false">(S240-$S$344)/$S$345</f>
        <v>0.45322504036458</v>
      </c>
      <c r="AP240" s="4" t="n">
        <f aca="false">(Z240-$Z$344)/$Z$345</f>
        <v>0.00851998468723222</v>
      </c>
      <c r="AQ240" s="4" t="n">
        <f aca="false">(AE240-$AE$344)/$AE$345</f>
        <v>-0.0270187772424329</v>
      </c>
    </row>
    <row r="241" customFormat="false" ht="14.25" hidden="false" customHeight="false" outlineLevel="0" collapsed="false">
      <c r="B241" s="1" t="n">
        <v>20</v>
      </c>
      <c r="C241" s="1" t="n">
        <v>3</v>
      </c>
      <c r="D241" s="2" t="n">
        <v>12</v>
      </c>
      <c r="E241" s="4" t="n">
        <v>2.98</v>
      </c>
      <c r="F241" s="1" t="n">
        <v>25</v>
      </c>
      <c r="G241" s="1" t="n">
        <v>35</v>
      </c>
      <c r="H241" s="3" t="n">
        <v>93.0113581251418</v>
      </c>
      <c r="I241" s="1" t="n">
        <v>235</v>
      </c>
      <c r="J241" s="39" t="n">
        <v>200</v>
      </c>
      <c r="K241" s="27" t="n">
        <v>128</v>
      </c>
      <c r="L241" s="39" t="n">
        <v>122.5</v>
      </c>
      <c r="M241" s="4" t="n">
        <v>0.2</v>
      </c>
      <c r="N241" s="26" t="n">
        <v>0.200892186401201</v>
      </c>
      <c r="O241" s="27" t="n">
        <v>462.327723145433</v>
      </c>
      <c r="P241" s="27" t="n">
        <v>41.643886357836</v>
      </c>
      <c r="Q241" s="28" t="n">
        <v>0.132686669519698</v>
      </c>
      <c r="R241" s="25" t="n">
        <v>1.004460932006</v>
      </c>
      <c r="S241" s="29" t="n">
        <v>0.273826060493651</v>
      </c>
      <c r="T241" s="27" t="n">
        <v>462.327723145433</v>
      </c>
      <c r="U241" s="27" t="n">
        <v>77</v>
      </c>
      <c r="V241" s="28" t="n">
        <v>0.051265306122449</v>
      </c>
      <c r="W241" s="25" t="n">
        <f aca="false">(I241-H241)/(J241-H241)</f>
        <v>1.32713752961682</v>
      </c>
      <c r="X241" s="25" t="n">
        <f aca="false">0.5*(1+(I241-K241-L241)/(I241-K241))</f>
        <v>0.427570093457944</v>
      </c>
      <c r="Y241" s="25" t="n">
        <v>1.36913030246825</v>
      </c>
      <c r="Z241" s="26" t="n">
        <v>0.241902876519494</v>
      </c>
      <c r="AA241" s="27" t="n">
        <v>462.327723145433</v>
      </c>
      <c r="AB241" s="27" t="n">
        <v>41.643886357836</v>
      </c>
      <c r="AC241" s="28" t="n">
        <v>0.132686669519698</v>
      </c>
      <c r="AD241" s="25" t="n">
        <v>1.20951438259747</v>
      </c>
      <c r="AE241" s="4" t="n">
        <v>0.287645237000982</v>
      </c>
      <c r="AF241" s="25" t="n">
        <v>0.859130504928759</v>
      </c>
      <c r="AG241" s="26" t="n">
        <f aca="false">SMALL(AE241:AF241,1)</f>
        <v>0.287645237000982</v>
      </c>
      <c r="AH241" s="27" t="n">
        <v>489.917936816435</v>
      </c>
      <c r="AI241" s="28" t="n">
        <v>0.0333</v>
      </c>
      <c r="AJ241" s="25" t="n">
        <v>1.43822618500491</v>
      </c>
      <c r="AK241" s="29" t="n">
        <v>0.330328385241433</v>
      </c>
      <c r="AN241" s="4" t="n">
        <f aca="false">(N241-$N$344)/$N$345</f>
        <v>-0.169895495526792</v>
      </c>
      <c r="AO241" s="4" t="n">
        <f aca="false">(S241-$S$344)/$S$345</f>
        <v>0.711358852292366</v>
      </c>
      <c r="AP241" s="4" t="n">
        <f aca="false">(Z241-$Z$344)/$Z$345</f>
        <v>0.252748275199124</v>
      </c>
      <c r="AQ241" s="4" t="n">
        <f aca="false">(AE241-$AE$344)/$AE$345</f>
        <v>0.227854684139833</v>
      </c>
    </row>
    <row r="242" customFormat="false" ht="14.25" hidden="false" customHeight="false" outlineLevel="0" collapsed="false">
      <c r="B242" s="1" t="n">
        <v>20</v>
      </c>
      <c r="C242" s="1" t="n">
        <v>3</v>
      </c>
      <c r="D242" s="2" t="n">
        <v>12</v>
      </c>
      <c r="E242" s="4" t="n">
        <v>2.98</v>
      </c>
      <c r="F242" s="1" t="n">
        <v>25</v>
      </c>
      <c r="G242" s="1" t="n">
        <v>35</v>
      </c>
      <c r="H242" s="3" t="n">
        <v>93.0113581251418</v>
      </c>
      <c r="I242" s="1" t="n">
        <v>235</v>
      </c>
      <c r="J242" s="39" t="n">
        <v>200</v>
      </c>
      <c r="K242" s="27" t="n">
        <v>128</v>
      </c>
      <c r="L242" s="39" t="n">
        <v>122.5</v>
      </c>
      <c r="M242" s="4" t="n">
        <v>0.22</v>
      </c>
      <c r="N242" s="26" t="n">
        <v>0.219142701022657</v>
      </c>
      <c r="O242" s="27" t="n">
        <v>502.059011853244</v>
      </c>
      <c r="P242" s="27" t="n">
        <v>41.643886357836</v>
      </c>
      <c r="Q242" s="28" t="n">
        <v>0.132686669519698</v>
      </c>
      <c r="R242" s="25" t="n">
        <v>0.996103186466621</v>
      </c>
      <c r="S242" s="29" t="n">
        <v>0.299982426936181</v>
      </c>
      <c r="T242" s="27" t="n">
        <v>502.059011853244</v>
      </c>
      <c r="U242" s="27" t="n">
        <v>77</v>
      </c>
      <c r="V242" s="28" t="n">
        <v>0.051265306122449</v>
      </c>
      <c r="W242" s="25" t="n">
        <f aca="false">(I242-H242)/(J242-H242)</f>
        <v>1.32713752961682</v>
      </c>
      <c r="X242" s="25" t="n">
        <f aca="false">0.5*(1+(I242-K242-L242)/(I242-K242))</f>
        <v>0.427570093457944</v>
      </c>
      <c r="Y242" s="25" t="n">
        <v>1.36355648607355</v>
      </c>
      <c r="Z242" s="26" t="n">
        <v>0.263879101996349</v>
      </c>
      <c r="AA242" s="27" t="n">
        <v>502.059011853244</v>
      </c>
      <c r="AB242" s="27" t="n">
        <v>41.643886357836</v>
      </c>
      <c r="AC242" s="28" t="n">
        <v>0.132686669519698</v>
      </c>
      <c r="AD242" s="25" t="n">
        <v>1.19945046361977</v>
      </c>
      <c r="AE242" s="4" t="n">
        <v>0.310004336896578</v>
      </c>
      <c r="AF242" s="25" t="n">
        <v>0.997884563758389</v>
      </c>
      <c r="AG242" s="26" t="n">
        <f aca="false">SMALL(AE242:AF242,1)</f>
        <v>0.310004336896578</v>
      </c>
      <c r="AH242" s="27" t="n">
        <v>528</v>
      </c>
      <c r="AI242" s="28" t="n">
        <v>0.0333</v>
      </c>
      <c r="AJ242" s="25" t="n">
        <v>1.40911062225717</v>
      </c>
      <c r="AK242" s="29" t="n">
        <v>0.358715980848119</v>
      </c>
      <c r="AN242" s="4" t="n">
        <f aca="false">(N242-$N$344)/$N$345</f>
        <v>0.0448094955824991</v>
      </c>
      <c r="AO242" s="4" t="n">
        <f aca="false">(S242-$S$344)/$S$345</f>
        <v>1.02685573353744</v>
      </c>
      <c r="AP242" s="4" t="n">
        <f aca="false">(Z242-$Z$344)/$Z$345</f>
        <v>0.551249519158103</v>
      </c>
      <c r="AQ242" s="4" t="n">
        <f aca="false">(AE242-$AE$344)/$AE$345</f>
        <v>0.509621086211029</v>
      </c>
    </row>
    <row r="243" customFormat="false" ht="14.25" hidden="false" customHeight="false" outlineLevel="0" collapsed="false">
      <c r="A243" s="0" t="s">
        <v>72</v>
      </c>
      <c r="B243" s="1" t="n">
        <v>28</v>
      </c>
      <c r="C243" s="1" t="n">
        <v>4</v>
      </c>
      <c r="D243" s="2" t="n">
        <v>16</v>
      </c>
      <c r="E243" s="4" t="n">
        <v>5.30847435710111</v>
      </c>
      <c r="F243" s="1" t="n">
        <v>30</v>
      </c>
      <c r="G243" s="1" t="n">
        <v>44</v>
      </c>
      <c r="H243" s="3" t="n">
        <v>133.493416234983</v>
      </c>
      <c r="I243" s="1" t="n">
        <v>300</v>
      </c>
      <c r="J243" s="39" t="n">
        <v>256</v>
      </c>
      <c r="K243" s="27" t="n">
        <v>168</v>
      </c>
      <c r="L243" s="39" t="n">
        <v>154</v>
      </c>
      <c r="M243" s="4" t="n">
        <v>0.22</v>
      </c>
      <c r="N243" s="26" t="n">
        <v>0.0560843968035876</v>
      </c>
      <c r="O243" s="27" t="n">
        <v>151.171969977459</v>
      </c>
      <c r="P243" s="27" t="n">
        <v>55.2766664422132</v>
      </c>
      <c r="Q243" s="28" t="n">
        <v>0.221883118160293</v>
      </c>
      <c r="R243" s="25" t="n">
        <v>0.254929076379943</v>
      </c>
      <c r="S243" s="29" t="n">
        <v>0.0676476530429682</v>
      </c>
      <c r="T243" s="27" t="n">
        <v>151.171969977459</v>
      </c>
      <c r="U243" s="27" t="n">
        <v>98</v>
      </c>
      <c r="V243" s="28" t="n">
        <v>0.0799675324675325</v>
      </c>
      <c r="W243" s="25" t="n">
        <f aca="false">(I243-H243)/(J243-H243)</f>
        <v>1.35916437017293</v>
      </c>
      <c r="X243" s="25" t="n">
        <f aca="false">0.5*(1+(I243-K243-L243)/(I243-K243))</f>
        <v>0.416666666666667</v>
      </c>
      <c r="Y243" s="25" t="n">
        <v>0.307489332013492</v>
      </c>
      <c r="Z243" s="26" t="n">
        <v>0.0728407994883951</v>
      </c>
      <c r="AA243" s="27" t="n">
        <v>151.171969977459</v>
      </c>
      <c r="AB243" s="27" t="n">
        <v>55.2766664422132</v>
      </c>
      <c r="AC243" s="28" t="n">
        <v>0.221883118160293</v>
      </c>
      <c r="AD243" s="25" t="n">
        <v>0.331094543129069</v>
      </c>
      <c r="AE243" s="4" t="n">
        <v>0.110449823597294</v>
      </c>
      <c r="AF243" s="25" t="n">
        <v>0.0733613773686082</v>
      </c>
      <c r="AG243" s="26" t="n">
        <f aca="false">SMALL(AE243:AF243,1)</f>
        <v>0.0733613773686082</v>
      </c>
      <c r="AH243" s="27" t="n">
        <v>161.487986871358</v>
      </c>
      <c r="AI243" s="28" t="n">
        <v>0.0433</v>
      </c>
      <c r="AJ243" s="25" t="n">
        <v>0.333460806220946</v>
      </c>
      <c r="AK243" s="29" t="n">
        <v>0.0927890795715701</v>
      </c>
      <c r="AN243" s="4" t="n">
        <f aca="false">(N243-$N$344)/$N$345</f>
        <v>-1.87346143999391</v>
      </c>
      <c r="AO243" s="4" t="n">
        <f aca="false">(S243-$S$344)/$S$345</f>
        <v>-1.77555555432785</v>
      </c>
      <c r="AP243" s="4" t="n">
        <f aca="false">(Z243-$Z$344)/$Z$345</f>
        <v>-2.04360786444913</v>
      </c>
      <c r="AQ243" s="4" t="n">
        <f aca="false">(AE243-$AE$344)/$AE$345</f>
        <v>-2.00513834023988</v>
      </c>
    </row>
    <row r="244" customFormat="false" ht="14.25" hidden="false" customHeight="false" outlineLevel="0" collapsed="false">
      <c r="B244" s="1" t="n">
        <v>28</v>
      </c>
      <c r="C244" s="1" t="n">
        <v>4</v>
      </c>
      <c r="D244" s="2" t="n">
        <v>16</v>
      </c>
      <c r="E244" s="4" t="n">
        <v>5.30847435710111</v>
      </c>
      <c r="F244" s="1" t="n">
        <v>30</v>
      </c>
      <c r="G244" s="1" t="n">
        <v>44</v>
      </c>
      <c r="H244" s="3" t="n">
        <v>133.493416234983</v>
      </c>
      <c r="I244" s="1" t="n">
        <v>300</v>
      </c>
      <c r="J244" s="39" t="n">
        <v>256</v>
      </c>
      <c r="K244" s="27" t="n">
        <v>168</v>
      </c>
      <c r="L244" s="39" t="n">
        <v>154</v>
      </c>
      <c r="M244" s="4" t="n">
        <v>0.25</v>
      </c>
      <c r="N244" s="26" t="n">
        <v>0.0801018616532419</v>
      </c>
      <c r="O244" s="27" t="n">
        <v>201.706599941352</v>
      </c>
      <c r="P244" s="27" t="n">
        <v>55.2766664422132</v>
      </c>
      <c r="Q244" s="28" t="n">
        <v>0.221883118160293</v>
      </c>
      <c r="R244" s="25" t="n">
        <v>0.320407446612968</v>
      </c>
      <c r="S244" s="29" t="n">
        <v>0.104592545860819</v>
      </c>
      <c r="T244" s="27" t="n">
        <v>201.706599941352</v>
      </c>
      <c r="U244" s="27" t="n">
        <v>98</v>
      </c>
      <c r="V244" s="28" t="n">
        <v>0.0799675324675325</v>
      </c>
      <c r="W244" s="25" t="n">
        <f aca="false">(I244-H244)/(J244-H244)</f>
        <v>1.35916437017293</v>
      </c>
      <c r="X244" s="25" t="n">
        <f aca="false">0.5*(1+(I244-K244-L244)/(I244-K244))</f>
        <v>0.416666666666667</v>
      </c>
      <c r="Y244" s="25" t="n">
        <v>0.418370183443275</v>
      </c>
      <c r="Z244" s="26" t="n">
        <v>0.104033991196598</v>
      </c>
      <c r="AA244" s="27" t="n">
        <v>201.706599941352</v>
      </c>
      <c r="AB244" s="27" t="n">
        <v>55.2766664422132</v>
      </c>
      <c r="AC244" s="28" t="n">
        <v>0.221883118160293</v>
      </c>
      <c r="AD244" s="25" t="n">
        <v>0.416135964786393</v>
      </c>
      <c r="AE244" s="4" t="n">
        <v>0.147371621771247</v>
      </c>
      <c r="AF244" s="25" t="n">
        <v>0.130606607583203</v>
      </c>
      <c r="AG244" s="26" t="n">
        <f aca="false">SMALL(AE244:AF244,1)</f>
        <v>0.130606607583203</v>
      </c>
      <c r="AH244" s="27" t="n">
        <v>215.471113911212</v>
      </c>
      <c r="AI244" s="28" t="n">
        <v>0.0433</v>
      </c>
      <c r="AJ244" s="25" t="n">
        <v>0.522426430332813</v>
      </c>
      <c r="AK244" s="29" t="n">
        <v>0.135056442182546</v>
      </c>
      <c r="AN244" s="4" t="n">
        <f aca="false">(N244-$N$344)/$N$345</f>
        <v>-1.5909121703448</v>
      </c>
      <c r="AO244" s="4" t="n">
        <f aca="false">(S244-$S$344)/$S$345</f>
        <v>-1.32992796734724</v>
      </c>
      <c r="AP244" s="4" t="n">
        <f aca="false">(Z244-$Z$344)/$Z$345</f>
        <v>-1.61991333429627</v>
      </c>
      <c r="AQ244" s="4" t="n">
        <f aca="false">(AE244-$AE$344)/$AE$345</f>
        <v>-1.53985475198942</v>
      </c>
    </row>
    <row r="245" customFormat="false" ht="14.25" hidden="false" customHeight="false" outlineLevel="0" collapsed="false">
      <c r="B245" s="1" t="n">
        <v>28</v>
      </c>
      <c r="C245" s="1" t="n">
        <v>4</v>
      </c>
      <c r="D245" s="2" t="n">
        <v>16</v>
      </c>
      <c r="E245" s="4" t="n">
        <v>5.30847435710111</v>
      </c>
      <c r="F245" s="1" t="n">
        <v>30</v>
      </c>
      <c r="G245" s="1" t="n">
        <v>44</v>
      </c>
      <c r="H245" s="3" t="n">
        <v>133.493416234983</v>
      </c>
      <c r="I245" s="1" t="n">
        <v>300</v>
      </c>
      <c r="J245" s="39" t="n">
        <v>256</v>
      </c>
      <c r="K245" s="27" t="n">
        <v>168</v>
      </c>
      <c r="L245" s="39" t="n">
        <v>154</v>
      </c>
      <c r="M245" s="4" t="n">
        <v>0.29</v>
      </c>
      <c r="N245" s="26" t="n">
        <v>0.0938554526355226</v>
      </c>
      <c r="O245" s="27" t="n">
        <v>230.64523419418</v>
      </c>
      <c r="P245" s="27" t="n">
        <v>55.2766664422132</v>
      </c>
      <c r="Q245" s="28" t="n">
        <v>0.221883118160293</v>
      </c>
      <c r="R245" s="25" t="n">
        <v>0.32363949184663</v>
      </c>
      <c r="S245" s="29" t="n">
        <v>0.125749022944545</v>
      </c>
      <c r="T245" s="27" t="n">
        <v>230.64523419418</v>
      </c>
      <c r="U245" s="27" t="n">
        <v>98</v>
      </c>
      <c r="V245" s="28" t="n">
        <v>0.0799675324675325</v>
      </c>
      <c r="W245" s="25" t="n">
        <f aca="false">(I245-H245)/(J245-H245)</f>
        <v>1.35916437017293</v>
      </c>
      <c r="X245" s="25" t="n">
        <f aca="false">0.5*(1+(I245-K245-L245)/(I245-K245))</f>
        <v>0.416666666666667</v>
      </c>
      <c r="Y245" s="25" t="n">
        <v>0.433617320498431</v>
      </c>
      <c r="Z245" s="26" t="n">
        <v>0.121896759097877</v>
      </c>
      <c r="AA245" s="27" t="n">
        <v>230.64523419418</v>
      </c>
      <c r="AB245" s="27" t="n">
        <v>55.2766664422132</v>
      </c>
      <c r="AC245" s="28" t="n">
        <v>0.221883118160293</v>
      </c>
      <c r="AD245" s="25" t="n">
        <v>0.420333652061645</v>
      </c>
      <c r="AE245" s="4" t="n">
        <v>0.168514873717015</v>
      </c>
      <c r="AF245" s="25" t="n">
        <v>0.170770913672839</v>
      </c>
      <c r="AG245" s="26" t="n">
        <f aca="false">SMALL(AE245:AF245,1)</f>
        <v>0.168514873717015</v>
      </c>
      <c r="AH245" s="27" t="n">
        <v>246.384528540872</v>
      </c>
      <c r="AI245" s="28" t="n">
        <v>0.0433</v>
      </c>
      <c r="AJ245" s="25" t="n">
        <v>0.581085771437981</v>
      </c>
      <c r="AK245" s="29" t="n">
        <v>0.159260829318746</v>
      </c>
      <c r="AN245" s="4" t="n">
        <f aca="false">(N245-$N$344)/$N$345</f>
        <v>-1.42911045182779</v>
      </c>
      <c r="AO245" s="4" t="n">
        <f aca="false">(S245-$S$344)/$S$345</f>
        <v>-1.07473952010194</v>
      </c>
      <c r="AP245" s="4" t="n">
        <f aca="false">(Z245-$Z$344)/$Z$345</f>
        <v>-1.37728484267028</v>
      </c>
      <c r="AQ245" s="4" t="n">
        <f aca="false">(AE245-$AE$344)/$AE$345</f>
        <v>-1.27341030401693</v>
      </c>
    </row>
    <row r="246" customFormat="false" ht="14.25" hidden="false" customHeight="false" outlineLevel="0" collapsed="false">
      <c r="B246" s="1" t="n">
        <v>28</v>
      </c>
      <c r="C246" s="1" t="n">
        <v>4</v>
      </c>
      <c r="D246" s="2" t="n">
        <v>16</v>
      </c>
      <c r="E246" s="4" t="n">
        <v>5.30847435710111</v>
      </c>
      <c r="F246" s="1" t="n">
        <v>30</v>
      </c>
      <c r="G246" s="1" t="n">
        <v>44</v>
      </c>
      <c r="H246" s="3" t="n">
        <v>133.493416234983</v>
      </c>
      <c r="I246" s="1" t="n">
        <v>300</v>
      </c>
      <c r="J246" s="39" t="n">
        <v>256</v>
      </c>
      <c r="K246" s="27" t="n">
        <v>168</v>
      </c>
      <c r="L246" s="39" t="n">
        <v>154</v>
      </c>
      <c r="M246" s="4" t="n">
        <v>0.31</v>
      </c>
      <c r="N246" s="26" t="n">
        <v>0.109661818391278</v>
      </c>
      <c r="O246" s="27" t="n">
        <v>263.903067589221</v>
      </c>
      <c r="P246" s="27" t="n">
        <v>55.2766664422132</v>
      </c>
      <c r="Q246" s="28" t="n">
        <v>0.221883118160293</v>
      </c>
      <c r="R246" s="25" t="n">
        <v>0.353747801262187</v>
      </c>
      <c r="S246" s="29" t="n">
        <v>0.150063183175096</v>
      </c>
      <c r="T246" s="27" t="n">
        <v>263.903067589221</v>
      </c>
      <c r="U246" s="27" t="n">
        <v>98</v>
      </c>
      <c r="V246" s="28" t="n">
        <v>0.0799675324675325</v>
      </c>
      <c r="W246" s="25" t="n">
        <f aca="false">(I246-H246)/(J246-H246)</f>
        <v>1.35916437017293</v>
      </c>
      <c r="X246" s="25" t="n">
        <f aca="false">0.5*(1+(I246-K246-L246)/(I246-K246))</f>
        <v>0.416666666666667</v>
      </c>
      <c r="Y246" s="25" t="n">
        <v>0.484074784435794</v>
      </c>
      <c r="Z246" s="26" t="n">
        <v>0.142425611760541</v>
      </c>
      <c r="AA246" s="27" t="n">
        <v>263.903067589221</v>
      </c>
      <c r="AB246" s="27" t="n">
        <v>55.2766664422132</v>
      </c>
      <c r="AC246" s="28" t="n">
        <v>0.221883118160293</v>
      </c>
      <c r="AD246" s="25" t="n">
        <v>0.459437457292067</v>
      </c>
      <c r="AE246" s="4" t="n">
        <v>0.192813834908419</v>
      </c>
      <c r="AF246" s="25" t="n">
        <v>0.223570144984703</v>
      </c>
      <c r="AG246" s="26" t="n">
        <f aca="false">SMALL(AE246:AF246,1)</f>
        <v>0.192813834908419</v>
      </c>
      <c r="AH246" s="27" t="n">
        <v>281.911885652571</v>
      </c>
      <c r="AI246" s="28" t="n">
        <v>0.0433</v>
      </c>
      <c r="AJ246" s="25" t="n">
        <v>0.621980112607804</v>
      </c>
      <c r="AK246" s="29" t="n">
        <v>0.187077811549901</v>
      </c>
      <c r="AN246" s="4" t="n">
        <f aca="false">(N246-$N$344)/$N$345</f>
        <v>-1.24315922308436</v>
      </c>
      <c r="AO246" s="4" t="n">
        <f aca="false">(S246-$S$344)/$S$345</f>
        <v>-0.781463244909573</v>
      </c>
      <c r="AP246" s="4" t="n">
        <f aca="false">(Z246-$Z$344)/$Z$345</f>
        <v>-1.09844314333891</v>
      </c>
      <c r="AQ246" s="4" t="n">
        <f aca="false">(AE246-$AE$344)/$AE$345</f>
        <v>-0.967198027988853</v>
      </c>
    </row>
    <row r="247" customFormat="false" ht="14.25" hidden="false" customHeight="false" outlineLevel="0" collapsed="false">
      <c r="B247" s="1" t="n">
        <v>28</v>
      </c>
      <c r="C247" s="1" t="n">
        <v>4</v>
      </c>
      <c r="D247" s="2" t="n">
        <v>16</v>
      </c>
      <c r="E247" s="4" t="n">
        <v>5.30847435710111</v>
      </c>
      <c r="F247" s="1" t="n">
        <v>30</v>
      </c>
      <c r="G247" s="1" t="n">
        <v>44</v>
      </c>
      <c r="H247" s="3" t="n">
        <v>133.493416234983</v>
      </c>
      <c r="I247" s="1" t="n">
        <v>300</v>
      </c>
      <c r="J247" s="39" t="n">
        <v>256</v>
      </c>
      <c r="K247" s="27" t="n">
        <v>168</v>
      </c>
      <c r="L247" s="39" t="n">
        <v>154</v>
      </c>
      <c r="M247" s="4" t="n">
        <v>0.33</v>
      </c>
      <c r="N247" s="26" t="n">
        <v>0.134295115672975</v>
      </c>
      <c r="O247" s="27" t="n">
        <v>315.733457295778</v>
      </c>
      <c r="P247" s="27" t="n">
        <v>55.2766664422132</v>
      </c>
      <c r="Q247" s="28" t="n">
        <v>0.221883118160293</v>
      </c>
      <c r="R247" s="25" t="n">
        <v>0.406954895978711</v>
      </c>
      <c r="S247" s="29" t="n">
        <v>0.187955380936994</v>
      </c>
      <c r="T247" s="27" t="n">
        <v>315.733457295778</v>
      </c>
      <c r="U247" s="27" t="n">
        <v>98</v>
      </c>
      <c r="V247" s="28" t="n">
        <v>0.0799675324675325</v>
      </c>
      <c r="W247" s="25" t="n">
        <f aca="false">(I247-H247)/(J247-H247)</f>
        <v>1.35916437017293</v>
      </c>
      <c r="X247" s="25" t="n">
        <f aca="false">0.5*(1+(I247-K247-L247)/(I247-K247))</f>
        <v>0.416666666666667</v>
      </c>
      <c r="Y247" s="25" t="n">
        <v>0.569561760415134</v>
      </c>
      <c r="Z247" s="26" t="n">
        <v>0.174418628897159</v>
      </c>
      <c r="AA247" s="27" t="n">
        <v>315.733457295778</v>
      </c>
      <c r="AB247" s="27" t="n">
        <v>55.2766664422132</v>
      </c>
      <c r="AC247" s="28" t="n">
        <v>0.221883118160293</v>
      </c>
      <c r="AD247" s="25" t="n">
        <v>0.528541299688362</v>
      </c>
      <c r="AE247" s="4" t="n">
        <v>0.230682345856063</v>
      </c>
      <c r="AF247" s="25" t="n">
        <v>0.320011909976056</v>
      </c>
      <c r="AG247" s="26" t="n">
        <f aca="false">SMALL(AE247:AF247,1)</f>
        <v>0.230682345856063</v>
      </c>
      <c r="AH247" s="27" t="n">
        <v>337.279195437036</v>
      </c>
      <c r="AI247" s="28" t="n">
        <v>0.0433</v>
      </c>
      <c r="AJ247" s="25" t="n">
        <v>0.699037411685039</v>
      </c>
      <c r="AK247" s="29" t="n">
        <v>0.230428952689364</v>
      </c>
      <c r="AN247" s="4" t="n">
        <f aca="false">(N247-$N$344)/$N$345</f>
        <v>-0.953365100367331</v>
      </c>
      <c r="AO247" s="4" t="n">
        <f aca="false">(S247-$S$344)/$S$345</f>
        <v>-0.324409309544848</v>
      </c>
      <c r="AP247" s="4" t="n">
        <f aca="false">(Z247-$Z$344)/$Z$345</f>
        <v>-0.663884650874442</v>
      </c>
      <c r="AQ247" s="4" t="n">
        <f aca="false">(AE247-$AE$344)/$AE$345</f>
        <v>-0.489984091321712</v>
      </c>
    </row>
    <row r="248" customFormat="false" ht="14.25" hidden="false" customHeight="false" outlineLevel="0" collapsed="false">
      <c r="B248" s="1" t="n">
        <v>28</v>
      </c>
      <c r="C248" s="1" t="n">
        <v>4</v>
      </c>
      <c r="D248" s="2" t="n">
        <v>16</v>
      </c>
      <c r="E248" s="4" t="n">
        <v>5.30847435710111</v>
      </c>
      <c r="F248" s="1" t="n">
        <v>30</v>
      </c>
      <c r="G248" s="1" t="n">
        <v>44</v>
      </c>
      <c r="H248" s="3" t="n">
        <v>133.493416234983</v>
      </c>
      <c r="I248" s="1" t="n">
        <v>300</v>
      </c>
      <c r="J248" s="39" t="n">
        <v>256</v>
      </c>
      <c r="K248" s="27" t="n">
        <v>168</v>
      </c>
      <c r="L248" s="39" t="n">
        <v>154</v>
      </c>
      <c r="M248" s="4" t="n">
        <v>0.34</v>
      </c>
      <c r="N248" s="26" t="n">
        <v>0.146817041791171</v>
      </c>
      <c r="O248" s="27" t="n">
        <v>342.080572063278</v>
      </c>
      <c r="P248" s="27" t="n">
        <v>55.2766664422132</v>
      </c>
      <c r="Q248" s="28" t="n">
        <v>0.221883118160293</v>
      </c>
      <c r="R248" s="25" t="n">
        <v>0.43181482879756</v>
      </c>
      <c r="S248" s="29" t="n">
        <v>0.207217248132626</v>
      </c>
      <c r="T248" s="27" t="n">
        <v>342.080572063278</v>
      </c>
      <c r="U248" s="27" t="n">
        <v>98</v>
      </c>
      <c r="V248" s="28" t="n">
        <v>0.0799675324675325</v>
      </c>
      <c r="W248" s="25" t="n">
        <f aca="false">(I248-H248)/(J248-H248)</f>
        <v>1.35916437017293</v>
      </c>
      <c r="X248" s="25" t="n">
        <f aca="false">0.5*(1+(I248-K248-L248)/(I248-K248))</f>
        <v>0.416666666666667</v>
      </c>
      <c r="Y248" s="25" t="n">
        <v>0.609462494507722</v>
      </c>
      <c r="Z248" s="26" t="n">
        <v>0.190681745941607</v>
      </c>
      <c r="AA248" s="27" t="n">
        <v>342.080572063278</v>
      </c>
      <c r="AB248" s="27" t="n">
        <v>55.2766664422132</v>
      </c>
      <c r="AC248" s="28" t="n">
        <v>0.221883118160293</v>
      </c>
      <c r="AD248" s="25" t="n">
        <v>0.560828664534139</v>
      </c>
      <c r="AE248" s="4" t="n">
        <v>0.249932172254449</v>
      </c>
      <c r="AF248" s="25" t="n">
        <v>0.375648579704022</v>
      </c>
      <c r="AG248" s="26" t="n">
        <f aca="false">SMALL(AE248:AF248,1)</f>
        <v>0.249932172254449</v>
      </c>
      <c r="AH248" s="27" t="n">
        <v>365.424244577473</v>
      </c>
      <c r="AI248" s="28" t="n">
        <v>0.0433</v>
      </c>
      <c r="AJ248" s="25" t="n">
        <v>0.73509462427779</v>
      </c>
      <c r="AK248" s="29" t="n">
        <v>0.252465782768591</v>
      </c>
      <c r="AN248" s="4" t="n">
        <f aca="false">(N248-$N$344)/$N$345</f>
        <v>-0.806053087986172</v>
      </c>
      <c r="AO248" s="4" t="n">
        <f aca="false">(S248-$S$344)/$S$345</f>
        <v>-0.0920735590677794</v>
      </c>
      <c r="AP248" s="4" t="n">
        <f aca="false">(Z248-$Z$344)/$Z$345</f>
        <v>-0.44298408387167</v>
      </c>
      <c r="AQ248" s="4" t="n">
        <f aca="false">(AE248-$AE$344)/$AE$345</f>
        <v>-0.247400340182582</v>
      </c>
    </row>
    <row r="249" customFormat="false" ht="14.25" hidden="false" customHeight="false" outlineLevel="0" collapsed="false">
      <c r="B249" s="1" t="n">
        <v>28</v>
      </c>
      <c r="C249" s="1" t="n">
        <v>4</v>
      </c>
      <c r="D249" s="2" t="n">
        <v>16</v>
      </c>
      <c r="E249" s="4" t="n">
        <v>5.30847435710111</v>
      </c>
      <c r="F249" s="1" t="n">
        <v>30</v>
      </c>
      <c r="G249" s="1" t="n">
        <v>44</v>
      </c>
      <c r="H249" s="3" t="n">
        <v>133.493416234983</v>
      </c>
      <c r="I249" s="1" t="n">
        <v>300</v>
      </c>
      <c r="J249" s="39" t="n">
        <v>256</v>
      </c>
      <c r="K249" s="27" t="n">
        <v>168</v>
      </c>
      <c r="L249" s="39" t="n">
        <v>154</v>
      </c>
      <c r="M249" s="4" t="n">
        <v>0.37</v>
      </c>
      <c r="N249" s="26" t="n">
        <v>0.165086737275096</v>
      </c>
      <c r="O249" s="27" t="n">
        <v>380.521444428975</v>
      </c>
      <c r="P249" s="27" t="n">
        <v>55.2766664422132</v>
      </c>
      <c r="Q249" s="28" t="n">
        <v>0.221883118160293</v>
      </c>
      <c r="R249" s="25" t="n">
        <v>0.446180371013772</v>
      </c>
      <c r="S249" s="29" t="n">
        <v>0.235320628139366</v>
      </c>
      <c r="T249" s="27" t="n">
        <v>380.521444428975</v>
      </c>
      <c r="U249" s="27" t="n">
        <v>98</v>
      </c>
      <c r="V249" s="28" t="n">
        <v>0.0799675324675325</v>
      </c>
      <c r="W249" s="25" t="n">
        <f aca="false">(I249-H249)/(J249-H249)</f>
        <v>1.35916437017293</v>
      </c>
      <c r="X249" s="25" t="n">
        <f aca="false">0.5*(1+(I249-K249-L249)/(I249-K249))</f>
        <v>0.416666666666667</v>
      </c>
      <c r="Y249" s="25" t="n">
        <v>0.636001697673963</v>
      </c>
      <c r="Z249" s="26" t="n">
        <v>0.214409900317933</v>
      </c>
      <c r="AA249" s="27" t="n">
        <v>380.521444428975</v>
      </c>
      <c r="AB249" s="27" t="n">
        <v>55.2766664422132</v>
      </c>
      <c r="AC249" s="28" t="n">
        <v>0.221883118160293</v>
      </c>
      <c r="AD249" s="25" t="n">
        <v>0.579486217075494</v>
      </c>
      <c r="AE249" s="4" t="n">
        <v>0.273580284793021</v>
      </c>
      <c r="AF249" s="25" t="n">
        <v>0.450097932589076</v>
      </c>
      <c r="AG249" s="26" t="n">
        <f aca="false">SMALL(AE249:AF249,1)</f>
        <v>0.273580284793021</v>
      </c>
      <c r="AH249" s="27" t="n">
        <v>400</v>
      </c>
      <c r="AI249" s="28" t="n">
        <v>0.0433</v>
      </c>
      <c r="AJ249" s="25" t="n">
        <v>0.739406175116272</v>
      </c>
      <c r="AK249" s="29" t="n">
        <v>0.284617879113692</v>
      </c>
      <c r="AN249" s="4" t="n">
        <f aca="false">(N249-$N$344)/$N$345</f>
        <v>-0.591122446971039</v>
      </c>
      <c r="AO249" s="4" t="n">
        <f aca="false">(S249-$S$344)/$S$345</f>
        <v>0.246908109661058</v>
      </c>
      <c r="AP249" s="4" t="n">
        <f aca="false">(Z249-$Z$344)/$Z$345</f>
        <v>-0.120686535293855</v>
      </c>
      <c r="AQ249" s="4" t="n">
        <f aca="false">(AE249-$AE$344)/$AE$345</f>
        <v>0.050610027716018</v>
      </c>
    </row>
    <row r="250" customFormat="false" ht="14.25" hidden="false" customHeight="false" outlineLevel="0" collapsed="false">
      <c r="A250" s="0" t="s">
        <v>73</v>
      </c>
      <c r="B250" s="1" t="n">
        <v>15.9</v>
      </c>
      <c r="C250" s="1" t="n">
        <v>2</v>
      </c>
      <c r="D250" s="2" t="n">
        <v>46</v>
      </c>
      <c r="E250" s="4" t="n">
        <v>2.82587739786632</v>
      </c>
      <c r="F250" s="1" t="n">
        <v>30</v>
      </c>
      <c r="G250" s="1" t="n">
        <v>38</v>
      </c>
      <c r="H250" s="3" t="n">
        <v>70.0613812094831</v>
      </c>
      <c r="I250" s="1" t="n">
        <v>250</v>
      </c>
      <c r="J250" s="39" t="n">
        <v>212</v>
      </c>
      <c r="K250" s="27" t="n">
        <v>130</v>
      </c>
      <c r="L250" s="39" t="n">
        <v>117.5</v>
      </c>
      <c r="M250" s="4" t="n">
        <v>0.2</v>
      </c>
      <c r="N250" s="26" t="n">
        <v>0.249818807990607</v>
      </c>
      <c r="O250" s="27" t="n">
        <v>361.669574509028</v>
      </c>
      <c r="P250" s="27" t="n">
        <v>82.4614147066224</v>
      </c>
      <c r="Q250" s="28" t="n">
        <v>0.0441483882303684</v>
      </c>
      <c r="R250" s="25" t="n">
        <v>1.24909403995303</v>
      </c>
      <c r="S250" s="29" t="n">
        <v>0.267289298730918</v>
      </c>
      <c r="T250" s="27" t="n">
        <v>361.669574509028</v>
      </c>
      <c r="U250" s="27" t="n">
        <v>144</v>
      </c>
      <c r="V250" s="28" t="n">
        <v>0.022536170212766</v>
      </c>
      <c r="W250" s="25" t="n">
        <f aca="false">(I250-H250)/(J250-H250)</f>
        <v>1.26772135958349</v>
      </c>
      <c r="X250" s="25" t="n">
        <f aca="false">0.5*(1+(I250-K250-L250)/(I250-K250))</f>
        <v>0.510416666666667</v>
      </c>
      <c r="Y250" s="25" t="n">
        <v>1.33644649365459</v>
      </c>
      <c r="Z250" s="26" t="n">
        <v>0.254788816153853</v>
      </c>
      <c r="AA250" s="27" t="n">
        <v>361.669574509028</v>
      </c>
      <c r="AB250" s="27" t="n">
        <v>82.4614147066224</v>
      </c>
      <c r="AC250" s="28" t="n">
        <v>0.0441483882303684</v>
      </c>
      <c r="AD250" s="25" t="n">
        <v>1.27394408076927</v>
      </c>
      <c r="AE250" s="4" t="n">
        <v>0.281993618425503</v>
      </c>
      <c r="AF250" s="25" t="n">
        <v>0.431133668483731</v>
      </c>
      <c r="AG250" s="26" t="n">
        <f aca="false">SMALL(AE250:AF250,1)</f>
        <v>0.281993618425503</v>
      </c>
      <c r="AH250" s="27" t="n">
        <v>379.0397016511</v>
      </c>
      <c r="AI250" s="28" t="n">
        <v>0.0183</v>
      </c>
      <c r="AJ250" s="25" t="n">
        <v>1.40996809212752</v>
      </c>
      <c r="AK250" s="29" t="n">
        <v>0.35604170610472</v>
      </c>
      <c r="AN250" s="4" t="n">
        <f aca="false">(N250-$N$344)/$N$345</f>
        <v>0.405693197244166</v>
      </c>
      <c r="AO250" s="4" t="n">
        <f aca="false">(S250-$S$344)/$S$345</f>
        <v>0.632512734498619</v>
      </c>
      <c r="AP250" s="4" t="n">
        <f aca="false">(Z250-$Z$344)/$Z$345</f>
        <v>0.427776922156152</v>
      </c>
      <c r="AQ250" s="4" t="n">
        <f aca="false">(AE250-$AE$344)/$AE$345</f>
        <v>0.156633738783034</v>
      </c>
    </row>
    <row r="251" customFormat="false" ht="14.25" hidden="false" customHeight="false" outlineLevel="0" collapsed="false">
      <c r="B251" s="1" t="n">
        <v>15.9</v>
      </c>
      <c r="C251" s="1" t="n">
        <v>2</v>
      </c>
      <c r="D251" s="2" t="n">
        <v>46</v>
      </c>
      <c r="E251" s="4" t="n">
        <v>2.82587739786632</v>
      </c>
      <c r="F251" s="1" t="n">
        <v>30</v>
      </c>
      <c r="G251" s="1" t="n">
        <v>38</v>
      </c>
      <c r="H251" s="3" t="n">
        <v>70.0613812094831</v>
      </c>
      <c r="I251" s="1" t="n">
        <v>250</v>
      </c>
      <c r="J251" s="39" t="n">
        <v>212</v>
      </c>
      <c r="K251" s="27" t="n">
        <v>130</v>
      </c>
      <c r="L251" s="39" t="n">
        <v>117.5</v>
      </c>
      <c r="M251" s="4" t="n">
        <v>0.35</v>
      </c>
      <c r="N251" s="26" t="n">
        <v>0.274329489229603</v>
      </c>
      <c r="O251" s="27" t="n">
        <v>392.3</v>
      </c>
      <c r="P251" s="27" t="n">
        <v>82.4614147066224</v>
      </c>
      <c r="Q251" s="28" t="n">
        <v>0.0441483882303684</v>
      </c>
      <c r="R251" s="25" t="n">
        <v>0.783798540656008</v>
      </c>
      <c r="S251" s="29" t="n">
        <v>0.297021729415675</v>
      </c>
      <c r="T251" s="27" t="n">
        <v>392.3</v>
      </c>
      <c r="U251" s="27" t="n">
        <v>144</v>
      </c>
      <c r="V251" s="28" t="n">
        <v>0.022536170212766</v>
      </c>
      <c r="W251" s="25" t="n">
        <f aca="false">(I251-H251)/(J251-H251)</f>
        <v>1.26772135958349</v>
      </c>
      <c r="X251" s="25" t="n">
        <f aca="false">0.5*(1+(I251-K251-L251)/(I251-K251))</f>
        <v>0.510416666666667</v>
      </c>
      <c r="Y251" s="25" t="n">
        <v>0.848633512616216</v>
      </c>
      <c r="Z251" s="26" t="n">
        <v>0.279787123952372</v>
      </c>
      <c r="AA251" s="27" t="n">
        <v>392.3</v>
      </c>
      <c r="AB251" s="27" t="n">
        <v>82.4614147066224</v>
      </c>
      <c r="AC251" s="28" t="n">
        <v>0.0441483882303684</v>
      </c>
      <c r="AD251" s="25" t="n">
        <v>0.799391782721063</v>
      </c>
      <c r="AE251" s="4" t="n">
        <v>0.291858863402532</v>
      </c>
      <c r="AF251" s="25" t="n">
        <v>0.461826822418196</v>
      </c>
      <c r="AG251" s="26" t="n">
        <f aca="false">SMALL(AE251:AF251,1)</f>
        <v>0.291858863402532</v>
      </c>
      <c r="AH251" s="27" t="n">
        <v>392.3</v>
      </c>
      <c r="AI251" s="28" t="n">
        <v>0.0183</v>
      </c>
      <c r="AJ251" s="25" t="n">
        <v>0.833882466864377</v>
      </c>
      <c r="AK251" s="29" t="n">
        <v>0.383418206615455</v>
      </c>
      <c r="AN251" s="4" t="n">
        <f aca="false">(N251-$N$344)/$N$345</f>
        <v>0.694044824946457</v>
      </c>
      <c r="AO251" s="4" t="n">
        <f aca="false">(S251-$S$344)/$S$345</f>
        <v>0.991143937096525</v>
      </c>
      <c r="AP251" s="4" t="n">
        <f aca="false">(Z251-$Z$344)/$Z$345</f>
        <v>0.767326859090772</v>
      </c>
      <c r="AQ251" s="4" t="n">
        <f aca="false">(AE251-$AE$344)/$AE$345</f>
        <v>0.280954243441445</v>
      </c>
    </row>
    <row r="252" customFormat="false" ht="14.25" hidden="false" customHeight="false" outlineLevel="0" collapsed="false">
      <c r="A252" s="0" t="s">
        <v>74</v>
      </c>
      <c r="B252" s="1" t="n">
        <v>15.9</v>
      </c>
      <c r="C252" s="1" t="n">
        <v>2</v>
      </c>
      <c r="D252" s="2" t="n">
        <v>46</v>
      </c>
      <c r="E252" s="4" t="n">
        <v>2.82587739786632</v>
      </c>
      <c r="F252" s="1" t="n">
        <v>30</v>
      </c>
      <c r="G252" s="1" t="n">
        <v>38</v>
      </c>
      <c r="H252" s="3" t="n">
        <v>70.0613812094831</v>
      </c>
      <c r="I252" s="1" t="n">
        <v>250</v>
      </c>
      <c r="J252" s="39" t="n">
        <v>212</v>
      </c>
      <c r="K252" s="27" t="n">
        <v>130</v>
      </c>
      <c r="L252" s="39" t="n">
        <v>117.5</v>
      </c>
      <c r="M252" s="4" t="n">
        <v>0.2</v>
      </c>
      <c r="N252" s="26" t="n">
        <v>0.250886743523152</v>
      </c>
      <c r="O252" s="27" t="n">
        <v>363.004148584707</v>
      </c>
      <c r="P252" s="27" t="n">
        <v>82.4614147066224</v>
      </c>
      <c r="Q252" s="28" t="n">
        <v>0.0441483882303684</v>
      </c>
      <c r="R252" s="25" t="n">
        <v>1.25443371761576</v>
      </c>
      <c r="S252" s="29" t="n">
        <v>0.268584746984175</v>
      </c>
      <c r="T252" s="27" t="n">
        <v>363.004148584707</v>
      </c>
      <c r="U252" s="27" t="n">
        <v>144</v>
      </c>
      <c r="V252" s="28" t="n">
        <v>0.022536170212766</v>
      </c>
      <c r="W252" s="25" t="n">
        <f aca="false">(I252-H252)/(J252-H252)</f>
        <v>1.26772135958349</v>
      </c>
      <c r="X252" s="25" t="n">
        <f aca="false">0.5*(1+(I252-K252-L252)/(I252-K252))</f>
        <v>0.510416666666667</v>
      </c>
      <c r="Y252" s="25" t="n">
        <v>1.34292373492088</v>
      </c>
      <c r="Z252" s="26" t="n">
        <v>0.255877997678073</v>
      </c>
      <c r="AA252" s="27" t="n">
        <v>363.004148584707</v>
      </c>
      <c r="AB252" s="27" t="n">
        <v>82.4614147066224</v>
      </c>
      <c r="AC252" s="28" t="n">
        <v>0.0441483882303684</v>
      </c>
      <c r="AD252" s="25" t="n">
        <v>1.27938998839036</v>
      </c>
      <c r="AE252" s="4" t="n">
        <v>0.283034185283162</v>
      </c>
      <c r="AF252" s="25" t="n">
        <v>0.434321337251676</v>
      </c>
      <c r="AG252" s="26" t="n">
        <f aca="false">SMALL(AE252:AF252,1)</f>
        <v>0.283034185283162</v>
      </c>
      <c r="AH252" s="27" t="n">
        <v>380.438372136898</v>
      </c>
      <c r="AI252" s="28" t="n">
        <v>0.0183</v>
      </c>
      <c r="AJ252" s="25" t="n">
        <v>1.41517092641581</v>
      </c>
      <c r="AK252" s="29" t="n">
        <v>0.357711281285609</v>
      </c>
      <c r="AN252" s="4" t="n">
        <f aca="false">(N252-$N$344)/$N$345</f>
        <v>0.418256738260753</v>
      </c>
      <c r="AO252" s="4" t="n">
        <f aca="false">(S252-$S$344)/$S$345</f>
        <v>0.648138371362783</v>
      </c>
      <c r="AP252" s="4" t="n">
        <f aca="false">(Z252-$Z$344)/$Z$345</f>
        <v>0.442571184265406</v>
      </c>
      <c r="AQ252" s="4" t="n">
        <f aca="false">(AE252-$AE$344)/$AE$345</f>
        <v>0.169746823878861</v>
      </c>
    </row>
    <row r="253" customFormat="false" ht="14.25" hidden="false" customHeight="false" outlineLevel="0" collapsed="false">
      <c r="B253" s="1" t="n">
        <v>15.9</v>
      </c>
      <c r="C253" s="1" t="n">
        <v>2</v>
      </c>
      <c r="D253" s="2" t="n">
        <v>46</v>
      </c>
      <c r="E253" s="4" t="n">
        <v>2.82587739786632</v>
      </c>
      <c r="F253" s="1" t="n">
        <v>30</v>
      </c>
      <c r="G253" s="1" t="n">
        <v>38</v>
      </c>
      <c r="H253" s="3" t="n">
        <v>70.0613812094831</v>
      </c>
      <c r="I253" s="1" t="n">
        <v>250</v>
      </c>
      <c r="J253" s="39" t="n">
        <v>212</v>
      </c>
      <c r="K253" s="27" t="n">
        <v>130</v>
      </c>
      <c r="L253" s="39" t="n">
        <v>117.5</v>
      </c>
      <c r="M253" s="4" t="n">
        <v>0.25</v>
      </c>
      <c r="N253" s="26" t="n">
        <v>0.274329489229603</v>
      </c>
      <c r="O253" s="27" t="n">
        <v>392.3</v>
      </c>
      <c r="P253" s="27" t="n">
        <v>82.4614147066224</v>
      </c>
      <c r="Q253" s="28" t="n">
        <v>0.0441483882303684</v>
      </c>
      <c r="R253" s="25" t="n">
        <v>1.09731795691841</v>
      </c>
      <c r="S253" s="29" t="n">
        <v>0.297021729415675</v>
      </c>
      <c r="T253" s="27" t="n">
        <v>392.3</v>
      </c>
      <c r="U253" s="27" t="n">
        <v>144</v>
      </c>
      <c r="V253" s="28" t="n">
        <v>0.022536170212766</v>
      </c>
      <c r="W253" s="25" t="n">
        <f aca="false">(I253-H253)/(J253-H253)</f>
        <v>1.26772135958349</v>
      </c>
      <c r="X253" s="25" t="n">
        <f aca="false">0.5*(1+(I253-K253-L253)/(I253-K253))</f>
        <v>0.510416666666667</v>
      </c>
      <c r="Y253" s="25" t="n">
        <v>1.1880869176627</v>
      </c>
      <c r="Z253" s="26" t="n">
        <v>0.279787123952372</v>
      </c>
      <c r="AA253" s="27" t="n">
        <v>392.3</v>
      </c>
      <c r="AB253" s="27" t="n">
        <v>82.4614147066224</v>
      </c>
      <c r="AC253" s="28" t="n">
        <v>0.0441483882303684</v>
      </c>
      <c r="AD253" s="25" t="n">
        <v>1.11914849580949</v>
      </c>
      <c r="AE253" s="4" t="n">
        <v>0.291858863402532</v>
      </c>
      <c r="AF253" s="25" t="n">
        <v>0.461826822418196</v>
      </c>
      <c r="AG253" s="26" t="n">
        <f aca="false">SMALL(AE253:AF253,1)</f>
        <v>0.291858863402532</v>
      </c>
      <c r="AH253" s="27" t="n">
        <v>392.3</v>
      </c>
      <c r="AI253" s="28" t="n">
        <v>0.0183</v>
      </c>
      <c r="AJ253" s="25" t="n">
        <v>1.16743545361013</v>
      </c>
      <c r="AK253" s="29" t="n">
        <v>0.383418206615455</v>
      </c>
      <c r="AN253" s="4" t="n">
        <f aca="false">(N253-$N$344)/$N$345</f>
        <v>0.694044824946457</v>
      </c>
      <c r="AO253" s="4" t="n">
        <f aca="false">(S253-$S$344)/$S$345</f>
        <v>0.991143937096525</v>
      </c>
      <c r="AP253" s="4" t="n">
        <f aca="false">(Z253-$Z$344)/$Z$345</f>
        <v>0.767326859090772</v>
      </c>
      <c r="AQ253" s="4" t="n">
        <f aca="false">(AE253-$AE$344)/$AE$345</f>
        <v>0.280954243441445</v>
      </c>
    </row>
    <row r="254" customFormat="false" ht="14.25" hidden="false" customHeight="false" outlineLevel="0" collapsed="false">
      <c r="A254" s="0" t="s">
        <v>75</v>
      </c>
      <c r="B254" s="1" t="n">
        <v>15.9</v>
      </c>
      <c r="C254" s="1" t="n">
        <v>2</v>
      </c>
      <c r="D254" s="2" t="n">
        <v>46</v>
      </c>
      <c r="E254" s="4" t="n">
        <v>2.82587739786632</v>
      </c>
      <c r="F254" s="1" t="n">
        <v>30</v>
      </c>
      <c r="G254" s="1" t="n">
        <v>38</v>
      </c>
      <c r="H254" s="3" t="n">
        <v>70.0613812094831</v>
      </c>
      <c r="I254" s="1" t="n">
        <v>250</v>
      </c>
      <c r="J254" s="39" t="n">
        <v>212</v>
      </c>
      <c r="K254" s="27" t="n">
        <v>130</v>
      </c>
      <c r="L254" s="39" t="n">
        <v>117.5</v>
      </c>
      <c r="M254" s="4" t="n">
        <v>0.2</v>
      </c>
      <c r="N254" s="26" t="n">
        <v>0.250886743523152</v>
      </c>
      <c r="O254" s="27" t="n">
        <v>363.004148584707</v>
      </c>
      <c r="P254" s="27" t="n">
        <v>82.4614147066224</v>
      </c>
      <c r="Q254" s="28" t="n">
        <v>0.0441483882303684</v>
      </c>
      <c r="R254" s="25" t="n">
        <v>1.25443371761576</v>
      </c>
      <c r="S254" s="29" t="n">
        <v>0.268584746984175</v>
      </c>
      <c r="T254" s="27" t="n">
        <v>363.004148584707</v>
      </c>
      <c r="U254" s="27" t="n">
        <v>144</v>
      </c>
      <c r="V254" s="28" t="n">
        <v>0.022536170212766</v>
      </c>
      <c r="W254" s="25" t="n">
        <f aca="false">(I254-H254)/(J254-H254)</f>
        <v>1.26772135958349</v>
      </c>
      <c r="X254" s="25" t="n">
        <f aca="false">0.5*(1+(I254-K254-L254)/(I254-K254))</f>
        <v>0.510416666666667</v>
      </c>
      <c r="Y254" s="25" t="n">
        <v>1.34292373492088</v>
      </c>
      <c r="Z254" s="26" t="n">
        <v>0.255877997678073</v>
      </c>
      <c r="AA254" s="27" t="n">
        <v>363.004148584707</v>
      </c>
      <c r="AB254" s="27" t="n">
        <v>82.4614147066224</v>
      </c>
      <c r="AC254" s="28" t="n">
        <v>0.0441483882303684</v>
      </c>
      <c r="AD254" s="25" t="n">
        <v>1.27938998839036</v>
      </c>
      <c r="AE254" s="4" t="n">
        <v>0.283034185283162</v>
      </c>
      <c r="AF254" s="25" t="n">
        <v>0.434321337251676</v>
      </c>
      <c r="AG254" s="26" t="n">
        <f aca="false">SMALL(AE254:AF254,1)</f>
        <v>0.283034185283162</v>
      </c>
      <c r="AH254" s="27" t="n">
        <v>380.438372136898</v>
      </c>
      <c r="AI254" s="28" t="n">
        <v>0.0183</v>
      </c>
      <c r="AJ254" s="25" t="n">
        <v>1.41517092641581</v>
      </c>
      <c r="AK254" s="29" t="n">
        <v>0.357711281285609</v>
      </c>
      <c r="AN254" s="4" t="n">
        <f aca="false">(N254-$N$344)/$N$345</f>
        <v>0.418256738260753</v>
      </c>
      <c r="AO254" s="4" t="n">
        <f aca="false">(S254-$S$344)/$S$345</f>
        <v>0.648138371362783</v>
      </c>
      <c r="AP254" s="4" t="n">
        <f aca="false">(Z254-$Z$344)/$Z$345</f>
        <v>0.442571184265406</v>
      </c>
      <c r="AQ254" s="4" t="n">
        <f aca="false">(AE254-$AE$344)/$AE$345</f>
        <v>0.169746823878861</v>
      </c>
    </row>
    <row r="255" customFormat="false" ht="14.25" hidden="false" customHeight="false" outlineLevel="0" collapsed="false">
      <c r="B255" s="1" t="n">
        <v>15.9</v>
      </c>
      <c r="C255" s="1" t="n">
        <v>2</v>
      </c>
      <c r="D255" s="2" t="n">
        <v>46</v>
      </c>
      <c r="E255" s="4" t="n">
        <v>2.82587739786632</v>
      </c>
      <c r="F255" s="1" t="n">
        <v>30</v>
      </c>
      <c r="G255" s="1" t="n">
        <v>38</v>
      </c>
      <c r="H255" s="3" t="n">
        <v>70.0613812094831</v>
      </c>
      <c r="I255" s="1" t="n">
        <v>250</v>
      </c>
      <c r="J255" s="39" t="n">
        <v>212</v>
      </c>
      <c r="K255" s="27" t="n">
        <v>130</v>
      </c>
      <c r="L255" s="39" t="n">
        <v>117.5</v>
      </c>
      <c r="M255" s="4" t="n">
        <v>0.25</v>
      </c>
      <c r="N255" s="26" t="n">
        <v>0.274329489229603</v>
      </c>
      <c r="O255" s="27" t="n">
        <v>392.3</v>
      </c>
      <c r="P255" s="27" t="n">
        <v>82.4614147066224</v>
      </c>
      <c r="Q255" s="28" t="n">
        <v>0.0441483882303684</v>
      </c>
      <c r="R255" s="25" t="n">
        <v>1.09731795691841</v>
      </c>
      <c r="S255" s="29" t="n">
        <v>0.297021729415675</v>
      </c>
      <c r="T255" s="27" t="n">
        <v>392.3</v>
      </c>
      <c r="U255" s="27" t="n">
        <v>144</v>
      </c>
      <c r="V255" s="28" t="n">
        <v>0.022536170212766</v>
      </c>
      <c r="W255" s="25" t="n">
        <f aca="false">(I255-H255)/(J255-H255)</f>
        <v>1.26772135958349</v>
      </c>
      <c r="X255" s="25" t="n">
        <f aca="false">0.5*(1+(I255-K255-L255)/(I255-K255))</f>
        <v>0.510416666666667</v>
      </c>
      <c r="Y255" s="25" t="n">
        <v>1.1880869176627</v>
      </c>
      <c r="Z255" s="26" t="n">
        <v>0.279787123952372</v>
      </c>
      <c r="AA255" s="27" t="n">
        <v>392.3</v>
      </c>
      <c r="AB255" s="27" t="n">
        <v>82.4614147066224</v>
      </c>
      <c r="AC255" s="28" t="n">
        <v>0.0441483882303684</v>
      </c>
      <c r="AD255" s="25" t="n">
        <v>1.11914849580949</v>
      </c>
      <c r="AE255" s="4" t="n">
        <v>0.291858863402532</v>
      </c>
      <c r="AF255" s="25" t="n">
        <v>0.461826822418196</v>
      </c>
      <c r="AG255" s="26" t="n">
        <f aca="false">SMALL(AE255:AF255,1)</f>
        <v>0.291858863402532</v>
      </c>
      <c r="AH255" s="27" t="n">
        <v>392.3</v>
      </c>
      <c r="AI255" s="28" t="n">
        <v>0.0183</v>
      </c>
      <c r="AJ255" s="25" t="n">
        <v>1.16743545361013</v>
      </c>
      <c r="AK255" s="29" t="n">
        <v>0.383418206615455</v>
      </c>
      <c r="AN255" s="4" t="n">
        <f aca="false">(N255-$N$344)/$N$345</f>
        <v>0.694044824946457</v>
      </c>
      <c r="AO255" s="4" t="n">
        <f aca="false">(S255-$S$344)/$S$345</f>
        <v>0.991143937096525</v>
      </c>
      <c r="AP255" s="4" t="n">
        <f aca="false">(Z255-$Z$344)/$Z$345</f>
        <v>0.767326859090772</v>
      </c>
      <c r="AQ255" s="4" t="n">
        <f aca="false">(AE255-$AE$344)/$AE$345</f>
        <v>0.280954243441445</v>
      </c>
    </row>
    <row r="256" customFormat="false" ht="14.25" hidden="false" customHeight="false" outlineLevel="0" collapsed="false">
      <c r="A256" s="0" t="s">
        <v>76</v>
      </c>
      <c r="B256" s="1" t="n">
        <v>15.9</v>
      </c>
      <c r="C256" s="1" t="n">
        <v>2</v>
      </c>
      <c r="D256" s="2" t="n">
        <v>46</v>
      </c>
      <c r="E256" s="4" t="n">
        <v>2.82587739786632</v>
      </c>
      <c r="F256" s="1" t="n">
        <v>30</v>
      </c>
      <c r="G256" s="1" t="n">
        <v>38</v>
      </c>
      <c r="H256" s="3" t="n">
        <v>70.0613812094831</v>
      </c>
      <c r="I256" s="1" t="n">
        <v>250</v>
      </c>
      <c r="J256" s="39" t="n">
        <v>212</v>
      </c>
      <c r="K256" s="27" t="n">
        <v>130</v>
      </c>
      <c r="L256" s="39" t="n">
        <v>117.5</v>
      </c>
      <c r="M256" s="4" t="n">
        <v>0.2</v>
      </c>
      <c r="N256" s="26" t="n">
        <v>0.251954679055698</v>
      </c>
      <c r="O256" s="27" t="n">
        <v>364.338722660386</v>
      </c>
      <c r="P256" s="27" t="n">
        <v>82.4614147066224</v>
      </c>
      <c r="Q256" s="28" t="n">
        <v>0.0441483882303684</v>
      </c>
      <c r="R256" s="25" t="n">
        <v>1.25977339527849</v>
      </c>
      <c r="S256" s="29" t="n">
        <v>0.269880195237433</v>
      </c>
      <c r="T256" s="27" t="n">
        <v>364.338722660386</v>
      </c>
      <c r="U256" s="27" t="n">
        <v>144</v>
      </c>
      <c r="V256" s="28" t="n">
        <v>0.022536170212766</v>
      </c>
      <c r="W256" s="25" t="n">
        <f aca="false">(I256-H256)/(J256-H256)</f>
        <v>1.26772135958349</v>
      </c>
      <c r="X256" s="25" t="n">
        <f aca="false">0.5*(1+(I256-K256-L256)/(I256-K256))</f>
        <v>0.510416666666667</v>
      </c>
      <c r="Y256" s="25" t="n">
        <v>1.34940097618716</v>
      </c>
      <c r="Z256" s="26" t="n">
        <v>0.256967179202292</v>
      </c>
      <c r="AA256" s="27" t="n">
        <v>364.338722660386</v>
      </c>
      <c r="AB256" s="27" t="n">
        <v>82.4614147066224</v>
      </c>
      <c r="AC256" s="28" t="n">
        <v>0.0441483882303684</v>
      </c>
      <c r="AD256" s="25" t="n">
        <v>1.28483589601146</v>
      </c>
      <c r="AE256" s="4" t="n">
        <v>0.284074752140821</v>
      </c>
      <c r="AF256" s="25" t="n">
        <v>0.437520746972726</v>
      </c>
      <c r="AG256" s="26" t="n">
        <f aca="false">SMALL(AE256:AF256,1)</f>
        <v>0.284074752140821</v>
      </c>
      <c r="AH256" s="27" t="n">
        <v>381.837042622695</v>
      </c>
      <c r="AI256" s="28" t="n">
        <v>0.0183</v>
      </c>
      <c r="AJ256" s="25" t="n">
        <v>1.4203737607041</v>
      </c>
      <c r="AK256" s="29" t="n">
        <v>0.359380856466498</v>
      </c>
      <c r="AN256" s="4" t="n">
        <f aca="false">(N256-$N$344)/$N$345</f>
        <v>0.43082027927734</v>
      </c>
      <c r="AO256" s="4" t="n">
        <f aca="false">(S256-$S$344)/$S$345</f>
        <v>0.663764008226948</v>
      </c>
      <c r="AP256" s="4" t="n">
        <f aca="false">(Z256-$Z$344)/$Z$345</f>
        <v>0.45736544637466</v>
      </c>
      <c r="AQ256" s="4" t="n">
        <f aca="false">(AE256-$AE$344)/$AE$345</f>
        <v>0.182859908974686</v>
      </c>
    </row>
    <row r="257" customFormat="false" ht="14.25" hidden="false" customHeight="false" outlineLevel="0" collapsed="false">
      <c r="B257" s="1" t="n">
        <v>15.9</v>
      </c>
      <c r="C257" s="1" t="n">
        <v>2</v>
      </c>
      <c r="D257" s="2" t="n">
        <v>46</v>
      </c>
      <c r="E257" s="4" t="n">
        <v>2.82587739786632</v>
      </c>
      <c r="F257" s="1" t="n">
        <v>30</v>
      </c>
      <c r="G257" s="1" t="n">
        <v>38</v>
      </c>
      <c r="H257" s="3" t="n">
        <v>70.0613812094831</v>
      </c>
      <c r="I257" s="1" t="n">
        <v>250</v>
      </c>
      <c r="J257" s="39" t="n">
        <v>212</v>
      </c>
      <c r="K257" s="27" t="n">
        <v>130</v>
      </c>
      <c r="L257" s="39" t="n">
        <v>117.5</v>
      </c>
      <c r="M257" s="4" t="n">
        <v>0.3</v>
      </c>
      <c r="N257" s="26" t="n">
        <v>0.274329489229603</v>
      </c>
      <c r="O257" s="27" t="n">
        <v>392.3</v>
      </c>
      <c r="P257" s="27" t="n">
        <v>82.4614147066224</v>
      </c>
      <c r="Q257" s="28" t="n">
        <v>0.0441483882303684</v>
      </c>
      <c r="R257" s="25" t="n">
        <v>0.914431630765343</v>
      </c>
      <c r="S257" s="29" t="n">
        <v>0.297021729415675</v>
      </c>
      <c r="T257" s="27" t="n">
        <v>392.3</v>
      </c>
      <c r="U257" s="27" t="n">
        <v>144</v>
      </c>
      <c r="V257" s="28" t="n">
        <v>0.022536170212766</v>
      </c>
      <c r="W257" s="25" t="n">
        <f aca="false">(I257-H257)/(J257-H257)</f>
        <v>1.26772135958349</v>
      </c>
      <c r="X257" s="25" t="n">
        <f aca="false">0.5*(1+(I257-K257-L257)/(I257-K257))</f>
        <v>0.510416666666667</v>
      </c>
      <c r="Y257" s="25" t="n">
        <v>0.990072431385585</v>
      </c>
      <c r="Z257" s="26" t="n">
        <v>0.279787123952372</v>
      </c>
      <c r="AA257" s="27" t="n">
        <v>392.3</v>
      </c>
      <c r="AB257" s="27" t="n">
        <v>82.4614147066224</v>
      </c>
      <c r="AC257" s="28" t="n">
        <v>0.0441483882303684</v>
      </c>
      <c r="AD257" s="25" t="n">
        <v>0.932623746507907</v>
      </c>
      <c r="AE257" s="4" t="n">
        <v>0.291858863402532</v>
      </c>
      <c r="AF257" s="25" t="n">
        <v>0.461826822418196</v>
      </c>
      <c r="AG257" s="26" t="n">
        <f aca="false">SMALL(AE257:AF257,1)</f>
        <v>0.291858863402532</v>
      </c>
      <c r="AH257" s="27" t="n">
        <v>392.3</v>
      </c>
      <c r="AI257" s="28" t="n">
        <v>0.0183</v>
      </c>
      <c r="AJ257" s="25" t="n">
        <v>0.97286287800844</v>
      </c>
      <c r="AK257" s="29" t="n">
        <v>0.383418206615455</v>
      </c>
      <c r="AN257" s="4" t="n">
        <f aca="false">(N257-$N$344)/$N$345</f>
        <v>0.694044824946457</v>
      </c>
      <c r="AO257" s="4" t="n">
        <f aca="false">(S257-$S$344)/$S$345</f>
        <v>0.991143937096525</v>
      </c>
      <c r="AP257" s="4" t="n">
        <f aca="false">(Z257-$Z$344)/$Z$345</f>
        <v>0.767326859090772</v>
      </c>
      <c r="AQ257" s="4" t="n">
        <f aca="false">(AE257-$AE$344)/$AE$345</f>
        <v>0.280954243441445</v>
      </c>
    </row>
    <row r="258" customFormat="false" ht="14.25" hidden="false" customHeight="false" outlineLevel="0" collapsed="false">
      <c r="A258" s="0" t="s">
        <v>77</v>
      </c>
      <c r="B258" s="1" t="n">
        <v>12.7</v>
      </c>
      <c r="C258" s="1" t="n">
        <v>2</v>
      </c>
      <c r="D258" s="2" t="n">
        <v>52</v>
      </c>
      <c r="E258" s="4" t="n">
        <v>2.92087587098479</v>
      </c>
      <c r="F258" s="1" t="n">
        <v>30</v>
      </c>
      <c r="G258" s="1" t="n">
        <v>36.5</v>
      </c>
      <c r="H258" s="3" t="n">
        <v>58.0759426324872</v>
      </c>
      <c r="I258" s="1" t="n">
        <v>250</v>
      </c>
      <c r="J258" s="39" t="n">
        <v>213.5</v>
      </c>
      <c r="K258" s="27" t="n">
        <v>128</v>
      </c>
      <c r="L258" s="39" t="n">
        <v>100</v>
      </c>
      <c r="M258" s="4" t="n">
        <v>0.15</v>
      </c>
      <c r="N258" s="26" t="n">
        <v>0.231810802807599</v>
      </c>
      <c r="O258" s="27" t="n">
        <v>317.102697940788</v>
      </c>
      <c r="P258" s="27" t="n">
        <v>129.373331716991</v>
      </c>
      <c r="Q258" s="28" t="n">
        <v>0.0264062779284379</v>
      </c>
      <c r="R258" s="25" t="n">
        <v>1.54540535205066</v>
      </c>
      <c r="S258" s="29" t="n">
        <v>0.213020685260371</v>
      </c>
      <c r="T258" s="27" t="n">
        <v>317.102697940788</v>
      </c>
      <c r="U258" s="27" t="n">
        <v>192</v>
      </c>
      <c r="V258" s="28" t="n">
        <v>0.0168933333333333</v>
      </c>
      <c r="W258" s="25" t="n">
        <f aca="false">(I258-H258)/(J258-H258)</f>
        <v>1.23484137924474</v>
      </c>
      <c r="X258" s="25" t="n">
        <f aca="false">0.5*(1+(I258-K258-L258)/(I258-K258))</f>
        <v>0.59016393442623</v>
      </c>
      <c r="Y258" s="25" t="n">
        <v>1.42013790173581</v>
      </c>
      <c r="Z258" s="26" t="n">
        <v>0.220034058642669</v>
      </c>
      <c r="AA258" s="27" t="n">
        <v>317.102697940788</v>
      </c>
      <c r="AB258" s="27" t="n">
        <v>129.373331716991</v>
      </c>
      <c r="AC258" s="28" t="n">
        <v>0.0264062779284379</v>
      </c>
      <c r="AD258" s="25" t="n">
        <v>1.46689372428446</v>
      </c>
      <c r="AE258" s="4" t="n">
        <v>0.246618735082924</v>
      </c>
      <c r="AF258" s="25" t="n">
        <v>0.253331624193065</v>
      </c>
      <c r="AG258" s="26" t="n">
        <f aca="false">SMALL(AE258:AF258,1)</f>
        <v>0.246618735082924</v>
      </c>
      <c r="AH258" s="27" t="n">
        <v>330.521739593531</v>
      </c>
      <c r="AI258" s="28" t="n">
        <v>0.014</v>
      </c>
      <c r="AJ258" s="25" t="n">
        <v>1.64412490055282</v>
      </c>
      <c r="AK258" s="29" t="n">
        <v>0.281397518388313</v>
      </c>
      <c r="AN258" s="4" t="n">
        <f aca="false">(N258-$N$344)/$N$345</f>
        <v>0.193841166059895</v>
      </c>
      <c r="AO258" s="4" t="n">
        <f aca="false">(S258-$S$344)/$S$345</f>
        <v>-0.0220727690754636</v>
      </c>
      <c r="AP258" s="4" t="n">
        <f aca="false">(Z258-$Z$344)/$Z$345</f>
        <v>-0.0442940602565066</v>
      </c>
      <c r="AQ258" s="4" t="n">
        <f aca="false">(AE258-$AE$344)/$AE$345</f>
        <v>-0.289155834574977</v>
      </c>
    </row>
    <row r="259" customFormat="false" ht="14.25" hidden="false" customHeight="false" outlineLevel="0" collapsed="false">
      <c r="B259" s="1" t="n">
        <v>12.7</v>
      </c>
      <c r="C259" s="1" t="n">
        <v>2</v>
      </c>
      <c r="D259" s="2" t="n">
        <v>52</v>
      </c>
      <c r="E259" s="4" t="n">
        <v>2.92087587098479</v>
      </c>
      <c r="F259" s="1" t="n">
        <v>30</v>
      </c>
      <c r="G259" s="1" t="n">
        <v>36.5</v>
      </c>
      <c r="H259" s="3" t="n">
        <v>58.0759426324872</v>
      </c>
      <c r="I259" s="1" t="n">
        <v>250</v>
      </c>
      <c r="J259" s="39" t="n">
        <v>213.5</v>
      </c>
      <c r="K259" s="27" t="n">
        <v>128</v>
      </c>
      <c r="L259" s="39" t="n">
        <v>100</v>
      </c>
      <c r="M259" s="4" t="n">
        <v>0.2</v>
      </c>
      <c r="N259" s="26" t="n">
        <v>0.304600353772294</v>
      </c>
      <c r="O259" s="27" t="n">
        <v>392.3</v>
      </c>
      <c r="P259" s="27" t="n">
        <v>129.373331716991</v>
      </c>
      <c r="Q259" s="28" t="n">
        <v>0.0264062779284379</v>
      </c>
      <c r="R259" s="25" t="n">
        <v>1.52300176886147</v>
      </c>
      <c r="S259" s="29" t="n">
        <v>0.292279077421168</v>
      </c>
      <c r="T259" s="27" t="n">
        <v>392.3</v>
      </c>
      <c r="U259" s="27" t="n">
        <v>192</v>
      </c>
      <c r="V259" s="28" t="n">
        <v>0.0168933333333333</v>
      </c>
      <c r="W259" s="25" t="n">
        <f aca="false">(I259-H259)/(J259-H259)</f>
        <v>1.23484137924474</v>
      </c>
      <c r="X259" s="25" t="n">
        <f aca="false">0.5*(1+(I259-K259-L259)/(I259-K259))</f>
        <v>0.59016393442623</v>
      </c>
      <c r="Y259" s="25" t="n">
        <v>1.46139538710584</v>
      </c>
      <c r="Z259" s="26" t="n">
        <v>0.289125663225188</v>
      </c>
      <c r="AA259" s="27" t="n">
        <v>392.3</v>
      </c>
      <c r="AB259" s="27" t="n">
        <v>129.373331716991</v>
      </c>
      <c r="AC259" s="28" t="n">
        <v>0.0264062779284379</v>
      </c>
      <c r="AD259" s="25" t="n">
        <v>1.44562831612594</v>
      </c>
      <c r="AE259" s="4" t="n">
        <v>0.292714572699546</v>
      </c>
      <c r="AF259" s="25" t="n">
        <v>0.35688308472413</v>
      </c>
      <c r="AG259" s="26" t="n">
        <f aca="false">SMALL(AE259:AF259,1)</f>
        <v>0.292714572699546</v>
      </c>
      <c r="AH259" s="27" t="n">
        <v>392.3</v>
      </c>
      <c r="AI259" s="28" t="n">
        <v>0.014</v>
      </c>
      <c r="AJ259" s="25" t="n">
        <v>1.46357286349773</v>
      </c>
      <c r="AK259" s="29" t="n">
        <v>0.365465028499321</v>
      </c>
      <c r="AN259" s="4" t="n">
        <f aca="false">(N259-$N$344)/$N$345</f>
        <v>1.05016112288735</v>
      </c>
      <c r="AO259" s="4" t="n">
        <f aca="false">(S259-$S$344)/$S$345</f>
        <v>0.933938288277321</v>
      </c>
      <c r="AP259" s="4" t="n">
        <f aca="false">(Z259-$Z$344)/$Z$345</f>
        <v>0.894171461801607</v>
      </c>
      <c r="AQ259" s="4" t="n">
        <f aca="false">(AE259-$AE$344)/$AE$345</f>
        <v>0.291737778152785</v>
      </c>
    </row>
    <row r="260" customFormat="false" ht="14.25" hidden="false" customHeight="false" outlineLevel="0" collapsed="false">
      <c r="A260" s="0" t="s">
        <v>78</v>
      </c>
      <c r="B260" s="1" t="n">
        <v>12.7</v>
      </c>
      <c r="C260" s="1" t="n">
        <v>2</v>
      </c>
      <c r="D260" s="2" t="n">
        <v>52</v>
      </c>
      <c r="E260" s="4" t="n">
        <v>2.92087587098479</v>
      </c>
      <c r="F260" s="1" t="n">
        <v>30</v>
      </c>
      <c r="G260" s="1" t="n">
        <v>36.5</v>
      </c>
      <c r="H260" s="3" t="n">
        <v>58.0759426324872</v>
      </c>
      <c r="I260" s="1" t="n">
        <v>250</v>
      </c>
      <c r="J260" s="39" t="n">
        <v>213.5</v>
      </c>
      <c r="K260" s="27" t="n">
        <v>128</v>
      </c>
      <c r="L260" s="39" t="n">
        <v>100</v>
      </c>
      <c r="M260" s="4" t="n">
        <v>0.15</v>
      </c>
      <c r="N260" s="26" t="n">
        <v>0.2337784268464</v>
      </c>
      <c r="O260" s="27" t="n">
        <v>319.135407542973</v>
      </c>
      <c r="P260" s="27" t="n">
        <v>129.373331716991</v>
      </c>
      <c r="Q260" s="28" t="n">
        <v>0.0264062779284379</v>
      </c>
      <c r="R260" s="25" t="n">
        <v>1.55852284564266</v>
      </c>
      <c r="S260" s="29" t="n">
        <v>0.215163172961221</v>
      </c>
      <c r="T260" s="27" t="n">
        <v>319.135407542973</v>
      </c>
      <c r="U260" s="27" t="n">
        <v>192</v>
      </c>
      <c r="V260" s="28" t="n">
        <v>0.0168933333333333</v>
      </c>
      <c r="W260" s="25" t="n">
        <f aca="false">(I260-H260)/(J260-H260)</f>
        <v>1.23484137924474</v>
      </c>
      <c r="X260" s="25" t="n">
        <f aca="false">0.5*(1+(I260-K260-L260)/(I260-K260))</f>
        <v>0.59016393442623</v>
      </c>
      <c r="Y260" s="25" t="n">
        <v>1.43442115307481</v>
      </c>
      <c r="Z260" s="26" t="n">
        <v>0.221901720968567</v>
      </c>
      <c r="AA260" s="27" t="n">
        <v>319.135407542973</v>
      </c>
      <c r="AB260" s="27" t="n">
        <v>129.373331716991</v>
      </c>
      <c r="AC260" s="28" t="n">
        <v>0.0264062779284379</v>
      </c>
      <c r="AD260" s="25" t="n">
        <v>1.47934480645712</v>
      </c>
      <c r="AE260" s="4" t="n">
        <v>0.248199624410378</v>
      </c>
      <c r="AF260" s="25" t="n">
        <v>0.256589875276745</v>
      </c>
      <c r="AG260" s="26" t="n">
        <f aca="false">SMALL(AE260:AF260,1)</f>
        <v>0.248199624410378</v>
      </c>
      <c r="AH260" s="27" t="n">
        <v>332.640468693489</v>
      </c>
      <c r="AI260" s="28" t="n">
        <v>0.014</v>
      </c>
      <c r="AJ260" s="25" t="n">
        <v>1.65466416273585</v>
      </c>
      <c r="AK260" s="29" t="n">
        <v>0.284332128165115</v>
      </c>
      <c r="AN260" s="4" t="n">
        <f aca="false">(N260-$N$344)/$N$345</f>
        <v>0.216988935343091</v>
      </c>
      <c r="AO260" s="4" t="n">
        <f aca="false">(S260-$S$344)/$S$345</f>
        <v>0.00376981839589839</v>
      </c>
      <c r="AP260" s="4" t="n">
        <f aca="false">(Z260-$Z$344)/$Z$345</f>
        <v>-0.018925758126404</v>
      </c>
      <c r="AQ260" s="4" t="n">
        <f aca="false">(AE260-$AE$344)/$AE$345</f>
        <v>-0.269233677603113</v>
      </c>
    </row>
    <row r="261" customFormat="false" ht="14.25" hidden="false" customHeight="false" outlineLevel="0" collapsed="false">
      <c r="B261" s="1" t="n">
        <v>12.7</v>
      </c>
      <c r="C261" s="1" t="n">
        <v>2</v>
      </c>
      <c r="D261" s="2" t="n">
        <v>52</v>
      </c>
      <c r="E261" s="4" t="n">
        <v>2.92087587098479</v>
      </c>
      <c r="F261" s="1" t="n">
        <v>30</v>
      </c>
      <c r="G261" s="1" t="n">
        <v>36.5</v>
      </c>
      <c r="H261" s="3" t="n">
        <v>58.0759426324872</v>
      </c>
      <c r="I261" s="1" t="n">
        <v>250</v>
      </c>
      <c r="J261" s="39" t="n">
        <v>213.5</v>
      </c>
      <c r="K261" s="27" t="n">
        <v>128</v>
      </c>
      <c r="L261" s="39" t="n">
        <v>100</v>
      </c>
      <c r="M261" s="4" t="n">
        <v>0.2</v>
      </c>
      <c r="N261" s="26" t="n">
        <v>0.304600353772294</v>
      </c>
      <c r="O261" s="27" t="n">
        <v>392.3</v>
      </c>
      <c r="P261" s="27" t="n">
        <v>129.373331716991</v>
      </c>
      <c r="Q261" s="28" t="n">
        <v>0.0264062779284379</v>
      </c>
      <c r="R261" s="25" t="n">
        <v>1.52300176886147</v>
      </c>
      <c r="S261" s="29" t="n">
        <v>0.292279077421168</v>
      </c>
      <c r="T261" s="27" t="n">
        <v>392.3</v>
      </c>
      <c r="U261" s="27" t="n">
        <v>192</v>
      </c>
      <c r="V261" s="28" t="n">
        <v>0.0168933333333333</v>
      </c>
      <c r="W261" s="25" t="n">
        <f aca="false">(I261-H261)/(J261-H261)</f>
        <v>1.23484137924474</v>
      </c>
      <c r="X261" s="25" t="n">
        <f aca="false">0.5*(1+(I261-K261-L261)/(I261-K261))</f>
        <v>0.59016393442623</v>
      </c>
      <c r="Y261" s="25" t="n">
        <v>1.46139538710584</v>
      </c>
      <c r="Z261" s="26" t="n">
        <v>0.289125663225188</v>
      </c>
      <c r="AA261" s="27" t="n">
        <v>392.3</v>
      </c>
      <c r="AB261" s="27" t="n">
        <v>129.373331716991</v>
      </c>
      <c r="AC261" s="28" t="n">
        <v>0.0264062779284379</v>
      </c>
      <c r="AD261" s="25" t="n">
        <v>1.44562831612594</v>
      </c>
      <c r="AE261" s="4" t="n">
        <v>0.292714572699546</v>
      </c>
      <c r="AF261" s="25" t="n">
        <v>0.35688308472413</v>
      </c>
      <c r="AG261" s="26" t="n">
        <f aca="false">SMALL(AE261:AF261,1)</f>
        <v>0.292714572699546</v>
      </c>
      <c r="AH261" s="27" t="n">
        <v>392.3</v>
      </c>
      <c r="AI261" s="28" t="n">
        <v>0.014</v>
      </c>
      <c r="AJ261" s="25" t="n">
        <v>1.46357286349773</v>
      </c>
      <c r="AK261" s="29" t="n">
        <v>0.365465028499321</v>
      </c>
      <c r="AN261" s="4" t="n">
        <f aca="false">(N261-$N$344)/$N$345</f>
        <v>1.05016112288735</v>
      </c>
      <c r="AO261" s="4" t="n">
        <f aca="false">(S261-$S$344)/$S$345</f>
        <v>0.933938288277321</v>
      </c>
      <c r="AP261" s="4" t="n">
        <f aca="false">(Z261-$Z$344)/$Z$345</f>
        <v>0.894171461801607</v>
      </c>
      <c r="AQ261" s="4" t="n">
        <f aca="false">(AE261-$AE$344)/$AE$345</f>
        <v>0.291737778152785</v>
      </c>
    </row>
    <row r="262" customFormat="false" ht="14.25" hidden="false" customHeight="false" outlineLevel="0" collapsed="false">
      <c r="A262" s="0" t="s">
        <v>79</v>
      </c>
      <c r="B262" s="1" t="n">
        <v>15.9</v>
      </c>
      <c r="C262" s="1" t="n">
        <v>2</v>
      </c>
      <c r="D262" s="2" t="n">
        <v>46</v>
      </c>
      <c r="E262" s="4" t="n">
        <v>2.92087587098479</v>
      </c>
      <c r="F262" s="1" t="n">
        <v>30</v>
      </c>
      <c r="G262" s="1" t="n">
        <v>38</v>
      </c>
      <c r="H262" s="3" t="n">
        <v>69.5979672777495</v>
      </c>
      <c r="I262" s="1" t="n">
        <v>250</v>
      </c>
      <c r="J262" s="39" t="n">
        <v>212</v>
      </c>
      <c r="K262" s="27" t="n">
        <v>130</v>
      </c>
      <c r="L262" s="39" t="n">
        <v>117.5</v>
      </c>
      <c r="M262" s="4" t="n">
        <v>0.15</v>
      </c>
      <c r="N262" s="26" t="n">
        <v>0.16749190626511</v>
      </c>
      <c r="O262" s="27" t="n">
        <v>260.029022246808</v>
      </c>
      <c r="P262" s="27" t="n">
        <v>85.0912066885915</v>
      </c>
      <c r="Q262" s="28" t="n">
        <v>0.0440349805383329</v>
      </c>
      <c r="R262" s="25" t="n">
        <v>1.11661270843407</v>
      </c>
      <c r="S262" s="29" t="n">
        <v>0.165938420492606</v>
      </c>
      <c r="T262" s="27" t="n">
        <v>260.029022246808</v>
      </c>
      <c r="U262" s="27" t="n">
        <v>148</v>
      </c>
      <c r="V262" s="28" t="n">
        <v>0.022536170212766</v>
      </c>
      <c r="W262" s="25" t="n">
        <f aca="false">(I262-H262)/(J262-H262)</f>
        <v>1.2668501233695</v>
      </c>
      <c r="X262" s="25" t="n">
        <f aca="false">0.5*(1+(I262-K262-L262)/(I262-K262))</f>
        <v>0.510416666666667</v>
      </c>
      <c r="Y262" s="25" t="n">
        <v>1.10625613661737</v>
      </c>
      <c r="Z262" s="26" t="n">
        <v>0.170714257577712</v>
      </c>
      <c r="AA262" s="27" t="n">
        <v>260.029022246808</v>
      </c>
      <c r="AB262" s="27" t="n">
        <v>85.0912066885915</v>
      </c>
      <c r="AC262" s="28" t="n">
        <v>0.0440349805383329</v>
      </c>
      <c r="AD262" s="25" t="n">
        <v>1.13809505051808</v>
      </c>
      <c r="AE262" s="4" t="n">
        <v>0.202910537243443</v>
      </c>
      <c r="AF262" s="25" t="n">
        <v>0.215964712364801</v>
      </c>
      <c r="AG262" s="26" t="n">
        <f aca="false">SMALL(AE262:AF262,1)</f>
        <v>0.202910537243443</v>
      </c>
      <c r="AH262" s="27" t="n">
        <v>272.740744730497</v>
      </c>
      <c r="AI262" s="28" t="n">
        <v>0.0183</v>
      </c>
      <c r="AJ262" s="25" t="n">
        <v>1.35273691495629</v>
      </c>
      <c r="AK262" s="29" t="n">
        <v>0.225912838389354</v>
      </c>
      <c r="AN262" s="4" t="n">
        <f aca="false">(N262-$N$344)/$N$345</f>
        <v>-0.562827256543354</v>
      </c>
      <c r="AO262" s="4" t="n">
        <f aca="false">(S262-$S$344)/$S$345</f>
        <v>-0.589976867254471</v>
      </c>
      <c r="AP262" s="4" t="n">
        <f aca="false">(Z262-$Z$344)/$Z$345</f>
        <v>-0.714200818594219</v>
      </c>
      <c r="AQ262" s="4" t="n">
        <f aca="false">(AE262-$AE$344)/$AE$345</f>
        <v>-0.839960728499713</v>
      </c>
    </row>
    <row r="263" customFormat="false" ht="14.25" hidden="false" customHeight="false" outlineLevel="0" collapsed="false">
      <c r="B263" s="1" t="n">
        <v>15.9</v>
      </c>
      <c r="C263" s="1" t="n">
        <v>2</v>
      </c>
      <c r="D263" s="2" t="n">
        <v>46</v>
      </c>
      <c r="E263" s="4" t="n">
        <v>2.92087587098479</v>
      </c>
      <c r="F263" s="1" t="n">
        <v>30</v>
      </c>
      <c r="G263" s="1" t="n">
        <v>38</v>
      </c>
      <c r="H263" s="3" t="n">
        <v>69.5979672777495</v>
      </c>
      <c r="I263" s="1" t="n">
        <v>250</v>
      </c>
      <c r="J263" s="39" t="n">
        <v>212</v>
      </c>
      <c r="K263" s="27" t="n">
        <v>130</v>
      </c>
      <c r="L263" s="39" t="n">
        <v>117.5</v>
      </c>
      <c r="M263" s="4" t="n">
        <v>0.25</v>
      </c>
      <c r="N263" s="26" t="n">
        <v>0.251925495788488</v>
      </c>
      <c r="O263" s="27" t="n">
        <v>365.3741133109</v>
      </c>
      <c r="P263" s="27" t="n">
        <v>85.0912066885915</v>
      </c>
      <c r="Q263" s="28" t="n">
        <v>0.0440349805383329</v>
      </c>
      <c r="R263" s="25" t="n">
        <v>1.00770198315395</v>
      </c>
      <c r="S263" s="29" t="n">
        <v>0.268160663126834</v>
      </c>
      <c r="T263" s="27" t="n">
        <v>365.3741133109</v>
      </c>
      <c r="U263" s="27" t="n">
        <v>148</v>
      </c>
      <c r="V263" s="28" t="n">
        <v>0.022536170212766</v>
      </c>
      <c r="W263" s="25" t="n">
        <f aca="false">(I263-H263)/(J263-H263)</f>
        <v>1.2668501233695</v>
      </c>
      <c r="X263" s="25" t="n">
        <f aca="false">0.5*(1+(I263-K263-L263)/(I263-K263))</f>
        <v>0.510416666666667</v>
      </c>
      <c r="Y263" s="25" t="n">
        <v>1.07264265250734</v>
      </c>
      <c r="Z263" s="26" t="n">
        <v>0.256772252089339</v>
      </c>
      <c r="AA263" s="27" t="n">
        <v>365.3741133109</v>
      </c>
      <c r="AB263" s="27" t="n">
        <v>85.0912066885915</v>
      </c>
      <c r="AC263" s="28" t="n">
        <v>0.0440349805383329</v>
      </c>
      <c r="AD263" s="25" t="n">
        <v>1.02708900835735</v>
      </c>
      <c r="AE263" s="4" t="n">
        <v>0.285115318998479</v>
      </c>
      <c r="AF263" s="25" t="n">
        <v>0.42639754754766</v>
      </c>
      <c r="AG263" s="26" t="n">
        <f aca="false">SMALL(AE263:AF263,1)</f>
        <v>0.285115318998479</v>
      </c>
      <c r="AH263" s="27" t="n">
        <v>383.235713108493</v>
      </c>
      <c r="AI263" s="28" t="n">
        <v>0.0183</v>
      </c>
      <c r="AJ263" s="25" t="n">
        <v>1.14046127599392</v>
      </c>
      <c r="AK263" s="29" t="n">
        <v>0.357809277679605</v>
      </c>
      <c r="AN263" s="4" t="n">
        <f aca="false">(N263-$N$344)/$N$345</f>
        <v>0.43047695782823</v>
      </c>
      <c r="AO263" s="4" t="n">
        <f aca="false">(S263-$S$344)/$S$345</f>
        <v>0.643023091506475</v>
      </c>
      <c r="AP263" s="4" t="n">
        <f aca="false">(Z263-$Z$344)/$Z$345</f>
        <v>0.454717767602011</v>
      </c>
      <c r="AQ263" s="4" t="n">
        <f aca="false">(AE263-$AE$344)/$AE$345</f>
        <v>0.195972994070511</v>
      </c>
    </row>
    <row r="264" customFormat="false" ht="14.25" hidden="false" customHeight="false" outlineLevel="0" collapsed="false">
      <c r="B264" s="1" t="n">
        <v>15.9</v>
      </c>
      <c r="C264" s="1" t="n">
        <v>2</v>
      </c>
      <c r="D264" s="2" t="n">
        <v>46</v>
      </c>
      <c r="E264" s="4" t="n">
        <v>2.92087587098479</v>
      </c>
      <c r="F264" s="1" t="n">
        <v>30</v>
      </c>
      <c r="G264" s="1" t="n">
        <v>38</v>
      </c>
      <c r="H264" s="3" t="n">
        <v>69.5979672777495</v>
      </c>
      <c r="I264" s="1" t="n">
        <v>250</v>
      </c>
      <c r="J264" s="39" t="n">
        <v>212</v>
      </c>
      <c r="K264" s="27" t="n">
        <v>130</v>
      </c>
      <c r="L264" s="39" t="n">
        <v>117.5</v>
      </c>
      <c r="M264" s="4" t="n">
        <v>0.3</v>
      </c>
      <c r="N264" s="26" t="n">
        <v>0.273506465924793</v>
      </c>
      <c r="O264" s="27" t="n">
        <v>392.3</v>
      </c>
      <c r="P264" s="27" t="n">
        <v>85.0912066885915</v>
      </c>
      <c r="Q264" s="28" t="n">
        <v>0.0440349805383329</v>
      </c>
      <c r="R264" s="25" t="n">
        <v>0.911688219749309</v>
      </c>
      <c r="S264" s="29" t="n">
        <v>0.294288359201446</v>
      </c>
      <c r="T264" s="27" t="n">
        <v>392.3</v>
      </c>
      <c r="U264" s="27" t="n">
        <v>148</v>
      </c>
      <c r="V264" s="28" t="n">
        <v>0.022536170212766</v>
      </c>
      <c r="W264" s="25" t="n">
        <f aca="false">(I264-H264)/(J264-H264)</f>
        <v>1.2668501233695</v>
      </c>
      <c r="X264" s="25" t="n">
        <f aca="false">0.5*(1+(I264-K264-L264)/(I264-K264))</f>
        <v>0.510416666666667</v>
      </c>
      <c r="Y264" s="25" t="n">
        <v>0.980961197338153</v>
      </c>
      <c r="Z264" s="26" t="n">
        <v>0.278768415228079</v>
      </c>
      <c r="AA264" s="27" t="n">
        <v>392.3</v>
      </c>
      <c r="AB264" s="27" t="n">
        <v>85.0912066885915</v>
      </c>
      <c r="AC264" s="28" t="n">
        <v>0.0440349805383329</v>
      </c>
      <c r="AD264" s="25" t="n">
        <v>0.929228050760265</v>
      </c>
      <c r="AE264" s="4" t="n">
        <v>0.291858863402532</v>
      </c>
      <c r="AF264" s="25" t="n">
        <v>0.446806381662494</v>
      </c>
      <c r="AG264" s="26" t="n">
        <f aca="false">SMALL(AE264:AF264,1)</f>
        <v>0.291858863402532</v>
      </c>
      <c r="AH264" s="27" t="n">
        <v>392.3</v>
      </c>
      <c r="AI264" s="28" t="n">
        <v>0.0183</v>
      </c>
      <c r="AJ264" s="25" t="n">
        <v>0.97286287800844</v>
      </c>
      <c r="AK264" s="29" t="n">
        <v>0.380177052647673</v>
      </c>
      <c r="AN264" s="4" t="n">
        <f aca="false">(N264-$N$344)/$N$345</f>
        <v>0.684362511049716</v>
      </c>
      <c r="AO264" s="4" t="n">
        <f aca="false">(S264-$S$344)/$S$345</f>
        <v>0.958174152100876</v>
      </c>
      <c r="AP264" s="4" t="n">
        <f aca="false">(Z264-$Z$344)/$Z$345</f>
        <v>0.753489823165132</v>
      </c>
      <c r="AQ264" s="4" t="n">
        <f aca="false">(AE264-$AE$344)/$AE$345</f>
        <v>0.280954243441445</v>
      </c>
    </row>
    <row r="265" customFormat="false" ht="14.25" hidden="false" customHeight="false" outlineLevel="0" collapsed="false">
      <c r="A265" s="0" t="s">
        <v>80</v>
      </c>
      <c r="B265" s="1" t="n">
        <v>15.9</v>
      </c>
      <c r="C265" s="1" t="n">
        <v>2</v>
      </c>
      <c r="D265" s="2" t="n">
        <v>46</v>
      </c>
      <c r="E265" s="4" t="n">
        <v>2.92087587098479</v>
      </c>
      <c r="F265" s="1" t="n">
        <v>30</v>
      </c>
      <c r="G265" s="1" t="n">
        <v>38</v>
      </c>
      <c r="H265" s="3" t="n">
        <v>69.5979672777495</v>
      </c>
      <c r="I265" s="1" t="n">
        <v>250</v>
      </c>
      <c r="J265" s="39" t="n">
        <v>212</v>
      </c>
      <c r="K265" s="27" t="n">
        <v>130</v>
      </c>
      <c r="L265" s="39" t="n">
        <v>117.5</v>
      </c>
      <c r="M265" s="4" t="n">
        <v>0.15</v>
      </c>
      <c r="N265" s="26" t="n">
        <v>0.16856068587933</v>
      </c>
      <c r="O265" s="27" t="n">
        <v>261.362504412177</v>
      </c>
      <c r="P265" s="27" t="n">
        <v>85.0912066885915</v>
      </c>
      <c r="Q265" s="28" t="n">
        <v>0.0440349805383329</v>
      </c>
      <c r="R265" s="25" t="n">
        <v>1.1237379058622</v>
      </c>
      <c r="S265" s="29" t="n">
        <v>0.167232372931014</v>
      </c>
      <c r="T265" s="27" t="n">
        <v>261.362504412177</v>
      </c>
      <c r="U265" s="27" t="n">
        <v>148</v>
      </c>
      <c r="V265" s="28" t="n">
        <v>0.022536170212766</v>
      </c>
      <c r="W265" s="25" t="n">
        <f aca="false">(I265-H265)/(J265-H265)</f>
        <v>1.2668501233695</v>
      </c>
      <c r="X265" s="25" t="n">
        <f aca="false">0.5*(1+(I265-K265-L265)/(I265-K265))</f>
        <v>0.510416666666667</v>
      </c>
      <c r="Y265" s="25" t="n">
        <v>1.11488248620676</v>
      </c>
      <c r="Z265" s="26" t="n">
        <v>0.171803599280391</v>
      </c>
      <c r="AA265" s="27" t="n">
        <v>261.362504412177</v>
      </c>
      <c r="AB265" s="27" t="n">
        <v>85.0912066885915</v>
      </c>
      <c r="AC265" s="28" t="n">
        <v>0.0440349805383329</v>
      </c>
      <c r="AD265" s="25" t="n">
        <v>1.14535732853594</v>
      </c>
      <c r="AE265" s="4" t="n">
        <v>0.203951104101102</v>
      </c>
      <c r="AF265" s="25" t="n">
        <v>0.218185414601083</v>
      </c>
      <c r="AG265" s="26" t="n">
        <f aca="false">SMALL(AE265:AF265,1)</f>
        <v>0.203951104101102</v>
      </c>
      <c r="AH265" s="27" t="n">
        <v>274.139415216294</v>
      </c>
      <c r="AI265" s="28" t="n">
        <v>0.0183</v>
      </c>
      <c r="AJ265" s="25" t="n">
        <v>1.35967402734068</v>
      </c>
      <c r="AK265" s="29" t="n">
        <v>0.227582413570244</v>
      </c>
      <c r="AN265" s="4" t="n">
        <f aca="false">(N265-$N$344)/$N$345</f>
        <v>-0.550253785475358</v>
      </c>
      <c r="AO265" s="4" t="n">
        <f aca="false">(S265-$S$344)/$S$345</f>
        <v>-0.574369272839774</v>
      </c>
      <c r="AP265" s="4" t="n">
        <f aca="false">(Z265-$Z$344)/$Z$345</f>
        <v>-0.699404380794266</v>
      </c>
      <c r="AQ265" s="4" t="n">
        <f aca="false">(AE265-$AE$344)/$AE$345</f>
        <v>-0.826847643403887</v>
      </c>
    </row>
    <row r="266" customFormat="false" ht="14.25" hidden="false" customHeight="false" outlineLevel="0" collapsed="false">
      <c r="B266" s="1" t="n">
        <v>15.9</v>
      </c>
      <c r="C266" s="1" t="n">
        <v>2</v>
      </c>
      <c r="D266" s="2" t="n">
        <v>46</v>
      </c>
      <c r="E266" s="4" t="n">
        <v>2.92087587098479</v>
      </c>
      <c r="F266" s="1" t="n">
        <v>30</v>
      </c>
      <c r="G266" s="1" t="n">
        <v>38</v>
      </c>
      <c r="H266" s="3" t="n">
        <v>69.5979672777495</v>
      </c>
      <c r="I266" s="1" t="n">
        <v>250</v>
      </c>
      <c r="J266" s="39" t="n">
        <v>212</v>
      </c>
      <c r="K266" s="27" t="n">
        <v>130</v>
      </c>
      <c r="L266" s="39" t="n">
        <v>117.5</v>
      </c>
      <c r="M266" s="4" t="n">
        <v>0.25</v>
      </c>
      <c r="N266" s="26" t="n">
        <v>0.252994275402708</v>
      </c>
      <c r="O266" s="27" t="n">
        <v>366.707595476268</v>
      </c>
      <c r="P266" s="27" t="n">
        <v>85.0912066885915</v>
      </c>
      <c r="Q266" s="28" t="n">
        <v>0.0440349805383329</v>
      </c>
      <c r="R266" s="25" t="n">
        <v>1.01197710161083</v>
      </c>
      <c r="S266" s="29" t="n">
        <v>0.269454615565242</v>
      </c>
      <c r="T266" s="27" t="n">
        <v>366.707595476268</v>
      </c>
      <c r="U266" s="27" t="n">
        <v>148</v>
      </c>
      <c r="V266" s="28" t="n">
        <v>0.022536170212766</v>
      </c>
      <c r="W266" s="25" t="n">
        <f aca="false">(I266-H266)/(J266-H266)</f>
        <v>1.2668501233695</v>
      </c>
      <c r="X266" s="25" t="n">
        <f aca="false">0.5*(1+(I266-K266-L266)/(I266-K266))</f>
        <v>0.510416666666667</v>
      </c>
      <c r="Y266" s="25" t="n">
        <v>1.07781846226097</v>
      </c>
      <c r="Z266" s="26" t="n">
        <v>0.257861593792018</v>
      </c>
      <c r="AA266" s="27" t="n">
        <v>366.707595476268</v>
      </c>
      <c r="AB266" s="27" t="n">
        <v>85.0912066885915</v>
      </c>
      <c r="AC266" s="28" t="n">
        <v>0.0440349805383329</v>
      </c>
      <c r="AD266" s="25" t="n">
        <v>1.03144637516807</v>
      </c>
      <c r="AE266" s="4" t="n">
        <v>0.286155885856138</v>
      </c>
      <c r="AF266" s="25" t="n">
        <v>0.429515617951033</v>
      </c>
      <c r="AG266" s="26" t="n">
        <f aca="false">SMALL(AE266:AF266,1)</f>
        <v>0.286155885856138</v>
      </c>
      <c r="AH266" s="27" t="n">
        <v>384.63438359429</v>
      </c>
      <c r="AI266" s="28" t="n">
        <v>0.0183</v>
      </c>
      <c r="AJ266" s="25" t="n">
        <v>1.14462354342455</v>
      </c>
      <c r="AK266" s="29" t="n">
        <v>0.359478852860494</v>
      </c>
      <c r="AN266" s="4" t="n">
        <f aca="false">(N266-$N$344)/$N$345</f>
        <v>0.443050428896225</v>
      </c>
      <c r="AO266" s="4" t="n">
        <f aca="false">(S266-$S$344)/$S$345</f>
        <v>0.658630685921171</v>
      </c>
      <c r="AP266" s="4" t="n">
        <f aca="false">(Z266-$Z$344)/$Z$345</f>
        <v>0.469514205401965</v>
      </c>
      <c r="AQ266" s="4" t="n">
        <f aca="false">(AE266-$AE$344)/$AE$345</f>
        <v>0.209086079166337</v>
      </c>
    </row>
    <row r="267" customFormat="false" ht="14.25" hidden="false" customHeight="false" outlineLevel="0" collapsed="false">
      <c r="A267" s="0" t="s">
        <v>81</v>
      </c>
      <c r="B267" s="1" t="n">
        <v>19.1</v>
      </c>
      <c r="C267" s="1" t="n">
        <v>2</v>
      </c>
      <c r="D267" s="2" t="n">
        <v>40</v>
      </c>
      <c r="E267" s="4" t="n">
        <v>2.92087587098479</v>
      </c>
      <c r="F267" s="1" t="n">
        <v>30</v>
      </c>
      <c r="G267" s="1" t="n">
        <v>39.5</v>
      </c>
      <c r="H267" s="3" t="n">
        <v>80.017825486464</v>
      </c>
      <c r="I267" s="1" t="n">
        <v>250</v>
      </c>
      <c r="J267" s="39" t="n">
        <v>210.5</v>
      </c>
      <c r="K267" s="27" t="n">
        <v>132</v>
      </c>
      <c r="L267" s="39" t="n">
        <v>135</v>
      </c>
      <c r="M267" s="4" t="n">
        <v>0.15</v>
      </c>
      <c r="N267" s="26" t="n">
        <v>0.10386548783744</v>
      </c>
      <c r="O267" s="27" t="n">
        <v>187.025739041386</v>
      </c>
      <c r="P267" s="27" t="n">
        <v>62.0847288637165</v>
      </c>
      <c r="Q267" s="28" t="n">
        <v>0.0674188339618365</v>
      </c>
      <c r="R267" s="25" t="n">
        <v>0.692436585582935</v>
      </c>
      <c r="S267" s="29" t="n">
        <v>0.102474345140568</v>
      </c>
      <c r="T267" s="27" t="n">
        <v>187.025739041386</v>
      </c>
      <c r="U267" s="27" t="n">
        <v>122</v>
      </c>
      <c r="V267" s="28" t="n">
        <v>0.0282962962962963</v>
      </c>
      <c r="W267" s="25" t="n">
        <f aca="false">(I267-H267)/(J267-H267)</f>
        <v>1.30272334245857</v>
      </c>
      <c r="X267" s="25" t="n">
        <f aca="false">0.5*(1+(I267-K267-L267)/(I267-K267))</f>
        <v>0.427966101694915</v>
      </c>
      <c r="Y267" s="25" t="n">
        <v>0.683162300937119</v>
      </c>
      <c r="Z267" s="26" t="n">
        <v>0.112452206478951</v>
      </c>
      <c r="AA267" s="27" t="n">
        <v>187.025739041386</v>
      </c>
      <c r="AB267" s="27" t="n">
        <v>62.0847288637165</v>
      </c>
      <c r="AC267" s="28" t="n">
        <v>0.0674188339618365</v>
      </c>
      <c r="AD267" s="25" t="n">
        <v>0.749681376526343</v>
      </c>
      <c r="AE267" s="4" t="n">
        <v>0.148149174230395</v>
      </c>
      <c r="AF267" s="25" t="n">
        <v>0.135508073973781</v>
      </c>
      <c r="AG267" s="26" t="n">
        <f aca="false">SMALL(AE267:AF267,1)</f>
        <v>0.135508073973781</v>
      </c>
      <c r="AH267" s="27" t="n">
        <v>197.116549922381</v>
      </c>
      <c r="AI267" s="28" t="n">
        <v>0.0227</v>
      </c>
      <c r="AJ267" s="25" t="n">
        <v>0.903387159825208</v>
      </c>
      <c r="AK267" s="29" t="n">
        <v>0.146762438022929</v>
      </c>
      <c r="AN267" s="4" t="n">
        <f aca="false">(N267-$N$344)/$N$345</f>
        <v>-1.31134914133276</v>
      </c>
      <c r="AO267" s="4" t="n">
        <f aca="false">(S267-$S$344)/$S$345</f>
        <v>-1.35547760638287</v>
      </c>
      <c r="AP267" s="4" t="n">
        <f aca="false">(Z267-$Z$344)/$Z$345</f>
        <v>-1.50556941584934</v>
      </c>
      <c r="AQ267" s="4" t="n">
        <f aca="false">(AE267-$AE$344)/$AE$345</f>
        <v>-1.53005613935032</v>
      </c>
    </row>
    <row r="268" customFormat="false" ht="14.25" hidden="false" customHeight="false" outlineLevel="0" collapsed="false">
      <c r="B268" s="1" t="n">
        <v>19.1</v>
      </c>
      <c r="C268" s="1" t="n">
        <v>2</v>
      </c>
      <c r="D268" s="2" t="n">
        <v>40</v>
      </c>
      <c r="E268" s="4" t="n">
        <v>2.92087587098479</v>
      </c>
      <c r="F268" s="1" t="n">
        <v>30</v>
      </c>
      <c r="G268" s="1" t="n">
        <v>39.5</v>
      </c>
      <c r="H268" s="3" t="n">
        <v>80.017825486464</v>
      </c>
      <c r="I268" s="1" t="n">
        <v>250</v>
      </c>
      <c r="J268" s="39" t="n">
        <v>210.5</v>
      </c>
      <c r="K268" s="27" t="n">
        <v>132</v>
      </c>
      <c r="L268" s="39" t="n">
        <v>135</v>
      </c>
      <c r="M268" s="4" t="n">
        <v>0.2</v>
      </c>
      <c r="N268" s="26" t="n">
        <v>0.155218033571807</v>
      </c>
      <c r="O268" s="27" t="n">
        <v>261.07653927097</v>
      </c>
      <c r="P268" s="27" t="n">
        <v>62.0847288637165</v>
      </c>
      <c r="Q268" s="28" t="n">
        <v>0.0674188339618365</v>
      </c>
      <c r="R268" s="25" t="n">
        <v>0.776090167859033</v>
      </c>
      <c r="S268" s="29" t="n">
        <v>0.169135103328064</v>
      </c>
      <c r="T268" s="27" t="n">
        <v>261.07653927097</v>
      </c>
      <c r="U268" s="27" t="n">
        <v>122</v>
      </c>
      <c r="V268" s="28" t="n">
        <v>0.0282962962962963</v>
      </c>
      <c r="W268" s="25" t="n">
        <f aca="false">(I268-H268)/(J268-H268)</f>
        <v>1.30272334245857</v>
      </c>
      <c r="X268" s="25" t="n">
        <f aca="false">0.5*(1+(I268-K268-L268)/(I268-K268))</f>
        <v>0.427966101694915</v>
      </c>
      <c r="Y268" s="25" t="n">
        <v>0.845675516640319</v>
      </c>
      <c r="Z268" s="26" t="n">
        <v>0.16805014566332</v>
      </c>
      <c r="AA268" s="27" t="n">
        <v>261.07653927097</v>
      </c>
      <c r="AB268" s="27" t="n">
        <v>62.0847288637165</v>
      </c>
      <c r="AC268" s="28" t="n">
        <v>0.0674188339618365</v>
      </c>
      <c r="AD268" s="25" t="n">
        <v>0.8402507283166</v>
      </c>
      <c r="AE268" s="4" t="n">
        <v>0.20680722291045</v>
      </c>
      <c r="AF268" s="25" t="n">
        <v>0.264057257189497</v>
      </c>
      <c r="AG268" s="26" t="n">
        <f aca="false">SMALL(AE268:AF268,1)</f>
        <v>0.20680722291045</v>
      </c>
      <c r="AH268" s="27" t="n">
        <v>275.162696592156</v>
      </c>
      <c r="AI268" s="28" t="n">
        <v>0.0227</v>
      </c>
      <c r="AJ268" s="25" t="n">
        <v>1.03403611455225</v>
      </c>
      <c r="AK268" s="29" t="n">
        <v>0.229875387772327</v>
      </c>
      <c r="AN268" s="4" t="n">
        <f aca="false">(N268-$N$344)/$N$345</f>
        <v>-0.707221087739442</v>
      </c>
      <c r="AO268" s="4" t="n">
        <f aca="false">(S268-$S$344)/$S$345</f>
        <v>-0.55141862686842</v>
      </c>
      <c r="AP268" s="4" t="n">
        <f aca="false">(Z268-$Z$344)/$Z$345</f>
        <v>-0.75038722928287</v>
      </c>
      <c r="AQ268" s="4" t="n">
        <f aca="false">(AE268-$AE$344)/$AE$345</f>
        <v>-0.790855214166769</v>
      </c>
    </row>
    <row r="269" customFormat="false" ht="14.25" hidden="false" customHeight="false" outlineLevel="0" collapsed="false">
      <c r="B269" s="1" t="n">
        <v>19.1</v>
      </c>
      <c r="C269" s="1" t="n">
        <v>2</v>
      </c>
      <c r="D269" s="2" t="n">
        <v>40</v>
      </c>
      <c r="E269" s="4" t="n">
        <v>2.92087587098479</v>
      </c>
      <c r="F269" s="1" t="n">
        <v>30</v>
      </c>
      <c r="G269" s="1" t="n">
        <v>39.5</v>
      </c>
      <c r="H269" s="3" t="n">
        <v>80.017825486464</v>
      </c>
      <c r="I269" s="1" t="n">
        <v>250</v>
      </c>
      <c r="J269" s="39" t="n">
        <v>210.5</v>
      </c>
      <c r="K269" s="27" t="n">
        <v>132</v>
      </c>
      <c r="L269" s="39" t="n">
        <v>135</v>
      </c>
      <c r="M269" s="4" t="n">
        <v>0.3</v>
      </c>
      <c r="N269" s="26" t="n">
        <v>0.207228945277126</v>
      </c>
      <c r="O269" s="27" t="n">
        <v>336.076708734267</v>
      </c>
      <c r="P269" s="27" t="n">
        <v>62.0847288637165</v>
      </c>
      <c r="Q269" s="28" t="n">
        <v>0.0674188339618365</v>
      </c>
      <c r="R269" s="25" t="n">
        <v>0.690763150923755</v>
      </c>
      <c r="S269" s="29" t="n">
        <v>0.236650486620528</v>
      </c>
      <c r="T269" s="27" t="n">
        <v>336.076708734267</v>
      </c>
      <c r="U269" s="27" t="n">
        <v>122</v>
      </c>
      <c r="V269" s="28" t="n">
        <v>0.0282962962962963</v>
      </c>
      <c r="W269" s="25" t="n">
        <f aca="false">(I269-H269)/(J269-H269)</f>
        <v>1.30272334245857</v>
      </c>
      <c r="X269" s="25" t="n">
        <f aca="false">0.5*(1+(I269-K269-L269)/(I269-K269))</f>
        <v>0.427966101694915</v>
      </c>
      <c r="Y269" s="25" t="n">
        <v>0.788834955401759</v>
      </c>
      <c r="Z269" s="26" t="n">
        <v>0.224360878939796</v>
      </c>
      <c r="AA269" s="27" t="n">
        <v>336.076708734267</v>
      </c>
      <c r="AB269" s="27" t="n">
        <v>62.0847288637165</v>
      </c>
      <c r="AC269" s="28" t="n">
        <v>0.0674188339618365</v>
      </c>
      <c r="AD269" s="25" t="n">
        <v>0.747869596465986</v>
      </c>
      <c r="AE269" s="4" t="n">
        <v>0.266217297855634</v>
      </c>
      <c r="AF269" s="25" t="n">
        <v>0.43756164286888</v>
      </c>
      <c r="AG269" s="26" t="n">
        <f aca="false">SMALL(AE269:AF269,1)</f>
        <v>0.266217297855634</v>
      </c>
      <c r="AH269" s="27" t="n">
        <v>354.209434885902</v>
      </c>
      <c r="AI269" s="28" t="n">
        <v>0.0227</v>
      </c>
      <c r="AJ269" s="25" t="n">
        <v>0.887390992852113</v>
      </c>
      <c r="AK269" s="29" t="n">
        <v>0.314053888159538</v>
      </c>
      <c r="AN269" s="4" t="n">
        <f aca="false">(N269-$N$344)/$N$345</f>
        <v>-0.095347802689799</v>
      </c>
      <c r="AO269" s="4" t="n">
        <f aca="false">(S269-$S$344)/$S$345</f>
        <v>0.262948801101342</v>
      </c>
      <c r="AP269" s="4" t="n">
        <f aca="false">(Z269-$Z$344)/$Z$345</f>
        <v>0.0144767801883025</v>
      </c>
      <c r="AQ269" s="4" t="n">
        <f aca="false">(AE269-$AE$344)/$AE$345</f>
        <v>-0.0421773540449663</v>
      </c>
    </row>
    <row r="270" customFormat="false" ht="14.25" hidden="false" customHeight="false" outlineLevel="0" collapsed="false">
      <c r="B270" s="1" t="n">
        <v>19.1</v>
      </c>
      <c r="C270" s="1" t="n">
        <v>2</v>
      </c>
      <c r="D270" s="2" t="n">
        <v>40</v>
      </c>
      <c r="E270" s="4" t="n">
        <v>2.92087587098479</v>
      </c>
      <c r="F270" s="1" t="n">
        <v>30</v>
      </c>
      <c r="G270" s="1" t="n">
        <v>39.5</v>
      </c>
      <c r="H270" s="3" t="n">
        <v>80.017825486464</v>
      </c>
      <c r="I270" s="1" t="n">
        <v>250</v>
      </c>
      <c r="J270" s="39" t="n">
        <v>210.5</v>
      </c>
      <c r="K270" s="27" t="n">
        <v>132</v>
      </c>
      <c r="L270" s="39" t="n">
        <v>135</v>
      </c>
      <c r="M270" s="4" t="n">
        <v>0.33</v>
      </c>
      <c r="N270" s="26" t="n">
        <v>0.246218519017164</v>
      </c>
      <c r="O270" s="27" t="n">
        <v>392.3</v>
      </c>
      <c r="P270" s="27" t="n">
        <v>62.0847288637165</v>
      </c>
      <c r="Q270" s="28" t="n">
        <v>0.0674188339618365</v>
      </c>
      <c r="R270" s="25" t="n">
        <v>0.746116724294437</v>
      </c>
      <c r="S270" s="29" t="n">
        <v>0.287262866391582</v>
      </c>
      <c r="T270" s="27" t="n">
        <v>392.3</v>
      </c>
      <c r="U270" s="27" t="n">
        <v>122</v>
      </c>
      <c r="V270" s="28" t="n">
        <v>0.0282962962962963</v>
      </c>
      <c r="W270" s="25" t="n">
        <f aca="false">(I270-H270)/(J270-H270)</f>
        <v>1.30272334245857</v>
      </c>
      <c r="X270" s="25" t="n">
        <f aca="false">0.5*(1+(I270-K270-L270)/(I270-K270))</f>
        <v>0.427966101694915</v>
      </c>
      <c r="Y270" s="25" t="n">
        <v>0.870493534519946</v>
      </c>
      <c r="Z270" s="26" t="n">
        <v>0.266573780337834</v>
      </c>
      <c r="AA270" s="27" t="n">
        <v>392.3</v>
      </c>
      <c r="AB270" s="27" t="n">
        <v>62.0847288637165</v>
      </c>
      <c r="AC270" s="28" t="n">
        <v>0.0674188339618365</v>
      </c>
      <c r="AD270" s="25" t="n">
        <v>0.807799334357073</v>
      </c>
      <c r="AE270" s="4" t="n">
        <v>0.294845466164408</v>
      </c>
      <c r="AF270" s="25" t="n">
        <v>0.536729678600857</v>
      </c>
      <c r="AG270" s="26" t="n">
        <f aca="false">SMALL(AE270:AF270,1)</f>
        <v>0.294845466164408</v>
      </c>
      <c r="AH270" s="27" t="n">
        <v>392.3</v>
      </c>
      <c r="AI270" s="28" t="n">
        <v>0.0227</v>
      </c>
      <c r="AJ270" s="25" t="n">
        <v>0.893471109589114</v>
      </c>
      <c r="AK270" s="29" t="n">
        <v>0.375499207373808</v>
      </c>
      <c r="AN270" s="4" t="n">
        <f aca="false">(N270-$N$344)/$N$345</f>
        <v>0.363338226545141</v>
      </c>
      <c r="AO270" s="4" t="n">
        <f aca="false">(S270-$S$344)/$S$345</f>
        <v>0.873432983040116</v>
      </c>
      <c r="AP270" s="4" t="n">
        <f aca="false">(Z270-$Z$344)/$Z$345</f>
        <v>0.587851111085236</v>
      </c>
      <c r="AQ270" s="4" t="n">
        <f aca="false">(AE270-$AE$344)/$AE$345</f>
        <v>0.318591014087804</v>
      </c>
    </row>
    <row r="271" customFormat="false" ht="14.25" hidden="false" customHeight="false" outlineLevel="0" collapsed="false">
      <c r="A271" s="0" t="s">
        <v>82</v>
      </c>
      <c r="B271" s="1" t="n">
        <v>19.1</v>
      </c>
      <c r="C271" s="1" t="n">
        <v>2</v>
      </c>
      <c r="D271" s="2" t="n">
        <v>40</v>
      </c>
      <c r="E271" s="4" t="n">
        <v>2.92087587098479</v>
      </c>
      <c r="F271" s="1" t="n">
        <v>30</v>
      </c>
      <c r="G271" s="1" t="n">
        <v>39.5</v>
      </c>
      <c r="H271" s="3" t="n">
        <v>80.017825486464</v>
      </c>
      <c r="I271" s="1" t="n">
        <v>250</v>
      </c>
      <c r="J271" s="39" t="n">
        <v>210.5</v>
      </c>
      <c r="K271" s="27" t="n">
        <v>132</v>
      </c>
      <c r="L271" s="39" t="n">
        <v>135</v>
      </c>
      <c r="M271" s="4" t="n">
        <v>0.15</v>
      </c>
      <c r="N271" s="26" t="n">
        <v>0.103207121866487</v>
      </c>
      <c r="O271" s="27" t="n">
        <v>186.076369807673</v>
      </c>
      <c r="P271" s="27" t="n">
        <v>62.0847288637165</v>
      </c>
      <c r="Q271" s="28" t="n">
        <v>0.0674188339618365</v>
      </c>
      <c r="R271" s="25" t="n">
        <v>0.688047479109912</v>
      </c>
      <c r="S271" s="29" t="n">
        <v>0.1016197200356</v>
      </c>
      <c r="T271" s="27" t="n">
        <v>186.076369807673</v>
      </c>
      <c r="U271" s="27" t="n">
        <v>122</v>
      </c>
      <c r="V271" s="28" t="n">
        <v>0.0282962962962963</v>
      </c>
      <c r="W271" s="25" t="n">
        <f aca="false">(I271-H271)/(J271-H271)</f>
        <v>1.30272334245857</v>
      </c>
      <c r="X271" s="25" t="n">
        <f aca="false">0.5*(1+(I271-K271-L271)/(I271-K271))</f>
        <v>0.427966101694915</v>
      </c>
      <c r="Y271" s="25" t="n">
        <v>0.677464800237333</v>
      </c>
      <c r="Z271" s="26" t="n">
        <v>0.111739412386844</v>
      </c>
      <c r="AA271" s="27" t="n">
        <v>186.076369807673</v>
      </c>
      <c r="AB271" s="27" t="n">
        <v>62.0847288637165</v>
      </c>
      <c r="AC271" s="28" t="n">
        <v>0.0674188339618365</v>
      </c>
      <c r="AD271" s="25" t="n">
        <v>0.744929415912294</v>
      </c>
      <c r="AE271" s="4" t="n">
        <v>0.147397147965266</v>
      </c>
      <c r="AF271" s="25" t="n">
        <v>0.134135849152949</v>
      </c>
      <c r="AG271" s="26" t="n">
        <f aca="false">SMALL(AE271:AF271,1)</f>
        <v>0.134135849152949</v>
      </c>
      <c r="AH271" s="27" t="n">
        <v>196.115958298409</v>
      </c>
      <c r="AI271" s="28" t="n">
        <v>0.0227</v>
      </c>
      <c r="AJ271" s="25" t="n">
        <v>0.89423899435299</v>
      </c>
      <c r="AK271" s="29" t="n">
        <v>0.145696887385116</v>
      </c>
      <c r="AN271" s="4" t="n">
        <f aca="false">(N271-$N$344)/$N$345</f>
        <v>-1.31909437278909</v>
      </c>
      <c r="AO271" s="4" t="n">
        <f aca="false">(S271-$S$344)/$S$345</f>
        <v>-1.36578605483818</v>
      </c>
      <c r="AP271" s="4" t="n">
        <f aca="false">(Z271-$Z$344)/$Z$345</f>
        <v>-1.51525123875404</v>
      </c>
      <c r="AQ271" s="4" t="n">
        <f aca="false">(AE271-$AE$344)/$AE$345</f>
        <v>-1.53953307428857</v>
      </c>
    </row>
    <row r="272" customFormat="false" ht="14.25" hidden="false" customHeight="false" outlineLevel="0" collapsed="false">
      <c r="B272" s="1" t="n">
        <v>19.1</v>
      </c>
      <c r="C272" s="1" t="n">
        <v>2</v>
      </c>
      <c r="D272" s="2" t="n">
        <v>40</v>
      </c>
      <c r="E272" s="4" t="n">
        <v>2.92087587098479</v>
      </c>
      <c r="F272" s="1" t="n">
        <v>30</v>
      </c>
      <c r="G272" s="1" t="n">
        <v>39.5</v>
      </c>
      <c r="H272" s="3" t="n">
        <v>80.017825486464</v>
      </c>
      <c r="I272" s="1" t="n">
        <v>250</v>
      </c>
      <c r="J272" s="39" t="n">
        <v>210.5</v>
      </c>
      <c r="K272" s="27" t="n">
        <v>132</v>
      </c>
      <c r="L272" s="39" t="n">
        <v>135</v>
      </c>
      <c r="M272" s="4" t="n">
        <v>0.25</v>
      </c>
      <c r="N272" s="26" t="n">
        <v>0.1539013016299</v>
      </c>
      <c r="O272" s="27" t="n">
        <v>259.177800803545</v>
      </c>
      <c r="P272" s="27" t="n">
        <v>62.0847288637165</v>
      </c>
      <c r="Q272" s="28" t="n">
        <v>0.0674188339618365</v>
      </c>
      <c r="R272" s="25" t="n">
        <v>0.615605206519599</v>
      </c>
      <c r="S272" s="29" t="n">
        <v>0.167425853118128</v>
      </c>
      <c r="T272" s="27" t="n">
        <v>259.177800803545</v>
      </c>
      <c r="U272" s="27" t="n">
        <v>122</v>
      </c>
      <c r="V272" s="28" t="n">
        <v>0.0282962962962963</v>
      </c>
      <c r="W272" s="25" t="n">
        <f aca="false">(I272-H272)/(J272-H272)</f>
        <v>1.30272334245857</v>
      </c>
      <c r="X272" s="25" t="n">
        <f aca="false">0.5*(1+(I272-K272-L272)/(I272-K272))</f>
        <v>0.427966101694915</v>
      </c>
      <c r="Y272" s="25" t="n">
        <v>0.669703412472512</v>
      </c>
      <c r="Z272" s="26" t="n">
        <v>0.166624557479105</v>
      </c>
      <c r="AA272" s="27" t="n">
        <v>259.177800803545</v>
      </c>
      <c r="AB272" s="27" t="n">
        <v>62.0847288637165</v>
      </c>
      <c r="AC272" s="28" t="n">
        <v>0.0674188339618365</v>
      </c>
      <c r="AD272" s="25" t="n">
        <v>0.666498229916421</v>
      </c>
      <c r="AE272" s="4" t="n">
        <v>0.205303170380192</v>
      </c>
      <c r="AF272" s="25" t="n">
        <v>0.260230391022493</v>
      </c>
      <c r="AG272" s="26" t="n">
        <f aca="false">SMALL(AE272:AF272,1)</f>
        <v>0.205303170380192</v>
      </c>
      <c r="AH272" s="27" t="n">
        <v>273.161513344213</v>
      </c>
      <c r="AI272" s="28" t="n">
        <v>0.0227</v>
      </c>
      <c r="AJ272" s="25" t="n">
        <v>0.821212681520769</v>
      </c>
      <c r="AK272" s="29" t="n">
        <v>0.227744286496701</v>
      </c>
      <c r="AN272" s="4" t="n">
        <f aca="false">(N272-$N$344)/$N$345</f>
        <v>-0.722711550652092</v>
      </c>
      <c r="AO272" s="4" t="n">
        <f aca="false">(S272-$S$344)/$S$345</f>
        <v>-0.572035523779046</v>
      </c>
      <c r="AP272" s="4" t="n">
        <f aca="false">(Z272-$Z$344)/$Z$345</f>
        <v>-0.769750875092267</v>
      </c>
      <c r="AQ272" s="4" t="n">
        <f aca="false">(AE272-$AE$344)/$AE$345</f>
        <v>-0.809809084043272</v>
      </c>
    </row>
    <row r="273" customFormat="false" ht="14.25" hidden="false" customHeight="false" outlineLevel="0" collapsed="false">
      <c r="B273" s="1" t="n">
        <v>19.1</v>
      </c>
      <c r="C273" s="1" t="n">
        <v>2</v>
      </c>
      <c r="D273" s="2" t="n">
        <v>40</v>
      </c>
      <c r="E273" s="4" t="n">
        <v>2.92087587098479</v>
      </c>
      <c r="F273" s="1" t="n">
        <v>30</v>
      </c>
      <c r="G273" s="1" t="n">
        <v>39.5</v>
      </c>
      <c r="H273" s="3" t="n">
        <v>80.017825486464</v>
      </c>
      <c r="I273" s="1" t="n">
        <v>250</v>
      </c>
      <c r="J273" s="39" t="n">
        <v>210.5</v>
      </c>
      <c r="K273" s="27" t="n">
        <v>132</v>
      </c>
      <c r="L273" s="39" t="n">
        <v>135</v>
      </c>
      <c r="M273" s="4" t="n">
        <v>0.28</v>
      </c>
      <c r="N273" s="26" t="n">
        <v>0.205253847364266</v>
      </c>
      <c r="O273" s="27" t="n">
        <v>333.228601033129</v>
      </c>
      <c r="P273" s="27" t="n">
        <v>62.0847288637165</v>
      </c>
      <c r="Q273" s="28" t="n">
        <v>0.0674188339618365</v>
      </c>
      <c r="R273" s="25" t="n">
        <v>0.733049454872379</v>
      </c>
      <c r="S273" s="29" t="n">
        <v>0.234086611305624</v>
      </c>
      <c r="T273" s="27" t="n">
        <v>333.228601033129</v>
      </c>
      <c r="U273" s="27" t="n">
        <v>122</v>
      </c>
      <c r="V273" s="28" t="n">
        <v>0.0282962962962963</v>
      </c>
      <c r="W273" s="25" t="n">
        <f aca="false">(I273-H273)/(J273-H273)</f>
        <v>1.30272334245857</v>
      </c>
      <c r="X273" s="25" t="n">
        <f aca="false">0.5*(1+(I273-K273-L273)/(I273-K273))</f>
        <v>0.427966101694915</v>
      </c>
      <c r="Y273" s="25" t="n">
        <v>0.8360236118058</v>
      </c>
      <c r="Z273" s="26" t="n">
        <v>0.222222496663474</v>
      </c>
      <c r="AA273" s="27" t="n">
        <v>333.228601033129</v>
      </c>
      <c r="AB273" s="27" t="n">
        <v>62.0847288637165</v>
      </c>
      <c r="AC273" s="28" t="n">
        <v>0.0674188339618365</v>
      </c>
      <c r="AD273" s="25" t="n">
        <v>0.793651773798121</v>
      </c>
      <c r="AE273" s="4" t="n">
        <v>0.263961219060247</v>
      </c>
      <c r="AF273" s="25" t="n">
        <v>0.430176768833101</v>
      </c>
      <c r="AG273" s="26" t="n">
        <f aca="false">SMALL(AE273:AF273,1)</f>
        <v>0.263961219060247</v>
      </c>
      <c r="AH273" s="27" t="n">
        <v>351.207660013988</v>
      </c>
      <c r="AI273" s="28" t="n">
        <v>0.0227</v>
      </c>
      <c r="AJ273" s="25" t="n">
        <v>0.942718639500882</v>
      </c>
      <c r="AK273" s="29" t="n">
        <v>0.310857236246099</v>
      </c>
      <c r="AN273" s="4" t="n">
        <f aca="false">(N273-$N$344)/$N$345</f>
        <v>-0.118583497058772</v>
      </c>
      <c r="AO273" s="4" t="n">
        <f aca="false">(S273-$S$344)/$S$345</f>
        <v>0.232023455735402</v>
      </c>
      <c r="AP273" s="4" t="n">
        <f aca="false">(Z273-$Z$344)/$Z$345</f>
        <v>-0.0145686885257921</v>
      </c>
      <c r="AQ273" s="4" t="n">
        <f aca="false">(AE273-$AE$344)/$AE$345</f>
        <v>-0.0706081588597179</v>
      </c>
    </row>
    <row r="274" customFormat="false" ht="14.25" hidden="false" customHeight="false" outlineLevel="0" collapsed="false">
      <c r="A274" s="0" t="s">
        <v>83</v>
      </c>
      <c r="B274" s="1" t="n">
        <v>15.9</v>
      </c>
      <c r="C274" s="1" t="n">
        <v>2</v>
      </c>
      <c r="D274" s="2" t="n">
        <v>46</v>
      </c>
      <c r="E274" s="4" t="n">
        <v>3.35387948274239</v>
      </c>
      <c r="F274" s="1" t="n">
        <v>30</v>
      </c>
      <c r="G274" s="1" t="n">
        <v>38</v>
      </c>
      <c r="H274" s="3" t="n">
        <v>67.6841386130991</v>
      </c>
      <c r="I274" s="1" t="n">
        <v>250</v>
      </c>
      <c r="J274" s="39" t="n">
        <v>212</v>
      </c>
      <c r="K274" s="27" t="n">
        <v>129</v>
      </c>
      <c r="L274" s="39" t="n">
        <v>117.5</v>
      </c>
      <c r="M274" s="4" t="n">
        <v>0.2</v>
      </c>
      <c r="N274" s="26" t="n">
        <v>0.247876093912795</v>
      </c>
      <c r="O274" s="27" t="n">
        <v>365.472691516251</v>
      </c>
      <c r="P274" s="27" t="n">
        <v>97.0749058670791</v>
      </c>
      <c r="Q274" s="28" t="n">
        <v>0.0435727310809325</v>
      </c>
      <c r="R274" s="25" t="n">
        <v>1.23938046956397</v>
      </c>
      <c r="S274" s="29" t="n">
        <v>0.255931853756882</v>
      </c>
      <c r="T274" s="27" t="n">
        <v>365.472691516251</v>
      </c>
      <c r="U274" s="27" t="n">
        <v>169</v>
      </c>
      <c r="V274" s="28" t="n">
        <v>0.022536170212766</v>
      </c>
      <c r="W274" s="25" t="n">
        <f aca="false">(I274-H274)/(J274-H274)</f>
        <v>1.26331132028603</v>
      </c>
      <c r="X274" s="25" t="n">
        <f aca="false">0.5*(1+(I274-K274-L274)/(I274-K274))</f>
        <v>0.514462809917355</v>
      </c>
      <c r="Y274" s="25" t="n">
        <v>1.27965926878441</v>
      </c>
      <c r="Z274" s="26" t="n">
        <v>0.251979306420526</v>
      </c>
      <c r="AA274" s="27" t="n">
        <v>365.472691516251</v>
      </c>
      <c r="AB274" s="27" t="n">
        <v>97.0749058670791</v>
      </c>
      <c r="AC274" s="28" t="n">
        <v>0.0435727310809325</v>
      </c>
      <c r="AD274" s="25" t="n">
        <v>1.25989653210263</v>
      </c>
      <c r="AE274" s="4" t="n">
        <v>0.286155885856138</v>
      </c>
      <c r="AF274" s="25" t="n">
        <v>0.374062875884398</v>
      </c>
      <c r="AG274" s="26" t="n">
        <f aca="false">SMALL(AE274:AF274,1)</f>
        <v>0.286155885856138</v>
      </c>
      <c r="AH274" s="27" t="n">
        <v>384.63438359429</v>
      </c>
      <c r="AI274" s="28" t="n">
        <v>0.0183</v>
      </c>
      <c r="AJ274" s="25" t="n">
        <v>1.43077942928069</v>
      </c>
      <c r="AK274" s="29" t="n">
        <v>0.344705653584313</v>
      </c>
      <c r="AN274" s="4" t="n">
        <f aca="false">(N274-$N$344)/$N$345</f>
        <v>0.382838476845533</v>
      </c>
      <c r="AO274" s="4" t="n">
        <f aca="false">(S274-$S$344)/$S$345</f>
        <v>0.495519758960755</v>
      </c>
      <c r="AP274" s="4" t="n">
        <f aca="false">(Z274-$Z$344)/$Z$345</f>
        <v>0.389615584978559</v>
      </c>
      <c r="AQ274" s="4" t="n">
        <f aca="false">(AE274-$AE$344)/$AE$345</f>
        <v>0.209086079166337</v>
      </c>
    </row>
    <row r="275" customFormat="false" ht="14.25" hidden="false" customHeight="false" outlineLevel="0" collapsed="false">
      <c r="B275" s="1" t="n">
        <v>15.9</v>
      </c>
      <c r="C275" s="1" t="n">
        <v>2</v>
      </c>
      <c r="D275" s="2" t="n">
        <v>46</v>
      </c>
      <c r="E275" s="4" t="n">
        <v>3.35387948274239</v>
      </c>
      <c r="F275" s="1" t="n">
        <v>30</v>
      </c>
      <c r="G275" s="1" t="n">
        <v>38</v>
      </c>
      <c r="H275" s="3" t="n">
        <v>67.6841386130991</v>
      </c>
      <c r="I275" s="1" t="n">
        <v>250</v>
      </c>
      <c r="J275" s="39" t="n">
        <v>212</v>
      </c>
      <c r="K275" s="27" t="n">
        <v>129</v>
      </c>
      <c r="L275" s="39" t="n">
        <v>117.5</v>
      </c>
      <c r="M275" s="4" t="n">
        <v>0.22</v>
      </c>
      <c r="N275" s="26" t="n">
        <v>0.269520780893451</v>
      </c>
      <c r="O275" s="27" t="n">
        <v>392.3</v>
      </c>
      <c r="P275" s="27" t="n">
        <v>97.0749058670791</v>
      </c>
      <c r="Q275" s="28" t="n">
        <v>0.0435727310809325</v>
      </c>
      <c r="R275" s="25" t="n">
        <v>1.22509445860659</v>
      </c>
      <c r="S275" s="29" t="n">
        <v>0.281927699170355</v>
      </c>
      <c r="T275" s="27" t="n">
        <v>392.3</v>
      </c>
      <c r="U275" s="27" t="n">
        <v>169</v>
      </c>
      <c r="V275" s="28" t="n">
        <v>0.022536170212766</v>
      </c>
      <c r="W275" s="25" t="n">
        <f aca="false">(I275-H275)/(J275-H275)</f>
        <v>1.26331132028603</v>
      </c>
      <c r="X275" s="25" t="n">
        <f aca="false">0.5*(1+(I275-K275-L275)/(I275-K275))</f>
        <v>0.514462809917355</v>
      </c>
      <c r="Y275" s="25" t="n">
        <v>1.28148954168343</v>
      </c>
      <c r="Z275" s="26" t="n">
        <v>0.273982288341783</v>
      </c>
      <c r="AA275" s="27" t="n">
        <v>392.3</v>
      </c>
      <c r="AB275" s="27" t="n">
        <v>97.0749058670791</v>
      </c>
      <c r="AC275" s="28" t="n">
        <v>0.0435727310809325</v>
      </c>
      <c r="AD275" s="25" t="n">
        <v>1.2453740379172</v>
      </c>
      <c r="AE275" s="4" t="n">
        <v>0.291858863402532</v>
      </c>
      <c r="AF275" s="25" t="n">
        <v>0.389121310385571</v>
      </c>
      <c r="AG275" s="26" t="n">
        <f aca="false">SMALL(AE275:AF275,1)</f>
        <v>0.291858863402532</v>
      </c>
      <c r="AH275" s="27" t="n">
        <v>392.3</v>
      </c>
      <c r="AI275" s="28" t="n">
        <v>0.0183</v>
      </c>
      <c r="AJ275" s="25" t="n">
        <v>1.32663119728424</v>
      </c>
      <c r="AK275" s="29" t="n">
        <v>0.365403853371492</v>
      </c>
      <c r="AN275" s="4" t="n">
        <f aca="false">(N275-$N$344)/$N$345</f>
        <v>0.637473615751791</v>
      </c>
      <c r="AO275" s="4" t="n">
        <f aca="false">(S275-$S$344)/$S$345</f>
        <v>0.8090804429839</v>
      </c>
      <c r="AP275" s="4" t="n">
        <f aca="false">(Z275-$Z$344)/$Z$345</f>
        <v>0.688480259497815</v>
      </c>
      <c r="AQ275" s="4" t="n">
        <f aca="false">(AE275-$AE$344)/$AE$345</f>
        <v>0.280954243441445</v>
      </c>
    </row>
    <row r="276" customFormat="false" ht="14.25" hidden="false" customHeight="false" outlineLevel="0" collapsed="false">
      <c r="A276" s="0" t="s">
        <v>84</v>
      </c>
      <c r="B276" s="1" t="n">
        <v>15.9</v>
      </c>
      <c r="C276" s="1" t="n">
        <v>2</v>
      </c>
      <c r="D276" s="2" t="n">
        <v>46</v>
      </c>
      <c r="E276" s="4" t="n">
        <v>3.35387948274239</v>
      </c>
      <c r="F276" s="1" t="n">
        <v>30</v>
      </c>
      <c r="G276" s="1" t="n">
        <v>38</v>
      </c>
      <c r="H276" s="3" t="n">
        <v>67.6841386130991</v>
      </c>
      <c r="I276" s="1" t="n">
        <v>250</v>
      </c>
      <c r="J276" s="39" t="n">
        <v>212</v>
      </c>
      <c r="K276" s="27" t="n">
        <v>129</v>
      </c>
      <c r="L276" s="39" t="n">
        <v>117.5</v>
      </c>
      <c r="M276" s="4" t="n">
        <v>0.17</v>
      </c>
      <c r="N276" s="26" t="n">
        <v>0.247876093912795</v>
      </c>
      <c r="O276" s="27" t="n">
        <v>365.472691516251</v>
      </c>
      <c r="P276" s="27" t="n">
        <v>97.0749058670791</v>
      </c>
      <c r="Q276" s="28" t="n">
        <v>0.0435727310809325</v>
      </c>
      <c r="R276" s="25" t="n">
        <v>1.45809467007526</v>
      </c>
      <c r="S276" s="29" t="n">
        <v>0.255931853756882</v>
      </c>
      <c r="T276" s="27" t="n">
        <v>365.472691516251</v>
      </c>
      <c r="U276" s="27" t="n">
        <v>169</v>
      </c>
      <c r="V276" s="28" t="n">
        <v>0.022536170212766</v>
      </c>
      <c r="W276" s="25" t="n">
        <f aca="false">(I276-H276)/(J276-H276)</f>
        <v>1.26331132028603</v>
      </c>
      <c r="X276" s="25" t="n">
        <f aca="false">0.5*(1+(I276-K276-L276)/(I276-K276))</f>
        <v>0.514462809917355</v>
      </c>
      <c r="Y276" s="25" t="n">
        <v>1.50548149268754</v>
      </c>
      <c r="Z276" s="26" t="n">
        <v>0.251979306420526</v>
      </c>
      <c r="AA276" s="27" t="n">
        <v>365.472691516251</v>
      </c>
      <c r="AB276" s="27" t="n">
        <v>97.0749058670791</v>
      </c>
      <c r="AC276" s="28" t="n">
        <v>0.0435727310809325</v>
      </c>
      <c r="AD276" s="25" t="n">
        <v>1.48223121423839</v>
      </c>
      <c r="AE276" s="4" t="n">
        <v>0.286155885856138</v>
      </c>
      <c r="AF276" s="25" t="n">
        <v>0.374062875884398</v>
      </c>
      <c r="AG276" s="26" t="n">
        <f aca="false">SMALL(AE276:AF276,1)</f>
        <v>0.286155885856138</v>
      </c>
      <c r="AH276" s="27" t="n">
        <v>384.63438359429</v>
      </c>
      <c r="AI276" s="28" t="n">
        <v>0.0183</v>
      </c>
      <c r="AJ276" s="25" t="n">
        <v>1.68326991680081</v>
      </c>
      <c r="AK276" s="29" t="n">
        <v>0.344705653584313</v>
      </c>
      <c r="AN276" s="4" t="n">
        <f aca="false">(N276-$N$344)/$N$345</f>
        <v>0.382838476845533</v>
      </c>
      <c r="AO276" s="4" t="n">
        <f aca="false">(S276-$S$344)/$S$345</f>
        <v>0.495519758960755</v>
      </c>
      <c r="AP276" s="4" t="n">
        <f aca="false">(Z276-$Z$344)/$Z$345</f>
        <v>0.389615584978559</v>
      </c>
      <c r="AQ276" s="4" t="n">
        <f aca="false">(AE276-$AE$344)/$AE$345</f>
        <v>0.209086079166337</v>
      </c>
    </row>
    <row r="277" customFormat="false" ht="14.25" hidden="false" customHeight="false" outlineLevel="0" collapsed="false">
      <c r="B277" s="1" t="n">
        <v>15.9</v>
      </c>
      <c r="C277" s="1" t="n">
        <v>2</v>
      </c>
      <c r="D277" s="2" t="n">
        <v>46</v>
      </c>
      <c r="E277" s="4" t="n">
        <v>3.35387948274239</v>
      </c>
      <c r="F277" s="1" t="n">
        <v>30</v>
      </c>
      <c r="G277" s="1" t="n">
        <v>38</v>
      </c>
      <c r="H277" s="3" t="n">
        <v>67.6841386130991</v>
      </c>
      <c r="I277" s="1" t="n">
        <v>250</v>
      </c>
      <c r="J277" s="39" t="n">
        <v>212</v>
      </c>
      <c r="K277" s="27" t="n">
        <v>129</v>
      </c>
      <c r="L277" s="39" t="n">
        <v>117.5</v>
      </c>
      <c r="M277" s="4" t="n">
        <v>0.21</v>
      </c>
      <c r="N277" s="26" t="n">
        <v>0.269520780893451</v>
      </c>
      <c r="O277" s="27" t="n">
        <v>392.3</v>
      </c>
      <c r="P277" s="27" t="n">
        <v>97.0749058670791</v>
      </c>
      <c r="Q277" s="28" t="n">
        <v>0.0435727310809325</v>
      </c>
      <c r="R277" s="25" t="n">
        <v>1.28343228996881</v>
      </c>
      <c r="S277" s="29" t="n">
        <v>0.281927699170355</v>
      </c>
      <c r="T277" s="27" t="n">
        <v>392.3</v>
      </c>
      <c r="U277" s="27" t="n">
        <v>169</v>
      </c>
      <c r="V277" s="28" t="n">
        <v>0.022536170212766</v>
      </c>
      <c r="W277" s="25" t="n">
        <f aca="false">(I277-H277)/(J277-H277)</f>
        <v>1.26331132028603</v>
      </c>
      <c r="X277" s="25" t="n">
        <f aca="false">0.5*(1+(I277-K277-L277)/(I277-K277))</f>
        <v>0.514462809917355</v>
      </c>
      <c r="Y277" s="25" t="n">
        <v>1.34251285319217</v>
      </c>
      <c r="Z277" s="26" t="n">
        <v>0.273982288341783</v>
      </c>
      <c r="AA277" s="27" t="n">
        <v>392.3</v>
      </c>
      <c r="AB277" s="27" t="n">
        <v>97.0749058670791</v>
      </c>
      <c r="AC277" s="28" t="n">
        <v>0.0435727310809325</v>
      </c>
      <c r="AD277" s="25" t="n">
        <v>1.3046775635323</v>
      </c>
      <c r="AE277" s="4" t="n">
        <v>0.291858863402532</v>
      </c>
      <c r="AF277" s="25" t="n">
        <v>0.389121310385571</v>
      </c>
      <c r="AG277" s="26" t="n">
        <f aca="false">SMALL(AE277:AF277,1)</f>
        <v>0.291858863402532</v>
      </c>
      <c r="AH277" s="27" t="n">
        <v>392.3</v>
      </c>
      <c r="AI277" s="28" t="n">
        <v>0.0183</v>
      </c>
      <c r="AJ277" s="25" t="n">
        <v>1.38980411144063</v>
      </c>
      <c r="AK277" s="29" t="n">
        <v>0.365403853371492</v>
      </c>
      <c r="AN277" s="4" t="n">
        <f aca="false">(N277-$N$344)/$N$345</f>
        <v>0.637473615751791</v>
      </c>
      <c r="AO277" s="4" t="n">
        <f aca="false">(S277-$S$344)/$S$345</f>
        <v>0.8090804429839</v>
      </c>
      <c r="AP277" s="4" t="n">
        <f aca="false">(Z277-$Z$344)/$Z$345</f>
        <v>0.688480259497815</v>
      </c>
      <c r="AQ277" s="4" t="n">
        <f aca="false">(AE277-$AE$344)/$AE$345</f>
        <v>0.280954243441445</v>
      </c>
    </row>
    <row r="278" customFormat="false" ht="14.25" hidden="false" customHeight="false" outlineLevel="0" collapsed="false">
      <c r="A278" s="0" t="s">
        <v>85</v>
      </c>
      <c r="B278" s="1" t="n">
        <v>19.1</v>
      </c>
      <c r="C278" s="1" t="n">
        <v>2</v>
      </c>
      <c r="D278" s="2" t="n">
        <v>40</v>
      </c>
      <c r="E278" s="4" t="n">
        <v>3.35387948274239</v>
      </c>
      <c r="F278" s="1" t="n">
        <v>30</v>
      </c>
      <c r="G278" s="1" t="n">
        <v>39.5</v>
      </c>
      <c r="H278" s="3" t="n">
        <v>77.9189777125861</v>
      </c>
      <c r="I278" s="1" t="n">
        <v>250</v>
      </c>
      <c r="J278" s="39" t="n">
        <v>210.5</v>
      </c>
      <c r="K278" s="27" t="n">
        <v>131</v>
      </c>
      <c r="L278" s="39" t="n">
        <v>135</v>
      </c>
      <c r="M278" s="4" t="n">
        <v>0.17</v>
      </c>
      <c r="N278" s="26" t="n">
        <v>0.125024210405154</v>
      </c>
      <c r="O278" s="27" t="n">
        <v>221.310131801498</v>
      </c>
      <c r="P278" s="27" t="n">
        <v>70.4640937896561</v>
      </c>
      <c r="Q278" s="28" t="n">
        <v>0.0665965360251012</v>
      </c>
      <c r="R278" s="25" t="n">
        <v>0.735436531795022</v>
      </c>
      <c r="S278" s="29" t="n">
        <v>0.124185684451845</v>
      </c>
      <c r="T278" s="27" t="n">
        <v>221.310131801498</v>
      </c>
      <c r="U278" s="27" t="n">
        <v>139</v>
      </c>
      <c r="V278" s="28" t="n">
        <v>0.0282962962962963</v>
      </c>
      <c r="W278" s="25" t="n">
        <f aca="false">(I278-H278)/(J278-H278)</f>
        <v>1.29793102601344</v>
      </c>
      <c r="X278" s="25" t="n">
        <f aca="false">0.5*(1+(I278-K278-L278)/(I278-K278))</f>
        <v>0.432773109243698</v>
      </c>
      <c r="Y278" s="25" t="n">
        <v>0.730504026187326</v>
      </c>
      <c r="Z278" s="26" t="n">
        <v>0.134950755660197</v>
      </c>
      <c r="AA278" s="27" t="n">
        <v>221.310131801498</v>
      </c>
      <c r="AB278" s="27" t="n">
        <v>70.4640937896561</v>
      </c>
      <c r="AC278" s="28" t="n">
        <v>0.0665965360251012</v>
      </c>
      <c r="AD278" s="25" t="n">
        <v>0.793827974471746</v>
      </c>
      <c r="AE278" s="4" t="n">
        <v>0.175974146040165</v>
      </c>
      <c r="AF278" s="25" t="n">
        <v>0.166506074970881</v>
      </c>
      <c r="AG278" s="26" t="n">
        <f aca="false">SMALL(AE278:AF278,1)</f>
        <v>0.166506074970881</v>
      </c>
      <c r="AH278" s="27" t="n">
        <v>234.138440009325</v>
      </c>
      <c r="AI278" s="28" t="n">
        <v>0.0227</v>
      </c>
      <c r="AJ278" s="25" t="n">
        <v>0.979447499828711</v>
      </c>
      <c r="AK278" s="29" t="n">
        <v>0.176826021328202</v>
      </c>
      <c r="AN278" s="4" t="n">
        <f aca="false">(N278-$N$344)/$N$345</f>
        <v>-1.06243104587017</v>
      </c>
      <c r="AO278" s="4" t="n">
        <f aca="false">(S278-$S$344)/$S$345</f>
        <v>-1.09359643663355</v>
      </c>
      <c r="AP278" s="4" t="n">
        <f aca="false">(Z278-$Z$344)/$Z$345</f>
        <v>-1.19997349242988</v>
      </c>
      <c r="AQ278" s="4" t="n">
        <f aca="false">(AE278-$AE$344)/$AE$345</f>
        <v>-1.17940954663505</v>
      </c>
    </row>
    <row r="279" customFormat="false" ht="14.25" hidden="false" customHeight="false" outlineLevel="0" collapsed="false">
      <c r="B279" s="1" t="n">
        <v>19.1</v>
      </c>
      <c r="C279" s="1" t="n">
        <v>2</v>
      </c>
      <c r="D279" s="2" t="n">
        <v>40</v>
      </c>
      <c r="E279" s="4" t="n">
        <v>3.35387948274239</v>
      </c>
      <c r="F279" s="1" t="n">
        <v>30</v>
      </c>
      <c r="G279" s="1" t="n">
        <v>39.5</v>
      </c>
      <c r="H279" s="3" t="n">
        <v>77.9189777125861</v>
      </c>
      <c r="I279" s="1" t="n">
        <v>250</v>
      </c>
      <c r="J279" s="39" t="n">
        <v>210.5</v>
      </c>
      <c r="K279" s="27" t="n">
        <v>131</v>
      </c>
      <c r="L279" s="39" t="n">
        <v>135</v>
      </c>
      <c r="M279" s="4" t="n">
        <v>0.18</v>
      </c>
      <c r="N279" s="26" t="n">
        <v>0.151442802841225</v>
      </c>
      <c r="O279" s="27" t="n">
        <v>259.140923562438</v>
      </c>
      <c r="P279" s="27" t="n">
        <v>70.4640937896561</v>
      </c>
      <c r="Q279" s="28" t="n">
        <v>0.0665965360251012</v>
      </c>
      <c r="R279" s="25" t="n">
        <v>0.84134890467347</v>
      </c>
      <c r="S279" s="29" t="n">
        <v>0.158196919210972</v>
      </c>
      <c r="T279" s="27" t="n">
        <v>259.140923562438</v>
      </c>
      <c r="U279" s="27" t="n">
        <v>139</v>
      </c>
      <c r="V279" s="28" t="n">
        <v>0.0282962962962963</v>
      </c>
      <c r="W279" s="25" t="n">
        <f aca="false">(I279-H279)/(J279-H279)</f>
        <v>1.29793102601344</v>
      </c>
      <c r="X279" s="25" t="n">
        <f aca="false">0.5*(1+(I279-K279-L279)/(I279-K279))</f>
        <v>0.432773109243698</v>
      </c>
      <c r="Y279" s="25" t="n">
        <v>0.87887177339429</v>
      </c>
      <c r="Z279" s="26" t="n">
        <v>0.163466904661843</v>
      </c>
      <c r="AA279" s="27" t="n">
        <v>259.140923562438</v>
      </c>
      <c r="AB279" s="27" t="n">
        <v>70.4640937896561</v>
      </c>
      <c r="AC279" s="28" t="n">
        <v>0.0665965360251012</v>
      </c>
      <c r="AD279" s="25" t="n">
        <v>0.908149470343572</v>
      </c>
      <c r="AE279" s="4" t="n">
        <v>0.206055196645321</v>
      </c>
      <c r="AF279" s="25" t="n">
        <v>0.228296626570857</v>
      </c>
      <c r="AG279" s="26" t="n">
        <f aca="false">SMALL(AE279:AF279,1)</f>
        <v>0.206055196645321</v>
      </c>
      <c r="AH279" s="27" t="n">
        <v>274.162104968184</v>
      </c>
      <c r="AI279" s="28" t="n">
        <v>0.0227</v>
      </c>
      <c r="AJ279" s="25" t="n">
        <v>1.14475109247401</v>
      </c>
      <c r="AK279" s="29" t="n">
        <v>0.219448046840714</v>
      </c>
      <c r="AN279" s="4" t="n">
        <f aca="false">(N279-$N$344)/$N$345</f>
        <v>-0.75163413018002</v>
      </c>
      <c r="AO279" s="4" t="n">
        <f aca="false">(S279-$S$344)/$S$345</f>
        <v>-0.683354497357507</v>
      </c>
      <c r="AP279" s="4" t="n">
        <f aca="false">(Z279-$Z$344)/$Z$345</f>
        <v>-0.812641010840832</v>
      </c>
      <c r="AQ279" s="4" t="n">
        <f aca="false">(AE279-$AE$344)/$AE$345</f>
        <v>-0.800332149105021</v>
      </c>
    </row>
    <row r="280" customFormat="false" ht="14.25" hidden="false" customHeight="false" outlineLevel="0" collapsed="false">
      <c r="B280" s="1" t="n">
        <v>19.1</v>
      </c>
      <c r="C280" s="1" t="n">
        <v>2</v>
      </c>
      <c r="D280" s="2" t="n">
        <v>40</v>
      </c>
      <c r="E280" s="4" t="n">
        <v>3.35387948274239</v>
      </c>
      <c r="F280" s="1" t="n">
        <v>30</v>
      </c>
      <c r="G280" s="1" t="n">
        <v>39.5</v>
      </c>
      <c r="H280" s="3" t="n">
        <v>77.9189777125861</v>
      </c>
      <c r="I280" s="1" t="n">
        <v>250</v>
      </c>
      <c r="J280" s="39" t="n">
        <v>210.5</v>
      </c>
      <c r="K280" s="27" t="n">
        <v>131</v>
      </c>
      <c r="L280" s="39" t="n">
        <v>135</v>
      </c>
      <c r="M280" s="4" t="n">
        <v>0.2</v>
      </c>
      <c r="N280" s="26" t="n">
        <v>0.177200930466394</v>
      </c>
      <c r="O280" s="27" t="n">
        <v>296.025945529354</v>
      </c>
      <c r="P280" s="27" t="n">
        <v>70.4640937896561</v>
      </c>
      <c r="Q280" s="28" t="n">
        <v>0.0665965360251012</v>
      </c>
      <c r="R280" s="25" t="n">
        <v>0.886004652331969</v>
      </c>
      <c r="S280" s="29" t="n">
        <v>0.191357873101121</v>
      </c>
      <c r="T280" s="27" t="n">
        <v>296.025945529354</v>
      </c>
      <c r="U280" s="27" t="n">
        <v>139</v>
      </c>
      <c r="V280" s="28" t="n">
        <v>0.0282962962962963</v>
      </c>
      <c r="W280" s="25" t="n">
        <f aca="false">(I280-H280)/(J280-H280)</f>
        <v>1.29793102601344</v>
      </c>
      <c r="X280" s="25" t="n">
        <f aca="false">0.5*(1+(I280-K280-L280)/(I280-K280))</f>
        <v>0.432773109243698</v>
      </c>
      <c r="Y280" s="25" t="n">
        <v>0.956789365505603</v>
      </c>
      <c r="Z280" s="26" t="n">
        <v>0.191270149938448</v>
      </c>
      <c r="AA280" s="27" t="n">
        <v>296.025945529354</v>
      </c>
      <c r="AB280" s="27" t="n">
        <v>70.4640937896561</v>
      </c>
      <c r="AC280" s="28" t="n">
        <v>0.0665965360251012</v>
      </c>
      <c r="AD280" s="25" t="n">
        <v>0.95635074969224</v>
      </c>
      <c r="AE280" s="4" t="n">
        <v>0.235384220985349</v>
      </c>
      <c r="AF280" s="25" t="n">
        <v>0.297911345949708</v>
      </c>
      <c r="AG280" s="26" t="n">
        <f aca="false">SMALL(AE280:AF280,1)</f>
        <v>0.235384220985349</v>
      </c>
      <c r="AH280" s="27" t="n">
        <v>313.185178303072</v>
      </c>
      <c r="AI280" s="28" t="n">
        <v>0.0227</v>
      </c>
      <c r="AJ280" s="25" t="n">
        <v>1.17692110492674</v>
      </c>
      <c r="AK280" s="29" t="n">
        <v>0.261004521715413</v>
      </c>
      <c r="AN280" s="4" t="n">
        <f aca="false">(N280-$N$344)/$N$345</f>
        <v>-0.44860713738212</v>
      </c>
      <c r="AO280" s="4" t="n">
        <f aca="false">(S280-$S$344)/$S$345</f>
        <v>-0.283368606563364</v>
      </c>
      <c r="AP280" s="4" t="n">
        <f aca="false">(Z280-$Z$344)/$Z$345</f>
        <v>-0.434991841291509</v>
      </c>
      <c r="AQ280" s="4" t="n">
        <f aca="false">(AE280-$AE$344)/$AE$345</f>
        <v>-0.430731686513244</v>
      </c>
    </row>
    <row r="281" customFormat="false" ht="14.25" hidden="false" customHeight="false" outlineLevel="0" collapsed="false">
      <c r="B281" s="1" t="n">
        <v>19.1</v>
      </c>
      <c r="C281" s="1" t="n">
        <v>2</v>
      </c>
      <c r="D281" s="2" t="n">
        <v>40</v>
      </c>
      <c r="E281" s="4" t="n">
        <v>3.35387948274239</v>
      </c>
      <c r="F281" s="1" t="n">
        <v>30</v>
      </c>
      <c r="G281" s="1" t="n">
        <v>39.5</v>
      </c>
      <c r="H281" s="3" t="n">
        <v>77.9189777125861</v>
      </c>
      <c r="I281" s="1" t="n">
        <v>250</v>
      </c>
      <c r="J281" s="39" t="n">
        <v>210.5</v>
      </c>
      <c r="K281" s="27" t="n">
        <v>131</v>
      </c>
      <c r="L281" s="39" t="n">
        <v>135</v>
      </c>
      <c r="M281" s="4" t="n">
        <v>0.2</v>
      </c>
      <c r="N281" s="26" t="n">
        <v>0.203619522902465</v>
      </c>
      <c r="O281" s="27" t="n">
        <v>333.856737290294</v>
      </c>
      <c r="P281" s="27" t="n">
        <v>70.4640937896561</v>
      </c>
      <c r="Q281" s="28" t="n">
        <v>0.0665965360251012</v>
      </c>
      <c r="R281" s="25" t="n">
        <v>1.01809761451232</v>
      </c>
      <c r="S281" s="29" t="n">
        <v>0.225369107860247</v>
      </c>
      <c r="T281" s="27" t="n">
        <v>333.856737290294</v>
      </c>
      <c r="U281" s="27" t="n">
        <v>139</v>
      </c>
      <c r="V281" s="28" t="n">
        <v>0.0282962962962963</v>
      </c>
      <c r="W281" s="25" t="n">
        <f aca="false">(I281-H281)/(J281-H281)</f>
        <v>1.29793102601344</v>
      </c>
      <c r="X281" s="25" t="n">
        <f aca="false">0.5*(1+(I281-K281-L281)/(I281-K281))</f>
        <v>0.432773109243698</v>
      </c>
      <c r="Y281" s="25" t="n">
        <v>1.12684553930124</v>
      </c>
      <c r="Z281" s="26" t="n">
        <v>0.219786298940094</v>
      </c>
      <c r="AA281" s="27" t="n">
        <v>333.856737290294</v>
      </c>
      <c r="AB281" s="27" t="n">
        <v>70.4640937896561</v>
      </c>
      <c r="AC281" s="28" t="n">
        <v>0.0665965360251012</v>
      </c>
      <c r="AD281" s="25" t="n">
        <v>1.09893149470047</v>
      </c>
      <c r="AE281" s="4" t="n">
        <v>0.265465271590505</v>
      </c>
      <c r="AF281" s="25" t="n">
        <v>0.378920218716606</v>
      </c>
      <c r="AG281" s="26" t="n">
        <f aca="false">SMALL(AE281:AF281,1)</f>
        <v>0.265465271590505</v>
      </c>
      <c r="AH281" s="27" t="n">
        <v>353.208843261931</v>
      </c>
      <c r="AI281" s="28" t="n">
        <v>0.0227</v>
      </c>
      <c r="AJ281" s="25" t="n">
        <v>1.32732635795252</v>
      </c>
      <c r="AK281" s="29" t="n">
        <v>0.303626547227925</v>
      </c>
      <c r="AN281" s="4" t="n">
        <f aca="false">(N281-$N$344)/$N$345</f>
        <v>-0.137810221691967</v>
      </c>
      <c r="AO281" s="4" t="n">
        <f aca="false">(S281-$S$344)/$S$345</f>
        <v>0.126873332712679</v>
      </c>
      <c r="AP281" s="4" t="n">
        <f aca="false">(Z281-$Z$344)/$Z$345</f>
        <v>-0.0476593597024595</v>
      </c>
      <c r="AQ281" s="4" t="n">
        <f aca="false">(AE281-$AE$344)/$AE$345</f>
        <v>-0.0516542889832166</v>
      </c>
    </row>
    <row r="282" customFormat="false" ht="14.25" hidden="false" customHeight="false" outlineLevel="0" collapsed="false">
      <c r="B282" s="1" t="n">
        <v>19.1</v>
      </c>
      <c r="C282" s="1" t="n">
        <v>2</v>
      </c>
      <c r="D282" s="2" t="n">
        <v>40</v>
      </c>
      <c r="E282" s="4" t="n">
        <v>3.35387948274239</v>
      </c>
      <c r="F282" s="1" t="n">
        <v>30</v>
      </c>
      <c r="G282" s="1" t="n">
        <v>39.5</v>
      </c>
      <c r="H282" s="3" t="n">
        <v>77.9189777125861</v>
      </c>
      <c r="I282" s="1" t="n">
        <v>250</v>
      </c>
      <c r="J282" s="39" t="n">
        <v>210.5</v>
      </c>
      <c r="K282" s="27" t="n">
        <v>131</v>
      </c>
      <c r="L282" s="39" t="n">
        <v>135</v>
      </c>
      <c r="M282" s="4" t="n">
        <v>0.25</v>
      </c>
      <c r="N282" s="26" t="n">
        <v>0.228717185716732</v>
      </c>
      <c r="O282" s="27" t="n">
        <v>369.795989463187</v>
      </c>
      <c r="P282" s="27" t="n">
        <v>70.4640937896561</v>
      </c>
      <c r="Q282" s="28" t="n">
        <v>0.0665965360251012</v>
      </c>
      <c r="R282" s="25" t="n">
        <v>0.914868742866928</v>
      </c>
      <c r="S282" s="29" t="n">
        <v>0.257679780881418</v>
      </c>
      <c r="T282" s="27" t="n">
        <v>369.795989463187</v>
      </c>
      <c r="U282" s="27" t="n">
        <v>139</v>
      </c>
      <c r="V282" s="28" t="n">
        <v>0.0282962962962963</v>
      </c>
      <c r="W282" s="25" t="n">
        <f aca="false">(I282-H282)/(J282-H282)</f>
        <v>1.29793102601344</v>
      </c>
      <c r="X282" s="25" t="n">
        <f aca="false">0.5*(1+(I282-K282-L282)/(I282-K282))</f>
        <v>0.432773109243698</v>
      </c>
      <c r="Y282" s="25" t="n">
        <v>1.03071912352567</v>
      </c>
      <c r="Z282" s="26" t="n">
        <v>0.246876640491658</v>
      </c>
      <c r="AA282" s="27" t="n">
        <v>369.795989463187</v>
      </c>
      <c r="AB282" s="27" t="n">
        <v>70.4640937896561</v>
      </c>
      <c r="AC282" s="28" t="n">
        <v>0.0665965360251012</v>
      </c>
      <c r="AD282" s="25" t="n">
        <v>0.987506561966632</v>
      </c>
      <c r="AE282" s="4" t="n">
        <v>0.294042269665404</v>
      </c>
      <c r="AF282" s="25" t="n">
        <v>0.464891797202557</v>
      </c>
      <c r="AG282" s="26" t="n">
        <f aca="false">SMALL(AE282:AF282,1)</f>
        <v>0.294042269665404</v>
      </c>
      <c r="AH282" s="27" t="n">
        <v>391.231324972847</v>
      </c>
      <c r="AI282" s="28" t="n">
        <v>0.0227</v>
      </c>
      <c r="AJ282" s="25" t="n">
        <v>1.17616907866161</v>
      </c>
      <c r="AK282" s="29" t="n">
        <v>0.344117471464811</v>
      </c>
      <c r="AN282" s="4" t="n">
        <f aca="false">(N282-$N$344)/$N$345</f>
        <v>0.15744684821368</v>
      </c>
      <c r="AO282" s="4" t="n">
        <f aca="false">(S282-$S$344)/$S$345</f>
        <v>0.51660317502492</v>
      </c>
      <c r="AP282" s="4" t="n">
        <f aca="false">(Z282-$Z$344)/$Z$345</f>
        <v>0.320306497807138</v>
      </c>
      <c r="AQ282" s="4" t="n">
        <f aca="false">(AE282-$AE$344)/$AE$345</f>
        <v>0.308469238670309</v>
      </c>
    </row>
    <row r="283" customFormat="false" ht="14.25" hidden="false" customHeight="false" outlineLevel="0" collapsed="false">
      <c r="B283" s="1" t="n">
        <v>19.1</v>
      </c>
      <c r="C283" s="1" t="n">
        <v>2</v>
      </c>
      <c r="D283" s="2" t="n">
        <v>40</v>
      </c>
      <c r="E283" s="4" t="n">
        <v>3.35387948274239</v>
      </c>
      <c r="F283" s="1" t="n">
        <v>30</v>
      </c>
      <c r="G283" s="1" t="n">
        <v>39.5</v>
      </c>
      <c r="H283" s="3" t="n">
        <v>77.9189777125861</v>
      </c>
      <c r="I283" s="1" t="n">
        <v>250</v>
      </c>
      <c r="J283" s="39" t="n">
        <v>210.5</v>
      </c>
      <c r="K283" s="27" t="n">
        <v>131</v>
      </c>
      <c r="L283" s="39" t="n">
        <v>135</v>
      </c>
      <c r="M283" s="4" t="n">
        <v>0.27</v>
      </c>
      <c r="N283" s="26" t="n">
        <v>0.2444325396619</v>
      </c>
      <c r="O283" s="27" t="n">
        <v>392.3</v>
      </c>
      <c r="P283" s="27" t="n">
        <v>70.4640937896561</v>
      </c>
      <c r="Q283" s="28" t="n">
        <v>0.0665965360251012</v>
      </c>
      <c r="R283" s="25" t="n">
        <v>0.90530570245148</v>
      </c>
      <c r="S283" s="29" t="n">
        <v>0.277911691178883</v>
      </c>
      <c r="T283" s="27" t="n">
        <v>392.3</v>
      </c>
      <c r="U283" s="27" t="n">
        <v>139</v>
      </c>
      <c r="V283" s="28" t="n">
        <v>0.0282962962962963</v>
      </c>
      <c r="W283" s="25" t="n">
        <f aca="false">(I283-H283)/(J283-H283)</f>
        <v>1.29793102601344</v>
      </c>
      <c r="X283" s="25" t="n">
        <f aca="false">0.5*(1+(I283-K283-L283)/(I283-K283))</f>
        <v>0.432773109243698</v>
      </c>
      <c r="Y283" s="25" t="n">
        <v>1.02930255992179</v>
      </c>
      <c r="Z283" s="26" t="n">
        <v>0.263839746145316</v>
      </c>
      <c r="AA283" s="27" t="n">
        <v>392.3</v>
      </c>
      <c r="AB283" s="27" t="n">
        <v>70.4640937896561</v>
      </c>
      <c r="AC283" s="28" t="n">
        <v>0.0665965360251012</v>
      </c>
      <c r="AD283" s="25" t="n">
        <v>0.977184244982653</v>
      </c>
      <c r="AE283" s="4" t="n">
        <v>0.294845466164408</v>
      </c>
      <c r="AF283" s="25" t="n">
        <v>0.467435033230466</v>
      </c>
      <c r="AG283" s="26" t="n">
        <f aca="false">SMALL(AE283:AF283,1)</f>
        <v>0.294845466164408</v>
      </c>
      <c r="AH283" s="27" t="n">
        <v>392.3</v>
      </c>
      <c r="AI283" s="28" t="n">
        <v>0.0227</v>
      </c>
      <c r="AJ283" s="25" t="n">
        <v>1.09202024505336</v>
      </c>
      <c r="AK283" s="29" t="n">
        <v>0.366137417080008</v>
      </c>
      <c r="AN283" s="4" t="n">
        <f aca="false">(N283-$N$344)/$N$345</f>
        <v>0.342327384410168</v>
      </c>
      <c r="AO283" s="4" t="n">
        <f aca="false">(S283-$S$344)/$S$345</f>
        <v>0.760639540492768</v>
      </c>
      <c r="AP283" s="4" t="n">
        <f aca="false">(Z283-$Z$344)/$Z$345</f>
        <v>0.550714951904832</v>
      </c>
      <c r="AQ283" s="4" t="n">
        <f aca="false">(AE283-$AE$344)/$AE$345</f>
        <v>0.318591014087804</v>
      </c>
    </row>
    <row r="284" customFormat="false" ht="14.25" hidden="false" customHeight="false" outlineLevel="0" collapsed="false">
      <c r="A284" s="0" t="s">
        <v>86</v>
      </c>
      <c r="B284" s="1" t="n">
        <v>19.1</v>
      </c>
      <c r="C284" s="1" t="n">
        <v>2</v>
      </c>
      <c r="D284" s="2" t="n">
        <v>40</v>
      </c>
      <c r="E284" s="4" t="n">
        <v>3.35387948274239</v>
      </c>
      <c r="F284" s="1" t="n">
        <v>30</v>
      </c>
      <c r="G284" s="1" t="n">
        <v>39.5</v>
      </c>
      <c r="H284" s="3" t="n">
        <v>77.9189777125861</v>
      </c>
      <c r="I284" s="1" t="n">
        <v>250</v>
      </c>
      <c r="J284" s="39" t="n">
        <v>210.5</v>
      </c>
      <c r="K284" s="27" t="n">
        <v>131</v>
      </c>
      <c r="L284" s="39" t="n">
        <v>135</v>
      </c>
      <c r="M284" s="4" t="n">
        <v>0.18</v>
      </c>
      <c r="N284" s="26" t="n">
        <v>0.177200930466394</v>
      </c>
      <c r="O284" s="27" t="n">
        <v>296.025945529354</v>
      </c>
      <c r="P284" s="27" t="n">
        <v>70.4640937896561</v>
      </c>
      <c r="Q284" s="28" t="n">
        <v>0.0665965360251012</v>
      </c>
      <c r="R284" s="25" t="n">
        <v>0.984449613702187</v>
      </c>
      <c r="S284" s="29" t="n">
        <v>0.191357873101121</v>
      </c>
      <c r="T284" s="27" t="n">
        <v>296.025945529354</v>
      </c>
      <c r="U284" s="27" t="n">
        <v>139</v>
      </c>
      <c r="V284" s="28" t="n">
        <v>0.0282962962962963</v>
      </c>
      <c r="W284" s="25" t="n">
        <f aca="false">(I284-H284)/(J284-H284)</f>
        <v>1.29793102601344</v>
      </c>
      <c r="X284" s="25" t="n">
        <f aca="false">0.5*(1+(I284-K284-L284)/(I284-K284))</f>
        <v>0.432773109243698</v>
      </c>
      <c r="Y284" s="25" t="n">
        <v>1.06309929500623</v>
      </c>
      <c r="Z284" s="26" t="n">
        <v>0.191270149938448</v>
      </c>
      <c r="AA284" s="27" t="n">
        <v>296.025945529354</v>
      </c>
      <c r="AB284" s="27" t="n">
        <v>70.4640937896561</v>
      </c>
      <c r="AC284" s="28" t="n">
        <v>0.0665965360251012</v>
      </c>
      <c r="AD284" s="25" t="n">
        <v>1.06261194410249</v>
      </c>
      <c r="AE284" s="4" t="n">
        <v>0.235384220985349</v>
      </c>
      <c r="AF284" s="25" t="n">
        <v>0.297911345949708</v>
      </c>
      <c r="AG284" s="26" t="n">
        <f aca="false">SMALL(AE284:AF284,1)</f>
        <v>0.235384220985349</v>
      </c>
      <c r="AH284" s="27" t="n">
        <v>313.185178303072</v>
      </c>
      <c r="AI284" s="28" t="n">
        <v>0.0227</v>
      </c>
      <c r="AJ284" s="25" t="n">
        <v>1.30769011658527</v>
      </c>
      <c r="AK284" s="29" t="n">
        <v>0.261004521715413</v>
      </c>
      <c r="AN284" s="4" t="n">
        <f aca="false">(N284-$N$344)/$N$345</f>
        <v>-0.44860713738212</v>
      </c>
      <c r="AO284" s="4" t="n">
        <f aca="false">(S284-$S$344)/$S$345</f>
        <v>-0.283368606563364</v>
      </c>
      <c r="AP284" s="4" t="n">
        <f aca="false">(Z284-$Z$344)/$Z$345</f>
        <v>-0.434991841291509</v>
      </c>
      <c r="AQ284" s="4" t="n">
        <f aca="false">(AE284-$AE$344)/$AE$345</f>
        <v>-0.430731686513244</v>
      </c>
    </row>
    <row r="285" customFormat="false" ht="14.25" hidden="false" customHeight="false" outlineLevel="0" collapsed="false">
      <c r="B285" s="1" t="n">
        <v>19.1</v>
      </c>
      <c r="C285" s="1" t="n">
        <v>2</v>
      </c>
      <c r="D285" s="2" t="n">
        <v>40</v>
      </c>
      <c r="E285" s="4" t="n">
        <v>3.35387948274239</v>
      </c>
      <c r="F285" s="1" t="n">
        <v>30</v>
      </c>
      <c r="G285" s="1" t="n">
        <v>39.5</v>
      </c>
      <c r="H285" s="3" t="n">
        <v>77.9189777125861</v>
      </c>
      <c r="I285" s="1" t="n">
        <v>250</v>
      </c>
      <c r="J285" s="39" t="n">
        <v>210.5</v>
      </c>
      <c r="K285" s="27" t="n">
        <v>131</v>
      </c>
      <c r="L285" s="39" t="n">
        <v>135</v>
      </c>
      <c r="M285" s="4" t="n">
        <v>0.19</v>
      </c>
      <c r="N285" s="26" t="n">
        <v>0.202298593280661</v>
      </c>
      <c r="O285" s="27" t="n">
        <v>331.965197702247</v>
      </c>
      <c r="P285" s="27" t="n">
        <v>70.4640937896561</v>
      </c>
      <c r="Q285" s="28" t="n">
        <v>0.0665965360251012</v>
      </c>
      <c r="R285" s="25" t="n">
        <v>1.06472943831927</v>
      </c>
      <c r="S285" s="29" t="n">
        <v>0.223668546122291</v>
      </c>
      <c r="T285" s="27" t="n">
        <v>331.965197702247</v>
      </c>
      <c r="U285" s="27" t="n">
        <v>139</v>
      </c>
      <c r="V285" s="28" t="n">
        <v>0.0282962962962963</v>
      </c>
      <c r="W285" s="25" t="n">
        <f aca="false">(I285-H285)/(J285-H285)</f>
        <v>1.29793102601344</v>
      </c>
      <c r="X285" s="25" t="n">
        <f aca="false">0.5*(1+(I285-K285-L285)/(I285-K285))</f>
        <v>0.432773109243698</v>
      </c>
      <c r="Y285" s="25" t="n">
        <v>1.17720287432785</v>
      </c>
      <c r="Z285" s="26" t="n">
        <v>0.218360491490012</v>
      </c>
      <c r="AA285" s="27" t="n">
        <v>331.965197702247</v>
      </c>
      <c r="AB285" s="27" t="n">
        <v>70.4640937896561</v>
      </c>
      <c r="AC285" s="28" t="n">
        <v>0.0665965360251012</v>
      </c>
      <c r="AD285" s="25" t="n">
        <v>1.14926574468427</v>
      </c>
      <c r="AE285" s="4" t="n">
        <v>0.263961219060247</v>
      </c>
      <c r="AF285" s="25" t="n">
        <v>0.374638668684482</v>
      </c>
      <c r="AG285" s="26" t="n">
        <f aca="false">SMALL(AE285:AF285,1)</f>
        <v>0.263961219060247</v>
      </c>
      <c r="AH285" s="27" t="n">
        <v>351.207660013988</v>
      </c>
      <c r="AI285" s="28" t="n">
        <v>0.0227</v>
      </c>
      <c r="AJ285" s="25" t="n">
        <v>1.3892695740013</v>
      </c>
      <c r="AK285" s="29" t="n">
        <v>0.301495445952299</v>
      </c>
      <c r="AN285" s="4" t="n">
        <f aca="false">(N285-$N$344)/$N$345</f>
        <v>-0.153350067476474</v>
      </c>
      <c r="AO285" s="4" t="n">
        <f aca="false">(S285-$S$344)/$S$345</f>
        <v>0.106361235748877</v>
      </c>
      <c r="AP285" s="4" t="n">
        <f aca="false">(Z285-$Z$344)/$Z$345</f>
        <v>-0.0670259837819116</v>
      </c>
      <c r="AQ285" s="4" t="n">
        <f aca="false">(AE285-$AE$344)/$AE$345</f>
        <v>-0.0706081588597179</v>
      </c>
    </row>
    <row r="286" customFormat="false" ht="14.25" hidden="false" customHeight="false" outlineLevel="0" collapsed="false">
      <c r="B286" s="1" t="n">
        <v>19.1</v>
      </c>
      <c r="C286" s="1" t="n">
        <v>2</v>
      </c>
      <c r="D286" s="2" t="n">
        <v>40</v>
      </c>
      <c r="E286" s="4" t="n">
        <v>3.35387948274239</v>
      </c>
      <c r="F286" s="1" t="n">
        <v>30</v>
      </c>
      <c r="G286" s="1" t="n">
        <v>39.5</v>
      </c>
      <c r="H286" s="3" t="n">
        <v>77.9189777125861</v>
      </c>
      <c r="I286" s="1" t="n">
        <v>250</v>
      </c>
      <c r="J286" s="39" t="n">
        <v>210.5</v>
      </c>
      <c r="K286" s="27" t="n">
        <v>131</v>
      </c>
      <c r="L286" s="39" t="n">
        <v>135</v>
      </c>
      <c r="M286" s="4" t="n">
        <v>0.21</v>
      </c>
      <c r="N286" s="26" t="n">
        <v>0.228717185716732</v>
      </c>
      <c r="O286" s="27" t="n">
        <v>369.795989463187</v>
      </c>
      <c r="P286" s="27" t="n">
        <v>70.4640937896561</v>
      </c>
      <c r="Q286" s="28" t="n">
        <v>0.0665965360251012</v>
      </c>
      <c r="R286" s="25" t="n">
        <v>1.08912945579396</v>
      </c>
      <c r="S286" s="29" t="n">
        <v>0.257679780881418</v>
      </c>
      <c r="T286" s="27" t="n">
        <v>369.795989463187</v>
      </c>
      <c r="U286" s="27" t="n">
        <v>139</v>
      </c>
      <c r="V286" s="28" t="n">
        <v>0.0282962962962963</v>
      </c>
      <c r="W286" s="25" t="n">
        <f aca="false">(I286-H286)/(J286-H286)</f>
        <v>1.29793102601344</v>
      </c>
      <c r="X286" s="25" t="n">
        <f aca="false">0.5*(1+(I286-K286-L286)/(I286-K286))</f>
        <v>0.432773109243698</v>
      </c>
      <c r="Y286" s="25" t="n">
        <v>1.2270465756258</v>
      </c>
      <c r="Z286" s="26" t="n">
        <v>0.246876640491658</v>
      </c>
      <c r="AA286" s="27" t="n">
        <v>369.795989463187</v>
      </c>
      <c r="AB286" s="27" t="n">
        <v>70.4640937896561</v>
      </c>
      <c r="AC286" s="28" t="n">
        <v>0.0665965360251012</v>
      </c>
      <c r="AD286" s="25" t="n">
        <v>1.17560304996028</v>
      </c>
      <c r="AE286" s="4" t="n">
        <v>0.294042269665404</v>
      </c>
      <c r="AF286" s="25" t="n">
        <v>0.464891797202557</v>
      </c>
      <c r="AG286" s="26" t="n">
        <f aca="false">SMALL(AE286:AF286,1)</f>
        <v>0.294042269665404</v>
      </c>
      <c r="AH286" s="27" t="n">
        <v>391.231324972847</v>
      </c>
      <c r="AI286" s="28" t="n">
        <v>0.0227</v>
      </c>
      <c r="AJ286" s="25" t="n">
        <v>1.40020128412097</v>
      </c>
      <c r="AK286" s="29" t="n">
        <v>0.344117471464811</v>
      </c>
      <c r="AN286" s="4" t="n">
        <f aca="false">(N286-$N$344)/$N$345</f>
        <v>0.15744684821368</v>
      </c>
      <c r="AO286" s="4" t="n">
        <f aca="false">(S286-$S$344)/$S$345</f>
        <v>0.51660317502492</v>
      </c>
      <c r="AP286" s="4" t="n">
        <f aca="false">(Z286-$Z$344)/$Z$345</f>
        <v>0.320306497807138</v>
      </c>
      <c r="AQ286" s="4" t="n">
        <f aca="false">(AE286-$AE$344)/$AE$345</f>
        <v>0.308469238670309</v>
      </c>
    </row>
    <row r="287" customFormat="false" ht="14.25" hidden="false" customHeight="false" outlineLevel="0" collapsed="false">
      <c r="B287" s="1" t="n">
        <v>19.1</v>
      </c>
      <c r="C287" s="1" t="n">
        <v>2</v>
      </c>
      <c r="D287" s="2" t="n">
        <v>40</v>
      </c>
      <c r="E287" s="4" t="n">
        <v>3.35387948274239</v>
      </c>
      <c r="F287" s="1" t="n">
        <v>30</v>
      </c>
      <c r="G287" s="1" t="n">
        <v>39.5</v>
      </c>
      <c r="H287" s="3" t="n">
        <v>77.9189777125861</v>
      </c>
      <c r="I287" s="1" t="n">
        <v>250</v>
      </c>
      <c r="J287" s="39" t="n">
        <v>210.5</v>
      </c>
      <c r="K287" s="27" t="n">
        <v>131</v>
      </c>
      <c r="L287" s="39" t="n">
        <v>135</v>
      </c>
      <c r="M287" s="4" t="n">
        <v>0.26</v>
      </c>
      <c r="N287" s="26" t="n">
        <v>0.2444325396619</v>
      </c>
      <c r="O287" s="27" t="n">
        <v>392.3</v>
      </c>
      <c r="P287" s="27" t="n">
        <v>70.4640937896561</v>
      </c>
      <c r="Q287" s="28" t="n">
        <v>0.0665965360251012</v>
      </c>
      <c r="R287" s="25" t="n">
        <v>0.940125152545768</v>
      </c>
      <c r="S287" s="29" t="n">
        <v>0.277911691178883</v>
      </c>
      <c r="T287" s="27" t="n">
        <v>392.3</v>
      </c>
      <c r="U287" s="27" t="n">
        <v>139</v>
      </c>
      <c r="V287" s="28" t="n">
        <v>0.0282962962962963</v>
      </c>
      <c r="W287" s="25" t="n">
        <f aca="false">(I287-H287)/(J287-H287)</f>
        <v>1.29793102601344</v>
      </c>
      <c r="X287" s="25" t="n">
        <f aca="false">0.5*(1+(I287-K287-L287)/(I287-K287))</f>
        <v>0.432773109243698</v>
      </c>
      <c r="Y287" s="25" t="n">
        <v>1.06889111991878</v>
      </c>
      <c r="Z287" s="26" t="n">
        <v>0.263839746145316</v>
      </c>
      <c r="AA287" s="27" t="n">
        <v>392.3</v>
      </c>
      <c r="AB287" s="27" t="n">
        <v>70.4640937896561</v>
      </c>
      <c r="AC287" s="28" t="n">
        <v>0.0665965360251012</v>
      </c>
      <c r="AD287" s="25" t="n">
        <v>1.01476825440506</v>
      </c>
      <c r="AE287" s="4" t="n">
        <v>0.294845466164408</v>
      </c>
      <c r="AF287" s="25" t="n">
        <v>0.467435033230466</v>
      </c>
      <c r="AG287" s="26" t="n">
        <f aca="false">SMALL(AE287:AF287,1)</f>
        <v>0.294845466164408</v>
      </c>
      <c r="AH287" s="27" t="n">
        <v>392.3</v>
      </c>
      <c r="AI287" s="28" t="n">
        <v>0.0227</v>
      </c>
      <c r="AJ287" s="25" t="n">
        <v>1.13402102370926</v>
      </c>
      <c r="AK287" s="29" t="n">
        <v>0.366137417080008</v>
      </c>
      <c r="AN287" s="4" t="n">
        <f aca="false">(N287-$N$344)/$N$345</f>
        <v>0.342327384410168</v>
      </c>
      <c r="AO287" s="4" t="n">
        <f aca="false">(S287-$S$344)/$S$345</f>
        <v>0.760639540492768</v>
      </c>
      <c r="AP287" s="4" t="n">
        <f aca="false">(Z287-$Z$344)/$Z$345</f>
        <v>0.550714951904832</v>
      </c>
      <c r="AQ287" s="4" t="n">
        <f aca="false">(AE287-$AE$344)/$AE$345</f>
        <v>0.318591014087804</v>
      </c>
    </row>
    <row r="288" customFormat="false" ht="14.25" hidden="false" customHeight="false" outlineLevel="0" collapsed="false">
      <c r="A288" s="0" t="s">
        <v>87</v>
      </c>
      <c r="B288" s="1" t="n">
        <v>19.1</v>
      </c>
      <c r="C288" s="1" t="n">
        <v>2</v>
      </c>
      <c r="D288" s="2" t="n">
        <v>69.8</v>
      </c>
      <c r="E288" s="4" t="n">
        <v>2.90032882517908</v>
      </c>
      <c r="F288" s="1" t="n">
        <v>31.8</v>
      </c>
      <c r="G288" s="1" t="n">
        <v>41.4</v>
      </c>
      <c r="H288" s="3" t="n">
        <v>105.951899677992</v>
      </c>
      <c r="I288" s="1" t="n">
        <v>381</v>
      </c>
      <c r="J288" s="39" t="n">
        <v>339.6</v>
      </c>
      <c r="K288" s="27" t="n">
        <v>198</v>
      </c>
      <c r="L288" s="39" t="n">
        <v>136.9</v>
      </c>
      <c r="M288" s="4" t="n">
        <v>0.17</v>
      </c>
      <c r="N288" s="26" t="n">
        <v>0.144612644411651</v>
      </c>
      <c r="O288" s="27" t="n">
        <v>203.022493137384</v>
      </c>
      <c r="P288" s="27" t="n">
        <v>90.040564758391</v>
      </c>
      <c r="Q288" s="28" t="n">
        <v>0.0406514436897205</v>
      </c>
      <c r="R288" s="25" t="n">
        <v>0.850662614186185</v>
      </c>
      <c r="S288" s="29" t="n">
        <v>0.13127422971881</v>
      </c>
      <c r="T288" s="27" t="n">
        <v>203.022493137384</v>
      </c>
      <c r="U288" s="27" t="n">
        <v>125</v>
      </c>
      <c r="V288" s="28" t="n">
        <v>0.0272245005166903</v>
      </c>
      <c r="W288" s="25" t="n">
        <f aca="false">(I288-H288)/(J288-H288)</f>
        <v>1.17718954249122</v>
      </c>
      <c r="X288" s="25" t="n">
        <f aca="false">0.5*(1+(I288-K288-L288)/(I288-K288))</f>
        <v>0.625956284153005</v>
      </c>
      <c r="Y288" s="25" t="n">
        <v>0.77220135128712</v>
      </c>
      <c r="Z288" s="26" t="n">
        <v>0.140053915791155</v>
      </c>
      <c r="AA288" s="27" t="n">
        <v>203.022493137384</v>
      </c>
      <c r="AB288" s="27" t="n">
        <v>90.040564758391</v>
      </c>
      <c r="AC288" s="28" t="n">
        <v>0.0406514436897205</v>
      </c>
      <c r="AD288" s="25" t="n">
        <v>0.823846563477382</v>
      </c>
      <c r="AE288" s="4" t="n">
        <v>0.17419711219546</v>
      </c>
      <c r="AF288" s="25" t="n">
        <v>0.158655176624231</v>
      </c>
      <c r="AG288" s="26" t="n">
        <f aca="false">SMALL(AE288:AF288,1)</f>
        <v>0.158655176624231</v>
      </c>
      <c r="AH288" s="27" t="n">
        <v>212.537072996576</v>
      </c>
      <c r="AI288" s="28" t="n">
        <v>0.0204</v>
      </c>
      <c r="AJ288" s="25" t="n">
        <v>0.933265744848419</v>
      </c>
      <c r="AK288" s="29" t="n">
        <v>0.175863992964279</v>
      </c>
      <c r="AN288" s="4" t="n">
        <f aca="false">(N288-$N$344)/$N$345</f>
        <v>-0.831986335874677</v>
      </c>
      <c r="AO288" s="4" t="n">
        <f aca="false">(S288-$S$344)/$S$345</f>
        <v>-1.00809473175395</v>
      </c>
      <c r="AP288" s="4" t="n">
        <f aca="false">(Z288-$Z$344)/$Z$345</f>
        <v>-1.13065769255255</v>
      </c>
      <c r="AQ288" s="4" t="n">
        <f aca="false">(AE288-$AE$344)/$AE$345</f>
        <v>-1.20180349071684</v>
      </c>
    </row>
    <row r="289" customFormat="false" ht="14.25" hidden="false" customHeight="false" outlineLevel="0" collapsed="false">
      <c r="B289" s="1" t="n">
        <v>19.1</v>
      </c>
      <c r="C289" s="1" t="n">
        <v>2</v>
      </c>
      <c r="D289" s="2" t="n">
        <v>69.8</v>
      </c>
      <c r="E289" s="4" t="n">
        <v>2.90032882517908</v>
      </c>
      <c r="F289" s="1" t="n">
        <v>31.8</v>
      </c>
      <c r="G289" s="1" t="n">
        <v>41.4</v>
      </c>
      <c r="H289" s="3" t="n">
        <v>105.951899677992</v>
      </c>
      <c r="I289" s="1" t="n">
        <v>381</v>
      </c>
      <c r="J289" s="39" t="n">
        <v>339.6</v>
      </c>
      <c r="K289" s="27" t="n">
        <v>198</v>
      </c>
      <c r="L289" s="39" t="n">
        <v>136.9</v>
      </c>
      <c r="M289" s="4" t="n">
        <v>0.23</v>
      </c>
      <c r="N289" s="26" t="n">
        <v>0.184869531379248</v>
      </c>
      <c r="O289" s="27" t="n">
        <v>244.500206789107</v>
      </c>
      <c r="P289" s="27" t="n">
        <v>90.040564758391</v>
      </c>
      <c r="Q289" s="28" t="n">
        <v>0.0406514436897205</v>
      </c>
      <c r="R289" s="25" t="n">
        <v>0.80378057121412</v>
      </c>
      <c r="S289" s="29" t="n">
        <v>0.173850976212243</v>
      </c>
      <c r="T289" s="27" t="n">
        <v>244.500206789107</v>
      </c>
      <c r="U289" s="27" t="n">
        <v>125</v>
      </c>
      <c r="V289" s="28" t="n">
        <v>0.0272245005166903</v>
      </c>
      <c r="W289" s="25" t="n">
        <f aca="false">(I289-H289)/(J289-H289)</f>
        <v>1.17718954249122</v>
      </c>
      <c r="X289" s="25" t="n">
        <f aca="false">0.5*(1+(I289-K289-L289)/(I289-K289))</f>
        <v>0.625956284153005</v>
      </c>
      <c r="Y289" s="25" t="n">
        <v>0.755873809618448</v>
      </c>
      <c r="Z289" s="26" t="n">
        <v>0.179041755895402</v>
      </c>
      <c r="AA289" s="27" t="n">
        <v>244.500206789107</v>
      </c>
      <c r="AB289" s="27" t="n">
        <v>90.040564758391</v>
      </c>
      <c r="AC289" s="28" t="n">
        <v>0.0406514436897205</v>
      </c>
      <c r="AD289" s="25" t="n">
        <v>0.778442416936529</v>
      </c>
      <c r="AE289" s="4" t="n">
        <v>0.209785769525715</v>
      </c>
      <c r="AF289" s="25" t="n">
        <v>0.230104120195902</v>
      </c>
      <c r="AG289" s="26" t="n">
        <f aca="false">SMALL(AE289:AF289,1)</f>
        <v>0.209785769525715</v>
      </c>
      <c r="AH289" s="27" t="n">
        <v>255.958625544264</v>
      </c>
      <c r="AI289" s="28" t="n">
        <v>0.0204</v>
      </c>
      <c r="AJ289" s="25" t="n">
        <v>0.912112041416153</v>
      </c>
      <c r="AK289" s="29" t="n">
        <v>0.237699243724943</v>
      </c>
      <c r="AN289" s="4" t="n">
        <f aca="false">(N289-$N$344)/$N$345</f>
        <v>-0.358391221559158</v>
      </c>
      <c r="AO289" s="4" t="n">
        <f aca="false">(S289-$S$344)/$S$345</f>
        <v>-0.494535986438381</v>
      </c>
      <c r="AP289" s="4" t="n">
        <f aca="false">(Z289-$Z$344)/$Z$345</f>
        <v>-0.601089101137795</v>
      </c>
      <c r="AQ289" s="4" t="n">
        <f aca="false">(AE289-$AE$344)/$AE$345</f>
        <v>-0.753319966008148</v>
      </c>
    </row>
    <row r="290" customFormat="false" ht="14.25" hidden="false" customHeight="false" outlineLevel="0" collapsed="false">
      <c r="B290" s="1" t="n">
        <v>19.1</v>
      </c>
      <c r="C290" s="1" t="n">
        <v>2</v>
      </c>
      <c r="D290" s="2" t="n">
        <v>69.8</v>
      </c>
      <c r="E290" s="4" t="n">
        <v>2.90032882517908</v>
      </c>
      <c r="F290" s="1" t="n">
        <v>31.8</v>
      </c>
      <c r="G290" s="1" t="n">
        <v>41.4</v>
      </c>
      <c r="H290" s="3" t="n">
        <v>105.951899677992</v>
      </c>
      <c r="I290" s="1" t="n">
        <v>381</v>
      </c>
      <c r="J290" s="39" t="n">
        <v>339.6</v>
      </c>
      <c r="K290" s="27" t="n">
        <v>198</v>
      </c>
      <c r="L290" s="39" t="n">
        <v>136.9</v>
      </c>
      <c r="M290" s="4" t="n">
        <v>0.27</v>
      </c>
      <c r="N290" s="26" t="n">
        <v>0.215248067862241</v>
      </c>
      <c r="O290" s="27" t="n">
        <v>275.8</v>
      </c>
      <c r="P290" s="27" t="n">
        <v>90.040564758391</v>
      </c>
      <c r="Q290" s="28" t="n">
        <v>0.0406514436897205</v>
      </c>
      <c r="R290" s="25" t="n">
        <v>0.79721506615645</v>
      </c>
      <c r="S290" s="29" t="n">
        <v>0.205980118431288</v>
      </c>
      <c r="T290" s="27" t="n">
        <v>275.8</v>
      </c>
      <c r="U290" s="27" t="n">
        <v>125</v>
      </c>
      <c r="V290" s="28" t="n">
        <v>0.0272245005166903</v>
      </c>
      <c r="W290" s="25" t="n">
        <f aca="false">(I290-H290)/(J290-H290)</f>
        <v>1.17718954249122</v>
      </c>
      <c r="X290" s="25" t="n">
        <f aca="false">0.5*(1+(I290-K290-L290)/(I290-K290))</f>
        <v>0.625956284153005</v>
      </c>
      <c r="Y290" s="25" t="n">
        <v>0.762889327523289</v>
      </c>
      <c r="Z290" s="26" t="n">
        <v>0.208462647877271</v>
      </c>
      <c r="AA290" s="27" t="n">
        <v>275.8</v>
      </c>
      <c r="AB290" s="27" t="n">
        <v>90.040564758391</v>
      </c>
      <c r="AC290" s="28" t="n">
        <v>0.0406514436897205</v>
      </c>
      <c r="AD290" s="25" t="n">
        <v>0.772083881026931</v>
      </c>
      <c r="AE290" s="4" t="n">
        <v>0.226047921269161</v>
      </c>
      <c r="AF290" s="25" t="n">
        <v>0.267161196599431</v>
      </c>
      <c r="AG290" s="26" t="n">
        <f aca="false">SMALL(AE290:AF290,1)</f>
        <v>0.226047921269161</v>
      </c>
      <c r="AH290" s="27" t="n">
        <v>275.8</v>
      </c>
      <c r="AI290" s="28" t="n">
        <v>0.0204</v>
      </c>
      <c r="AJ290" s="25" t="n">
        <v>0.837214523219113</v>
      </c>
      <c r="AK290" s="29" t="n">
        <v>0.272428627898786</v>
      </c>
      <c r="AN290" s="4" t="n">
        <f aca="false">(N290-$N$344)/$N$345</f>
        <v>-0.00100823588562266</v>
      </c>
      <c r="AO290" s="4" t="n">
        <f aca="false">(S290-$S$344)/$S$345</f>
        <v>-0.106995760258269</v>
      </c>
      <c r="AP290" s="4" t="n">
        <f aca="false">(Z290-$Z$344)/$Z$345</f>
        <v>-0.20146757085181</v>
      </c>
      <c r="AQ290" s="4" t="n">
        <f aca="false">(AE290-$AE$344)/$AE$345</f>
        <v>-0.548386493369165</v>
      </c>
    </row>
    <row r="291" customFormat="false" ht="14.25" hidden="false" customHeight="false" outlineLevel="0" collapsed="false">
      <c r="A291" s="0" t="s">
        <v>88</v>
      </c>
      <c r="B291" s="1" t="n">
        <v>19.1</v>
      </c>
      <c r="C291" s="1" t="n">
        <v>2</v>
      </c>
      <c r="D291" s="2" t="n">
        <v>69.8</v>
      </c>
      <c r="E291" s="4" t="n">
        <v>2.84669189571421</v>
      </c>
      <c r="F291" s="1" t="n">
        <v>31.8</v>
      </c>
      <c r="G291" s="1" t="n">
        <v>41.4</v>
      </c>
      <c r="H291" s="3" t="n">
        <v>106.355513236104</v>
      </c>
      <c r="I291" s="1" t="n">
        <v>381</v>
      </c>
      <c r="J291" s="39" t="n">
        <v>339.6</v>
      </c>
      <c r="K291" s="27" t="n">
        <v>198</v>
      </c>
      <c r="L291" s="39" t="n">
        <v>136.9</v>
      </c>
      <c r="M291" s="4" t="n">
        <v>0.16</v>
      </c>
      <c r="N291" s="26" t="n">
        <v>0.215964113559734</v>
      </c>
      <c r="O291" s="27" t="n">
        <v>275.8</v>
      </c>
      <c r="P291" s="27" t="n">
        <v>88.444703371294</v>
      </c>
      <c r="Q291" s="28" t="n">
        <v>0.040711184462322</v>
      </c>
      <c r="R291" s="25" t="n">
        <v>1.34977570974834</v>
      </c>
      <c r="S291" s="29" t="n">
        <v>0.207325699886579</v>
      </c>
      <c r="T291" s="27" t="n">
        <v>275.8</v>
      </c>
      <c r="U291" s="27" t="n">
        <v>123</v>
      </c>
      <c r="V291" s="28" t="n">
        <v>0.0272245005166903</v>
      </c>
      <c r="W291" s="25" t="n">
        <f aca="false">(I291-H291)/(J291-H291)</f>
        <v>1.17749615681981</v>
      </c>
      <c r="X291" s="25" t="n">
        <f aca="false">0.5*(1+(I291-K291-L291)/(I291-K291))</f>
        <v>0.625956284153005</v>
      </c>
      <c r="Y291" s="25" t="n">
        <v>1.29578562429112</v>
      </c>
      <c r="Z291" s="26" t="n">
        <v>0.209232153347829</v>
      </c>
      <c r="AA291" s="27" t="n">
        <v>275.8</v>
      </c>
      <c r="AB291" s="27" t="n">
        <v>88.444703371294</v>
      </c>
      <c r="AC291" s="28" t="n">
        <v>0.040711184462322</v>
      </c>
      <c r="AD291" s="25" t="n">
        <v>1.30770095842393</v>
      </c>
      <c r="AE291" s="4" t="n">
        <v>0.226047921269161</v>
      </c>
      <c r="AF291" s="25" t="n">
        <v>0.27219500664376</v>
      </c>
      <c r="AG291" s="26" t="n">
        <f aca="false">SMALL(AE291:AF291,1)</f>
        <v>0.226047921269161</v>
      </c>
      <c r="AH291" s="27" t="n">
        <v>276</v>
      </c>
      <c r="AI291" s="28" t="n">
        <v>0.0204</v>
      </c>
      <c r="AJ291" s="25" t="n">
        <v>1.41279950793225</v>
      </c>
      <c r="AK291" s="29" t="n">
        <v>0.274773651299477</v>
      </c>
      <c r="AN291" s="4" t="n">
        <f aca="false">(N291-$N$344)/$N$345</f>
        <v>0.00741555863758711</v>
      </c>
      <c r="AO291" s="4" t="n">
        <f aca="false">(S291-$S$344)/$S$345</f>
        <v>-0.0907654190318491</v>
      </c>
      <c r="AP291" s="4" t="n">
        <f aca="false">(Z291-$Z$344)/$Z$345</f>
        <v>-0.191015442007548</v>
      </c>
      <c r="AQ291" s="4" t="n">
        <f aca="false">(AE291-$AE$344)/$AE$345</f>
        <v>-0.548386493369165</v>
      </c>
    </row>
    <row r="292" customFormat="false" ht="14.25" hidden="false" customHeight="false" outlineLevel="0" collapsed="false">
      <c r="A292" s="0" t="s">
        <v>89</v>
      </c>
      <c r="B292" s="1" t="n">
        <v>19.1</v>
      </c>
      <c r="C292" s="1" t="n">
        <v>2</v>
      </c>
      <c r="D292" s="2" t="n">
        <v>69.8</v>
      </c>
      <c r="E292" s="4" t="n">
        <v>2.71132147348833</v>
      </c>
      <c r="F292" s="1" t="n">
        <v>38.2</v>
      </c>
      <c r="G292" s="1" t="n">
        <v>47.7</v>
      </c>
      <c r="H292" s="3" t="n">
        <v>106.225416011626</v>
      </c>
      <c r="I292" s="1" t="n">
        <v>381</v>
      </c>
      <c r="J292" s="39" t="n">
        <v>333.3</v>
      </c>
      <c r="K292" s="27" t="n">
        <v>198</v>
      </c>
      <c r="L292" s="39" t="n">
        <v>143.2</v>
      </c>
      <c r="M292" s="4" t="n">
        <v>0.16</v>
      </c>
      <c r="N292" s="26" t="n">
        <v>0.205669662142264</v>
      </c>
      <c r="O292" s="27" t="n">
        <v>249.745884346061</v>
      </c>
      <c r="P292" s="27" t="n">
        <v>84.7053852920964</v>
      </c>
      <c r="Q292" s="28" t="n">
        <v>0.0406919089819377</v>
      </c>
      <c r="R292" s="25" t="n">
        <v>1.28543538838915</v>
      </c>
      <c r="S292" s="29" t="n">
        <v>0.205276239077366</v>
      </c>
      <c r="T292" s="27" t="n">
        <v>249.745884346061</v>
      </c>
      <c r="U292" s="27" t="n">
        <v>122</v>
      </c>
      <c r="V292" s="28" t="n">
        <v>0.0260267745861376</v>
      </c>
      <c r="W292" s="25" t="n">
        <f aca="false">(I292-H292)/(J292-H292)</f>
        <v>1.21006313944163</v>
      </c>
      <c r="X292" s="25" t="n">
        <f aca="false">0.5*(1+(I292-K292-L292)/(I292-K292))</f>
        <v>0.608743169398907</v>
      </c>
      <c r="Y292" s="25" t="n">
        <v>1.28297649423354</v>
      </c>
      <c r="Z292" s="26" t="n">
        <v>0.208545270651302</v>
      </c>
      <c r="AA292" s="27" t="n">
        <v>249.745884346061</v>
      </c>
      <c r="AB292" s="27" t="n">
        <v>84.7053852920964</v>
      </c>
      <c r="AC292" s="28" t="n">
        <v>0.0406919089819377</v>
      </c>
      <c r="AD292" s="25" t="n">
        <v>1.30340794157064</v>
      </c>
      <c r="AE292" s="4" t="n">
        <v>0.220031843398396</v>
      </c>
      <c r="AF292" s="25" t="n">
        <v>0.256123424393809</v>
      </c>
      <c r="AG292" s="26" t="n">
        <f aca="false">SMALL(AE292:AF292,1)</f>
        <v>0.220031843398396</v>
      </c>
      <c r="AH292" s="27" t="n">
        <v>261.095333062878</v>
      </c>
      <c r="AI292" s="28" t="n">
        <v>0.0197</v>
      </c>
      <c r="AJ292" s="25" t="n">
        <v>1.37519902123997</v>
      </c>
      <c r="AK292" s="29" t="n">
        <v>0.275049073754547</v>
      </c>
      <c r="AN292" s="4" t="n">
        <f aca="false">(N292-$N$344)/$N$345</f>
        <v>-0.113691716741073</v>
      </c>
      <c r="AO292" s="4" t="n">
        <f aca="false">(S292-$S$344)/$S$345</f>
        <v>-0.115485920442526</v>
      </c>
      <c r="AP292" s="4" t="n">
        <f aca="false">(Z292-$Z$344)/$Z$345</f>
        <v>-0.200345312579868</v>
      </c>
      <c r="AQ292" s="4" t="n">
        <f aca="false">(AE292-$AE$344)/$AE$345</f>
        <v>-0.624200306274911</v>
      </c>
    </row>
    <row r="293" customFormat="false" ht="14.25" hidden="false" customHeight="false" outlineLevel="0" collapsed="false">
      <c r="B293" s="1" t="n">
        <v>19.1</v>
      </c>
      <c r="C293" s="1" t="n">
        <v>2</v>
      </c>
      <c r="D293" s="2" t="n">
        <v>69.8</v>
      </c>
      <c r="E293" s="4" t="n">
        <v>2.71132147348833</v>
      </c>
      <c r="F293" s="1" t="n">
        <v>38.2</v>
      </c>
      <c r="G293" s="1" t="n">
        <v>47.7</v>
      </c>
      <c r="H293" s="3" t="n">
        <v>106.225416011626</v>
      </c>
      <c r="I293" s="1" t="n">
        <v>381</v>
      </c>
      <c r="J293" s="39" t="n">
        <v>333.3</v>
      </c>
      <c r="K293" s="27" t="n">
        <v>198</v>
      </c>
      <c r="L293" s="39" t="n">
        <v>143.2</v>
      </c>
      <c r="M293" s="4" t="n">
        <v>0.2</v>
      </c>
      <c r="N293" s="26" t="n">
        <v>0.232607474797317</v>
      </c>
      <c r="O293" s="27" t="n">
        <v>275.8</v>
      </c>
      <c r="P293" s="27" t="n">
        <v>84.7053852920964</v>
      </c>
      <c r="Q293" s="28" t="n">
        <v>0.0406919089819377</v>
      </c>
      <c r="R293" s="25" t="n">
        <v>1.16303737398658</v>
      </c>
      <c r="S293" s="29" t="n">
        <v>0.235595975449733</v>
      </c>
      <c r="T293" s="27" t="n">
        <v>275.8</v>
      </c>
      <c r="U293" s="27" t="n">
        <v>122</v>
      </c>
      <c r="V293" s="28" t="n">
        <v>0.0260267745861376</v>
      </c>
      <c r="W293" s="25" t="n">
        <f aca="false">(I293-H293)/(J293-H293)</f>
        <v>1.21006313944163</v>
      </c>
      <c r="X293" s="25" t="n">
        <f aca="false">0.5*(1+(I293-K293-L293)/(I293-K293))</f>
        <v>0.608743169398907</v>
      </c>
      <c r="Y293" s="25" t="n">
        <v>1.17797987724867</v>
      </c>
      <c r="Z293" s="26" t="n">
        <v>0.235859719327822</v>
      </c>
      <c r="AA293" s="27" t="n">
        <v>275.8</v>
      </c>
      <c r="AB293" s="27" t="n">
        <v>84.7053852920964</v>
      </c>
      <c r="AC293" s="28" t="n">
        <v>0.0406919089819377</v>
      </c>
      <c r="AD293" s="25" t="n">
        <v>1.17929859663911</v>
      </c>
      <c r="AE293" s="4" t="n">
        <v>0.232423849547181</v>
      </c>
      <c r="AF293" s="25" t="n">
        <v>0.285785115134191</v>
      </c>
      <c r="AG293" s="26" t="n">
        <f aca="false">SMALL(AE293:AF293,1)</f>
        <v>0.232423849547181</v>
      </c>
      <c r="AH293" s="27" t="n">
        <v>275.8</v>
      </c>
      <c r="AI293" s="28" t="n">
        <v>0.0197</v>
      </c>
      <c r="AJ293" s="25" t="n">
        <v>1.16211924773591</v>
      </c>
      <c r="AK293" s="29" t="n">
        <v>0.305332562079192</v>
      </c>
      <c r="AN293" s="4" t="n">
        <f aca="false">(N293-$N$344)/$N$345</f>
        <v>0.203213474513497</v>
      </c>
      <c r="AO293" s="4" t="n">
        <f aca="false">(S293-$S$344)/$S$345</f>
        <v>0.250229336172806</v>
      </c>
      <c r="AP293" s="4" t="n">
        <f aca="false">(Z293-$Z$344)/$Z$345</f>
        <v>0.170664573379922</v>
      </c>
      <c r="AQ293" s="4" t="n">
        <f aca="false">(AE293-$AE$344)/$AE$345</f>
        <v>-0.468037893508231</v>
      </c>
    </row>
    <row r="294" customFormat="false" ht="14.25" hidden="false" customHeight="false" outlineLevel="0" collapsed="false">
      <c r="A294" s="0" t="s">
        <v>90</v>
      </c>
      <c r="B294" s="1" t="n">
        <v>22.2</v>
      </c>
      <c r="C294" s="1" t="n">
        <v>2</v>
      </c>
      <c r="D294" s="2" t="n">
        <v>63.6</v>
      </c>
      <c r="E294" s="4" t="n">
        <v>2.68798662700617</v>
      </c>
      <c r="F294" s="1" t="n">
        <v>12.8</v>
      </c>
      <c r="G294" s="1" t="n">
        <v>23.9</v>
      </c>
      <c r="H294" s="3" t="n">
        <v>125.501027414761</v>
      </c>
      <c r="I294" s="1" t="n">
        <v>381</v>
      </c>
      <c r="J294" s="39" t="n">
        <v>357.1</v>
      </c>
      <c r="K294" s="27" t="n">
        <v>202</v>
      </c>
      <c r="L294" s="39" t="n">
        <v>83.65</v>
      </c>
      <c r="M294" s="4" t="n">
        <v>0.17</v>
      </c>
      <c r="N294" s="26" t="n">
        <v>0.118523553790798</v>
      </c>
      <c r="O294" s="27" t="n">
        <v>271.289437560374</v>
      </c>
      <c r="P294" s="27" t="n">
        <v>49.6203890960397</v>
      </c>
      <c r="Q294" s="28" t="n">
        <v>0.0849998352716371</v>
      </c>
      <c r="R294" s="25" t="n">
        <v>0.697197375239987</v>
      </c>
      <c r="S294" s="29" t="n">
        <v>0.118916171734965</v>
      </c>
      <c r="T294" s="27" t="n">
        <v>271.289437560374</v>
      </c>
      <c r="U294" s="27" t="n">
        <v>62</v>
      </c>
      <c r="V294" s="28" t="n">
        <v>0.0607141680511693</v>
      </c>
      <c r="W294" s="25" t="n">
        <f aca="false">(I294-H294)/(J294-H294)</f>
        <v>1.10319562186833</v>
      </c>
      <c r="X294" s="25" t="n">
        <f aca="false">0.5*(1+(I294-K294-L294)/(I294-K294))</f>
        <v>0.766340782122905</v>
      </c>
      <c r="Y294" s="25" t="n">
        <v>0.699506892558615</v>
      </c>
      <c r="Z294" s="26" t="n">
        <v>0.106171066832134</v>
      </c>
      <c r="AA294" s="27" t="n">
        <v>271.289437560374</v>
      </c>
      <c r="AB294" s="27" t="n">
        <v>49.6203890960397</v>
      </c>
      <c r="AC294" s="28" t="n">
        <v>0.0849998352716371</v>
      </c>
      <c r="AD294" s="25" t="n">
        <v>0.624535687247846</v>
      </c>
      <c r="AE294" s="4" t="n">
        <v>0.212178559539565</v>
      </c>
      <c r="AF294" s="25" t="n">
        <v>0.335052700244677</v>
      </c>
      <c r="AG294" s="26" t="n">
        <f aca="false">SMALL(AE294:AF294,1)</f>
        <v>0.212178559539565</v>
      </c>
      <c r="AH294" s="27" t="n">
        <v>276</v>
      </c>
      <c r="AI294" s="28" t="n">
        <v>0.0267</v>
      </c>
      <c r="AJ294" s="25" t="n">
        <v>1.24810917376215</v>
      </c>
      <c r="AK294" s="29" t="n">
        <v>0.235833005206318</v>
      </c>
      <c r="AN294" s="4" t="n">
        <f aca="false">(N294-$N$344)/$N$345</f>
        <v>-1.13890688501988</v>
      </c>
      <c r="AO294" s="4" t="n">
        <f aca="false">(S294-$S$344)/$S$345</f>
        <v>-1.15715705509751</v>
      </c>
      <c r="AP294" s="4" t="n">
        <f aca="false">(Z294-$Z$344)/$Z$345</f>
        <v>-1.59088561357537</v>
      </c>
      <c r="AQ294" s="4" t="n">
        <f aca="false">(AE294-$AE$344)/$AE$345</f>
        <v>-0.723166344607358</v>
      </c>
    </row>
    <row r="295" customFormat="false" ht="14.25" hidden="false" customHeight="false" outlineLevel="0" collapsed="false">
      <c r="A295" s="0" t="s">
        <v>91</v>
      </c>
      <c r="B295" s="1" t="n">
        <v>22.2</v>
      </c>
      <c r="C295" s="1" t="n">
        <v>2</v>
      </c>
      <c r="D295" s="2" t="n">
        <v>63.6</v>
      </c>
      <c r="E295" s="4" t="n">
        <v>2.38460157103714</v>
      </c>
      <c r="F295" s="1" t="n">
        <v>38</v>
      </c>
      <c r="G295" s="1" t="n">
        <v>49.1</v>
      </c>
      <c r="H295" s="3" t="n">
        <v>122.856933294706</v>
      </c>
      <c r="I295" s="1" t="n">
        <v>381</v>
      </c>
      <c r="J295" s="39" t="n">
        <v>331.9</v>
      </c>
      <c r="K295" s="27" t="n">
        <v>201</v>
      </c>
      <c r="L295" s="39" t="n">
        <v>160.1</v>
      </c>
      <c r="M295" s="4" t="n">
        <v>0.15</v>
      </c>
      <c r="N295" s="26" t="n">
        <v>0.145017572256625</v>
      </c>
      <c r="O295" s="27" t="n">
        <v>195.113525980031</v>
      </c>
      <c r="P295" s="27" t="n">
        <v>57.3525697310324</v>
      </c>
      <c r="Q295" s="28" t="n">
        <v>0.0590223888904023</v>
      </c>
      <c r="R295" s="25" t="n">
        <v>0.966783815044169</v>
      </c>
      <c r="S295" s="29" t="n">
        <v>0.154918924089883</v>
      </c>
      <c r="T295" s="27" t="n">
        <v>195.113525980031</v>
      </c>
      <c r="U295" s="27" t="n">
        <v>92</v>
      </c>
      <c r="V295" s="28" t="n">
        <v>0.0317222995470351</v>
      </c>
      <c r="W295" s="25" t="n">
        <f aca="false">(I295-H295)/(J295-H295)</f>
        <v>1.23487983014151</v>
      </c>
      <c r="X295" s="25" t="n">
        <f aca="false">0.5*(1+(I295-K295-L295)/(I295-K295))</f>
        <v>0.555277777777778</v>
      </c>
      <c r="Y295" s="25" t="n">
        <v>1.03279282726588</v>
      </c>
      <c r="Z295" s="26" t="n">
        <v>0.15519138254448</v>
      </c>
      <c r="AA295" s="27" t="n">
        <v>195.113525980031</v>
      </c>
      <c r="AB295" s="27" t="n">
        <v>57.3525697310324</v>
      </c>
      <c r="AC295" s="28" t="n">
        <v>0.0590223888904023</v>
      </c>
      <c r="AD295" s="25" t="n">
        <v>1.0346092169632</v>
      </c>
      <c r="AE295" s="4" t="n">
        <v>0.172994275409456</v>
      </c>
      <c r="AF295" s="25" t="n">
        <v>0.206814145002935</v>
      </c>
      <c r="AG295" s="26" t="n">
        <f aca="false">SMALL(AE295:AF295,1)</f>
        <v>0.172994275409456</v>
      </c>
      <c r="AH295" s="27" t="n">
        <v>204.090214031452</v>
      </c>
      <c r="AI295" s="28" t="n">
        <v>0.0236</v>
      </c>
      <c r="AJ295" s="25" t="n">
        <v>1.15329516939637</v>
      </c>
      <c r="AK295" s="29" t="n">
        <v>0.208517983869815</v>
      </c>
      <c r="AN295" s="4" t="n">
        <f aca="false">(N295-$N$344)/$N$345</f>
        <v>-0.827222632978714</v>
      </c>
      <c r="AO295" s="4" t="n">
        <f aca="false">(S295-$S$344)/$S$345</f>
        <v>-0.722893522768876</v>
      </c>
      <c r="AP295" s="4" t="n">
        <f aca="false">(Z295-$Z$344)/$Z$345</f>
        <v>-0.925046739888549</v>
      </c>
      <c r="AQ295" s="4" t="n">
        <f aca="false">(AE295-$AE$344)/$AE$345</f>
        <v>-1.21696147986014</v>
      </c>
    </row>
    <row r="296" customFormat="false" ht="14.25" hidden="false" customHeight="false" outlineLevel="0" collapsed="false">
      <c r="B296" s="1" t="n">
        <v>22.2</v>
      </c>
      <c r="C296" s="1" t="n">
        <v>2</v>
      </c>
      <c r="D296" s="2" t="n">
        <v>63.6</v>
      </c>
      <c r="E296" s="4" t="n">
        <v>2.38460157103714</v>
      </c>
      <c r="F296" s="1" t="n">
        <v>38</v>
      </c>
      <c r="G296" s="1" t="n">
        <v>49.1</v>
      </c>
      <c r="H296" s="3" t="n">
        <v>122.856933294706</v>
      </c>
      <c r="I296" s="1" t="n">
        <v>381</v>
      </c>
      <c r="J296" s="39" t="n">
        <v>331.9</v>
      </c>
      <c r="K296" s="27" t="n">
        <v>201</v>
      </c>
      <c r="L296" s="39" t="n">
        <v>160.1</v>
      </c>
      <c r="M296" s="4" t="n">
        <v>0.19</v>
      </c>
      <c r="N296" s="26" t="n">
        <v>0.173744152276404</v>
      </c>
      <c r="O296" s="27" t="n">
        <v>226.947036463892</v>
      </c>
      <c r="P296" s="27" t="n">
        <v>57.3525697310324</v>
      </c>
      <c r="Q296" s="28" t="n">
        <v>0.0590223888904023</v>
      </c>
      <c r="R296" s="25" t="n">
        <v>0.914442906717915</v>
      </c>
      <c r="S296" s="29" t="n">
        <v>0.190184965135221</v>
      </c>
      <c r="T296" s="27" t="n">
        <v>226.947036463892</v>
      </c>
      <c r="U296" s="27" t="n">
        <v>92</v>
      </c>
      <c r="V296" s="28" t="n">
        <v>0.0317222995470351</v>
      </c>
      <c r="W296" s="25" t="n">
        <f aca="false">(I296-H296)/(J296-H296)</f>
        <v>1.23487983014151</v>
      </c>
      <c r="X296" s="25" t="n">
        <f aca="false">0.5*(1+(I296-K296-L296)/(I296-K296))</f>
        <v>0.555277777777778</v>
      </c>
      <c r="Y296" s="25" t="n">
        <v>1.00097350071169</v>
      </c>
      <c r="Z296" s="26" t="n">
        <v>0.185933296091032</v>
      </c>
      <c r="AA296" s="27" t="n">
        <v>226.947036463892</v>
      </c>
      <c r="AB296" s="27" t="n">
        <v>57.3525697310324</v>
      </c>
      <c r="AC296" s="28" t="n">
        <v>0.0590223888904023</v>
      </c>
      <c r="AD296" s="25" t="n">
        <v>0.978596295215957</v>
      </c>
      <c r="AE296" s="4" t="n">
        <v>0.201218946416931</v>
      </c>
      <c r="AF296" s="25" t="n">
        <v>0.279804384943345</v>
      </c>
      <c r="AG296" s="26" t="n">
        <f aca="false">SMALL(AE296:AF296,1)</f>
        <v>0.201218946416931</v>
      </c>
      <c r="AH296" s="27" t="n">
        <v>237.388305157583</v>
      </c>
      <c r="AI296" s="28" t="n">
        <v>0.0236</v>
      </c>
      <c r="AJ296" s="25" t="n">
        <v>1.0590470864049</v>
      </c>
      <c r="AK296" s="29" t="n">
        <v>0.255047698249696</v>
      </c>
      <c r="AN296" s="4" t="n">
        <f aca="false">(N296-$N$344)/$N$345</f>
        <v>-0.489273800538897</v>
      </c>
      <c r="AO296" s="4" t="n">
        <f aca="false">(S296-$S$344)/$S$345</f>
        <v>-0.297516168153847</v>
      </c>
      <c r="AP296" s="4" t="n">
        <f aca="false">(Z296-$Z$344)/$Z$345</f>
        <v>-0.507481883494557</v>
      </c>
      <c r="AQ296" s="4" t="n">
        <f aca="false">(AE296-$AE$344)/$AE$345</f>
        <v>-0.861277931034183</v>
      </c>
    </row>
    <row r="297" customFormat="false" ht="14.25" hidden="false" customHeight="false" outlineLevel="0" collapsed="false">
      <c r="B297" s="1" t="n">
        <v>22.2</v>
      </c>
      <c r="C297" s="1" t="n">
        <v>2</v>
      </c>
      <c r="D297" s="2" t="n">
        <v>63.6</v>
      </c>
      <c r="E297" s="4" t="n">
        <v>2.38460157103714</v>
      </c>
      <c r="F297" s="1" t="n">
        <v>38</v>
      </c>
      <c r="G297" s="1" t="n">
        <v>49.1</v>
      </c>
      <c r="H297" s="3" t="n">
        <v>122.856933294706</v>
      </c>
      <c r="I297" s="1" t="n">
        <v>381</v>
      </c>
      <c r="J297" s="39" t="n">
        <v>331.9</v>
      </c>
      <c r="K297" s="27" t="n">
        <v>201</v>
      </c>
      <c r="L297" s="39" t="n">
        <v>160.1</v>
      </c>
      <c r="M297" s="4" t="n">
        <v>0.22</v>
      </c>
      <c r="N297" s="26" t="n">
        <v>0.204395000814254</v>
      </c>
      <c r="O297" s="27" t="n">
        <v>260.91293520983</v>
      </c>
      <c r="P297" s="27" t="n">
        <v>57.3525697310324</v>
      </c>
      <c r="Q297" s="28" t="n">
        <v>0.0590223888904023</v>
      </c>
      <c r="R297" s="25" t="n">
        <v>0.929068185519334</v>
      </c>
      <c r="S297" s="29" t="n">
        <v>0.227813324719481</v>
      </c>
      <c r="T297" s="27" t="n">
        <v>260.91293520983</v>
      </c>
      <c r="U297" s="27" t="n">
        <v>92</v>
      </c>
      <c r="V297" s="28" t="n">
        <v>0.0317222995470351</v>
      </c>
      <c r="W297" s="25" t="n">
        <f aca="false">(I297-H297)/(J297-H297)</f>
        <v>1.23487983014151</v>
      </c>
      <c r="X297" s="25" t="n">
        <f aca="false">0.5*(1+(I297-K297-L297)/(I297-K297))</f>
        <v>0.555277777777778</v>
      </c>
      <c r="Y297" s="25" t="n">
        <v>1.03551511236128</v>
      </c>
      <c r="Z297" s="26" t="n">
        <v>0.218734476573717</v>
      </c>
      <c r="AA297" s="27" t="n">
        <v>260.91293520983</v>
      </c>
      <c r="AB297" s="27" t="n">
        <v>57.3525697310324</v>
      </c>
      <c r="AC297" s="28" t="n">
        <v>0.0590223888904023</v>
      </c>
      <c r="AD297" s="25" t="n">
        <v>0.994247620789621</v>
      </c>
      <c r="AE297" s="4" t="n">
        <v>0.23133426524309</v>
      </c>
      <c r="AF297" s="25" t="n">
        <v>0.369825374191171</v>
      </c>
      <c r="AG297" s="26" t="n">
        <f aca="false">SMALL(AE297:AF297,1)</f>
        <v>0.23133426524309</v>
      </c>
      <c r="AH297" s="27" t="n">
        <v>272.916890426134</v>
      </c>
      <c r="AI297" s="28" t="n">
        <v>0.0236</v>
      </c>
      <c r="AJ297" s="25" t="n">
        <v>1.05151938746859</v>
      </c>
      <c r="AK297" s="29" t="n">
        <v>0.304694235602391</v>
      </c>
      <c r="AN297" s="4" t="n">
        <f aca="false">(N297-$N$344)/$N$345</f>
        <v>-0.12868724726579</v>
      </c>
      <c r="AO297" s="4" t="n">
        <f aca="false">(S297-$S$344)/$S$345</f>
        <v>0.156355363325347</v>
      </c>
      <c r="AP297" s="4" t="n">
        <f aca="false">(Z297-$Z$344)/$Z$345</f>
        <v>-0.0619461754760884</v>
      </c>
      <c r="AQ297" s="4" t="n">
        <f aca="false">(AE297-$AE$344)/$AE$345</f>
        <v>-0.481768689942378</v>
      </c>
    </row>
    <row r="298" customFormat="false" ht="14.25" hidden="false" customHeight="false" outlineLevel="0" collapsed="false">
      <c r="B298" s="1" t="n">
        <v>22.2</v>
      </c>
      <c r="C298" s="1" t="n">
        <v>2</v>
      </c>
      <c r="D298" s="2" t="n">
        <v>63.6</v>
      </c>
      <c r="E298" s="4" t="n">
        <v>2.38460157103714</v>
      </c>
      <c r="F298" s="1" t="n">
        <v>38</v>
      </c>
      <c r="G298" s="1" t="n">
        <v>49.1</v>
      </c>
      <c r="H298" s="3" t="n">
        <v>122.856933294706</v>
      </c>
      <c r="I298" s="1" t="n">
        <v>381</v>
      </c>
      <c r="J298" s="39" t="n">
        <v>331.9</v>
      </c>
      <c r="K298" s="27" t="n">
        <v>201</v>
      </c>
      <c r="L298" s="39" t="n">
        <v>160.1</v>
      </c>
      <c r="M298" s="4" t="n">
        <v>0.27</v>
      </c>
      <c r="N298" s="26" t="n">
        <v>0.217829097508404</v>
      </c>
      <c r="O298" s="27" t="n">
        <v>275.8</v>
      </c>
      <c r="P298" s="27" t="n">
        <v>57.3525697310324</v>
      </c>
      <c r="Q298" s="28" t="n">
        <v>0.0590223888904023</v>
      </c>
      <c r="R298" s="25" t="n">
        <v>0.80677443521631</v>
      </c>
      <c r="S298" s="29" t="n">
        <v>0.244305625755551</v>
      </c>
      <c r="T298" s="27" t="n">
        <v>275.8</v>
      </c>
      <c r="U298" s="27" t="n">
        <v>92</v>
      </c>
      <c r="V298" s="28" t="n">
        <v>0.0317222995470351</v>
      </c>
      <c r="W298" s="25" t="n">
        <f aca="false">(I298-H298)/(J298-H298)</f>
        <v>1.23487983014151</v>
      </c>
      <c r="X298" s="25" t="n">
        <f aca="false">0.5*(1+(I298-K298-L298)/(I298-K298))</f>
        <v>0.555277777777778</v>
      </c>
      <c r="Y298" s="25" t="n">
        <v>0.904835650946485</v>
      </c>
      <c r="Z298" s="26" t="n">
        <v>0.233111051817384</v>
      </c>
      <c r="AA298" s="27" t="n">
        <v>275.8</v>
      </c>
      <c r="AB298" s="27" t="n">
        <v>57.3525697310324</v>
      </c>
      <c r="AC298" s="28" t="n">
        <v>0.0590223888904023</v>
      </c>
      <c r="AD298" s="25" t="n">
        <v>0.863374265990312</v>
      </c>
      <c r="AE298" s="4" t="n">
        <v>0.233778093596272</v>
      </c>
      <c r="AF298" s="25" t="n">
        <v>0.377680359074951</v>
      </c>
      <c r="AG298" s="26" t="n">
        <f aca="false">SMALL(AE298:AF298,1)</f>
        <v>0.233778093596272</v>
      </c>
      <c r="AH298" s="27" t="n">
        <v>275.8</v>
      </c>
      <c r="AI298" s="28" t="n">
        <v>0.0236</v>
      </c>
      <c r="AJ298" s="25" t="n">
        <v>0.865844791097303</v>
      </c>
      <c r="AK298" s="29" t="n">
        <v>0.323413164995479</v>
      </c>
      <c r="AN298" s="4" t="n">
        <f aca="false">(N298-$N$344)/$N$345</f>
        <v>0.0293558365104838</v>
      </c>
      <c r="AO298" s="4" t="n">
        <f aca="false">(S298-$S$344)/$S$345</f>
        <v>0.355284734989695</v>
      </c>
      <c r="AP298" s="4" t="n">
        <f aca="false">(Z298-$Z$344)/$Z$345</f>
        <v>0.133329651058555</v>
      </c>
      <c r="AQ298" s="4" t="n">
        <f aca="false">(AE298-$AE$344)/$AE$345</f>
        <v>-0.45097189017982</v>
      </c>
    </row>
    <row r="299" customFormat="false" ht="14.25" hidden="false" customHeight="false" outlineLevel="0" collapsed="false">
      <c r="A299" s="0" t="s">
        <v>92</v>
      </c>
      <c r="B299" s="1" t="n">
        <v>22.2</v>
      </c>
      <c r="C299" s="1" t="n">
        <v>2</v>
      </c>
      <c r="D299" s="2" t="n">
        <v>63.6</v>
      </c>
      <c r="E299" s="4" t="n">
        <v>2.86484234762008</v>
      </c>
      <c r="F299" s="1" t="n">
        <v>38</v>
      </c>
      <c r="G299" s="1" t="n">
        <v>49.1</v>
      </c>
      <c r="H299" s="3" t="n">
        <v>118.551137802315</v>
      </c>
      <c r="I299" s="1" t="n">
        <v>381</v>
      </c>
      <c r="J299" s="39" t="n">
        <v>331.9</v>
      </c>
      <c r="K299" s="27" t="n">
        <v>200</v>
      </c>
      <c r="L299" s="39" t="n">
        <v>160.1</v>
      </c>
      <c r="M299" s="4" t="n">
        <v>0.17</v>
      </c>
      <c r="N299" s="26" t="n">
        <v>0.199420760175498</v>
      </c>
      <c r="O299" s="27" t="n">
        <v>259.632151766165</v>
      </c>
      <c r="P299" s="27" t="n">
        <v>67.9274215453834</v>
      </c>
      <c r="Q299" s="28" t="n">
        <v>0.0580540542064325</v>
      </c>
      <c r="R299" s="25" t="n">
        <v>1.17306329514999</v>
      </c>
      <c r="S299" s="29" t="n">
        <v>0.214865447980312</v>
      </c>
      <c r="T299" s="27" t="n">
        <v>259.632151766165</v>
      </c>
      <c r="U299" s="27" t="n">
        <v>109</v>
      </c>
      <c r="V299" s="28" t="n">
        <v>0.0317222995470351</v>
      </c>
      <c r="W299" s="25" t="n">
        <f aca="false">(I299-H299)/(J299-H299)</f>
        <v>1.23013949778886</v>
      </c>
      <c r="X299" s="25" t="n">
        <f aca="false">0.5*(1+(I299-K299-L299)/(I299-K299))</f>
        <v>0.557734806629834</v>
      </c>
      <c r="Y299" s="25" t="n">
        <v>1.26391439988419</v>
      </c>
      <c r="Z299" s="26" t="n">
        <v>0.212537474155374</v>
      </c>
      <c r="AA299" s="27" t="n">
        <v>259.632151766165</v>
      </c>
      <c r="AB299" s="27" t="n">
        <v>67.9274215453834</v>
      </c>
      <c r="AC299" s="28" t="n">
        <v>0.0580540542064325</v>
      </c>
      <c r="AD299" s="25" t="n">
        <v>1.25022043620808</v>
      </c>
      <c r="AE299" s="4" t="n">
        <v>0.23133426524309</v>
      </c>
      <c r="AF299" s="25" t="n">
        <v>0.307830610308549</v>
      </c>
      <c r="AG299" s="26" t="n">
        <f aca="false">SMALL(AE299:AF299,1)</f>
        <v>0.23133426524309</v>
      </c>
      <c r="AH299" s="27" t="n">
        <v>273</v>
      </c>
      <c r="AI299" s="28" t="n">
        <v>0.0236</v>
      </c>
      <c r="AJ299" s="25" t="n">
        <v>1.36078979554759</v>
      </c>
      <c r="AK299" s="29" t="n">
        <v>0.289253210227867</v>
      </c>
      <c r="AN299" s="4" t="n">
        <f aca="false">(N299-$N$344)/$N$345</f>
        <v>-0.187205832317845</v>
      </c>
      <c r="AO299" s="4" t="n">
        <f aca="false">(S299-$S$344)/$S$345</f>
        <v>0.000178673457940117</v>
      </c>
      <c r="AP299" s="4" t="n">
        <f aca="false">(Z299-$Z$344)/$Z$345</f>
        <v>-0.146119544221335</v>
      </c>
      <c r="AQ299" s="4" t="n">
        <f aca="false">(AE299-$AE$344)/$AE$345</f>
        <v>-0.481768689942378</v>
      </c>
    </row>
    <row r="300" customFormat="false" ht="14.25" hidden="false" customHeight="false" outlineLevel="0" collapsed="false">
      <c r="B300" s="1" t="n">
        <v>22.2</v>
      </c>
      <c r="C300" s="1" t="n">
        <v>2</v>
      </c>
      <c r="D300" s="2" t="n">
        <v>63.6</v>
      </c>
      <c r="E300" s="4" t="n">
        <v>2.86484234762008</v>
      </c>
      <c r="F300" s="1" t="n">
        <v>38</v>
      </c>
      <c r="G300" s="1" t="n">
        <v>49.1</v>
      </c>
      <c r="H300" s="3" t="n">
        <v>118.551137802315</v>
      </c>
      <c r="I300" s="1" t="n">
        <v>381</v>
      </c>
      <c r="J300" s="39" t="n">
        <v>331.9</v>
      </c>
      <c r="K300" s="27" t="n">
        <v>200</v>
      </c>
      <c r="L300" s="39" t="n">
        <v>160.1</v>
      </c>
      <c r="M300" s="4" t="n">
        <v>0.2</v>
      </c>
      <c r="N300" s="26" t="n">
        <v>0.214151516501106</v>
      </c>
      <c r="O300" s="27" t="n">
        <v>275.8</v>
      </c>
      <c r="P300" s="27" t="n">
        <v>67.9274215453834</v>
      </c>
      <c r="Q300" s="28" t="n">
        <v>0.0580540542064325</v>
      </c>
      <c r="R300" s="25" t="n">
        <v>1.07075758250553</v>
      </c>
      <c r="S300" s="29" t="n">
        <v>0.232744711888717</v>
      </c>
      <c r="T300" s="27" t="n">
        <v>275.8</v>
      </c>
      <c r="U300" s="27" t="n">
        <v>109</v>
      </c>
      <c r="V300" s="28" t="n">
        <v>0.0317222995470351</v>
      </c>
      <c r="W300" s="25" t="n">
        <f aca="false">(I300-H300)/(J300-H300)</f>
        <v>1.23013949778886</v>
      </c>
      <c r="X300" s="25" t="n">
        <f aca="false">0.5*(1+(I300-K300-L300)/(I300-K300))</f>
        <v>0.557734806629834</v>
      </c>
      <c r="Y300" s="25" t="n">
        <v>1.16372355944358</v>
      </c>
      <c r="Z300" s="26" t="n">
        <v>0.228237132200443</v>
      </c>
      <c r="AA300" s="27" t="n">
        <v>275.8</v>
      </c>
      <c r="AB300" s="27" t="n">
        <v>67.9274215453834</v>
      </c>
      <c r="AC300" s="28" t="n">
        <v>0.0580540542064325</v>
      </c>
      <c r="AD300" s="25" t="n">
        <v>1.14118566100221</v>
      </c>
      <c r="AE300" s="4" t="n">
        <v>0.233778093596272</v>
      </c>
      <c r="AF300" s="25" t="n">
        <v>0.314368844187246</v>
      </c>
      <c r="AG300" s="26" t="n">
        <f aca="false">SMALL(AE300:AF300,1)</f>
        <v>0.233778093596272</v>
      </c>
      <c r="AH300" s="27" t="n">
        <v>276</v>
      </c>
      <c r="AI300" s="28" t="n">
        <v>0.0236</v>
      </c>
      <c r="AJ300" s="25" t="n">
        <v>1.16889046798136</v>
      </c>
      <c r="AK300" s="29" t="n">
        <v>0.307972139620955</v>
      </c>
      <c r="AN300" s="4" t="n">
        <f aca="false">(N300-$N$344)/$N$345</f>
        <v>-0.0139084228187974</v>
      </c>
      <c r="AO300" s="4" t="n">
        <f aca="false">(S300-$S$344)/$S$345</f>
        <v>0.215837527085529</v>
      </c>
      <c r="AP300" s="4" t="n">
        <f aca="false">(Z300-$Z$344)/$Z$345</f>
        <v>0.0671276060283373</v>
      </c>
      <c r="AQ300" s="4" t="n">
        <f aca="false">(AE300-$AE$344)/$AE$345</f>
        <v>-0.45097189017982</v>
      </c>
    </row>
    <row r="301" customFormat="false" ht="14.25" hidden="false" customHeight="false" outlineLevel="0" collapsed="false">
      <c r="A301" s="0" t="s">
        <v>93</v>
      </c>
      <c r="B301" s="1" t="n">
        <v>22.2</v>
      </c>
      <c r="C301" s="1" t="n">
        <v>2</v>
      </c>
      <c r="D301" s="2" t="n">
        <v>63.6</v>
      </c>
      <c r="E301" s="4" t="n">
        <v>2.83369179024989</v>
      </c>
      <c r="F301" s="1" t="n">
        <v>38</v>
      </c>
      <c r="G301" s="1" t="n">
        <v>49.1</v>
      </c>
      <c r="H301" s="3" t="n">
        <v>118.804893272016</v>
      </c>
      <c r="I301" s="1" t="n">
        <v>381</v>
      </c>
      <c r="J301" s="39" t="n">
        <v>331.9</v>
      </c>
      <c r="K301" s="27" t="n">
        <v>200</v>
      </c>
      <c r="L301" s="39" t="n">
        <v>160.1</v>
      </c>
      <c r="M301" s="4" t="n">
        <v>0.15</v>
      </c>
      <c r="N301" s="26" t="n">
        <v>0.140110950744427</v>
      </c>
      <c r="O301" s="27" t="n">
        <v>194.21192690601</v>
      </c>
      <c r="P301" s="27" t="n">
        <v>67.2423609915106</v>
      </c>
      <c r="Q301" s="28" t="n">
        <v>0.0581102395943944</v>
      </c>
      <c r="R301" s="25" t="n">
        <v>0.934073004962845</v>
      </c>
      <c r="S301" s="29" t="n">
        <v>0.143254092774708</v>
      </c>
      <c r="T301" s="27" t="n">
        <v>194.21192690601</v>
      </c>
      <c r="U301" s="27" t="n">
        <v>108</v>
      </c>
      <c r="V301" s="28" t="n">
        <v>0.0317222995470351</v>
      </c>
      <c r="W301" s="25" t="n">
        <f aca="false">(I301-H301)/(J301-H301)</f>
        <v>1.23041354986474</v>
      </c>
      <c r="X301" s="25" t="n">
        <f aca="false">0.5*(1+(I301-K301-L301)/(I301-K301))</f>
        <v>0.557734806629834</v>
      </c>
      <c r="Y301" s="25" t="n">
        <v>0.955027285164722</v>
      </c>
      <c r="Z301" s="26" t="n">
        <v>0.149362471878612</v>
      </c>
      <c r="AA301" s="27" t="n">
        <v>194.21192690601</v>
      </c>
      <c r="AB301" s="27" t="n">
        <v>67.2423609915106</v>
      </c>
      <c r="AC301" s="28" t="n">
        <v>0.0581102395943944</v>
      </c>
      <c r="AD301" s="25" t="n">
        <v>0.995749812524079</v>
      </c>
      <c r="AE301" s="4" t="n">
        <v>0.172994275409456</v>
      </c>
      <c r="AF301" s="25" t="n">
        <v>0.17403774707736</v>
      </c>
      <c r="AG301" s="26" t="n">
        <f aca="false">SMALL(AE301:AF301,1)</f>
        <v>0.172994275409456</v>
      </c>
      <c r="AH301" s="27" t="n">
        <v>204.090214031452</v>
      </c>
      <c r="AI301" s="28" t="n">
        <v>0.0236</v>
      </c>
      <c r="AJ301" s="25" t="n">
        <v>1.15329516939637</v>
      </c>
      <c r="AK301" s="29" t="n">
        <v>0.194078532227131</v>
      </c>
      <c r="AN301" s="4" t="n">
        <f aca="false">(N301-$N$344)/$N$345</f>
        <v>-0.884945724628675</v>
      </c>
      <c r="AO301" s="4" t="n">
        <f aca="false">(S301-$S$344)/$S$345</f>
        <v>-0.863594178124559</v>
      </c>
      <c r="AP301" s="4" t="n">
        <f aca="false">(Z301-$Z$344)/$Z$345</f>
        <v>-1.00422034895621</v>
      </c>
      <c r="AQ301" s="4" t="n">
        <f aca="false">(AE301-$AE$344)/$AE$345</f>
        <v>-1.21696147986014</v>
      </c>
    </row>
    <row r="302" customFormat="false" ht="14.25" hidden="false" customHeight="false" outlineLevel="0" collapsed="false">
      <c r="B302" s="1" t="n">
        <v>22.2</v>
      </c>
      <c r="C302" s="1" t="n">
        <v>2</v>
      </c>
      <c r="D302" s="2" t="n">
        <v>63.6</v>
      </c>
      <c r="E302" s="4" t="n">
        <v>2.83369179024989</v>
      </c>
      <c r="F302" s="1" t="n">
        <v>38</v>
      </c>
      <c r="G302" s="1" t="n">
        <v>49.1</v>
      </c>
      <c r="H302" s="3" t="n">
        <v>118.804893272016</v>
      </c>
      <c r="I302" s="1" t="n">
        <v>381</v>
      </c>
      <c r="J302" s="39" t="n">
        <v>331.9</v>
      </c>
      <c r="K302" s="27" t="n">
        <v>200</v>
      </c>
      <c r="L302" s="39" t="n">
        <v>160.1</v>
      </c>
      <c r="M302" s="4" t="n">
        <v>0.18</v>
      </c>
      <c r="N302" s="26" t="n">
        <v>0.168964618688975</v>
      </c>
      <c r="O302" s="27" t="n">
        <v>225.898338087397</v>
      </c>
      <c r="P302" s="27" t="n">
        <v>67.2423609915106</v>
      </c>
      <c r="Q302" s="28" t="n">
        <v>0.0581102395943944</v>
      </c>
      <c r="R302" s="25" t="n">
        <v>0.938692326049859</v>
      </c>
      <c r="S302" s="29" t="n">
        <v>0.178298285681843</v>
      </c>
      <c r="T302" s="27" t="n">
        <v>225.898338087397</v>
      </c>
      <c r="U302" s="27" t="n">
        <v>108</v>
      </c>
      <c r="V302" s="28" t="n">
        <v>0.0317222995470351</v>
      </c>
      <c r="W302" s="25" t="n">
        <f aca="false">(I302-H302)/(J302-H302)</f>
        <v>1.23041354986474</v>
      </c>
      <c r="X302" s="25" t="n">
        <f aca="false">0.5*(1+(I302-K302-L302)/(I302-K302))</f>
        <v>0.557734806629834</v>
      </c>
      <c r="Y302" s="25" t="n">
        <v>0.990546031565795</v>
      </c>
      <c r="Z302" s="26" t="n">
        <v>0.180121346499508</v>
      </c>
      <c r="AA302" s="27" t="n">
        <v>225.898338087397</v>
      </c>
      <c r="AB302" s="27" t="n">
        <v>67.2423609915106</v>
      </c>
      <c r="AC302" s="28" t="n">
        <v>0.0581102395943944</v>
      </c>
      <c r="AD302" s="25" t="n">
        <v>1.00067414721949</v>
      </c>
      <c r="AE302" s="4" t="n">
        <v>0.201218946416931</v>
      </c>
      <c r="AF302" s="25" t="n">
        <v>0.235460320072474</v>
      </c>
      <c r="AG302" s="26" t="n">
        <f aca="false">SMALL(AE302:AF302,1)</f>
        <v>0.201218946416931</v>
      </c>
      <c r="AH302" s="27" t="n">
        <v>237.388305157583</v>
      </c>
      <c r="AI302" s="28" t="n">
        <v>0.0236</v>
      </c>
      <c r="AJ302" s="25" t="n">
        <v>1.11788303564962</v>
      </c>
      <c r="AK302" s="29" t="n">
        <v>0.240608246607011</v>
      </c>
      <c r="AN302" s="4" t="n">
        <f aca="false">(N302-$N$344)/$N$345</f>
        <v>-0.545501788498707</v>
      </c>
      <c r="AO302" s="4" t="n">
        <f aca="false">(S302-$S$344)/$S$345</f>
        <v>-0.44089274548313</v>
      </c>
      <c r="AP302" s="4" t="n">
        <f aca="false">(Z302-$Z$344)/$Z$345</f>
        <v>-0.586425111699236</v>
      </c>
      <c r="AQ302" s="4" t="n">
        <f aca="false">(AE302-$AE$344)/$AE$345</f>
        <v>-0.861277931034183</v>
      </c>
    </row>
    <row r="303" customFormat="false" ht="14.25" hidden="false" customHeight="false" outlineLevel="0" collapsed="false">
      <c r="B303" s="1" t="n">
        <v>22.2</v>
      </c>
      <c r="C303" s="1" t="n">
        <v>2</v>
      </c>
      <c r="D303" s="2" t="n">
        <v>63.6</v>
      </c>
      <c r="E303" s="4" t="n">
        <v>2.83369179024989</v>
      </c>
      <c r="F303" s="1" t="n">
        <v>38</v>
      </c>
      <c r="G303" s="1" t="n">
        <v>49.1</v>
      </c>
      <c r="H303" s="3" t="n">
        <v>118.804893272016</v>
      </c>
      <c r="I303" s="1" t="n">
        <v>381</v>
      </c>
      <c r="J303" s="39" t="n">
        <v>331.9</v>
      </c>
      <c r="K303" s="27" t="n">
        <v>200</v>
      </c>
      <c r="L303" s="39" t="n">
        <v>160.1</v>
      </c>
      <c r="M303" s="4" t="n">
        <v>0.22</v>
      </c>
      <c r="N303" s="26" t="n">
        <v>0.199751068218324</v>
      </c>
      <c r="O303" s="27" t="n">
        <v>259.707283989067</v>
      </c>
      <c r="P303" s="27" t="n">
        <v>67.2423609915106</v>
      </c>
      <c r="Q303" s="28" t="n">
        <v>0.0581102395943944</v>
      </c>
      <c r="R303" s="25" t="n">
        <v>0.907959400992384</v>
      </c>
      <c r="S303" s="29" t="n">
        <v>0.215689936487064</v>
      </c>
      <c r="T303" s="27" t="n">
        <v>259.707283989067</v>
      </c>
      <c r="U303" s="27" t="n">
        <v>108</v>
      </c>
      <c r="V303" s="28" t="n">
        <v>0.0317222995470351</v>
      </c>
      <c r="W303" s="25" t="n">
        <f aca="false">(I303-H303)/(J303-H303)</f>
        <v>1.23041354986474</v>
      </c>
      <c r="X303" s="25" t="n">
        <f aca="false">0.5*(1+(I303-K303-L303)/(I303-K303))</f>
        <v>0.557734806629834</v>
      </c>
      <c r="Y303" s="25" t="n">
        <v>0.980408802213925</v>
      </c>
      <c r="Z303" s="26" t="n">
        <v>0.212940624205056</v>
      </c>
      <c r="AA303" s="27" t="n">
        <v>259.707283989067</v>
      </c>
      <c r="AB303" s="27" t="n">
        <v>67.2423609915106</v>
      </c>
      <c r="AC303" s="28" t="n">
        <v>0.0581102395943944</v>
      </c>
      <c r="AD303" s="25" t="n">
        <v>0.967911928204802</v>
      </c>
      <c r="AE303" s="4" t="n">
        <v>0.23133426524309</v>
      </c>
      <c r="AF303" s="25" t="n">
        <v>0.311214568690936</v>
      </c>
      <c r="AG303" s="26" t="n">
        <f aca="false">SMALL(AE303:AF303,1)</f>
        <v>0.23133426524309</v>
      </c>
      <c r="AH303" s="27" t="n">
        <v>272.916890426134</v>
      </c>
      <c r="AI303" s="28" t="n">
        <v>0.0236</v>
      </c>
      <c r="AJ303" s="25" t="n">
        <v>1.05151938746859</v>
      </c>
      <c r="AK303" s="29" t="n">
        <v>0.290254783959707</v>
      </c>
      <c r="AN303" s="4" t="n">
        <f aca="false">(N303-$N$344)/$N$345</f>
        <v>-0.183319981049029</v>
      </c>
      <c r="AO303" s="4" t="n">
        <f aca="false">(S303-$S$344)/$S$345</f>
        <v>0.0101236156605938</v>
      </c>
      <c r="AP303" s="4" t="n">
        <f aca="false">(Z303-$Z$344)/$Z$345</f>
        <v>-0.140643590606868</v>
      </c>
      <c r="AQ303" s="4" t="n">
        <f aca="false">(AE303-$AE$344)/$AE$345</f>
        <v>-0.481768689942378</v>
      </c>
    </row>
    <row r="304" customFormat="false" ht="14.25" hidden="false" customHeight="false" outlineLevel="0" collapsed="false">
      <c r="B304" s="1" t="n">
        <v>22.2</v>
      </c>
      <c r="C304" s="1" t="n">
        <v>2</v>
      </c>
      <c r="D304" s="2" t="n">
        <v>63.6</v>
      </c>
      <c r="E304" s="4" t="n">
        <v>2.83369179024989</v>
      </c>
      <c r="F304" s="1" t="n">
        <v>38</v>
      </c>
      <c r="G304" s="1" t="n">
        <v>49.1</v>
      </c>
      <c r="H304" s="3" t="n">
        <v>118.804893272016</v>
      </c>
      <c r="I304" s="1" t="n">
        <v>381</v>
      </c>
      <c r="J304" s="39" t="n">
        <v>331.9</v>
      </c>
      <c r="K304" s="27" t="n">
        <v>200</v>
      </c>
      <c r="L304" s="39" t="n">
        <v>160.1</v>
      </c>
      <c r="M304" s="4" t="n">
        <v>0.25</v>
      </c>
      <c r="N304" s="26" t="n">
        <v>0.214405106551896</v>
      </c>
      <c r="O304" s="27" t="n">
        <v>275.8</v>
      </c>
      <c r="P304" s="27" t="n">
        <v>67.2423609915106</v>
      </c>
      <c r="Q304" s="28" t="n">
        <v>0.0581102395943944</v>
      </c>
      <c r="R304" s="25" t="n">
        <v>0.857620426207585</v>
      </c>
      <c r="S304" s="29" t="n">
        <v>0.233487983765392</v>
      </c>
      <c r="T304" s="27" t="n">
        <v>275.8</v>
      </c>
      <c r="U304" s="27" t="n">
        <v>108</v>
      </c>
      <c r="V304" s="28" t="n">
        <v>0.0317222995470351</v>
      </c>
      <c r="W304" s="25" t="n">
        <f aca="false">(I304-H304)/(J304-H304)</f>
        <v>1.23041354986474</v>
      </c>
      <c r="X304" s="25" t="n">
        <f aca="false">0.5*(1+(I304-K304-L304)/(I304-K304))</f>
        <v>0.557734806629834</v>
      </c>
      <c r="Y304" s="25" t="n">
        <v>0.933951935061567</v>
      </c>
      <c r="Z304" s="26" t="n">
        <v>0.228562268172762</v>
      </c>
      <c r="AA304" s="27" t="n">
        <v>275.8</v>
      </c>
      <c r="AB304" s="27" t="n">
        <v>67.2423609915106</v>
      </c>
      <c r="AC304" s="28" t="n">
        <v>0.0581102395943944</v>
      </c>
      <c r="AD304" s="25" t="n">
        <v>0.91424907269105</v>
      </c>
      <c r="AE304" s="4" t="n">
        <v>0.233778093596272</v>
      </c>
      <c r="AF304" s="25" t="n">
        <v>0.317824676875173</v>
      </c>
      <c r="AG304" s="26" t="n">
        <f aca="false">SMALL(AE304:AF304,1)</f>
        <v>0.233778093596272</v>
      </c>
      <c r="AH304" s="27" t="n">
        <v>275.8</v>
      </c>
      <c r="AI304" s="28" t="n">
        <v>0.0236</v>
      </c>
      <c r="AJ304" s="25" t="n">
        <v>0.935112374385087</v>
      </c>
      <c r="AK304" s="29" t="n">
        <v>0.308973713352794</v>
      </c>
      <c r="AN304" s="4" t="n">
        <f aca="false">(N304-$N$344)/$N$345</f>
        <v>-0.0109251069655412</v>
      </c>
      <c r="AO304" s="4" t="n">
        <f aca="false">(S304-$S$344)/$S$345</f>
        <v>0.224802838055739</v>
      </c>
      <c r="AP304" s="4" t="n">
        <f aca="false">(Z304-$Z$344)/$Z$345</f>
        <v>0.071543900914616</v>
      </c>
      <c r="AQ304" s="4" t="n">
        <f aca="false">(AE304-$AE$344)/$AE$345</f>
        <v>-0.45097189017982</v>
      </c>
    </row>
    <row r="305" customFormat="false" ht="14.25" hidden="false" customHeight="false" outlineLevel="0" collapsed="false">
      <c r="A305" s="0" t="s">
        <v>94</v>
      </c>
      <c r="B305" s="1" t="n">
        <v>22.2</v>
      </c>
      <c r="C305" s="1" t="n">
        <v>2</v>
      </c>
      <c r="D305" s="2" t="n">
        <v>63.6</v>
      </c>
      <c r="E305" s="4" t="n">
        <v>2.75637342683892</v>
      </c>
      <c r="F305" s="1" t="n">
        <v>38</v>
      </c>
      <c r="G305" s="1" t="n">
        <v>49.1</v>
      </c>
      <c r="H305" s="3" t="n">
        <v>119.448592270941</v>
      </c>
      <c r="I305" s="1" t="n">
        <v>381</v>
      </c>
      <c r="J305" s="39" t="n">
        <v>331.9</v>
      </c>
      <c r="K305" s="27" t="n">
        <v>200</v>
      </c>
      <c r="L305" s="39" t="n">
        <v>160.1</v>
      </c>
      <c r="M305" s="4" t="n">
        <v>0.2</v>
      </c>
      <c r="N305" s="26" t="n">
        <v>0.14096818536099</v>
      </c>
      <c r="O305" s="27" t="n">
        <v>194.354596032503</v>
      </c>
      <c r="P305" s="27" t="n">
        <v>65.5415264929693</v>
      </c>
      <c r="Q305" s="28" t="n">
        <v>0.0582532535562727</v>
      </c>
      <c r="R305" s="25" t="n">
        <v>0.704840926804952</v>
      </c>
      <c r="S305" s="29" t="n">
        <v>0.145236390439666</v>
      </c>
      <c r="T305" s="27" t="n">
        <v>194.354596032503</v>
      </c>
      <c r="U305" s="27" t="n">
        <v>105</v>
      </c>
      <c r="V305" s="28" t="n">
        <v>0.0317222995470351</v>
      </c>
      <c r="W305" s="25" t="n">
        <f aca="false">(I305-H305)/(J305-H305)</f>
        <v>1.23111167172221</v>
      </c>
      <c r="X305" s="25" t="n">
        <f aca="false">0.5*(1+(I305-K305-L305)/(I305-K305))</f>
        <v>0.557734806629834</v>
      </c>
      <c r="Y305" s="25" t="n">
        <v>0.726181952198331</v>
      </c>
      <c r="Z305" s="26" t="n">
        <v>0.150368000396652</v>
      </c>
      <c r="AA305" s="27" t="n">
        <v>194.354596032503</v>
      </c>
      <c r="AB305" s="27" t="n">
        <v>65.5415264929693</v>
      </c>
      <c r="AC305" s="28" t="n">
        <v>0.0582532535562727</v>
      </c>
      <c r="AD305" s="25" t="n">
        <v>0.751840001983261</v>
      </c>
      <c r="AE305" s="4" t="n">
        <v>0.172994275409456</v>
      </c>
      <c r="AF305" s="25" t="n">
        <v>0.178919637769212</v>
      </c>
      <c r="AG305" s="26" t="n">
        <f aca="false">SMALL(AE305:AF305,1)</f>
        <v>0.172994275409456</v>
      </c>
      <c r="AH305" s="27" t="n">
        <v>204.090214031452</v>
      </c>
      <c r="AI305" s="28" t="n">
        <v>0.0236</v>
      </c>
      <c r="AJ305" s="25" t="n">
        <v>0.864971377047279</v>
      </c>
      <c r="AK305" s="29" t="n">
        <v>0.196564524399308</v>
      </c>
      <c r="AN305" s="4" t="n">
        <f aca="false">(N305-$N$344)/$N$345</f>
        <v>-0.874860937731132</v>
      </c>
      <c r="AO305" s="4" t="n">
        <f aca="false">(S305-$S$344)/$S$345</f>
        <v>-0.839683795450888</v>
      </c>
      <c r="AP305" s="4" t="n">
        <f aca="false">(Z305-$Z$344)/$Z$345</f>
        <v>-0.990562338676539</v>
      </c>
      <c r="AQ305" s="4" t="n">
        <f aca="false">(AE305-$AE$344)/$AE$345</f>
        <v>-1.21696147986014</v>
      </c>
    </row>
    <row r="306" customFormat="false" ht="14.25" hidden="false" customHeight="false" outlineLevel="0" collapsed="false">
      <c r="B306" s="1" t="n">
        <v>22.2</v>
      </c>
      <c r="C306" s="1" t="n">
        <v>2</v>
      </c>
      <c r="D306" s="2" t="n">
        <v>63.6</v>
      </c>
      <c r="E306" s="4" t="n">
        <v>2.75637342683892</v>
      </c>
      <c r="F306" s="1" t="n">
        <v>38</v>
      </c>
      <c r="G306" s="1" t="n">
        <v>49.1</v>
      </c>
      <c r="H306" s="3" t="n">
        <v>119.448592270941</v>
      </c>
      <c r="I306" s="1" t="n">
        <v>381</v>
      </c>
      <c r="J306" s="39" t="n">
        <v>331.9</v>
      </c>
      <c r="K306" s="27" t="n">
        <v>200</v>
      </c>
      <c r="L306" s="39" t="n">
        <v>160.1</v>
      </c>
      <c r="M306" s="4" t="n">
        <v>0.25</v>
      </c>
      <c r="N306" s="26" t="n">
        <v>0.169801742899775</v>
      </c>
      <c r="O306" s="27" t="n">
        <v>226.064284222037</v>
      </c>
      <c r="P306" s="27" t="n">
        <v>65.5415264929693</v>
      </c>
      <c r="Q306" s="28" t="n">
        <v>0.0582532535562727</v>
      </c>
      <c r="R306" s="25" t="n">
        <v>0.679206971599098</v>
      </c>
      <c r="S306" s="29" t="n">
        <v>0.180315671337883</v>
      </c>
      <c r="T306" s="27" t="n">
        <v>226.064284222037</v>
      </c>
      <c r="U306" s="27" t="n">
        <v>105</v>
      </c>
      <c r="V306" s="28" t="n">
        <v>0.0317222995470351</v>
      </c>
      <c r="W306" s="25" t="n">
        <f aca="false">(I306-H306)/(J306-H306)</f>
        <v>1.23111167172221</v>
      </c>
      <c r="X306" s="25" t="n">
        <f aca="false">0.5*(1+(I306-K306-L306)/(I306-K306))</f>
        <v>0.557734806629834</v>
      </c>
      <c r="Y306" s="25" t="n">
        <v>0.721262685351532</v>
      </c>
      <c r="Z306" s="26" t="n">
        <v>0.181124191095469</v>
      </c>
      <c r="AA306" s="27" t="n">
        <v>226.064284222037</v>
      </c>
      <c r="AB306" s="27" t="n">
        <v>65.5415264929693</v>
      </c>
      <c r="AC306" s="28" t="n">
        <v>0.0582532535562727</v>
      </c>
      <c r="AD306" s="25" t="n">
        <v>0.724496764381876</v>
      </c>
      <c r="AE306" s="4" t="n">
        <v>0.201218946416931</v>
      </c>
      <c r="AF306" s="25" t="n">
        <v>0.242065160483051</v>
      </c>
      <c r="AG306" s="26" t="n">
        <f aca="false">SMALL(AE306:AF306,1)</f>
        <v>0.201218946416931</v>
      </c>
      <c r="AH306" s="27" t="n">
        <v>237.388305157583</v>
      </c>
      <c r="AI306" s="28" t="n">
        <v>0.0236</v>
      </c>
      <c r="AJ306" s="25" t="n">
        <v>0.804875785667726</v>
      </c>
      <c r="AK306" s="29" t="n">
        <v>0.243094238779188</v>
      </c>
      <c r="AN306" s="4" t="n">
        <f aca="false">(N306-$N$344)/$N$345</f>
        <v>-0.535653586956714</v>
      </c>
      <c r="AO306" s="4" t="n">
        <f aca="false">(S306-$S$344)/$S$345</f>
        <v>-0.416559133085262</v>
      </c>
      <c r="AP306" s="4" t="n">
        <f aca="false">(Z306-$Z$344)/$Z$345</f>
        <v>-0.572803556910071</v>
      </c>
      <c r="AQ306" s="4" t="n">
        <f aca="false">(AE306-$AE$344)/$AE$345</f>
        <v>-0.861277931034183</v>
      </c>
    </row>
    <row r="307" customFormat="false" ht="14.25" hidden="false" customHeight="false" outlineLevel="0" collapsed="false">
      <c r="B307" s="1" t="n">
        <v>22.2</v>
      </c>
      <c r="C307" s="1" t="n">
        <v>2</v>
      </c>
      <c r="D307" s="2" t="n">
        <v>63.6</v>
      </c>
      <c r="E307" s="4" t="n">
        <v>2.75637342683892</v>
      </c>
      <c r="F307" s="1" t="n">
        <v>38</v>
      </c>
      <c r="G307" s="1" t="n">
        <v>49.1</v>
      </c>
      <c r="H307" s="3" t="n">
        <v>119.448592270941</v>
      </c>
      <c r="I307" s="1" t="n">
        <v>381</v>
      </c>
      <c r="J307" s="39" t="n">
        <v>331.9</v>
      </c>
      <c r="K307" s="27" t="n">
        <v>200</v>
      </c>
      <c r="L307" s="39" t="n">
        <v>160.1</v>
      </c>
      <c r="M307" s="4" t="n">
        <v>0.3</v>
      </c>
      <c r="N307" s="26" t="n">
        <v>0.200566734914841</v>
      </c>
      <c r="O307" s="27" t="n">
        <v>259.898066357281</v>
      </c>
      <c r="P307" s="27" t="n">
        <v>65.5415264929693</v>
      </c>
      <c r="Q307" s="28" t="n">
        <v>0.0582532535562727</v>
      </c>
      <c r="R307" s="25" t="n">
        <v>0.668555783049469</v>
      </c>
      <c r="S307" s="29" t="n">
        <v>0.217744760525933</v>
      </c>
      <c r="T307" s="27" t="n">
        <v>259.898066357281</v>
      </c>
      <c r="U307" s="27" t="n">
        <v>105</v>
      </c>
      <c r="V307" s="28" t="n">
        <v>0.0317222995470351</v>
      </c>
      <c r="W307" s="25" t="n">
        <f aca="false">(I307-H307)/(J307-H307)</f>
        <v>1.23111167172221</v>
      </c>
      <c r="X307" s="25" t="n">
        <f aca="false">0.5*(1+(I307-K307-L307)/(I307-K307))</f>
        <v>0.557734806629834</v>
      </c>
      <c r="Y307" s="25" t="n">
        <v>0.725815868419775</v>
      </c>
      <c r="Z307" s="26" t="n">
        <v>0.213940605094685</v>
      </c>
      <c r="AA307" s="27" t="n">
        <v>259.898066357281</v>
      </c>
      <c r="AB307" s="27" t="n">
        <v>65.5415264929693</v>
      </c>
      <c r="AC307" s="28" t="n">
        <v>0.0582532535562727</v>
      </c>
      <c r="AD307" s="25" t="n">
        <v>0.713135350315617</v>
      </c>
      <c r="AE307" s="4" t="n">
        <v>0.23133426524309</v>
      </c>
      <c r="AF307" s="25" t="n">
        <v>0.31994437318206</v>
      </c>
      <c r="AG307" s="26" t="n">
        <f aca="false">SMALL(AE307:AF307,1)</f>
        <v>0.23133426524309</v>
      </c>
      <c r="AH307" s="27" t="n">
        <v>272.916890426134</v>
      </c>
      <c r="AI307" s="28" t="n">
        <v>0.0236</v>
      </c>
      <c r="AJ307" s="25" t="n">
        <v>0.771114217476965</v>
      </c>
      <c r="AK307" s="29" t="n">
        <v>0.292740776131884</v>
      </c>
      <c r="AN307" s="4" t="n">
        <f aca="false">(N307-$N$344)/$N$345</f>
        <v>-0.173724212685444</v>
      </c>
      <c r="AO307" s="4" t="n">
        <f aca="false">(S307-$S$344)/$S$345</f>
        <v>0.0349088080991143</v>
      </c>
      <c r="AP307" s="4" t="n">
        <f aca="false">(Z307-$Z$344)/$Z$345</f>
        <v>-0.127060933302788</v>
      </c>
      <c r="AQ307" s="4" t="n">
        <f aca="false">(AE307-$AE$344)/$AE$345</f>
        <v>-0.481768689942378</v>
      </c>
    </row>
    <row r="308" customFormat="false" ht="14.25" hidden="false" customHeight="false" outlineLevel="0" collapsed="false">
      <c r="B308" s="1" t="n">
        <v>22.2</v>
      </c>
      <c r="C308" s="1" t="n">
        <v>2</v>
      </c>
      <c r="D308" s="2" t="n">
        <v>63.6</v>
      </c>
      <c r="E308" s="4" t="n">
        <v>2.75637342683892</v>
      </c>
      <c r="F308" s="1" t="n">
        <v>38</v>
      </c>
      <c r="G308" s="1" t="n">
        <v>49.1</v>
      </c>
      <c r="H308" s="3" t="n">
        <v>119.448592270941</v>
      </c>
      <c r="I308" s="1" t="n">
        <v>381</v>
      </c>
      <c r="J308" s="39" t="n">
        <v>331.9</v>
      </c>
      <c r="K308" s="27" t="n">
        <v>200</v>
      </c>
      <c r="L308" s="39" t="n">
        <v>160.1</v>
      </c>
      <c r="M308" s="4" t="n">
        <v>0.35</v>
      </c>
      <c r="N308" s="26" t="n">
        <v>0.215026332118215</v>
      </c>
      <c r="O308" s="27" t="n">
        <v>275.8</v>
      </c>
      <c r="P308" s="27" t="n">
        <v>65.5415264929693</v>
      </c>
      <c r="Q308" s="28" t="n">
        <v>0.0582532535562727</v>
      </c>
      <c r="R308" s="25" t="n">
        <v>0.614360948909187</v>
      </c>
      <c r="S308" s="29" t="n">
        <v>0.235336494438405</v>
      </c>
      <c r="T308" s="27" t="n">
        <v>275.8</v>
      </c>
      <c r="U308" s="27" t="n">
        <v>105</v>
      </c>
      <c r="V308" s="28" t="n">
        <v>0.0317222995470351</v>
      </c>
      <c r="W308" s="25" t="n">
        <f aca="false">(I308-H308)/(J308-H308)</f>
        <v>1.23111167172221</v>
      </c>
      <c r="X308" s="25" t="n">
        <f aca="false">0.5*(1+(I308-K308-L308)/(I308-K308))</f>
        <v>0.557734806629834</v>
      </c>
      <c r="Y308" s="25" t="n">
        <v>0.672389984109728</v>
      </c>
      <c r="Z308" s="26" t="n">
        <v>0.229364374028396</v>
      </c>
      <c r="AA308" s="27" t="n">
        <v>275.8</v>
      </c>
      <c r="AB308" s="27" t="n">
        <v>65.5415264929693</v>
      </c>
      <c r="AC308" s="28" t="n">
        <v>0.0582532535562727</v>
      </c>
      <c r="AD308" s="25" t="n">
        <v>0.655326782938274</v>
      </c>
      <c r="AE308" s="4" t="n">
        <v>0.233778093596272</v>
      </c>
      <c r="AF308" s="25" t="n">
        <v>0.326739899910025</v>
      </c>
      <c r="AG308" s="26" t="n">
        <f aca="false">SMALL(AE308:AF308,1)</f>
        <v>0.233778093596272</v>
      </c>
      <c r="AH308" s="27" t="n">
        <v>275.8</v>
      </c>
      <c r="AI308" s="28" t="n">
        <v>0.0236</v>
      </c>
      <c r="AJ308" s="25" t="n">
        <v>0.667937410275062</v>
      </c>
      <c r="AK308" s="29" t="n">
        <v>0.311459705524971</v>
      </c>
      <c r="AN308" s="4" t="n">
        <f aca="false">(N308-$N$344)/$N$345</f>
        <v>-0.00361680731153612</v>
      </c>
      <c r="AO308" s="4" t="n">
        <f aca="false">(S308-$S$344)/$S$345</f>
        <v>0.247099488225601</v>
      </c>
      <c r="AP308" s="4" t="n">
        <f aca="false">(Z308-$Z$344)/$Z$345</f>
        <v>0.0824388380795774</v>
      </c>
      <c r="AQ308" s="4" t="n">
        <f aca="false">(AE308-$AE$344)/$AE$345</f>
        <v>-0.45097189017982</v>
      </c>
    </row>
    <row r="309" customFormat="false" ht="14.25" hidden="false" customHeight="false" outlineLevel="0" collapsed="false">
      <c r="A309" s="0" t="s">
        <v>95</v>
      </c>
      <c r="B309" s="1" t="n">
        <v>28.7</v>
      </c>
      <c r="C309" s="1" t="n">
        <v>2</v>
      </c>
      <c r="D309" s="2" t="n">
        <v>50.6</v>
      </c>
      <c r="E309" s="4" t="n">
        <v>2.77481740215607</v>
      </c>
      <c r="F309" s="1" t="n">
        <v>22.2</v>
      </c>
      <c r="G309" s="1" t="n">
        <v>36.6</v>
      </c>
      <c r="H309" s="3" t="n">
        <v>148.014985731185</v>
      </c>
      <c r="I309" s="1" t="n">
        <v>381</v>
      </c>
      <c r="J309" s="39" t="n">
        <v>344.4</v>
      </c>
      <c r="K309" s="27" t="n">
        <v>208</v>
      </c>
      <c r="L309" s="39" t="n">
        <v>128.1</v>
      </c>
      <c r="M309" s="4" t="n">
        <v>0.17</v>
      </c>
      <c r="N309" s="26" t="n">
        <v>0.122169470768246</v>
      </c>
      <c r="O309" s="27" t="n">
        <v>234.115818289886</v>
      </c>
      <c r="P309" s="27" t="n">
        <v>43.7440360412137</v>
      </c>
      <c r="Q309" s="28" t="n">
        <v>0.108992850321706</v>
      </c>
      <c r="R309" s="25" t="n">
        <v>0.718643945695562</v>
      </c>
      <c r="S309" s="29" t="n">
        <v>0.134837869496894</v>
      </c>
      <c r="T309" s="27" t="n">
        <v>234.115818289886</v>
      </c>
      <c r="U309" s="27" t="n">
        <v>60</v>
      </c>
      <c r="V309" s="28" t="n">
        <v>0.0660778058480395</v>
      </c>
      <c r="W309" s="25" t="n">
        <f aca="false">(I309-H309)/(J309-H309)</f>
        <v>1.18636859913303</v>
      </c>
      <c r="X309" s="25" t="n">
        <f aca="false">0.5*(1+(I309-K309-L309)/(I309-K309))</f>
        <v>0.629768786127168</v>
      </c>
      <c r="Y309" s="25" t="n">
        <v>0.793163938217022</v>
      </c>
      <c r="Z309" s="26" t="n">
        <v>0.124975658703082</v>
      </c>
      <c r="AA309" s="27" t="n">
        <v>234.115818289886</v>
      </c>
      <c r="AB309" s="27" t="n">
        <v>43.7440360412137</v>
      </c>
      <c r="AC309" s="28" t="n">
        <v>0.108992850321706</v>
      </c>
      <c r="AD309" s="25" t="n">
        <v>0.735150933547541</v>
      </c>
      <c r="AE309" s="4" t="n">
        <v>0.206388690697288</v>
      </c>
      <c r="AF309" s="25" t="n">
        <v>0.337086070171236</v>
      </c>
      <c r="AG309" s="26" t="n">
        <f aca="false">SMALL(AE309:AF309,1)</f>
        <v>0.206388690697288</v>
      </c>
      <c r="AH309" s="27" t="n">
        <v>247.199333466279</v>
      </c>
      <c r="AI309" s="28" t="n">
        <v>0.0337</v>
      </c>
      <c r="AJ309" s="25" t="n">
        <v>1.21405112174875</v>
      </c>
      <c r="AK309" s="29" t="n">
        <v>0.189920901053457</v>
      </c>
      <c r="AN309" s="4" t="n">
        <f aca="false">(N309-$N$344)/$N$345</f>
        <v>-1.09601513163843</v>
      </c>
      <c r="AO309" s="4" t="n">
        <f aca="false">(S309-$S$344)/$S$345</f>
        <v>-0.965110273712482</v>
      </c>
      <c r="AP309" s="4" t="n">
        <f aca="false">(Z309-$Z$344)/$Z$345</f>
        <v>-1.33546440525502</v>
      </c>
      <c r="AQ309" s="4" t="n">
        <f aca="false">(AE309-$AE$344)/$AE$345</f>
        <v>-0.796129501432545</v>
      </c>
    </row>
    <row r="310" customFormat="false" ht="14.25" hidden="false" customHeight="false" outlineLevel="0" collapsed="false">
      <c r="B310" s="1" t="n">
        <v>28.7</v>
      </c>
      <c r="C310" s="1" t="n">
        <v>2</v>
      </c>
      <c r="D310" s="2" t="n">
        <v>50.6</v>
      </c>
      <c r="E310" s="4" t="n">
        <v>2.77481740215607</v>
      </c>
      <c r="F310" s="1" t="n">
        <v>22.2</v>
      </c>
      <c r="G310" s="1" t="n">
        <v>36.6</v>
      </c>
      <c r="H310" s="3" t="n">
        <v>148.014985731185</v>
      </c>
      <c r="I310" s="1" t="n">
        <v>381</v>
      </c>
      <c r="J310" s="39" t="n">
        <v>344.4</v>
      </c>
      <c r="K310" s="27" t="n">
        <v>208</v>
      </c>
      <c r="L310" s="39" t="n">
        <v>128.1</v>
      </c>
      <c r="M310" s="4" t="n">
        <v>0.2</v>
      </c>
      <c r="N310" s="26" t="n">
        <v>0.146108260128539</v>
      </c>
      <c r="O310" s="27" t="n">
        <v>274.847284751406</v>
      </c>
      <c r="P310" s="27" t="n">
        <v>43.7440360412137</v>
      </c>
      <c r="Q310" s="28" t="n">
        <v>0.108992850321706</v>
      </c>
      <c r="R310" s="25" t="n">
        <v>0.730541300642693</v>
      </c>
      <c r="S310" s="29" t="n">
        <v>0.162583158045426</v>
      </c>
      <c r="T310" s="27" t="n">
        <v>274.847284751406</v>
      </c>
      <c r="U310" s="27" t="n">
        <v>60</v>
      </c>
      <c r="V310" s="28" t="n">
        <v>0.0660778058480395</v>
      </c>
      <c r="W310" s="25" t="n">
        <f aca="false">(I310-H310)/(J310-H310)</f>
        <v>1.18636859913303</v>
      </c>
      <c r="X310" s="25" t="n">
        <f aca="false">0.5*(1+(I310-K310-L310)/(I310-K310))</f>
        <v>0.629768786127168</v>
      </c>
      <c r="Y310" s="25" t="n">
        <v>0.812915790227129</v>
      </c>
      <c r="Z310" s="26" t="n">
        <v>0.149464313274831</v>
      </c>
      <c r="AA310" s="27" t="n">
        <v>274.847284751406</v>
      </c>
      <c r="AB310" s="27" t="n">
        <v>43.7440360412137</v>
      </c>
      <c r="AC310" s="28" t="n">
        <v>0.108992850321706</v>
      </c>
      <c r="AD310" s="25" t="n">
        <v>0.747321566374155</v>
      </c>
      <c r="AE310" s="4" t="n">
        <v>0.230267614787388</v>
      </c>
      <c r="AF310" s="25" t="n">
        <v>0.419599284393266</v>
      </c>
      <c r="AG310" s="26" t="n">
        <f aca="false">SMALL(AE310:AF310,1)</f>
        <v>0.230267614787388</v>
      </c>
      <c r="AH310" s="27" t="n">
        <v>275.8</v>
      </c>
      <c r="AI310" s="28" t="n">
        <v>0.0337</v>
      </c>
      <c r="AJ310" s="25" t="n">
        <v>1.15133807393694</v>
      </c>
      <c r="AK310" s="29" t="n">
        <v>0.229259966853412</v>
      </c>
      <c r="AN310" s="4" t="n">
        <f aca="false">(N310-$N$344)/$N$345</f>
        <v>-0.814391426040208</v>
      </c>
      <c r="AO310" s="4" t="n">
        <f aca="false">(S310-$S$344)/$S$345</f>
        <v>-0.630447887576417</v>
      </c>
      <c r="AP310" s="4" t="n">
        <f aca="false">(Z310-$Z$344)/$Z$345</f>
        <v>-1.00283704573656</v>
      </c>
      <c r="AQ310" s="4" t="n">
        <f aca="false">(AE310-$AE$344)/$AE$345</f>
        <v>-0.495210477070396</v>
      </c>
    </row>
    <row r="311" customFormat="false" ht="14.25" hidden="false" customHeight="false" outlineLevel="0" collapsed="false">
      <c r="A311" s="0" t="s">
        <v>96</v>
      </c>
      <c r="B311" s="1" t="n">
        <v>28.7</v>
      </c>
      <c r="C311" s="1" t="n">
        <v>2</v>
      </c>
      <c r="D311" s="2" t="n">
        <v>50.6</v>
      </c>
      <c r="E311" s="4" t="n">
        <v>2.80171464705939</v>
      </c>
      <c r="F311" s="1" t="n">
        <v>38.2</v>
      </c>
      <c r="G311" s="1" t="n">
        <v>52.5</v>
      </c>
      <c r="H311" s="3" t="n">
        <v>143.366253802848</v>
      </c>
      <c r="I311" s="1" t="n">
        <v>381</v>
      </c>
      <c r="J311" s="39" t="n">
        <v>328.5</v>
      </c>
      <c r="K311" s="27" t="n">
        <v>206</v>
      </c>
      <c r="L311" s="39" t="n">
        <v>183.75</v>
      </c>
      <c r="M311" s="4" t="n">
        <v>0.17</v>
      </c>
      <c r="N311" s="26" t="n">
        <v>0.115321921681566</v>
      </c>
      <c r="O311" s="27" t="n">
        <v>179.495600322604</v>
      </c>
      <c r="P311" s="27" t="n">
        <v>44.5921247958736</v>
      </c>
      <c r="Q311" s="28" t="n">
        <v>0.106860667703036</v>
      </c>
      <c r="R311" s="25" t="n">
        <v>0.678364245185682</v>
      </c>
      <c r="S311" s="29" t="n">
        <v>0.135887459700604</v>
      </c>
      <c r="T311" s="27" t="n">
        <v>179.495600322604</v>
      </c>
      <c r="U311" s="27" t="n">
        <v>79</v>
      </c>
      <c r="V311" s="28" t="n">
        <v>0.0460656703626332</v>
      </c>
      <c r="W311" s="25" t="n">
        <f aca="false">(I311-H311)/(J311-H311)</f>
        <v>1.28357876982672</v>
      </c>
      <c r="X311" s="25" t="n">
        <f aca="false">0.5*(1+(I311-K311-L311)/(I311-K311))</f>
        <v>0.475</v>
      </c>
      <c r="Y311" s="25" t="n">
        <v>0.79933799823885</v>
      </c>
      <c r="Z311" s="26" t="n">
        <v>0.134058339169301</v>
      </c>
      <c r="AA311" s="27" t="n">
        <v>179.495600322604</v>
      </c>
      <c r="AB311" s="27" t="n">
        <v>44.5921247958736</v>
      </c>
      <c r="AC311" s="28" t="n">
        <v>0.106860667703036</v>
      </c>
      <c r="AD311" s="25" t="n">
        <v>0.788578465701769</v>
      </c>
      <c r="AE311" s="4" t="n">
        <v>0.165650038965283</v>
      </c>
      <c r="AF311" s="25" t="n">
        <v>0.196536192300752</v>
      </c>
      <c r="AG311" s="26" t="n">
        <f aca="false">SMALL(AE311:AF311,1)</f>
        <v>0.165650038965283</v>
      </c>
      <c r="AH311" s="27" t="n">
        <v>189.667494327817</v>
      </c>
      <c r="AI311" s="28" t="n">
        <v>0.0317</v>
      </c>
      <c r="AJ311" s="25" t="n">
        <v>0.974411993913427</v>
      </c>
      <c r="AK311" s="29" t="n">
        <v>0.180539783568004</v>
      </c>
      <c r="AN311" s="4" t="n">
        <f aca="false">(N311-$N$344)/$N$345</f>
        <v>-1.17657192668066</v>
      </c>
      <c r="AO311" s="4" t="n">
        <f aca="false">(S311-$S$344)/$S$345</f>
        <v>-0.952450165261116</v>
      </c>
      <c r="AP311" s="4" t="n">
        <f aca="false">(Z311-$Z$344)/$Z$345</f>
        <v>-1.21209511144687</v>
      </c>
      <c r="AQ311" s="4" t="n">
        <f aca="false">(AE311-$AE$344)/$AE$345</f>
        <v>-1.30951257040034</v>
      </c>
    </row>
    <row r="312" customFormat="false" ht="14.25" hidden="false" customHeight="false" outlineLevel="0" collapsed="false">
      <c r="B312" s="1" t="n">
        <v>28.7</v>
      </c>
      <c r="C312" s="1" t="n">
        <v>2</v>
      </c>
      <c r="D312" s="2" t="n">
        <v>50.6</v>
      </c>
      <c r="E312" s="4" t="n">
        <v>2.80171464705939</v>
      </c>
      <c r="F312" s="1" t="n">
        <v>38.2</v>
      </c>
      <c r="G312" s="1" t="n">
        <v>52.5</v>
      </c>
      <c r="H312" s="3" t="n">
        <v>143.366253802848</v>
      </c>
      <c r="I312" s="1" t="n">
        <v>381</v>
      </c>
      <c r="J312" s="39" t="n">
        <v>328.5</v>
      </c>
      <c r="K312" s="27" t="n">
        <v>206</v>
      </c>
      <c r="L312" s="39" t="n">
        <v>183.75</v>
      </c>
      <c r="M312" s="4" t="n">
        <v>0.2</v>
      </c>
      <c r="N312" s="26" t="n">
        <v>0.140424010918515</v>
      </c>
      <c r="O312" s="27" t="n">
        <v>212.742542651488</v>
      </c>
      <c r="P312" s="27" t="n">
        <v>44.5921247958736</v>
      </c>
      <c r="Q312" s="28" t="n">
        <v>0.106860667703036</v>
      </c>
      <c r="R312" s="25" t="n">
        <v>0.702120054592575</v>
      </c>
      <c r="S312" s="29" t="n">
        <v>0.170118894178651</v>
      </c>
      <c r="T312" s="27" t="n">
        <v>212.742542651488</v>
      </c>
      <c r="U312" s="27" t="n">
        <v>79</v>
      </c>
      <c r="V312" s="28" t="n">
        <v>0.0460656703626332</v>
      </c>
      <c r="W312" s="25" t="n">
        <f aca="false">(I312-H312)/(J312-H312)</f>
        <v>1.28357876982672</v>
      </c>
      <c r="X312" s="25" t="n">
        <f aca="false">0.5*(1+(I312-K312-L312)/(I312-K312))</f>
        <v>0.475</v>
      </c>
      <c r="Y312" s="25" t="n">
        <v>0.850594470893254</v>
      </c>
      <c r="Z312" s="26" t="n">
        <v>0.163238778965275</v>
      </c>
      <c r="AA312" s="27" t="n">
        <v>212.742542651488</v>
      </c>
      <c r="AB312" s="27" t="n">
        <v>44.5921247958736</v>
      </c>
      <c r="AC312" s="28" t="n">
        <v>0.106860667703036</v>
      </c>
      <c r="AD312" s="25" t="n">
        <v>0.816193894826374</v>
      </c>
      <c r="AE312" s="4" t="n">
        <v>0.196332447238008</v>
      </c>
      <c r="AF312" s="25" t="n">
        <v>0.276085509468807</v>
      </c>
      <c r="AG312" s="26" t="n">
        <f aca="false">SMALL(AE312:AF312,1)</f>
        <v>0.196332447238008</v>
      </c>
      <c r="AH312" s="27" t="n">
        <v>224.798518343155</v>
      </c>
      <c r="AI312" s="28" t="n">
        <v>0.0317</v>
      </c>
      <c r="AJ312" s="25" t="n">
        <v>0.981662236190039</v>
      </c>
      <c r="AK312" s="29" t="n">
        <v>0.222941108401449</v>
      </c>
      <c r="AN312" s="4" t="n">
        <f aca="false">(N312-$N$344)/$N$345</f>
        <v>-0.881262782898624</v>
      </c>
      <c r="AO312" s="4" t="n">
        <f aca="false">(S312-$S$344)/$S$345</f>
        <v>-0.539552187168563</v>
      </c>
      <c r="AP312" s="4" t="n">
        <f aca="false">(Z312-$Z$344)/$Z$345</f>
        <v>-0.815739623215206</v>
      </c>
      <c r="AQ312" s="4" t="n">
        <f aca="false">(AE312-$AE$344)/$AE$345</f>
        <v>-0.922856943552498</v>
      </c>
    </row>
    <row r="313" customFormat="false" ht="14.25" hidden="false" customHeight="false" outlineLevel="0" collapsed="false">
      <c r="B313" s="1" t="n">
        <v>28.7</v>
      </c>
      <c r="C313" s="1" t="n">
        <v>2</v>
      </c>
      <c r="D313" s="2" t="n">
        <v>50.6</v>
      </c>
      <c r="E313" s="4" t="n">
        <v>2.80171464705939</v>
      </c>
      <c r="F313" s="1" t="n">
        <v>38.2</v>
      </c>
      <c r="G313" s="1" t="n">
        <v>52.5</v>
      </c>
      <c r="H313" s="3" t="n">
        <v>143.366253802848</v>
      </c>
      <c r="I313" s="1" t="n">
        <v>381</v>
      </c>
      <c r="J313" s="39" t="n">
        <v>328.5</v>
      </c>
      <c r="K313" s="27" t="n">
        <v>206</v>
      </c>
      <c r="L313" s="39" t="n">
        <v>183.75</v>
      </c>
      <c r="M313" s="4" t="n">
        <v>0.25</v>
      </c>
      <c r="N313" s="26" t="n">
        <v>0.164953972765448</v>
      </c>
      <c r="O313" s="27" t="n">
        <v>245.231719913046</v>
      </c>
      <c r="P313" s="27" t="n">
        <v>44.5921247958736</v>
      </c>
      <c r="Q313" s="28" t="n">
        <v>0.106860667703036</v>
      </c>
      <c r="R313" s="25" t="n">
        <v>0.659815891061792</v>
      </c>
      <c r="S313" s="29" t="n">
        <v>0.20357012502187</v>
      </c>
      <c r="T313" s="27" t="n">
        <v>245.231719913046</v>
      </c>
      <c r="U313" s="27" t="n">
        <v>79</v>
      </c>
      <c r="V313" s="28" t="n">
        <v>0.0460656703626332</v>
      </c>
      <c r="W313" s="25" t="n">
        <f aca="false">(I313-H313)/(J313-H313)</f>
        <v>1.28357876982672</v>
      </c>
      <c r="X313" s="25" t="n">
        <f aca="false">0.5*(1+(I313-K313-L313)/(I313-K313))</f>
        <v>0.475</v>
      </c>
      <c r="Y313" s="25" t="n">
        <v>0.81428050008748</v>
      </c>
      <c r="Z313" s="26" t="n">
        <v>0.191754137512338</v>
      </c>
      <c r="AA313" s="27" t="n">
        <v>245.231719913046</v>
      </c>
      <c r="AB313" s="27" t="n">
        <v>44.5921247958736</v>
      </c>
      <c r="AC313" s="28" t="n">
        <v>0.106860667703036</v>
      </c>
      <c r="AD313" s="25" t="n">
        <v>0.76701655004935</v>
      </c>
      <c r="AE313" s="4" t="n">
        <v>0.226315541362067</v>
      </c>
      <c r="AF313" s="25" t="n">
        <v>0.366849735279691</v>
      </c>
      <c r="AG313" s="26" t="n">
        <f aca="false">SMALL(AE313:AF313,1)</f>
        <v>0.226315541362067</v>
      </c>
      <c r="AH313" s="27" t="n">
        <v>259.128835258427</v>
      </c>
      <c r="AI313" s="28" t="n">
        <v>0.0317</v>
      </c>
      <c r="AJ313" s="25" t="n">
        <v>0.905262165448267</v>
      </c>
      <c r="AK313" s="29" t="n">
        <v>0.264376021272879</v>
      </c>
      <c r="AN313" s="4" t="n">
        <f aca="false">(N313-$N$344)/$N$345</f>
        <v>-0.592684331852357</v>
      </c>
      <c r="AO313" s="4" t="n">
        <f aca="false">(S313-$S$344)/$S$345</f>
        <v>-0.136064989203475</v>
      </c>
      <c r="AP313" s="4" t="n">
        <f aca="false">(Z313-$Z$344)/$Z$345</f>
        <v>-0.428417878305057</v>
      </c>
      <c r="AQ313" s="4" t="n">
        <f aca="false">(AE313-$AE$344)/$AE$345</f>
        <v>-0.545013980564434</v>
      </c>
    </row>
    <row r="314" customFormat="false" ht="14.25" hidden="false" customHeight="false" outlineLevel="0" collapsed="false">
      <c r="B314" s="1" t="n">
        <v>28.7</v>
      </c>
      <c r="C314" s="1" t="n">
        <v>2</v>
      </c>
      <c r="D314" s="2" t="n">
        <v>50.6</v>
      </c>
      <c r="E314" s="4" t="n">
        <v>2.80171464705939</v>
      </c>
      <c r="F314" s="1" t="n">
        <v>38.2</v>
      </c>
      <c r="G314" s="1" t="n">
        <v>52.5</v>
      </c>
      <c r="H314" s="3" t="n">
        <v>143.366253802848</v>
      </c>
      <c r="I314" s="1" t="n">
        <v>381</v>
      </c>
      <c r="J314" s="39" t="n">
        <v>328.5</v>
      </c>
      <c r="K314" s="27" t="n">
        <v>206</v>
      </c>
      <c r="L314" s="39" t="n">
        <v>183.75</v>
      </c>
      <c r="M314" s="4" t="n">
        <v>0.29</v>
      </c>
      <c r="N314" s="26" t="n">
        <v>0.188033619819071</v>
      </c>
      <c r="O314" s="27" t="n">
        <v>275.8</v>
      </c>
      <c r="P314" s="27" t="n">
        <v>44.5921247958736</v>
      </c>
      <c r="Q314" s="28" t="n">
        <v>0.106860667703036</v>
      </c>
      <c r="R314" s="25" t="n">
        <v>0.648391792479554</v>
      </c>
      <c r="S314" s="29" t="n">
        <v>0.235043578025519</v>
      </c>
      <c r="T314" s="27" t="n">
        <v>275.8</v>
      </c>
      <c r="U314" s="27" t="n">
        <v>79</v>
      </c>
      <c r="V314" s="28" t="n">
        <v>0.0460656703626332</v>
      </c>
      <c r="W314" s="25" t="n">
        <f aca="false">(I314-H314)/(J314-H314)</f>
        <v>1.28357876982672</v>
      </c>
      <c r="X314" s="25" t="n">
        <f aca="false">0.5*(1+(I314-K314-L314)/(I314-K314))</f>
        <v>0.475</v>
      </c>
      <c r="Y314" s="25" t="n">
        <v>0.81049509663972</v>
      </c>
      <c r="Z314" s="26" t="n">
        <v>0.218583547805774</v>
      </c>
      <c r="AA314" s="27" t="n">
        <v>275.8</v>
      </c>
      <c r="AB314" s="27" t="n">
        <v>44.5921247958736</v>
      </c>
      <c r="AC314" s="28" t="n">
        <v>0.106860667703036</v>
      </c>
      <c r="AD314" s="25" t="n">
        <v>0.753736371744049</v>
      </c>
      <c r="AE314" s="4" t="n">
        <v>0.240875648769112</v>
      </c>
      <c r="AF314" s="25" t="n">
        <v>0.415571013803529</v>
      </c>
      <c r="AG314" s="26" t="n">
        <f aca="false">SMALL(AE314:AF314,1)</f>
        <v>0.240875648769112</v>
      </c>
      <c r="AH314" s="27" t="n">
        <v>275.8</v>
      </c>
      <c r="AI314" s="28" t="n">
        <v>0.0317</v>
      </c>
      <c r="AJ314" s="25" t="n">
        <v>0.830605685410732</v>
      </c>
      <c r="AK314" s="29" t="n">
        <v>0.309731230370021</v>
      </c>
      <c r="AN314" s="4" t="n">
        <f aca="false">(N314-$N$344)/$N$345</f>
        <v>-0.321167855838692</v>
      </c>
      <c r="AO314" s="4" t="n">
        <f aca="false">(S314-$S$344)/$S$345</f>
        <v>0.243566344012545</v>
      </c>
      <c r="AP314" s="4" t="n">
        <f aca="false">(Z314-$Z$344)/$Z$345</f>
        <v>-0.0639962283856501</v>
      </c>
      <c r="AQ314" s="4" t="n">
        <f aca="false">(AE314-$AE$344)/$AE$345</f>
        <v>-0.361529444200724</v>
      </c>
    </row>
    <row r="315" customFormat="false" ht="14.25" hidden="false" customHeight="false" outlineLevel="0" collapsed="false">
      <c r="A315" s="0" t="s">
        <v>97</v>
      </c>
      <c r="B315" s="1" t="n">
        <v>28.7</v>
      </c>
      <c r="C315" s="1" t="n">
        <v>2</v>
      </c>
      <c r="D315" s="2" t="n">
        <v>50.6</v>
      </c>
      <c r="E315" s="4" t="n">
        <v>2.71531164579845</v>
      </c>
      <c r="F315" s="1" t="n">
        <v>38.2</v>
      </c>
      <c r="G315" s="1" t="n">
        <v>52.5</v>
      </c>
      <c r="H315" s="3" t="n">
        <v>144.176756028631</v>
      </c>
      <c r="I315" s="1" t="n">
        <v>381</v>
      </c>
      <c r="J315" s="39" t="n">
        <v>328.5</v>
      </c>
      <c r="K315" s="27" t="n">
        <v>206</v>
      </c>
      <c r="L315" s="39" t="n">
        <v>183.75</v>
      </c>
      <c r="M315" s="4" t="n">
        <v>0.17</v>
      </c>
      <c r="N315" s="26" t="n">
        <v>0.14087586174075</v>
      </c>
      <c r="O315" s="27" t="n">
        <v>212.947491588265</v>
      </c>
      <c r="P315" s="27" t="n">
        <v>43.4113658983236</v>
      </c>
      <c r="Q315" s="28" t="n">
        <v>0.107226386910195</v>
      </c>
      <c r="R315" s="25" t="n">
        <v>0.828681539651468</v>
      </c>
      <c r="S315" s="29" t="n">
        <v>0.171725283638607</v>
      </c>
      <c r="T315" s="27" t="n">
        <v>212.947491588265</v>
      </c>
      <c r="U315" s="27" t="n">
        <v>77</v>
      </c>
      <c r="V315" s="28" t="n">
        <v>0.0460656703626332</v>
      </c>
      <c r="W315" s="25" t="n">
        <f aca="false">(I315-H315)/(J315-H315)</f>
        <v>1.28482571632775</v>
      </c>
      <c r="X315" s="25" t="n">
        <f aca="false">0.5*(1+(I315-K315-L315)/(I315-K315))</f>
        <v>0.475</v>
      </c>
      <c r="Y315" s="25" t="n">
        <v>1.01014872728592</v>
      </c>
      <c r="Z315" s="26" t="n">
        <v>0.163894937099768</v>
      </c>
      <c r="AA315" s="27" t="n">
        <v>212.947491588265</v>
      </c>
      <c r="AB315" s="27" t="n">
        <v>43.4113658983236</v>
      </c>
      <c r="AC315" s="28" t="n">
        <v>0.107226386910195</v>
      </c>
      <c r="AD315" s="25" t="n">
        <v>0.964087865292755</v>
      </c>
      <c r="AE315" s="4" t="n">
        <v>0.196332447238008</v>
      </c>
      <c r="AF315" s="25" t="n">
        <v>0.2848707318427</v>
      </c>
      <c r="AG315" s="26" t="n">
        <f aca="false">SMALL(AE315:AF315,1)</f>
        <v>0.196332447238008</v>
      </c>
      <c r="AH315" s="27" t="n">
        <v>225</v>
      </c>
      <c r="AI315" s="28" t="n">
        <v>0.0317</v>
      </c>
      <c r="AJ315" s="25" t="n">
        <v>1.15489674845887</v>
      </c>
      <c r="AK315" s="29" t="n">
        <v>0.224433085864922</v>
      </c>
      <c r="AN315" s="4" t="n">
        <f aca="false">(N315-$N$344)/$N$345</f>
        <v>-0.875947062833582</v>
      </c>
      <c r="AO315" s="4" t="n">
        <f aca="false">(S315-$S$344)/$S$345</f>
        <v>-0.520175991862741</v>
      </c>
      <c r="AP315" s="4" t="n">
        <f aca="false">(Z315-$Z$344)/$Z$345</f>
        <v>-0.806827081815117</v>
      </c>
      <c r="AQ315" s="4" t="n">
        <f aca="false">(AE315-$AE$344)/$AE$345</f>
        <v>-0.922856943552498</v>
      </c>
    </row>
    <row r="316" customFormat="false" ht="14.25" hidden="false" customHeight="false" outlineLevel="0" collapsed="false">
      <c r="A316" s="0" t="s">
        <v>98</v>
      </c>
      <c r="B316" s="1" t="n">
        <v>28.7</v>
      </c>
      <c r="C316" s="1" t="n">
        <v>2</v>
      </c>
      <c r="D316" s="2" t="n">
        <v>50.6</v>
      </c>
      <c r="E316" s="4" t="n">
        <v>2.80171464705939</v>
      </c>
      <c r="F316" s="1" t="n">
        <v>38.2</v>
      </c>
      <c r="G316" s="1" t="n">
        <v>52.5</v>
      </c>
      <c r="H316" s="3" t="n">
        <v>143.366253802848</v>
      </c>
      <c r="I316" s="1" t="n">
        <v>381</v>
      </c>
      <c r="J316" s="39" t="n">
        <v>328.5</v>
      </c>
      <c r="K316" s="27" t="n">
        <v>206</v>
      </c>
      <c r="L316" s="39" t="n">
        <v>183.75</v>
      </c>
      <c r="M316" s="4" t="n">
        <v>0.15</v>
      </c>
      <c r="N316" s="26" t="n">
        <v>0.115321921681566</v>
      </c>
      <c r="O316" s="27" t="n">
        <v>179.495600322604</v>
      </c>
      <c r="P316" s="27" t="n">
        <v>44.5921247958736</v>
      </c>
      <c r="Q316" s="28" t="n">
        <v>0.106860667703036</v>
      </c>
      <c r="R316" s="25" t="n">
        <v>0.76881281121044</v>
      </c>
      <c r="S316" s="29" t="n">
        <v>0.135887459700604</v>
      </c>
      <c r="T316" s="27" t="n">
        <v>179.495600322604</v>
      </c>
      <c r="U316" s="27" t="n">
        <v>79</v>
      </c>
      <c r="V316" s="28" t="n">
        <v>0.0460656703626332</v>
      </c>
      <c r="W316" s="25" t="n">
        <f aca="false">(I316-H316)/(J316-H316)</f>
        <v>1.28357876982672</v>
      </c>
      <c r="X316" s="25" t="n">
        <f aca="false">0.5*(1+(I316-K316-L316)/(I316-K316))</f>
        <v>0.475</v>
      </c>
      <c r="Y316" s="25" t="n">
        <v>0.90591639800403</v>
      </c>
      <c r="Z316" s="26" t="n">
        <v>0.134058339169301</v>
      </c>
      <c r="AA316" s="27" t="n">
        <v>179.495600322604</v>
      </c>
      <c r="AB316" s="27" t="n">
        <v>44.5921247958736</v>
      </c>
      <c r="AC316" s="28" t="n">
        <v>0.106860667703036</v>
      </c>
      <c r="AD316" s="25" t="n">
        <v>0.893722261128672</v>
      </c>
      <c r="AE316" s="4" t="n">
        <v>0.165650038965283</v>
      </c>
      <c r="AF316" s="25" t="n">
        <v>0.196536192300752</v>
      </c>
      <c r="AG316" s="26" t="n">
        <f aca="false">SMALL(AE316:AF316,1)</f>
        <v>0.165650038965283</v>
      </c>
      <c r="AH316" s="27" t="n">
        <v>189.667494327817</v>
      </c>
      <c r="AI316" s="28" t="n">
        <v>0.0317</v>
      </c>
      <c r="AJ316" s="25" t="n">
        <v>1.10433359310188</v>
      </c>
      <c r="AK316" s="29" t="n">
        <v>0.180539783568004</v>
      </c>
      <c r="AN316" s="4" t="n">
        <f aca="false">(N316-$N$344)/$N$345</f>
        <v>-1.17657192668066</v>
      </c>
      <c r="AO316" s="4" t="n">
        <f aca="false">(S316-$S$344)/$S$345</f>
        <v>-0.952450165261116</v>
      </c>
      <c r="AP316" s="4" t="n">
        <f aca="false">(Z316-$Z$344)/$Z$345</f>
        <v>-1.21209511144687</v>
      </c>
      <c r="AQ316" s="4" t="n">
        <f aca="false">(AE316-$AE$344)/$AE$345</f>
        <v>-1.30951257040034</v>
      </c>
    </row>
    <row r="317" customFormat="false" ht="14.25" hidden="false" customHeight="false" outlineLevel="0" collapsed="false">
      <c r="B317" s="1" t="n">
        <v>28.7</v>
      </c>
      <c r="C317" s="1" t="n">
        <v>2</v>
      </c>
      <c r="D317" s="2" t="n">
        <v>50.6</v>
      </c>
      <c r="E317" s="4" t="n">
        <v>2.80171464705939</v>
      </c>
      <c r="F317" s="1" t="n">
        <v>38.2</v>
      </c>
      <c r="G317" s="1" t="n">
        <v>52.5</v>
      </c>
      <c r="H317" s="3" t="n">
        <v>143.366253802848</v>
      </c>
      <c r="I317" s="1" t="n">
        <v>381</v>
      </c>
      <c r="J317" s="39" t="n">
        <v>328.5</v>
      </c>
      <c r="K317" s="27" t="n">
        <v>206</v>
      </c>
      <c r="L317" s="39" t="n">
        <v>183.75</v>
      </c>
      <c r="M317" s="4" t="n">
        <v>0.16</v>
      </c>
      <c r="N317" s="26" t="n">
        <v>0.140424010918515</v>
      </c>
      <c r="O317" s="27" t="n">
        <v>212.742542651488</v>
      </c>
      <c r="P317" s="27" t="n">
        <v>44.5921247958736</v>
      </c>
      <c r="Q317" s="28" t="n">
        <v>0.106860667703036</v>
      </c>
      <c r="R317" s="25" t="n">
        <v>0.877650068240719</v>
      </c>
      <c r="S317" s="29" t="n">
        <v>0.170118894178651</v>
      </c>
      <c r="T317" s="27" t="n">
        <v>212.742542651488</v>
      </c>
      <c r="U317" s="27" t="n">
        <v>79</v>
      </c>
      <c r="V317" s="28" t="n">
        <v>0.0460656703626332</v>
      </c>
      <c r="W317" s="25" t="n">
        <f aca="false">(I317-H317)/(J317-H317)</f>
        <v>1.28357876982672</v>
      </c>
      <c r="X317" s="25" t="n">
        <f aca="false">0.5*(1+(I317-K317-L317)/(I317-K317))</f>
        <v>0.475</v>
      </c>
      <c r="Y317" s="25" t="n">
        <v>1.06324308861657</v>
      </c>
      <c r="Z317" s="26" t="n">
        <v>0.163238778965275</v>
      </c>
      <c r="AA317" s="27" t="n">
        <v>212.742542651488</v>
      </c>
      <c r="AB317" s="27" t="n">
        <v>44.5921247958736</v>
      </c>
      <c r="AC317" s="28" t="n">
        <v>0.106860667703036</v>
      </c>
      <c r="AD317" s="25" t="n">
        <v>1.02024236853297</v>
      </c>
      <c r="AE317" s="4" t="n">
        <v>0.196332447238008</v>
      </c>
      <c r="AF317" s="25" t="n">
        <v>0.276085509468807</v>
      </c>
      <c r="AG317" s="26" t="n">
        <f aca="false">SMALL(AE317:AF317,1)</f>
        <v>0.196332447238008</v>
      </c>
      <c r="AH317" s="27" t="n">
        <v>224.798518343155</v>
      </c>
      <c r="AI317" s="28" t="n">
        <v>0.0317</v>
      </c>
      <c r="AJ317" s="25" t="n">
        <v>1.22707779523755</v>
      </c>
      <c r="AK317" s="29" t="n">
        <v>0.222941108401449</v>
      </c>
      <c r="AN317" s="4" t="n">
        <f aca="false">(N317-$N$344)/$N$345</f>
        <v>-0.881262782898624</v>
      </c>
      <c r="AO317" s="4" t="n">
        <f aca="false">(S317-$S$344)/$S$345</f>
        <v>-0.539552187168563</v>
      </c>
      <c r="AP317" s="4" t="n">
        <f aca="false">(Z317-$Z$344)/$Z$345</f>
        <v>-0.815739623215206</v>
      </c>
      <c r="AQ317" s="4" t="n">
        <f aca="false">(AE317-$AE$344)/$AE$345</f>
        <v>-0.922856943552498</v>
      </c>
    </row>
    <row r="318" customFormat="false" ht="14.25" hidden="false" customHeight="false" outlineLevel="0" collapsed="false">
      <c r="B318" s="1" t="n">
        <v>28.7</v>
      </c>
      <c r="C318" s="1" t="n">
        <v>2</v>
      </c>
      <c r="D318" s="2" t="n">
        <v>50.6</v>
      </c>
      <c r="E318" s="4" t="n">
        <v>2.80171464705939</v>
      </c>
      <c r="F318" s="1" t="n">
        <v>38.2</v>
      </c>
      <c r="G318" s="1" t="n">
        <v>52.5</v>
      </c>
      <c r="H318" s="3" t="n">
        <v>143.366253802848</v>
      </c>
      <c r="I318" s="1" t="n">
        <v>381</v>
      </c>
      <c r="J318" s="39" t="n">
        <v>328.5</v>
      </c>
      <c r="K318" s="27" t="n">
        <v>206</v>
      </c>
      <c r="L318" s="39" t="n">
        <v>183.75</v>
      </c>
      <c r="M318" s="4" t="n">
        <v>0.22</v>
      </c>
      <c r="N318" s="26" t="n">
        <v>0.164953972765448</v>
      </c>
      <c r="O318" s="27" t="n">
        <v>245.231719913046</v>
      </c>
      <c r="P318" s="27" t="n">
        <v>44.5921247958736</v>
      </c>
      <c r="Q318" s="28" t="n">
        <v>0.106860667703036</v>
      </c>
      <c r="R318" s="25" t="n">
        <v>0.749790785297491</v>
      </c>
      <c r="S318" s="29" t="n">
        <v>0.20357012502187</v>
      </c>
      <c r="T318" s="27" t="n">
        <v>245.231719913046</v>
      </c>
      <c r="U318" s="27" t="n">
        <v>79</v>
      </c>
      <c r="V318" s="28" t="n">
        <v>0.0460656703626332</v>
      </c>
      <c r="W318" s="25" t="n">
        <f aca="false">(I318-H318)/(J318-H318)</f>
        <v>1.28357876982672</v>
      </c>
      <c r="X318" s="25" t="n">
        <f aca="false">0.5*(1+(I318-K318-L318)/(I318-K318))</f>
        <v>0.475</v>
      </c>
      <c r="Y318" s="25" t="n">
        <v>0.925318750099409</v>
      </c>
      <c r="Z318" s="26" t="n">
        <v>0.191754137512338</v>
      </c>
      <c r="AA318" s="27" t="n">
        <v>245.231719913046</v>
      </c>
      <c r="AB318" s="27" t="n">
        <v>44.5921247958736</v>
      </c>
      <c r="AC318" s="28" t="n">
        <v>0.106860667703036</v>
      </c>
      <c r="AD318" s="25" t="n">
        <v>0.871609715965171</v>
      </c>
      <c r="AE318" s="4" t="n">
        <v>0.226315541362067</v>
      </c>
      <c r="AF318" s="25" t="n">
        <v>0.366849735279691</v>
      </c>
      <c r="AG318" s="26" t="n">
        <f aca="false">SMALL(AE318:AF318,1)</f>
        <v>0.226315541362067</v>
      </c>
      <c r="AH318" s="27" t="n">
        <v>259.128835258427</v>
      </c>
      <c r="AI318" s="28" t="n">
        <v>0.0317</v>
      </c>
      <c r="AJ318" s="25" t="n">
        <v>1.02870700619121</v>
      </c>
      <c r="AK318" s="29" t="n">
        <v>0.264376021272879</v>
      </c>
      <c r="AN318" s="4" t="n">
        <f aca="false">(N318-$N$344)/$N$345</f>
        <v>-0.592684331852357</v>
      </c>
      <c r="AO318" s="4" t="n">
        <f aca="false">(S318-$S$344)/$S$345</f>
        <v>-0.136064989203475</v>
      </c>
      <c r="AP318" s="4" t="n">
        <f aca="false">(Z318-$Z$344)/$Z$345</f>
        <v>-0.428417878305057</v>
      </c>
      <c r="AQ318" s="4" t="n">
        <f aca="false">(AE318-$AE$344)/$AE$345</f>
        <v>-0.545013980564434</v>
      </c>
    </row>
    <row r="319" customFormat="false" ht="14.25" hidden="false" customHeight="false" outlineLevel="0" collapsed="false">
      <c r="B319" s="1" t="n">
        <v>28.7</v>
      </c>
      <c r="C319" s="1" t="n">
        <v>2</v>
      </c>
      <c r="D319" s="2" t="n">
        <v>50.6</v>
      </c>
      <c r="E319" s="4" t="n">
        <v>2.80171464705939</v>
      </c>
      <c r="F319" s="1" t="n">
        <v>38.2</v>
      </c>
      <c r="G319" s="1" t="n">
        <v>52.5</v>
      </c>
      <c r="H319" s="3" t="n">
        <v>143.366253802848</v>
      </c>
      <c r="I319" s="1" t="n">
        <v>381</v>
      </c>
      <c r="J319" s="39" t="n">
        <v>328.5</v>
      </c>
      <c r="K319" s="27" t="n">
        <v>206</v>
      </c>
      <c r="L319" s="39" t="n">
        <v>183.75</v>
      </c>
      <c r="M319" s="4" t="n">
        <v>0.26</v>
      </c>
      <c r="N319" s="26" t="n">
        <v>0.188033619819071</v>
      </c>
      <c r="O319" s="27" t="n">
        <v>275.8</v>
      </c>
      <c r="P319" s="27" t="n">
        <v>44.5921247958736</v>
      </c>
      <c r="Q319" s="28" t="n">
        <v>0.106860667703036</v>
      </c>
      <c r="R319" s="25" t="n">
        <v>0.723206230073348</v>
      </c>
      <c r="S319" s="29" t="n">
        <v>0.235043578025519</v>
      </c>
      <c r="T319" s="27" t="n">
        <v>275.8</v>
      </c>
      <c r="U319" s="27" t="n">
        <v>79</v>
      </c>
      <c r="V319" s="28" t="n">
        <v>0.0460656703626332</v>
      </c>
      <c r="W319" s="25" t="n">
        <f aca="false">(I319-H319)/(J319-H319)</f>
        <v>1.28357876982672</v>
      </c>
      <c r="X319" s="25" t="n">
        <f aca="false">0.5*(1+(I319-K319-L319)/(I319-K319))</f>
        <v>0.475</v>
      </c>
      <c r="Y319" s="25" t="n">
        <v>0.904013761636611</v>
      </c>
      <c r="Z319" s="26" t="n">
        <v>0.218583547805774</v>
      </c>
      <c r="AA319" s="27" t="n">
        <v>275.8</v>
      </c>
      <c r="AB319" s="27" t="n">
        <v>44.5921247958736</v>
      </c>
      <c r="AC319" s="28" t="n">
        <v>0.106860667703036</v>
      </c>
      <c r="AD319" s="25" t="n">
        <v>0.840705953099131</v>
      </c>
      <c r="AE319" s="4" t="n">
        <v>0.240875648769112</v>
      </c>
      <c r="AF319" s="25" t="n">
        <v>0.415571013803529</v>
      </c>
      <c r="AG319" s="26" t="n">
        <f aca="false">SMALL(AE319:AF319,1)</f>
        <v>0.240875648769112</v>
      </c>
      <c r="AH319" s="27" t="n">
        <v>275.8</v>
      </c>
      <c r="AI319" s="28" t="n">
        <v>0.0317</v>
      </c>
      <c r="AJ319" s="25" t="n">
        <v>0.926444802958124</v>
      </c>
      <c r="AK319" s="29" t="n">
        <v>0.309731230370021</v>
      </c>
      <c r="AN319" s="4" t="n">
        <f aca="false">(N319-$N$344)/$N$345</f>
        <v>-0.321167855838692</v>
      </c>
      <c r="AO319" s="4" t="n">
        <f aca="false">(S319-$S$344)/$S$345</f>
        <v>0.243566344012545</v>
      </c>
      <c r="AP319" s="4" t="n">
        <f aca="false">(Z319-$Z$344)/$Z$345</f>
        <v>-0.0639962283856501</v>
      </c>
      <c r="AQ319" s="4" t="n">
        <f aca="false">(AE319-$AE$344)/$AE$345</f>
        <v>-0.361529444200724</v>
      </c>
    </row>
    <row r="320" customFormat="false" ht="14.25" hidden="false" customHeight="false" outlineLevel="0" collapsed="false">
      <c r="A320" s="0" t="s">
        <v>99</v>
      </c>
      <c r="B320" s="1" t="n">
        <v>28.7</v>
      </c>
      <c r="C320" s="1" t="n">
        <v>2</v>
      </c>
      <c r="D320" s="2" t="n">
        <v>50.6</v>
      </c>
      <c r="E320" s="4" t="n">
        <v>2.52444806810338</v>
      </c>
      <c r="F320" s="1" t="n">
        <v>38.2</v>
      </c>
      <c r="G320" s="1" t="n">
        <v>52.5</v>
      </c>
      <c r="H320" s="3" t="n">
        <v>146.0713467674</v>
      </c>
      <c r="I320" s="1" t="n">
        <v>381</v>
      </c>
      <c r="J320" s="39" t="n">
        <v>328.5</v>
      </c>
      <c r="K320" s="27" t="n">
        <v>207</v>
      </c>
      <c r="L320" s="39" t="n">
        <v>183.75</v>
      </c>
      <c r="M320" s="4" t="n">
        <v>0.17</v>
      </c>
      <c r="N320" s="26" t="n">
        <v>0.141859120010489</v>
      </c>
      <c r="O320" s="27" t="n">
        <v>213.428114144873</v>
      </c>
      <c r="P320" s="27" t="n">
        <v>40.795707998733</v>
      </c>
      <c r="Q320" s="28" t="n">
        <v>0.108091118039397</v>
      </c>
      <c r="R320" s="25" t="n">
        <v>0.834465411826405</v>
      </c>
      <c r="S320" s="29" t="n">
        <v>0.175324609891476</v>
      </c>
      <c r="T320" s="27" t="n">
        <v>213.428114144873</v>
      </c>
      <c r="U320" s="27" t="n">
        <v>72</v>
      </c>
      <c r="V320" s="28" t="n">
        <v>0.0460656703626332</v>
      </c>
      <c r="W320" s="25" t="n">
        <f aca="false">(I320-H320)/(J320-H320)</f>
        <v>1.28778373939461</v>
      </c>
      <c r="X320" s="25" t="n">
        <f aca="false">0.5*(1+(I320-K320-L320)/(I320-K320))</f>
        <v>0.47198275862069</v>
      </c>
      <c r="Y320" s="25" t="n">
        <v>1.03132123465574</v>
      </c>
      <c r="Z320" s="26" t="n">
        <v>0.165348711149494</v>
      </c>
      <c r="AA320" s="27" t="n">
        <v>213.428114144873</v>
      </c>
      <c r="AB320" s="27" t="n">
        <v>40.795707998733</v>
      </c>
      <c r="AC320" s="28" t="n">
        <v>0.108091118039397</v>
      </c>
      <c r="AD320" s="25" t="n">
        <v>0.972639477349965</v>
      </c>
      <c r="AE320" s="4" t="n">
        <v>0.196332447238008</v>
      </c>
      <c r="AF320" s="25" t="n">
        <v>0.306408686117576</v>
      </c>
      <c r="AG320" s="26" t="n">
        <f aca="false">SMALL(AE320:AF320,1)</f>
        <v>0.196332447238008</v>
      </c>
      <c r="AH320" s="27" t="n">
        <v>224.798518343155</v>
      </c>
      <c r="AI320" s="28" t="n">
        <v>0.0317</v>
      </c>
      <c r="AJ320" s="25" t="n">
        <v>1.15489674845887</v>
      </c>
      <c r="AK320" s="29" t="n">
        <v>0.22772885282166</v>
      </c>
      <c r="AN320" s="4" t="n">
        <f aca="false">(N320-$N$344)/$N$345</f>
        <v>-0.864379692683137</v>
      </c>
      <c r="AO320" s="4" t="n">
        <f aca="false">(S320-$S$344)/$S$345</f>
        <v>-0.47676108521434</v>
      </c>
      <c r="AP320" s="4" t="n">
        <f aca="false">(Z320-$Z$344)/$Z$345</f>
        <v>-0.787080589737331</v>
      </c>
      <c r="AQ320" s="4" t="n">
        <f aca="false">(AE320-$AE$344)/$AE$345</f>
        <v>-0.922856943552498</v>
      </c>
    </row>
    <row r="321" customFormat="false" ht="14.25" hidden="false" customHeight="false" outlineLevel="0" collapsed="false">
      <c r="B321" s="1" t="n">
        <v>28.7</v>
      </c>
      <c r="C321" s="1" t="n">
        <v>2</v>
      </c>
      <c r="D321" s="2" t="n">
        <v>50.6</v>
      </c>
      <c r="E321" s="4" t="n">
        <v>2.52444806810338</v>
      </c>
      <c r="F321" s="1" t="n">
        <v>38.2</v>
      </c>
      <c r="G321" s="1" t="n">
        <v>52.5</v>
      </c>
      <c r="H321" s="3" t="n">
        <v>146.0713467674</v>
      </c>
      <c r="I321" s="1" t="n">
        <v>381</v>
      </c>
      <c r="J321" s="39" t="n">
        <v>328.5</v>
      </c>
      <c r="K321" s="27" t="n">
        <v>207</v>
      </c>
      <c r="L321" s="39" t="n">
        <v>183.75</v>
      </c>
      <c r="M321" s="4" t="n">
        <v>0.2</v>
      </c>
      <c r="N321" s="26" t="n">
        <v>0.166329728903398</v>
      </c>
      <c r="O321" s="27" t="n">
        <v>246.021989101103</v>
      </c>
      <c r="P321" s="27" t="n">
        <v>40.795707998733</v>
      </c>
      <c r="Q321" s="28" t="n">
        <v>0.108091118039397</v>
      </c>
      <c r="R321" s="25" t="n">
        <v>0.831648644516991</v>
      </c>
      <c r="S321" s="29" t="n">
        <v>0.208922974031405</v>
      </c>
      <c r="T321" s="27" t="n">
        <v>246.021989101103</v>
      </c>
      <c r="U321" s="27" t="n">
        <v>72</v>
      </c>
      <c r="V321" s="28" t="n">
        <v>0.0460656703626332</v>
      </c>
      <c r="W321" s="25" t="n">
        <f aca="false">(I321-H321)/(J321-H321)</f>
        <v>1.28778373939461</v>
      </c>
      <c r="X321" s="25" t="n">
        <f aca="false">0.5*(1+(I321-K321-L321)/(I321-K321))</f>
        <v>0.47198275862069</v>
      </c>
      <c r="Y321" s="25" t="n">
        <v>1.04461487015703</v>
      </c>
      <c r="Z321" s="26" t="n">
        <v>0.193871259725763</v>
      </c>
      <c r="AA321" s="27" t="n">
        <v>246.021989101103</v>
      </c>
      <c r="AB321" s="27" t="n">
        <v>40.795707998733</v>
      </c>
      <c r="AC321" s="28" t="n">
        <v>0.108091118039397</v>
      </c>
      <c r="AD321" s="25" t="n">
        <v>0.969356298628814</v>
      </c>
      <c r="AE321" s="4" t="n">
        <v>0.226315541362067</v>
      </c>
      <c r="AF321" s="25" t="n">
        <v>0.407141778668144</v>
      </c>
      <c r="AG321" s="26" t="n">
        <f aca="false">SMALL(AE321:AF321,1)</f>
        <v>0.226315541362067</v>
      </c>
      <c r="AH321" s="27" t="n">
        <v>259.128835258427</v>
      </c>
      <c r="AI321" s="28" t="n">
        <v>0.0317</v>
      </c>
      <c r="AJ321" s="25" t="n">
        <v>1.13157770681033</v>
      </c>
      <c r="AK321" s="29" t="n">
        <v>0.269163765693089</v>
      </c>
      <c r="AN321" s="4" t="n">
        <f aca="false">(N321-$N$344)/$N$345</f>
        <v>-0.576499489096203</v>
      </c>
      <c r="AO321" s="4" t="n">
        <f aca="false">(S321-$S$344)/$S$345</f>
        <v>-0.0714991722351739</v>
      </c>
      <c r="AP321" s="4" t="n">
        <f aca="false">(Z321-$Z$344)/$Z$345</f>
        <v>-0.399661183258122</v>
      </c>
      <c r="AQ321" s="4" t="n">
        <f aca="false">(AE321-$AE$344)/$AE$345</f>
        <v>-0.545013980564434</v>
      </c>
    </row>
    <row r="322" customFormat="false" ht="14.25" hidden="false" customHeight="false" outlineLevel="0" collapsed="false">
      <c r="B322" s="1" t="n">
        <v>28.7</v>
      </c>
      <c r="C322" s="1" t="n">
        <v>2</v>
      </c>
      <c r="D322" s="2" t="n">
        <v>50.6</v>
      </c>
      <c r="E322" s="4" t="n">
        <v>2.52444806810338</v>
      </c>
      <c r="F322" s="1" t="n">
        <v>38.2</v>
      </c>
      <c r="G322" s="1" t="n">
        <v>52.5</v>
      </c>
      <c r="H322" s="3" t="n">
        <v>146.0713467674</v>
      </c>
      <c r="I322" s="1" t="n">
        <v>381</v>
      </c>
      <c r="J322" s="39" t="n">
        <v>328.5</v>
      </c>
      <c r="K322" s="27" t="n">
        <v>207</v>
      </c>
      <c r="L322" s="39" t="n">
        <v>183.75</v>
      </c>
      <c r="M322" s="4" t="n">
        <v>0.24</v>
      </c>
      <c r="N322" s="26" t="n">
        <v>0.188686262432912</v>
      </c>
      <c r="O322" s="27" t="n">
        <v>275.8</v>
      </c>
      <c r="P322" s="27" t="n">
        <v>40.795707998733</v>
      </c>
      <c r="Q322" s="28" t="n">
        <v>0.108091118039397</v>
      </c>
      <c r="R322" s="25" t="n">
        <v>0.786192760137131</v>
      </c>
      <c r="S322" s="29" t="n">
        <v>0.239618693852614</v>
      </c>
      <c r="T322" s="27" t="n">
        <v>275.8</v>
      </c>
      <c r="U322" s="27" t="n">
        <v>72</v>
      </c>
      <c r="V322" s="28" t="n">
        <v>0.0460656703626332</v>
      </c>
      <c r="W322" s="25" t="n">
        <f aca="false">(I322-H322)/(J322-H322)</f>
        <v>1.28778373939461</v>
      </c>
      <c r="X322" s="25" t="n">
        <f aca="false">0.5*(1+(I322-K322-L322)/(I322-K322))</f>
        <v>0.47198275862069</v>
      </c>
      <c r="Y322" s="25" t="n">
        <v>0.998411224385891</v>
      </c>
      <c r="Z322" s="26" t="n">
        <v>0.219929676023581</v>
      </c>
      <c r="AA322" s="27" t="n">
        <v>275.8</v>
      </c>
      <c r="AB322" s="27" t="n">
        <v>40.795707998733</v>
      </c>
      <c r="AC322" s="28" t="n">
        <v>0.108091118039397</v>
      </c>
      <c r="AD322" s="25" t="n">
        <v>0.916373650098254</v>
      </c>
      <c r="AE322" s="4" t="n">
        <v>0.240875648769112</v>
      </c>
      <c r="AF322" s="25" t="n">
        <v>0.46121423965018</v>
      </c>
      <c r="AG322" s="26" t="n">
        <f aca="false">SMALL(AE322:AF322,1)</f>
        <v>0.240875648769112</v>
      </c>
      <c r="AH322" s="27" t="n">
        <v>275.8</v>
      </c>
      <c r="AI322" s="28" t="n">
        <v>0.0317</v>
      </c>
      <c r="AJ322" s="25" t="n">
        <v>1.00364853653797</v>
      </c>
      <c r="AK322" s="29" t="n">
        <v>0.314518974790231</v>
      </c>
      <c r="AN322" s="4" t="n">
        <f aca="false">(N322-$N$344)/$N$345</f>
        <v>-0.313489955817312</v>
      </c>
      <c r="AO322" s="4" t="n">
        <f aca="false">(S322-$S$344)/$S$345</f>
        <v>0.298751179335714</v>
      </c>
      <c r="AP322" s="4" t="n">
        <f aca="false">(Z322-$Z$344)/$Z$345</f>
        <v>-0.0457118806951503</v>
      </c>
      <c r="AQ322" s="4" t="n">
        <f aca="false">(AE322-$AE$344)/$AE$345</f>
        <v>-0.361529444200724</v>
      </c>
    </row>
    <row r="323" customFormat="false" ht="14.25" hidden="false" customHeight="false" outlineLevel="0" collapsed="false">
      <c r="A323" s="0" t="s">
        <v>100</v>
      </c>
      <c r="B323" s="1" t="n">
        <v>32.3</v>
      </c>
      <c r="C323" s="1" t="n">
        <v>1</v>
      </c>
      <c r="D323" s="2" t="n">
        <v>60</v>
      </c>
      <c r="E323" s="4" t="n">
        <v>2.53821845332793</v>
      </c>
      <c r="F323" s="1" t="n">
        <v>38.3</v>
      </c>
      <c r="G323" s="1" t="n">
        <v>54.4</v>
      </c>
      <c r="H323" s="3" t="n">
        <v>122.838831239211</v>
      </c>
      <c r="I323" s="1" t="n">
        <v>381</v>
      </c>
      <c r="J323" s="39" t="n">
        <v>326.6</v>
      </c>
      <c r="K323" s="27" t="n">
        <v>201</v>
      </c>
      <c r="L323" s="39" t="n">
        <v>190.4</v>
      </c>
      <c r="M323" s="4" t="n">
        <v>0.17</v>
      </c>
      <c r="N323" s="26" t="n">
        <v>0.149700588867436</v>
      </c>
      <c r="O323" s="27" t="n">
        <v>170.803299154682</v>
      </c>
      <c r="P323" s="27" t="n">
        <v>58.1327039569626</v>
      </c>
      <c r="Q323" s="28" t="n">
        <v>0.0624495439088793</v>
      </c>
      <c r="R323" s="25" t="n">
        <v>0.880591699220209</v>
      </c>
      <c r="S323" s="29" t="n">
        <v>0.143016253459017</v>
      </c>
      <c r="T323" s="27" t="n">
        <v>170.803299154682</v>
      </c>
      <c r="U323" s="27" t="n">
        <v>107</v>
      </c>
      <c r="V323" s="28" t="n">
        <v>0.0282248726262158</v>
      </c>
      <c r="W323" s="25" t="n">
        <f aca="false">(I323-H323)/(J323-H323)</f>
        <v>1.26697923029615</v>
      </c>
      <c r="X323" s="25" t="n">
        <f aca="false">0.5*(1+(I323-K323-L323)/(I323-K323))</f>
        <v>0.471111111111111</v>
      </c>
      <c r="Y323" s="25" t="n">
        <v>0.84127207917069</v>
      </c>
      <c r="Z323" s="26" t="n">
        <v>0.148256700196014</v>
      </c>
      <c r="AA323" s="27" t="n">
        <v>170.803299154682</v>
      </c>
      <c r="AB323" s="27" t="n">
        <v>58.1327039569626</v>
      </c>
      <c r="AC323" s="28" t="n">
        <v>0.0624495439088793</v>
      </c>
      <c r="AD323" s="25" t="n">
        <v>0.87209823644714</v>
      </c>
      <c r="AE323" s="4" t="n">
        <v>0.228471110416944</v>
      </c>
      <c r="AF323" s="25" t="n">
        <v>0.217737577891376</v>
      </c>
      <c r="AG323" s="26" t="n">
        <f aca="false">SMALL(AE323:AF323,1)</f>
        <v>0.217737577891376</v>
      </c>
      <c r="AH323" s="27" t="n">
        <v>179.114426654924</v>
      </c>
      <c r="AI323" s="28" t="n">
        <v>0.0226</v>
      </c>
      <c r="AJ323" s="25" t="n">
        <v>1.28080928171397</v>
      </c>
      <c r="AK323" s="29" t="n">
        <v>0.203618262604186</v>
      </c>
      <c r="AN323" s="4" t="n">
        <f aca="false">(N323-$N$344)/$N$345</f>
        <v>-0.772130102129935</v>
      </c>
      <c r="AO323" s="4" t="n">
        <f aca="false">(S323-$S$344)/$S$345</f>
        <v>-0.866462984940782</v>
      </c>
      <c r="AP323" s="4" t="n">
        <f aca="false">(Z323-$Z$344)/$Z$345</f>
        <v>-1.01923995380772</v>
      </c>
      <c r="AQ323" s="4" t="n">
        <f aca="false">(AE323-$AE$344)/$AE$345</f>
        <v>-0.517849786127059</v>
      </c>
    </row>
    <row r="324" customFormat="false" ht="14.25" hidden="false" customHeight="false" outlineLevel="0" collapsed="false">
      <c r="B324" s="1" t="n">
        <v>32.3</v>
      </c>
      <c r="C324" s="1" t="n">
        <v>1</v>
      </c>
      <c r="D324" s="2" t="n">
        <v>60</v>
      </c>
      <c r="E324" s="4" t="n">
        <v>2.53821845332793</v>
      </c>
      <c r="F324" s="1" t="n">
        <v>38.3</v>
      </c>
      <c r="G324" s="1" t="n">
        <v>54.4</v>
      </c>
      <c r="H324" s="3" t="n">
        <v>122.838831239211</v>
      </c>
      <c r="I324" s="1" t="n">
        <v>381</v>
      </c>
      <c r="J324" s="39" t="n">
        <v>326.6</v>
      </c>
      <c r="K324" s="27" t="n">
        <v>201</v>
      </c>
      <c r="L324" s="39" t="n">
        <v>190.4</v>
      </c>
      <c r="M324" s="4" t="n">
        <v>0.23</v>
      </c>
      <c r="N324" s="26" t="n">
        <v>0.193136706896947</v>
      </c>
      <c r="O324" s="27" t="n">
        <v>210.242000847909</v>
      </c>
      <c r="P324" s="27" t="n">
        <v>58.1327039569626</v>
      </c>
      <c r="Q324" s="28" t="n">
        <v>0.0624495439088793</v>
      </c>
      <c r="R324" s="25" t="n">
        <v>0.839724812595423</v>
      </c>
      <c r="S324" s="29" t="n">
        <v>0.196050625318856</v>
      </c>
      <c r="T324" s="27" t="n">
        <v>210.242000847909</v>
      </c>
      <c r="U324" s="27" t="n">
        <v>107</v>
      </c>
      <c r="V324" s="28" t="n">
        <v>0.0282248726262158</v>
      </c>
      <c r="W324" s="25" t="n">
        <f aca="false">(I324-H324)/(J324-H324)</f>
        <v>1.26697923029615</v>
      </c>
      <c r="X324" s="25" t="n">
        <f aca="false">0.5*(1+(I324-K324-L324)/(I324-K324))</f>
        <v>0.471111111111111</v>
      </c>
      <c r="Y324" s="25" t="n">
        <v>0.852394023125462</v>
      </c>
      <c r="Z324" s="26" t="n">
        <v>0.19127386918045</v>
      </c>
      <c r="AA324" s="27" t="n">
        <v>210.242000847909</v>
      </c>
      <c r="AB324" s="27" t="n">
        <v>58.1327039569626</v>
      </c>
      <c r="AC324" s="28" t="n">
        <v>0.0624495439088793</v>
      </c>
      <c r="AD324" s="25" t="n">
        <v>0.831625518175868</v>
      </c>
      <c r="AE324" s="4" t="n">
        <v>0.281225383981028</v>
      </c>
      <c r="AF324" s="25" t="n">
        <v>0.32989811911982</v>
      </c>
      <c r="AG324" s="26" t="n">
        <f aca="false">SMALL(AE324:AF324,1)</f>
        <v>0.281225383981028</v>
      </c>
      <c r="AH324" s="27" t="n">
        <v>220.472178388979</v>
      </c>
      <c r="AI324" s="28" t="n">
        <v>0.0226</v>
      </c>
      <c r="AJ324" s="25" t="n">
        <v>1.22271906078708</v>
      </c>
      <c r="AK324" s="29" t="n">
        <v>0.271720605813229</v>
      </c>
      <c r="AN324" s="4" t="n">
        <f aca="false">(N324-$N$344)/$N$345</f>
        <v>-0.261133479361582</v>
      </c>
      <c r="AO324" s="4" t="n">
        <f aca="false">(S324-$S$344)/$S$345</f>
        <v>-0.226764846541708</v>
      </c>
      <c r="AP324" s="4" t="n">
        <f aca="false">(Z324-$Z$344)/$Z$345</f>
        <v>-0.434941323136548</v>
      </c>
      <c r="AQ324" s="4" t="n">
        <f aca="false">(AE324-$AE$344)/$AE$345</f>
        <v>0.14695255052511</v>
      </c>
    </row>
    <row r="325" customFormat="false" ht="14.25" hidden="false" customHeight="false" outlineLevel="0" collapsed="false">
      <c r="B325" s="1" t="n">
        <v>32.3</v>
      </c>
      <c r="C325" s="1" t="n">
        <v>1</v>
      </c>
      <c r="D325" s="2" t="n">
        <v>60</v>
      </c>
      <c r="E325" s="4" t="n">
        <v>2.53821845332793</v>
      </c>
      <c r="F325" s="1" t="n">
        <v>38.3</v>
      </c>
      <c r="G325" s="1" t="n">
        <v>54.4</v>
      </c>
      <c r="H325" s="3" t="n">
        <v>122.838831239211</v>
      </c>
      <c r="I325" s="1" t="n">
        <v>381</v>
      </c>
      <c r="J325" s="39" t="n">
        <v>326.6</v>
      </c>
      <c r="K325" s="27" t="n">
        <v>201</v>
      </c>
      <c r="L325" s="39" t="n">
        <v>190.4</v>
      </c>
      <c r="M325" s="4" t="n">
        <v>0.27</v>
      </c>
      <c r="N325" s="26" t="n">
        <v>0.231567175636813</v>
      </c>
      <c r="O325" s="27" t="n">
        <v>245.135722048608</v>
      </c>
      <c r="P325" s="27" t="n">
        <v>58.1327039569626</v>
      </c>
      <c r="Q325" s="28" t="n">
        <v>0.0624495439088793</v>
      </c>
      <c r="R325" s="25" t="n">
        <v>0.85765620606227</v>
      </c>
      <c r="S325" s="29" t="n">
        <v>0.242973229417896</v>
      </c>
      <c r="T325" s="27" t="n">
        <v>245.135722048608</v>
      </c>
      <c r="U325" s="27" t="n">
        <v>107</v>
      </c>
      <c r="V325" s="28" t="n">
        <v>0.0282248726262158</v>
      </c>
      <c r="W325" s="25" t="n">
        <f aca="false">(I325-H325)/(J325-H325)</f>
        <v>1.26697923029615</v>
      </c>
      <c r="X325" s="25" t="n">
        <f aca="false">0.5*(1+(I325-K325-L325)/(I325-K325))</f>
        <v>0.471111111111111</v>
      </c>
      <c r="Y325" s="25" t="n">
        <v>0.899900849695911</v>
      </c>
      <c r="Z325" s="26" t="n">
        <v>0.229333669248463</v>
      </c>
      <c r="AA325" s="27" t="n">
        <v>245.135722048608</v>
      </c>
      <c r="AB325" s="27" t="n">
        <v>58.1327039569626</v>
      </c>
      <c r="AC325" s="28" t="n">
        <v>0.0624495439088793</v>
      </c>
      <c r="AD325" s="25" t="n">
        <v>0.849383960179494</v>
      </c>
      <c r="AE325" s="4" t="n">
        <v>0.327900168770069</v>
      </c>
      <c r="AF325" s="25" t="n">
        <v>0.448491362118943</v>
      </c>
      <c r="AG325" s="26" t="n">
        <f aca="false">SMALL(AE325:AF325,1)</f>
        <v>0.327900168770069</v>
      </c>
      <c r="AH325" s="27" t="n">
        <v>257.063795164834</v>
      </c>
      <c r="AI325" s="28" t="n">
        <v>0.0226</v>
      </c>
      <c r="AJ325" s="25" t="n">
        <v>1.21444506951877</v>
      </c>
      <c r="AK325" s="29" t="n">
        <v>0.331974723596694</v>
      </c>
      <c r="AN325" s="4" t="n">
        <f aca="false">(N325-$N$344)/$N$345</f>
        <v>0.190975056768039</v>
      </c>
      <c r="AO325" s="4" t="n">
        <f aca="false">(S325-$S$344)/$S$345</f>
        <v>0.339213432041857</v>
      </c>
      <c r="AP325" s="4" t="n">
        <f aca="false">(Z325-$Z$344)/$Z$345</f>
        <v>0.0820217776059753</v>
      </c>
      <c r="AQ325" s="4" t="n">
        <f aca="false">(AE325-$AE$344)/$AE$345</f>
        <v>0.735141978492455</v>
      </c>
    </row>
    <row r="326" customFormat="false" ht="14.25" hidden="false" customHeight="false" outlineLevel="0" collapsed="false">
      <c r="B326" s="1" t="n">
        <v>32.3</v>
      </c>
      <c r="C326" s="1" t="n">
        <v>1</v>
      </c>
      <c r="D326" s="2" t="n">
        <v>60</v>
      </c>
      <c r="E326" s="4" t="n">
        <v>2.53821845332793</v>
      </c>
      <c r="F326" s="1" t="n">
        <v>38.3</v>
      </c>
      <c r="G326" s="1" t="n">
        <v>54.4</v>
      </c>
      <c r="H326" s="3" t="n">
        <v>122.838831239211</v>
      </c>
      <c r="I326" s="1" t="n">
        <v>381</v>
      </c>
      <c r="J326" s="39" t="n">
        <v>326.6</v>
      </c>
      <c r="K326" s="27" t="n">
        <v>201</v>
      </c>
      <c r="L326" s="39" t="n">
        <v>190.4</v>
      </c>
      <c r="M326" s="4" t="n">
        <v>0.31</v>
      </c>
      <c r="N326" s="26" t="n">
        <v>0.259017510451002</v>
      </c>
      <c r="O326" s="27" t="n">
        <v>270.059808620536</v>
      </c>
      <c r="P326" s="27" t="n">
        <v>58.1327039569626</v>
      </c>
      <c r="Q326" s="28" t="n">
        <v>0.0624495439088793</v>
      </c>
      <c r="R326" s="25" t="n">
        <v>0.835540356293556</v>
      </c>
      <c r="S326" s="29" t="n">
        <v>0.276489375202924</v>
      </c>
      <c r="T326" s="27" t="n">
        <v>270.059808620536</v>
      </c>
      <c r="U326" s="27" t="n">
        <v>107</v>
      </c>
      <c r="V326" s="28" t="n">
        <v>0.0282248726262158</v>
      </c>
      <c r="W326" s="25" t="n">
        <f aca="false">(I326-H326)/(J326-H326)</f>
        <v>1.26697923029615</v>
      </c>
      <c r="X326" s="25" t="n">
        <f aca="false">0.5*(1+(I326-K326-L326)/(I326-K326))</f>
        <v>0.471111111111111</v>
      </c>
      <c r="Y326" s="25" t="n">
        <v>0.891901210332014</v>
      </c>
      <c r="Z326" s="26" t="n">
        <v>0.256519240725616</v>
      </c>
      <c r="AA326" s="27" t="n">
        <v>270.059808620536</v>
      </c>
      <c r="AB326" s="27" t="n">
        <v>58.1327039569626</v>
      </c>
      <c r="AC326" s="28" t="n">
        <v>0.0624495439088793</v>
      </c>
      <c r="AD326" s="25" t="n">
        <v>0.827481421695535</v>
      </c>
      <c r="AE326" s="4" t="n">
        <v>0.351799313041326</v>
      </c>
      <c r="AF326" s="25" t="n">
        <v>0.516250846474078</v>
      </c>
      <c r="AG326" s="26" t="n">
        <f aca="false">SMALL(AE326:AF326,1)</f>
        <v>0.351799313041326</v>
      </c>
      <c r="AH326" s="27" t="n">
        <v>275.8</v>
      </c>
      <c r="AI326" s="28" t="n">
        <v>0.0226</v>
      </c>
      <c r="AJ326" s="25" t="n">
        <v>1.1348364936817</v>
      </c>
      <c r="AK326" s="29" t="n">
        <v>0.375013379156312</v>
      </c>
      <c r="AN326" s="4" t="n">
        <f aca="false">(N326-$N$344)/$N$345</f>
        <v>0.513909725432054</v>
      </c>
      <c r="AO326" s="4" t="n">
        <f aca="false">(S326-$S$344)/$S$345</f>
        <v>0.74348363103012</v>
      </c>
      <c r="AP326" s="4" t="n">
        <f aca="false">(Z326-$Z$344)/$Z$345</f>
        <v>0.451281135279207</v>
      </c>
      <c r="AQ326" s="4" t="n">
        <f aca="false">(AE326-$AE$344)/$AE$345</f>
        <v>1.03631581488732</v>
      </c>
    </row>
    <row r="327" customFormat="false" ht="14.25" hidden="false" customHeight="false" outlineLevel="0" collapsed="false">
      <c r="B327" s="1" t="n">
        <v>32.3</v>
      </c>
      <c r="C327" s="1" t="n">
        <v>1</v>
      </c>
      <c r="D327" s="2" t="n">
        <v>60</v>
      </c>
      <c r="E327" s="4" t="n">
        <v>2.53821845332793</v>
      </c>
      <c r="F327" s="1" t="n">
        <v>38.3</v>
      </c>
      <c r="G327" s="1" t="n">
        <v>54.4</v>
      </c>
      <c r="H327" s="3" t="n">
        <v>122.838831239211</v>
      </c>
      <c r="I327" s="1" t="n">
        <v>381</v>
      </c>
      <c r="J327" s="39" t="n">
        <v>326.6</v>
      </c>
      <c r="K327" s="27" t="n">
        <v>201</v>
      </c>
      <c r="L327" s="39" t="n">
        <v>190.4</v>
      </c>
      <c r="M327" s="4" t="n">
        <v>0.35</v>
      </c>
      <c r="N327" s="26" t="n">
        <v>0.265339514461424</v>
      </c>
      <c r="O327" s="27" t="n">
        <v>275.8</v>
      </c>
      <c r="P327" s="27" t="n">
        <v>58.1327039569626</v>
      </c>
      <c r="Q327" s="28" t="n">
        <v>0.0624495439088793</v>
      </c>
      <c r="R327" s="25" t="n">
        <v>0.758112898461211</v>
      </c>
      <c r="S327" s="29" t="n">
        <v>0.284208377885445</v>
      </c>
      <c r="T327" s="27" t="n">
        <v>275.8</v>
      </c>
      <c r="U327" s="27" t="n">
        <v>107</v>
      </c>
      <c r="V327" s="28" t="n">
        <v>0.0282248726262158</v>
      </c>
      <c r="W327" s="25" t="n">
        <f aca="false">(I327-H327)/(J327-H327)</f>
        <v>1.26697923029615</v>
      </c>
      <c r="X327" s="25" t="n">
        <f aca="false">0.5*(1+(I327-K327-L327)/(I327-K327))</f>
        <v>0.471111111111111</v>
      </c>
      <c r="Y327" s="25" t="n">
        <v>0.812023936815557</v>
      </c>
      <c r="Z327" s="26" t="n">
        <v>0.262780267888582</v>
      </c>
      <c r="AA327" s="27" t="n">
        <v>275.8</v>
      </c>
      <c r="AB327" s="27" t="n">
        <v>58.1327039569626</v>
      </c>
      <c r="AC327" s="28" t="n">
        <v>0.0624495439088793</v>
      </c>
      <c r="AD327" s="25" t="n">
        <v>0.750800765395949</v>
      </c>
      <c r="AE327" s="4" t="n">
        <v>0.351799313041326</v>
      </c>
      <c r="AF327" s="25" t="n">
        <v>0.516250846474078</v>
      </c>
      <c r="AG327" s="26" t="n">
        <f aca="false">SMALL(AE327:AF327,1)</f>
        <v>0.351799313041326</v>
      </c>
      <c r="AH327" s="27" t="n">
        <v>275.8</v>
      </c>
      <c r="AI327" s="28" t="n">
        <v>0.0226</v>
      </c>
      <c r="AJ327" s="25" t="n">
        <v>1.00514089440379</v>
      </c>
      <c r="AK327" s="29" t="n">
        <v>0.382405102459436</v>
      </c>
      <c r="AN327" s="4" t="n">
        <f aca="false">(N327-$N$344)/$N$345</f>
        <v>0.588283837231328</v>
      </c>
      <c r="AO327" s="4" t="n">
        <f aca="false">(S327-$S$344)/$S$345</f>
        <v>0.836589884072125</v>
      </c>
      <c r="AP327" s="4" t="n">
        <f aca="false">(Z327-$Z$344)/$Z$345</f>
        <v>0.536324146808857</v>
      </c>
      <c r="AQ327" s="4" t="n">
        <f aca="false">(AE327-$AE$344)/$AE$345</f>
        <v>1.03631581488732</v>
      </c>
    </row>
    <row r="328" customFormat="false" ht="14.25" hidden="false" customHeight="false" outlineLevel="0" collapsed="false">
      <c r="A328" s="0" t="s">
        <v>101</v>
      </c>
      <c r="B328" s="1" t="n">
        <v>32.3</v>
      </c>
      <c r="C328" s="1" t="n">
        <v>1</v>
      </c>
      <c r="D328" s="2" t="n">
        <v>60</v>
      </c>
      <c r="E328" s="4" t="n">
        <v>2.81086951894943</v>
      </c>
      <c r="F328" s="1" t="n">
        <v>38.3</v>
      </c>
      <c r="G328" s="1" t="n">
        <v>54.4</v>
      </c>
      <c r="H328" s="3" t="n">
        <v>120.446116576203</v>
      </c>
      <c r="I328" s="1" t="n">
        <v>381</v>
      </c>
      <c r="J328" s="39" t="n">
        <v>326.6</v>
      </c>
      <c r="K328" s="27" t="n">
        <v>200</v>
      </c>
      <c r="L328" s="39" t="n">
        <v>190.4</v>
      </c>
      <c r="M328" s="4" t="n">
        <v>0.19</v>
      </c>
      <c r="N328" s="26" t="n">
        <v>0.146290244209178</v>
      </c>
      <c r="O328" s="27" t="n">
        <v>170.327728419202</v>
      </c>
      <c r="P328" s="27" t="n">
        <v>63.8311467874253</v>
      </c>
      <c r="Q328" s="28" t="n">
        <v>0.061876058158272</v>
      </c>
      <c r="R328" s="25" t="n">
        <v>0.769948653732517</v>
      </c>
      <c r="S328" s="29" t="n">
        <v>0.133769063769031</v>
      </c>
      <c r="T328" s="27" t="n">
        <v>170.327728419202</v>
      </c>
      <c r="U328" s="27" t="n">
        <v>118</v>
      </c>
      <c r="V328" s="28" t="n">
        <v>0.0282248726262158</v>
      </c>
      <c r="W328" s="25" t="n">
        <f aca="false">(I328-H328)/(J328-H328)</f>
        <v>1.26388054930873</v>
      </c>
      <c r="X328" s="25" t="n">
        <f aca="false">0.5*(1+(I328-K328-L328)/(I328-K328))</f>
        <v>0.474033149171271</v>
      </c>
      <c r="Y328" s="25" t="n">
        <v>0.704047704047533</v>
      </c>
      <c r="Z328" s="26" t="n">
        <v>0.144546658684668</v>
      </c>
      <c r="AA328" s="27" t="n">
        <v>170.327728419202</v>
      </c>
      <c r="AB328" s="27" t="n">
        <v>63.8311467874253</v>
      </c>
      <c r="AC328" s="28" t="n">
        <v>0.061876058158272</v>
      </c>
      <c r="AD328" s="25" t="n">
        <v>0.760771887814041</v>
      </c>
      <c r="AE328" s="4" t="n">
        <v>0.228471110416944</v>
      </c>
      <c r="AF328" s="25" t="n">
        <v>0.196617286736731</v>
      </c>
      <c r="AG328" s="26" t="n">
        <f aca="false">SMALL(AE328:AF328,1)</f>
        <v>0.196617286736731</v>
      </c>
      <c r="AH328" s="27" t="n">
        <v>179.114426654924</v>
      </c>
      <c r="AI328" s="28" t="n">
        <v>0.0226</v>
      </c>
      <c r="AJ328" s="25" t="n">
        <v>1.03482782493016</v>
      </c>
      <c r="AK328" s="29" t="n">
        <v>0.193808490777421</v>
      </c>
      <c r="AN328" s="4" t="n">
        <f aca="false">(N328-$N$344)/$N$345</f>
        <v>-0.812250506114046</v>
      </c>
      <c r="AO328" s="4" t="n">
        <f aca="false">(S328-$S$344)/$S$345</f>
        <v>-0.978002158926676</v>
      </c>
      <c r="AP328" s="4" t="n">
        <f aca="false">(Z328-$Z$344)/$Z$345</f>
        <v>-1.06963313927274</v>
      </c>
      <c r="AQ328" s="4" t="n">
        <f aca="false">(AE328-$AE$344)/$AE$345</f>
        <v>-0.517849786127059</v>
      </c>
    </row>
    <row r="329" customFormat="false" ht="14.25" hidden="false" customHeight="false" outlineLevel="0" collapsed="false">
      <c r="B329" s="1" t="n">
        <v>32.3</v>
      </c>
      <c r="C329" s="1" t="n">
        <v>1</v>
      </c>
      <c r="D329" s="2" t="n">
        <v>60</v>
      </c>
      <c r="E329" s="4" t="n">
        <v>2.81086951894943</v>
      </c>
      <c r="F329" s="1" t="n">
        <v>38.3</v>
      </c>
      <c r="G329" s="1" t="n">
        <v>54.4</v>
      </c>
      <c r="H329" s="3" t="n">
        <v>120.446116576203</v>
      </c>
      <c r="I329" s="1" t="n">
        <v>381</v>
      </c>
      <c r="J329" s="39" t="n">
        <v>326.6</v>
      </c>
      <c r="K329" s="27" t="n">
        <v>200</v>
      </c>
      <c r="L329" s="39" t="n">
        <v>190.4</v>
      </c>
      <c r="M329" s="4" t="n">
        <v>0.24</v>
      </c>
      <c r="N329" s="26" t="n">
        <v>0.18986727219111</v>
      </c>
      <c r="O329" s="27" t="n">
        <v>209.656620217284</v>
      </c>
      <c r="P329" s="27" t="n">
        <v>63.8311467874253</v>
      </c>
      <c r="Q329" s="28" t="n">
        <v>0.061876058158272</v>
      </c>
      <c r="R329" s="25" t="n">
        <v>0.791113634129624</v>
      </c>
      <c r="S329" s="29" t="n">
        <v>0.186626082364968</v>
      </c>
      <c r="T329" s="27" t="n">
        <v>209.656620217284</v>
      </c>
      <c r="U329" s="27" t="n">
        <v>118</v>
      </c>
      <c r="V329" s="28" t="n">
        <v>0.0282248726262158</v>
      </c>
      <c r="W329" s="25" t="n">
        <f aca="false">(I329-H329)/(J329-H329)</f>
        <v>1.26388054930873</v>
      </c>
      <c r="X329" s="25" t="n">
        <f aca="false">0.5*(1+(I329-K329-L329)/(I329-K329))</f>
        <v>0.474033149171271</v>
      </c>
      <c r="Y329" s="25" t="n">
        <v>0.7776086765207</v>
      </c>
      <c r="Z329" s="26" t="n">
        <v>0.187604306337438</v>
      </c>
      <c r="AA329" s="27" t="n">
        <v>209.656620217284</v>
      </c>
      <c r="AB329" s="27" t="n">
        <v>63.8311467874253</v>
      </c>
      <c r="AC329" s="28" t="n">
        <v>0.061876058158272</v>
      </c>
      <c r="AD329" s="25" t="n">
        <v>0.781684609739324</v>
      </c>
      <c r="AE329" s="4" t="n">
        <v>0.281225383981028</v>
      </c>
      <c r="AF329" s="25" t="n">
        <v>0.297898386254893</v>
      </c>
      <c r="AG329" s="26" t="n">
        <f aca="false">SMALL(AE329:AF329,1)</f>
        <v>0.281225383981028</v>
      </c>
      <c r="AH329" s="27" t="n">
        <v>220.472178388979</v>
      </c>
      <c r="AI329" s="28" t="n">
        <v>0.0226</v>
      </c>
      <c r="AJ329" s="25" t="n">
        <v>1.17177243325428</v>
      </c>
      <c r="AK329" s="29" t="n">
        <v>0.261910833986464</v>
      </c>
      <c r="AN329" s="4" t="n">
        <f aca="false">(N329-$N$344)/$N$345</f>
        <v>-0.2995961728258</v>
      </c>
      <c r="AO329" s="4" t="n">
        <f aca="false">(S329-$S$344)/$S$345</f>
        <v>-0.340443247387065</v>
      </c>
      <c r="AP329" s="4" t="n">
        <f aca="false">(Z329-$Z$344)/$Z$345</f>
        <v>-0.484784690214224</v>
      </c>
      <c r="AQ329" s="4" t="n">
        <f aca="false">(AE329-$AE$344)/$AE$345</f>
        <v>0.14695255052511</v>
      </c>
    </row>
    <row r="330" customFormat="false" ht="14.25" hidden="false" customHeight="false" outlineLevel="0" collapsed="false">
      <c r="B330" s="1" t="n">
        <v>32.3</v>
      </c>
      <c r="C330" s="1" t="n">
        <v>1</v>
      </c>
      <c r="D330" s="2" t="n">
        <v>60</v>
      </c>
      <c r="E330" s="4" t="n">
        <v>2.81086951894943</v>
      </c>
      <c r="F330" s="1" t="n">
        <v>38.3</v>
      </c>
      <c r="G330" s="1" t="n">
        <v>54.4</v>
      </c>
      <c r="H330" s="3" t="n">
        <v>120.446116576203</v>
      </c>
      <c r="I330" s="1" t="n">
        <v>381</v>
      </c>
      <c r="J330" s="39" t="n">
        <v>326.6</v>
      </c>
      <c r="K330" s="27" t="n">
        <v>200</v>
      </c>
      <c r="L330" s="39" t="n">
        <v>190.4</v>
      </c>
      <c r="M330" s="4" t="n">
        <v>0.29</v>
      </c>
      <c r="N330" s="26" t="n">
        <v>0.228422412189993</v>
      </c>
      <c r="O330" s="27" t="n">
        <v>244.453186194769</v>
      </c>
      <c r="P330" s="27" t="n">
        <v>63.8311467874253</v>
      </c>
      <c r="Q330" s="28" t="n">
        <v>0.061876058158272</v>
      </c>
      <c r="R330" s="25" t="n">
        <v>0.787663490310322</v>
      </c>
      <c r="S330" s="29" t="n">
        <v>0.233391771680332</v>
      </c>
      <c r="T330" s="27" t="n">
        <v>244.453186194769</v>
      </c>
      <c r="U330" s="27" t="n">
        <v>118</v>
      </c>
      <c r="V330" s="28" t="n">
        <v>0.0282248726262158</v>
      </c>
      <c r="W330" s="25" t="n">
        <f aca="false">(I330-H330)/(J330-H330)</f>
        <v>1.26388054930873</v>
      </c>
      <c r="X330" s="25" t="n">
        <f aca="false">0.5*(1+(I330-K330-L330)/(I330-K330))</f>
        <v>0.474033149171271</v>
      </c>
      <c r="Y330" s="25" t="n">
        <v>0.8047992126908</v>
      </c>
      <c r="Z330" s="26" t="n">
        <v>0.225699920245836</v>
      </c>
      <c r="AA330" s="27" t="n">
        <v>244.453186194769</v>
      </c>
      <c r="AB330" s="27" t="n">
        <v>63.8311467874253</v>
      </c>
      <c r="AC330" s="28" t="n">
        <v>0.061876058158272</v>
      </c>
      <c r="AD330" s="25" t="n">
        <v>0.778275587054608</v>
      </c>
      <c r="AE330" s="4" t="n">
        <v>0.327900168770069</v>
      </c>
      <c r="AF330" s="25" t="n">
        <v>0.404988222973064</v>
      </c>
      <c r="AG330" s="26" t="n">
        <f aca="false">SMALL(AE330:AF330,1)</f>
        <v>0.327900168770069</v>
      </c>
      <c r="AH330" s="27" t="n">
        <v>257.063795164834</v>
      </c>
      <c r="AI330" s="28" t="n">
        <v>0.0226</v>
      </c>
      <c r="AJ330" s="25" t="n">
        <v>1.13069023713817</v>
      </c>
      <c r="AK330" s="29" t="n">
        <v>0.322164951769929</v>
      </c>
      <c r="AN330" s="4" t="n">
        <f aca="false">(N330-$N$344)/$N$345</f>
        <v>0.153979036551906</v>
      </c>
      <c r="AO330" s="4" t="n">
        <f aca="false">(S330-$S$344)/$S$345</f>
        <v>0.22364233233943</v>
      </c>
      <c r="AP330" s="4" t="n">
        <f aca="false">(Z330-$Z$344)/$Z$345</f>
        <v>0.032664866945355</v>
      </c>
      <c r="AQ330" s="4" t="n">
        <f aca="false">(AE330-$AE$344)/$AE$345</f>
        <v>0.735141978492455</v>
      </c>
    </row>
    <row r="331" customFormat="false" ht="14.25" hidden="false" customHeight="false" outlineLevel="0" collapsed="false">
      <c r="B331" s="1" t="n">
        <v>32.3</v>
      </c>
      <c r="C331" s="1" t="n">
        <v>1</v>
      </c>
      <c r="D331" s="2" t="n">
        <v>60</v>
      </c>
      <c r="E331" s="4" t="n">
        <v>2.81086951894943</v>
      </c>
      <c r="F331" s="1" t="n">
        <v>38.3</v>
      </c>
      <c r="G331" s="1" t="n">
        <v>54.4</v>
      </c>
      <c r="H331" s="3" t="n">
        <v>120.446116576203</v>
      </c>
      <c r="I331" s="1" t="n">
        <v>381</v>
      </c>
      <c r="J331" s="39" t="n">
        <v>326.6</v>
      </c>
      <c r="K331" s="27" t="n">
        <v>200</v>
      </c>
      <c r="L331" s="39" t="n">
        <v>190.4</v>
      </c>
      <c r="M331" s="4" t="n">
        <v>0.36</v>
      </c>
      <c r="N331" s="26" t="n">
        <v>0.255961797903482</v>
      </c>
      <c r="O331" s="27" t="n">
        <v>269.307876178686</v>
      </c>
      <c r="P331" s="27" t="n">
        <v>63.8311467874253</v>
      </c>
      <c r="Q331" s="28" t="n">
        <v>0.061876058158272</v>
      </c>
      <c r="R331" s="25" t="n">
        <v>0.711004994176338</v>
      </c>
      <c r="S331" s="29" t="n">
        <v>0.266795835477021</v>
      </c>
      <c r="T331" s="27" t="n">
        <v>269.307876178686</v>
      </c>
      <c r="U331" s="27" t="n">
        <v>118</v>
      </c>
      <c r="V331" s="28" t="n">
        <v>0.0282248726262158</v>
      </c>
      <c r="W331" s="25" t="n">
        <f aca="false">(I331-H331)/(J331-H331)</f>
        <v>1.26388054930873</v>
      </c>
      <c r="X331" s="25" t="n">
        <f aca="false">0.5*(1+(I331-K331-L331)/(I331-K331))</f>
        <v>0.474033149171271</v>
      </c>
      <c r="Y331" s="25" t="n">
        <v>0.741099542991724</v>
      </c>
      <c r="Z331" s="26" t="n">
        <v>0.25291107303755</v>
      </c>
      <c r="AA331" s="27" t="n">
        <v>269.307876178686</v>
      </c>
      <c r="AB331" s="27" t="n">
        <v>63.8311467874253</v>
      </c>
      <c r="AC331" s="28" t="n">
        <v>0.061876058158272</v>
      </c>
      <c r="AD331" s="25" t="n">
        <v>0.702530758437638</v>
      </c>
      <c r="AE331" s="4" t="n">
        <v>0.351799313041326</v>
      </c>
      <c r="AF331" s="25" t="n">
        <v>0.46617511635916</v>
      </c>
      <c r="AG331" s="26" t="n">
        <f aca="false">SMALL(AE331:AF331,1)</f>
        <v>0.351799313041326</v>
      </c>
      <c r="AH331" s="27" t="n">
        <v>275.8</v>
      </c>
      <c r="AI331" s="28" t="n">
        <v>0.0226</v>
      </c>
      <c r="AJ331" s="25" t="n">
        <v>0.977220314003684</v>
      </c>
      <c r="AK331" s="29" t="n">
        <v>0.365203607329548</v>
      </c>
      <c r="AN331" s="4" t="n">
        <f aca="false">(N331-$N$344)/$N$345</f>
        <v>0.477961328964552</v>
      </c>
      <c r="AO331" s="4" t="n">
        <f aca="false">(S331-$S$344)/$S$345</f>
        <v>0.626560603572641</v>
      </c>
      <c r="AP331" s="4" t="n">
        <f aca="false">(Z331-$Z$344)/$Z$345</f>
        <v>0.402271693487911</v>
      </c>
      <c r="AQ331" s="4" t="n">
        <f aca="false">(AE331-$AE$344)/$AE$345</f>
        <v>1.03631581488732</v>
      </c>
    </row>
    <row r="332" customFormat="false" ht="14.25" hidden="false" customHeight="false" outlineLevel="0" collapsed="false">
      <c r="B332" s="1" t="n">
        <v>32.3</v>
      </c>
      <c r="C332" s="1" t="n">
        <v>1</v>
      </c>
      <c r="D332" s="2" t="n">
        <v>60</v>
      </c>
      <c r="E332" s="4" t="n">
        <v>2.81086951894943</v>
      </c>
      <c r="F332" s="1" t="n">
        <v>38.3</v>
      </c>
      <c r="G332" s="1" t="n">
        <v>54.4</v>
      </c>
      <c r="H332" s="3" t="n">
        <v>120.446116576203</v>
      </c>
      <c r="I332" s="1" t="n">
        <v>381</v>
      </c>
      <c r="J332" s="39" t="n">
        <v>326.6</v>
      </c>
      <c r="K332" s="27" t="n">
        <v>200</v>
      </c>
      <c r="L332" s="39" t="n">
        <v>190.4</v>
      </c>
      <c r="M332" s="4" t="n">
        <v>0.42</v>
      </c>
      <c r="N332" s="26" t="n">
        <v>0.263155172760724</v>
      </c>
      <c r="O332" s="27" t="n">
        <v>275.8</v>
      </c>
      <c r="P332" s="27" t="n">
        <v>63.8311467874253</v>
      </c>
      <c r="Q332" s="28" t="n">
        <v>0.061876058158272</v>
      </c>
      <c r="R332" s="25" t="n">
        <v>0.626559935144582</v>
      </c>
      <c r="S332" s="29" t="n">
        <v>0.275521082842547</v>
      </c>
      <c r="T332" s="27" t="n">
        <v>275.8</v>
      </c>
      <c r="U332" s="27" t="n">
        <v>118</v>
      </c>
      <c r="V332" s="28" t="n">
        <v>0.0282248726262158</v>
      </c>
      <c r="W332" s="25" t="n">
        <f aca="false">(I332-H332)/(J332-H332)</f>
        <v>1.26388054930873</v>
      </c>
      <c r="X332" s="25" t="n">
        <f aca="false">0.5*(1+(I332-K332-L332)/(I332-K332))</f>
        <v>0.474033149171271</v>
      </c>
      <c r="Y332" s="25" t="n">
        <v>0.656002578196541</v>
      </c>
      <c r="Z332" s="26" t="n">
        <v>0.260018712415019</v>
      </c>
      <c r="AA332" s="27" t="n">
        <v>275.8</v>
      </c>
      <c r="AB332" s="27" t="n">
        <v>63.8311467874253</v>
      </c>
      <c r="AC332" s="28" t="n">
        <v>0.061876058158272</v>
      </c>
      <c r="AD332" s="25" t="n">
        <v>0.619092172416712</v>
      </c>
      <c r="AE332" s="4" t="n">
        <v>0.351799313041326</v>
      </c>
      <c r="AF332" s="25" t="n">
        <v>0.46617511635916</v>
      </c>
      <c r="AG332" s="26" t="n">
        <f aca="false">SMALL(AE332:AF332,1)</f>
        <v>0.351799313041326</v>
      </c>
      <c r="AH332" s="27" t="n">
        <v>275.8</v>
      </c>
      <c r="AI332" s="28" t="n">
        <v>0.0226</v>
      </c>
      <c r="AJ332" s="25" t="n">
        <v>0.837617412003157</v>
      </c>
      <c r="AK332" s="29" t="n">
        <v>0.372595330632671</v>
      </c>
      <c r="AN332" s="4" t="n">
        <f aca="false">(N332-$N$344)/$N$345</f>
        <v>0.562586530872799</v>
      </c>
      <c r="AO332" s="4" t="n">
        <f aca="false">(S332-$S$344)/$S$345</f>
        <v>0.731804133401746</v>
      </c>
      <c r="AP332" s="4" t="n">
        <f aca="false">(Z332-$Z$344)/$Z$345</f>
        <v>0.498814168355618</v>
      </c>
      <c r="AQ332" s="4" t="n">
        <f aca="false">(AE332-$AE$344)/$AE$345</f>
        <v>1.03631581488732</v>
      </c>
    </row>
    <row r="333" customFormat="false" ht="14.25" hidden="false" customHeight="false" outlineLevel="0" collapsed="false">
      <c r="A333" s="0" t="s">
        <v>102</v>
      </c>
      <c r="B333" s="1" t="n">
        <v>28.7</v>
      </c>
      <c r="C333" s="1" t="n">
        <v>2</v>
      </c>
      <c r="D333" s="2" t="n">
        <v>50.6</v>
      </c>
      <c r="E333" s="4" t="n">
        <v>2.57657861790804</v>
      </c>
      <c r="F333" s="1" t="n">
        <v>38</v>
      </c>
      <c r="G333" s="1" t="n">
        <v>52.3</v>
      </c>
      <c r="H333" s="3" t="n">
        <v>196.926616139336</v>
      </c>
      <c r="I333" s="1" t="n">
        <v>584.2</v>
      </c>
      <c r="J333" s="39" t="n">
        <v>531.9</v>
      </c>
      <c r="K333" s="27" t="n">
        <v>311</v>
      </c>
      <c r="L333" s="39" t="n">
        <v>183.05</v>
      </c>
      <c r="M333" s="4" t="n">
        <v>0.18</v>
      </c>
      <c r="N333" s="26" t="n">
        <v>0.147279370026866</v>
      </c>
      <c r="O333" s="27" t="n">
        <v>183.230305477513</v>
      </c>
      <c r="P333" s="27" t="n">
        <v>56.9148495044671</v>
      </c>
      <c r="Q333" s="28" t="n">
        <v>0.0655704777184944</v>
      </c>
      <c r="R333" s="25" t="n">
        <v>0.81821872237148</v>
      </c>
      <c r="S333" s="29" t="n">
        <v>0.148598812442692</v>
      </c>
      <c r="T333" s="27" t="n">
        <v>183.230305477513</v>
      </c>
      <c r="U333" s="27" t="n">
        <v>73</v>
      </c>
      <c r="V333" s="28" t="n">
        <v>0.0462418297139244</v>
      </c>
      <c r="W333" s="25" t="n">
        <f aca="false">(I333-H333)/(J333-H333)</f>
        <v>1.15613180783866</v>
      </c>
      <c r="X333" s="25" t="n">
        <f aca="false">0.5*(1+(I333-K333-L333)/(I333-K333))</f>
        <v>0.664989019033675</v>
      </c>
      <c r="Y333" s="25" t="n">
        <v>0.825548958014955</v>
      </c>
      <c r="Z333" s="26" t="n">
        <v>0.151771186725589</v>
      </c>
      <c r="AA333" s="27" t="n">
        <v>183.230305477513</v>
      </c>
      <c r="AB333" s="27" t="n">
        <v>56.9148495044671</v>
      </c>
      <c r="AC333" s="28" t="n">
        <v>0.0655704777184944</v>
      </c>
      <c r="AD333" s="25" t="n">
        <v>0.843173259586607</v>
      </c>
      <c r="AE333" s="4" t="n">
        <v>0.167726414997217</v>
      </c>
      <c r="AF333" s="25" t="n">
        <v>0.219341681269148</v>
      </c>
      <c r="AG333" s="26" t="n">
        <f aca="false">SMALL(AE333:AF333,1)</f>
        <v>0.167726414997217</v>
      </c>
      <c r="AH333" s="27" t="n">
        <v>192.150699986432</v>
      </c>
      <c r="AI333" s="28" t="n">
        <v>0.0317</v>
      </c>
      <c r="AJ333" s="25" t="n">
        <v>0.931813416651206</v>
      </c>
      <c r="AK333" s="29" t="n">
        <v>0.209008177949019</v>
      </c>
      <c r="AN333" s="4" t="n">
        <f aca="false">(N333-$N$344)/$N$345</f>
        <v>-0.800614108220749</v>
      </c>
      <c r="AO333" s="4" t="n">
        <f aca="false">(S333-$S$344)/$S$345</f>
        <v>-0.799126416897746</v>
      </c>
      <c r="AP333" s="4" t="n">
        <f aca="false">(Z333-$Z$344)/$Z$345</f>
        <v>-0.971502975405303</v>
      </c>
      <c r="AQ333" s="4" t="n">
        <f aca="false">(AE333-$AE$344)/$AE$345</f>
        <v>-1.28334635590168</v>
      </c>
    </row>
    <row r="334" customFormat="false" ht="14.25" hidden="false" customHeight="false" outlineLevel="0" collapsed="false">
      <c r="B334" s="1" t="n">
        <v>28.7</v>
      </c>
      <c r="C334" s="1" t="n">
        <v>2</v>
      </c>
      <c r="D334" s="2" t="n">
        <v>50.6</v>
      </c>
      <c r="E334" s="4" t="n">
        <v>2.57657861790804</v>
      </c>
      <c r="F334" s="1" t="n">
        <v>38</v>
      </c>
      <c r="G334" s="1" t="n">
        <v>52.3</v>
      </c>
      <c r="H334" s="3" t="n">
        <v>196.926616139336</v>
      </c>
      <c r="I334" s="1" t="n">
        <v>584.2</v>
      </c>
      <c r="J334" s="39" t="n">
        <v>531.9</v>
      </c>
      <c r="K334" s="27" t="n">
        <v>311</v>
      </c>
      <c r="L334" s="39" t="n">
        <v>183.05</v>
      </c>
      <c r="M334" s="4" t="n">
        <v>0.22</v>
      </c>
      <c r="N334" s="26" t="n">
        <v>0.183496267696468</v>
      </c>
      <c r="O334" s="27" t="n">
        <v>219.890332297519</v>
      </c>
      <c r="P334" s="27" t="n">
        <v>56.9148495044671</v>
      </c>
      <c r="Q334" s="28" t="n">
        <v>0.0655704777184944</v>
      </c>
      <c r="R334" s="25" t="n">
        <v>0.834073944074853</v>
      </c>
      <c r="S334" s="29" t="n">
        <v>0.187726687524044</v>
      </c>
      <c r="T334" s="27" t="n">
        <v>219.890332297519</v>
      </c>
      <c r="U334" s="27" t="n">
        <v>73</v>
      </c>
      <c r="V334" s="28" t="n">
        <v>0.0462418297139244</v>
      </c>
      <c r="W334" s="25" t="n">
        <f aca="false">(I334-H334)/(J334-H334)</f>
        <v>1.15613180783866</v>
      </c>
      <c r="X334" s="25" t="n">
        <f aca="false">0.5*(1+(I334-K334-L334)/(I334-K334))</f>
        <v>0.664989019033675</v>
      </c>
      <c r="Y334" s="25" t="n">
        <v>0.853303125109291</v>
      </c>
      <c r="Z334" s="26" t="n">
        <v>0.189092649587848</v>
      </c>
      <c r="AA334" s="27" t="n">
        <v>219.890332297519</v>
      </c>
      <c r="AB334" s="27" t="n">
        <v>56.9148495044671</v>
      </c>
      <c r="AC334" s="28" t="n">
        <v>0.0655704777184944</v>
      </c>
      <c r="AD334" s="25" t="n">
        <v>0.859512043581129</v>
      </c>
      <c r="AE334" s="4" t="n">
        <v>0.201284482022194</v>
      </c>
      <c r="AF334" s="25" t="n">
        <v>0.315892145780101</v>
      </c>
      <c r="AG334" s="26" t="n">
        <f aca="false">SMALL(AE334:AF334,1)</f>
        <v>0.201284482022194</v>
      </c>
      <c r="AH334" s="27" t="n">
        <v>230.595485616339</v>
      </c>
      <c r="AI334" s="28" t="n">
        <v>0.0317</v>
      </c>
      <c r="AJ334" s="25" t="n">
        <v>0.914929463737245</v>
      </c>
      <c r="AK334" s="29" t="n">
        <v>0.267460609768104</v>
      </c>
      <c r="AN334" s="4" t="n">
        <f aca="false">(N334-$N$344)/$N$345</f>
        <v>-0.374546742261866</v>
      </c>
      <c r="AO334" s="4" t="n">
        <f aca="false">(S334-$S$344)/$S$345</f>
        <v>-0.327167798905576</v>
      </c>
      <c r="AP334" s="4" t="n">
        <f aca="false">(Z334-$Z$344)/$Z$345</f>
        <v>-0.464568647556972</v>
      </c>
      <c r="AQ334" s="4" t="n">
        <f aca="false">(AE334-$AE$344)/$AE$345</f>
        <v>-0.860452060055986</v>
      </c>
    </row>
    <row r="335" customFormat="false" ht="14.25" hidden="false" customHeight="false" outlineLevel="0" collapsed="false">
      <c r="B335" s="1" t="n">
        <v>28.7</v>
      </c>
      <c r="C335" s="1" t="n">
        <v>2</v>
      </c>
      <c r="D335" s="2" t="n">
        <v>50.6</v>
      </c>
      <c r="E335" s="4" t="n">
        <v>2.57657861790804</v>
      </c>
      <c r="F335" s="1" t="n">
        <v>38</v>
      </c>
      <c r="G335" s="1" t="n">
        <v>52.3</v>
      </c>
      <c r="H335" s="3" t="n">
        <v>196.926616139336</v>
      </c>
      <c r="I335" s="1" t="n">
        <v>584.2</v>
      </c>
      <c r="J335" s="39" t="n">
        <v>531.9</v>
      </c>
      <c r="K335" s="27" t="n">
        <v>311</v>
      </c>
      <c r="L335" s="39" t="n">
        <v>183.05</v>
      </c>
      <c r="M335" s="4" t="n">
        <v>0.27</v>
      </c>
      <c r="N335" s="26" t="n">
        <v>0.211435017327303</v>
      </c>
      <c r="O335" s="27" t="n">
        <v>248.170924415809</v>
      </c>
      <c r="P335" s="27" t="n">
        <v>56.9148495044671</v>
      </c>
      <c r="Q335" s="28" t="n">
        <v>0.0655704777184944</v>
      </c>
      <c r="R335" s="25" t="n">
        <v>0.783092656767788</v>
      </c>
      <c r="S335" s="29" t="n">
        <v>0.217911048301087</v>
      </c>
      <c r="T335" s="27" t="n">
        <v>248.170924415809</v>
      </c>
      <c r="U335" s="27" t="n">
        <v>73</v>
      </c>
      <c r="V335" s="28" t="n">
        <v>0.0462418297139244</v>
      </c>
      <c r="W335" s="25" t="n">
        <f aca="false">(I335-H335)/(J335-H335)</f>
        <v>1.15613180783866</v>
      </c>
      <c r="X335" s="25" t="n">
        <f aca="false">0.5*(1+(I335-K335-L335)/(I335-K335))</f>
        <v>0.664989019033675</v>
      </c>
      <c r="Y335" s="25" t="n">
        <v>0.807077956670693</v>
      </c>
      <c r="Z335" s="26" t="n">
        <v>0.217883492367305</v>
      </c>
      <c r="AA335" s="27" t="n">
        <v>248.170924415809</v>
      </c>
      <c r="AB335" s="27" t="n">
        <v>56.9148495044671</v>
      </c>
      <c r="AC335" s="28" t="n">
        <v>0.0655704777184944</v>
      </c>
      <c r="AD335" s="25" t="n">
        <v>0.806975897656686</v>
      </c>
      <c r="AE335" s="4" t="n">
        <v>0.227172133727176</v>
      </c>
      <c r="AF335" s="25" t="n">
        <v>0.40237255763656</v>
      </c>
      <c r="AG335" s="26" t="n">
        <f aca="false">SMALL(AE335:AF335,1)</f>
        <v>0.227172133727176</v>
      </c>
      <c r="AH335" s="27" t="n">
        <v>260.252891673696</v>
      </c>
      <c r="AI335" s="28" t="n">
        <v>0.0317</v>
      </c>
      <c r="AJ335" s="25" t="n">
        <v>0.841378273063615</v>
      </c>
      <c r="AK335" s="29" t="n">
        <v>0.312552485742826</v>
      </c>
      <c r="AN335" s="4" t="n">
        <f aca="false">(N335-$N$344)/$N$345</f>
        <v>-0.0458662028078707</v>
      </c>
      <c r="AO335" s="4" t="n">
        <f aca="false">(S335-$S$344)/$S$345</f>
        <v>0.0369145635455271</v>
      </c>
      <c r="AP335" s="4" t="n">
        <f aca="false">(Z335-$Z$344)/$Z$345</f>
        <v>-0.073505023216831</v>
      </c>
      <c r="AQ335" s="4" t="n">
        <f aca="false">(AE335-$AE$344)/$AE$345</f>
        <v>-0.534219317546448</v>
      </c>
    </row>
    <row r="336" customFormat="false" ht="14.25" hidden="false" customHeight="false" outlineLevel="0" collapsed="false">
      <c r="B336" s="1" t="n">
        <v>28.7</v>
      </c>
      <c r="C336" s="1" t="n">
        <v>2</v>
      </c>
      <c r="D336" s="2" t="n">
        <v>50.6</v>
      </c>
      <c r="E336" s="4" t="n">
        <v>2.57657861790804</v>
      </c>
      <c r="F336" s="1" t="n">
        <v>38</v>
      </c>
      <c r="G336" s="1" t="n">
        <v>52.3</v>
      </c>
      <c r="H336" s="3" t="n">
        <v>196.926616139336</v>
      </c>
      <c r="I336" s="1" t="n">
        <v>584.2</v>
      </c>
      <c r="J336" s="39" t="n">
        <v>531.9</v>
      </c>
      <c r="K336" s="27" t="n">
        <v>311</v>
      </c>
      <c r="L336" s="39" t="n">
        <v>183.05</v>
      </c>
      <c r="M336" s="4" t="n">
        <v>0.32</v>
      </c>
      <c r="N336" s="26" t="n">
        <v>0.238730125649271</v>
      </c>
      <c r="O336" s="27" t="n">
        <v>275.8</v>
      </c>
      <c r="P336" s="27" t="n">
        <v>56.9148495044671</v>
      </c>
      <c r="Q336" s="28" t="n">
        <v>0.0655704777184944</v>
      </c>
      <c r="R336" s="25" t="n">
        <v>0.746031642653973</v>
      </c>
      <c r="S336" s="29" t="n">
        <v>0.247400034312454</v>
      </c>
      <c r="T336" s="27" t="n">
        <v>275.8</v>
      </c>
      <c r="U336" s="27" t="n">
        <v>73</v>
      </c>
      <c r="V336" s="28" t="n">
        <v>0.0462418297139244</v>
      </c>
      <c r="W336" s="25" t="n">
        <f aca="false">(I336-H336)/(J336-H336)</f>
        <v>1.15613180783866</v>
      </c>
      <c r="X336" s="25" t="n">
        <f aca="false">0.5*(1+(I336-K336-L336)/(I336-K336))</f>
        <v>0.664989019033675</v>
      </c>
      <c r="Y336" s="25" t="n">
        <v>0.773125107226418</v>
      </c>
      <c r="Z336" s="26" t="n">
        <v>0.246011063669878</v>
      </c>
      <c r="AA336" s="27" t="n">
        <v>275.8</v>
      </c>
      <c r="AB336" s="27" t="n">
        <v>56.9148495044671</v>
      </c>
      <c r="AC336" s="28" t="n">
        <v>0.0655704777184944</v>
      </c>
      <c r="AD336" s="25" t="n">
        <v>0.768784573968368</v>
      </c>
      <c r="AE336" s="4" t="n">
        <v>0.240743048344341</v>
      </c>
      <c r="AF336" s="25" t="n">
        <v>0.451882736344365</v>
      </c>
      <c r="AG336" s="26" t="n">
        <f aca="false">SMALL(AE336:AF336,1)</f>
        <v>0.240743048344341</v>
      </c>
      <c r="AH336" s="27" t="n">
        <v>275.8</v>
      </c>
      <c r="AI336" s="28" t="n">
        <v>0.0317</v>
      </c>
      <c r="AJ336" s="25" t="n">
        <v>0.752322026076065</v>
      </c>
      <c r="AK336" s="29" t="n">
        <v>0.353300028125895</v>
      </c>
      <c r="AN336" s="4" t="n">
        <f aca="false">(N336-$N$344)/$N$345</f>
        <v>0.275242330904691</v>
      </c>
      <c r="AO336" s="4" t="n">
        <f aca="false">(S336-$S$344)/$S$345</f>
        <v>0.392609347762109</v>
      </c>
      <c r="AP336" s="4" t="n">
        <f aca="false">(Z336-$Z$344)/$Z$345</f>
        <v>0.3085494397848</v>
      </c>
      <c r="AQ336" s="4" t="n">
        <f aca="false">(AE336-$AE$344)/$AE$345</f>
        <v>-0.363200457111594</v>
      </c>
    </row>
    <row r="337" customFormat="false" ht="14.25" hidden="false" customHeight="false" outlineLevel="0" collapsed="false">
      <c r="A337" s="0" t="s">
        <v>103</v>
      </c>
      <c r="B337" s="1" t="n">
        <v>28.7</v>
      </c>
      <c r="C337" s="1" t="n">
        <v>2</v>
      </c>
      <c r="D337" s="2" t="n">
        <v>50.6</v>
      </c>
      <c r="E337" s="4" t="n">
        <v>2.57657861790804</v>
      </c>
      <c r="F337" s="1" t="n">
        <v>38</v>
      </c>
      <c r="G337" s="1" t="n">
        <v>52.3</v>
      </c>
      <c r="H337" s="3" t="n">
        <v>196.926616139336</v>
      </c>
      <c r="I337" s="1" t="n">
        <v>584.2</v>
      </c>
      <c r="J337" s="39" t="n">
        <v>531.9</v>
      </c>
      <c r="K337" s="27" t="n">
        <v>311</v>
      </c>
      <c r="L337" s="39" t="n">
        <v>183.05</v>
      </c>
      <c r="M337" s="4" t="n">
        <v>0.16</v>
      </c>
      <c r="N337" s="26" t="n">
        <v>0.183496267696468</v>
      </c>
      <c r="O337" s="27" t="n">
        <v>219.890332297519</v>
      </c>
      <c r="P337" s="27" t="n">
        <v>56.9148495044671</v>
      </c>
      <c r="Q337" s="28" t="n">
        <v>0.0655704777184944</v>
      </c>
      <c r="R337" s="25" t="n">
        <v>1.14685167310292</v>
      </c>
      <c r="S337" s="29" t="n">
        <v>0.187726687524044</v>
      </c>
      <c r="T337" s="27" t="n">
        <v>219.890332297519</v>
      </c>
      <c r="U337" s="27" t="n">
        <v>73</v>
      </c>
      <c r="V337" s="28" t="n">
        <v>0.0462418297139244</v>
      </c>
      <c r="W337" s="25" t="n">
        <f aca="false">(I337-H337)/(J337-H337)</f>
        <v>1.15613180783866</v>
      </c>
      <c r="X337" s="25" t="n">
        <f aca="false">0.5*(1+(I337-K337-L337)/(I337-K337))</f>
        <v>0.664989019033675</v>
      </c>
      <c r="Y337" s="25" t="n">
        <v>1.17329179702528</v>
      </c>
      <c r="Z337" s="26" t="n">
        <v>0.189092649587848</v>
      </c>
      <c r="AA337" s="27" t="n">
        <v>219.890332297519</v>
      </c>
      <c r="AB337" s="27" t="n">
        <v>56.9148495044671</v>
      </c>
      <c r="AC337" s="28" t="n">
        <v>0.0655704777184944</v>
      </c>
      <c r="AD337" s="25" t="n">
        <v>1.18182905992405</v>
      </c>
      <c r="AE337" s="4" t="n">
        <v>0.201284482022194</v>
      </c>
      <c r="AF337" s="25" t="n">
        <v>0.315892145780101</v>
      </c>
      <c r="AG337" s="26" t="n">
        <f aca="false">SMALL(AE337:AF337,1)</f>
        <v>0.201284482022194</v>
      </c>
      <c r="AH337" s="27" t="n">
        <v>230.595485616339</v>
      </c>
      <c r="AI337" s="28" t="n">
        <v>0.0317</v>
      </c>
      <c r="AJ337" s="25" t="n">
        <v>1.25802801263871</v>
      </c>
      <c r="AK337" s="29" t="n">
        <v>0.267460609768104</v>
      </c>
      <c r="AN337" s="4" t="n">
        <f aca="false">(N337-$N$344)/$N$345</f>
        <v>-0.374546742261866</v>
      </c>
      <c r="AO337" s="4" t="n">
        <f aca="false">(S337-$S$344)/$S$345</f>
        <v>-0.327167798905576</v>
      </c>
      <c r="AP337" s="4" t="n">
        <f aca="false">(Z337-$Z$344)/$Z$345</f>
        <v>-0.464568647556972</v>
      </c>
      <c r="AQ337" s="4" t="n">
        <f aca="false">(AE337-$AE$344)/$AE$345</f>
        <v>-0.860452060055986</v>
      </c>
    </row>
    <row r="338" customFormat="false" ht="14.25" hidden="false" customHeight="false" outlineLevel="0" collapsed="false">
      <c r="B338" s="1" t="n">
        <v>28.7</v>
      </c>
      <c r="C338" s="1" t="n">
        <v>2</v>
      </c>
      <c r="D338" s="2" t="n">
        <v>50.6</v>
      </c>
      <c r="E338" s="4" t="n">
        <v>2.57657861790804</v>
      </c>
      <c r="F338" s="1" t="n">
        <v>38</v>
      </c>
      <c r="G338" s="1" t="n">
        <v>52.3</v>
      </c>
      <c r="H338" s="3" t="n">
        <v>196.926616139336</v>
      </c>
      <c r="I338" s="1" t="n">
        <v>584.2</v>
      </c>
      <c r="J338" s="39" t="n">
        <v>531.9</v>
      </c>
      <c r="K338" s="27" t="n">
        <v>311</v>
      </c>
      <c r="L338" s="39" t="n">
        <v>183.05</v>
      </c>
      <c r="M338" s="4" t="n">
        <v>0.19</v>
      </c>
      <c r="N338" s="26" t="n">
        <v>0.211435017327303</v>
      </c>
      <c r="O338" s="27" t="n">
        <v>248.170924415809</v>
      </c>
      <c r="P338" s="27" t="n">
        <v>56.9148495044671</v>
      </c>
      <c r="Q338" s="28" t="n">
        <v>0.0655704777184944</v>
      </c>
      <c r="R338" s="25" t="n">
        <v>1.11281588067001</v>
      </c>
      <c r="S338" s="29" t="n">
        <v>0.217911048301087</v>
      </c>
      <c r="T338" s="27" t="n">
        <v>248.170924415809</v>
      </c>
      <c r="U338" s="27" t="n">
        <v>73</v>
      </c>
      <c r="V338" s="28" t="n">
        <v>0.0462418297139244</v>
      </c>
      <c r="W338" s="25" t="n">
        <f aca="false">(I338-H338)/(J338-H338)</f>
        <v>1.15613180783866</v>
      </c>
      <c r="X338" s="25" t="n">
        <f aca="false">0.5*(1+(I338-K338-L338)/(I338-K338))</f>
        <v>0.664989019033675</v>
      </c>
      <c r="Y338" s="25" t="n">
        <v>1.14690025421625</v>
      </c>
      <c r="Z338" s="26" t="n">
        <v>0.217883492367305</v>
      </c>
      <c r="AA338" s="27" t="n">
        <v>248.170924415809</v>
      </c>
      <c r="AB338" s="27" t="n">
        <v>56.9148495044671</v>
      </c>
      <c r="AC338" s="28" t="n">
        <v>0.0655704777184944</v>
      </c>
      <c r="AD338" s="25" t="n">
        <v>1.14675522298582</v>
      </c>
      <c r="AE338" s="4" t="n">
        <v>0.227172133727176</v>
      </c>
      <c r="AF338" s="25" t="n">
        <v>0.40237255763656</v>
      </c>
      <c r="AG338" s="26" t="n">
        <f aca="false">SMALL(AE338:AF338,1)</f>
        <v>0.227172133727176</v>
      </c>
      <c r="AH338" s="27" t="n">
        <v>260.252891673696</v>
      </c>
      <c r="AI338" s="28" t="n">
        <v>0.0317</v>
      </c>
      <c r="AJ338" s="25" t="n">
        <v>1.1956428090904</v>
      </c>
      <c r="AK338" s="29" t="n">
        <v>0.312552485742826</v>
      </c>
      <c r="AN338" s="4" t="n">
        <f aca="false">(N338-$N$344)/$N$345</f>
        <v>-0.0458662028078707</v>
      </c>
      <c r="AO338" s="4" t="n">
        <f aca="false">(S338-$S$344)/$S$345</f>
        <v>0.0369145635455271</v>
      </c>
      <c r="AP338" s="4" t="n">
        <f aca="false">(Z338-$Z$344)/$Z$345</f>
        <v>-0.073505023216831</v>
      </c>
      <c r="AQ338" s="4" t="n">
        <f aca="false">(AE338-$AE$344)/$AE$345</f>
        <v>-0.534219317546448</v>
      </c>
    </row>
    <row r="339" customFormat="false" ht="14.25" hidden="false" customHeight="false" outlineLevel="0" collapsed="false">
      <c r="B339" s="1" t="n">
        <v>28.7</v>
      </c>
      <c r="C339" s="1" t="n">
        <v>2</v>
      </c>
      <c r="D339" s="2" t="n">
        <v>50.6</v>
      </c>
      <c r="E339" s="4" t="n">
        <v>2.57657861790804</v>
      </c>
      <c r="F339" s="1" t="n">
        <v>38</v>
      </c>
      <c r="G339" s="1" t="n">
        <v>52.3</v>
      </c>
      <c r="H339" s="3" t="n">
        <v>196.926616139336</v>
      </c>
      <c r="I339" s="1" t="n">
        <v>584.2</v>
      </c>
      <c r="J339" s="39" t="n">
        <v>531.9</v>
      </c>
      <c r="K339" s="27" t="n">
        <v>311</v>
      </c>
      <c r="L339" s="39" t="n">
        <v>183.05</v>
      </c>
      <c r="M339" s="4" t="n">
        <v>0.22</v>
      </c>
      <c r="N339" s="26" t="n">
        <v>0.238730125649271</v>
      </c>
      <c r="O339" s="27" t="n">
        <v>275.8</v>
      </c>
      <c r="P339" s="27" t="n">
        <v>56.9148495044671</v>
      </c>
      <c r="Q339" s="28" t="n">
        <v>0.0655704777184944</v>
      </c>
      <c r="R339" s="25" t="n">
        <v>1.08513693476942</v>
      </c>
      <c r="S339" s="29" t="n">
        <v>0.247400034312454</v>
      </c>
      <c r="T339" s="27" t="n">
        <v>275.8</v>
      </c>
      <c r="U339" s="27" t="n">
        <v>73</v>
      </c>
      <c r="V339" s="28" t="n">
        <v>0.0462418297139244</v>
      </c>
      <c r="W339" s="25" t="n">
        <f aca="false">(I339-H339)/(J339-H339)</f>
        <v>1.15613180783866</v>
      </c>
      <c r="X339" s="25" t="n">
        <f aca="false">0.5*(1+(I339-K339-L339)/(I339-K339))</f>
        <v>0.664989019033675</v>
      </c>
      <c r="Y339" s="25" t="n">
        <v>1.12454561051115</v>
      </c>
      <c r="Z339" s="26" t="n">
        <v>0.246011063669878</v>
      </c>
      <c r="AA339" s="27" t="n">
        <v>275.8</v>
      </c>
      <c r="AB339" s="27" t="n">
        <v>56.9148495044671</v>
      </c>
      <c r="AC339" s="28" t="n">
        <v>0.0655704777184944</v>
      </c>
      <c r="AD339" s="25" t="n">
        <v>1.11823210759035</v>
      </c>
      <c r="AE339" s="4" t="n">
        <v>0.240743048344341</v>
      </c>
      <c r="AF339" s="25" t="n">
        <v>0.451882736344365</v>
      </c>
      <c r="AG339" s="26" t="n">
        <f aca="false">SMALL(AE339:AF339,1)</f>
        <v>0.240743048344341</v>
      </c>
      <c r="AH339" s="27" t="n">
        <v>275.8</v>
      </c>
      <c r="AI339" s="28" t="n">
        <v>0.0317</v>
      </c>
      <c r="AJ339" s="25" t="n">
        <v>1.09428658338337</v>
      </c>
      <c r="AK339" s="29" t="n">
        <v>0.353300028125895</v>
      </c>
      <c r="AN339" s="4" t="n">
        <f aca="false">(N339-$N$344)/$N$345</f>
        <v>0.275242330904691</v>
      </c>
      <c r="AO339" s="4" t="n">
        <f aca="false">(S339-$S$344)/$S$345</f>
        <v>0.392609347762109</v>
      </c>
      <c r="AP339" s="4" t="n">
        <f aca="false">(Z339-$Z$344)/$Z$345</f>
        <v>0.3085494397848</v>
      </c>
      <c r="AQ339" s="4" t="n">
        <f aca="false">(AE339-$AE$344)/$AE$345</f>
        <v>-0.363200457111594</v>
      </c>
    </row>
    <row r="340" customFormat="false" ht="14.25" hidden="false" customHeight="false" outlineLevel="0" collapsed="false">
      <c r="A340" s="0" t="s">
        <v>104</v>
      </c>
      <c r="B340" s="1" t="n">
        <v>35.8</v>
      </c>
      <c r="C340" s="1" t="n">
        <v>2</v>
      </c>
      <c r="D340" s="2" t="n">
        <v>36.4</v>
      </c>
      <c r="E340" s="4" t="n">
        <v>2.54783553354044</v>
      </c>
      <c r="F340" s="1" t="n">
        <v>38</v>
      </c>
      <c r="G340" s="1" t="n">
        <v>55.9</v>
      </c>
      <c r="H340" s="3" t="n">
        <v>231.967079154845</v>
      </c>
      <c r="I340" s="1" t="n">
        <v>584.2</v>
      </c>
      <c r="J340" s="39" t="n">
        <v>528.3</v>
      </c>
      <c r="K340" s="27" t="n">
        <v>320</v>
      </c>
      <c r="L340" s="39" t="n">
        <v>195.65</v>
      </c>
      <c r="M340" s="4" t="n">
        <v>0.17</v>
      </c>
      <c r="N340" s="26" t="n">
        <v>0.131533744653219</v>
      </c>
      <c r="O340" s="27" t="n">
        <v>184.086480713456</v>
      </c>
      <c r="P340" s="27" t="n">
        <v>40.1803048759477</v>
      </c>
      <c r="Q340" s="28" t="n">
        <v>0.112443490851356</v>
      </c>
      <c r="R340" s="25" t="n">
        <v>0.773727909724816</v>
      </c>
      <c r="S340" s="29" t="n">
        <v>0.150622088413142</v>
      </c>
      <c r="T340" s="27" t="n">
        <v>184.086480713456</v>
      </c>
      <c r="U340" s="27" t="n">
        <v>55</v>
      </c>
      <c r="V340" s="28" t="n">
        <v>0.0674781484157056</v>
      </c>
      <c r="W340" s="25" t="n">
        <f aca="false">(I340-H340)/(J340-H340)</f>
        <v>1.18863918271575</v>
      </c>
      <c r="X340" s="25" t="n">
        <f aca="false">0.5*(1+(I340-K340-L340)/(I340-K340))</f>
        <v>0.629731264193793</v>
      </c>
      <c r="Y340" s="25" t="n">
        <v>0.886012284783186</v>
      </c>
      <c r="Z340" s="26" t="n">
        <v>0.146640079165194</v>
      </c>
      <c r="AA340" s="27" t="n">
        <v>184.086480713456</v>
      </c>
      <c r="AB340" s="27" t="n">
        <v>40.1803048759477</v>
      </c>
      <c r="AC340" s="28" t="n">
        <v>0.112443490851356</v>
      </c>
      <c r="AD340" s="25" t="n">
        <v>0.86258870097173</v>
      </c>
      <c r="AE340" s="4" t="n">
        <v>0.176751569062933</v>
      </c>
      <c r="AF340" s="25" t="n">
        <v>0.281743427726281</v>
      </c>
      <c r="AG340" s="26" t="n">
        <f aca="false">SMALL(AE340:AF340,1)</f>
        <v>0.176751569062933</v>
      </c>
      <c r="AH340" s="27" t="n">
        <v>194</v>
      </c>
      <c r="AI340" s="28" t="n">
        <v>0.0407</v>
      </c>
      <c r="AJ340" s="25" t="n">
        <v>1.0397151121349</v>
      </c>
      <c r="AK340" s="29" t="n">
        <v>0.208696011986029</v>
      </c>
      <c r="AN340" s="4" t="n">
        <f aca="false">(N340-$N$344)/$N$345</f>
        <v>-0.985850767349519</v>
      </c>
      <c r="AO340" s="4" t="n">
        <f aca="false">(S340-$S$344)/$S$345</f>
        <v>-0.774721755800132</v>
      </c>
      <c r="AP340" s="4" t="n">
        <f aca="false">(Z340-$Z$344)/$Z$345</f>
        <v>-1.04119838289365</v>
      </c>
      <c r="AQ340" s="4" t="n">
        <f aca="false">(AE340-$AE$344)/$AE$345</f>
        <v>-1.16961256513599</v>
      </c>
    </row>
    <row r="341" customFormat="false" ht="14.25" hidden="false" customHeight="false" outlineLevel="0" collapsed="false">
      <c r="A341" s="0" t="s">
        <v>105</v>
      </c>
      <c r="B341" s="1" t="n">
        <v>35.8</v>
      </c>
      <c r="C341" s="1" t="n">
        <v>2</v>
      </c>
      <c r="D341" s="2" t="n">
        <v>36.4</v>
      </c>
      <c r="E341" s="4" t="n">
        <v>2.75637342683892</v>
      </c>
      <c r="F341" s="1" t="n">
        <v>38</v>
      </c>
      <c r="G341" s="1" t="n">
        <v>55.9</v>
      </c>
      <c r="H341" s="3" t="n">
        <v>228.699800687537</v>
      </c>
      <c r="I341" s="1" t="n">
        <v>584.2</v>
      </c>
      <c r="J341" s="39" t="n">
        <v>528.3</v>
      </c>
      <c r="K341" s="27" t="n">
        <v>319</v>
      </c>
      <c r="L341" s="39" t="n">
        <v>195.65</v>
      </c>
      <c r="M341" s="4" t="n">
        <v>0.19</v>
      </c>
      <c r="N341" s="26" t="n">
        <v>0.0975146498415218</v>
      </c>
      <c r="O341" s="27" t="n">
        <v>143.792876986957</v>
      </c>
      <c r="P341" s="27" t="n">
        <v>42.9652482285393</v>
      </c>
      <c r="Q341" s="28" t="n">
        <v>0.111410061904879</v>
      </c>
      <c r="R341" s="25" t="n">
        <v>0.513234999165904</v>
      </c>
      <c r="S341" s="29" t="n">
        <v>0.108061002295251</v>
      </c>
      <c r="T341" s="27" t="n">
        <v>143.792876986957</v>
      </c>
      <c r="U341" s="27" t="n">
        <v>59</v>
      </c>
      <c r="V341" s="28" t="n">
        <v>0.0674781484157056</v>
      </c>
      <c r="W341" s="25" t="n">
        <f aca="false">(I341-H341)/(J341-H341)</f>
        <v>1.18658198535342</v>
      </c>
      <c r="X341" s="25" t="n">
        <f aca="false">0.5*(1+(I341-K341-L341)/(I341-K341))</f>
        <v>0.631127450980392</v>
      </c>
      <c r="Y341" s="25" t="n">
        <v>0.568742117343427</v>
      </c>
      <c r="Z341" s="26" t="n">
        <v>0.108470561427934</v>
      </c>
      <c r="AA341" s="27" t="n">
        <v>143.792876986957</v>
      </c>
      <c r="AB341" s="27" t="n">
        <v>42.9652482285393</v>
      </c>
      <c r="AC341" s="28" t="n">
        <v>0.111410061904879</v>
      </c>
      <c r="AD341" s="25" t="n">
        <v>0.570897691725971</v>
      </c>
      <c r="AE341" s="4" t="n">
        <v>0.138396878567255</v>
      </c>
      <c r="AF341" s="25" t="n">
        <v>0.159666264321595</v>
      </c>
      <c r="AG341" s="26" t="n">
        <f aca="false">SMALL(AE341:AF341,1)</f>
        <v>0.138396878567255</v>
      </c>
      <c r="AH341" s="27" t="n">
        <v>151.822008332018</v>
      </c>
      <c r="AI341" s="28" t="n">
        <v>0.0407</v>
      </c>
      <c r="AJ341" s="25" t="n">
        <v>0.728404624038183</v>
      </c>
      <c r="AK341" s="29" t="n">
        <v>0.149306864827304</v>
      </c>
      <c r="AN341" s="4" t="n">
        <f aca="false">(N341-$N$344)/$N$345</f>
        <v>-1.38606246551745</v>
      </c>
      <c r="AO341" s="4" t="n">
        <f aca="false">(S341-$S$344)/$S$345</f>
        <v>-1.28809160639083</v>
      </c>
      <c r="AP341" s="4" t="n">
        <f aca="false">(Z341-$Z$344)/$Z$345</f>
        <v>-1.55965176961767</v>
      </c>
      <c r="AQ341" s="4" t="n">
        <f aca="false">(AE341-$AE$344)/$AE$345</f>
        <v>-1.65295327178269</v>
      </c>
    </row>
    <row r="342" customFormat="false" ht="14.25" hidden="false" customHeight="false" outlineLevel="0" collapsed="false">
      <c r="B342" s="1" t="n">
        <v>35.8</v>
      </c>
      <c r="C342" s="1" t="n">
        <v>2</v>
      </c>
      <c r="D342" s="2" t="n">
        <v>36.4</v>
      </c>
      <c r="E342" s="4" t="n">
        <v>2.75637342683892</v>
      </c>
      <c r="F342" s="1" t="n">
        <v>38</v>
      </c>
      <c r="G342" s="1" t="n">
        <v>55.9</v>
      </c>
      <c r="H342" s="3" t="n">
        <v>228.699800687537</v>
      </c>
      <c r="I342" s="1" t="n">
        <v>584.2</v>
      </c>
      <c r="J342" s="39" t="n">
        <v>528.3</v>
      </c>
      <c r="K342" s="3" t="n">
        <v>319</v>
      </c>
      <c r="L342" s="2" t="n">
        <v>195.65</v>
      </c>
      <c r="M342" s="4" t="n">
        <v>0.25</v>
      </c>
      <c r="N342" s="26" t="n">
        <v>0.130442766845764</v>
      </c>
      <c r="O342" s="27" t="n">
        <v>183.642990294518</v>
      </c>
      <c r="P342" s="27" t="n">
        <v>42.9652482285393</v>
      </c>
      <c r="Q342" s="28" t="n">
        <v>0.111410061904879</v>
      </c>
      <c r="R342" s="25" t="n">
        <v>0.521771067383056</v>
      </c>
      <c r="S342" s="29" t="n">
        <v>0.147805128211685</v>
      </c>
      <c r="T342" s="27" t="n">
        <v>183.642990294518</v>
      </c>
      <c r="U342" s="27" t="n">
        <v>59</v>
      </c>
      <c r="V342" s="12" t="n">
        <v>0.0674781484157056</v>
      </c>
      <c r="W342" s="25" t="n">
        <f aca="false">(I342-H342)/(J342-H342)</f>
        <v>1.18658198535342</v>
      </c>
      <c r="X342" s="25" t="n">
        <f aca="false">0.5*(1+(I342-K342-L342)/(I342-K342))</f>
        <v>0.631127450980392</v>
      </c>
      <c r="Y342" s="25" t="n">
        <v>0.591220512846738</v>
      </c>
      <c r="Z342" s="26" t="n">
        <v>0.145098199880409</v>
      </c>
      <c r="AA342" s="27" t="n">
        <v>183.642990294518</v>
      </c>
      <c r="AB342" s="27" t="n">
        <v>42.9652482285393</v>
      </c>
      <c r="AC342" s="28" t="n">
        <v>0.111410061904879</v>
      </c>
      <c r="AD342" s="25" t="n">
        <v>0.580392799521635</v>
      </c>
      <c r="AE342" s="4" t="n">
        <v>0.176751569062933</v>
      </c>
      <c r="AF342" s="25" t="n">
        <v>0.260427672648744</v>
      </c>
      <c r="AG342" s="26" t="n">
        <f aca="false">SMALL(AE342:AF342,1)</f>
        <v>0.176751569062933</v>
      </c>
      <c r="AH342" s="27" t="n">
        <v>193.897279106113</v>
      </c>
      <c r="AI342" s="28" t="n">
        <v>0.0407</v>
      </c>
      <c r="AJ342" s="25" t="n">
        <v>0.707006276251731</v>
      </c>
      <c r="AK342" s="29" t="n">
        <v>0.204833554289562</v>
      </c>
      <c r="AN342" s="4" t="n">
        <f aca="false">(N342-$N$344)/$N$345</f>
        <v>-0.998685385184053</v>
      </c>
      <c r="AO342" s="4" t="n">
        <f aca="false">(S342-$S$344)/$S$345</f>
        <v>-0.808699799352315</v>
      </c>
      <c r="AP342" s="4" t="n">
        <f aca="false">(Z342-$Z$344)/$Z$345</f>
        <v>-1.06214160105583</v>
      </c>
      <c r="AQ342" s="4" t="n">
        <f aca="false">(AE342-$AE$344)/$AE$345</f>
        <v>-1.16961256513599</v>
      </c>
    </row>
    <row r="344" customFormat="false" ht="14.25" hidden="false" customHeight="false" outlineLevel="0" collapsed="false">
      <c r="A344" s="42" t="s">
        <v>149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43" t="n">
        <f aca="false">AVERAGE(N2:N342)</f>
        <v>0.215333770684879</v>
      </c>
      <c r="O344" s="28"/>
      <c r="P344" s="28"/>
      <c r="R344" s="28"/>
      <c r="S344" s="43" t="n">
        <f aca="false">AVERAGE(S2:S342)</f>
        <v>0.214850635002064</v>
      </c>
      <c r="T344" s="28"/>
      <c r="U344" s="28"/>
      <c r="V344" s="12"/>
      <c r="W344" s="28"/>
      <c r="X344" s="28"/>
      <c r="Y344" s="28"/>
      <c r="Z344" s="43" t="n">
        <f aca="false">AVERAGE(Z2:Z342)</f>
        <v>0.22329507103435</v>
      </c>
      <c r="AA344" s="28"/>
      <c r="AB344" s="28"/>
      <c r="AD344" s="28"/>
      <c r="AE344" s="43" t="n">
        <f aca="false">AVERAGE(AE2:AE342)</f>
        <v>0.269564210991803</v>
      </c>
      <c r="AF344" s="28"/>
      <c r="AG344" s="43" t="n">
        <f aca="false">AVERAGE(AG2:AG342)</f>
        <v>0.230363149842568</v>
      </c>
      <c r="AH344" s="28"/>
      <c r="AJ344" s="28"/>
      <c r="AK344" s="43" t="n">
        <f aca="false">AVERAGE(AK2:AK342)</f>
        <v>0.272485825413447</v>
      </c>
      <c r="AL344" s="42"/>
      <c r="AM344" s="44"/>
      <c r="AN344" s="12"/>
      <c r="AO344" s="12"/>
      <c r="AP344" s="12"/>
      <c r="AQ344" s="12"/>
      <c r="AR344" s="12"/>
      <c r="AS344" s="12"/>
    </row>
    <row r="345" customFormat="false" ht="14.25" hidden="false" customHeight="false" outlineLevel="0" collapsed="false">
      <c r="A345" s="42" t="s">
        <v>150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43" t="n">
        <f aca="false">_xlfn.STDEV.S(N2:N342)</f>
        <v>0.0850027497132842</v>
      </c>
      <c r="O345" s="28"/>
      <c r="P345" s="28"/>
      <c r="R345" s="28"/>
      <c r="S345" s="43" t="n">
        <f aca="false">_xlfn.STDEV.S(S2:S342)</f>
        <v>0.0829053090455513</v>
      </c>
      <c r="T345" s="28"/>
      <c r="U345" s="28"/>
      <c r="V345" s="12"/>
      <c r="W345" s="28"/>
      <c r="X345" s="28"/>
      <c r="Y345" s="28"/>
      <c r="Z345" s="43" t="n">
        <f aca="false">_xlfn.STDEV.S(Z2:Z342)</f>
        <v>0.0736218890929501</v>
      </c>
      <c r="AA345" s="28"/>
      <c r="AB345" s="28"/>
      <c r="AD345" s="28"/>
      <c r="AE345" s="43" t="n">
        <f aca="false">_xlfn.STDEV.S(AE2:AE342)</f>
        <v>0.079353321514701</v>
      </c>
      <c r="AF345" s="28"/>
      <c r="AG345" s="43" t="n">
        <f aca="false">_xlfn.STDEV.S(AG2:AG342)</f>
        <v>0.078520876968048</v>
      </c>
      <c r="AH345" s="28"/>
      <c r="AJ345" s="28"/>
      <c r="AK345" s="43" t="n">
        <f aca="false">_xlfn.STDEV.S(AK2:AK342)</f>
        <v>0.10177333413234</v>
      </c>
      <c r="AL345" s="42"/>
      <c r="AM345" s="44"/>
      <c r="AN345" s="12"/>
      <c r="AO345" s="12"/>
      <c r="AP345" s="12"/>
      <c r="AQ345" s="12"/>
      <c r="AR345" s="12"/>
      <c r="AS345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5"/>
  <sheetViews>
    <sheetView showFormulas="false" showGridLines="true" showRowColHeaders="true" showZeros="true" rightToLeft="false" tabSelected="false" showOutlineSymbols="true" defaultGridColor="true" view="normal" topLeftCell="A340" colorId="64" zoomScale="130" zoomScaleNormal="130" zoomScalePageLayoutView="100" workbookViewId="0">
      <selection pane="topLeft" activeCell="D353" activeCellId="0" sqref="D35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5.89"/>
    <col collapsed="false" customWidth="true" hidden="false" outlineLevel="0" max="2" min="2" style="4" width="12"/>
    <col collapsed="false" customWidth="true" hidden="false" outlineLevel="0" max="3" min="3" style="4" width="21.78"/>
    <col collapsed="false" customWidth="true" hidden="false" outlineLevel="0" max="4" min="4" style="4" width="14.67"/>
    <col collapsed="false" customWidth="true" hidden="false" outlineLevel="0" max="5" min="5" style="4" width="25.89"/>
    <col collapsed="false" customWidth="true" hidden="false" outlineLevel="0" max="6" min="6" style="4" width="19.78"/>
    <col collapsed="false" customWidth="true" hidden="false" outlineLevel="0" max="7" min="7" style="4" width="31.11"/>
    <col collapsed="false" customWidth="true" hidden="false" outlineLevel="0" max="8" min="8" style="4" width="13.66"/>
    <col collapsed="false" customWidth="true" hidden="false" outlineLevel="0" max="9" min="9" style="4" width="24.78"/>
    <col collapsed="false" customWidth="true" hidden="false" outlineLevel="0" max="10" min="10" style="4" width="12"/>
    <col collapsed="false" customWidth="true" hidden="false" outlineLevel="0" max="11" min="11" style="4" width="23.22"/>
    <col collapsed="false" customWidth="true" hidden="false" outlineLevel="0" max="12" min="12" style="4" width="17.66"/>
    <col collapsed="false" customWidth="true" hidden="false" outlineLevel="0" max="13" min="13" style="4" width="29"/>
    <col collapsed="false" customWidth="true" hidden="false" outlineLevel="0" max="14" min="14" style="4" width="22.78"/>
    <col collapsed="false" customWidth="true" hidden="false" outlineLevel="0" max="15" min="15" style="0" width="34.22"/>
  </cols>
  <sheetData>
    <row r="1" customFormat="false" ht="14.25" hidden="false" customHeight="false" outlineLevel="0" collapsed="false">
      <c r="A1" s="0" t="s">
        <v>8</v>
      </c>
      <c r="B1" s="4" t="s">
        <v>151</v>
      </c>
      <c r="C1" s="4" t="s">
        <v>152</v>
      </c>
      <c r="D1" s="4" t="s">
        <v>153</v>
      </c>
      <c r="E1" s="4" t="s">
        <v>154</v>
      </c>
      <c r="F1" s="4" t="s">
        <v>155</v>
      </c>
      <c r="G1" s="4" t="s">
        <v>156</v>
      </c>
      <c r="H1" s="4" t="s">
        <v>157</v>
      </c>
      <c r="I1" s="4" t="s">
        <v>158</v>
      </c>
      <c r="J1" s="4" t="s">
        <v>159</v>
      </c>
      <c r="K1" s="4" t="s">
        <v>160</v>
      </c>
      <c r="L1" s="4" t="s">
        <v>161</v>
      </c>
      <c r="M1" s="4" t="s">
        <v>162</v>
      </c>
      <c r="N1" s="4" t="s">
        <v>163</v>
      </c>
      <c r="O1" s="4" t="s">
        <v>164</v>
      </c>
    </row>
    <row r="2" customFormat="false" ht="14.25" hidden="false" customHeight="false" outlineLevel="0" collapsed="false">
      <c r="A2" s="0" t="s">
        <v>22</v>
      </c>
      <c r="B2" s="4" t="n">
        <v>0.181006163923848</v>
      </c>
      <c r="C2" s="4" t="n">
        <f aca="false">(B2-B$344)/B$345</f>
        <v>-0.455574324038372</v>
      </c>
      <c r="D2" s="4" t="n">
        <v>0.296374073045296</v>
      </c>
      <c r="E2" s="4" t="n">
        <f aca="false">(D2-D$344)/D$345</f>
        <v>-0.336945530089314</v>
      </c>
      <c r="F2" s="4" t="n">
        <v>0.312684208538356</v>
      </c>
      <c r="G2" s="4" t="n">
        <f aca="false">(F2-F$344)/F$345</f>
        <v>0.303500349282234</v>
      </c>
      <c r="H2" s="4" t="n">
        <v>0.185969040479266</v>
      </c>
      <c r="I2" s="4" t="n">
        <f aca="false">(H2-H$344)/H$345</f>
        <v>-0.388285473084385</v>
      </c>
      <c r="J2" s="4" t="n">
        <v>0.129997641170062</v>
      </c>
      <c r="K2" s="4" t="n">
        <f aca="false">(J2-J$344)/J$345</f>
        <v>-0.920460049903541</v>
      </c>
      <c r="L2" s="4" t="n">
        <v>0.241527947504584</v>
      </c>
      <c r="M2" s="4" t="n">
        <f aca="false">(L2-L$344)/L$345</f>
        <v>-0.512396478230292</v>
      </c>
      <c r="N2" s="4" t="n">
        <v>0.163983888554265</v>
      </c>
      <c r="O2" s="4" t="n">
        <f aca="false">(N2-N$344)/N$345</f>
        <v>-0.935830495169131</v>
      </c>
    </row>
    <row r="3" customFormat="false" ht="14.25" hidden="false" customHeight="false" outlineLevel="0" collapsed="false">
      <c r="B3" s="4" t="n">
        <v>0.24436254780391</v>
      </c>
      <c r="C3" s="4" t="n">
        <f aca="false">(B3-B$344)/B$345</f>
        <v>0.142465905404261</v>
      </c>
      <c r="D3" s="4" t="n">
        <v>0.447049182659269</v>
      </c>
      <c r="E3" s="4" t="n">
        <f aca="false">(D3-D$344)/D$345</f>
        <v>0.825557120925776</v>
      </c>
      <c r="F3" s="4" t="n">
        <v>0.410398023706592</v>
      </c>
      <c r="G3" s="4" t="n">
        <f aca="false">(F3-F$344)/F$345</f>
        <v>1.24737738193479</v>
      </c>
      <c r="H3" s="4" t="n">
        <v>0.256203654648628</v>
      </c>
      <c r="I3" s="4" t="n">
        <f aca="false">(H3-H$344)/H$345</f>
        <v>0.612355427040371</v>
      </c>
      <c r="J3" s="4" t="n">
        <v>0.174745555735067</v>
      </c>
      <c r="K3" s="4" t="n">
        <f aca="false">(J3-J$344)/J$345</f>
        <v>-0.36383229130854</v>
      </c>
      <c r="L3" s="4" t="n">
        <v>0.317005431099766</v>
      </c>
      <c r="M3" s="4" t="n">
        <f aca="false">(L3-L$344)/L$345</f>
        <v>0.477731407688144</v>
      </c>
      <c r="N3" s="4" t="n">
        <v>0.241824412239058</v>
      </c>
      <c r="O3" s="4" t="n">
        <f aca="false">(N3-N$344)/N$345</f>
        <v>0.0241416370133139</v>
      </c>
    </row>
    <row r="4" customFormat="false" ht="14.25" hidden="false" customHeight="false" outlineLevel="0" collapsed="false">
      <c r="B4" s="4" t="n">
        <v>0.253134970187303</v>
      </c>
      <c r="C4" s="4" t="n">
        <f aca="false">(B4-B$344)/B$345</f>
        <v>0.22527147563478</v>
      </c>
      <c r="D4" s="4" t="n">
        <v>0.466999682561371</v>
      </c>
      <c r="E4" s="4" t="n">
        <f aca="false">(D4-D$344)/D$345</f>
        <v>0.979481077474989</v>
      </c>
      <c r="F4" s="4" t="n">
        <v>0.423927628883733</v>
      </c>
      <c r="G4" s="4" t="n">
        <f aca="false">(F4-F$344)/F$345</f>
        <v>1.37806804799438</v>
      </c>
      <c r="H4" s="4" t="n">
        <v>0.26592844737977</v>
      </c>
      <c r="I4" s="4" t="n">
        <f aca="false">(H4-H$344)/H$345</f>
        <v>0.750905705519182</v>
      </c>
      <c r="J4" s="4" t="n">
        <v>0.180941420828683</v>
      </c>
      <c r="K4" s="4" t="n">
        <f aca="false">(J4-J$344)/J$345</f>
        <v>-0.286760755503079</v>
      </c>
      <c r="L4" s="4" t="n">
        <v>0.327456159597561</v>
      </c>
      <c r="M4" s="4" t="n">
        <f aca="false">(L4-L$344)/L$345</f>
        <v>0.614826038046082</v>
      </c>
      <c r="N4" s="4" t="n">
        <v>0.252602330903106</v>
      </c>
      <c r="O4" s="4" t="n">
        <f aca="false">(N4-N$344)/N$345</f>
        <v>0.1570608553155</v>
      </c>
    </row>
    <row r="5" customFormat="false" ht="14.25" hidden="false" customHeight="false" outlineLevel="0" collapsed="false">
      <c r="B5" s="4" t="n">
        <v>0.296022368506115</v>
      </c>
      <c r="C5" s="4" t="n">
        <f aca="false">(B5-B$344)/B$345</f>
        <v>0.630098707872871</v>
      </c>
      <c r="D5" s="4" t="n">
        <v>0.562497508897287</v>
      </c>
      <c r="E5" s="4" t="n">
        <f aca="false">(D5-D$344)/D$345</f>
        <v>1.71627480914111</v>
      </c>
      <c r="F5" s="4" t="n">
        <v>0.490072365305308</v>
      </c>
      <c r="G5" s="4" t="n">
        <f aca="false">(F5-F$344)/F$345</f>
        <v>2.01700019317457</v>
      </c>
      <c r="H5" s="4" t="n">
        <v>0.3134718785098</v>
      </c>
      <c r="I5" s="4" t="n">
        <f aca="false">(H5-H$344)/H$345</f>
        <v>1.42826262252671</v>
      </c>
      <c r="J5" s="4" t="n">
        <v>0.211232316841917</v>
      </c>
      <c r="K5" s="4" t="n">
        <f aca="false">(J5-J$344)/J$345</f>
        <v>0.0900334195458412</v>
      </c>
      <c r="L5" s="4" t="n">
        <v>0.378548610031223</v>
      </c>
      <c r="M5" s="4" t="n">
        <f aca="false">(L5-L$344)/L$345</f>
        <v>1.28506645312933</v>
      </c>
      <c r="N5" s="4" t="n">
        <v>0.305294377705119</v>
      </c>
      <c r="O5" s="4" t="n">
        <f aca="false">(N5-N$344)/N$345</f>
        <v>0.806888144792851</v>
      </c>
    </row>
    <row r="6" customFormat="false" ht="14.25" hidden="false" customHeight="false" outlineLevel="0" collapsed="false">
      <c r="B6" s="4" t="n">
        <v>0.379847737947429</v>
      </c>
      <c r="C6" s="4" t="n">
        <f aca="false">(B6-B$344)/B$345</f>
        <v>1.42135193452005</v>
      </c>
      <c r="D6" s="4" t="n">
        <v>0.742678355405917</v>
      </c>
      <c r="E6" s="4" t="n">
        <f aca="false">(D6-D$344)/D$345</f>
        <v>3.10642287185073</v>
      </c>
      <c r="F6" s="4" t="n">
        <v>0.619355259220205</v>
      </c>
      <c r="G6" s="4" t="n">
        <f aca="false">(F6-F$344)/F$345</f>
        <v>3.26582211329949</v>
      </c>
      <c r="H6" s="4" t="n">
        <v>0.406397675718495</v>
      </c>
      <c r="I6" s="4" t="n">
        <f aca="false">(H6-H$344)/H$345</f>
        <v>2.75218750576869</v>
      </c>
      <c r="J6" s="4" t="n">
        <v>0.270437249958693</v>
      </c>
      <c r="K6" s="4" t="n">
        <f aca="false">(J6-J$344)/J$345</f>
        <v>0.826494761686911</v>
      </c>
      <c r="L6" s="4" t="n">
        <v>0.478411126787926</v>
      </c>
      <c r="M6" s="4" t="n">
        <f aca="false">(L6-L$344)/L$345</f>
        <v>2.59508180988295</v>
      </c>
      <c r="N6" s="4" t="n">
        <v>0.408283378272692</v>
      </c>
      <c r="O6" s="4" t="n">
        <f aca="false">(N6-N$344)/N$345</f>
        <v>2.0770051196804</v>
      </c>
    </row>
    <row r="7" customFormat="false" ht="14.25" hidden="false" customHeight="false" outlineLevel="0" collapsed="false">
      <c r="B7" s="4" t="n">
        <v>0.415562550794272</v>
      </c>
      <c r="C7" s="4" t="n">
        <f aca="false">(B7-B$344)/B$345</f>
        <v>1.75847494504193</v>
      </c>
      <c r="D7" s="4" t="n">
        <v>0.81781094146394</v>
      </c>
      <c r="E7" s="4" t="n">
        <f aca="false">(D7-D$344)/D$345</f>
        <v>3.68609280335991</v>
      </c>
      <c r="F7" s="4" t="n">
        <v>0.674437800355934</v>
      </c>
      <c r="G7" s="4" t="n">
        <f aca="false">(F7-F$344)/F$345</f>
        <v>3.79789780176422</v>
      </c>
      <c r="H7" s="4" t="n">
        <v>0.44598983592097</v>
      </c>
      <c r="I7" s="4" t="n">
        <f aca="false">(H7-H$344)/H$345</f>
        <v>3.31626172033412</v>
      </c>
      <c r="J7" s="4" t="n">
        <v>0.295662228028797</v>
      </c>
      <c r="K7" s="4" t="n">
        <f aca="false">(J7-J$344)/J$345</f>
        <v>1.14027302689238</v>
      </c>
      <c r="L7" s="4" t="n">
        <v>0.52095876028064</v>
      </c>
      <c r="M7" s="4" t="n">
        <f aca="false">(L7-L$344)/L$345</f>
        <v>3.15322970239777</v>
      </c>
      <c r="N7" s="4" t="n">
        <v>0.420503621963293</v>
      </c>
      <c r="O7" s="4" t="n">
        <f aca="false">(N7-N$344)/N$345</f>
        <v>2.22771188315183</v>
      </c>
    </row>
    <row r="8" customFormat="false" ht="14.25" hidden="false" customHeight="false" outlineLevel="0" collapsed="false">
      <c r="A8" s="0" t="s">
        <v>23</v>
      </c>
      <c r="B8" s="4" t="n">
        <v>0.181687535010044</v>
      </c>
      <c r="C8" s="4" t="n">
        <f aca="false">(B8-B$344)/B$345</f>
        <v>-0.449142654555852</v>
      </c>
      <c r="D8" s="4" t="n">
        <v>0.256731462212851</v>
      </c>
      <c r="E8" s="4" t="n">
        <f aca="false">(D8-D$344)/D$345</f>
        <v>-0.642799896506862</v>
      </c>
      <c r="F8" s="4" t="n">
        <v>0.265297379425634</v>
      </c>
      <c r="G8" s="4" t="n">
        <f aca="false">(F8-F$344)/F$345</f>
        <v>-0.15423778705726</v>
      </c>
      <c r="H8" s="4" t="n">
        <v>0.10483022583657</v>
      </c>
      <c r="I8" s="4" t="n">
        <f aca="false">(H8-H$344)/H$345</f>
        <v>-1.54427981404197</v>
      </c>
      <c r="J8" s="4" t="n">
        <v>0.254968813400385</v>
      </c>
      <c r="K8" s="4" t="n">
        <f aca="false">(J8-J$344)/J$345</f>
        <v>0.634079958581126</v>
      </c>
      <c r="L8" s="4" t="n">
        <v>0.189842526397494</v>
      </c>
      <c r="M8" s="4" t="n">
        <f aca="false">(L8-L$344)/L$345</f>
        <v>-1.19041559460732</v>
      </c>
      <c r="N8" s="4" t="n">
        <v>0.165838464869907</v>
      </c>
      <c r="O8" s="4" t="n">
        <f aca="false">(N8-N$344)/N$345</f>
        <v>-0.912958840460962</v>
      </c>
    </row>
    <row r="9" customFormat="false" ht="14.25" hidden="false" customHeight="false" outlineLevel="0" collapsed="false">
      <c r="B9" s="4" t="n">
        <v>0.219736483612782</v>
      </c>
      <c r="C9" s="4" t="n">
        <f aca="false">(B9-B$344)/B$345</f>
        <v>-0.0899870247852373</v>
      </c>
      <c r="D9" s="4" t="n">
        <v>0.30109270048344</v>
      </c>
      <c r="E9" s="4" t="n">
        <f aca="false">(D9-D$344)/D$345</f>
        <v>-0.300539935827272</v>
      </c>
      <c r="F9" s="4" t="n">
        <v>0.302186348374341</v>
      </c>
      <c r="G9" s="4" t="n">
        <f aca="false">(F9-F$344)/F$345</f>
        <v>0.202095147942464</v>
      </c>
      <c r="H9" s="4" t="n">
        <v>0.121467471392416</v>
      </c>
      <c r="I9" s="4" t="n">
        <f aca="false">(H9-H$344)/H$345</f>
        <v>-1.30724699816497</v>
      </c>
      <c r="J9" s="4" t="n">
        <v>0.296798138283898</v>
      </c>
      <c r="K9" s="4" t="n">
        <f aca="false">(J9-J$344)/J$345</f>
        <v>1.15440282903865</v>
      </c>
      <c r="L9" s="4" t="n">
        <v>0.21623967768705</v>
      </c>
      <c r="M9" s="4" t="n">
        <f aca="false">(L9-L$344)/L$345</f>
        <v>-0.84413277812156</v>
      </c>
      <c r="N9" s="4" t="n">
        <v>0.204556976806866</v>
      </c>
      <c r="O9" s="4" t="n">
        <f aca="false">(N9-N$344)/N$345</f>
        <v>-0.435460865118898</v>
      </c>
    </row>
    <row r="10" customFormat="false" ht="14.25" hidden="false" customHeight="false" outlineLevel="0" collapsed="false">
      <c r="B10" s="4" t="n">
        <v>0.331744014498681</v>
      </c>
      <c r="C10" s="4" t="n">
        <f aca="false">(B10-B$344)/B$345</f>
        <v>0.967286218541163</v>
      </c>
      <c r="D10" s="4" t="n">
        <v>0.427459689734399</v>
      </c>
      <c r="E10" s="4" t="n">
        <f aca="false">(D10-D$344)/D$345</f>
        <v>0.674418439058902</v>
      </c>
      <c r="F10" s="4" t="n">
        <v>0.410779160544029</v>
      </c>
      <c r="G10" s="4" t="n">
        <f aca="false">(F10-F$344)/F$345</f>
        <v>1.25105901391831</v>
      </c>
      <c r="H10" s="4" t="n">
        <v>0.170443773337292</v>
      </c>
      <c r="I10" s="4" t="n">
        <f aca="false">(H10-H$344)/H$345</f>
        <v>-0.609475800266371</v>
      </c>
      <c r="J10" s="4" t="n">
        <v>0.437725974722282</v>
      </c>
      <c r="K10" s="4" t="n">
        <f aca="false">(J10-J$344)/J$345</f>
        <v>2.90743079655174</v>
      </c>
      <c r="L10" s="4" t="n">
        <v>0.30517473532266</v>
      </c>
      <c r="M10" s="4" t="n">
        <f aca="false">(L10-L$344)/L$345</f>
        <v>0.322534105913255</v>
      </c>
      <c r="N10" s="4" t="n">
        <v>0.268208141907987</v>
      </c>
      <c r="O10" s="4" t="n">
        <f aca="false">(N10-N$344)/N$345</f>
        <v>0.34952029617765</v>
      </c>
    </row>
    <row r="11" customFormat="false" ht="14.25" hidden="false" customHeight="false" outlineLevel="0" collapsed="false">
      <c r="A11" s="0" t="s">
        <v>24</v>
      </c>
      <c r="B11" s="4" t="n">
        <v>0.106017284091855</v>
      </c>
      <c r="C11" s="4" t="n">
        <f aca="false">(B11-B$344)/B$345</f>
        <v>-1.16341723037071</v>
      </c>
      <c r="D11" s="4" t="n">
        <v>0.222162825426195</v>
      </c>
      <c r="E11" s="4" t="n">
        <f aca="false">(D11-D$344)/D$345</f>
        <v>-0.909507065391098</v>
      </c>
      <c r="F11" s="4" t="n">
        <v>0.16892962653246</v>
      </c>
      <c r="G11" s="4" t="n">
        <f aca="false">(F11-F$344)/F$345</f>
        <v>-1.08511238741543</v>
      </c>
      <c r="H11" s="4" t="n">
        <v>0.110849384917569</v>
      </c>
      <c r="I11" s="4" t="n">
        <f aca="false">(H11-H$344)/H$345</f>
        <v>-1.45852413883771</v>
      </c>
      <c r="J11" s="4" t="n">
        <v>0.21176098535956</v>
      </c>
      <c r="K11" s="4" t="n">
        <f aca="false">(J11-J$344)/J$345</f>
        <v>0.0966096270602187</v>
      </c>
      <c r="L11" s="4" t="n">
        <v>0.170875052736099</v>
      </c>
      <c r="M11" s="4" t="n">
        <f aca="false">(L11-L$344)/L$345</f>
        <v>-1.43923449665625</v>
      </c>
      <c r="N11" s="4" t="n">
        <v>0.144742810795103</v>
      </c>
      <c r="O11" s="4" t="n">
        <f aca="false">(N11-N$344)/N$345</f>
        <v>-1.17312204419245</v>
      </c>
    </row>
    <row r="12" customFormat="false" ht="14.25" hidden="false" customHeight="false" outlineLevel="0" collapsed="false">
      <c r="B12" s="4" t="n">
        <v>0.135881751698963</v>
      </c>
      <c r="C12" s="4" t="n">
        <f aca="false">(B12-B$344)/B$345</f>
        <v>-0.881517412765158</v>
      </c>
      <c r="D12" s="4" t="n">
        <v>0.269888041536306</v>
      </c>
      <c r="E12" s="4" t="n">
        <f aca="false">(D12-D$344)/D$345</f>
        <v>-0.541293029307688</v>
      </c>
      <c r="F12" s="4" t="n">
        <v>0.192606377337797</v>
      </c>
      <c r="G12" s="4" t="n">
        <f aca="false">(F12-F$344)/F$345</f>
        <v>-0.856404284528251</v>
      </c>
      <c r="H12" s="4" t="n">
        <v>0.129070523324221</v>
      </c>
      <c r="I12" s="4" t="n">
        <f aca="false">(H12-H$344)/H$345</f>
        <v>-1.19892541316429</v>
      </c>
      <c r="J12" s="4" t="n">
        <v>0.246686209662373</v>
      </c>
      <c r="K12" s="4" t="n">
        <f aca="false">(J12-J$344)/J$345</f>
        <v>0.531051086759117</v>
      </c>
      <c r="L12" s="4" t="n">
        <v>0.194824469576277</v>
      </c>
      <c r="M12" s="4" t="n">
        <f aca="false">(L12-L$344)/L$345</f>
        <v>-1.12506152300325</v>
      </c>
      <c r="N12" s="4" t="n">
        <v>0.175706713332932</v>
      </c>
      <c r="O12" s="4" t="n">
        <f aca="false">(N12-N$344)/N$345</f>
        <v>-0.791258175183873</v>
      </c>
    </row>
    <row r="13" customFormat="false" ht="14.25" hidden="false" customHeight="false" outlineLevel="0" collapsed="false">
      <c r="B13" s="4" t="n">
        <v>0.167759554200933</v>
      </c>
      <c r="C13" s="4" t="n">
        <f aca="false">(B13-B$344)/B$345</f>
        <v>-0.580613113073836</v>
      </c>
      <c r="D13" s="4" t="n">
        <v>0.318972023448129</v>
      </c>
      <c r="E13" s="4" t="n">
        <f aca="false">(D13-D$344)/D$345</f>
        <v>-0.162595716652275</v>
      </c>
      <c r="F13" s="4" t="n">
        <v>0.217879313590685</v>
      </c>
      <c r="G13" s="4" t="n">
        <f aca="false">(F13-F$344)/F$345</f>
        <v>-0.612277657850929</v>
      </c>
      <c r="H13" s="4" t="n">
        <v>0.148520053084131</v>
      </c>
      <c r="I13" s="4" t="n">
        <f aca="false">(H13-H$344)/H$345</f>
        <v>-0.921825649805032</v>
      </c>
      <c r="J13" s="4" t="n">
        <v>0.283965943468747</v>
      </c>
      <c r="K13" s="4" t="n">
        <f aca="false">(J13-J$344)/J$345</f>
        <v>0.994780734752322</v>
      </c>
      <c r="L13" s="4" t="n">
        <v>0.220388453843882</v>
      </c>
      <c r="M13" s="4" t="n">
        <f aca="false">(L13-L$344)/L$345</f>
        <v>-0.789708348879254</v>
      </c>
      <c r="N13" s="4" t="n">
        <v>0.208758069974434</v>
      </c>
      <c r="O13" s="4" t="n">
        <f aca="false">(N13-N$344)/N$345</f>
        <v>-0.383650674556738</v>
      </c>
    </row>
    <row r="14" customFormat="false" ht="14.25" hidden="false" customHeight="false" outlineLevel="0" collapsed="false">
      <c r="B14" s="4" t="n">
        <v>0.199972912518712</v>
      </c>
      <c r="C14" s="4" t="n">
        <f aca="false">(B14-B$344)/B$345</f>
        <v>-0.276541399701554</v>
      </c>
      <c r="D14" s="4" t="n">
        <v>0.367219619628066</v>
      </c>
      <c r="E14" s="4" t="n">
        <f aca="false">(D14-D$344)/D$345</f>
        <v>0.209648634840001</v>
      </c>
      <c r="F14" s="4" t="n">
        <v>0.243418280751497</v>
      </c>
      <c r="G14" s="4" t="n">
        <f aca="false">(F14-F$344)/F$345</f>
        <v>-0.365581277208582</v>
      </c>
      <c r="H14" s="4" t="n">
        <v>0.16817431473625</v>
      </c>
      <c r="I14" s="4" t="n">
        <f aca="false">(H14-H$344)/H$345</f>
        <v>-0.641809046831464</v>
      </c>
      <c r="J14" s="4" t="n">
        <v>0.321638095525713</v>
      </c>
      <c r="K14" s="4" t="n">
        <f aca="false">(J14-J$344)/J$345</f>
        <v>1.46339174746124</v>
      </c>
      <c r="L14" s="4" t="n">
        <v>0.246221532682725</v>
      </c>
      <c r="M14" s="4" t="n">
        <f aca="false">(L14-L$344)/L$345</f>
        <v>-0.450825141343428</v>
      </c>
      <c r="N14" s="4" t="n">
        <v>0.242157335633216</v>
      </c>
      <c r="O14" s="4" t="n">
        <f aca="false">(N14-N$344)/N$345</f>
        <v>0.0282474313401566</v>
      </c>
    </row>
    <row r="15" customFormat="false" ht="14.25" hidden="false" customHeight="false" outlineLevel="0" collapsed="false">
      <c r="B15" s="4" t="n">
        <v>0.220777373098945</v>
      </c>
      <c r="C15" s="4" t="n">
        <f aca="false">(B15-B$344)/B$345</f>
        <v>-0.0801617514819539</v>
      </c>
      <c r="D15" s="4" t="n">
        <v>0.397843846045026</v>
      </c>
      <c r="E15" s="4" t="n">
        <f aca="false">(D15-D$344)/D$345</f>
        <v>0.445923521158063</v>
      </c>
      <c r="F15" s="4" t="n">
        <v>0.259912197042856</v>
      </c>
      <c r="G15" s="4" t="n">
        <f aca="false">(F15-F$344)/F$345</f>
        <v>-0.206256531377066</v>
      </c>
      <c r="H15" s="4" t="n">
        <v>0.180867692053244</v>
      </c>
      <c r="I15" s="4" t="n">
        <f aca="false">(H15-H$344)/H$345</f>
        <v>-0.460964990744366</v>
      </c>
      <c r="J15" s="4" t="n">
        <v>0.345968027062505</v>
      </c>
      <c r="K15" s="4" t="n">
        <f aca="false">(J15-J$344)/J$345</f>
        <v>1.76603635983576</v>
      </c>
      <c r="L15" s="4" t="n">
        <v>0.262905396099479</v>
      </c>
      <c r="M15" s="4" t="n">
        <f aca="false">(L15-L$344)/L$345</f>
        <v>-0.231963069809873</v>
      </c>
      <c r="N15" s="4" t="n">
        <v>0.263727694704512</v>
      </c>
      <c r="O15" s="4" t="n">
        <f aca="false">(N15-N$344)/N$345</f>
        <v>0.294264958065235</v>
      </c>
    </row>
    <row r="16" customFormat="false" ht="14.25" hidden="false" customHeight="false" outlineLevel="0" collapsed="false">
      <c r="B16" s="4" t="n">
        <v>0.265406296601702</v>
      </c>
      <c r="C16" s="4" t="n">
        <f aca="false">(B16-B$344)/B$345</f>
        <v>0.341104268085895</v>
      </c>
      <c r="D16" s="4" t="n">
        <v>0.462491337479392</v>
      </c>
      <c r="E16" s="4" t="n">
        <f aca="false">(D16-D$344)/D$345</f>
        <v>0.944697873248901</v>
      </c>
      <c r="F16" s="4" t="n">
        <v>0.295294307796898</v>
      </c>
      <c r="G16" s="4" t="n">
        <f aca="false">(F16-F$344)/F$345</f>
        <v>0.135520745971185</v>
      </c>
      <c r="H16" s="4" t="n">
        <v>0.208097033717117</v>
      </c>
      <c r="I16" s="4" t="n">
        <f aca="false">(H16-H$344)/H$345</f>
        <v>-0.0730253220414032</v>
      </c>
      <c r="J16" s="4" t="n">
        <v>0.398159654391428</v>
      </c>
      <c r="K16" s="4" t="n">
        <f aca="false">(J16-J$344)/J$345</f>
        <v>2.41525786702624</v>
      </c>
      <c r="L16" s="4" t="n">
        <v>0.298694974074126</v>
      </c>
      <c r="M16" s="4" t="n">
        <f aca="false">(L16-L$344)/L$345</f>
        <v>0.237531373963718</v>
      </c>
      <c r="N16" s="4" t="n">
        <v>0.309999594002616</v>
      </c>
      <c r="O16" s="4" t="n">
        <f aca="false">(N16-N$344)/N$345</f>
        <v>0.864915458943224</v>
      </c>
    </row>
    <row r="17" customFormat="false" ht="14.25" hidden="false" customHeight="false" outlineLevel="0" collapsed="false">
      <c r="B17" s="4" t="n">
        <v>0.268761854759804</v>
      </c>
      <c r="C17" s="4" t="n">
        <f aca="false">(B17-B$344)/B$345</f>
        <v>0.372778404895509</v>
      </c>
      <c r="D17" s="4" t="n">
        <v>0.467304914739499</v>
      </c>
      <c r="E17" s="4" t="n">
        <f aca="false">(D17-D$344)/D$345</f>
        <v>0.981836033228186</v>
      </c>
      <c r="F17" s="4" t="n">
        <v>0.29795461687615</v>
      </c>
      <c r="G17" s="4" t="n">
        <f aca="false">(F17-F$344)/F$345</f>
        <v>0.16121828562143</v>
      </c>
      <c r="H17" s="4" t="n">
        <v>0.210144352639213</v>
      </c>
      <c r="I17" s="4" t="n">
        <f aca="false">(H17-H$344)/H$345</f>
        <v>-0.0438569258983221</v>
      </c>
      <c r="J17" s="4" t="n">
        <v>0.402083836897362</v>
      </c>
      <c r="K17" s="4" t="n">
        <f aca="false">(J17-J$344)/J$345</f>
        <v>2.46407151418342</v>
      </c>
      <c r="L17" s="4" t="n">
        <v>0.301385919786506</v>
      </c>
      <c r="M17" s="4" t="n">
        <f aca="false">(L17-L$344)/L$345</f>
        <v>0.272831708082034</v>
      </c>
      <c r="N17" s="4" t="n">
        <v>0.313478684175406</v>
      </c>
      <c r="O17" s="4" t="n">
        <f aca="false">(N17-N$344)/N$345</f>
        <v>0.907821511640819</v>
      </c>
    </row>
    <row r="18" customFormat="false" ht="14.25" hidden="false" customHeight="false" outlineLevel="0" collapsed="false">
      <c r="B18" s="4" t="n">
        <v>0.295606320024621</v>
      </c>
      <c r="C18" s="4" t="n">
        <f aca="false">(B18-B$344)/B$345</f>
        <v>0.626171499372411</v>
      </c>
      <c r="D18" s="4" t="n">
        <v>0.5056203066184</v>
      </c>
      <c r="E18" s="4" t="n">
        <f aca="false">(D18-D$344)/D$345</f>
        <v>1.27745051625739</v>
      </c>
      <c r="F18" s="4" t="n">
        <v>0.319237089510161</v>
      </c>
      <c r="G18" s="4" t="n">
        <f aca="false">(F18-F$344)/F$345</f>
        <v>0.366798602823385</v>
      </c>
      <c r="H18" s="4" t="n">
        <v>0.226522904015979</v>
      </c>
      <c r="I18" s="4" t="n">
        <f aca="false">(H18-H$344)/H$345</f>
        <v>0.189490243246318</v>
      </c>
      <c r="J18" s="4" t="n">
        <v>0.433477296944834</v>
      </c>
      <c r="K18" s="4" t="n">
        <f aca="false">(J18-J$344)/J$345</f>
        <v>2.85458069144086</v>
      </c>
      <c r="L18" s="4" t="n">
        <v>0.322913485485542</v>
      </c>
      <c r="M18" s="4" t="n">
        <f aca="false">(L18-L$344)/L$345</f>
        <v>0.555234381028556</v>
      </c>
      <c r="N18" s="4" t="n">
        <v>0.341311405557723</v>
      </c>
      <c r="O18" s="4" t="n">
        <f aca="false">(N18-N$344)/N$345</f>
        <v>1.25106993322156</v>
      </c>
    </row>
    <row r="19" customFormat="false" ht="14.25" hidden="false" customHeight="false" outlineLevel="0" collapsed="false">
      <c r="B19" s="4" t="n">
        <v>0.362379341052375</v>
      </c>
      <c r="C19" s="4" t="n">
        <f aca="false">(B19-B$344)/B$345</f>
        <v>1.25646240883485</v>
      </c>
      <c r="D19" s="4" t="n">
        <v>0.599744010461333</v>
      </c>
      <c r="E19" s="4" t="n">
        <f aca="false">(D19-D$344)/D$345</f>
        <v>2.00364248997553</v>
      </c>
      <c r="F19" s="4" t="n">
        <v>0.372175189736577</v>
      </c>
      <c r="G19" s="4" t="n">
        <f aca="false">(F19-F$344)/F$345</f>
        <v>0.878159835315888</v>
      </c>
      <c r="H19" s="4" t="n">
        <v>0.267262972581187</v>
      </c>
      <c r="I19" s="4" t="n">
        <f aca="false">(H19-H$344)/H$345</f>
        <v>0.769918844760825</v>
      </c>
      <c r="J19" s="4" t="n">
        <v>0.511565504223497</v>
      </c>
      <c r="K19" s="4" t="n">
        <f aca="false">(J19-J$344)/J$345</f>
        <v>3.82593464642977</v>
      </c>
      <c r="L19" s="4" t="n">
        <v>0.376461231097823</v>
      </c>
      <c r="M19" s="4" t="n">
        <f aca="false">(L19-L$344)/L$345</f>
        <v>1.2576838220188</v>
      </c>
      <c r="N19" s="4" t="n">
        <v>0.35202477221897</v>
      </c>
      <c r="O19" s="4" t="n">
        <f aca="false">(N19-N$344)/N$345</f>
        <v>1.38319306073668</v>
      </c>
    </row>
    <row r="20" customFormat="false" ht="14.25" hidden="false" customHeight="false" outlineLevel="0" collapsed="false">
      <c r="B20" s="4" t="n">
        <v>0.362379341052375</v>
      </c>
      <c r="C20" s="4" t="n">
        <f aca="false">(B20-B$344)/B$345</f>
        <v>1.25646240883485</v>
      </c>
      <c r="D20" s="4" t="n">
        <v>0.599744010461333</v>
      </c>
      <c r="E20" s="4" t="n">
        <f aca="false">(D20-D$344)/D$345</f>
        <v>2.00364248997553</v>
      </c>
      <c r="F20" s="4" t="n">
        <v>0.372175189736577</v>
      </c>
      <c r="G20" s="4" t="n">
        <f aca="false">(F20-F$344)/F$345</f>
        <v>0.878159835315888</v>
      </c>
      <c r="H20" s="4" t="n">
        <v>0.267262972581187</v>
      </c>
      <c r="I20" s="4" t="n">
        <f aca="false">(H20-H$344)/H$345</f>
        <v>0.769918844760825</v>
      </c>
      <c r="J20" s="4" t="n">
        <v>0.511565504223497</v>
      </c>
      <c r="K20" s="4" t="n">
        <f aca="false">(J20-J$344)/J$345</f>
        <v>3.82593464642977</v>
      </c>
      <c r="L20" s="4" t="n">
        <v>0.376461231097823</v>
      </c>
      <c r="M20" s="4" t="n">
        <f aca="false">(L20-L$344)/L$345</f>
        <v>1.2576838220188</v>
      </c>
      <c r="N20" s="4" t="n">
        <v>0.35202477221897</v>
      </c>
      <c r="O20" s="4" t="n">
        <f aca="false">(N20-N$344)/N$345</f>
        <v>1.38319306073668</v>
      </c>
    </row>
    <row r="21" customFormat="false" ht="14.25" hidden="false" customHeight="false" outlineLevel="0" collapsed="false">
      <c r="A21" s="0" t="s">
        <v>25</v>
      </c>
      <c r="B21" s="4" t="n">
        <v>0.133244687672138</v>
      </c>
      <c r="C21" s="4" t="n">
        <f aca="false">(B21-B$344)/B$345</f>
        <v>-0.906409464348197</v>
      </c>
      <c r="D21" s="4" t="n">
        <v>0.265951172504324</v>
      </c>
      <c r="E21" s="4" t="n">
        <f aca="false">(D21-D$344)/D$345</f>
        <v>-0.571667128242168</v>
      </c>
      <c r="F21" s="4" t="n">
        <v>0.199957330541966</v>
      </c>
      <c r="G21" s="4" t="n">
        <f aca="false">(F21-F$344)/F$345</f>
        <v>-0.785396967030995</v>
      </c>
      <c r="H21" s="4" t="n">
        <v>0.127907205195734</v>
      </c>
      <c r="I21" s="4" t="n">
        <f aca="false">(H21-H$344)/H$345</f>
        <v>-1.21549934487857</v>
      </c>
      <c r="J21" s="4" t="n">
        <v>0.243602275475117</v>
      </c>
      <c r="K21" s="4" t="n">
        <f aca="false">(J21-J$344)/J$345</f>
        <v>0.492689447094037</v>
      </c>
      <c r="L21" s="4" t="n">
        <v>0.192461575220981</v>
      </c>
      <c r="M21" s="4" t="n">
        <f aca="false">(L21-L$344)/L$345</f>
        <v>-1.15605841745731</v>
      </c>
      <c r="N21" s="4" t="n">
        <v>0.168213099581758</v>
      </c>
      <c r="O21" s="4" t="n">
        <f aca="false">(N21-N$344)/N$345</f>
        <v>-0.883673539700131</v>
      </c>
    </row>
    <row r="22" customFormat="false" ht="14.25" hidden="false" customHeight="false" outlineLevel="0" collapsed="false">
      <c r="B22" s="4" t="n">
        <v>0.159945281741001</v>
      </c>
      <c r="C22" s="4" t="n">
        <f aca="false">(B22-B$344)/B$345</f>
        <v>-0.65437441396676</v>
      </c>
      <c r="D22" s="4" t="n">
        <v>0.308724582208912</v>
      </c>
      <c r="E22" s="4" t="n">
        <f aca="false">(D22-D$344)/D$345</f>
        <v>-0.241657730525909</v>
      </c>
      <c r="F22" s="4" t="n">
        <v>0.222174811713296</v>
      </c>
      <c r="G22" s="4" t="n">
        <f aca="false">(F22-F$344)/F$345</f>
        <v>-0.570784835011555</v>
      </c>
      <c r="H22" s="4" t="n">
        <v>0.144254932117192</v>
      </c>
      <c r="I22" s="4" t="n">
        <f aca="false">(H22-H$344)/H$345</f>
        <v>-0.982591335414225</v>
      </c>
      <c r="J22" s="4" t="n">
        <v>0.274827484279825</v>
      </c>
      <c r="K22" s="4" t="n">
        <f aca="false">(J22-J$344)/J$345</f>
        <v>0.881105715373451</v>
      </c>
      <c r="L22" s="4" t="n">
        <v>0.213846194689979</v>
      </c>
      <c r="M22" s="4" t="n">
        <f aca="false">(L22-L$344)/L$345</f>
        <v>-0.875530940155978</v>
      </c>
      <c r="N22" s="4" t="n">
        <v>0.196009983186052</v>
      </c>
      <c r="O22" s="4" t="n">
        <f aca="false">(N22-N$344)/N$345</f>
        <v>-0.540867089300374</v>
      </c>
    </row>
    <row r="23" customFormat="false" ht="14.25" hidden="false" customHeight="false" outlineLevel="0" collapsed="false">
      <c r="B23" s="4" t="n">
        <v>0.169958004516824</v>
      </c>
      <c r="C23" s="4" t="n">
        <f aca="false">(B23-B$344)/B$345</f>
        <v>-0.559861270073722</v>
      </c>
      <c r="D23" s="4" t="n">
        <v>0.324453314558531</v>
      </c>
      <c r="E23" s="4" t="n">
        <f aca="false">(D23-D$344)/D$345</f>
        <v>-0.120305948533625</v>
      </c>
      <c r="F23" s="4" t="n">
        <v>0.230506367152544</v>
      </c>
      <c r="G23" s="4" t="n">
        <f aca="false">(F23-F$344)/F$345</f>
        <v>-0.490305285504265</v>
      </c>
      <c r="H23" s="4" t="n">
        <v>0.150385329712739</v>
      </c>
      <c r="I23" s="4" t="n">
        <f aca="false">(H23-H$344)/H$345</f>
        <v>-0.895250831865098</v>
      </c>
      <c r="J23" s="4" t="n">
        <v>0.286536937581591</v>
      </c>
      <c r="K23" s="4" t="n">
        <f aca="false">(J23-J$344)/J$345</f>
        <v>1.02676181597823</v>
      </c>
      <c r="L23" s="4" t="n">
        <v>0.221865426990853</v>
      </c>
      <c r="M23" s="4" t="n">
        <f aca="false">(L23-L$344)/L$345</f>
        <v>-0.77033313616798</v>
      </c>
      <c r="N23" s="4" t="n">
        <v>0.206433814537663</v>
      </c>
      <c r="O23" s="4" t="n">
        <f aca="false">(N23-N$344)/N$345</f>
        <v>-0.412314670400466</v>
      </c>
    </row>
    <row r="24" customFormat="false" ht="14.25" hidden="false" customHeight="false" outlineLevel="0" collapsed="false">
      <c r="B24" s="4" t="n">
        <v>0.186645875809863</v>
      </c>
      <c r="C24" s="4" t="n">
        <f aca="false">(B24-B$344)/B$345</f>
        <v>-0.402339363585325</v>
      </c>
      <c r="D24" s="4" t="n">
        <v>0.350359144881568</v>
      </c>
      <c r="E24" s="4" t="n">
        <f aca="false">(D24-D$344)/D$345</f>
        <v>0.07956512841089</v>
      </c>
      <c r="F24" s="4" t="n">
        <v>0.244392292884625</v>
      </c>
      <c r="G24" s="4" t="n">
        <f aca="false">(F24-F$344)/F$345</f>
        <v>-0.356172702992116</v>
      </c>
      <c r="H24" s="4" t="n">
        <v>0.160602659038651</v>
      </c>
      <c r="I24" s="4" t="n">
        <f aca="false">(H24-H$344)/H$345</f>
        <v>-0.749683325949886</v>
      </c>
      <c r="J24" s="4" t="n">
        <v>0.306052693084533</v>
      </c>
      <c r="K24" s="4" t="n">
        <f aca="false">(J24-J$344)/J$345</f>
        <v>1.26952198365286</v>
      </c>
      <c r="L24" s="4" t="n">
        <v>0.235230814158976</v>
      </c>
      <c r="M24" s="4" t="n">
        <f aca="false">(L24-L$344)/L$345</f>
        <v>-0.59500346285465</v>
      </c>
      <c r="N24" s="4" t="n">
        <v>0.223806866790347</v>
      </c>
      <c r="O24" s="4" t="n">
        <f aca="false">(N24-N$344)/N$345</f>
        <v>-0.198060638900618</v>
      </c>
    </row>
    <row r="25" customFormat="false" ht="14.25" hidden="false" customHeight="false" outlineLevel="0" collapsed="false">
      <c r="B25" s="4" t="n">
        <v>0.210008895620118</v>
      </c>
      <c r="C25" s="4" t="n">
        <f aca="false">(B25-B$344)/B$345</f>
        <v>-0.181808694501568</v>
      </c>
      <c r="D25" s="4" t="n">
        <v>0.386081354032526</v>
      </c>
      <c r="E25" s="4" t="n">
        <f aca="false">(D25-D$344)/D$345</f>
        <v>0.355172446331517</v>
      </c>
      <c r="F25" s="4" t="n">
        <v>0.263832588909539</v>
      </c>
      <c r="G25" s="4" t="n">
        <f aca="false">(F25-F$344)/F$345</f>
        <v>-0.168387087475106</v>
      </c>
      <c r="H25" s="4" t="n">
        <v>0.174906920094927</v>
      </c>
      <c r="I25" s="4" t="n">
        <f aca="false">(H25-H$344)/H$345</f>
        <v>-0.545888817668589</v>
      </c>
      <c r="J25" s="4" t="n">
        <v>0.333374750788652</v>
      </c>
      <c r="K25" s="4" t="n">
        <f aca="false">(J25-J$344)/J$345</f>
        <v>1.60938621839735</v>
      </c>
      <c r="L25" s="4" t="n">
        <v>0.25394235619435</v>
      </c>
      <c r="M25" s="4" t="n">
        <f aca="false">(L25-L$344)/L$345</f>
        <v>-0.349541920215987</v>
      </c>
      <c r="N25" s="4" t="n">
        <v>0.248129139944104</v>
      </c>
      <c r="O25" s="4" t="n">
        <f aca="false">(N25-N$344)/N$345</f>
        <v>0.101895005199168</v>
      </c>
    </row>
    <row r="26" customFormat="false" ht="14.25" hidden="false" customHeight="false" outlineLevel="0" collapsed="false">
      <c r="B26" s="4" t="n">
        <v>0.260072509499235</v>
      </c>
      <c r="C26" s="4" t="n">
        <f aca="false">(B26-B$344)/B$345</f>
        <v>0.290757024963625</v>
      </c>
      <c r="D26" s="4" t="n">
        <v>0.461010583498598</v>
      </c>
      <c r="E26" s="4" t="n">
        <f aca="false">(D26-D$344)/D$345</f>
        <v>0.933273422106412</v>
      </c>
      <c r="F26" s="4" t="n">
        <v>0.305490366105782</v>
      </c>
      <c r="G26" s="4" t="n">
        <f aca="false">(F26-F$344)/F$345</f>
        <v>0.234010660061343</v>
      </c>
      <c r="H26" s="4" t="n">
        <v>0.205558908072662</v>
      </c>
      <c r="I26" s="4" t="n">
        <f aca="false">(H26-H$344)/H$345</f>
        <v>-0.109186299922953</v>
      </c>
      <c r="J26" s="4" t="n">
        <v>0.39192201729748</v>
      </c>
      <c r="K26" s="4" t="n">
        <f aca="false">(J26-J$344)/J$345</f>
        <v>2.33766672142125</v>
      </c>
      <c r="L26" s="4" t="n">
        <v>0.294038517698721</v>
      </c>
      <c r="M26" s="4" t="n">
        <f aca="false">(L26-L$344)/L$345</f>
        <v>0.176447099724005</v>
      </c>
      <c r="N26" s="4" t="n">
        <v>0.300248296702156</v>
      </c>
      <c r="O26" s="4" t="n">
        <f aca="false">(N26-N$344)/N$345</f>
        <v>0.744657099698712</v>
      </c>
    </row>
    <row r="27" customFormat="false" ht="14.25" hidden="false" customHeight="false" outlineLevel="0" collapsed="false">
      <c r="A27" s="0" t="s">
        <v>26</v>
      </c>
      <c r="B27" s="4" t="n">
        <v>0.0602422839544767</v>
      </c>
      <c r="C27" s="4" t="n">
        <f aca="false">(B27-B$344)/B$345</f>
        <v>-1.5955014168154</v>
      </c>
      <c r="D27" s="4" t="n">
        <v>0.0911983084435269</v>
      </c>
      <c r="E27" s="4" t="n">
        <f aca="false">(D27-D$344)/D$345</f>
        <v>-1.9199367147958</v>
      </c>
      <c r="F27" s="4" t="n">
        <v>0.116644488774822</v>
      </c>
      <c r="G27" s="4" t="n">
        <f aca="false">(F27-F$344)/F$345</f>
        <v>-1.59016625920972</v>
      </c>
      <c r="H27" s="4" t="n">
        <v>0.060172820772823</v>
      </c>
      <c r="I27" s="4" t="n">
        <f aca="false">(H27-H$344)/H$345</f>
        <v>-2.18051917448708</v>
      </c>
      <c r="J27" s="4" t="n">
        <v>0.0586411770784563</v>
      </c>
      <c r="K27" s="4" t="n">
        <f aca="false">(J27-J$344)/J$345</f>
        <v>-1.80807658029793</v>
      </c>
      <c r="L27" s="4" t="n">
        <v>0.113657525273181</v>
      </c>
      <c r="M27" s="4" t="n">
        <f aca="false">(L27-L$344)/L$345</f>
        <v>-2.18982482910813</v>
      </c>
      <c r="N27" s="4" t="n">
        <v>0.0850713290245066</v>
      </c>
      <c r="O27" s="4" t="n">
        <f aca="false">(N27-N$344)/N$345</f>
        <v>-1.90902356276095</v>
      </c>
    </row>
    <row r="28" customFormat="false" ht="14.25" hidden="false" customHeight="false" outlineLevel="0" collapsed="false">
      <c r="B28" s="4" t="n">
        <v>0.0898419231446313</v>
      </c>
      <c r="C28" s="4" t="n">
        <f aca="false">(B28-B$344)/B$345</f>
        <v>-1.31610139540304</v>
      </c>
      <c r="D28" s="4" t="n">
        <v>0.156970205263443</v>
      </c>
      <c r="E28" s="4" t="n">
        <f aca="false">(D28-D$344)/D$345</f>
        <v>-1.41248724546186</v>
      </c>
      <c r="F28" s="4" t="n">
        <v>0.167916791532985</v>
      </c>
      <c r="G28" s="4" t="n">
        <f aca="false">(F28-F$344)/F$345</f>
        <v>-1.09489597525533</v>
      </c>
      <c r="H28" s="4" t="n">
        <v>0.0974212074820476</v>
      </c>
      <c r="I28" s="4" t="n">
        <f aca="false">(H28-H$344)/H$345</f>
        <v>-1.64983697959332</v>
      </c>
      <c r="J28" s="4" t="n">
        <v>0.0891080634009744</v>
      </c>
      <c r="K28" s="4" t="n">
        <f aca="false">(J28-J$344)/J$345</f>
        <v>-1.42909322856126</v>
      </c>
      <c r="L28" s="4" t="n">
        <v>0.163616877041612</v>
      </c>
      <c r="M28" s="4" t="n">
        <f aca="false">(L28-L$344)/L$345</f>
        <v>-1.53444861633401</v>
      </c>
      <c r="N28" s="4" t="n">
        <v>0.141944826252008</v>
      </c>
      <c r="O28" s="4" t="n">
        <f aca="false">(N28-N$344)/N$345</f>
        <v>-1.2076283278157</v>
      </c>
    </row>
    <row r="29" customFormat="false" ht="14.25" hidden="false" customHeight="false" outlineLevel="0" collapsed="false">
      <c r="B29" s="4" t="n">
        <v>0.110191675087863</v>
      </c>
      <c r="C29" s="4" t="n">
        <f aca="false">(B29-B$344)/B$345</f>
        <v>-1.12401388068204</v>
      </c>
      <c r="D29" s="4" t="n">
        <v>0.199105830973612</v>
      </c>
      <c r="E29" s="4" t="n">
        <f aca="false">(D29-D$344)/D$345</f>
        <v>-1.08739853827098</v>
      </c>
      <c r="F29" s="4" t="n">
        <v>0.203166499679223</v>
      </c>
      <c r="G29" s="4" t="n">
        <f aca="false">(F29-F$344)/F$345</f>
        <v>-0.754397655036692</v>
      </c>
      <c r="H29" s="4" t="n">
        <v>0.123029473344639</v>
      </c>
      <c r="I29" s="4" t="n">
        <f aca="false">(H29-H$344)/H$345</f>
        <v>-1.28499297060386</v>
      </c>
      <c r="J29" s="4" t="n">
        <v>0.110054047747706</v>
      </c>
      <c r="K29" s="4" t="n">
        <f aca="false">(J29-J$344)/J$345</f>
        <v>-1.1685421742423</v>
      </c>
      <c r="L29" s="4" t="n">
        <v>0.197963931382408</v>
      </c>
      <c r="M29" s="4" t="n">
        <f aca="false">(L29-L$344)/L$345</f>
        <v>-1.0838774700518</v>
      </c>
      <c r="N29" s="4" t="n">
        <v>0.181045355595914</v>
      </c>
      <c r="O29" s="4" t="n">
        <f aca="false">(N29-N$344)/N$345</f>
        <v>-0.725419103790836</v>
      </c>
    </row>
    <row r="30" customFormat="false" ht="14.25" hidden="false" customHeight="false" outlineLevel="0" collapsed="false">
      <c r="B30" s="4" t="n">
        <v>0.143861264666663</v>
      </c>
      <c r="C30" s="4" t="n">
        <f aca="false">(B30-B$344)/B$345</f>
        <v>-0.806196356325485</v>
      </c>
      <c r="D30" s="4" t="n">
        <v>0.26636066022461</v>
      </c>
      <c r="E30" s="4" t="n">
        <f aca="false">(D30-D$344)/D$345</f>
        <v>-0.568507810411835</v>
      </c>
      <c r="F30" s="4" t="n">
        <v>0.261488744066634</v>
      </c>
      <c r="G30" s="4" t="n">
        <f aca="false">(F30-F$344)/F$345</f>
        <v>-0.191027707038577</v>
      </c>
      <c r="H30" s="4" t="n">
        <v>0.165399513226382</v>
      </c>
      <c r="I30" s="4" t="n">
        <f aca="false">(H30-H$344)/H$345</f>
        <v>-0.681341973912208</v>
      </c>
      <c r="J30" s="4" t="n">
        <v>0.14471013093957</v>
      </c>
      <c r="K30" s="4" t="n">
        <f aca="false">(J30-J$344)/J$345</f>
        <v>-0.73744861164184</v>
      </c>
      <c r="L30" s="4" t="n">
        <v>0.254792694018998</v>
      </c>
      <c r="M30" s="4" t="n">
        <f aca="false">(L30-L$344)/L$345</f>
        <v>-0.338387028021229</v>
      </c>
      <c r="N30" s="4" t="n">
        <v>0.245738958692197</v>
      </c>
      <c r="O30" s="4" t="n">
        <f aca="false">(N30-N$344)/N$345</f>
        <v>0.0724179759593886</v>
      </c>
    </row>
    <row r="31" customFormat="false" ht="14.25" hidden="false" customHeight="false" outlineLevel="0" collapsed="false">
      <c r="B31" s="4" t="n">
        <v>0.193070664820295</v>
      </c>
      <c r="C31" s="4" t="n">
        <f aca="false">(B31-B$344)/B$345</f>
        <v>-0.341693820727434</v>
      </c>
      <c r="D31" s="4" t="n">
        <v>0.361984225422292</v>
      </c>
      <c r="E31" s="4" t="n">
        <f aca="false">(D31-D$344)/D$345</f>
        <v>0.169256033441447</v>
      </c>
      <c r="F31" s="4" t="n">
        <v>0.346728947402081</v>
      </c>
      <c r="G31" s="4" t="n">
        <f aca="false">(F31-F$344)/F$345</f>
        <v>0.632359140035593</v>
      </c>
      <c r="H31" s="4" t="n">
        <v>0.227324956130468</v>
      </c>
      <c r="I31" s="4" t="n">
        <f aca="false">(H31-H$344)/H$345</f>
        <v>0.200917175098666</v>
      </c>
      <c r="J31" s="4" t="n">
        <v>0.195361329450756</v>
      </c>
      <c r="K31" s="4" t="n">
        <f aca="false">(J31-J$344)/J$345</f>
        <v>-0.107388789379625</v>
      </c>
      <c r="L31" s="4" t="n">
        <v>0.337850116334015</v>
      </c>
      <c r="M31" s="4" t="n">
        <f aca="false">(L31-L$344)/L$345</f>
        <v>0.751175925715756</v>
      </c>
      <c r="N31" s="4" t="n">
        <v>0.340291147832917</v>
      </c>
      <c r="O31" s="4" t="n">
        <f aca="false">(N31-N$344)/N$345</f>
        <v>1.23848755405587</v>
      </c>
    </row>
    <row r="32" customFormat="false" ht="14.25" hidden="false" customHeight="false" outlineLevel="0" collapsed="false">
      <c r="A32" s="0" t="s">
        <v>27</v>
      </c>
      <c r="B32" s="4" t="n">
        <v>0.199016215462566</v>
      </c>
      <c r="C32" s="4" t="n">
        <f aca="false">(B32-B$344)/B$345</f>
        <v>-0.285571954981473</v>
      </c>
      <c r="D32" s="4" t="n">
        <v>0.333705431389517</v>
      </c>
      <c r="E32" s="4" t="n">
        <f aca="false">(D32-D$344)/D$345</f>
        <v>-0.0489231543144727</v>
      </c>
      <c r="F32" s="4" t="n">
        <v>0.240089378798229</v>
      </c>
      <c r="G32" s="4" t="n">
        <f aca="false">(F32-F$344)/F$345</f>
        <v>-0.397737161125632</v>
      </c>
      <c r="H32" s="4" t="n">
        <v>0.152768919171364</v>
      </c>
      <c r="I32" s="4" t="n">
        <f aca="false">(H32-H$344)/H$345</f>
        <v>-0.86129154939998</v>
      </c>
      <c r="J32" s="4" t="n">
        <v>0.250024827795311</v>
      </c>
      <c r="K32" s="4" t="n">
        <f aca="false">(J32-J$344)/J$345</f>
        <v>0.572580788114082</v>
      </c>
      <c r="L32" s="4" t="n">
        <v>0.232575121493359</v>
      </c>
      <c r="M32" s="4" t="n">
        <f aca="false">(L32-L$344)/L$345</f>
        <v>-0.629841340846974</v>
      </c>
      <c r="N32" s="4" t="n">
        <v>0.201295379398965</v>
      </c>
      <c r="O32" s="4" t="n">
        <f aca="false">(N32-N$344)/N$345</f>
        <v>-0.475684677469676</v>
      </c>
    </row>
    <row r="33" customFormat="false" ht="14.25" hidden="false" customHeight="false" outlineLevel="0" collapsed="false">
      <c r="B33" s="4" t="n">
        <v>0.297824094985104</v>
      </c>
      <c r="C33" s="4" t="n">
        <f aca="false">(B33-B$344)/B$345</f>
        <v>0.647105753586329</v>
      </c>
      <c r="D33" s="4" t="n">
        <v>0.482944768707898</v>
      </c>
      <c r="E33" s="4" t="n">
        <f aca="false">(D33-D$344)/D$345</f>
        <v>1.10250209244881</v>
      </c>
      <c r="F33" s="4" t="n">
        <v>0.308686344169152</v>
      </c>
      <c r="G33" s="4" t="n">
        <f aca="false">(F33-F$344)/F$345</f>
        <v>0.264882551468745</v>
      </c>
      <c r="H33" s="4" t="n">
        <v>0.203121135584547</v>
      </c>
      <c r="I33" s="4" t="n">
        <f aca="false">(H33-H$344)/H$345</f>
        <v>-0.143917534452476</v>
      </c>
      <c r="J33" s="4" t="n">
        <v>0.335945053647321</v>
      </c>
      <c r="K33" s="4" t="n">
        <f aca="false">(J33-J$344)/J$345</f>
        <v>1.64135870098204</v>
      </c>
      <c r="L33" s="4" t="n">
        <v>0.299025156205748</v>
      </c>
      <c r="M33" s="4" t="n">
        <f aca="false">(L33-L$344)/L$345</f>
        <v>0.241862765530824</v>
      </c>
      <c r="N33" s="4" t="n">
        <v>0.29366125597279</v>
      </c>
      <c r="O33" s="4" t="n">
        <f aca="false">(N33-N$344)/N$345</f>
        <v>0.663422092090747</v>
      </c>
    </row>
    <row r="34" customFormat="false" ht="14.25" hidden="false" customHeight="false" outlineLevel="0" collapsed="false">
      <c r="B34" s="4" t="n">
        <v>0.428737309700055</v>
      </c>
      <c r="C34" s="4" t="n">
        <f aca="false">(B34-B$344)/B$345</f>
        <v>1.88283551230192</v>
      </c>
      <c r="D34" s="4" t="n">
        <v>0.66820683177461</v>
      </c>
      <c r="E34" s="4" t="n">
        <f aca="false">(D34-D$344)/D$345</f>
        <v>2.5318532307977</v>
      </c>
      <c r="F34" s="4" t="n">
        <v>0.399572306906053</v>
      </c>
      <c r="G34" s="4" t="n">
        <f aca="false">(F34-F$344)/F$345</f>
        <v>1.14280521440212</v>
      </c>
      <c r="H34" s="4" t="n">
        <v>0.269834140159948</v>
      </c>
      <c r="I34" s="4" t="n">
        <f aca="false">(H34-H$344)/H$345</f>
        <v>0.806550575009654</v>
      </c>
      <c r="J34" s="4" t="n">
        <v>0.449783069701045</v>
      </c>
      <c r="K34" s="4" t="n">
        <f aca="false">(J34-J$344)/J$345</f>
        <v>3.05741127761855</v>
      </c>
      <c r="L34" s="4" t="n">
        <v>0.387066592821484</v>
      </c>
      <c r="M34" s="4" t="n">
        <f aca="false">(L34-L$344)/L$345</f>
        <v>1.39680696024063</v>
      </c>
      <c r="N34" s="4" t="n">
        <v>0.353902034365235</v>
      </c>
      <c r="O34" s="4" t="n">
        <f aca="false">(N34-N$344)/N$345</f>
        <v>1.40634448958</v>
      </c>
    </row>
    <row r="35" customFormat="false" ht="14.25" hidden="false" customHeight="false" outlineLevel="0" collapsed="false">
      <c r="B35" s="4" t="n">
        <v>0.428737309700055</v>
      </c>
      <c r="C35" s="4" t="n">
        <f aca="false">(B35-B$344)/B$345</f>
        <v>1.88283551230192</v>
      </c>
      <c r="D35" s="4" t="n">
        <v>0.66820683177461</v>
      </c>
      <c r="E35" s="4" t="n">
        <f aca="false">(D35-D$344)/D$345</f>
        <v>2.5318532307977</v>
      </c>
      <c r="F35" s="4" t="n">
        <v>0.399572306906053</v>
      </c>
      <c r="G35" s="4" t="n">
        <f aca="false">(F35-F$344)/F$345</f>
        <v>1.14280521440212</v>
      </c>
      <c r="H35" s="4" t="n">
        <v>0.269834140159948</v>
      </c>
      <c r="I35" s="4" t="n">
        <f aca="false">(H35-H$344)/H$345</f>
        <v>0.806550575009654</v>
      </c>
      <c r="J35" s="4" t="n">
        <v>0.449783069701045</v>
      </c>
      <c r="K35" s="4" t="n">
        <f aca="false">(J35-J$344)/J$345</f>
        <v>3.05741127761855</v>
      </c>
      <c r="L35" s="4" t="n">
        <v>0.387066592821484</v>
      </c>
      <c r="M35" s="4" t="n">
        <f aca="false">(L35-L$344)/L$345</f>
        <v>1.39680696024063</v>
      </c>
      <c r="N35" s="4" t="n">
        <v>0.353902034365235</v>
      </c>
      <c r="O35" s="4" t="n">
        <f aca="false">(N35-N$344)/N$345</f>
        <v>1.40634448958</v>
      </c>
    </row>
    <row r="36" customFormat="false" ht="14.25" hidden="false" customHeight="false" outlineLevel="0" collapsed="false">
      <c r="B36" s="4" t="n">
        <v>0.428737309700055</v>
      </c>
      <c r="C36" s="4" t="n">
        <f aca="false">(B36-B$344)/B$345</f>
        <v>1.88283551230192</v>
      </c>
      <c r="D36" s="4" t="n">
        <v>0.66820683177461</v>
      </c>
      <c r="E36" s="4" t="n">
        <f aca="false">(D36-D$344)/D$345</f>
        <v>2.5318532307977</v>
      </c>
      <c r="F36" s="4" t="n">
        <v>0.399572306906053</v>
      </c>
      <c r="G36" s="4" t="n">
        <f aca="false">(F36-F$344)/F$345</f>
        <v>1.14280521440212</v>
      </c>
      <c r="H36" s="4" t="n">
        <v>0.269834140159948</v>
      </c>
      <c r="I36" s="4" t="n">
        <f aca="false">(H36-H$344)/H$345</f>
        <v>0.806550575009654</v>
      </c>
      <c r="J36" s="4" t="n">
        <v>0.449783069701045</v>
      </c>
      <c r="K36" s="4" t="n">
        <f aca="false">(J36-J$344)/J$345</f>
        <v>3.05741127761855</v>
      </c>
      <c r="L36" s="4" t="n">
        <v>0.387066592821484</v>
      </c>
      <c r="M36" s="4" t="n">
        <f aca="false">(L36-L$344)/L$345</f>
        <v>1.39680696024063</v>
      </c>
      <c r="N36" s="4" t="n">
        <v>0.353902034365235</v>
      </c>
      <c r="O36" s="4" t="n">
        <f aca="false">(N36-N$344)/N$345</f>
        <v>1.40634448958</v>
      </c>
    </row>
    <row r="37" customFormat="false" ht="14.25" hidden="false" customHeight="false" outlineLevel="0" collapsed="false">
      <c r="A37" s="0" t="s">
        <v>28</v>
      </c>
      <c r="B37" s="4" t="n">
        <v>0.0486093400418954</v>
      </c>
      <c r="C37" s="4" t="n">
        <f aca="false">(B37-B$344)/B$345</f>
        <v>-1.70530832214231</v>
      </c>
      <c r="D37" s="4" t="n">
        <v>0.0838325987152377</v>
      </c>
      <c r="E37" s="4" t="n">
        <f aca="false">(D37-D$344)/D$345</f>
        <v>-1.97676532509302</v>
      </c>
      <c r="F37" s="4" t="n">
        <v>0.0795661018851062</v>
      </c>
      <c r="G37" s="4" t="n">
        <f aca="false">(F37-F$344)/F$345</f>
        <v>-1.9483288970389</v>
      </c>
      <c r="H37" s="4" t="n">
        <v>0.0506699343840264</v>
      </c>
      <c r="I37" s="4" t="n">
        <f aca="false">(H37-H$344)/H$345</f>
        <v>-2.31590792691816</v>
      </c>
      <c r="J37" s="4" t="n">
        <v>0.0905502520290736</v>
      </c>
      <c r="K37" s="4" t="n">
        <f aca="false">(J37-J$344)/J$345</f>
        <v>-1.41115357190165</v>
      </c>
      <c r="L37" s="4" t="n">
        <v>0.0961380935465997</v>
      </c>
      <c r="M37" s="4" t="n">
        <f aca="false">(L37-L$344)/L$345</f>
        <v>-2.41964804355137</v>
      </c>
      <c r="N37" s="4" t="n">
        <v>0.0545480872464423</v>
      </c>
      <c r="O37" s="4" t="n">
        <f aca="false">(N37-N$344)/N$345</f>
        <v>-2.28545296101965</v>
      </c>
    </row>
    <row r="38" customFormat="false" ht="14.25" hidden="false" customHeight="false" outlineLevel="0" collapsed="false">
      <c r="B38" s="4" t="n">
        <v>0.103681914510045</v>
      </c>
      <c r="C38" s="4" t="n">
        <f aca="false">(B38-B$344)/B$345</f>
        <v>-1.18546149607854</v>
      </c>
      <c r="D38" s="4" t="n">
        <v>0.225379151293811</v>
      </c>
      <c r="E38" s="4" t="n">
        <f aca="false">(D38-D$344)/D$345</f>
        <v>-0.884692168244446</v>
      </c>
      <c r="F38" s="4" t="n">
        <v>0.143218983393191</v>
      </c>
      <c r="G38" s="4" t="n">
        <f aca="false">(F38-F$344)/F$345</f>
        <v>-1.33346709050526</v>
      </c>
      <c r="H38" s="4" t="n">
        <v>0.115583767494815</v>
      </c>
      <c r="I38" s="4" t="n">
        <f aca="false">(H38-H$344)/H$345</f>
        <v>-1.39107282726352</v>
      </c>
      <c r="J38" s="4" t="n">
        <v>0.182425740208567</v>
      </c>
      <c r="K38" s="4" t="n">
        <f aca="false">(J38-J$344)/J$345</f>
        <v>-0.268297026466866</v>
      </c>
      <c r="L38" s="4" t="n">
        <v>0.17304856838388</v>
      </c>
      <c r="M38" s="4" t="n">
        <f aca="false">(L38-L$344)/L$345</f>
        <v>-1.41072190785706</v>
      </c>
      <c r="N38" s="4" t="n">
        <v>0.134610338343812</v>
      </c>
      <c r="O38" s="4" t="n">
        <f aca="false">(N38-N$344)/N$345</f>
        <v>-1.2980812649543</v>
      </c>
    </row>
    <row r="39" customFormat="false" ht="14.25" hidden="false" customHeight="false" outlineLevel="0" collapsed="false">
      <c r="B39" s="4" t="n">
        <v>0.158754488978194</v>
      </c>
      <c r="C39" s="4" t="n">
        <f aca="false">(B39-B$344)/B$345</f>
        <v>-0.665614670014766</v>
      </c>
      <c r="D39" s="4" t="n">
        <v>0.350556369013838</v>
      </c>
      <c r="E39" s="4" t="n">
        <f aca="false">(D39-D$344)/D$345</f>
        <v>0.0810867704206109</v>
      </c>
      <c r="F39" s="4" t="n">
        <v>0.206871864901276</v>
      </c>
      <c r="G39" s="4" t="n">
        <f aca="false">(F39-F$344)/F$345</f>
        <v>-0.718605283971615</v>
      </c>
      <c r="H39" s="4" t="n">
        <v>0.180497600605604</v>
      </c>
      <c r="I39" s="4" t="n">
        <f aca="false">(H39-H$344)/H$345</f>
        <v>-0.466237727608868</v>
      </c>
      <c r="J39" s="4" t="n">
        <v>0.27430122838806</v>
      </c>
      <c r="K39" s="4" t="n">
        <f aca="false">(J39-J$344)/J$345</f>
        <v>0.874559518967913</v>
      </c>
      <c r="L39" s="4" t="n">
        <v>0.249959043221159</v>
      </c>
      <c r="M39" s="4" t="n">
        <f aca="false">(L39-L$344)/L$345</f>
        <v>-0.401795772162743</v>
      </c>
      <c r="N39" s="4" t="n">
        <v>0.214672589441182</v>
      </c>
      <c r="O39" s="4" t="n">
        <f aca="false">(N39-N$344)/N$345</f>
        <v>-0.310709568888954</v>
      </c>
    </row>
    <row r="40" customFormat="false" ht="14.25" hidden="false" customHeight="false" outlineLevel="0" collapsed="false">
      <c r="B40" s="4" t="n">
        <v>0.213827063446343</v>
      </c>
      <c r="C40" s="4" t="n">
        <f aca="false">(B40-B$344)/B$345</f>
        <v>-0.145767843950992</v>
      </c>
      <c r="D40" s="4" t="n">
        <v>0.470919076481352</v>
      </c>
      <c r="E40" s="4" t="n">
        <f aca="false">(D40-D$344)/D$345</f>
        <v>1.0097203507964</v>
      </c>
      <c r="F40" s="4" t="n">
        <v>0.270524746409361</v>
      </c>
      <c r="G40" s="4" t="n">
        <f aca="false">(F40-F$344)/F$345</f>
        <v>-0.103743477437973</v>
      </c>
      <c r="H40" s="4" t="n">
        <v>0.245411433716393</v>
      </c>
      <c r="I40" s="4" t="n">
        <f aca="false">(H40-H$344)/H$345</f>
        <v>0.45859737204578</v>
      </c>
      <c r="J40" s="4" t="n">
        <v>0.366176716567553</v>
      </c>
      <c r="K40" s="4" t="n">
        <f aca="false">(J40-J$344)/J$345</f>
        <v>2.01741606440269</v>
      </c>
      <c r="L40" s="4" t="n">
        <v>0.326869518058439</v>
      </c>
      <c r="M40" s="4" t="n">
        <f aca="false">(L40-L$344)/L$345</f>
        <v>0.607130363531573</v>
      </c>
      <c r="N40" s="4" t="n">
        <v>0.294734840538552</v>
      </c>
      <c r="O40" s="4" t="n">
        <f aca="false">(N40-N$344)/N$345</f>
        <v>0.676662127176396</v>
      </c>
    </row>
    <row r="41" customFormat="false" ht="14.25" hidden="false" customHeight="false" outlineLevel="0" collapsed="false">
      <c r="B41" s="4" t="n">
        <v>0.255131494297455</v>
      </c>
      <c r="C41" s="4" t="n">
        <f aca="false">(B41-B$344)/B$345</f>
        <v>0.244117275596838</v>
      </c>
      <c r="D41" s="4" t="n">
        <v>0.559769322023042</v>
      </c>
      <c r="E41" s="4" t="n">
        <f aca="false">(D41-D$344)/D$345</f>
        <v>1.69522604745844</v>
      </c>
      <c r="F41" s="4" t="n">
        <v>0.318264407540425</v>
      </c>
      <c r="G41" s="4" t="n">
        <f aca="false">(F41-F$344)/F$345</f>
        <v>0.357402877462258</v>
      </c>
      <c r="H41" s="4" t="n">
        <v>0.294096808549485</v>
      </c>
      <c r="I41" s="4" t="n">
        <f aca="false">(H41-H$344)/H$345</f>
        <v>1.15222369678677</v>
      </c>
      <c r="J41" s="4" t="n">
        <v>0.435083332702173</v>
      </c>
      <c r="K41" s="4" t="n">
        <f aca="false">(J41-J$344)/J$345</f>
        <v>2.87455847347878</v>
      </c>
      <c r="L41" s="4" t="n">
        <v>0.384552374186399</v>
      </c>
      <c r="M41" s="4" t="n">
        <f aca="false">(L41-L$344)/L$345</f>
        <v>1.36382496530231</v>
      </c>
      <c r="N41" s="4" t="n">
        <v>0.354781528861579</v>
      </c>
      <c r="O41" s="4" t="n">
        <f aca="false">(N41-N$344)/N$345</f>
        <v>1.41719089922541</v>
      </c>
    </row>
    <row r="42" customFormat="false" ht="14.25" hidden="false" customHeight="false" outlineLevel="0" collapsed="false">
      <c r="B42" s="4" t="n">
        <v>0.302926081223511</v>
      </c>
      <c r="C42" s="4" t="n">
        <f aca="false">(B42-B$344)/B$345</f>
        <v>0.695264957659689</v>
      </c>
      <c r="D42" s="4" t="n">
        <v>0.661738183674321</v>
      </c>
      <c r="E42" s="4" t="n">
        <f aca="false">(D42-D$344)/D$345</f>
        <v>2.48194571399326</v>
      </c>
      <c r="F42" s="4" t="n">
        <v>0.373505391055579</v>
      </c>
      <c r="G42" s="4" t="n">
        <f aca="false">(F42-F$344)/F$345</f>
        <v>0.891009057011384</v>
      </c>
      <c r="H42" s="4" t="n">
        <v>0.350432105551287</v>
      </c>
      <c r="I42" s="4" t="n">
        <f aca="false">(H42-H$344)/H$345</f>
        <v>1.95483937236728</v>
      </c>
      <c r="J42" s="4" t="n">
        <v>0.514817230174284</v>
      </c>
      <c r="K42" s="4" t="n">
        <f aca="false">(J42-J$344)/J$345</f>
        <v>3.86638347952393</v>
      </c>
      <c r="L42" s="4" t="n">
        <v>0.451298924726914</v>
      </c>
      <c r="M42" s="4" t="n">
        <f aca="false">(L42-L$344)/L$345</f>
        <v>2.23941882231911</v>
      </c>
      <c r="N42" s="4" t="n">
        <v>0.395488953588992</v>
      </c>
      <c r="O42" s="4" t="n">
        <f aca="false">(N42-N$344)/N$345</f>
        <v>1.9192172405367</v>
      </c>
    </row>
    <row r="43" customFormat="false" ht="14.25" hidden="false" customHeight="false" outlineLevel="0" collapsed="false">
      <c r="A43" s="0" t="s">
        <v>29</v>
      </c>
      <c r="B43" s="4" t="n">
        <v>0.0862285655197986</v>
      </c>
      <c r="C43" s="4" t="n">
        <f aca="false">(B43-B$344)/B$345</f>
        <v>-1.35020898000105</v>
      </c>
      <c r="D43" s="4" t="n">
        <v>0.161008855070739</v>
      </c>
      <c r="E43" s="4" t="n">
        <f aca="false">(D43-D$344)/D$345</f>
        <v>-1.3813278780021</v>
      </c>
      <c r="F43" s="4" t="n">
        <v>0.152436601906707</v>
      </c>
      <c r="G43" s="4" t="n">
        <f aca="false">(F43-F$344)/F$345</f>
        <v>-1.24442852010781</v>
      </c>
      <c r="H43" s="4" t="n">
        <v>0.0991757330049924</v>
      </c>
      <c r="I43" s="4" t="n">
        <f aca="false">(H43-H$344)/H$345</f>
        <v>-1.6248400458259</v>
      </c>
      <c r="J43" s="4" t="n">
        <v>0.154734444957662</v>
      </c>
      <c r="K43" s="4" t="n">
        <f aca="false">(J43-J$344)/J$345</f>
        <v>-0.612754276775413</v>
      </c>
      <c r="L43" s="4" t="n">
        <v>0.150944594652912</v>
      </c>
      <c r="M43" s="4" t="n">
        <f aca="false">(L43-L$344)/L$345</f>
        <v>-1.70068601023786</v>
      </c>
      <c r="N43" s="4" t="n">
        <v>0.107024765812912</v>
      </c>
      <c r="O43" s="4" t="n">
        <f aca="false">(N43-N$344)/N$345</f>
        <v>-1.63828171102524</v>
      </c>
    </row>
    <row r="44" customFormat="false" ht="14.25" hidden="false" customHeight="false" outlineLevel="0" collapsed="false">
      <c r="B44" s="4" t="n">
        <v>0.129994609267035</v>
      </c>
      <c r="C44" s="4" t="n">
        <f aca="false">(B44-B$344)/B$345</f>
        <v>-0.937087945600758</v>
      </c>
      <c r="D44" s="4" t="n">
        <v>0.248222640731544</v>
      </c>
      <c r="E44" s="4" t="n">
        <f aca="false">(D44-D$344)/D$345</f>
        <v>-0.708447949157202</v>
      </c>
      <c r="F44" s="4" t="n">
        <v>0.182923922288048</v>
      </c>
      <c r="G44" s="4" t="n">
        <f aca="false">(F44-F$344)/F$345</f>
        <v>-0.94993299308818</v>
      </c>
      <c r="H44" s="4" t="n">
        <v>0.123611103871122</v>
      </c>
      <c r="I44" s="4" t="n">
        <f aca="false">(H44-H$344)/H$345</f>
        <v>-1.2767064113276</v>
      </c>
      <c r="J44" s="4" t="n">
        <v>0.195367064740904</v>
      </c>
      <c r="K44" s="4" t="n">
        <f aca="false">(J44-J$344)/J$345</f>
        <v>-0.107317447022539</v>
      </c>
      <c r="L44" s="4" t="n">
        <v>0.181133513583495</v>
      </c>
      <c r="M44" s="4" t="n">
        <f aca="false">(L44-L$344)/L$345</f>
        <v>-1.30466206965158</v>
      </c>
      <c r="N44" s="4" t="n">
        <v>0.150966885659655</v>
      </c>
      <c r="O44" s="4" t="n">
        <f aca="false">(N44-N$344)/N$345</f>
        <v>-1.0963633311758</v>
      </c>
    </row>
    <row r="45" customFormat="false" ht="14.25" hidden="false" customHeight="false" outlineLevel="0" collapsed="false">
      <c r="B45" s="4" t="n">
        <v>0.173760653014271</v>
      </c>
      <c r="C45" s="4" t="n">
        <f aca="false">(B45-B$344)/B$345</f>
        <v>-0.523966911200464</v>
      </c>
      <c r="D45" s="4" t="n">
        <v>0.32829200890577</v>
      </c>
      <c r="E45" s="4" t="n">
        <f aca="false">(D45-D$344)/D$345</f>
        <v>-0.0906892960783233</v>
      </c>
      <c r="F45" s="4" t="n">
        <v>0.213411242669389</v>
      </c>
      <c r="G45" s="4" t="n">
        <f aca="false">(F45-F$344)/F$345</f>
        <v>-0.655437466068552</v>
      </c>
      <c r="H45" s="4" t="n">
        <v>0.148046474737251</v>
      </c>
      <c r="I45" s="4" t="n">
        <f aca="false">(H45-H$344)/H$345</f>
        <v>-0.928572776829299</v>
      </c>
      <c r="J45" s="4" t="n">
        <v>0.235999684524146</v>
      </c>
      <c r="K45" s="4" t="n">
        <f aca="false">(J45-J$344)/J$345</f>
        <v>0.398119382730334</v>
      </c>
      <c r="L45" s="4" t="n">
        <v>0.211322432514077</v>
      </c>
      <c r="M45" s="4" t="n">
        <f aca="false">(L45-L$344)/L$345</f>
        <v>-0.908638129065304</v>
      </c>
      <c r="N45" s="4" t="n">
        <v>0.194909005506399</v>
      </c>
      <c r="O45" s="4" t="n">
        <f aca="false">(N45-N$344)/N$345</f>
        <v>-0.554444951326354</v>
      </c>
    </row>
    <row r="46" customFormat="false" ht="14.25" hidden="false" customHeight="false" outlineLevel="0" collapsed="false">
      <c r="B46" s="4" t="n">
        <v>0.261292740508744</v>
      </c>
      <c r="C46" s="4" t="n">
        <f aca="false">(B46-B$344)/B$345</f>
        <v>0.302275157600126</v>
      </c>
      <c r="D46" s="4" t="n">
        <v>0.47652338277659</v>
      </c>
      <c r="E46" s="4" t="n">
        <f aca="false">(D46-D$344)/D$345</f>
        <v>1.05295921713608</v>
      </c>
      <c r="F46" s="4" t="n">
        <v>0.274385883432072</v>
      </c>
      <c r="G46" s="4" t="n">
        <f aca="false">(F46-F$344)/F$345</f>
        <v>-0.0664464120292937</v>
      </c>
      <c r="H46" s="4" t="n">
        <v>0.196917216469511</v>
      </c>
      <c r="I46" s="4" t="n">
        <f aca="false">(H46-H$344)/H$345</f>
        <v>-0.232305507832693</v>
      </c>
      <c r="J46" s="4" t="n">
        <v>0.31726492409063</v>
      </c>
      <c r="K46" s="4" t="n">
        <f aca="false">(J46-J$344)/J$345</f>
        <v>1.40899304223608</v>
      </c>
      <c r="L46" s="4" t="n">
        <v>0.271700270375242</v>
      </c>
      <c r="M46" s="4" t="n">
        <f aca="false">(L46-L$344)/L$345</f>
        <v>-0.116590247892741</v>
      </c>
      <c r="N46" s="4" t="n">
        <v>0.282793245199886</v>
      </c>
      <c r="O46" s="4" t="n">
        <f aca="false">(N46-N$344)/N$345</f>
        <v>0.529391808372533</v>
      </c>
    </row>
    <row r="47" customFormat="false" ht="14.25" hidden="false" customHeight="false" outlineLevel="0" collapsed="false">
      <c r="B47" s="4" t="n">
        <v>0.382362948553528</v>
      </c>
      <c r="C47" s="4" t="n">
        <f aca="false">(B47-B$344)/B$345</f>
        <v>1.44509377450283</v>
      </c>
      <c r="D47" s="4" t="n">
        <v>0.66820683177461</v>
      </c>
      <c r="E47" s="4" t="n">
        <f aca="false">(D47-D$344)/D$345</f>
        <v>2.5318532307977</v>
      </c>
      <c r="F47" s="4" t="n">
        <v>0.358723097977082</v>
      </c>
      <c r="G47" s="4" t="n">
        <f aca="false">(F47-F$344)/F$345</f>
        <v>0.748217918391847</v>
      </c>
      <c r="H47" s="4" t="n">
        <v>0.264512895245035</v>
      </c>
      <c r="I47" s="4" t="n">
        <f aca="false">(H47-H$344)/H$345</f>
        <v>0.730738165923122</v>
      </c>
      <c r="J47" s="4" t="n">
        <v>0.42966712701701</v>
      </c>
      <c r="K47" s="4" t="n">
        <f aca="false">(J47-J$344)/J$345</f>
        <v>2.80718526827069</v>
      </c>
      <c r="L47" s="4" t="n">
        <v>0.355212015615033</v>
      </c>
      <c r="M47" s="4" t="n">
        <f aca="false">(L47-L$344)/L$345</f>
        <v>0.978932599783518</v>
      </c>
      <c r="N47" s="4" t="n">
        <v>0.34450719881846</v>
      </c>
      <c r="O47" s="4" t="n">
        <f aca="false">(N47-N$344)/N$345</f>
        <v>1.29048221265261</v>
      </c>
    </row>
    <row r="48" customFormat="false" ht="14.25" hidden="false" customHeight="false" outlineLevel="0" collapsed="false">
      <c r="A48" s="0" t="s">
        <v>30</v>
      </c>
      <c r="B48" s="4" t="n">
        <v>0.0862285655197986</v>
      </c>
      <c r="C48" s="4" t="n">
        <f aca="false">(B48-B$344)/B$345</f>
        <v>-1.35020898000105</v>
      </c>
      <c r="D48" s="4" t="n">
        <v>0.161008855070739</v>
      </c>
      <c r="E48" s="4" t="n">
        <f aca="false">(D48-D$344)/D$345</f>
        <v>-1.3813278780021</v>
      </c>
      <c r="F48" s="4" t="n">
        <v>0.152436601906707</v>
      </c>
      <c r="G48" s="4" t="n">
        <f aca="false">(F48-F$344)/F$345</f>
        <v>-1.24442852010781</v>
      </c>
      <c r="H48" s="4" t="n">
        <v>0.0991757330049924</v>
      </c>
      <c r="I48" s="4" t="n">
        <f aca="false">(H48-H$344)/H$345</f>
        <v>-1.6248400458259</v>
      </c>
      <c r="J48" s="4" t="n">
        <v>0.154734444957662</v>
      </c>
      <c r="K48" s="4" t="n">
        <f aca="false">(J48-J$344)/J$345</f>
        <v>-0.612754276775413</v>
      </c>
      <c r="L48" s="4" t="n">
        <v>0.150944594652912</v>
      </c>
      <c r="M48" s="4" t="n">
        <f aca="false">(L48-L$344)/L$345</f>
        <v>-1.70068601023786</v>
      </c>
      <c r="N48" s="4" t="n">
        <v>0.107024765812912</v>
      </c>
      <c r="O48" s="4" t="n">
        <f aca="false">(N48-N$344)/N$345</f>
        <v>-1.63828171102524</v>
      </c>
    </row>
    <row r="49" customFormat="false" ht="14.25" hidden="false" customHeight="false" outlineLevel="0" collapsed="false">
      <c r="B49" s="4" t="n">
        <v>0.173760653014271</v>
      </c>
      <c r="C49" s="4" t="n">
        <f aca="false">(B49-B$344)/B$345</f>
        <v>-0.523966911200464</v>
      </c>
      <c r="D49" s="4" t="n">
        <v>0.32829200890577</v>
      </c>
      <c r="E49" s="4" t="n">
        <f aca="false">(D49-D$344)/D$345</f>
        <v>-0.0906892960783233</v>
      </c>
      <c r="F49" s="4" t="n">
        <v>0.213411242669389</v>
      </c>
      <c r="G49" s="4" t="n">
        <f aca="false">(F49-F$344)/F$345</f>
        <v>-0.655437466068552</v>
      </c>
      <c r="H49" s="4" t="n">
        <v>0.148046474737251</v>
      </c>
      <c r="I49" s="4" t="n">
        <f aca="false">(H49-H$344)/H$345</f>
        <v>-0.928572776829299</v>
      </c>
      <c r="J49" s="4" t="n">
        <v>0.235999684524146</v>
      </c>
      <c r="K49" s="4" t="n">
        <f aca="false">(J49-J$344)/J$345</f>
        <v>0.398119382730334</v>
      </c>
      <c r="L49" s="4" t="n">
        <v>0.211322432514077</v>
      </c>
      <c r="M49" s="4" t="n">
        <f aca="false">(L49-L$344)/L$345</f>
        <v>-0.908638129065304</v>
      </c>
      <c r="N49" s="4" t="n">
        <v>0.194909005506399</v>
      </c>
      <c r="O49" s="4" t="n">
        <f aca="false">(N49-N$344)/N$345</f>
        <v>-0.554444951326354</v>
      </c>
    </row>
    <row r="50" customFormat="false" ht="14.25" hidden="false" customHeight="false" outlineLevel="0" collapsed="false">
      <c r="B50" s="4" t="n">
        <v>0.261292740508744</v>
      </c>
      <c r="C50" s="4" t="n">
        <f aca="false">(B50-B$344)/B$345</f>
        <v>0.302275157600126</v>
      </c>
      <c r="D50" s="4" t="n">
        <v>0.47652338277659</v>
      </c>
      <c r="E50" s="4" t="n">
        <f aca="false">(D50-D$344)/D$345</f>
        <v>1.05295921713608</v>
      </c>
      <c r="F50" s="4" t="n">
        <v>0.274385883432072</v>
      </c>
      <c r="G50" s="4" t="n">
        <f aca="false">(F50-F$344)/F$345</f>
        <v>-0.0664464120292937</v>
      </c>
      <c r="H50" s="4" t="n">
        <v>0.196917216469511</v>
      </c>
      <c r="I50" s="4" t="n">
        <f aca="false">(H50-H$344)/H$345</f>
        <v>-0.232305507832693</v>
      </c>
      <c r="J50" s="4" t="n">
        <v>0.31726492409063</v>
      </c>
      <c r="K50" s="4" t="n">
        <f aca="false">(J50-J$344)/J$345</f>
        <v>1.40899304223608</v>
      </c>
      <c r="L50" s="4" t="n">
        <v>0.271700270375242</v>
      </c>
      <c r="M50" s="4" t="n">
        <f aca="false">(L50-L$344)/L$345</f>
        <v>-0.116590247892741</v>
      </c>
      <c r="N50" s="4" t="n">
        <v>0.282793245199886</v>
      </c>
      <c r="O50" s="4" t="n">
        <f aca="false">(N50-N$344)/N$345</f>
        <v>0.529391808372533</v>
      </c>
    </row>
    <row r="51" customFormat="false" ht="14.25" hidden="false" customHeight="false" outlineLevel="0" collapsed="false">
      <c r="B51" s="4" t="n">
        <v>0.382362948553528</v>
      </c>
      <c r="C51" s="4" t="n">
        <f aca="false">(B51-B$344)/B$345</f>
        <v>1.44509377450283</v>
      </c>
      <c r="D51" s="4" t="n">
        <v>0.66820683177461</v>
      </c>
      <c r="E51" s="4" t="n">
        <f aca="false">(D51-D$344)/D$345</f>
        <v>2.5318532307977</v>
      </c>
      <c r="F51" s="4" t="n">
        <v>0.358723097977082</v>
      </c>
      <c r="G51" s="4" t="n">
        <f aca="false">(F51-F$344)/F$345</f>
        <v>0.748217918391847</v>
      </c>
      <c r="H51" s="4" t="n">
        <v>0.264512895245035</v>
      </c>
      <c r="I51" s="4" t="n">
        <f aca="false">(H51-H$344)/H$345</f>
        <v>0.730738165923122</v>
      </c>
      <c r="J51" s="4" t="n">
        <v>0.42966712701701</v>
      </c>
      <c r="K51" s="4" t="n">
        <f aca="false">(J51-J$344)/J$345</f>
        <v>2.80718526827069</v>
      </c>
      <c r="L51" s="4" t="n">
        <v>0.355212015615033</v>
      </c>
      <c r="M51" s="4" t="n">
        <f aca="false">(L51-L$344)/L$345</f>
        <v>0.978932599783518</v>
      </c>
      <c r="N51" s="4" t="n">
        <v>0.34450719881846</v>
      </c>
      <c r="O51" s="4" t="n">
        <f aca="false">(N51-N$344)/N$345</f>
        <v>1.29048221265261</v>
      </c>
    </row>
    <row r="52" customFormat="false" ht="14.25" hidden="false" customHeight="false" outlineLevel="0" collapsed="false">
      <c r="A52" s="0" t="s">
        <v>31</v>
      </c>
      <c r="B52" s="4" t="n">
        <v>0.353882151077821</v>
      </c>
      <c r="C52" s="4" t="n">
        <f aca="false">(B52-B$344)/B$345</f>
        <v>1.17625484124987</v>
      </c>
      <c r="D52" s="4" t="n">
        <v>0.116612725275268</v>
      </c>
      <c r="E52" s="4" t="n">
        <f aca="false">(D52-D$344)/D$345</f>
        <v>-1.7238570370269</v>
      </c>
      <c r="F52" s="4" t="n">
        <v>0.433680234997297</v>
      </c>
      <c r="G52" s="4" t="n">
        <f aca="false">(F52-F$344)/F$345</f>
        <v>1.47227438824679</v>
      </c>
      <c r="H52" s="4" t="n">
        <v>0.157117769611854</v>
      </c>
      <c r="I52" s="4" t="n">
        <f aca="false">(H52-H$344)/H$345</f>
        <v>-0.799332960024279</v>
      </c>
      <c r="J52" s="4" t="n">
        <v>0.278738572748625</v>
      </c>
      <c r="K52" s="4" t="n">
        <f aca="false">(J52-J$344)/J$345</f>
        <v>0.929756483330293</v>
      </c>
      <c r="L52" s="4" t="n">
        <v>0.388706147886515</v>
      </c>
      <c r="M52" s="4" t="n">
        <f aca="false">(L52-L$344)/L$345</f>
        <v>1.41831495326134</v>
      </c>
      <c r="N52" s="4" t="n">
        <v>0.188869997895246</v>
      </c>
      <c r="O52" s="4" t="n">
        <f aca="false">(N52-N$344)/N$345</f>
        <v>-0.628921313230335</v>
      </c>
    </row>
    <row r="53" customFormat="false" ht="14.25" hidden="false" customHeight="false" outlineLevel="0" collapsed="false">
      <c r="B53" s="4" t="n">
        <v>0.484605247617138</v>
      </c>
      <c r="C53" s="4" t="n">
        <f aca="false">(B53-B$344)/B$345</f>
        <v>2.41019001652471</v>
      </c>
      <c r="D53" s="4" t="n">
        <v>0.312704424594908</v>
      </c>
      <c r="E53" s="4" t="n">
        <f aca="false">(D53-D$344)/D$345</f>
        <v>-0.210952079564741</v>
      </c>
      <c r="F53" s="4" t="n">
        <v>0.520416281996757</v>
      </c>
      <c r="G53" s="4" t="n">
        <f aca="false">(F53-F$344)/F$345</f>
        <v>2.31011049693734</v>
      </c>
      <c r="H53" s="4" t="n">
        <v>0.194666928752726</v>
      </c>
      <c r="I53" s="4" t="n">
        <f aca="false">(H53-H$344)/H$345</f>
        <v>-0.264365624530042</v>
      </c>
      <c r="J53" s="4" t="n">
        <v>0.348999357005757</v>
      </c>
      <c r="K53" s="4" t="n">
        <f aca="false">(J53-J$344)/J$345</f>
        <v>1.80374364537693</v>
      </c>
      <c r="L53" s="4" t="n">
        <v>0.466447377463818</v>
      </c>
      <c r="M53" s="4" t="n">
        <f aca="false">(L53-L$344)/L$345</f>
        <v>2.43813908654747</v>
      </c>
      <c r="N53" s="4" t="n">
        <v>0.309674332816399</v>
      </c>
      <c r="O53" s="4" t="n">
        <f aca="false">(N53-N$344)/N$345</f>
        <v>0.860904159177145</v>
      </c>
    </row>
    <row r="54" customFormat="false" ht="14.25" hidden="false" customHeight="false" outlineLevel="0" collapsed="false">
      <c r="A54" s="0" t="s">
        <v>32</v>
      </c>
      <c r="B54" s="4" t="n">
        <v>0.204318340594315</v>
      </c>
      <c r="C54" s="4" t="n">
        <f aca="false">(B54-B$344)/B$345</f>
        <v>-0.235523578856867</v>
      </c>
      <c r="E54" s="4" t="n">
        <f aca="false">(D54-D$344)/D$345</f>
        <v>-2.62355840523497</v>
      </c>
      <c r="F54" s="4" t="n">
        <v>0.328704638727252</v>
      </c>
      <c r="G54" s="4" t="n">
        <f aca="false">(F54-F$344)/F$345</f>
        <v>0.458251405542574</v>
      </c>
      <c r="H54" s="4" t="n">
        <v>0.115239367944712</v>
      </c>
      <c r="I54" s="4" t="n">
        <f aca="false">(H54-H$344)/H$345</f>
        <v>-1.39597952860862</v>
      </c>
      <c r="J54" s="4" t="n">
        <v>0.201162258911391</v>
      </c>
      <c r="K54" s="4" t="n">
        <f aca="false">(J54-J$344)/J$345</f>
        <v>-0.0352299324847354</v>
      </c>
      <c r="L54" s="4" t="n">
        <v>0.294127650445643</v>
      </c>
      <c r="M54" s="4" t="n">
        <f aca="false">(L54-L$344)/L$345</f>
        <v>0.177616359933442</v>
      </c>
      <c r="N54" s="4" t="n">
        <v>0.0845277026254684</v>
      </c>
      <c r="O54" s="4" t="n">
        <f aca="false">(N54-N$344)/N$345</f>
        <v>-1.9157278623814</v>
      </c>
    </row>
    <row r="55" customFormat="false" ht="14.25" hidden="false" customHeight="false" outlineLevel="0" collapsed="false">
      <c r="B55" s="4" t="n">
        <v>0.327693623897016</v>
      </c>
      <c r="C55" s="4" t="n">
        <f aca="false">(B55-B$344)/B$345</f>
        <v>0.92905334639149</v>
      </c>
      <c r="D55" s="4" t="n">
        <v>0.104621058538157</v>
      </c>
      <c r="E55" s="4" t="n">
        <f aca="false">(D55-D$344)/D$345</f>
        <v>-1.8163762620515</v>
      </c>
      <c r="F55" s="4" t="n">
        <v>0.410880798409065</v>
      </c>
      <c r="G55" s="4" t="n">
        <f aca="false">(F55-F$344)/F$345</f>
        <v>1.25204079572971</v>
      </c>
      <c r="H55" s="4" t="n">
        <v>0.151534919627628</v>
      </c>
      <c r="I55" s="4" t="n">
        <f aca="false">(H55-H$344)/H$345</f>
        <v>-0.878872487642483</v>
      </c>
      <c r="J55" s="4" t="n">
        <v>0.269227542326657</v>
      </c>
      <c r="K55" s="4" t="n">
        <f aca="false">(J55-J$344)/J$345</f>
        <v>0.811446980034489</v>
      </c>
      <c r="L55" s="4" t="n">
        <v>0.367659563057054</v>
      </c>
      <c r="M55" s="4" t="n">
        <f aca="false">(L55-L$344)/L$345</f>
        <v>1.14222187820912</v>
      </c>
      <c r="N55" s="4" t="n">
        <v>0.187787067201251</v>
      </c>
      <c r="O55" s="4" t="n">
        <f aca="false">(N55-N$344)/N$345</f>
        <v>-0.642276609907561</v>
      </c>
    </row>
    <row r="56" customFormat="false" ht="14.25" hidden="false" customHeight="false" outlineLevel="0" collapsed="false">
      <c r="B56" s="4" t="n">
        <v>0.451068907199718</v>
      </c>
      <c r="C56" s="4" t="n">
        <f aca="false">(B56-B$344)/B$345</f>
        <v>2.09363027163985</v>
      </c>
      <c r="D56" s="4" t="n">
        <v>0.300283119150405</v>
      </c>
      <c r="E56" s="4" t="n">
        <f aca="false">(D56-D$344)/D$345</f>
        <v>-0.306786093193781</v>
      </c>
      <c r="F56" s="4" t="n">
        <v>0.493056958090878</v>
      </c>
      <c r="G56" s="4" t="n">
        <f aca="false">(F56-F$344)/F$345</f>
        <v>2.04583018591684</v>
      </c>
      <c r="H56" s="4" t="n">
        <v>0.187830471310544</v>
      </c>
      <c r="I56" s="4" t="n">
        <f aca="false">(H56-H$344)/H$345</f>
        <v>-0.361765446676342</v>
      </c>
      <c r="J56" s="4" t="n">
        <v>0.337292825741923</v>
      </c>
      <c r="K56" s="4" t="n">
        <f aca="false">(J56-J$344)/J$345</f>
        <v>1.65812389255371</v>
      </c>
      <c r="L56" s="4" t="n">
        <v>0.441191475668464</v>
      </c>
      <c r="M56" s="4" t="n">
        <f aca="false">(L56-L$344)/L$345</f>
        <v>2.1068273964848</v>
      </c>
      <c r="N56" s="4" t="n">
        <v>0.30401265831127</v>
      </c>
      <c r="O56" s="4" t="n">
        <f aca="false">(N56-N$344)/N$345</f>
        <v>0.791081276581687</v>
      </c>
    </row>
    <row r="57" customFormat="false" ht="14.25" hidden="false" customHeight="false" outlineLevel="0" collapsed="false">
      <c r="A57" s="0" t="s">
        <v>33</v>
      </c>
      <c r="B57" s="4" t="n">
        <v>0.204318340594315</v>
      </c>
      <c r="C57" s="4" t="n">
        <f aca="false">(B57-B$344)/B$345</f>
        <v>-0.235523578856867</v>
      </c>
      <c r="E57" s="4" t="n">
        <f aca="false">(D57-D$344)/D$345</f>
        <v>-2.62355840523497</v>
      </c>
      <c r="F57" s="4" t="n">
        <v>0.328704638727252</v>
      </c>
      <c r="G57" s="4" t="n">
        <f aca="false">(F57-F$344)/F$345</f>
        <v>0.458251405542574</v>
      </c>
      <c r="H57" s="4" t="n">
        <v>0.115239367944712</v>
      </c>
      <c r="I57" s="4" t="n">
        <f aca="false">(H57-H$344)/H$345</f>
        <v>-1.39597952860862</v>
      </c>
      <c r="J57" s="4" t="n">
        <v>0.201162258911391</v>
      </c>
      <c r="K57" s="4" t="n">
        <f aca="false">(J57-J$344)/J$345</f>
        <v>-0.0352299324847354</v>
      </c>
      <c r="L57" s="4" t="n">
        <v>0.294127650445643</v>
      </c>
      <c r="M57" s="4" t="n">
        <f aca="false">(L57-L$344)/L$345</f>
        <v>0.177616359933442</v>
      </c>
      <c r="N57" s="4" t="n">
        <v>0.0845277026254684</v>
      </c>
      <c r="O57" s="4" t="n">
        <f aca="false">(N57-N$344)/N$345</f>
        <v>-1.9157278623814</v>
      </c>
    </row>
    <row r="58" customFormat="false" ht="14.25" hidden="false" customHeight="false" outlineLevel="0" collapsed="false">
      <c r="B58" s="4" t="n">
        <v>0.327693623897016</v>
      </c>
      <c r="C58" s="4" t="n">
        <f aca="false">(B58-B$344)/B$345</f>
        <v>0.92905334639149</v>
      </c>
      <c r="D58" s="4" t="n">
        <v>0.104621058538157</v>
      </c>
      <c r="E58" s="4" t="n">
        <f aca="false">(D58-D$344)/D$345</f>
        <v>-1.8163762620515</v>
      </c>
      <c r="F58" s="4" t="n">
        <v>0.410880798409065</v>
      </c>
      <c r="G58" s="4" t="n">
        <f aca="false">(F58-F$344)/F$345</f>
        <v>1.25204079572971</v>
      </c>
      <c r="H58" s="4" t="n">
        <v>0.151534919627628</v>
      </c>
      <c r="I58" s="4" t="n">
        <f aca="false">(H58-H$344)/H$345</f>
        <v>-0.878872487642483</v>
      </c>
      <c r="J58" s="4" t="n">
        <v>0.269227542326657</v>
      </c>
      <c r="K58" s="4" t="n">
        <f aca="false">(J58-J$344)/J$345</f>
        <v>0.811446980034489</v>
      </c>
      <c r="L58" s="4" t="n">
        <v>0.367659563057054</v>
      </c>
      <c r="M58" s="4" t="n">
        <f aca="false">(L58-L$344)/L$345</f>
        <v>1.14222187820912</v>
      </c>
      <c r="N58" s="4" t="n">
        <v>0.187787067201251</v>
      </c>
      <c r="O58" s="4" t="n">
        <f aca="false">(N58-N$344)/N$345</f>
        <v>-0.642276609907561</v>
      </c>
    </row>
    <row r="59" customFormat="false" ht="14.25" hidden="false" customHeight="false" outlineLevel="0" collapsed="false">
      <c r="B59" s="4" t="n">
        <v>0.451068907199718</v>
      </c>
      <c r="C59" s="4" t="n">
        <f aca="false">(B59-B$344)/B$345</f>
        <v>2.09363027163985</v>
      </c>
      <c r="D59" s="4" t="n">
        <v>0.300283119150405</v>
      </c>
      <c r="E59" s="4" t="n">
        <f aca="false">(D59-D$344)/D$345</f>
        <v>-0.306786093193781</v>
      </c>
      <c r="F59" s="4" t="n">
        <v>0.493056958090878</v>
      </c>
      <c r="G59" s="4" t="n">
        <f aca="false">(F59-F$344)/F$345</f>
        <v>2.04583018591684</v>
      </c>
      <c r="H59" s="4" t="n">
        <v>0.187830471310544</v>
      </c>
      <c r="I59" s="4" t="n">
        <f aca="false">(H59-H$344)/H$345</f>
        <v>-0.361765446676342</v>
      </c>
      <c r="J59" s="4" t="n">
        <v>0.337292825741923</v>
      </c>
      <c r="K59" s="4" t="n">
        <f aca="false">(J59-J$344)/J$345</f>
        <v>1.65812389255371</v>
      </c>
      <c r="L59" s="4" t="n">
        <v>0.441191475668464</v>
      </c>
      <c r="M59" s="4" t="n">
        <f aca="false">(L59-L$344)/L$345</f>
        <v>2.1068273964848</v>
      </c>
      <c r="N59" s="4" t="n">
        <v>0.30401265831127</v>
      </c>
      <c r="O59" s="4" t="n">
        <f aca="false">(N59-N$344)/N$345</f>
        <v>0.791081276581687</v>
      </c>
    </row>
    <row r="60" customFormat="false" ht="14.25" hidden="false" customHeight="false" outlineLevel="0" collapsed="false">
      <c r="A60" s="0" t="s">
        <v>34</v>
      </c>
      <c r="B60" s="4" t="n">
        <v>0.105442339075742</v>
      </c>
      <c r="C60" s="4" t="n">
        <f aca="false">(B60-B$344)/B$345</f>
        <v>-1.16884431172062</v>
      </c>
      <c r="D60" s="4" t="n">
        <v>0.254179012214</v>
      </c>
      <c r="E60" s="4" t="n">
        <f aca="false">(D60-D$344)/D$345</f>
        <v>-0.662492796667014</v>
      </c>
      <c r="F60" s="4" t="n">
        <v>0.143834116031567</v>
      </c>
      <c r="G60" s="4" t="n">
        <f aca="false">(F60-F$344)/F$345</f>
        <v>-1.32752515109374</v>
      </c>
      <c r="H60" s="4" t="n">
        <v>0.126900839254697</v>
      </c>
      <c r="I60" s="4" t="n">
        <f aca="false">(H60-H$344)/H$345</f>
        <v>-1.22983716011403</v>
      </c>
      <c r="J60" s="4" t="n">
        <v>0.195197753771375</v>
      </c>
      <c r="K60" s="4" t="n">
        <f aca="false">(J60-J$344)/J$345</f>
        <v>-0.109423538141876</v>
      </c>
      <c r="L60" s="4" t="n">
        <v>0.176130184527126</v>
      </c>
      <c r="M60" s="4" t="n">
        <f aca="false">(L60-L$344)/L$345</f>
        <v>-1.37029668523716</v>
      </c>
      <c r="N60" s="4" t="n">
        <v>0.149146984460112</v>
      </c>
      <c r="O60" s="4" t="n">
        <f aca="false">(N60-N$344)/N$345</f>
        <v>-1.11880735328903</v>
      </c>
    </row>
    <row r="61" customFormat="false" ht="14.25" hidden="false" customHeight="false" outlineLevel="0" collapsed="false">
      <c r="B61" s="4" t="n">
        <v>0.167451685883762</v>
      </c>
      <c r="C61" s="4" t="n">
        <f aca="false">(B61-B$344)/B$345</f>
        <v>-0.583519176011192</v>
      </c>
      <c r="D61" s="4" t="n">
        <v>0.406464943141951</v>
      </c>
      <c r="E61" s="4" t="n">
        <f aca="false">(D61-D$344)/D$345</f>
        <v>0.512437813103887</v>
      </c>
      <c r="F61" s="4" t="n">
        <v>0.21575117404735</v>
      </c>
      <c r="G61" s="4" t="n">
        <f aca="false">(F61-F$344)/F$345</f>
        <v>-0.63283464903764</v>
      </c>
      <c r="H61" s="4" t="n">
        <v>0.205207575868328</v>
      </c>
      <c r="I61" s="4" t="n">
        <f aca="false">(H61-H$344)/H$345</f>
        <v>-0.114191771617293</v>
      </c>
      <c r="J61" s="4" t="n">
        <v>0.304474761440738</v>
      </c>
      <c r="K61" s="4" t="n">
        <f aca="false">(J61-J$344)/J$345</f>
        <v>1.24989379398995</v>
      </c>
      <c r="L61" s="4" t="n">
        <v>0.264195276790689</v>
      </c>
      <c r="M61" s="4" t="n">
        <f aca="false">(L61-L$344)/L$345</f>
        <v>-0.215042171271106</v>
      </c>
      <c r="N61" s="4" t="n">
        <v>0.245329493089662</v>
      </c>
      <c r="O61" s="4" t="n">
        <f aca="false">(N61-N$344)/N$345</f>
        <v>0.0673682210385151</v>
      </c>
    </row>
    <row r="62" customFormat="false" ht="14.25" hidden="false" customHeight="false" outlineLevel="0" collapsed="false">
      <c r="B62" s="4" t="n">
        <v>0.229461032691783</v>
      </c>
      <c r="C62" s="4" t="n">
        <f aca="false">(B62-B$344)/B$345</f>
        <v>0.00180595969823736</v>
      </c>
      <c r="D62" s="4" t="n">
        <v>0.553711589105711</v>
      </c>
      <c r="E62" s="4" t="n">
        <f aca="false">(D62-D$344)/D$345</f>
        <v>1.6484888617774</v>
      </c>
      <c r="F62" s="4" t="n">
        <v>0.287668232063133</v>
      </c>
      <c r="G62" s="4" t="n">
        <f aca="false">(F62-F$344)/F$345</f>
        <v>0.0618558530184639</v>
      </c>
      <c r="H62" s="4" t="n">
        <v>0.28351431248196</v>
      </c>
      <c r="I62" s="4" t="n">
        <f aca="false">(H62-H$344)/H$345</f>
        <v>1.00145361687944</v>
      </c>
      <c r="J62" s="4" t="n">
        <v>0.413751769110101</v>
      </c>
      <c r="K62" s="4" t="n">
        <f aca="false">(J62-J$344)/J$345</f>
        <v>2.60921112612178</v>
      </c>
      <c r="L62" s="4" t="n">
        <v>0.352260369054252</v>
      </c>
      <c r="M62" s="4" t="n">
        <f aca="false">(L62-L$344)/L$345</f>
        <v>0.940212342694949</v>
      </c>
      <c r="N62" s="4" t="n">
        <v>0.341512001719212</v>
      </c>
      <c r="O62" s="4" t="n">
        <f aca="false">(N62-N$344)/N$345</f>
        <v>1.25354379536606</v>
      </c>
    </row>
    <row r="63" customFormat="false" ht="14.25" hidden="false" customHeight="false" outlineLevel="0" collapsed="false">
      <c r="B63" s="4" t="n">
        <v>0.275533243219376</v>
      </c>
      <c r="C63" s="4" t="n">
        <f aca="false">(B63-B$344)/B$345</f>
        <v>0.436695605657367</v>
      </c>
      <c r="D63" s="4" t="n">
        <v>0.661738183674321</v>
      </c>
      <c r="E63" s="4" t="n">
        <f aca="false">(D63-D$344)/D$345</f>
        <v>2.48194571399326</v>
      </c>
      <c r="F63" s="4" t="n">
        <v>0.341101754717169</v>
      </c>
      <c r="G63" s="4" t="n">
        <f aca="false">(F63-F$344)/F$345</f>
        <v>0.578002671357607</v>
      </c>
      <c r="H63" s="4" t="n">
        <v>0.341695290684513</v>
      </c>
      <c r="I63" s="4" t="n">
        <f aca="false">(H63-H$344)/H$345</f>
        <v>1.83036493200898</v>
      </c>
      <c r="J63" s="4" t="n">
        <v>0.494943292038982</v>
      </c>
      <c r="K63" s="4" t="n">
        <f aca="false">(J63-J$344)/J$345</f>
        <v>3.61916781045318</v>
      </c>
      <c r="L63" s="4" t="n">
        <v>0.417691689972053</v>
      </c>
      <c r="M63" s="4" t="n">
        <f aca="false">(L63-L$344)/L$345</f>
        <v>1.79855276910164</v>
      </c>
      <c r="N63" s="4" t="n">
        <v>0.384816021741473</v>
      </c>
      <c r="O63" s="4" t="n">
        <f aca="false">(N63-N$344)/N$345</f>
        <v>1.78759277737417</v>
      </c>
    </row>
    <row r="64" customFormat="false" ht="14.25" hidden="false" customHeight="false" outlineLevel="0" collapsed="false">
      <c r="A64" s="0" t="s">
        <v>35</v>
      </c>
      <c r="B64" s="4" t="n">
        <v>0.105442339075742</v>
      </c>
      <c r="C64" s="4" t="n">
        <f aca="false">(B64-B$344)/B$345</f>
        <v>-1.16884431172062</v>
      </c>
      <c r="D64" s="4" t="n">
        <v>0.254179012214</v>
      </c>
      <c r="E64" s="4" t="n">
        <f aca="false">(D64-D$344)/D$345</f>
        <v>-0.662492796667014</v>
      </c>
      <c r="F64" s="4" t="n">
        <v>0.143834116031567</v>
      </c>
      <c r="G64" s="4" t="n">
        <f aca="false">(F64-F$344)/F$345</f>
        <v>-1.32752515109374</v>
      </c>
      <c r="H64" s="4" t="n">
        <v>0.126900839254697</v>
      </c>
      <c r="I64" s="4" t="n">
        <f aca="false">(H64-H$344)/H$345</f>
        <v>-1.22983716011403</v>
      </c>
      <c r="J64" s="4" t="n">
        <v>0.195197753771375</v>
      </c>
      <c r="K64" s="4" t="n">
        <f aca="false">(J64-J$344)/J$345</f>
        <v>-0.109423538141876</v>
      </c>
      <c r="L64" s="4" t="n">
        <v>0.176130184527126</v>
      </c>
      <c r="M64" s="4" t="n">
        <f aca="false">(L64-L$344)/L$345</f>
        <v>-1.37029668523716</v>
      </c>
      <c r="N64" s="4" t="n">
        <v>0.149146984460112</v>
      </c>
      <c r="O64" s="4" t="n">
        <f aca="false">(N64-N$344)/N$345</f>
        <v>-1.11880735328903</v>
      </c>
    </row>
    <row r="65" customFormat="false" ht="14.25" hidden="false" customHeight="false" outlineLevel="0" collapsed="false">
      <c r="B65" s="4" t="n">
        <v>0.167451685883762</v>
      </c>
      <c r="C65" s="4" t="n">
        <f aca="false">(B65-B$344)/B$345</f>
        <v>-0.583519176011192</v>
      </c>
      <c r="D65" s="4" t="n">
        <v>0.406464943141951</v>
      </c>
      <c r="E65" s="4" t="n">
        <f aca="false">(D65-D$344)/D$345</f>
        <v>0.512437813103887</v>
      </c>
      <c r="F65" s="4" t="n">
        <v>0.21575117404735</v>
      </c>
      <c r="G65" s="4" t="n">
        <f aca="false">(F65-F$344)/F$345</f>
        <v>-0.63283464903764</v>
      </c>
      <c r="H65" s="4" t="n">
        <v>0.205207575868328</v>
      </c>
      <c r="I65" s="4" t="n">
        <f aca="false">(H65-H$344)/H$345</f>
        <v>-0.114191771617293</v>
      </c>
      <c r="J65" s="4" t="n">
        <v>0.304474761440738</v>
      </c>
      <c r="K65" s="4" t="n">
        <f aca="false">(J65-J$344)/J$345</f>
        <v>1.24989379398995</v>
      </c>
      <c r="L65" s="4" t="n">
        <v>0.264195276790689</v>
      </c>
      <c r="M65" s="4" t="n">
        <f aca="false">(L65-L$344)/L$345</f>
        <v>-0.215042171271106</v>
      </c>
      <c r="N65" s="4" t="n">
        <v>0.245329493089662</v>
      </c>
      <c r="O65" s="4" t="n">
        <f aca="false">(N65-N$344)/N$345</f>
        <v>0.0673682210385151</v>
      </c>
    </row>
    <row r="66" customFormat="false" ht="14.25" hidden="false" customHeight="false" outlineLevel="0" collapsed="false">
      <c r="B66" s="4" t="n">
        <v>0.229461032691783</v>
      </c>
      <c r="C66" s="4" t="n">
        <f aca="false">(B66-B$344)/B$345</f>
        <v>0.00180595969823736</v>
      </c>
      <c r="D66" s="4" t="n">
        <v>0.553711589105711</v>
      </c>
      <c r="E66" s="4" t="n">
        <f aca="false">(D66-D$344)/D$345</f>
        <v>1.6484888617774</v>
      </c>
      <c r="F66" s="4" t="n">
        <v>0.287668232063133</v>
      </c>
      <c r="G66" s="4" t="n">
        <f aca="false">(F66-F$344)/F$345</f>
        <v>0.0618558530184639</v>
      </c>
      <c r="H66" s="4" t="n">
        <v>0.28351431248196</v>
      </c>
      <c r="I66" s="4" t="n">
        <f aca="false">(H66-H$344)/H$345</f>
        <v>1.00145361687944</v>
      </c>
      <c r="J66" s="4" t="n">
        <v>0.413751769110101</v>
      </c>
      <c r="K66" s="4" t="n">
        <f aca="false">(J66-J$344)/J$345</f>
        <v>2.60921112612178</v>
      </c>
      <c r="L66" s="4" t="n">
        <v>0.352260369054252</v>
      </c>
      <c r="M66" s="4" t="n">
        <f aca="false">(L66-L$344)/L$345</f>
        <v>0.940212342694949</v>
      </c>
      <c r="N66" s="4" t="n">
        <v>0.341512001719212</v>
      </c>
      <c r="O66" s="4" t="n">
        <f aca="false">(N66-N$344)/N$345</f>
        <v>1.25354379536606</v>
      </c>
    </row>
    <row r="67" customFormat="false" ht="14.25" hidden="false" customHeight="false" outlineLevel="0" collapsed="false">
      <c r="B67" s="4" t="n">
        <v>0.275533243219376</v>
      </c>
      <c r="C67" s="4" t="n">
        <f aca="false">(B67-B$344)/B$345</f>
        <v>0.436695605657367</v>
      </c>
      <c r="D67" s="4" t="n">
        <v>0.661738183674321</v>
      </c>
      <c r="E67" s="4" t="n">
        <f aca="false">(D67-D$344)/D$345</f>
        <v>2.48194571399326</v>
      </c>
      <c r="F67" s="4" t="n">
        <v>0.341101754717169</v>
      </c>
      <c r="G67" s="4" t="n">
        <f aca="false">(F67-F$344)/F$345</f>
        <v>0.578002671357607</v>
      </c>
      <c r="H67" s="4" t="n">
        <v>0.341695290684513</v>
      </c>
      <c r="I67" s="4" t="n">
        <f aca="false">(H67-H$344)/H$345</f>
        <v>1.83036493200898</v>
      </c>
      <c r="J67" s="4" t="n">
        <v>0.494943292038982</v>
      </c>
      <c r="K67" s="4" t="n">
        <f aca="false">(J67-J$344)/J$345</f>
        <v>3.61916781045318</v>
      </c>
      <c r="L67" s="4" t="n">
        <v>0.417691689972053</v>
      </c>
      <c r="M67" s="4" t="n">
        <f aca="false">(L67-L$344)/L$345</f>
        <v>1.79855276910164</v>
      </c>
      <c r="N67" s="4" t="n">
        <v>0.384816021741473</v>
      </c>
      <c r="O67" s="4" t="n">
        <f aca="false">(N67-N$344)/N$345</f>
        <v>1.78759277737417</v>
      </c>
    </row>
    <row r="68" customFormat="false" ht="14.25" hidden="false" customHeight="false" outlineLevel="0" collapsed="false">
      <c r="A68" s="0" t="s">
        <v>36</v>
      </c>
      <c r="B68" s="4" t="n">
        <v>0.129720386371641</v>
      </c>
      <c r="C68" s="4" t="n">
        <f aca="false">(B68-B$344)/B$345</f>
        <v>-0.939676419141011</v>
      </c>
      <c r="D68" s="4" t="n">
        <v>0.119907963498144</v>
      </c>
      <c r="E68" s="4" t="n">
        <f aca="false">(D68-D$344)/D$345</f>
        <v>-1.69843330792106</v>
      </c>
      <c r="F68" s="4" t="n">
        <v>0.185339046285834</v>
      </c>
      <c r="G68" s="4" t="n">
        <f aca="false">(F68-F$344)/F$345</f>
        <v>-0.92660384491611</v>
      </c>
      <c r="H68" s="4" t="n">
        <v>0.0878613806672451</v>
      </c>
      <c r="I68" s="4" t="n">
        <f aca="false">(H68-H$344)/H$345</f>
        <v>-1.78603696904486</v>
      </c>
      <c r="J68" s="4" t="n">
        <v>0.148911088814752</v>
      </c>
      <c r="K68" s="4" t="n">
        <f aca="false">(J68-J$344)/J$345</f>
        <v>-0.685192103405733</v>
      </c>
      <c r="L68" s="4" t="n">
        <v>0.221639798156612</v>
      </c>
      <c r="M68" s="4" t="n">
        <f aca="false">(L68-L$344)/L$345</f>
        <v>-0.773292977832119</v>
      </c>
      <c r="N68" s="4" t="n">
        <v>0.130742458050471</v>
      </c>
      <c r="O68" s="4" t="n">
        <f aca="false">(N68-N$344)/N$345</f>
        <v>-1.34578209116226</v>
      </c>
    </row>
    <row r="69" customFormat="false" ht="14.25" hidden="false" customHeight="false" outlineLevel="0" collapsed="false">
      <c r="B69" s="4" t="n">
        <v>0.297634489034663</v>
      </c>
      <c r="C69" s="4" t="n">
        <f aca="false">(B69-B$344)/B$345</f>
        <v>0.645316005195378</v>
      </c>
      <c r="D69" s="4" t="n">
        <v>0.434090621088574</v>
      </c>
      <c r="E69" s="4" t="n">
        <f aca="false">(D69-D$344)/D$345</f>
        <v>0.725578018751101</v>
      </c>
      <c r="F69" s="4" t="n">
        <v>0.370678092571668</v>
      </c>
      <c r="G69" s="4" t="n">
        <f aca="false">(F69-F$344)/F$345</f>
        <v>0.863698465373732</v>
      </c>
      <c r="H69" s="4" t="n">
        <v>0.218404599319305</v>
      </c>
      <c r="I69" s="4" t="n">
        <f aca="false">(H69-H$344)/H$345</f>
        <v>0.0738277908324937</v>
      </c>
      <c r="J69" s="4" t="n">
        <v>0.33143842403959</v>
      </c>
      <c r="K69" s="4" t="n">
        <f aca="false">(J69-J$344)/J$345</f>
        <v>1.58529988434769</v>
      </c>
      <c r="L69" s="4" t="n">
        <v>0.443279596313223</v>
      </c>
      <c r="M69" s="4" t="n">
        <f aca="false">(L69-L$344)/L$345</f>
        <v>2.13421975750503</v>
      </c>
      <c r="N69" s="4" t="n">
        <v>0.388657664920824</v>
      </c>
      <c r="O69" s="4" t="n">
        <f aca="false">(N69-N$344)/N$345</f>
        <v>1.83497003306812</v>
      </c>
    </row>
    <row r="70" customFormat="false" ht="14.25" hidden="false" customHeight="false" outlineLevel="0" collapsed="false">
      <c r="A70" s="0" t="s">
        <v>37</v>
      </c>
      <c r="B70" s="4" t="n">
        <v>0.121979222774129</v>
      </c>
      <c r="C70" s="4" t="n">
        <f aca="false">(B70-B$344)/B$345</f>
        <v>-1.01274762318531</v>
      </c>
      <c r="D70" s="4" t="n">
        <v>0.115448093321969</v>
      </c>
      <c r="E70" s="4" t="n">
        <f aca="false">(D70-D$344)/D$345</f>
        <v>-1.73284251403525</v>
      </c>
      <c r="F70" s="4" t="n">
        <v>0.176101748580824</v>
      </c>
      <c r="G70" s="4" t="n">
        <f aca="false">(F70-F$344)/F$345</f>
        <v>-1.01583250856538</v>
      </c>
      <c r="H70" s="4" t="n">
        <v>0.0838990521484721</v>
      </c>
      <c r="I70" s="4" t="n">
        <f aca="false">(H70-H$344)/H$345</f>
        <v>-1.84248873463803</v>
      </c>
      <c r="J70" s="4" t="n">
        <v>0.143996605714737</v>
      </c>
      <c r="K70" s="4" t="n">
        <f aca="false">(J70-J$344)/J$345</f>
        <v>-0.746324286641683</v>
      </c>
      <c r="L70" s="4" t="n">
        <v>0.209336957581464</v>
      </c>
      <c r="M70" s="4" t="n">
        <f aca="false">(L70-L$344)/L$345</f>
        <v>-0.934683964245981</v>
      </c>
      <c r="N70" s="4" t="n">
        <v>0.125782172143945</v>
      </c>
      <c r="O70" s="4" t="n">
        <f aca="false">(N70-N$344)/N$345</f>
        <v>-1.40695506395988</v>
      </c>
    </row>
    <row r="71" customFormat="false" ht="14.25" hidden="false" customHeight="false" outlineLevel="0" collapsed="false">
      <c r="B71" s="4" t="n">
        <v>0.280900909527657</v>
      </c>
      <c r="C71" s="4" t="n">
        <f aca="false">(B71-B$344)/B$345</f>
        <v>0.487362644935568</v>
      </c>
      <c r="D71" s="4" t="n">
        <v>0.427475136866765</v>
      </c>
      <c r="E71" s="4" t="n">
        <f aca="false">(D71-D$344)/D$345</f>
        <v>0.674537618214447</v>
      </c>
      <c r="F71" s="4" t="n">
        <v>0.352203497161647</v>
      </c>
      <c r="G71" s="4" t="n">
        <f aca="false">(F71-F$344)/F$345</f>
        <v>0.685241138075193</v>
      </c>
      <c r="H71" s="4" t="n">
        <v>0.209277506091029</v>
      </c>
      <c r="I71" s="4" t="n">
        <f aca="false">(H71-H$344)/H$345</f>
        <v>-0.0562069917526475</v>
      </c>
      <c r="J71" s="4" t="n">
        <v>0.320973892092829</v>
      </c>
      <c r="K71" s="4" t="n">
        <f aca="false">(J71-J$344)/J$345</f>
        <v>1.45512959554441</v>
      </c>
      <c r="L71" s="4" t="n">
        <v>0.418673915162928</v>
      </c>
      <c r="M71" s="4" t="n">
        <f aca="false">(L71-L$344)/L$345</f>
        <v>1.81143778467731</v>
      </c>
      <c r="N71" s="4" t="n">
        <v>0.376657961627435</v>
      </c>
      <c r="O71" s="4" t="n">
        <f aca="false">(N71-N$344)/N$345</f>
        <v>1.68698309502081</v>
      </c>
    </row>
    <row r="72" customFormat="false" ht="14.25" hidden="false" customHeight="false" outlineLevel="0" collapsed="false">
      <c r="A72" s="0" t="s">
        <v>38</v>
      </c>
      <c r="B72" s="4" t="n">
        <v>0.121979222774129</v>
      </c>
      <c r="C72" s="4" t="n">
        <f aca="false">(B72-B$344)/B$345</f>
        <v>-1.01274762318531</v>
      </c>
      <c r="D72" s="4" t="n">
        <v>0.115448093321969</v>
      </c>
      <c r="E72" s="4" t="n">
        <f aca="false">(D72-D$344)/D$345</f>
        <v>-1.73284251403525</v>
      </c>
      <c r="F72" s="4" t="n">
        <v>0.176101748580824</v>
      </c>
      <c r="G72" s="4" t="n">
        <f aca="false">(F72-F$344)/F$345</f>
        <v>-1.01583250856538</v>
      </c>
      <c r="H72" s="4" t="n">
        <v>0.0838990521484721</v>
      </c>
      <c r="I72" s="4" t="n">
        <f aca="false">(H72-H$344)/H$345</f>
        <v>-1.84248873463803</v>
      </c>
      <c r="J72" s="4" t="n">
        <v>0.143996605714737</v>
      </c>
      <c r="K72" s="4" t="n">
        <f aca="false">(J72-J$344)/J$345</f>
        <v>-0.746324286641683</v>
      </c>
      <c r="L72" s="4" t="n">
        <v>0.209336957581464</v>
      </c>
      <c r="M72" s="4" t="n">
        <f aca="false">(L72-L$344)/L$345</f>
        <v>-0.934683964245981</v>
      </c>
      <c r="N72" s="4" t="n">
        <v>0.125782172143945</v>
      </c>
      <c r="O72" s="4" t="n">
        <f aca="false">(N72-N$344)/N$345</f>
        <v>-1.40695506395988</v>
      </c>
    </row>
    <row r="73" customFormat="false" ht="14.25" hidden="false" customHeight="false" outlineLevel="0" collapsed="false">
      <c r="B73" s="4" t="n">
        <v>0.280900909527657</v>
      </c>
      <c r="C73" s="4" t="n">
        <f aca="false">(B73-B$344)/B$345</f>
        <v>0.487362644935568</v>
      </c>
      <c r="D73" s="4" t="n">
        <v>0.427475136866765</v>
      </c>
      <c r="E73" s="4" t="n">
        <f aca="false">(D73-D$344)/D$345</f>
        <v>0.674537618214447</v>
      </c>
      <c r="F73" s="4" t="n">
        <v>0.352203497161647</v>
      </c>
      <c r="G73" s="4" t="n">
        <f aca="false">(F73-F$344)/F$345</f>
        <v>0.685241138075193</v>
      </c>
      <c r="H73" s="4" t="n">
        <v>0.209277506091029</v>
      </c>
      <c r="I73" s="4" t="n">
        <f aca="false">(H73-H$344)/H$345</f>
        <v>-0.0562069917526475</v>
      </c>
      <c r="J73" s="4" t="n">
        <v>0.320973892092829</v>
      </c>
      <c r="K73" s="4" t="n">
        <f aca="false">(J73-J$344)/J$345</f>
        <v>1.45512959554441</v>
      </c>
      <c r="L73" s="4" t="n">
        <v>0.418673915162928</v>
      </c>
      <c r="M73" s="4" t="n">
        <f aca="false">(L73-L$344)/L$345</f>
        <v>1.81143778467731</v>
      </c>
      <c r="N73" s="4" t="n">
        <v>0.376657961627435</v>
      </c>
      <c r="O73" s="4" t="n">
        <f aca="false">(N73-N$344)/N$345</f>
        <v>1.68698309502081</v>
      </c>
    </row>
    <row r="74" customFormat="false" ht="14.25" hidden="false" customHeight="false" outlineLevel="0" collapsed="false">
      <c r="A74" s="0" t="s">
        <v>39</v>
      </c>
      <c r="B74" s="4" t="n">
        <v>0.10572052130097</v>
      </c>
      <c r="C74" s="4" t="n">
        <f aca="false">(B74-B$344)/B$345</f>
        <v>-1.16621846485857</v>
      </c>
      <c r="D74" s="4" t="n">
        <v>0.208160750631645</v>
      </c>
      <c r="E74" s="4" t="n">
        <f aca="false">(D74-D$344)/D$345</f>
        <v>-1.01753717806252</v>
      </c>
      <c r="F74" s="4" t="n">
        <v>0.141040005310795</v>
      </c>
      <c r="G74" s="4" t="n">
        <f aca="false">(F74-F$344)/F$345</f>
        <v>-1.35451516198917</v>
      </c>
      <c r="H74" s="4" t="n">
        <v>0.0976081222713601</v>
      </c>
      <c r="I74" s="4" t="n">
        <f aca="false">(H74-H$344)/H$345</f>
        <v>-1.64717398236273</v>
      </c>
      <c r="J74" s="4" t="n">
        <v>0.121853107340048</v>
      </c>
      <c r="K74" s="4" t="n">
        <f aca="false">(J74-J$344)/J$345</f>
        <v>-1.02177144406954</v>
      </c>
      <c r="L74" s="4" t="n">
        <v>0.139663940495719</v>
      </c>
      <c r="M74" s="4" t="n">
        <f aca="false">(L74-L$344)/L$345</f>
        <v>-1.84866776215138</v>
      </c>
      <c r="N74" s="4" t="n">
        <v>0.137012090531155</v>
      </c>
      <c r="O74" s="4" t="n">
        <f aca="false">(N74-N$344)/N$345</f>
        <v>-1.26846153657743</v>
      </c>
    </row>
    <row r="75" customFormat="false" ht="14.25" hidden="false" customHeight="false" outlineLevel="0" collapsed="false">
      <c r="B75" s="4" t="n">
        <v>0.126202351734704</v>
      </c>
      <c r="C75" s="4" t="n">
        <f aca="false">(B75-B$344)/B$345</f>
        <v>-0.972884220985325</v>
      </c>
      <c r="D75" s="4" t="n">
        <v>0.253380348393228</v>
      </c>
      <c r="E75" s="4" t="n">
        <f aca="false">(D75-D$344)/D$345</f>
        <v>-0.66865472222523</v>
      </c>
      <c r="F75" s="4" t="n">
        <v>0.164141385491011</v>
      </c>
      <c r="G75" s="4" t="n">
        <f aca="false">(F75-F$344)/F$345</f>
        <v>-1.13136491310022</v>
      </c>
      <c r="H75" s="4" t="n">
        <v>0.11609888852797</v>
      </c>
      <c r="I75" s="4" t="n">
        <f aca="false">(H75-H$344)/H$345</f>
        <v>-1.38373383664778</v>
      </c>
      <c r="J75" s="4" t="n">
        <v>0.143546147693344</v>
      </c>
      <c r="K75" s="4" t="n">
        <f aca="false">(J75-J$344)/J$345</f>
        <v>-0.751927619025469</v>
      </c>
      <c r="L75" s="4" t="n">
        <v>0.162539930749328</v>
      </c>
      <c r="M75" s="4" t="n">
        <f aca="false">(L75-L$344)/L$345</f>
        <v>-1.5485762012088</v>
      </c>
      <c r="N75" s="4" t="n">
        <v>0.167845285661276</v>
      </c>
      <c r="O75" s="4" t="n">
        <f aca="false">(N75-N$344)/N$345</f>
        <v>-0.888209623179227</v>
      </c>
    </row>
    <row r="76" customFormat="false" ht="14.25" hidden="false" customHeight="false" outlineLevel="0" collapsed="false">
      <c r="A76" s="0" t="s">
        <v>40</v>
      </c>
      <c r="B76" s="4" t="n">
        <v>0.0859298740127902</v>
      </c>
      <c r="C76" s="4" t="n">
        <f aca="false">(B76-B$344)/B$345</f>
        <v>-1.35302842022861</v>
      </c>
      <c r="D76" s="4" t="n">
        <v>0.22278344779496</v>
      </c>
      <c r="E76" s="4" t="n">
        <f aca="false">(D76-D$344)/D$345</f>
        <v>-0.904718781839713</v>
      </c>
      <c r="F76" s="4" t="n">
        <v>0.143634389988364</v>
      </c>
      <c r="G76" s="4" t="n">
        <f aca="false">(F76-F$344)/F$345</f>
        <v>-1.32945442613717</v>
      </c>
      <c r="H76" s="4" t="n">
        <v>0.109660254776844</v>
      </c>
      <c r="I76" s="4" t="n">
        <f aca="false">(H76-H$344)/H$345</f>
        <v>-1.4754658173598</v>
      </c>
      <c r="J76" s="4" t="n">
        <v>0.126915351413822</v>
      </c>
      <c r="K76" s="4" t="n">
        <f aca="false">(J76-J$344)/J$345</f>
        <v>-0.958801234180715</v>
      </c>
      <c r="L76" s="4" t="n">
        <v>0.145569648576095</v>
      </c>
      <c r="M76" s="4" t="n">
        <f aca="false">(L76-L$344)/L$345</f>
        <v>-1.77119556808837</v>
      </c>
      <c r="N76" s="4" t="n">
        <v>0.141922709468422</v>
      </c>
      <c r="O76" s="4" t="n">
        <f aca="false">(N76-N$344)/N$345</f>
        <v>-1.20790108414994</v>
      </c>
    </row>
    <row r="77" customFormat="false" ht="14.25" hidden="false" customHeight="false" outlineLevel="0" collapsed="false">
      <c r="B77" s="4" t="n">
        <v>0.0997644793246581</v>
      </c>
      <c r="C77" s="4" t="n">
        <f aca="false">(B77-B$344)/B$345</f>
        <v>-1.22243936150612</v>
      </c>
      <c r="D77" s="4" t="n">
        <v>0.261120071137412</v>
      </c>
      <c r="E77" s="4" t="n">
        <f aca="false">(D77-D$344)/D$345</f>
        <v>-0.608940491843801</v>
      </c>
      <c r="F77" s="4" t="n">
        <v>0.164737072877649</v>
      </c>
      <c r="G77" s="4" t="n">
        <f aca="false">(F77-F$344)/F$345</f>
        <v>-1.12561080717446</v>
      </c>
      <c r="H77" s="4" t="n">
        <v>0.128219469980558</v>
      </c>
      <c r="I77" s="4" t="n">
        <f aca="false">(H77-H$344)/H$345</f>
        <v>-1.21105047135574</v>
      </c>
      <c r="J77" s="4" t="n">
        <v>0.146943963317993</v>
      </c>
      <c r="K77" s="4" t="n">
        <f aca="false">(J77-J$344)/J$345</f>
        <v>-0.70966154889342</v>
      </c>
      <c r="L77" s="4" t="n">
        <v>0.166956658556469</v>
      </c>
      <c r="M77" s="4" t="n">
        <f aca="false">(L77-L$344)/L$345</f>
        <v>-1.49063673160729</v>
      </c>
      <c r="N77" s="4" t="n">
        <v>0.168133699190159</v>
      </c>
      <c r="O77" s="4" t="n">
        <f aca="false">(N77-N$344)/N$345</f>
        <v>-0.884652748980997</v>
      </c>
    </row>
    <row r="78" customFormat="false" ht="14.25" hidden="false" customHeight="false" outlineLevel="0" collapsed="false">
      <c r="B78" s="4" t="n">
        <v>0.119400693315697</v>
      </c>
      <c r="C78" s="4" t="n">
        <f aca="false">(B78-B$344)/B$345</f>
        <v>-1.03708714912582</v>
      </c>
      <c r="D78" s="4" t="n">
        <v>0.314561541552241</v>
      </c>
      <c r="E78" s="4" t="n">
        <f aca="false">(D78-D$344)/D$345</f>
        <v>-0.196623877702628</v>
      </c>
      <c r="F78" s="4" t="n">
        <v>0.194689267946313</v>
      </c>
      <c r="G78" s="4" t="n">
        <f aca="false">(F78-F$344)/F$345</f>
        <v>-0.836284380259639</v>
      </c>
      <c r="H78" s="4" t="n">
        <v>0.154561581882605</v>
      </c>
      <c r="I78" s="4" t="n">
        <f aca="false">(H78-H$344)/H$345</f>
        <v>-0.835751270575775</v>
      </c>
      <c r="J78" s="4" t="n">
        <v>0.175371670536818</v>
      </c>
      <c r="K78" s="4" t="n">
        <f aca="false">(J78-J$344)/J$345</f>
        <v>-0.356043931066292</v>
      </c>
      <c r="L78" s="4" t="n">
        <v>0.197312414657645</v>
      </c>
      <c r="M78" s="4" t="n">
        <f aca="false">(L78-L$344)/L$345</f>
        <v>-1.09242418950511</v>
      </c>
      <c r="N78" s="4" t="n">
        <v>0.203091077349022</v>
      </c>
      <c r="O78" s="4" t="n">
        <f aca="false">(N78-N$344)/N$345</f>
        <v>-0.453539143135246</v>
      </c>
    </row>
    <row r="79" customFormat="false" ht="14.25" hidden="false" customHeight="false" outlineLevel="0" collapsed="false">
      <c r="A79" s="0" t="s">
        <v>41</v>
      </c>
      <c r="B79" s="4" t="n">
        <v>0.0680992506685522</v>
      </c>
      <c r="C79" s="4" t="n">
        <f aca="false">(B79-B$344)/B$345</f>
        <v>-1.52133711183701</v>
      </c>
      <c r="D79" s="4" t="n">
        <v>0.212460383700398</v>
      </c>
      <c r="E79" s="4" t="n">
        <f aca="false">(D79-D$344)/D$345</f>
        <v>-0.984364248216158</v>
      </c>
      <c r="F79" s="4" t="n">
        <v>0.137939191596037</v>
      </c>
      <c r="G79" s="4" t="n">
        <f aca="false">(F79-F$344)/F$345</f>
        <v>-1.38446780320838</v>
      </c>
      <c r="H79" s="4" t="n">
        <v>0.11256531755016</v>
      </c>
      <c r="I79" s="4" t="n">
        <f aca="false">(H79-H$344)/H$345</f>
        <v>-1.43407704256849</v>
      </c>
      <c r="J79" s="4" t="n">
        <v>0.121498220765631</v>
      </c>
      <c r="K79" s="4" t="n">
        <f aca="false">(J79-J$344)/J$345</f>
        <v>-1.02618594517855</v>
      </c>
      <c r="L79" s="4" t="n">
        <v>0.141477301049211</v>
      </c>
      <c r="M79" s="4" t="n">
        <f aca="false">(L79-L$344)/L$345</f>
        <v>-1.82487975590482</v>
      </c>
      <c r="N79" s="4" t="n">
        <v>0.137876296912417</v>
      </c>
      <c r="O79" s="4" t="n">
        <f aca="false">(N79-N$344)/N$345</f>
        <v>-1.25780366837211</v>
      </c>
    </row>
    <row r="80" customFormat="false" ht="14.25" hidden="false" customHeight="false" outlineLevel="0" collapsed="false">
      <c r="B80" s="4" t="n">
        <v>0.090733600949242</v>
      </c>
      <c r="C80" s="4" t="n">
        <f aca="false">(B80-B$344)/B$345</f>
        <v>-1.30768457666749</v>
      </c>
      <c r="D80" s="4" t="n">
        <v>0.285781598638793</v>
      </c>
      <c r="E80" s="4" t="n">
        <f aca="false">(D80-D$344)/D$345</f>
        <v>-0.418669576017775</v>
      </c>
      <c r="F80" s="4" t="n">
        <v>0.180903857830868</v>
      </c>
      <c r="G80" s="4" t="n">
        <f aca="false">(F80-F$344)/F$345</f>
        <v>-0.969446021438642</v>
      </c>
      <c r="H80" s="4" t="n">
        <v>0.153242412958747</v>
      </c>
      <c r="I80" s="4" t="n">
        <f aca="false">(H80-H$344)/H$345</f>
        <v>-0.854545627104916</v>
      </c>
      <c r="J80" s="4" t="n">
        <v>0.162149971043222</v>
      </c>
      <c r="K80" s="4" t="n">
        <f aca="false">(J80-J$344)/J$345</f>
        <v>-0.520511147594234</v>
      </c>
      <c r="L80" s="4" t="n">
        <v>0.185544001376014</v>
      </c>
      <c r="M80" s="4" t="n">
        <f aca="false">(L80-L$344)/L$345</f>
        <v>-1.24680445774048</v>
      </c>
      <c r="N80" s="4" t="n">
        <v>0.189468391349709</v>
      </c>
      <c r="O80" s="4" t="n">
        <f aca="false">(N80-N$344)/N$345</f>
        <v>-0.621541596173305</v>
      </c>
    </row>
    <row r="81" customFormat="false" ht="14.25" hidden="false" customHeight="false" outlineLevel="0" collapsed="false">
      <c r="A81" s="0" t="s">
        <v>42</v>
      </c>
      <c r="B81" s="4" t="n">
        <v>0.170608523602915</v>
      </c>
      <c r="C81" s="4" t="n">
        <f aca="false">(B81-B$344)/B$345</f>
        <v>-0.553720822029225</v>
      </c>
      <c r="E81" s="4" t="n">
        <f aca="false">(D81-D$344)/D$345</f>
        <v>-2.62355840523497</v>
      </c>
      <c r="F81" s="4" t="n">
        <v>0.262440741762877</v>
      </c>
      <c r="G81" s="4" t="n">
        <f aca="false">(F81-F$344)/F$345</f>
        <v>-0.18183178362616</v>
      </c>
      <c r="H81" s="4" t="n">
        <v>0.138559185033251</v>
      </c>
      <c r="I81" s="4" t="n">
        <f aca="false">(H81-H$344)/H$345</f>
        <v>-1.06373932143739</v>
      </c>
      <c r="J81" s="4" t="n">
        <v>0.135327275261548</v>
      </c>
      <c r="K81" s="4" t="n">
        <f aca="false">(J81-J$344)/J$345</f>
        <v>-0.854163725095689</v>
      </c>
      <c r="L81" s="4" t="n">
        <v>0.205486805457641</v>
      </c>
      <c r="M81" s="4" t="n">
        <f aca="false">(L81-L$344)/L$345</f>
        <v>-0.985190987019433</v>
      </c>
      <c r="N81" s="4" t="n">
        <v>0.0663879448469217</v>
      </c>
      <c r="O81" s="4" t="n">
        <f aca="false">(N81-N$344)/N$345</f>
        <v>-2.13943732793509</v>
      </c>
    </row>
    <row r="82" customFormat="false" ht="14.25" hidden="false" customHeight="false" outlineLevel="0" collapsed="false">
      <c r="B82" s="4" t="n">
        <v>0.212065759785115</v>
      </c>
      <c r="C82" s="4" t="n">
        <f aca="false">(B82-B$344)/B$345</f>
        <v>-0.162393326359731</v>
      </c>
      <c r="D82" s="4" t="n">
        <v>0.033635138842762</v>
      </c>
      <c r="E82" s="4" t="n">
        <f aca="false">(D82-D$344)/D$345</f>
        <v>-2.36405344670435</v>
      </c>
      <c r="F82" s="4" t="n">
        <v>0.299968996706442</v>
      </c>
      <c r="G82" s="4" t="n">
        <f aca="false">(F82-F$344)/F$345</f>
        <v>0.180676402711399</v>
      </c>
      <c r="H82" s="4" t="n">
        <v>0.163828242329579</v>
      </c>
      <c r="I82" s="4" t="n">
        <f aca="false">(H82-H$344)/H$345</f>
        <v>-0.703728057228994</v>
      </c>
      <c r="J82" s="4" t="n">
        <v>0.158359525023815</v>
      </c>
      <c r="K82" s="4" t="n">
        <f aca="false">(J82-J$344)/J$345</f>
        <v>-0.567661221343321</v>
      </c>
      <c r="L82" s="4" t="n">
        <v>0.234870814857069</v>
      </c>
      <c r="M82" s="4" t="n">
        <f aca="false">(L82-L$344)/L$345</f>
        <v>-0.599726001693405</v>
      </c>
      <c r="N82" s="4" t="n">
        <v>0.114060006142315</v>
      </c>
      <c r="O82" s="4" t="n">
        <f aca="false">(N82-N$344)/N$345</f>
        <v>-1.55151925954456</v>
      </c>
    </row>
    <row r="83" customFormat="false" ht="14.25" hidden="false" customHeight="false" outlineLevel="0" collapsed="false">
      <c r="B83" s="4" t="n">
        <v>0.253522995967314</v>
      </c>
      <c r="C83" s="4" t="n">
        <f aca="false">(B83-B$344)/B$345</f>
        <v>0.228934169309764</v>
      </c>
      <c r="D83" s="4" t="n">
        <v>0.156980564422936</v>
      </c>
      <c r="E83" s="4" t="n">
        <f aca="false">(D83-D$344)/D$345</f>
        <v>-1.41240732150891</v>
      </c>
      <c r="F83" s="4" t="n">
        <v>0.337497251650007</v>
      </c>
      <c r="G83" s="4" t="n">
        <f aca="false">(F83-F$344)/F$345</f>
        <v>0.54318458904896</v>
      </c>
      <c r="H83" s="4" t="n">
        <v>0.189097299625906</v>
      </c>
      <c r="I83" s="4" t="n">
        <f aca="false">(H83-H$344)/H$345</f>
        <v>-0.343716793020592</v>
      </c>
      <c r="J83" s="4" t="n">
        <v>0.181391774786083</v>
      </c>
      <c r="K83" s="4" t="n">
        <f aca="false">(J83-J$344)/J$345</f>
        <v>-0.281158717590952</v>
      </c>
      <c r="L83" s="4" t="n">
        <v>0.264254824256497</v>
      </c>
      <c r="M83" s="4" t="n">
        <f aca="false">(L83-L$344)/L$345</f>
        <v>-0.214261016367375</v>
      </c>
      <c r="N83" s="4" t="n">
        <v>0.161732067437708</v>
      </c>
      <c r="O83" s="4" t="n">
        <f aca="false">(N83-N$344)/N$345</f>
        <v>-0.963601191154028</v>
      </c>
    </row>
    <row r="84" customFormat="false" ht="14.25" hidden="false" customHeight="false" outlineLevel="0" collapsed="false">
      <c r="B84" s="4" t="n">
        <v>0.294909243731394</v>
      </c>
      <c r="C84" s="4" t="n">
        <f aca="false">(B84-B$344)/B$345</f>
        <v>0.619591583651057</v>
      </c>
      <c r="D84" s="4" t="n">
        <v>0.268921611879168</v>
      </c>
      <c r="E84" s="4" t="n">
        <f aca="false">(D84-D$344)/D$345</f>
        <v>-0.54874931748508</v>
      </c>
      <c r="F84" s="4" t="n">
        <v>0.374961245883052</v>
      </c>
      <c r="G84" s="4" t="n">
        <f aca="false">(F84-F$344)/F$345</f>
        <v>0.905072042190737</v>
      </c>
      <c r="H84" s="4" t="n">
        <v>0.214323087988507</v>
      </c>
      <c r="I84" s="4" t="n">
        <f aca="false">(H84-H$344)/H$345</f>
        <v>0.0156780135436153</v>
      </c>
      <c r="J84" s="4" t="n">
        <v>0.204384585764511</v>
      </c>
      <c r="K84" s="4" t="n">
        <f aca="false">(J84-J$344)/J$345</f>
        <v>0.00485319968238834</v>
      </c>
      <c r="L84" s="4" t="n">
        <v>0.293588518571336</v>
      </c>
      <c r="M84" s="4" t="n">
        <f aca="false">(L84-L$344)/L$345</f>
        <v>0.170543926175562</v>
      </c>
      <c r="N84" s="4" t="n">
        <v>0.209322498491156</v>
      </c>
      <c r="O84" s="4" t="n">
        <f aca="false">(N84-N$344)/N$345</f>
        <v>-0.376689831784712</v>
      </c>
    </row>
    <row r="85" customFormat="false" ht="14.25" hidden="false" customHeight="false" outlineLevel="0" collapsed="false">
      <c r="B85" s="4" t="n">
        <v>0.336295491495473</v>
      </c>
      <c r="C85" s="4" t="n">
        <f aca="false">(B85-B$344)/B$345</f>
        <v>1.01024899799235</v>
      </c>
      <c r="D85" s="4" t="n">
        <v>0.372728513833877</v>
      </c>
      <c r="E85" s="4" t="n">
        <f aca="false">(D85-D$344)/D$345</f>
        <v>0.252151368933409</v>
      </c>
      <c r="F85" s="4" t="n">
        <v>0.412425240116098</v>
      </c>
      <c r="G85" s="4" t="n">
        <f aca="false">(F85-F$344)/F$345</f>
        <v>1.26695949533251</v>
      </c>
      <c r="H85" s="4" t="n">
        <v>0.239548876351109</v>
      </c>
      <c r="I85" s="4" t="n">
        <f aca="false">(H85-H$344)/H$345</f>
        <v>0.375072820107825</v>
      </c>
      <c r="J85" s="4" t="n">
        <v>0.227377396742939</v>
      </c>
      <c r="K85" s="4" t="n">
        <f aca="false">(J85-J$344)/J$345</f>
        <v>0.29086511695573</v>
      </c>
      <c r="L85" s="4" t="n">
        <v>0.322922212886176</v>
      </c>
      <c r="M85" s="4" t="n">
        <f aca="false">(L85-L$344)/L$345</f>
        <v>0.5553488687185</v>
      </c>
      <c r="N85" s="4" t="n">
        <v>0.256912929544605</v>
      </c>
      <c r="O85" s="4" t="n">
        <f aca="false">(N85-N$344)/N$345</f>
        <v>0.210221527584604</v>
      </c>
    </row>
    <row r="86" customFormat="false" ht="14.25" hidden="false" customHeight="false" outlineLevel="0" collapsed="false">
      <c r="B86" s="4" t="n">
        <v>0.377752727677672</v>
      </c>
      <c r="C86" s="4" t="n">
        <f aca="false">(B86-B$344)/B$345</f>
        <v>1.40157649366185</v>
      </c>
      <c r="D86" s="4" t="n">
        <v>0.470596575533987</v>
      </c>
      <c r="E86" s="4" t="n">
        <f aca="false">(D86-D$344)/D$345</f>
        <v>1.00723216142506</v>
      </c>
      <c r="F86" s="4" t="n">
        <v>0.449953495059663</v>
      </c>
      <c r="G86" s="4" t="n">
        <f aca="false">(F86-F$344)/F$345</f>
        <v>1.62946768167007</v>
      </c>
      <c r="H86" s="4" t="n">
        <v>0.264817933647436</v>
      </c>
      <c r="I86" s="4" t="n">
        <f aca="false">(H86-H$344)/H$345</f>
        <v>0.735084084316224</v>
      </c>
      <c r="J86" s="4" t="n">
        <v>0.250409646505206</v>
      </c>
      <c r="K86" s="4" t="n">
        <f aca="false">(J86-J$344)/J$345</f>
        <v>0.577367620708098</v>
      </c>
      <c r="L86" s="4" t="n">
        <v>0.352306222285604</v>
      </c>
      <c r="M86" s="4" t="n">
        <f aca="false">(L86-L$344)/L$345</f>
        <v>0.940813854044527</v>
      </c>
      <c r="N86" s="4" t="n">
        <v>0.304584990839998</v>
      </c>
      <c r="O86" s="4" t="n">
        <f aca="false">(N86-N$344)/N$345</f>
        <v>0.798139595975136</v>
      </c>
    </row>
    <row r="87" customFormat="false" ht="14.25" hidden="false" customHeight="false" outlineLevel="0" collapsed="false">
      <c r="B87" s="4" t="n">
        <v>0.419209963859872</v>
      </c>
      <c r="C87" s="4" t="n">
        <f aca="false">(B87-B$344)/B$345</f>
        <v>1.79290398933134</v>
      </c>
      <c r="D87" s="4" t="n">
        <v>0.563755610517678</v>
      </c>
      <c r="E87" s="4" t="n">
        <f aca="false">(D87-D$344)/D$345</f>
        <v>1.72598143203787</v>
      </c>
      <c r="F87" s="4" t="n">
        <v>0.487481750003228</v>
      </c>
      <c r="G87" s="4" t="n">
        <f aca="false">(F87-F$344)/F$345</f>
        <v>1.99197586800764</v>
      </c>
      <c r="H87" s="4" t="n">
        <v>0.290086990943764</v>
      </c>
      <c r="I87" s="4" t="n">
        <f aca="false">(H87-H$344)/H$345</f>
        <v>1.09509534852463</v>
      </c>
      <c r="J87" s="4" t="n">
        <v>0.273441896267473</v>
      </c>
      <c r="K87" s="4" t="n">
        <f aca="false">(J87-J$344)/J$345</f>
        <v>0.863870124460467</v>
      </c>
      <c r="L87" s="4" t="n">
        <v>0.381690231685031</v>
      </c>
      <c r="M87" s="4" t="n">
        <f aca="false">(L87-L$344)/L$345</f>
        <v>1.32627883937056</v>
      </c>
      <c r="N87" s="4" t="n">
        <v>0.352257052135391</v>
      </c>
      <c r="O87" s="4" t="n">
        <f aca="false">(N87-N$344)/N$345</f>
        <v>1.38605766436567</v>
      </c>
    </row>
    <row r="88" customFormat="false" ht="14.25" hidden="false" customHeight="false" outlineLevel="0" collapsed="false">
      <c r="B88" s="4" t="n">
        <v>0.460525223205831</v>
      </c>
      <c r="C88" s="4" t="n">
        <f aca="false">(B88-B$344)/B$345</f>
        <v>2.18289132234443</v>
      </c>
      <c r="D88" s="4" t="n">
        <v>0.65291447916543</v>
      </c>
      <c r="E88" s="4" t="n">
        <f aca="false">(D88-D$344)/D$345</f>
        <v>2.41386824645639</v>
      </c>
      <c r="F88" s="4" t="n">
        <v>0.524881483525754</v>
      </c>
      <c r="G88" s="4" t="n">
        <f aca="false">(F88-F$344)/F$345</f>
        <v>2.35324258795363</v>
      </c>
      <c r="H88" s="4" t="n">
        <v>0.315269510372639</v>
      </c>
      <c r="I88" s="4" t="n">
        <f aca="false">(H88-H$344)/H$345</f>
        <v>1.45387369744464</v>
      </c>
      <c r="J88" s="4" t="n">
        <v>0.296395268462062</v>
      </c>
      <c r="K88" s="4" t="n">
        <f aca="false">(J88-J$344)/J$345</f>
        <v>1.14939145525478</v>
      </c>
      <c r="L88" s="4" t="n">
        <v>0.410973610915283</v>
      </c>
      <c r="M88" s="4" t="n">
        <f aca="false">(L88-L$344)/L$345</f>
        <v>1.7104237391304</v>
      </c>
      <c r="N88" s="4" t="n">
        <v>0.399765852946895</v>
      </c>
      <c r="O88" s="4" t="n">
        <f aca="false">(N88-N$344)/N$345</f>
        <v>1.97196231471377</v>
      </c>
    </row>
    <row r="89" customFormat="false" ht="14.25" hidden="false" customHeight="false" outlineLevel="0" collapsed="false">
      <c r="A89" s="0" t="s">
        <v>43</v>
      </c>
      <c r="B89" s="4" t="n">
        <v>0.212065759785115</v>
      </c>
      <c r="C89" s="4" t="n">
        <f aca="false">(B89-B$344)/B$345</f>
        <v>-0.162393326359731</v>
      </c>
      <c r="D89" s="4" t="n">
        <v>0.033635138842762</v>
      </c>
      <c r="E89" s="4" t="n">
        <f aca="false">(D89-D$344)/D$345</f>
        <v>-2.36405344670435</v>
      </c>
      <c r="F89" s="4" t="n">
        <v>0.299968996706442</v>
      </c>
      <c r="G89" s="4" t="n">
        <f aca="false">(F89-F$344)/F$345</f>
        <v>0.180676402711399</v>
      </c>
      <c r="H89" s="4" t="n">
        <v>0.163828242329579</v>
      </c>
      <c r="I89" s="4" t="n">
        <f aca="false">(H89-H$344)/H$345</f>
        <v>-0.703728057228994</v>
      </c>
      <c r="J89" s="4" t="n">
        <v>0.158359525023815</v>
      </c>
      <c r="K89" s="4" t="n">
        <f aca="false">(J89-J$344)/J$345</f>
        <v>-0.567661221343321</v>
      </c>
      <c r="L89" s="4" t="n">
        <v>0.234870814857069</v>
      </c>
      <c r="M89" s="4" t="n">
        <f aca="false">(L89-L$344)/L$345</f>
        <v>-0.599726001693405</v>
      </c>
      <c r="N89" s="4" t="n">
        <v>0.114060006142315</v>
      </c>
      <c r="O89" s="4" t="n">
        <f aca="false">(N89-N$344)/N$345</f>
        <v>-1.55151925954456</v>
      </c>
    </row>
    <row r="90" customFormat="false" ht="14.25" hidden="false" customHeight="false" outlineLevel="0" collapsed="false">
      <c r="B90" s="4" t="n">
        <v>0.253522995967314</v>
      </c>
      <c r="C90" s="4" t="n">
        <f aca="false">(B90-B$344)/B$345</f>
        <v>0.228934169309764</v>
      </c>
      <c r="D90" s="4" t="n">
        <v>0.156980564422936</v>
      </c>
      <c r="E90" s="4" t="n">
        <f aca="false">(D90-D$344)/D$345</f>
        <v>-1.41240732150891</v>
      </c>
      <c r="F90" s="4" t="n">
        <v>0.337497251650007</v>
      </c>
      <c r="G90" s="4" t="n">
        <f aca="false">(F90-F$344)/F$345</f>
        <v>0.54318458904896</v>
      </c>
      <c r="H90" s="4" t="n">
        <v>0.189097299625906</v>
      </c>
      <c r="I90" s="4" t="n">
        <f aca="false">(H90-H$344)/H$345</f>
        <v>-0.343716793020592</v>
      </c>
      <c r="J90" s="4" t="n">
        <v>0.181391774786083</v>
      </c>
      <c r="K90" s="4" t="n">
        <f aca="false">(J90-J$344)/J$345</f>
        <v>-0.281158717590952</v>
      </c>
      <c r="L90" s="4" t="n">
        <v>0.264254824256497</v>
      </c>
      <c r="M90" s="4" t="n">
        <f aca="false">(L90-L$344)/L$345</f>
        <v>-0.214261016367375</v>
      </c>
      <c r="N90" s="4" t="n">
        <v>0.161732067437708</v>
      </c>
      <c r="O90" s="4" t="n">
        <f aca="false">(N90-N$344)/N$345</f>
        <v>-0.963601191154028</v>
      </c>
    </row>
    <row r="91" customFormat="false" ht="14.25" hidden="false" customHeight="false" outlineLevel="0" collapsed="false">
      <c r="B91" s="4" t="n">
        <v>0.294909243731394</v>
      </c>
      <c r="C91" s="4" t="n">
        <f aca="false">(B91-B$344)/B$345</f>
        <v>0.619591583651057</v>
      </c>
      <c r="D91" s="4" t="n">
        <v>0.268921611879168</v>
      </c>
      <c r="E91" s="4" t="n">
        <f aca="false">(D91-D$344)/D$345</f>
        <v>-0.54874931748508</v>
      </c>
      <c r="F91" s="4" t="n">
        <v>0.374961245883052</v>
      </c>
      <c r="G91" s="4" t="n">
        <f aca="false">(F91-F$344)/F$345</f>
        <v>0.905072042190737</v>
      </c>
      <c r="H91" s="4" t="n">
        <v>0.214323087988507</v>
      </c>
      <c r="I91" s="4" t="n">
        <f aca="false">(H91-H$344)/H$345</f>
        <v>0.0156780135436153</v>
      </c>
      <c r="J91" s="4" t="n">
        <v>0.204384585764511</v>
      </c>
      <c r="K91" s="4" t="n">
        <f aca="false">(J91-J$344)/J$345</f>
        <v>0.00485319968238834</v>
      </c>
      <c r="L91" s="4" t="n">
        <v>0.293588518571336</v>
      </c>
      <c r="M91" s="4" t="n">
        <f aca="false">(L91-L$344)/L$345</f>
        <v>0.170543926175562</v>
      </c>
      <c r="N91" s="4" t="n">
        <v>0.209322498491156</v>
      </c>
      <c r="O91" s="4" t="n">
        <f aca="false">(N91-N$344)/N$345</f>
        <v>-0.376689831784712</v>
      </c>
    </row>
    <row r="92" customFormat="false" ht="14.25" hidden="false" customHeight="false" outlineLevel="0" collapsed="false">
      <c r="B92" s="4" t="n">
        <v>0.336295491495473</v>
      </c>
      <c r="C92" s="4" t="n">
        <f aca="false">(B92-B$344)/B$345</f>
        <v>1.01024899799235</v>
      </c>
      <c r="D92" s="4" t="n">
        <v>0.372728513833877</v>
      </c>
      <c r="E92" s="4" t="n">
        <f aca="false">(D92-D$344)/D$345</f>
        <v>0.252151368933409</v>
      </c>
      <c r="F92" s="4" t="n">
        <v>0.412425240116098</v>
      </c>
      <c r="G92" s="4" t="n">
        <f aca="false">(F92-F$344)/F$345</f>
        <v>1.26695949533251</v>
      </c>
      <c r="H92" s="4" t="n">
        <v>0.239548876351109</v>
      </c>
      <c r="I92" s="4" t="n">
        <f aca="false">(H92-H$344)/H$345</f>
        <v>0.375072820107825</v>
      </c>
      <c r="J92" s="4" t="n">
        <v>0.227377396742939</v>
      </c>
      <c r="K92" s="4" t="n">
        <f aca="false">(J92-J$344)/J$345</f>
        <v>0.29086511695573</v>
      </c>
      <c r="L92" s="4" t="n">
        <v>0.322922212886176</v>
      </c>
      <c r="M92" s="4" t="n">
        <f aca="false">(L92-L$344)/L$345</f>
        <v>0.5553488687185</v>
      </c>
      <c r="N92" s="4" t="n">
        <v>0.256912929544605</v>
      </c>
      <c r="O92" s="4" t="n">
        <f aca="false">(N92-N$344)/N$345</f>
        <v>0.210221527584604</v>
      </c>
    </row>
    <row r="93" customFormat="false" ht="14.25" hidden="false" customHeight="false" outlineLevel="0" collapsed="false">
      <c r="B93" s="4" t="n">
        <v>0.336295491495473</v>
      </c>
      <c r="C93" s="4" t="n">
        <f aca="false">(B93-B$344)/B$345</f>
        <v>1.01024899799235</v>
      </c>
      <c r="D93" s="4" t="n">
        <v>0.470596575533987</v>
      </c>
      <c r="E93" s="4" t="n">
        <f aca="false">(D93-D$344)/D$345</f>
        <v>1.00723216142506</v>
      </c>
      <c r="F93" s="4" t="n">
        <v>0.449953495059663</v>
      </c>
      <c r="G93" s="4" t="n">
        <f aca="false">(F93-F$344)/F$345</f>
        <v>1.62946768167007</v>
      </c>
      <c r="H93" s="4" t="n">
        <v>0.264817933647436</v>
      </c>
      <c r="I93" s="4" t="n">
        <f aca="false">(H93-H$344)/H$345</f>
        <v>0.735084084316224</v>
      </c>
      <c r="J93" s="4" t="n">
        <v>0.250409646505206</v>
      </c>
      <c r="K93" s="4" t="n">
        <f aca="false">(J93-J$344)/J$345</f>
        <v>0.577367620708098</v>
      </c>
      <c r="L93" s="4" t="n">
        <v>0.352306222285604</v>
      </c>
      <c r="M93" s="4" t="n">
        <f aca="false">(L93-L$344)/L$345</f>
        <v>0.940813854044527</v>
      </c>
      <c r="N93" s="4" t="n">
        <v>0.304584990839998</v>
      </c>
      <c r="O93" s="4" t="n">
        <f aca="false">(N93-N$344)/N$345</f>
        <v>0.798139595975136</v>
      </c>
    </row>
    <row r="94" customFormat="false" ht="14.25" hidden="false" customHeight="false" outlineLevel="0" collapsed="false">
      <c r="B94" s="4" t="n">
        <v>0.419209963859872</v>
      </c>
      <c r="C94" s="4" t="n">
        <f aca="false">(B94-B$344)/B$345</f>
        <v>1.79290398933134</v>
      </c>
      <c r="D94" s="4" t="n">
        <v>0.563755610517678</v>
      </c>
      <c r="E94" s="4" t="n">
        <f aca="false">(D94-D$344)/D$345</f>
        <v>1.72598143203787</v>
      </c>
      <c r="F94" s="4" t="n">
        <v>0.487481750003228</v>
      </c>
      <c r="G94" s="4" t="n">
        <f aca="false">(F94-F$344)/F$345</f>
        <v>1.99197586800764</v>
      </c>
      <c r="H94" s="4" t="n">
        <v>0.290086990943764</v>
      </c>
      <c r="I94" s="4" t="n">
        <f aca="false">(H94-H$344)/H$345</f>
        <v>1.09509534852463</v>
      </c>
      <c r="J94" s="4" t="n">
        <v>0.273441896267473</v>
      </c>
      <c r="K94" s="4" t="n">
        <f aca="false">(J94-J$344)/J$345</f>
        <v>0.863870124460467</v>
      </c>
      <c r="L94" s="4" t="n">
        <v>0.381690231685031</v>
      </c>
      <c r="M94" s="4" t="n">
        <f aca="false">(L94-L$344)/L$345</f>
        <v>1.32627883937056</v>
      </c>
      <c r="N94" s="4" t="n">
        <v>0.352257052135391</v>
      </c>
      <c r="O94" s="4" t="n">
        <f aca="false">(N94-N$344)/N$345</f>
        <v>1.38605766436567</v>
      </c>
    </row>
    <row r="95" customFormat="false" ht="14.25" hidden="false" customHeight="false" outlineLevel="0" collapsed="false">
      <c r="B95" s="4" t="n">
        <v>0.460525223205831</v>
      </c>
      <c r="C95" s="4" t="n">
        <f aca="false">(B95-B$344)/B$345</f>
        <v>2.18289132234443</v>
      </c>
      <c r="D95" s="4" t="n">
        <v>0.65291447916543</v>
      </c>
      <c r="E95" s="4" t="n">
        <f aca="false">(D95-D$344)/D$345</f>
        <v>2.41386824645639</v>
      </c>
      <c r="F95" s="4" t="n">
        <v>0.524881483525754</v>
      </c>
      <c r="G95" s="4" t="n">
        <f aca="false">(F95-F$344)/F$345</f>
        <v>2.35324258795363</v>
      </c>
      <c r="H95" s="4" t="n">
        <v>0.315269510372639</v>
      </c>
      <c r="I95" s="4" t="n">
        <f aca="false">(H95-H$344)/H$345</f>
        <v>1.45387369744464</v>
      </c>
      <c r="J95" s="4" t="n">
        <v>0.296395268462062</v>
      </c>
      <c r="K95" s="4" t="n">
        <f aca="false">(J95-J$344)/J$345</f>
        <v>1.14939145525478</v>
      </c>
      <c r="L95" s="4" t="n">
        <v>0.410973610915283</v>
      </c>
      <c r="M95" s="4" t="n">
        <f aca="false">(L95-L$344)/L$345</f>
        <v>1.7104237391304</v>
      </c>
      <c r="N95" s="4" t="n">
        <v>0.399765852946895</v>
      </c>
      <c r="O95" s="4" t="n">
        <f aca="false">(N95-N$344)/N$345</f>
        <v>1.97196231471377</v>
      </c>
    </row>
    <row r="96" customFormat="false" ht="14.25" hidden="false" customHeight="false" outlineLevel="0" collapsed="false">
      <c r="A96" s="0" t="s">
        <v>44</v>
      </c>
      <c r="B96" s="4" t="n">
        <v>0.145795209852266</v>
      </c>
      <c r="C96" s="4" t="n">
        <f aca="false">(B96-B$344)/B$345</f>
        <v>-0.787941257917138</v>
      </c>
      <c r="D96" s="4" t="n">
        <v>0.108535081750175</v>
      </c>
      <c r="E96" s="4" t="n">
        <f aca="false">(D96-D$344)/D$345</f>
        <v>-1.7861784253168</v>
      </c>
      <c r="F96" s="4" t="n">
        <v>0.212688290381661</v>
      </c>
      <c r="G96" s="4" t="n">
        <f aca="false">(F96-F$344)/F$345</f>
        <v>-0.662420900897249</v>
      </c>
      <c r="H96" s="4" t="n">
        <v>0.146412820951423</v>
      </c>
      <c r="I96" s="4" t="n">
        <f aca="false">(H96-H$344)/H$345</f>
        <v>-0.951847636584366</v>
      </c>
      <c r="J96" s="4" t="n">
        <v>0.134746895529849</v>
      </c>
      <c r="K96" s="4" t="n">
        <f aca="false">(J96-J$344)/J$345</f>
        <v>-0.861383178165849</v>
      </c>
      <c r="L96" s="4" t="n">
        <v>0.172961561715766</v>
      </c>
      <c r="M96" s="4" t="n">
        <f aca="false">(L96-L$344)/L$345</f>
        <v>-1.41186327776311</v>
      </c>
      <c r="N96" s="4" t="n">
        <v>0.108192274669224</v>
      </c>
      <c r="O96" s="4" t="n">
        <f aca="false">(N96-N$344)/N$345</f>
        <v>-1.62388334995211</v>
      </c>
    </row>
    <row r="97" customFormat="false" ht="14.25" hidden="false" customHeight="false" outlineLevel="0" collapsed="false">
      <c r="B97" s="4" t="n">
        <v>0.174297059727529</v>
      </c>
      <c r="C97" s="4" t="n">
        <f aca="false">(B97-B$344)/B$345</f>
        <v>-0.51890360464436</v>
      </c>
      <c r="D97" s="4" t="n">
        <v>0.213935352372813</v>
      </c>
      <c r="E97" s="4" t="n">
        <f aca="false">(D97-D$344)/D$345</f>
        <v>-0.972984432424153</v>
      </c>
      <c r="F97" s="4" t="n">
        <v>0.239297108201474</v>
      </c>
      <c r="G97" s="4" t="n">
        <f aca="false">(F97-F$344)/F$345</f>
        <v>-0.405390183562999</v>
      </c>
      <c r="H97" s="4" t="n">
        <v>0.168995703541933</v>
      </c>
      <c r="I97" s="4" t="n">
        <f aca="false">(H97-H$344)/H$345</f>
        <v>-0.630106622840221</v>
      </c>
      <c r="J97" s="4" t="n">
        <v>0.154295967831621</v>
      </c>
      <c r="K97" s="4" t="n">
        <f aca="false">(J97-J$344)/J$345</f>
        <v>-0.618208576539684</v>
      </c>
      <c r="L97" s="4" t="n">
        <v>0.194600283232905</v>
      </c>
      <c r="M97" s="4" t="n">
        <f aca="false">(L97-L$344)/L$345</f>
        <v>-1.1280024417997</v>
      </c>
      <c r="N97" s="4" t="n">
        <v>0.144132914129329</v>
      </c>
      <c r="O97" s="4" t="n">
        <f aca="false">(N97-N$344)/N$345</f>
        <v>-1.18064362517546</v>
      </c>
    </row>
    <row r="98" customFormat="false" ht="14.25" hidden="false" customHeight="false" outlineLevel="0" collapsed="false">
      <c r="B98" s="4" t="n">
        <v>0.202750105065333</v>
      </c>
      <c r="C98" s="4" t="n">
        <f aca="false">(B98-B$344)/B$345</f>
        <v>-0.250326632284721</v>
      </c>
      <c r="D98" s="4" t="n">
        <v>0.31052832795176</v>
      </c>
      <c r="E98" s="4" t="n">
        <f aca="false">(D98-D$344)/D$345</f>
        <v>-0.227741303232846</v>
      </c>
      <c r="F98" s="4" t="n">
        <v>0.265860362977076</v>
      </c>
      <c r="G98" s="4" t="n">
        <f aca="false">(F98-F$344)/F$345</f>
        <v>-0.148799587320074</v>
      </c>
      <c r="H98" s="4" t="n">
        <v>0.191539916812939</v>
      </c>
      <c r="I98" s="4" t="n">
        <f aca="false">(H98-H$344)/H$345</f>
        <v>-0.308916535489473</v>
      </c>
      <c r="J98" s="4" t="n">
        <v>0.17381156569452</v>
      </c>
      <c r="K98" s="4" t="n">
        <f aca="false">(J98-J$344)/J$345</f>
        <v>-0.375450369779318</v>
      </c>
      <c r="L98" s="4" t="n">
        <v>0.216201952144707</v>
      </c>
      <c r="M98" s="4" t="n">
        <f aca="false">(L98-L$344)/L$345</f>
        <v>-0.844627668911573</v>
      </c>
      <c r="N98" s="4" t="n">
        <v>0.180012011398577</v>
      </c>
      <c r="O98" s="4" t="n">
        <f aca="false">(N98-N$344)/N$345</f>
        <v>-0.738162872530279</v>
      </c>
    </row>
    <row r="99" customFormat="false" ht="14.25" hidden="false" customHeight="false" outlineLevel="0" collapsed="false">
      <c r="B99" s="4" t="n">
        <v>0.231203150403138</v>
      </c>
      <c r="C99" s="4" t="n">
        <f aca="false">(B99-B$344)/B$345</f>
        <v>0.0182503400749186</v>
      </c>
      <c r="D99" s="4" t="n">
        <v>0.400852144017132</v>
      </c>
      <c r="E99" s="4" t="n">
        <f aca="false">(D99-D$344)/D$345</f>
        <v>0.46913342209376</v>
      </c>
      <c r="F99" s="4" t="n">
        <v>0.292423617752677</v>
      </c>
      <c r="G99" s="4" t="n">
        <f aca="false">(F99-F$344)/F$345</f>
        <v>0.107791008922851</v>
      </c>
      <c r="H99" s="4" t="n">
        <v>0.214084130083945</v>
      </c>
      <c r="I99" s="4" t="n">
        <f aca="false">(H99-H$344)/H$345</f>
        <v>0.0122735518612752</v>
      </c>
      <c r="J99" s="4" t="n">
        <v>0.193327163557419</v>
      </c>
      <c r="K99" s="4" t="n">
        <f aca="false">(J99-J$344)/J$345</f>
        <v>-0.132692163018951</v>
      </c>
      <c r="L99" s="4" t="n">
        <v>0.237803621056509</v>
      </c>
      <c r="M99" s="4" t="n">
        <f aca="false">(L99-L$344)/L$345</f>
        <v>-0.561252896023443</v>
      </c>
      <c r="N99" s="4" t="n">
        <v>0.215891108667826</v>
      </c>
      <c r="O99" s="4" t="n">
        <f aca="false">(N99-N$344)/N$345</f>
        <v>-0.295682119885099</v>
      </c>
    </row>
    <row r="100" customFormat="false" ht="14.25" hidden="false" customHeight="false" outlineLevel="0" collapsed="false">
      <c r="B100" s="4" t="n">
        <v>0.2597050002784</v>
      </c>
      <c r="C100" s="4" t="n">
        <f aca="false">(B100-B$344)/B$345</f>
        <v>0.287287993347696</v>
      </c>
      <c r="D100" s="4" t="n">
        <v>0.486616466632745</v>
      </c>
      <c r="E100" s="4" t="n">
        <f aca="false">(D100-D$344)/D$345</f>
        <v>1.13083031853934</v>
      </c>
      <c r="F100" s="4" t="n">
        <v>0.319032435572491</v>
      </c>
      <c r="G100" s="4" t="n">
        <f aca="false">(F100-F$344)/F$345</f>
        <v>0.364821726257102</v>
      </c>
      <c r="H100" s="4" t="n">
        <v>0.236667012674455</v>
      </c>
      <c r="I100" s="4" t="n">
        <f aca="false">(H100-H$344)/H$345</f>
        <v>0.334014565605422</v>
      </c>
      <c r="J100" s="4" t="n">
        <v>0.21287623585919</v>
      </c>
      <c r="K100" s="4" t="n">
        <f aca="false">(J100-J$344)/J$345</f>
        <v>0.110482438607214</v>
      </c>
      <c r="L100" s="4" t="n">
        <v>0.259442342573649</v>
      </c>
      <c r="M100" s="4" t="n">
        <f aca="false">(L100-L$344)/L$345</f>
        <v>-0.277392060060033</v>
      </c>
      <c r="N100" s="4" t="n">
        <v>0.251831748127931</v>
      </c>
      <c r="O100" s="4" t="n">
        <f aca="false">(N100-N$344)/N$345</f>
        <v>0.147557604891548</v>
      </c>
    </row>
    <row r="101" customFormat="false" ht="14.25" hidden="false" customHeight="false" outlineLevel="0" collapsed="false">
      <c r="B101" s="4" t="n">
        <v>0.288206850153662</v>
      </c>
      <c r="C101" s="4" t="n">
        <f aca="false">(B101-B$344)/B$345</f>
        <v>0.556325646620474</v>
      </c>
      <c r="D101" s="4" t="n">
        <v>0.568751441871504</v>
      </c>
      <c r="E101" s="4" t="n">
        <f aca="false">(D101-D$344)/D$345</f>
        <v>1.76452573579</v>
      </c>
      <c r="F101" s="4" t="n">
        <v>0.345641253392304</v>
      </c>
      <c r="G101" s="4" t="n">
        <f aca="false">(F101-F$344)/F$345</f>
        <v>0.621852443591351</v>
      </c>
      <c r="H101" s="4" t="n">
        <v>0.259249895264965</v>
      </c>
      <c r="I101" s="4" t="n">
        <f aca="false">(H101-H$344)/H$345</f>
        <v>0.655755579349567</v>
      </c>
      <c r="J101" s="4" t="n">
        <v>0.232425308160962</v>
      </c>
      <c r="K101" s="4" t="n">
        <f aca="false">(J101-J$344)/J$345</f>
        <v>0.353657040233379</v>
      </c>
      <c r="L101" s="4" t="n">
        <v>0.281081064090788</v>
      </c>
      <c r="M101" s="4" t="n">
        <f aca="false">(L101-L$344)/L$345</f>
        <v>0.00646877590337631</v>
      </c>
      <c r="N101" s="4" t="n">
        <v>0.287772387588035</v>
      </c>
      <c r="O101" s="4" t="n">
        <f aca="false">(N101-N$344)/N$345</f>
        <v>0.590797329668194</v>
      </c>
    </row>
    <row r="102" customFormat="false" ht="14.25" hidden="false" customHeight="false" outlineLevel="0" collapsed="false">
      <c r="B102" s="4" t="n">
        <v>0.316611090954009</v>
      </c>
      <c r="C102" s="4" t="n">
        <f aca="false">(B102-B$344)/B$345</f>
        <v>0.824441938066976</v>
      </c>
      <c r="D102" s="4" t="n">
        <v>0.647768008626869</v>
      </c>
      <c r="E102" s="4" t="n">
        <f aca="false">(D102-D$344)/D$345</f>
        <v>2.37416171722422</v>
      </c>
      <c r="F102" s="4" t="n">
        <v>0.372158945123694</v>
      </c>
      <c r="G102" s="4" t="n">
        <f aca="false">(F102-F$344)/F$345</f>
        <v>0.878002918742952</v>
      </c>
      <c r="H102" s="4" t="n">
        <v>0.281755439216466</v>
      </c>
      <c r="I102" s="4" t="n">
        <f aca="false">(H102-H$344)/H$345</f>
        <v>0.976394740306919</v>
      </c>
      <c r="J102" s="4" t="n">
        <v>0.251907431584988</v>
      </c>
      <c r="K102" s="4" t="n">
        <f aca="false">(J102-J$344)/J$345</f>
        <v>0.595998852127947</v>
      </c>
      <c r="L102" s="4" t="n">
        <v>0.302645680397253</v>
      </c>
      <c r="M102" s="4" t="n">
        <f aca="false">(L102-L$344)/L$345</f>
        <v>0.289357485716226</v>
      </c>
      <c r="N102" s="4" t="n">
        <v>0.323589942666428</v>
      </c>
      <c r="O102" s="4" t="n">
        <f aca="false">(N102-N$344)/N$345</f>
        <v>1.03251911018191</v>
      </c>
    </row>
    <row r="103" customFormat="false" ht="14.25" hidden="false" customHeight="false" outlineLevel="0" collapsed="false">
      <c r="A103" s="0" t="s">
        <v>45</v>
      </c>
      <c r="B103" s="4" t="n">
        <v>0.117293359977004</v>
      </c>
      <c r="C103" s="4" t="n">
        <f aca="false">(B103-B$344)/B$345</f>
        <v>-1.05697891118992</v>
      </c>
      <c r="E103" s="4" t="n">
        <f aca="false">(D103-D$344)/D$345</f>
        <v>-2.62355840523497</v>
      </c>
      <c r="F103" s="4" t="n">
        <v>0.186079472561847</v>
      </c>
      <c r="G103" s="4" t="n">
        <f aca="false">(F103-F$344)/F$345</f>
        <v>-0.9194516182315</v>
      </c>
      <c r="H103" s="4" t="n">
        <v>0.123829938360913</v>
      </c>
      <c r="I103" s="4" t="n">
        <f aca="false">(H103-H$344)/H$345</f>
        <v>-1.27358865032851</v>
      </c>
      <c r="J103" s="4" t="n">
        <v>0.115197823228077</v>
      </c>
      <c r="K103" s="4" t="n">
        <f aca="false">(J103-J$344)/J$345</f>
        <v>-1.10455777979201</v>
      </c>
      <c r="L103" s="4" t="n">
        <v>0.151322840198626</v>
      </c>
      <c r="M103" s="4" t="n">
        <f aca="false">(L103-L$344)/L$345</f>
        <v>-1.69572411372652</v>
      </c>
      <c r="N103" s="4" t="n">
        <v>0.0722516352091189</v>
      </c>
      <c r="O103" s="4" t="n">
        <f aca="false">(N103-N$344)/N$345</f>
        <v>-2.06712307472875</v>
      </c>
    </row>
    <row r="104" customFormat="false" ht="14.25" hidden="false" customHeight="false" outlineLevel="0" collapsed="false">
      <c r="B104" s="4" t="n">
        <v>0.145795209852266</v>
      </c>
      <c r="C104" s="4" t="n">
        <f aca="false">(B104-B$344)/B$345</f>
        <v>-0.787941257917138</v>
      </c>
      <c r="D104" s="4" t="n">
        <v>0.108535081750175</v>
      </c>
      <c r="E104" s="4" t="n">
        <f aca="false">(D104-D$344)/D$345</f>
        <v>-1.7861784253168</v>
      </c>
      <c r="F104" s="4" t="n">
        <v>0.212688290381661</v>
      </c>
      <c r="G104" s="4" t="n">
        <f aca="false">(F104-F$344)/F$345</f>
        <v>-0.662420900897249</v>
      </c>
      <c r="H104" s="4" t="n">
        <v>0.146412820951423</v>
      </c>
      <c r="I104" s="4" t="n">
        <f aca="false">(H104-H$344)/H$345</f>
        <v>-0.951847636584366</v>
      </c>
      <c r="J104" s="4" t="n">
        <v>0.134746895529849</v>
      </c>
      <c r="K104" s="4" t="n">
        <f aca="false">(J104-J$344)/J$345</f>
        <v>-0.861383178165849</v>
      </c>
      <c r="L104" s="4" t="n">
        <v>0.172961561715766</v>
      </c>
      <c r="M104" s="4" t="n">
        <f aca="false">(L104-L$344)/L$345</f>
        <v>-1.41186327776311</v>
      </c>
      <c r="N104" s="4" t="n">
        <v>0.108192274669224</v>
      </c>
      <c r="O104" s="4" t="n">
        <f aca="false">(N104-N$344)/N$345</f>
        <v>-1.62388334995211</v>
      </c>
    </row>
    <row r="105" customFormat="false" ht="14.25" hidden="false" customHeight="false" outlineLevel="0" collapsed="false">
      <c r="B105" s="4" t="n">
        <v>0.174297059727529</v>
      </c>
      <c r="C105" s="4" t="n">
        <f aca="false">(B105-B$344)/B$345</f>
        <v>-0.51890360464436</v>
      </c>
      <c r="D105" s="4" t="n">
        <v>0.213935352372813</v>
      </c>
      <c r="E105" s="4" t="n">
        <f aca="false">(D105-D$344)/D$345</f>
        <v>-0.972984432424153</v>
      </c>
      <c r="F105" s="4" t="n">
        <v>0.239297108201474</v>
      </c>
      <c r="G105" s="4" t="n">
        <f aca="false">(F105-F$344)/F$345</f>
        <v>-0.405390183562999</v>
      </c>
      <c r="H105" s="4" t="n">
        <v>0.168995703541933</v>
      </c>
      <c r="I105" s="4" t="n">
        <f aca="false">(H105-H$344)/H$345</f>
        <v>-0.630106622840221</v>
      </c>
      <c r="J105" s="4" t="n">
        <v>0.154295967831621</v>
      </c>
      <c r="K105" s="4" t="n">
        <f aca="false">(J105-J$344)/J$345</f>
        <v>-0.618208576539684</v>
      </c>
      <c r="L105" s="4" t="n">
        <v>0.194600283232905</v>
      </c>
      <c r="M105" s="4" t="n">
        <f aca="false">(L105-L$344)/L$345</f>
        <v>-1.1280024417997</v>
      </c>
      <c r="N105" s="4" t="n">
        <v>0.144132914129329</v>
      </c>
      <c r="O105" s="4" t="n">
        <f aca="false">(N105-N$344)/N$345</f>
        <v>-1.18064362517546</v>
      </c>
    </row>
    <row r="106" customFormat="false" ht="14.25" hidden="false" customHeight="false" outlineLevel="0" collapsed="false">
      <c r="B106" s="4" t="n">
        <v>0.202750105065333</v>
      </c>
      <c r="C106" s="4" t="n">
        <f aca="false">(B106-B$344)/B$345</f>
        <v>-0.250326632284721</v>
      </c>
      <c r="D106" s="4" t="n">
        <v>0.31052832795176</v>
      </c>
      <c r="E106" s="4" t="n">
        <f aca="false">(D106-D$344)/D$345</f>
        <v>-0.227741303232846</v>
      </c>
      <c r="F106" s="4" t="n">
        <v>0.265860362977076</v>
      </c>
      <c r="G106" s="4" t="n">
        <f aca="false">(F106-F$344)/F$345</f>
        <v>-0.148799587320074</v>
      </c>
      <c r="H106" s="4" t="n">
        <v>0.191539916812939</v>
      </c>
      <c r="I106" s="4" t="n">
        <f aca="false">(H106-H$344)/H$345</f>
        <v>-0.308916535489473</v>
      </c>
      <c r="J106" s="4" t="n">
        <v>0.17381156569452</v>
      </c>
      <c r="K106" s="4" t="n">
        <f aca="false">(J106-J$344)/J$345</f>
        <v>-0.375450369779318</v>
      </c>
      <c r="L106" s="4" t="n">
        <v>0.216201952144707</v>
      </c>
      <c r="M106" s="4" t="n">
        <f aca="false">(L106-L$344)/L$345</f>
        <v>-0.844627668911573</v>
      </c>
      <c r="N106" s="4" t="n">
        <v>0.180012011398577</v>
      </c>
      <c r="O106" s="4" t="n">
        <f aca="false">(N106-N$344)/N$345</f>
        <v>-0.738162872530279</v>
      </c>
    </row>
    <row r="107" customFormat="false" ht="14.25" hidden="false" customHeight="false" outlineLevel="0" collapsed="false">
      <c r="B107" s="4" t="n">
        <v>0.231203150403138</v>
      </c>
      <c r="C107" s="4" t="n">
        <f aca="false">(B107-B$344)/B$345</f>
        <v>0.0182503400749186</v>
      </c>
      <c r="D107" s="4" t="n">
        <v>0.400852144017132</v>
      </c>
      <c r="E107" s="4" t="n">
        <f aca="false">(D107-D$344)/D$345</f>
        <v>0.46913342209376</v>
      </c>
      <c r="F107" s="4" t="n">
        <v>0.292423617752677</v>
      </c>
      <c r="G107" s="4" t="n">
        <f aca="false">(F107-F$344)/F$345</f>
        <v>0.107791008922851</v>
      </c>
      <c r="H107" s="4" t="n">
        <v>0.214084130083945</v>
      </c>
      <c r="I107" s="4" t="n">
        <f aca="false">(H107-H$344)/H$345</f>
        <v>0.0122735518612752</v>
      </c>
      <c r="J107" s="4" t="n">
        <v>0.193327163557419</v>
      </c>
      <c r="K107" s="4" t="n">
        <f aca="false">(J107-J$344)/J$345</f>
        <v>-0.132692163018951</v>
      </c>
      <c r="L107" s="4" t="n">
        <v>0.237803621056509</v>
      </c>
      <c r="M107" s="4" t="n">
        <f aca="false">(L107-L$344)/L$345</f>
        <v>-0.561252896023443</v>
      </c>
      <c r="N107" s="4" t="n">
        <v>0.215891108667826</v>
      </c>
      <c r="O107" s="4" t="n">
        <f aca="false">(N107-N$344)/N$345</f>
        <v>-0.295682119885099</v>
      </c>
    </row>
    <row r="108" customFormat="false" ht="14.25" hidden="false" customHeight="false" outlineLevel="0" collapsed="false">
      <c r="B108" s="4" t="n">
        <v>0.2597050002784</v>
      </c>
      <c r="C108" s="4" t="n">
        <f aca="false">(B108-B$344)/B$345</f>
        <v>0.287287993347696</v>
      </c>
      <c r="D108" s="4" t="n">
        <v>0.486616466632745</v>
      </c>
      <c r="E108" s="4" t="n">
        <f aca="false">(D108-D$344)/D$345</f>
        <v>1.13083031853934</v>
      </c>
      <c r="F108" s="4" t="n">
        <v>0.319032435572491</v>
      </c>
      <c r="G108" s="4" t="n">
        <f aca="false">(F108-F$344)/F$345</f>
        <v>0.364821726257102</v>
      </c>
      <c r="H108" s="4" t="n">
        <v>0.236667012674455</v>
      </c>
      <c r="I108" s="4" t="n">
        <f aca="false">(H108-H$344)/H$345</f>
        <v>0.334014565605422</v>
      </c>
      <c r="J108" s="4" t="n">
        <v>0.21287623585919</v>
      </c>
      <c r="K108" s="4" t="n">
        <f aca="false">(J108-J$344)/J$345</f>
        <v>0.110482438607214</v>
      </c>
      <c r="L108" s="4" t="n">
        <v>0.259442342573649</v>
      </c>
      <c r="M108" s="4" t="n">
        <f aca="false">(L108-L$344)/L$345</f>
        <v>-0.277392060060033</v>
      </c>
      <c r="N108" s="4" t="n">
        <v>0.251831748127931</v>
      </c>
      <c r="O108" s="4" t="n">
        <f aca="false">(N108-N$344)/N$345</f>
        <v>0.147557604891548</v>
      </c>
    </row>
    <row r="109" customFormat="false" ht="14.25" hidden="false" customHeight="false" outlineLevel="0" collapsed="false">
      <c r="B109" s="4" t="n">
        <v>0.288206850153662</v>
      </c>
      <c r="C109" s="4" t="n">
        <f aca="false">(B109-B$344)/B$345</f>
        <v>0.556325646620474</v>
      </c>
      <c r="D109" s="4" t="n">
        <v>0.568751441871504</v>
      </c>
      <c r="E109" s="4" t="n">
        <f aca="false">(D109-D$344)/D$345</f>
        <v>1.76452573579</v>
      </c>
      <c r="F109" s="4" t="n">
        <v>0.345641253392304</v>
      </c>
      <c r="G109" s="4" t="n">
        <f aca="false">(F109-F$344)/F$345</f>
        <v>0.621852443591351</v>
      </c>
      <c r="H109" s="4" t="n">
        <v>0.259249895264965</v>
      </c>
      <c r="I109" s="4" t="n">
        <f aca="false">(H109-H$344)/H$345</f>
        <v>0.655755579349567</v>
      </c>
      <c r="J109" s="4" t="n">
        <v>0.232425308160962</v>
      </c>
      <c r="K109" s="4" t="n">
        <f aca="false">(J109-J$344)/J$345</f>
        <v>0.353657040233379</v>
      </c>
      <c r="L109" s="4" t="n">
        <v>0.281081064090788</v>
      </c>
      <c r="M109" s="4" t="n">
        <f aca="false">(L109-L$344)/L$345</f>
        <v>0.00646877590337631</v>
      </c>
      <c r="N109" s="4" t="n">
        <v>0.287772387588035</v>
      </c>
      <c r="O109" s="4" t="n">
        <f aca="false">(N109-N$344)/N$345</f>
        <v>0.590797329668194</v>
      </c>
    </row>
    <row r="110" customFormat="false" ht="14.25" hidden="false" customHeight="false" outlineLevel="0" collapsed="false">
      <c r="B110" s="4" t="n">
        <v>0.316611090954009</v>
      </c>
      <c r="C110" s="4" t="n">
        <f aca="false">(B110-B$344)/B$345</f>
        <v>0.824441938066976</v>
      </c>
      <c r="D110" s="4" t="n">
        <v>0.647768008626869</v>
      </c>
      <c r="E110" s="4" t="n">
        <f aca="false">(D110-D$344)/D$345</f>
        <v>2.37416171722422</v>
      </c>
      <c r="F110" s="4" t="n">
        <v>0.372158945123694</v>
      </c>
      <c r="G110" s="4" t="n">
        <f aca="false">(F110-F$344)/F$345</f>
        <v>0.878002918742952</v>
      </c>
      <c r="H110" s="4" t="n">
        <v>0.281755439216466</v>
      </c>
      <c r="I110" s="4" t="n">
        <f aca="false">(H110-H$344)/H$345</f>
        <v>0.976394740306919</v>
      </c>
      <c r="J110" s="4" t="n">
        <v>0.251907431584988</v>
      </c>
      <c r="K110" s="4" t="n">
        <f aca="false">(J110-J$344)/J$345</f>
        <v>0.595998852127947</v>
      </c>
      <c r="L110" s="4" t="n">
        <v>0.302645680397253</v>
      </c>
      <c r="M110" s="4" t="n">
        <f aca="false">(L110-L$344)/L$345</f>
        <v>0.289357485716226</v>
      </c>
      <c r="N110" s="4" t="n">
        <v>0.323589942666428</v>
      </c>
      <c r="O110" s="4" t="n">
        <f aca="false">(N110-N$344)/N$345</f>
        <v>1.03251911018191</v>
      </c>
    </row>
    <row r="111" customFormat="false" ht="14.25" hidden="false" customHeight="false" outlineLevel="0" collapsed="false">
      <c r="A111" s="0" t="s">
        <v>46</v>
      </c>
      <c r="B111" s="4" t="n">
        <v>0.130124961148568</v>
      </c>
      <c r="C111" s="4" t="n">
        <f aca="false">(B111-B$344)/B$345</f>
        <v>-0.935857514437139</v>
      </c>
      <c r="D111" s="4" t="n">
        <v>0.251951647599588</v>
      </c>
      <c r="E111" s="4" t="n">
        <f aca="false">(D111-D$344)/D$345</f>
        <v>-0.679677567766003</v>
      </c>
      <c r="F111" s="4" t="n">
        <v>0.180031386637943</v>
      </c>
      <c r="G111" s="4" t="n">
        <f aca="false">(F111-F$344)/F$345</f>
        <v>-0.977873750099482</v>
      </c>
      <c r="H111" s="4" t="n">
        <v>0.12518000924237</v>
      </c>
      <c r="I111" s="4" t="n">
        <f aca="false">(H111-H$344)/H$345</f>
        <v>-1.25435402993471</v>
      </c>
      <c r="J111" s="4" t="n">
        <v>0.15297784176427</v>
      </c>
      <c r="K111" s="4" t="n">
        <f aca="false">(J111-J$344)/J$345</f>
        <v>-0.6346049955806</v>
      </c>
      <c r="L111" s="4" t="n">
        <v>0.167827016168222</v>
      </c>
      <c r="M111" s="4" t="n">
        <f aca="false">(L111-L$344)/L$345</f>
        <v>-1.47921921606398</v>
      </c>
      <c r="N111" s="4" t="n">
        <v>0.146553344821222</v>
      </c>
      <c r="O111" s="4" t="n">
        <f aca="false">(N111-N$344)/N$345</f>
        <v>-1.15079354321165</v>
      </c>
    </row>
    <row r="112" customFormat="false" ht="14.25" hidden="false" customHeight="false" outlineLevel="0" collapsed="false">
      <c r="B112" s="4" t="n">
        <v>0.142962267348999</v>
      </c>
      <c r="C112" s="4" t="n">
        <f aca="false">(B112-B$344)/B$345</f>
        <v>-0.814682266177006</v>
      </c>
      <c r="D112" s="4" t="n">
        <v>0.287219117325248</v>
      </c>
      <c r="E112" s="4" t="n">
        <f aca="false">(D112-D$344)/D$345</f>
        <v>-0.407578697848393</v>
      </c>
      <c r="F112" s="4" t="n">
        <v>0.193843443983485</v>
      </c>
      <c r="G112" s="4" t="n">
        <f aca="false">(F112-F$344)/F$345</f>
        <v>-0.844454707155642</v>
      </c>
      <c r="H112" s="4" t="n">
        <v>0.136771150619209</v>
      </c>
      <c r="I112" s="4" t="n">
        <f aca="false">(H112-H$344)/H$345</f>
        <v>-1.08921366036102</v>
      </c>
      <c r="J112" s="4" t="n">
        <v>0.166172476050763</v>
      </c>
      <c r="K112" s="4" t="n">
        <f aca="false">(J112-J$344)/J$345</f>
        <v>-0.470474448274269</v>
      </c>
      <c r="L112" s="4" t="n">
        <v>0.180702750865019</v>
      </c>
      <c r="M112" s="4" t="n">
        <f aca="false">(L112-L$344)/L$345</f>
        <v>-1.31031289635461</v>
      </c>
      <c r="N112" s="4" t="n">
        <v>0.164794088987307</v>
      </c>
      <c r="O112" s="4" t="n">
        <f aca="false">(N112-N$344)/N$345</f>
        <v>-0.925838658007918</v>
      </c>
    </row>
    <row r="113" customFormat="false" ht="14.25" hidden="false" customHeight="false" outlineLevel="0" collapsed="false">
      <c r="B113" s="4" t="n">
        <v>0.155843688003726</v>
      </c>
      <c r="C113" s="4" t="n">
        <f aca="false">(B113-B$344)/B$345</f>
        <v>-0.693090608129037</v>
      </c>
      <c r="D113" s="4" t="n">
        <v>0.321581826989586</v>
      </c>
      <c r="E113" s="4" t="n">
        <f aca="false">(D113-D$344)/D$345</f>
        <v>-0.14246031709395</v>
      </c>
      <c r="F113" s="4" t="n">
        <v>0.207702965443617</v>
      </c>
      <c r="G113" s="4" t="n">
        <f aca="false">(F113-F$344)/F$345</f>
        <v>-0.710577179528147</v>
      </c>
      <c r="H113" s="4" t="n">
        <v>0.148402124097</v>
      </c>
      <c r="I113" s="4" t="n">
        <f aca="false">(H113-H$344)/H$345</f>
        <v>-0.923505798108384</v>
      </c>
      <c r="J113" s="4" t="n">
        <v>0.17941245272312</v>
      </c>
      <c r="K113" s="4" t="n">
        <f aca="false">(J113-J$344)/J$345</f>
        <v>-0.305779878468605</v>
      </c>
      <c r="L113" s="4" t="n">
        <v>0.193622732072802</v>
      </c>
      <c r="M113" s="4" t="n">
        <f aca="false">(L113-L$344)/L$345</f>
        <v>-1.14082614255689</v>
      </c>
      <c r="N113" s="4" t="n">
        <v>0.183097516123035</v>
      </c>
      <c r="O113" s="4" t="n">
        <f aca="false">(N113-N$344)/N$345</f>
        <v>-0.700110731961561</v>
      </c>
    </row>
    <row r="114" customFormat="false" ht="14.25" hidden="false" customHeight="false" outlineLevel="0" collapsed="false">
      <c r="B114" s="4" t="n">
        <v>0.168725108658454</v>
      </c>
      <c r="C114" s="4" t="n">
        <f aca="false">(B114-B$344)/B$345</f>
        <v>-0.571498950081069</v>
      </c>
      <c r="D114" s="4" t="n">
        <v>0.355109464070256</v>
      </c>
      <c r="E114" s="4" t="n">
        <f aca="false">(D114-D$344)/D$345</f>
        <v>0.116215233820907</v>
      </c>
      <c r="F114" s="4" t="n">
        <v>0.221562486903748</v>
      </c>
      <c r="G114" s="4" t="n">
        <f aca="false">(F114-F$344)/F$345</f>
        <v>-0.576699651900652</v>
      </c>
      <c r="H114" s="4" t="n">
        <v>0.160033097574791</v>
      </c>
      <c r="I114" s="4" t="n">
        <f aca="false">(H114-H$344)/H$345</f>
        <v>-0.757797935855746</v>
      </c>
      <c r="J114" s="4" t="n">
        <v>0.192652429395477</v>
      </c>
      <c r="K114" s="4" t="n">
        <f aca="false">(J114-J$344)/J$345</f>
        <v>-0.141085308662941</v>
      </c>
      <c r="L114" s="4" t="n">
        <v>0.206542713280585</v>
      </c>
      <c r="M114" s="4" t="n">
        <f aca="false">(L114-L$344)/L$345</f>
        <v>-0.971339388759172</v>
      </c>
      <c r="N114" s="4" t="n">
        <v>0.201400943258762</v>
      </c>
      <c r="O114" s="4" t="n">
        <f aca="false">(N114-N$344)/N$345</f>
        <v>-0.474382805915205</v>
      </c>
    </row>
    <row r="115" customFormat="false" ht="14.25" hidden="false" customHeight="false" outlineLevel="0" collapsed="false">
      <c r="B115" s="4" t="n">
        <v>0.181606529313181</v>
      </c>
      <c r="C115" s="4" t="n">
        <f aca="false">(B115-B$344)/B$345</f>
        <v>-0.4499072920331</v>
      </c>
      <c r="D115" s="4" t="n">
        <v>0.387949513160665</v>
      </c>
      <c r="E115" s="4" t="n">
        <f aca="false">(D115-D$344)/D$345</f>
        <v>0.369585841779139</v>
      </c>
      <c r="F115" s="4" t="n">
        <v>0.23542200836388</v>
      </c>
      <c r="G115" s="4" t="n">
        <f aca="false">(F115-F$344)/F$345</f>
        <v>-0.442822124273157</v>
      </c>
      <c r="H115" s="4" t="n">
        <v>0.171664071052582</v>
      </c>
      <c r="I115" s="4" t="n">
        <f aca="false">(H115-H$344)/H$345</f>
        <v>-0.592090073603107</v>
      </c>
      <c r="J115" s="4" t="n">
        <v>0.205892406067834</v>
      </c>
      <c r="K115" s="4" t="n">
        <f aca="false">(J115-J$344)/J$345</f>
        <v>0.0236092611427249</v>
      </c>
      <c r="L115" s="4" t="n">
        <v>0.219462694488368</v>
      </c>
      <c r="M115" s="4" t="n">
        <f aca="false">(L115-L$344)/L$345</f>
        <v>-0.801852634961453</v>
      </c>
      <c r="N115" s="4" t="n">
        <v>0.21970437039449</v>
      </c>
      <c r="O115" s="4" t="n">
        <f aca="false">(N115-N$344)/N$345</f>
        <v>-0.248654879868848</v>
      </c>
    </row>
    <row r="116" customFormat="false" ht="14.25" hidden="false" customHeight="false" outlineLevel="0" collapsed="false">
      <c r="A116" s="0" t="s">
        <v>47</v>
      </c>
      <c r="B116" s="4" t="n">
        <v>0.142962267348999</v>
      </c>
      <c r="C116" s="4" t="n">
        <f aca="false">(B116-B$344)/B$345</f>
        <v>-0.814682266177006</v>
      </c>
      <c r="D116" s="4" t="n">
        <v>0.287219117325248</v>
      </c>
      <c r="E116" s="4" t="n">
        <f aca="false">(D116-D$344)/D$345</f>
        <v>-0.407578697848393</v>
      </c>
      <c r="F116" s="4" t="n">
        <v>0.193843443983485</v>
      </c>
      <c r="G116" s="4" t="n">
        <f aca="false">(F116-F$344)/F$345</f>
        <v>-0.844454707155642</v>
      </c>
      <c r="H116" s="4" t="n">
        <v>0.136771150619209</v>
      </c>
      <c r="I116" s="4" t="n">
        <f aca="false">(H116-H$344)/H$345</f>
        <v>-1.08921366036102</v>
      </c>
      <c r="J116" s="4" t="n">
        <v>0.166172476050763</v>
      </c>
      <c r="K116" s="4" t="n">
        <f aca="false">(J116-J$344)/J$345</f>
        <v>-0.470474448274269</v>
      </c>
      <c r="L116" s="4" t="n">
        <v>0.180702750865019</v>
      </c>
      <c r="M116" s="4" t="n">
        <f aca="false">(L116-L$344)/L$345</f>
        <v>-1.31031289635461</v>
      </c>
      <c r="N116" s="4" t="n">
        <v>0.164794088987307</v>
      </c>
      <c r="O116" s="4" t="n">
        <f aca="false">(N116-N$344)/N$345</f>
        <v>-0.925838658007918</v>
      </c>
    </row>
    <row r="117" customFormat="false" ht="14.25" hidden="false" customHeight="false" outlineLevel="0" collapsed="false">
      <c r="B117" s="4" t="n">
        <v>0.155843688003726</v>
      </c>
      <c r="C117" s="4" t="n">
        <f aca="false">(B117-B$344)/B$345</f>
        <v>-0.693090608129037</v>
      </c>
      <c r="D117" s="4" t="n">
        <v>0.321581826989586</v>
      </c>
      <c r="E117" s="4" t="n">
        <f aca="false">(D117-D$344)/D$345</f>
        <v>-0.14246031709395</v>
      </c>
      <c r="F117" s="4" t="n">
        <v>0.207702965443617</v>
      </c>
      <c r="G117" s="4" t="n">
        <f aca="false">(F117-F$344)/F$345</f>
        <v>-0.710577179528147</v>
      </c>
      <c r="H117" s="4" t="n">
        <v>0.148402124097</v>
      </c>
      <c r="I117" s="4" t="n">
        <f aca="false">(H117-H$344)/H$345</f>
        <v>-0.923505798108384</v>
      </c>
      <c r="J117" s="4" t="n">
        <v>0.17941245272312</v>
      </c>
      <c r="K117" s="4" t="n">
        <f aca="false">(J117-J$344)/J$345</f>
        <v>-0.305779878468605</v>
      </c>
      <c r="L117" s="4" t="n">
        <v>0.193622732072802</v>
      </c>
      <c r="M117" s="4" t="n">
        <f aca="false">(L117-L$344)/L$345</f>
        <v>-1.14082614255689</v>
      </c>
      <c r="N117" s="4" t="n">
        <v>0.183097516123035</v>
      </c>
      <c r="O117" s="4" t="n">
        <f aca="false">(N117-N$344)/N$345</f>
        <v>-0.700110731961561</v>
      </c>
    </row>
    <row r="118" customFormat="false" ht="14.25" hidden="false" customHeight="false" outlineLevel="0" collapsed="false">
      <c r="B118" s="4" t="n">
        <v>0.168725108658454</v>
      </c>
      <c r="C118" s="4" t="n">
        <f aca="false">(B118-B$344)/B$345</f>
        <v>-0.571498950081069</v>
      </c>
      <c r="D118" s="4" t="n">
        <v>0.355109464070256</v>
      </c>
      <c r="E118" s="4" t="n">
        <f aca="false">(D118-D$344)/D$345</f>
        <v>0.116215233820907</v>
      </c>
      <c r="F118" s="4" t="n">
        <v>0.221562486903748</v>
      </c>
      <c r="G118" s="4" t="n">
        <f aca="false">(F118-F$344)/F$345</f>
        <v>-0.576699651900652</v>
      </c>
      <c r="H118" s="4" t="n">
        <v>0.160033097574791</v>
      </c>
      <c r="I118" s="4" t="n">
        <f aca="false">(H118-H$344)/H$345</f>
        <v>-0.757797935855746</v>
      </c>
      <c r="J118" s="4" t="n">
        <v>0.192652429395477</v>
      </c>
      <c r="K118" s="4" t="n">
        <f aca="false">(J118-J$344)/J$345</f>
        <v>-0.141085308662941</v>
      </c>
      <c r="L118" s="4" t="n">
        <v>0.206542713280585</v>
      </c>
      <c r="M118" s="4" t="n">
        <f aca="false">(L118-L$344)/L$345</f>
        <v>-0.971339388759172</v>
      </c>
      <c r="N118" s="4" t="n">
        <v>0.201400943258762</v>
      </c>
      <c r="O118" s="4" t="n">
        <f aca="false">(N118-N$344)/N$345</f>
        <v>-0.474382805915205</v>
      </c>
    </row>
    <row r="119" customFormat="false" ht="14.25" hidden="false" customHeight="false" outlineLevel="0" collapsed="false">
      <c r="B119" s="4" t="n">
        <v>0.181606529313181</v>
      </c>
      <c r="C119" s="4" t="n">
        <f aca="false">(B119-B$344)/B$345</f>
        <v>-0.4499072920331</v>
      </c>
      <c r="D119" s="4" t="n">
        <v>0.387949513160665</v>
      </c>
      <c r="E119" s="4" t="n">
        <f aca="false">(D119-D$344)/D$345</f>
        <v>0.369585841779139</v>
      </c>
      <c r="F119" s="4" t="n">
        <v>0.23542200836388</v>
      </c>
      <c r="G119" s="4" t="n">
        <f aca="false">(F119-F$344)/F$345</f>
        <v>-0.442822124273157</v>
      </c>
      <c r="H119" s="4" t="n">
        <v>0.171664071052582</v>
      </c>
      <c r="I119" s="4" t="n">
        <f aca="false">(H119-H$344)/H$345</f>
        <v>-0.592090073603107</v>
      </c>
      <c r="J119" s="4" t="n">
        <v>0.205892406067834</v>
      </c>
      <c r="K119" s="4" t="n">
        <f aca="false">(J119-J$344)/J$345</f>
        <v>0.0236092611427249</v>
      </c>
      <c r="L119" s="4" t="n">
        <v>0.219462694488368</v>
      </c>
      <c r="M119" s="4" t="n">
        <f aca="false">(L119-L$344)/L$345</f>
        <v>-0.801852634961453</v>
      </c>
      <c r="N119" s="4" t="n">
        <v>0.21970437039449</v>
      </c>
      <c r="O119" s="4" t="n">
        <f aca="false">(N119-N$344)/N$345</f>
        <v>-0.248654879868848</v>
      </c>
    </row>
    <row r="120" customFormat="false" ht="14.25" hidden="false" customHeight="false" outlineLevel="0" collapsed="false">
      <c r="A120" s="0" t="s">
        <v>48</v>
      </c>
      <c r="B120" s="4" t="n">
        <v>0.178566086192809</v>
      </c>
      <c r="C120" s="4" t="n">
        <f aca="false">(B120-B$344)/B$345</f>
        <v>-0.478606961899941</v>
      </c>
      <c r="E120" s="4" t="n">
        <f aca="false">(D120-D$344)/D$345</f>
        <v>-2.62355840523497</v>
      </c>
      <c r="F120" s="4" t="n">
        <v>0.303050027557941</v>
      </c>
      <c r="G120" s="4" t="n">
        <f aca="false">(F120-F$344)/F$345</f>
        <v>0.210437949250313</v>
      </c>
      <c r="H120" s="4" t="n">
        <v>0.123626108855627</v>
      </c>
      <c r="I120" s="4" t="n">
        <f aca="false">(H120-H$344)/H$345</f>
        <v>-1.27649263352902</v>
      </c>
      <c r="J120" s="4" t="n">
        <v>0.0828397116915102</v>
      </c>
      <c r="K120" s="4" t="n">
        <f aca="false">(J120-J$344)/J$345</f>
        <v>-1.50706643906821</v>
      </c>
      <c r="L120" s="4" t="n">
        <v>0.184168331755893</v>
      </c>
      <c r="M120" s="4" t="n">
        <f aca="false">(L120-L$344)/L$345</f>
        <v>-1.26485075165243</v>
      </c>
      <c r="N120" s="4" t="n">
        <v>0.0664072805133728</v>
      </c>
      <c r="O120" s="4" t="n">
        <f aca="false">(N120-N$344)/N$345</f>
        <v>-2.13919886986632</v>
      </c>
    </row>
    <row r="121" customFormat="false" ht="14.25" hidden="false" customHeight="false" outlineLevel="0" collapsed="false">
      <c r="B121" s="4" t="n">
        <v>0.324225067939013</v>
      </c>
      <c r="C121" s="4" t="n">
        <f aca="false">(B121-B$344)/B$345</f>
        <v>0.896312588887307</v>
      </c>
      <c r="E121" s="4" t="n">
        <f aca="false">(D121-D$344)/D$345</f>
        <v>-2.62355840523497</v>
      </c>
      <c r="F121" s="4" t="n">
        <v>0.416612671717769</v>
      </c>
      <c r="G121" s="4" t="n">
        <f aca="false">(F121-F$344)/F$345</f>
        <v>1.30740843807225</v>
      </c>
      <c r="H121" s="4" t="n">
        <v>0.183549698464148</v>
      </c>
      <c r="I121" s="4" t="n">
        <f aca="false">(H121-H$344)/H$345</f>
        <v>-0.422754126473426</v>
      </c>
      <c r="J121" s="4" t="n">
        <v>0.125963409037553</v>
      </c>
      <c r="K121" s="4" t="n">
        <f aca="false">(J121-J$344)/J$345</f>
        <v>-0.970642625145302</v>
      </c>
      <c r="L121" s="4" t="n">
        <v>0.253182160572342</v>
      </c>
      <c r="M121" s="4" t="n">
        <f aca="false">(L121-L$344)/L$345</f>
        <v>-0.359514309970528</v>
      </c>
      <c r="N121" s="4" t="n">
        <v>0.0912922357378702</v>
      </c>
      <c r="O121" s="4" t="n">
        <f aca="false">(N121-N$344)/N$345</f>
        <v>-1.83230392112649</v>
      </c>
    </row>
    <row r="122" customFormat="false" ht="14.25" hidden="false" customHeight="false" outlineLevel="0" collapsed="false">
      <c r="B122" s="4" t="n">
        <v>0.469884049685217</v>
      </c>
      <c r="C122" s="4" t="n">
        <f aca="false">(B122-B$344)/B$345</f>
        <v>2.27123213967456</v>
      </c>
      <c r="E122" s="4" t="n">
        <f aca="false">(D122-D$344)/D$345</f>
        <v>-2.62355840523497</v>
      </c>
      <c r="F122" s="4" t="n">
        <v>0.530175315877598</v>
      </c>
      <c r="G122" s="4" t="n">
        <f aca="false">(F122-F$344)/F$345</f>
        <v>2.40437892689419</v>
      </c>
      <c r="H122" s="4" t="n">
        <v>0.243473288072669</v>
      </c>
      <c r="I122" s="4" t="n">
        <f aca="false">(H122-H$344)/H$345</f>
        <v>0.430984380582166</v>
      </c>
      <c r="J122" s="4" t="n">
        <v>0.169087106383595</v>
      </c>
      <c r="K122" s="4" t="n">
        <f aca="false">(J122-J$344)/J$345</f>
        <v>-0.434218811222392</v>
      </c>
      <c r="L122" s="4" t="n">
        <v>0.32219598938879</v>
      </c>
      <c r="M122" s="4" t="n">
        <f aca="false">(L122-L$344)/L$345</f>
        <v>0.545822131711373</v>
      </c>
      <c r="N122" s="4" t="n">
        <v>0.116177190962367</v>
      </c>
      <c r="O122" s="4" t="n">
        <f aca="false">(N122-N$344)/N$345</f>
        <v>-1.52540897238667</v>
      </c>
    </row>
    <row r="123" customFormat="false" ht="14.25" hidden="false" customHeight="false" outlineLevel="0" collapsed="false">
      <c r="A123" s="0" t="s">
        <v>49</v>
      </c>
      <c r="B123" s="4" t="n">
        <v>0.324225067939013</v>
      </c>
      <c r="C123" s="4" t="n">
        <f aca="false">(B123-B$344)/B$345</f>
        <v>0.896312588887307</v>
      </c>
      <c r="E123" s="4" t="n">
        <f aca="false">(D123-D$344)/D$345</f>
        <v>-2.62355840523497</v>
      </c>
      <c r="F123" s="4" t="n">
        <v>0.416612671717769</v>
      </c>
      <c r="G123" s="4" t="n">
        <f aca="false">(F123-F$344)/F$345</f>
        <v>1.30740843807225</v>
      </c>
      <c r="H123" s="4" t="n">
        <v>0.183549698464148</v>
      </c>
      <c r="I123" s="4" t="n">
        <f aca="false">(H123-H$344)/H$345</f>
        <v>-0.422754126473426</v>
      </c>
      <c r="J123" s="4" t="n">
        <v>0.125963409037553</v>
      </c>
      <c r="K123" s="4" t="n">
        <f aca="false">(J123-J$344)/J$345</f>
        <v>-0.970642625145302</v>
      </c>
      <c r="L123" s="4" t="n">
        <v>0.253182160572342</v>
      </c>
      <c r="M123" s="4" t="n">
        <f aca="false">(L123-L$344)/L$345</f>
        <v>-0.359514309970528</v>
      </c>
      <c r="N123" s="4" t="n">
        <v>0.0912922357378702</v>
      </c>
      <c r="O123" s="4" t="n">
        <f aca="false">(N123-N$344)/N$345</f>
        <v>-1.83230392112649</v>
      </c>
    </row>
    <row r="124" customFormat="false" ht="14.25" hidden="false" customHeight="false" outlineLevel="0" collapsed="false">
      <c r="B124" s="4" t="n">
        <v>0.469884049685217</v>
      </c>
      <c r="C124" s="4" t="n">
        <f aca="false">(B124-B$344)/B$345</f>
        <v>2.27123213967456</v>
      </c>
      <c r="E124" s="4" t="n">
        <f aca="false">(D124-D$344)/D$345</f>
        <v>-2.62355840523497</v>
      </c>
      <c r="F124" s="4" t="n">
        <v>0.530175315877598</v>
      </c>
      <c r="G124" s="4" t="n">
        <f aca="false">(F124-F$344)/F$345</f>
        <v>2.40437892689419</v>
      </c>
      <c r="H124" s="4" t="n">
        <v>0.243473288072669</v>
      </c>
      <c r="I124" s="4" t="n">
        <f aca="false">(H124-H$344)/H$345</f>
        <v>0.430984380582166</v>
      </c>
      <c r="J124" s="4" t="n">
        <v>0.169087106383595</v>
      </c>
      <c r="K124" s="4" t="n">
        <f aca="false">(J124-J$344)/J$345</f>
        <v>-0.434218811222392</v>
      </c>
      <c r="L124" s="4" t="n">
        <v>0.32219598938879</v>
      </c>
      <c r="M124" s="4" t="n">
        <f aca="false">(L124-L$344)/L$345</f>
        <v>0.545822131711373</v>
      </c>
      <c r="N124" s="4" t="n">
        <v>0.116177190962367</v>
      </c>
      <c r="O124" s="4" t="n">
        <f aca="false">(N124-N$344)/N$345</f>
        <v>-1.52540897238667</v>
      </c>
    </row>
    <row r="125" customFormat="false" ht="14.25" hidden="false" customHeight="false" outlineLevel="0" collapsed="false">
      <c r="A125" s="0" t="s">
        <v>50</v>
      </c>
      <c r="B125" s="4" t="n">
        <v>0.211976391111864</v>
      </c>
      <c r="C125" s="4" t="n">
        <f aca="false">(B125-B$344)/B$345</f>
        <v>-0.163236904521592</v>
      </c>
      <c r="E125" s="4" t="n">
        <f aca="false">(D125-D$344)/D$345</f>
        <v>-2.62355840523497</v>
      </c>
      <c r="F125" s="4" t="n">
        <v>0.275756087995491</v>
      </c>
      <c r="G125" s="4" t="n">
        <f aca="false">(F125-F$344)/F$345</f>
        <v>-0.0532107747223263</v>
      </c>
      <c r="H125" s="4" t="n">
        <v>0.117805385909637</v>
      </c>
      <c r="I125" s="4" t="n">
        <f aca="false">(H125-H$344)/H$345</f>
        <v>-1.35942116552048</v>
      </c>
      <c r="J125" s="4" t="n">
        <v>0.110517414485017</v>
      </c>
      <c r="K125" s="4" t="n">
        <f aca="false">(J125-J$344)/J$345</f>
        <v>-1.16277826790377</v>
      </c>
      <c r="L125" s="4" t="n">
        <v>0.1931039369558</v>
      </c>
      <c r="M125" s="4" t="n">
        <f aca="false">(L125-L$344)/L$345</f>
        <v>-1.14763179489126</v>
      </c>
      <c r="N125" s="4" t="n">
        <v>0.0577080921693275</v>
      </c>
      <c r="O125" s="4" t="n">
        <f aca="false">(N125-N$344)/N$345</f>
        <v>-2.24648204304622</v>
      </c>
    </row>
    <row r="126" customFormat="false" ht="14.25" hidden="false" customHeight="false" outlineLevel="0" collapsed="false">
      <c r="B126" s="4" t="n">
        <v>0.277713550639199</v>
      </c>
      <c r="C126" s="4" t="n">
        <f aca="false">(B126-B$344)/B$345</f>
        <v>0.457276192328397</v>
      </c>
      <c r="D126" s="4" t="n">
        <v>0.122203713968487</v>
      </c>
      <c r="E126" s="4" t="n">
        <f aca="false">(D126-D$344)/D$345</f>
        <v>-1.68072091989174</v>
      </c>
      <c r="F126" s="4" t="n">
        <v>0.334822569512273</v>
      </c>
      <c r="G126" s="4" t="n">
        <f aca="false">(F126-F$344)/F$345</f>
        <v>0.517348211305379</v>
      </c>
      <c r="H126" s="4" t="n">
        <v>0.149019368058503</v>
      </c>
      <c r="I126" s="4" t="n">
        <f aca="false">(H126-H$344)/H$345</f>
        <v>-0.914711849988373</v>
      </c>
      <c r="J126" s="4" t="n">
        <v>0.139674372731739</v>
      </c>
      <c r="K126" s="4" t="n">
        <f aca="false">(J126-J$344)/J$345</f>
        <v>-0.800089358843121</v>
      </c>
      <c r="L126" s="4" t="n">
        <v>0.234466469351474</v>
      </c>
      <c r="M126" s="4" t="n">
        <f aca="false">(L126-L$344)/L$345</f>
        <v>-0.605030282408209</v>
      </c>
      <c r="N126" s="4" t="n">
        <v>0.124650314581669</v>
      </c>
      <c r="O126" s="4" t="n">
        <f aca="false">(N126-N$344)/N$345</f>
        <v>-1.42091375367509</v>
      </c>
    </row>
    <row r="127" customFormat="false" ht="14.25" hidden="false" customHeight="false" outlineLevel="0" collapsed="false">
      <c r="B127" s="4" t="n">
        <v>0.343450710166534</v>
      </c>
      <c r="C127" s="4" t="n">
        <f aca="false">(B127-B$344)/B$345</f>
        <v>1.07778928917838</v>
      </c>
      <c r="D127" s="4" t="n">
        <v>0.277336582904551</v>
      </c>
      <c r="E127" s="4" t="n">
        <f aca="false">(D127-D$344)/D$345</f>
        <v>-0.48382534862065</v>
      </c>
      <c r="F127" s="4" t="n">
        <v>0.393889051029055</v>
      </c>
      <c r="G127" s="4" t="n">
        <f aca="false">(F127-F$344)/F$345</f>
        <v>1.08790719733308</v>
      </c>
      <c r="H127" s="4" t="n">
        <v>0.180233350207368</v>
      </c>
      <c r="I127" s="4" t="n">
        <f aca="false">(H127-H$344)/H$345</f>
        <v>-0.470002534456267</v>
      </c>
      <c r="J127" s="4" t="n">
        <v>0.168831330978462</v>
      </c>
      <c r="K127" s="4" t="n">
        <f aca="false">(J127-J$344)/J$345</f>
        <v>-0.437400449782471</v>
      </c>
      <c r="L127" s="4" t="n">
        <v>0.275829001747147</v>
      </c>
      <c r="M127" s="4" t="n">
        <f aca="false">(L127-L$344)/L$345</f>
        <v>-0.06242876992516</v>
      </c>
      <c r="N127" s="4" t="n">
        <v>0.192635674083478</v>
      </c>
      <c r="O127" s="4" t="n">
        <f aca="false">(N127-N$344)/N$345</f>
        <v>-0.582480924234962</v>
      </c>
    </row>
    <row r="128" customFormat="false" ht="14.25" hidden="false" customHeight="false" outlineLevel="0" collapsed="false">
      <c r="A128" s="0" t="s">
        <v>51</v>
      </c>
      <c r="B128" s="4" t="n">
        <v>0.211976391111864</v>
      </c>
      <c r="C128" s="4" t="n">
        <f aca="false">(B128-B$344)/B$345</f>
        <v>-0.163236904521592</v>
      </c>
      <c r="E128" s="4" t="n">
        <f aca="false">(D128-D$344)/D$345</f>
        <v>-2.62355840523497</v>
      </c>
      <c r="F128" s="4" t="n">
        <v>0.275756087995491</v>
      </c>
      <c r="G128" s="4" t="n">
        <f aca="false">(F128-F$344)/F$345</f>
        <v>-0.0532107747223263</v>
      </c>
      <c r="H128" s="4" t="n">
        <v>0.117805385909637</v>
      </c>
      <c r="I128" s="4" t="n">
        <f aca="false">(H128-H$344)/H$345</f>
        <v>-1.35942116552048</v>
      </c>
      <c r="J128" s="4" t="n">
        <v>0.110517414485017</v>
      </c>
      <c r="K128" s="4" t="n">
        <f aca="false">(J128-J$344)/J$345</f>
        <v>-1.16277826790377</v>
      </c>
      <c r="L128" s="4" t="n">
        <v>0.1931039369558</v>
      </c>
      <c r="M128" s="4" t="n">
        <f aca="false">(L128-L$344)/L$345</f>
        <v>-1.14763179489126</v>
      </c>
      <c r="N128" s="4" t="n">
        <v>0.0577080921693275</v>
      </c>
      <c r="O128" s="4" t="n">
        <f aca="false">(N128-N$344)/N$345</f>
        <v>-2.24648204304622</v>
      </c>
    </row>
    <row r="129" customFormat="false" ht="14.25" hidden="false" customHeight="false" outlineLevel="0" collapsed="false">
      <c r="B129" s="4" t="n">
        <v>0.277713550639199</v>
      </c>
      <c r="C129" s="4" t="n">
        <f aca="false">(B129-B$344)/B$345</f>
        <v>0.457276192328397</v>
      </c>
      <c r="D129" s="4" t="n">
        <v>0.122203713968487</v>
      </c>
      <c r="E129" s="4" t="n">
        <f aca="false">(D129-D$344)/D$345</f>
        <v>-1.68072091989174</v>
      </c>
      <c r="F129" s="4" t="n">
        <v>0.334822569512273</v>
      </c>
      <c r="G129" s="4" t="n">
        <f aca="false">(F129-F$344)/F$345</f>
        <v>0.517348211305379</v>
      </c>
      <c r="H129" s="4" t="n">
        <v>0.149019368058503</v>
      </c>
      <c r="I129" s="4" t="n">
        <f aca="false">(H129-H$344)/H$345</f>
        <v>-0.914711849988373</v>
      </c>
      <c r="J129" s="4" t="n">
        <v>0.139674372731739</v>
      </c>
      <c r="K129" s="4" t="n">
        <f aca="false">(J129-J$344)/J$345</f>
        <v>-0.800089358843121</v>
      </c>
      <c r="L129" s="4" t="n">
        <v>0.234466469351474</v>
      </c>
      <c r="M129" s="4" t="n">
        <f aca="false">(L129-L$344)/L$345</f>
        <v>-0.605030282408209</v>
      </c>
      <c r="N129" s="4" t="n">
        <v>0.124650314581669</v>
      </c>
      <c r="O129" s="4" t="n">
        <f aca="false">(N129-N$344)/N$345</f>
        <v>-1.42091375367509</v>
      </c>
    </row>
    <row r="130" customFormat="false" ht="14.25" hidden="false" customHeight="false" outlineLevel="0" collapsed="false">
      <c r="B130" s="4" t="n">
        <v>0.343450710166534</v>
      </c>
      <c r="C130" s="4" t="n">
        <f aca="false">(B130-B$344)/B$345</f>
        <v>1.07778928917838</v>
      </c>
      <c r="D130" s="4" t="n">
        <v>0.277336582904551</v>
      </c>
      <c r="E130" s="4" t="n">
        <f aca="false">(D130-D$344)/D$345</f>
        <v>-0.48382534862065</v>
      </c>
      <c r="F130" s="4" t="n">
        <v>0.393889051029055</v>
      </c>
      <c r="G130" s="4" t="n">
        <f aca="false">(F130-F$344)/F$345</f>
        <v>1.08790719733308</v>
      </c>
      <c r="H130" s="4" t="n">
        <v>0.180233350207368</v>
      </c>
      <c r="I130" s="4" t="n">
        <f aca="false">(H130-H$344)/H$345</f>
        <v>-0.470002534456267</v>
      </c>
      <c r="J130" s="4" t="n">
        <v>0.168831330978462</v>
      </c>
      <c r="K130" s="4" t="n">
        <f aca="false">(J130-J$344)/J$345</f>
        <v>-0.437400449782471</v>
      </c>
      <c r="L130" s="4" t="n">
        <v>0.275829001747147</v>
      </c>
      <c r="M130" s="4" t="n">
        <f aca="false">(L130-L$344)/L$345</f>
        <v>-0.06242876992516</v>
      </c>
      <c r="N130" s="4" t="n">
        <v>0.192635674083478</v>
      </c>
      <c r="O130" s="4" t="n">
        <f aca="false">(N130-N$344)/N$345</f>
        <v>-0.582480924234962</v>
      </c>
    </row>
    <row r="131" customFormat="false" ht="14.25" hidden="false" customHeight="false" outlineLevel="0" collapsed="false">
      <c r="A131" s="0" t="s">
        <v>52</v>
      </c>
      <c r="B131" s="4" t="n">
        <v>0.195407109978266</v>
      </c>
      <c r="C131" s="4" t="n">
        <f aca="false">(B131-B$344)/B$345</f>
        <v>-0.319639402328209</v>
      </c>
      <c r="D131" s="4" t="n">
        <v>0.156785061393054</v>
      </c>
      <c r="E131" s="4" t="n">
        <f aca="false">(D131-D$344)/D$345</f>
        <v>-1.41391568470905</v>
      </c>
      <c r="F131" s="4" t="n">
        <v>0.248089894356237</v>
      </c>
      <c r="G131" s="4" t="n">
        <f aca="false">(F131-F$344)/F$345</f>
        <v>-0.320455326703536</v>
      </c>
      <c r="H131" s="4" t="n">
        <v>0.108276694673924</v>
      </c>
      <c r="I131" s="4" t="n">
        <f aca="false">(H131-H$344)/H$345</f>
        <v>-1.49517756267422</v>
      </c>
      <c r="J131" s="4" t="n">
        <v>0.125228937929645</v>
      </c>
      <c r="K131" s="4" t="n">
        <f aca="false">(J131-J$344)/J$345</f>
        <v>-0.979778849939728</v>
      </c>
      <c r="L131" s="4" t="n">
        <v>0.192533001907717</v>
      </c>
      <c r="M131" s="4" t="n">
        <f aca="false">(L131-L$344)/L$345</f>
        <v>-1.1551214286897</v>
      </c>
      <c r="N131" s="4" t="n">
        <v>0.0982956745150925</v>
      </c>
      <c r="O131" s="4" t="n">
        <f aca="false">(N131-N$344)/N$345</f>
        <v>-1.74593366387072</v>
      </c>
    </row>
    <row r="132" customFormat="false" ht="14.25" hidden="false" customHeight="false" outlineLevel="0" collapsed="false">
      <c r="B132" s="4" t="n">
        <v>0.232845532556394</v>
      </c>
      <c r="C132" s="4" t="n">
        <f aca="false">(B132-B$344)/B$345</f>
        <v>0.0337532861020405</v>
      </c>
      <c r="D132" s="4" t="n">
        <v>0.23648611685523</v>
      </c>
      <c r="E132" s="4" t="n">
        <f aca="false">(D132-D$344)/D$345</f>
        <v>-0.798998672198797</v>
      </c>
      <c r="F132" s="4" t="n">
        <v>0.285292749122597</v>
      </c>
      <c r="G132" s="4" t="n">
        <f aca="false">(F132-F$344)/F$345</f>
        <v>0.0389096218722335</v>
      </c>
      <c r="H132" s="4" t="n">
        <v>0.127996832139923</v>
      </c>
      <c r="I132" s="4" t="n">
        <f aca="false">(H132-H$344)/H$345</f>
        <v>-1.21422241914658</v>
      </c>
      <c r="J132" s="4" t="n">
        <v>0.147349975492239</v>
      </c>
      <c r="K132" s="4" t="n">
        <f aca="false">(J132-J$344)/J$345</f>
        <v>-0.704611086794575</v>
      </c>
      <c r="L132" s="4" t="n">
        <v>0.22140470313638</v>
      </c>
      <c r="M132" s="4" t="n">
        <f aca="false">(L132-L$344)/L$345</f>
        <v>-0.776376998712047</v>
      </c>
      <c r="N132" s="4" t="n">
        <v>0.146305333957046</v>
      </c>
      <c r="O132" s="4" t="n">
        <f aca="false">(N132-N$344)/N$345</f>
        <v>-1.1538521495367</v>
      </c>
    </row>
    <row r="133" customFormat="false" ht="14.25" hidden="false" customHeight="false" outlineLevel="0" collapsed="false">
      <c r="B133" s="4" t="n">
        <v>0.270283955134523</v>
      </c>
      <c r="C133" s="4" t="n">
        <f aca="false">(B133-B$344)/B$345</f>
        <v>0.387145974532291</v>
      </c>
      <c r="D133" s="4" t="n">
        <v>0.310157248903081</v>
      </c>
      <c r="E133" s="4" t="n">
        <f aca="false">(D133-D$344)/D$345</f>
        <v>-0.230604286899689</v>
      </c>
      <c r="F133" s="4" t="n">
        <v>0.322495603888956</v>
      </c>
      <c r="G133" s="4" t="n">
        <f aca="false">(F133-F$344)/F$345</f>
        <v>0.398274570448004</v>
      </c>
      <c r="H133" s="4" t="n">
        <v>0.147716969605923</v>
      </c>
      <c r="I133" s="4" t="n">
        <f aca="false">(H133-H$344)/H$345</f>
        <v>-0.933267275618935</v>
      </c>
      <c r="J133" s="4" t="n">
        <v>0.169471013054834</v>
      </c>
      <c r="K133" s="4" t="n">
        <f aca="false">(J133-J$344)/J$345</f>
        <v>-0.429443323649421</v>
      </c>
      <c r="L133" s="4" t="n">
        <v>0.250276404365044</v>
      </c>
      <c r="M133" s="4" t="n">
        <f aca="false">(L133-L$344)/L$345</f>
        <v>-0.39763256873439</v>
      </c>
      <c r="N133" s="4" t="n">
        <v>0.194314993398999</v>
      </c>
      <c r="O133" s="4" t="n">
        <f aca="false">(N133-N$344)/N$345</f>
        <v>-0.561770635202686</v>
      </c>
    </row>
    <row r="134" customFormat="false" ht="14.25" hidden="false" customHeight="false" outlineLevel="0" collapsed="false">
      <c r="A134" s="0" t="s">
        <v>53</v>
      </c>
      <c r="B134" s="4" t="n">
        <v>0.195407109978266</v>
      </c>
      <c r="C134" s="4" t="n">
        <f aca="false">(B134-B$344)/B$345</f>
        <v>-0.319639402328209</v>
      </c>
      <c r="D134" s="4" t="n">
        <v>0.156785061393054</v>
      </c>
      <c r="E134" s="4" t="n">
        <f aca="false">(D134-D$344)/D$345</f>
        <v>-1.41391568470905</v>
      </c>
      <c r="F134" s="4" t="n">
        <v>0.248089894356237</v>
      </c>
      <c r="G134" s="4" t="n">
        <f aca="false">(F134-F$344)/F$345</f>
        <v>-0.320455326703536</v>
      </c>
      <c r="H134" s="4" t="n">
        <v>0.108276694673924</v>
      </c>
      <c r="I134" s="4" t="n">
        <f aca="false">(H134-H$344)/H$345</f>
        <v>-1.49517756267422</v>
      </c>
      <c r="J134" s="4" t="n">
        <v>0.125228937929645</v>
      </c>
      <c r="K134" s="4" t="n">
        <f aca="false">(J134-J$344)/J$345</f>
        <v>-0.979778849939728</v>
      </c>
      <c r="L134" s="4" t="n">
        <v>0.192533001907717</v>
      </c>
      <c r="M134" s="4" t="n">
        <f aca="false">(L134-L$344)/L$345</f>
        <v>-1.1551214286897</v>
      </c>
      <c r="N134" s="4" t="n">
        <v>0.119847945138563</v>
      </c>
      <c r="O134" s="4" t="n">
        <f aca="false">(N134-N$344)/N$345</f>
        <v>-1.48013921382866</v>
      </c>
    </row>
    <row r="135" customFormat="false" ht="14.25" hidden="false" customHeight="false" outlineLevel="0" collapsed="false">
      <c r="B135" s="4" t="n">
        <v>0.232845532556394</v>
      </c>
      <c r="C135" s="4" t="n">
        <f aca="false">(B135-B$344)/B$345</f>
        <v>0.0337532861020405</v>
      </c>
      <c r="D135" s="4" t="n">
        <v>0.23648611685523</v>
      </c>
      <c r="E135" s="4" t="n">
        <f aca="false">(D135-D$344)/D$345</f>
        <v>-0.798998672198797</v>
      </c>
      <c r="F135" s="4" t="n">
        <v>0.285292749122597</v>
      </c>
      <c r="G135" s="4" t="n">
        <f aca="false">(F135-F$344)/F$345</f>
        <v>0.0389096218722335</v>
      </c>
      <c r="H135" s="4" t="n">
        <v>0.127996832139923</v>
      </c>
      <c r="I135" s="4" t="n">
        <f aca="false">(H135-H$344)/H$345</f>
        <v>-1.21422241914658</v>
      </c>
      <c r="J135" s="4" t="n">
        <v>0.147349975492239</v>
      </c>
      <c r="K135" s="4" t="n">
        <f aca="false">(J135-J$344)/J$345</f>
        <v>-0.704611086794575</v>
      </c>
      <c r="L135" s="4" t="n">
        <v>0.22140470313638</v>
      </c>
      <c r="M135" s="4" t="n">
        <f aca="false">(L135-L$344)/L$345</f>
        <v>-0.776376998712047</v>
      </c>
      <c r="N135" s="4" t="n">
        <v>0.162144916738265</v>
      </c>
      <c r="O135" s="4" t="n">
        <f aca="false">(N135-N$344)/N$345</f>
        <v>-0.9585097066089</v>
      </c>
    </row>
    <row r="136" customFormat="false" ht="14.25" hidden="false" customHeight="false" outlineLevel="0" collapsed="false">
      <c r="B136" s="4" t="n">
        <v>0.270283955134523</v>
      </c>
      <c r="C136" s="4" t="n">
        <f aca="false">(B136-B$344)/B$345</f>
        <v>0.387145974532291</v>
      </c>
      <c r="D136" s="4" t="n">
        <v>0.310157248903081</v>
      </c>
      <c r="E136" s="4" t="n">
        <f aca="false">(D136-D$344)/D$345</f>
        <v>-0.230604286899689</v>
      </c>
      <c r="F136" s="4" t="n">
        <v>0.322495603888956</v>
      </c>
      <c r="G136" s="4" t="n">
        <f aca="false">(F136-F$344)/F$345</f>
        <v>0.398274570448004</v>
      </c>
      <c r="H136" s="4" t="n">
        <v>0.147716969605923</v>
      </c>
      <c r="I136" s="4" t="n">
        <f aca="false">(H136-H$344)/H$345</f>
        <v>-0.933267275618935</v>
      </c>
      <c r="J136" s="4" t="n">
        <v>0.169471013054834</v>
      </c>
      <c r="K136" s="4" t="n">
        <f aca="false">(J136-J$344)/J$345</f>
        <v>-0.429443323649421</v>
      </c>
      <c r="L136" s="4" t="n">
        <v>0.250276404365044</v>
      </c>
      <c r="M136" s="4" t="n">
        <f aca="false">(L136-L$344)/L$345</f>
        <v>-0.39763256873439</v>
      </c>
      <c r="N136" s="4" t="n">
        <v>0.204441888337966</v>
      </c>
      <c r="O136" s="4" t="n">
        <f aca="false">(N136-N$344)/N$345</f>
        <v>-0.436880199389145</v>
      </c>
    </row>
    <row r="137" customFormat="false" ht="14.25" hidden="false" customHeight="false" outlineLevel="0" collapsed="false">
      <c r="A137" s="0" t="s">
        <v>54</v>
      </c>
      <c r="B137" s="4" t="n">
        <v>0.316155316220569</v>
      </c>
      <c r="C137" s="4" t="n">
        <f aca="false">(B137-B$344)/B$345</f>
        <v>0.820139741358966</v>
      </c>
      <c r="D137" s="4" t="n">
        <v>0.168216977019926</v>
      </c>
      <c r="E137" s="4" t="n">
        <f aca="false">(D137-D$344)/D$345</f>
        <v>-1.3257151036279</v>
      </c>
      <c r="F137" s="4" t="n">
        <v>0.329727298329208</v>
      </c>
      <c r="G137" s="4" t="n">
        <f aca="false">(F137-F$344)/F$345</f>
        <v>0.468129895179341</v>
      </c>
      <c r="H137" s="4" t="n">
        <v>0.193916531967184</v>
      </c>
      <c r="I137" s="4" t="n">
        <f aca="false">(H137-H$344)/H$345</f>
        <v>-0.275056616768212</v>
      </c>
      <c r="J137" s="4" t="n">
        <v>0.130815439769035</v>
      </c>
      <c r="K137" s="4" t="n">
        <f aca="false">(J137-J$344)/J$345</f>
        <v>-0.910287298713812</v>
      </c>
      <c r="L137" s="4" t="n">
        <v>0.285258371268647</v>
      </c>
      <c r="M137" s="4" t="n">
        <f aca="false">(L137-L$344)/L$345</f>
        <v>0.0612674804684105</v>
      </c>
      <c r="N137" s="4" t="n">
        <v>0.141265229915947</v>
      </c>
      <c r="O137" s="4" t="n">
        <f aca="false">(N137-N$344)/N$345</f>
        <v>-1.2160094834512</v>
      </c>
    </row>
    <row r="138" customFormat="false" ht="14.25" hidden="false" customHeight="false" outlineLevel="0" collapsed="false">
      <c r="B138" s="4" t="n">
        <v>0.353641913249255</v>
      </c>
      <c r="C138" s="4" t="n">
        <f aca="false">(B138-B$344)/B$345</f>
        <v>1.17398716311994</v>
      </c>
      <c r="D138" s="4" t="n">
        <v>0.218828392548945</v>
      </c>
      <c r="E138" s="4" t="n">
        <f aca="false">(D138-D$344)/D$345</f>
        <v>-0.935233192747942</v>
      </c>
      <c r="F138" s="4" t="n">
        <v>0.353853686011833</v>
      </c>
      <c r="G138" s="4" t="n">
        <f aca="false">(F138-F$344)/F$345</f>
        <v>0.701181313500216</v>
      </c>
      <c r="H138" s="4" t="n">
        <v>0.210877229521291</v>
      </c>
      <c r="I138" s="4" t="n">
        <f aca="false">(H138-H$344)/H$345</f>
        <v>-0.0334155418082139</v>
      </c>
      <c r="J138" s="4" t="n">
        <v>0.141517208560946</v>
      </c>
      <c r="K138" s="4" t="n">
        <f aca="false">(J138-J$344)/J$345</f>
        <v>-0.777165975998551</v>
      </c>
      <c r="L138" s="4" t="n">
        <v>0.306130935020011</v>
      </c>
      <c r="M138" s="4" t="n">
        <f aca="false">(L138-L$344)/L$345</f>
        <v>0.335077714149216</v>
      </c>
      <c r="N138" s="4" t="n">
        <v>0.174250806537727</v>
      </c>
      <c r="O138" s="4" t="n">
        <f aca="false">(N138-N$344)/N$345</f>
        <v>-0.809213218190929</v>
      </c>
    </row>
    <row r="139" customFormat="false" ht="14.25" hidden="false" customHeight="false" outlineLevel="0" collapsed="false">
      <c r="B139" s="4" t="n">
        <v>0.396126723215098</v>
      </c>
      <c r="C139" s="4" t="n">
        <f aca="false">(B139-B$344)/B$345</f>
        <v>1.5750142411157</v>
      </c>
      <c r="D139" s="4" t="n">
        <v>0.273360804276198</v>
      </c>
      <c r="E139" s="4" t="n">
        <f aca="false">(D139-D$344)/D$345</f>
        <v>-0.514499646500039</v>
      </c>
      <c r="F139" s="4" t="n">
        <v>0.381196925385475</v>
      </c>
      <c r="G139" s="4" t="n">
        <f aca="false">(F139-F$344)/F$345</f>
        <v>0.965306254263875</v>
      </c>
      <c r="H139" s="4" t="n">
        <v>0.230099353415946</v>
      </c>
      <c r="I139" s="4" t="n">
        <f aca="false">(H139-H$344)/H$345</f>
        <v>0.24044434314645</v>
      </c>
      <c r="J139" s="4" t="n">
        <v>0.153645879858444</v>
      </c>
      <c r="K139" s="4" t="n">
        <f aca="false">(J139-J$344)/J$345</f>
        <v>-0.626295143587923</v>
      </c>
      <c r="L139" s="4" t="n">
        <v>0.329786507271557</v>
      </c>
      <c r="M139" s="4" t="n">
        <f aca="false">(L139-L$344)/L$345</f>
        <v>0.645395978987463</v>
      </c>
      <c r="N139" s="4" t="n">
        <v>0.21163446004241</v>
      </c>
      <c r="O139" s="4" t="n">
        <f aca="false">(N139-N$344)/N$345</f>
        <v>-0.348177450895954</v>
      </c>
    </row>
    <row r="140" customFormat="false" ht="14.25" hidden="false" customHeight="false" outlineLevel="0" collapsed="false">
      <c r="B140" s="4" t="n">
        <v>0.433613320243783</v>
      </c>
      <c r="C140" s="4" t="n">
        <f aca="false">(B140-B$344)/B$345</f>
        <v>1.92886166287667</v>
      </c>
      <c r="D140" s="4" t="n">
        <v>0.319448315777527</v>
      </c>
      <c r="E140" s="4" t="n">
        <f aca="false">(D140-D$344)/D$345</f>
        <v>-0.158920981674473</v>
      </c>
      <c r="F140" s="4" t="n">
        <v>0.4053233130681</v>
      </c>
      <c r="G140" s="4" t="n">
        <f aca="false">(F140-F$344)/F$345</f>
        <v>1.19835767258475</v>
      </c>
      <c r="H140" s="4" t="n">
        <v>0.247060050970053</v>
      </c>
      <c r="I140" s="4" t="n">
        <f aca="false">(H140-H$344)/H$345</f>
        <v>0.482085418106447</v>
      </c>
      <c r="J140" s="4" t="n">
        <v>0.164347648650355</v>
      </c>
      <c r="K140" s="4" t="n">
        <f aca="false">(J140-J$344)/J$345</f>
        <v>-0.493173820872662</v>
      </c>
      <c r="L140" s="4" t="n">
        <v>0.350659071022922</v>
      </c>
      <c r="M140" s="4" t="n">
        <f aca="false">(L140-L$344)/L$345</f>
        <v>0.919206212668269</v>
      </c>
      <c r="N140" s="4" t="n">
        <v>0.24462003666419</v>
      </c>
      <c r="O140" s="4" t="n">
        <f aca="false">(N140-N$344)/N$345</f>
        <v>0.058618814364317</v>
      </c>
    </row>
    <row r="141" customFormat="false" ht="14.25" hidden="false" customHeight="false" outlineLevel="0" collapsed="false">
      <c r="B141" s="4" t="n">
        <v>0.476098130209626</v>
      </c>
      <c r="C141" s="4" t="n">
        <f aca="false">(B141-B$344)/B$345</f>
        <v>2.32988874087244</v>
      </c>
      <c r="D141" s="4" t="n">
        <v>0.36979987077396</v>
      </c>
      <c r="E141" s="4" t="n">
        <f aca="false">(D141-D$344)/D$345</f>
        <v>0.229556029001328</v>
      </c>
      <c r="F141" s="4" t="n">
        <v>0.432666552441741</v>
      </c>
      <c r="G141" s="4" t="n">
        <f aca="false">(F141-F$344)/F$345</f>
        <v>1.46248261334841</v>
      </c>
      <c r="H141" s="4" t="n">
        <v>0.266282174864707</v>
      </c>
      <c r="I141" s="4" t="n">
        <f aca="false">(H141-H$344)/H$345</f>
        <v>0.75594530306111</v>
      </c>
      <c r="J141" s="4" t="n">
        <v>0.176476319947853</v>
      </c>
      <c r="K141" s="4" t="n">
        <f aca="false">(J141-J$344)/J$345</f>
        <v>-0.342302988462034</v>
      </c>
      <c r="L141" s="4" t="n">
        <v>0.374314643274468</v>
      </c>
      <c r="M141" s="4" t="n">
        <f aca="false">(L141-L$344)/L$345</f>
        <v>1.22952447750651</v>
      </c>
      <c r="N141" s="4" t="n">
        <v>0.282003690168873</v>
      </c>
      <c r="O141" s="4" t="n">
        <f aca="false">(N141-N$344)/N$345</f>
        <v>0.519654581659291</v>
      </c>
    </row>
    <row r="142" customFormat="false" ht="14.25" hidden="false" customHeight="false" outlineLevel="0" collapsed="false">
      <c r="B142" s="4" t="n">
        <v>0.513584727238311</v>
      </c>
      <c r="C142" s="4" t="n">
        <f aca="false">(B142-B$344)/B$345</f>
        <v>2.68373616263341</v>
      </c>
      <c r="D142" s="4" t="n">
        <v>0.412842708068548</v>
      </c>
      <c r="E142" s="4" t="n">
        <f aca="false">(D142-D$344)/D$345</f>
        <v>0.561644139574896</v>
      </c>
      <c r="F142" s="4" t="n">
        <v>0.456792940124366</v>
      </c>
      <c r="G142" s="4" t="n">
        <f aca="false">(F142-F$344)/F$345</f>
        <v>1.69553403166928</v>
      </c>
      <c r="H142" s="4" t="n">
        <v>0.283242872418814</v>
      </c>
      <c r="I142" s="4" t="n">
        <f aca="false">(H142-H$344)/H$345</f>
        <v>0.997586378021108</v>
      </c>
      <c r="J142" s="4" t="n">
        <v>0.187178088739763</v>
      </c>
      <c r="K142" s="4" t="n">
        <f aca="false">(J142-J$344)/J$345</f>
        <v>-0.209181665746774</v>
      </c>
      <c r="L142" s="4" t="n">
        <v>0.395187207025832</v>
      </c>
      <c r="M142" s="4" t="n">
        <f aca="false">(L142-L$344)/L$345</f>
        <v>1.50333471118732</v>
      </c>
      <c r="N142" s="4" t="n">
        <v>0.314989266790653</v>
      </c>
      <c r="O142" s="4" t="n">
        <f aca="false">(N142-N$344)/N$345</f>
        <v>0.926450846919563</v>
      </c>
    </row>
    <row r="143" customFormat="false" ht="14.25" hidden="false" customHeight="false" outlineLevel="0" collapsed="false">
      <c r="B143" s="4" t="n">
        <v>0.558568643672733</v>
      </c>
      <c r="C143" s="4" t="n">
        <f aca="false">(B143-B$344)/B$345</f>
        <v>3.10835306874657</v>
      </c>
      <c r="D143" s="4" t="n">
        <v>0.463063934285012</v>
      </c>
      <c r="E143" s="4" t="n">
        <f aca="false">(D143-D$344)/D$345</f>
        <v>0.949115625498765</v>
      </c>
      <c r="F143" s="4" t="n">
        <v>0.485744605343517</v>
      </c>
      <c r="G143" s="4" t="n">
        <f aca="false">(F143-F$344)/F$345</f>
        <v>1.97519573365433</v>
      </c>
      <c r="H143" s="4" t="n">
        <v>0.303595709483743</v>
      </c>
      <c r="I143" s="4" t="n">
        <f aca="false">(H143-H$344)/H$345</f>
        <v>1.28755566797311</v>
      </c>
      <c r="J143" s="4" t="n">
        <v>0.200020211290056</v>
      </c>
      <c r="K143" s="4" t="n">
        <f aca="false">(J143-J$344)/J$345</f>
        <v>-0.0494360784884607</v>
      </c>
      <c r="L143" s="4" t="n">
        <v>0.42023428352747</v>
      </c>
      <c r="M143" s="4" t="n">
        <f aca="false">(L143-L$344)/L$345</f>
        <v>1.83190699160429</v>
      </c>
      <c r="N143" s="4" t="n">
        <v>0.354571958736789</v>
      </c>
      <c r="O143" s="4" t="n">
        <f aca="false">(N143-N$344)/N$345</f>
        <v>1.41460636523189</v>
      </c>
    </row>
    <row r="144" customFormat="false" ht="14.25" hidden="false" customHeight="false" outlineLevel="0" collapsed="false">
      <c r="A144" s="0" t="s">
        <v>55</v>
      </c>
      <c r="B144" s="4" t="n">
        <v>0.273670506254726</v>
      </c>
      <c r="C144" s="4" t="n">
        <f aca="false">(B144-B$344)/B$345</f>
        <v>0.4191126633632</v>
      </c>
      <c r="D144" s="4" t="n">
        <v>0.107293305563622</v>
      </c>
      <c r="E144" s="4" t="n">
        <f aca="false">(D144-D$344)/D$345</f>
        <v>-1.79575909270463</v>
      </c>
      <c r="F144" s="4" t="n">
        <v>0.302384058955567</v>
      </c>
      <c r="G144" s="4" t="n">
        <f aca="false">(F144-F$344)/F$345</f>
        <v>0.204004954415683</v>
      </c>
      <c r="H144" s="4" t="n">
        <v>0.174694408072529</v>
      </c>
      <c r="I144" s="4" t="n">
        <f aca="false">(H144-H$344)/H$345</f>
        <v>-0.548916501722875</v>
      </c>
      <c r="J144" s="4" t="n">
        <v>0.118686768471537</v>
      </c>
      <c r="K144" s="4" t="n">
        <f aca="false">(J144-J$344)/J$345</f>
        <v>-1.06115813112444</v>
      </c>
      <c r="L144" s="4" t="n">
        <v>0.2616027990171</v>
      </c>
      <c r="M144" s="4" t="n">
        <f aca="false">(L144-L$344)/L$345</f>
        <v>-0.249050784369836</v>
      </c>
      <c r="N144" s="4" t="n">
        <v>0.103881576411263</v>
      </c>
      <c r="O144" s="4" t="n">
        <f aca="false">(N144-N$344)/N$345</f>
        <v>-1.67704525074618</v>
      </c>
    </row>
    <row r="145" customFormat="false" ht="14.25" hidden="false" customHeight="false" outlineLevel="0" collapsed="false">
      <c r="B145" s="4" t="n">
        <v>0.316155316220569</v>
      </c>
      <c r="C145" s="4" t="n">
        <f aca="false">(B145-B$344)/B$345</f>
        <v>0.820139741358966</v>
      </c>
      <c r="D145" s="4" t="n">
        <v>0.168216977019926</v>
      </c>
      <c r="E145" s="4" t="n">
        <f aca="false">(D145-D$344)/D$345</f>
        <v>-1.3257151036279</v>
      </c>
      <c r="F145" s="4" t="n">
        <v>0.329727298329208</v>
      </c>
      <c r="G145" s="4" t="n">
        <f aca="false">(F145-F$344)/F$345</f>
        <v>0.468129895179341</v>
      </c>
      <c r="H145" s="4" t="n">
        <v>0.193916531967184</v>
      </c>
      <c r="I145" s="4" t="n">
        <f aca="false">(H145-H$344)/H$345</f>
        <v>-0.275056616768212</v>
      </c>
      <c r="J145" s="4" t="n">
        <v>0.130815439769035</v>
      </c>
      <c r="K145" s="4" t="n">
        <f aca="false">(J145-J$344)/J$345</f>
        <v>-0.910287298713812</v>
      </c>
      <c r="L145" s="4" t="n">
        <v>0.285258371268647</v>
      </c>
      <c r="M145" s="4" t="n">
        <f aca="false">(L145-L$344)/L$345</f>
        <v>0.0612674804684105</v>
      </c>
      <c r="N145" s="4" t="n">
        <v>0.141265229915947</v>
      </c>
      <c r="O145" s="4" t="n">
        <f aca="false">(N145-N$344)/N$345</f>
        <v>-1.2160094834512</v>
      </c>
    </row>
    <row r="146" customFormat="false" ht="14.25" hidden="false" customHeight="false" outlineLevel="0" collapsed="false">
      <c r="B146" s="4" t="n">
        <v>0.356141019717833</v>
      </c>
      <c r="C146" s="4" t="n">
        <f aca="false">(B146-B$344)/B$345</f>
        <v>1.19757699123733</v>
      </c>
      <c r="D146" s="4" t="n">
        <v>0.222113314089261</v>
      </c>
      <c r="E146" s="4" t="n">
        <f aca="false">(D146-D$344)/D$345</f>
        <v>-0.909889059873061</v>
      </c>
      <c r="F146" s="4" t="n">
        <v>0.355462111857342</v>
      </c>
      <c r="G146" s="4" t="n">
        <f aca="false">(F146-F$344)/F$345</f>
        <v>0.716718074721608</v>
      </c>
      <c r="H146" s="4" t="n">
        <v>0.212007942691565</v>
      </c>
      <c r="I146" s="4" t="n">
        <f aca="false">(H146-H$344)/H$345</f>
        <v>-0.0173061368108815</v>
      </c>
      <c r="J146" s="4" t="n">
        <v>0.14223065981374</v>
      </c>
      <c r="K146" s="4" t="n">
        <f aca="false">(J146-J$344)/J$345</f>
        <v>-0.768291221150867</v>
      </c>
      <c r="L146" s="4" t="n">
        <v>0.307522439270102</v>
      </c>
      <c r="M146" s="4" t="n">
        <f aca="false">(L146-L$344)/L$345</f>
        <v>0.353331729727936</v>
      </c>
      <c r="N146" s="4" t="n">
        <v>0.176449844979179</v>
      </c>
      <c r="O146" s="4" t="n">
        <f aca="false">(N146-N$344)/N$345</f>
        <v>-0.782093467173577</v>
      </c>
    </row>
    <row r="147" customFormat="false" ht="14.25" hidden="false" customHeight="false" outlineLevel="0" collapsed="false">
      <c r="B147" s="4" t="n">
        <v>0.392378063512229</v>
      </c>
      <c r="C147" s="4" t="n">
        <f aca="false">(B147-B$344)/B$345</f>
        <v>1.53962949893961</v>
      </c>
      <c r="D147" s="4" t="n">
        <v>0.268654303123098</v>
      </c>
      <c r="E147" s="4" t="n">
        <f aca="false">(D147-D$344)/D$345</f>
        <v>-0.55081168291735</v>
      </c>
      <c r="F147" s="4" t="n">
        <v>0.378784286617212</v>
      </c>
      <c r="G147" s="4" t="n">
        <f aca="false">(F147-F$344)/F$345</f>
        <v>0.942001112431788</v>
      </c>
      <c r="H147" s="4" t="n">
        <v>0.228403283660535</v>
      </c>
      <c r="I147" s="4" t="n">
        <f aca="false">(H147-H$344)/H$345</f>
        <v>0.21628023565045</v>
      </c>
      <c r="J147" s="4" t="n">
        <v>0.152575702979253</v>
      </c>
      <c r="K147" s="4" t="n">
        <f aca="false">(J147-J$344)/J$345</f>
        <v>-0.639607275859448</v>
      </c>
      <c r="L147" s="4" t="n">
        <v>0.327699250896421</v>
      </c>
      <c r="M147" s="4" t="n">
        <f aca="false">(L147-L$344)/L$345</f>
        <v>0.618014955619383</v>
      </c>
      <c r="N147" s="4" t="n">
        <v>0.208335902380232</v>
      </c>
      <c r="O147" s="4" t="n">
        <f aca="false">(N147-N$344)/N$345</f>
        <v>-0.388857077421982</v>
      </c>
    </row>
    <row r="148" customFormat="false" ht="14.25" hidden="false" customHeight="false" outlineLevel="0" collapsed="false">
      <c r="B148" s="4" t="n">
        <v>0.433613320243783</v>
      </c>
      <c r="C148" s="4" t="n">
        <f aca="false">(B148-B$344)/B$345</f>
        <v>1.92886166287667</v>
      </c>
      <c r="D148" s="4" t="n">
        <v>0.319448315777527</v>
      </c>
      <c r="E148" s="4" t="n">
        <f aca="false">(D148-D$344)/D$345</f>
        <v>-0.158920981674473</v>
      </c>
      <c r="F148" s="4" t="n">
        <v>0.4053233130681</v>
      </c>
      <c r="G148" s="4" t="n">
        <f aca="false">(F148-F$344)/F$345</f>
        <v>1.19835767258475</v>
      </c>
      <c r="H148" s="4" t="n">
        <v>0.247060050970053</v>
      </c>
      <c r="I148" s="4" t="n">
        <f aca="false">(H148-H$344)/H$345</f>
        <v>0.482085418106447</v>
      </c>
      <c r="J148" s="4" t="n">
        <v>0.164347648650355</v>
      </c>
      <c r="K148" s="4" t="n">
        <f aca="false">(J148-J$344)/J$345</f>
        <v>-0.493173820872662</v>
      </c>
      <c r="L148" s="4" t="n">
        <v>0.350659071022922</v>
      </c>
      <c r="M148" s="4" t="n">
        <f aca="false">(L148-L$344)/L$345</f>
        <v>0.919206212668269</v>
      </c>
      <c r="N148" s="4" t="n">
        <v>0.24462003666419</v>
      </c>
      <c r="O148" s="4" t="n">
        <f aca="false">(N148-N$344)/N$345</f>
        <v>0.058618814364317</v>
      </c>
    </row>
    <row r="149" customFormat="false" ht="14.25" hidden="false" customHeight="false" outlineLevel="0" collapsed="false">
      <c r="B149" s="4" t="n">
        <v>0.474848576975336</v>
      </c>
      <c r="C149" s="4" t="n">
        <f aca="false">(B149-B$344)/B$345</f>
        <v>2.31809382681374</v>
      </c>
      <c r="D149" s="4" t="n">
        <v>0.368344121670415</v>
      </c>
      <c r="E149" s="4" t="n">
        <f aca="false">(D149-D$344)/D$345</f>
        <v>0.21832449781865</v>
      </c>
      <c r="F149" s="4" t="n">
        <v>0.431862339518987</v>
      </c>
      <c r="G149" s="4" t="n">
        <f aca="false">(F149-F$344)/F$345</f>
        <v>1.45471423273771</v>
      </c>
      <c r="H149" s="4" t="n">
        <v>0.26571681827957</v>
      </c>
      <c r="I149" s="4" t="n">
        <f aca="false">(H149-H$344)/H$345</f>
        <v>0.747890600562444</v>
      </c>
      <c r="J149" s="4" t="n">
        <v>0.176119594321456</v>
      </c>
      <c r="K149" s="4" t="n">
        <f aca="false">(J149-J$344)/J$345</f>
        <v>-0.346740365885876</v>
      </c>
      <c r="L149" s="4" t="n">
        <v>0.373618891149422</v>
      </c>
      <c r="M149" s="4" t="n">
        <f aca="false">(L149-L$344)/L$345</f>
        <v>1.22039746971716</v>
      </c>
      <c r="N149" s="4" t="n">
        <v>0.280904170948148</v>
      </c>
      <c r="O149" s="4" t="n">
        <f aca="false">(N149-N$344)/N$345</f>
        <v>0.506094706150617</v>
      </c>
    </row>
    <row r="150" customFormat="false" ht="14.25" hidden="false" customHeight="false" outlineLevel="0" collapsed="false">
      <c r="B150" s="4" t="n">
        <v>0.509836067535443</v>
      </c>
      <c r="C150" s="4" t="n">
        <f aca="false">(B150-B$344)/B$345</f>
        <v>2.64835142045731</v>
      </c>
      <c r="D150" s="4" t="n">
        <v>0.408590545889956</v>
      </c>
      <c r="E150" s="4" t="n">
        <f aca="false">(D150-D$344)/D$345</f>
        <v>0.52883746156535</v>
      </c>
      <c r="F150" s="4" t="n">
        <v>0.454380301356104</v>
      </c>
      <c r="G150" s="4" t="n">
        <f aca="false">(F150-F$344)/F$345</f>
        <v>1.6722288898372</v>
      </c>
      <c r="H150" s="4" t="n">
        <v>0.281546802663404</v>
      </c>
      <c r="I150" s="4" t="n">
        <f aca="false">(H150-H$344)/H$345</f>
        <v>0.973422270525109</v>
      </c>
      <c r="J150" s="4" t="n">
        <v>0.186107911860572</v>
      </c>
      <c r="K150" s="4" t="n">
        <f aca="false">(J150-J$344)/J$345</f>
        <v>-0.222493798018299</v>
      </c>
      <c r="L150" s="4" t="n">
        <v>0.393099950650696</v>
      </c>
      <c r="M150" s="4" t="n">
        <f aca="false">(L150-L$344)/L$345</f>
        <v>1.47595368781924</v>
      </c>
      <c r="N150" s="4" t="n">
        <v>0.311690709128475</v>
      </c>
      <c r="O150" s="4" t="n">
        <f aca="false">(N150-N$344)/N$345</f>
        <v>0.885771220393537</v>
      </c>
    </row>
    <row r="151" customFormat="false" ht="14.25" hidden="false" customHeight="false" outlineLevel="0" collapsed="false">
      <c r="B151" s="4" t="n">
        <v>0.543574004861259</v>
      </c>
      <c r="C151" s="4" t="n">
        <f aca="false">(B151-B$344)/B$345</f>
        <v>2.96681410004218</v>
      </c>
      <c r="D151" s="4" t="n">
        <v>0.44648106773557</v>
      </c>
      <c r="E151" s="4" t="n">
        <f aca="false">(D151-D$344)/D$345</f>
        <v>0.821173947709083</v>
      </c>
      <c r="F151" s="4" t="n">
        <v>0.476094050270467</v>
      </c>
      <c r="G151" s="4" t="n">
        <f aca="false">(F151-F$344)/F$345</f>
        <v>1.88197516632598</v>
      </c>
      <c r="H151" s="4" t="n">
        <v>0.2968114304621</v>
      </c>
      <c r="I151" s="4" t="n">
        <f aca="false">(H151-H$344)/H$345</f>
        <v>1.19089923798911</v>
      </c>
      <c r="J151" s="4" t="n">
        <v>0.195739503773292</v>
      </c>
      <c r="K151" s="4" t="n">
        <f aca="false">(J151-J$344)/J$345</f>
        <v>-0.102684607574565</v>
      </c>
      <c r="L151" s="4" t="n">
        <v>0.411885258026924</v>
      </c>
      <c r="M151" s="4" t="n">
        <f aca="false">(L151-L$344)/L$345</f>
        <v>1.72238289813197</v>
      </c>
      <c r="N151" s="4" t="n">
        <v>0.341377728088077</v>
      </c>
      <c r="O151" s="4" t="n">
        <f aca="false">(N151-N$344)/N$345</f>
        <v>1.25188785912778</v>
      </c>
    </row>
    <row r="152" customFormat="false" ht="14.25" hidden="false" customHeight="false" outlineLevel="0" collapsed="false">
      <c r="A152" s="0" t="s">
        <v>56</v>
      </c>
      <c r="B152" s="4" t="n">
        <v>0.179507792016101</v>
      </c>
      <c r="C152" s="4" t="n">
        <f aca="false">(B152-B$344)/B$345</f>
        <v>-0.469717913438855</v>
      </c>
      <c r="D152" s="4" t="n">
        <v>0.223283061558081</v>
      </c>
      <c r="E152" s="4" t="n">
        <f aca="false">(D152-D$344)/D$345</f>
        <v>-0.900864115162513</v>
      </c>
      <c r="F152" s="4" t="n">
        <v>0.232800843747187</v>
      </c>
      <c r="G152" s="4" t="n">
        <f aca="false">(F152-F$344)/F$345</f>
        <v>-0.468141543807008</v>
      </c>
      <c r="H152" s="4" t="n">
        <v>0.190091027038988</v>
      </c>
      <c r="I152" s="4" t="n">
        <f aca="false">(H152-H$344)/H$345</f>
        <v>-0.329559040395836</v>
      </c>
      <c r="J152" s="4" t="n">
        <v>0.10063566624985</v>
      </c>
      <c r="K152" s="4" t="n">
        <f aca="false">(J152-J$344)/J$345</f>
        <v>-1.28569920007707</v>
      </c>
      <c r="L152" s="4" t="n">
        <v>0.246314641969321</v>
      </c>
      <c r="M152" s="4" t="n">
        <f aca="false">(L152-L$344)/L$345</f>
        <v>-0.449603716135476</v>
      </c>
      <c r="N152" s="4" t="n">
        <v>0.184061241315843</v>
      </c>
      <c r="O152" s="4" t="n">
        <f aca="false">(N152-N$344)/N$345</f>
        <v>-0.688225543060158</v>
      </c>
    </row>
    <row r="153" customFormat="false" ht="14.25" hidden="false" customHeight="false" outlineLevel="0" collapsed="false">
      <c r="B153" s="4" t="n">
        <v>0.214642099104723</v>
      </c>
      <c r="C153" s="4" t="n">
        <f aca="false">(B153-B$344)/B$345</f>
        <v>-0.138074473807518</v>
      </c>
      <c r="D153" s="4" t="n">
        <v>0.27896342585346</v>
      </c>
      <c r="E153" s="4" t="n">
        <f aca="false">(D153-D$344)/D$345</f>
        <v>-0.471273778253535</v>
      </c>
      <c r="F153" s="4" t="n">
        <v>0.272055810186073</v>
      </c>
      <c r="G153" s="4" t="n">
        <f aca="false">(F153-F$344)/F$345</f>
        <v>-0.0889540033817576</v>
      </c>
      <c r="H153" s="4" t="n">
        <v>0.231004304064776</v>
      </c>
      <c r="I153" s="4" t="n">
        <f aca="false">(H153-H$344)/H$345</f>
        <v>0.253337282653892</v>
      </c>
      <c r="J153" s="4" t="n">
        <v>0.119505028175292</v>
      </c>
      <c r="K153" s="4" t="n">
        <f aca="false">(J153-J$344)/J$345</f>
        <v>-1.05097964416527</v>
      </c>
      <c r="L153" s="4" t="n">
        <v>0.287848310182362</v>
      </c>
      <c r="M153" s="4" t="n">
        <f aca="false">(L153-L$344)/L$345</f>
        <v>0.0952427883237848</v>
      </c>
      <c r="N153" s="4" t="n">
        <v>0.229013924413105</v>
      </c>
      <c r="O153" s="4" t="n">
        <f aca="false">(N153-N$344)/N$345</f>
        <v>-0.133844341631638</v>
      </c>
    </row>
    <row r="154" customFormat="false" ht="14.25" hidden="false" customHeight="false" outlineLevel="0" collapsed="false">
      <c r="B154" s="4" t="n">
        <v>0.248649102222587</v>
      </c>
      <c r="C154" s="4" t="n">
        <f aca="false">(B154-B$344)/B$345</f>
        <v>0.182927999846342</v>
      </c>
      <c r="D154" s="4" t="n">
        <v>0.330852212431759</v>
      </c>
      <c r="E154" s="4" t="n">
        <f aca="false">(D154-D$344)/D$345</f>
        <v>-0.0709365751828391</v>
      </c>
      <c r="F154" s="4" t="n">
        <v>0.310051258985208</v>
      </c>
      <c r="G154" s="4" t="n">
        <f aca="false">(F154-F$344)/F$345</f>
        <v>0.278067091896158</v>
      </c>
      <c r="H154" s="4" t="n">
        <v>0.270604855624495</v>
      </c>
      <c r="I154" s="4" t="n">
        <f aca="false">(H154-H$344)/H$345</f>
        <v>0.817531049883841</v>
      </c>
      <c r="J154" s="4" t="n">
        <v>0.137768956028261</v>
      </c>
      <c r="K154" s="4" t="n">
        <f aca="false">(J154-J$344)/J$345</f>
        <v>-0.823791196999313</v>
      </c>
      <c r="L154" s="4" t="n">
        <v>0.328049347329745</v>
      </c>
      <c r="M154" s="4" t="n">
        <f aca="false">(L154-L$344)/L$345</f>
        <v>0.622607586757613</v>
      </c>
      <c r="N154" s="4" t="n">
        <v>0.272524275432379</v>
      </c>
      <c r="O154" s="4" t="n">
        <f aca="false">(N154-N$344)/N$345</f>
        <v>0.402749227665485</v>
      </c>
    </row>
    <row r="155" customFormat="false" ht="14.25" hidden="false" customHeight="false" outlineLevel="0" collapsed="false">
      <c r="B155" s="4" t="n">
        <v>0.282468221345324</v>
      </c>
      <c r="C155" s="4" t="n">
        <f aca="false">(B155-B$344)/B$345</f>
        <v>0.502156979170624</v>
      </c>
      <c r="D155" s="4" t="n">
        <v>0.381145181459871</v>
      </c>
      <c r="E155" s="4" t="n">
        <f aca="false">(D155-D$344)/D$345</f>
        <v>0.317088427569024</v>
      </c>
      <c r="F155" s="4" t="n">
        <v>0.347836788177718</v>
      </c>
      <c r="G155" s="4" t="n">
        <f aca="false">(F155-F$344)/F$345</f>
        <v>0.643060446316184</v>
      </c>
      <c r="H155" s="4" t="n">
        <v>0.309986619606537</v>
      </c>
      <c r="I155" s="4" t="n">
        <f aca="false">(H155-H$344)/H$345</f>
        <v>1.37860772447716</v>
      </c>
      <c r="J155" s="4" t="n">
        <v>0.155931978202483</v>
      </c>
      <c r="K155" s="4" t="n">
        <f aca="false">(J155-J$344)/J$345</f>
        <v>-0.597857934624325</v>
      </c>
      <c r="L155" s="4" t="n">
        <v>0.368028279299517</v>
      </c>
      <c r="M155" s="4" t="n">
        <f aca="false">(L155-L$344)/L$345</f>
        <v>1.14705876752054</v>
      </c>
      <c r="N155" s="4" t="n">
        <v>0.31579423777199</v>
      </c>
      <c r="O155" s="4" t="n">
        <f aca="false">(N155-N$344)/N$345</f>
        <v>0.936378191607376</v>
      </c>
    </row>
    <row r="156" customFormat="false" ht="14.25" hidden="false" customHeight="false" outlineLevel="0" collapsed="false">
      <c r="B156" s="4" t="n">
        <v>0.315911572477809</v>
      </c>
      <c r="C156" s="4" t="n">
        <f aca="false">(B156-B$344)/B$345</f>
        <v>0.817838969835747</v>
      </c>
      <c r="D156" s="4" t="n">
        <v>0.429972609538005</v>
      </c>
      <c r="E156" s="4" t="n">
        <f aca="false">(D156-D$344)/D$345</f>
        <v>0.693806352171851</v>
      </c>
      <c r="F156" s="4" t="n">
        <v>0.385202478156978</v>
      </c>
      <c r="G156" s="4" t="n">
        <f aca="false">(F156-F$344)/F$345</f>
        <v>1.00399831902043</v>
      </c>
      <c r="H156" s="4" t="n">
        <v>0.348930808433223</v>
      </c>
      <c r="I156" s="4" t="n">
        <f aca="false">(H156-H$344)/H$345</f>
        <v>1.93345021379722</v>
      </c>
      <c r="J156" s="4" t="n">
        <v>0.173893189019215</v>
      </c>
      <c r="K156" s="4" t="n">
        <f aca="false">(J156-J$344)/J$345</f>
        <v>-0.374435041831281</v>
      </c>
      <c r="L156" s="4" t="n">
        <v>0.40756300091407</v>
      </c>
      <c r="M156" s="4" t="n">
        <f aca="false">(L156-L$344)/L$345</f>
        <v>1.66568271294165</v>
      </c>
      <c r="N156" s="4" t="n">
        <v>0.358583422752271</v>
      </c>
      <c r="O156" s="4" t="n">
        <f aca="false">(N156-N$344)/N$345</f>
        <v>1.4640779448388</v>
      </c>
    </row>
    <row r="157" customFormat="false" ht="14.25" hidden="false" customHeight="false" outlineLevel="0" collapsed="false">
      <c r="B157" s="4" t="n">
        <v>0.350294343585926</v>
      </c>
      <c r="C157" s="4" t="n">
        <f aca="false">(B157-B$344)/B$345</f>
        <v>1.14238843214877</v>
      </c>
      <c r="D157" s="4" t="n">
        <v>0.479483587882708</v>
      </c>
      <c r="E157" s="4" t="n">
        <f aca="false">(D157-D$344)/D$345</f>
        <v>1.07579806750909</v>
      </c>
      <c r="F157" s="4" t="n">
        <v>0.423617766169364</v>
      </c>
      <c r="G157" s="4" t="n">
        <f aca="false">(F157-F$344)/F$345</f>
        <v>1.37507489601413</v>
      </c>
      <c r="H157" s="4" t="n">
        <v>0.388968935148298</v>
      </c>
      <c r="I157" s="4" t="n">
        <f aca="false">(H157-H$344)/H$345</f>
        <v>2.50387816630043</v>
      </c>
      <c r="J157" s="4" t="n">
        <v>0.192358928229675</v>
      </c>
      <c r="K157" s="4" t="n">
        <f aca="false">(J157-J$344)/J$345</f>
        <v>-0.144736225083378</v>
      </c>
      <c r="L157" s="4" t="n">
        <v>0.448208248416672</v>
      </c>
      <c r="M157" s="4" t="n">
        <f aca="false">(L157-L$344)/L$345</f>
        <v>2.19887474671729</v>
      </c>
      <c r="N157" s="4" t="n">
        <v>0.402574551130875</v>
      </c>
      <c r="O157" s="4" t="n">
        <f aca="false">(N157-N$344)/N$345</f>
        <v>2.00660072484639</v>
      </c>
    </row>
    <row r="158" customFormat="false" ht="14.25" hidden="false" customHeight="false" outlineLevel="0" collapsed="false">
      <c r="A158" s="0" t="s">
        <v>57</v>
      </c>
      <c r="B158" s="4" t="n">
        <v>0.146815976864122</v>
      </c>
      <c r="C158" s="4" t="n">
        <f aca="false">(B158-B$344)/B$345</f>
        <v>-0.778305926785661</v>
      </c>
      <c r="D158" s="4" t="n">
        <v>0.168486612864749</v>
      </c>
      <c r="E158" s="4" t="n">
        <f aca="false">(D158-D$344)/D$345</f>
        <v>-1.32363478402356</v>
      </c>
      <c r="F158" s="4" t="n">
        <v>0.196274832194428</v>
      </c>
      <c r="G158" s="4" t="n">
        <f aca="false">(F158-F$344)/F$345</f>
        <v>-0.820968453079701</v>
      </c>
      <c r="H158" s="4" t="n">
        <v>0.152021988523015</v>
      </c>
      <c r="I158" s="4" t="n">
        <f aca="false">(H158-H$344)/H$345</f>
        <v>-0.87193315916938</v>
      </c>
      <c r="J158" s="4" t="n">
        <v>0.083078078148101</v>
      </c>
      <c r="K158" s="4" t="n">
        <f aca="false">(J158-J$344)/J$345</f>
        <v>-1.50410135370622</v>
      </c>
      <c r="L158" s="4" t="n">
        <v>0.207668341065207</v>
      </c>
      <c r="M158" s="4" t="n">
        <f aca="false">(L158-L$344)/L$345</f>
        <v>-0.95657319087297</v>
      </c>
      <c r="N158" s="4" t="n">
        <v>0.142233611054219</v>
      </c>
      <c r="O158" s="4" t="n">
        <f aca="false">(N158-N$344)/N$345</f>
        <v>-1.20406687487065</v>
      </c>
    </row>
    <row r="159" customFormat="false" ht="14.25" hidden="false" customHeight="false" outlineLevel="0" collapsed="false">
      <c r="B159" s="4" t="n">
        <v>0.18007144400148</v>
      </c>
      <c r="C159" s="4" t="n">
        <f aca="false">(B159-B$344)/B$345</f>
        <v>-0.464397430450117</v>
      </c>
      <c r="D159" s="4" t="n">
        <v>0.224198399918558</v>
      </c>
      <c r="E159" s="4" t="n">
        <f aca="false">(D159-D$344)/D$345</f>
        <v>-0.893802011319638</v>
      </c>
      <c r="F159" s="4" t="n">
        <v>0.233430602567063</v>
      </c>
      <c r="G159" s="4" t="n">
        <f aca="false">(F159-F$344)/F$345</f>
        <v>-0.462058321233341</v>
      </c>
      <c r="H159" s="4" t="n">
        <v>0.190747389772022</v>
      </c>
      <c r="I159" s="4" t="n">
        <f aca="false">(H159-H$344)/H$345</f>
        <v>-0.320207762485948</v>
      </c>
      <c r="J159" s="4" t="n">
        <v>0.100938383286087</v>
      </c>
      <c r="K159" s="4" t="n">
        <f aca="false">(J159-J$344)/J$345</f>
        <v>-1.28193364570415</v>
      </c>
      <c r="L159" s="4" t="n">
        <v>0.24698095750215</v>
      </c>
      <c r="M159" s="4" t="n">
        <f aca="false">(L159-L$344)/L$345</f>
        <v>-0.44086286312276</v>
      </c>
      <c r="N159" s="4" t="n">
        <v>0.184782407354836</v>
      </c>
      <c r="O159" s="4" t="n">
        <f aca="false">(N159-N$344)/N$345</f>
        <v>-0.679331726994459</v>
      </c>
    </row>
    <row r="160" customFormat="false" ht="14.25" hidden="false" customHeight="false" outlineLevel="0" collapsed="false">
      <c r="B160" s="4" t="n">
        <v>0.214078447119344</v>
      </c>
      <c r="C160" s="4" t="n">
        <f aca="false">(B160-B$344)/B$345</f>
        <v>-0.143394956796257</v>
      </c>
      <c r="D160" s="4" t="n">
        <v>0.278089138934757</v>
      </c>
      <c r="E160" s="4" t="n">
        <f aca="false">(D160-D$344)/D$345</f>
        <v>-0.478019158186186</v>
      </c>
      <c r="F160" s="4" t="n">
        <v>0.271426051366198</v>
      </c>
      <c r="G160" s="4" t="n">
        <f aca="false">(F160-F$344)/F$345</f>
        <v>-0.0950372259554251</v>
      </c>
      <c r="H160" s="4" t="n">
        <v>0.230347941331742</v>
      </c>
      <c r="I160" s="4" t="n">
        <f aca="false">(H160-H$344)/H$345</f>
        <v>0.243986004744001</v>
      </c>
      <c r="J160" s="4" t="n">
        <v>0.119202311139055</v>
      </c>
      <c r="K160" s="4" t="n">
        <f aca="false">(J160-J$344)/J$345</f>
        <v>-1.05474519853819</v>
      </c>
      <c r="L160" s="4" t="n">
        <v>0.287181994649533</v>
      </c>
      <c r="M160" s="4" t="n">
        <f aca="false">(L160-L$344)/L$345</f>
        <v>0.0865019353110689</v>
      </c>
      <c r="N160" s="4" t="n">
        <v>0.228292758374111</v>
      </c>
      <c r="O160" s="4" t="n">
        <f aca="false">(N160-N$344)/N$345</f>
        <v>-0.142738157697336</v>
      </c>
    </row>
    <row r="161" customFormat="false" ht="14.25" hidden="false" customHeight="false" outlineLevel="0" collapsed="false">
      <c r="B161" s="4" t="n">
        <v>0.247709682246955</v>
      </c>
      <c r="C161" s="4" t="n">
        <f aca="false">(B161-B$344)/B$345</f>
        <v>0.174060528198446</v>
      </c>
      <c r="D161" s="4" t="n">
        <v>0.32943877791525</v>
      </c>
      <c r="E161" s="4" t="n">
        <f aca="false">(D161-D$344)/D$345</f>
        <v>-0.0818416369192365</v>
      </c>
      <c r="F161" s="4" t="n">
        <v>0.309001660952083</v>
      </c>
      <c r="G161" s="4" t="n">
        <f aca="false">(F161-F$344)/F$345</f>
        <v>0.267928387606713</v>
      </c>
      <c r="H161" s="4" t="n">
        <v>0.269510917736105</v>
      </c>
      <c r="I161" s="4" t="n">
        <f aca="false">(H161-H$344)/H$345</f>
        <v>0.801945586700693</v>
      </c>
      <c r="J161" s="4" t="n">
        <v>0.137264427634532</v>
      </c>
      <c r="K161" s="4" t="n">
        <f aca="false">(J161-J$344)/J$345</f>
        <v>-0.830067120954174</v>
      </c>
      <c r="L161" s="4" t="n">
        <v>0.326938821441695</v>
      </c>
      <c r="M161" s="4" t="n">
        <f aca="false">(L161-L$344)/L$345</f>
        <v>0.608039498403088</v>
      </c>
      <c r="N161" s="4" t="n">
        <v>0.271322332034057</v>
      </c>
      <c r="O161" s="4" t="n">
        <f aca="false">(N161-N$344)/N$345</f>
        <v>0.387926200889322</v>
      </c>
    </row>
    <row r="162" customFormat="false" ht="14.25" hidden="false" customHeight="false" outlineLevel="0" collapsed="false">
      <c r="B162" s="4" t="n">
        <v>0.282656105340451</v>
      </c>
      <c r="C162" s="4" t="n">
        <f aca="false">(B162-B$344)/B$345</f>
        <v>0.503930473500203</v>
      </c>
      <c r="D162" s="4" t="n">
        <v>0.381421736447616</v>
      </c>
      <c r="E162" s="4" t="n">
        <f aca="false">(D162-D$344)/D$345</f>
        <v>0.319222130389808</v>
      </c>
      <c r="F162" s="4" t="n">
        <v>0.348046707784343</v>
      </c>
      <c r="G162" s="4" t="n">
        <f aca="false">(F162-F$344)/F$345</f>
        <v>0.645088187174074</v>
      </c>
      <c r="H162" s="4" t="n">
        <v>0.310205407184215</v>
      </c>
      <c r="I162" s="4" t="n">
        <f aca="false">(H162-H$344)/H$345</f>
        <v>1.38172481711379</v>
      </c>
      <c r="J162" s="4" t="n">
        <v>0.156032883881229</v>
      </c>
      <c r="K162" s="4" t="n">
        <f aca="false">(J162-J$344)/J$345</f>
        <v>-0.596602749833353</v>
      </c>
      <c r="L162" s="4" t="n">
        <v>0.368250384477127</v>
      </c>
      <c r="M162" s="4" t="n">
        <f aca="false">(L162-L$344)/L$345</f>
        <v>1.14997238519144</v>
      </c>
      <c r="N162" s="4" t="n">
        <v>0.316034626451654</v>
      </c>
      <c r="O162" s="4" t="n">
        <f aca="false">(N162-N$344)/N$345</f>
        <v>0.939342796962607</v>
      </c>
    </row>
    <row r="163" customFormat="false" ht="14.25" hidden="false" customHeight="false" outlineLevel="0" collapsed="false">
      <c r="B163" s="4" t="n">
        <v>0.315911572477809</v>
      </c>
      <c r="C163" s="4" t="n">
        <f aca="false">(B163-B$344)/B$345</f>
        <v>0.817838969835747</v>
      </c>
      <c r="D163" s="4" t="n">
        <v>0.429972609538005</v>
      </c>
      <c r="E163" s="4" t="n">
        <f aca="false">(D163-D$344)/D$345</f>
        <v>0.693806352171851</v>
      </c>
      <c r="F163" s="4" t="n">
        <v>0.385202478156978</v>
      </c>
      <c r="G163" s="4" t="n">
        <f aca="false">(F163-F$344)/F$345</f>
        <v>1.00399831902043</v>
      </c>
      <c r="H163" s="4" t="n">
        <v>0.348930808433223</v>
      </c>
      <c r="I163" s="4" t="n">
        <f aca="false">(H163-H$344)/H$345</f>
        <v>1.93345021379722</v>
      </c>
      <c r="J163" s="4" t="n">
        <v>0.173893189019215</v>
      </c>
      <c r="K163" s="4" t="n">
        <f aca="false">(J163-J$344)/J$345</f>
        <v>-0.374435041831281</v>
      </c>
      <c r="L163" s="4" t="n">
        <v>0.40756300091407</v>
      </c>
      <c r="M163" s="4" t="n">
        <f aca="false">(L163-L$344)/L$345</f>
        <v>1.66568271294165</v>
      </c>
      <c r="N163" s="4" t="n">
        <v>0.358583422752271</v>
      </c>
      <c r="O163" s="4" t="n">
        <f aca="false">(N163-N$344)/N$345</f>
        <v>1.4640779448388</v>
      </c>
    </row>
    <row r="164" customFormat="false" ht="14.25" hidden="false" customHeight="false" outlineLevel="0" collapsed="false">
      <c r="B164" s="4" t="n">
        <v>0.332069596058673</v>
      </c>
      <c r="C164" s="4" t="n">
        <f aca="false">(B164-B$344)/B$345</f>
        <v>0.970359482179569</v>
      </c>
      <c r="D164" s="4" t="n">
        <v>0.453315001429338</v>
      </c>
      <c r="E164" s="4" t="n">
        <f aca="false">(D164-D$344)/D$345</f>
        <v>0.873899749974767</v>
      </c>
      <c r="F164" s="4" t="n">
        <v>0.403255564326733</v>
      </c>
      <c r="G164" s="4" t="n">
        <f aca="false">(F164-F$344)/F$345</f>
        <v>1.17838403279889</v>
      </c>
      <c r="H164" s="4" t="n">
        <v>0.367746540113531</v>
      </c>
      <c r="I164" s="4" t="n">
        <f aca="false">(H164-H$344)/H$345</f>
        <v>2.20152018054736</v>
      </c>
      <c r="J164" s="4" t="n">
        <v>0.182571077391343</v>
      </c>
      <c r="K164" s="4" t="n">
        <f aca="false">(J164-J$344)/J$345</f>
        <v>-0.266489149807677</v>
      </c>
      <c r="L164" s="4" t="n">
        <v>0.426664046188517</v>
      </c>
      <c r="M164" s="4" t="n">
        <f aca="false">(L164-L$344)/L$345</f>
        <v>1.91625383263949</v>
      </c>
      <c r="N164" s="4" t="n">
        <v>0.379256849203418</v>
      </c>
      <c r="O164" s="4" t="n">
        <f aca="false">(N164-N$344)/N$345</f>
        <v>1.71903400538881</v>
      </c>
    </row>
    <row r="165" customFormat="false" ht="14.25" hidden="false" customHeight="false" outlineLevel="0" collapsed="false">
      <c r="A165" s="0" t="s">
        <v>58</v>
      </c>
      <c r="B165" s="4" t="n">
        <v>0.290898047673172</v>
      </c>
      <c r="C165" s="4" t="n">
        <f aca="false">(B165-B$344)/B$345</f>
        <v>0.581728680750237</v>
      </c>
      <c r="D165" s="4" t="n">
        <v>0.257738623012095</v>
      </c>
      <c r="E165" s="4" t="n">
        <f aca="false">(D165-D$344)/D$345</f>
        <v>-0.635029355625099</v>
      </c>
      <c r="F165" s="4" t="n">
        <v>0.338901721868718</v>
      </c>
      <c r="G165" s="4" t="n">
        <f aca="false">(F165-F$344)/F$345</f>
        <v>0.556751219112516</v>
      </c>
      <c r="H165" s="4" t="n">
        <v>0.221182829537609</v>
      </c>
      <c r="I165" s="4" t="n">
        <f aca="false">(H165-H$344)/H$345</f>
        <v>0.113409567130058</v>
      </c>
      <c r="J165" s="4" t="n">
        <v>0.166299075477588</v>
      </c>
      <c r="K165" s="4" t="n">
        <f aca="false">(J165-J$344)/J$345</f>
        <v>-0.468899654099441</v>
      </c>
      <c r="L165" s="4" t="n">
        <v>0.297847806941147</v>
      </c>
      <c r="M165" s="4" t="n">
        <f aca="false">(L165-L$344)/L$345</f>
        <v>0.226418075501154</v>
      </c>
      <c r="N165" s="4" t="n">
        <v>0.190980443478358</v>
      </c>
      <c r="O165" s="4" t="n">
        <f aca="false">(N165-N$344)/N$345</f>
        <v>-0.60289413804741</v>
      </c>
    </row>
    <row r="166" customFormat="false" ht="14.25" hidden="false" customHeight="false" outlineLevel="0" collapsed="false">
      <c r="B166" s="4" t="n">
        <v>0.328230916254743</v>
      </c>
      <c r="C166" s="4" t="n">
        <f aca="false">(B166-B$344)/B$345</f>
        <v>0.934125012815835</v>
      </c>
      <c r="D166" s="4" t="n">
        <v>0.304222127995074</v>
      </c>
      <c r="E166" s="4" t="n">
        <f aca="false">(D166-D$344)/D$345</f>
        <v>-0.276395484976998</v>
      </c>
      <c r="F166" s="4" t="n">
        <v>0.36071942928516</v>
      </c>
      <c r="G166" s="4" t="n">
        <f aca="false">(F166-F$344)/F$345</f>
        <v>0.767501693854049</v>
      </c>
      <c r="H166" s="4" t="n">
        <v>0.237824682127037</v>
      </c>
      <c r="I166" s="4" t="n">
        <f aca="false">(H166-H$344)/H$345</f>
        <v>0.350508019962351</v>
      </c>
      <c r="J166" s="4" t="n">
        <v>0.178274988366258</v>
      </c>
      <c r="K166" s="4" t="n">
        <f aca="false">(J166-J$344)/J$345</f>
        <v>-0.319929012380139</v>
      </c>
      <c r="L166" s="4" t="n">
        <v>0.317022558460963</v>
      </c>
      <c r="M166" s="4" t="n">
        <f aca="false">(L166-L$344)/L$345</f>
        <v>0.47795608764732</v>
      </c>
      <c r="N166" s="4" t="n">
        <v>0.221657095917389</v>
      </c>
      <c r="O166" s="4" t="n">
        <f aca="false">(N166-N$344)/N$345</f>
        <v>-0.22457279517765</v>
      </c>
    </row>
    <row r="167" customFormat="false" ht="14.25" hidden="false" customHeight="false" outlineLevel="0" collapsed="false">
      <c r="B167" s="4" t="n">
        <v>0.335697489971057</v>
      </c>
      <c r="C167" s="4" t="n">
        <f aca="false">(B167-B$344)/B$345</f>
        <v>1.00460427922896</v>
      </c>
      <c r="D167" s="4" t="n">
        <v>0.313311156742313</v>
      </c>
      <c r="E167" s="4" t="n">
        <f aca="false">(D167-D$344)/D$345</f>
        <v>-0.206270963143977</v>
      </c>
      <c r="F167" s="4" t="n">
        <v>0.365082970768448</v>
      </c>
      <c r="G167" s="4" t="n">
        <f aca="false">(F167-F$344)/F$345</f>
        <v>0.809651788802356</v>
      </c>
      <c r="H167" s="4" t="n">
        <v>0.241153052644923</v>
      </c>
      <c r="I167" s="4" t="n">
        <f aca="false">(H167-H$344)/H$345</f>
        <v>0.39792771052881</v>
      </c>
      <c r="J167" s="4" t="n">
        <v>0.180670170943991</v>
      </c>
      <c r="K167" s="4" t="n">
        <f aca="false">(J167-J$344)/J$345</f>
        <v>-0.290134884036279</v>
      </c>
      <c r="L167" s="4" t="n">
        <v>0.320857508764926</v>
      </c>
      <c r="M167" s="4" t="n">
        <f aca="false">(L167-L$344)/L$345</f>
        <v>0.528263690076553</v>
      </c>
      <c r="N167" s="4" t="n">
        <v>0.227792426405195</v>
      </c>
      <c r="O167" s="4" t="n">
        <f aca="false">(N167-N$344)/N$345</f>
        <v>-0.148908526603698</v>
      </c>
    </row>
    <row r="168" customFormat="false" ht="14.25" hidden="false" customHeight="false" outlineLevel="0" collapsed="false">
      <c r="B168" s="4" t="n">
        <v>0.367223023439938</v>
      </c>
      <c r="C168" s="4" t="n">
        <f aca="false">(B168-B$344)/B$345</f>
        <v>1.30218340408435</v>
      </c>
      <c r="D168" s="4" t="n">
        <v>0.351012645364455</v>
      </c>
      <c r="E168" s="4" t="n">
        <f aca="false">(D168-D$344)/D$345</f>
        <v>0.0846070762531205</v>
      </c>
      <c r="F168" s="4" t="n">
        <v>0.383506812586776</v>
      </c>
      <c r="G168" s="4" t="n">
        <f aca="false">(F168-F$344)/F$345</f>
        <v>0.987618856361871</v>
      </c>
      <c r="H168" s="4" t="n">
        <v>0.255206172609329</v>
      </c>
      <c r="I168" s="4" t="n">
        <f aca="false">(H168-H$344)/H$345</f>
        <v>0.598144181809413</v>
      </c>
      <c r="J168" s="4" t="n">
        <v>0.190783164049979</v>
      </c>
      <c r="K168" s="4" t="n">
        <f aca="false">(J168-J$344)/J$345</f>
        <v>-0.164337453251092</v>
      </c>
      <c r="L168" s="4" t="n">
        <v>0.337049521159438</v>
      </c>
      <c r="M168" s="4" t="n">
        <f aca="false">(L168-L$344)/L$345</f>
        <v>0.740673566999981</v>
      </c>
      <c r="N168" s="4" t="n">
        <v>0.253697155131487</v>
      </c>
      <c r="O168" s="4" t="n">
        <f aca="false">(N168-N$344)/N$345</f>
        <v>0.170562829597433</v>
      </c>
    </row>
    <row r="169" customFormat="false" ht="14.25" hidden="false" customHeight="false" outlineLevel="0" collapsed="false">
      <c r="B169" s="4" t="n">
        <v>0.388793125287068</v>
      </c>
      <c r="C169" s="4" t="n">
        <f aca="false">(B169-B$344)/B$345</f>
        <v>1.50579017372225</v>
      </c>
      <c r="D169" s="4" t="n">
        <v>0.376236201742283</v>
      </c>
      <c r="E169" s="4" t="n">
        <f aca="false">(D169-D$344)/D$345</f>
        <v>0.27921420965675</v>
      </c>
      <c r="F169" s="4" t="n">
        <v>0.396112599094053</v>
      </c>
      <c r="G169" s="4" t="n">
        <f aca="false">(F169-F$344)/F$345</f>
        <v>1.10938579732365</v>
      </c>
      <c r="H169" s="4" t="n">
        <v>0.264821465216554</v>
      </c>
      <c r="I169" s="4" t="n">
        <f aca="false">(H169-H$344)/H$345</f>
        <v>0.735134399001404</v>
      </c>
      <c r="J169" s="4" t="n">
        <v>0.197702580385655</v>
      </c>
      <c r="K169" s="4" t="n">
        <f aca="false">(J169-J$344)/J$345</f>
        <v>-0.0782655269243852</v>
      </c>
      <c r="L169" s="4" t="n">
        <v>0.348128266481998</v>
      </c>
      <c r="M169" s="4" t="n">
        <f aca="false">(L169-L$344)/L$345</f>
        <v>0.886006640684432</v>
      </c>
      <c r="N169" s="4" t="n">
        <v>0.271421443207372</v>
      </c>
      <c r="O169" s="4" t="n">
        <f aca="false">(N169-N$344)/N$345</f>
        <v>0.389148494366627</v>
      </c>
    </row>
    <row r="170" customFormat="false" ht="14.25" hidden="false" customHeight="false" outlineLevel="0" collapsed="false">
      <c r="B170" s="4" t="n">
        <v>0.412852085039636</v>
      </c>
      <c r="C170" s="4" t="n">
        <f aca="false">(B170-B$344)/B$345</f>
        <v>1.73289003216452</v>
      </c>
      <c r="D170" s="4" t="n">
        <v>0.40388198949836</v>
      </c>
      <c r="E170" s="4" t="n">
        <f aca="false">(D170-D$344)/D$345</f>
        <v>0.492509568380418</v>
      </c>
      <c r="F170" s="4" t="n">
        <v>0.410172899429093</v>
      </c>
      <c r="G170" s="4" t="n">
        <f aca="false">(F170-F$344)/F$345</f>
        <v>1.24520276993486</v>
      </c>
      <c r="H170" s="4" t="n">
        <v>0.275546214663074</v>
      </c>
      <c r="I170" s="4" t="n">
        <f aca="false">(H170-H$344)/H$345</f>
        <v>0.88793117971555</v>
      </c>
      <c r="J170" s="4" t="n">
        <v>0.205420390913909</v>
      </c>
      <c r="K170" s="4" t="n">
        <f aca="false">(J170-J$344)/J$345</f>
        <v>0.0177377755169422</v>
      </c>
      <c r="L170" s="4" t="n">
        <v>0.360485328572547</v>
      </c>
      <c r="M170" s="4" t="n">
        <f aca="false">(L170-L$344)/L$345</f>
        <v>1.04810891517863</v>
      </c>
      <c r="N170" s="4" t="n">
        <v>0.291190841445858</v>
      </c>
      <c r="O170" s="4" t="n">
        <f aca="false">(N170-N$344)/N$345</f>
        <v>0.632955581993806</v>
      </c>
    </row>
    <row r="171" customFormat="false" ht="14.25" hidden="false" customHeight="false" outlineLevel="0" collapsed="false">
      <c r="B171" s="4" t="n">
        <v>0.434422186886765</v>
      </c>
      <c r="C171" s="4" t="n">
        <f aca="false">(B171-B$344)/B$345</f>
        <v>1.93649680180242</v>
      </c>
      <c r="D171" s="4" t="n">
        <v>0.428270846317653</v>
      </c>
      <c r="E171" s="4" t="n">
        <f aca="false">(D171-D$344)/D$345</f>
        <v>0.680676749942741</v>
      </c>
      <c r="F171" s="4" t="n">
        <v>0.42277868593637</v>
      </c>
      <c r="G171" s="4" t="n">
        <f aca="false">(F171-F$344)/F$345</f>
        <v>1.36696971089663</v>
      </c>
      <c r="H171" s="4" t="n">
        <v>0.285161507270299</v>
      </c>
      <c r="I171" s="4" t="n">
        <f aca="false">(H171-H$344)/H$345</f>
        <v>1.02492139690754</v>
      </c>
      <c r="J171" s="4" t="n">
        <v>0.212339807249585</v>
      </c>
      <c r="K171" s="4" t="n">
        <f aca="false">(J171-J$344)/J$345</f>
        <v>0.10380970184365</v>
      </c>
      <c r="L171" s="4" t="n">
        <v>0.371564073895107</v>
      </c>
      <c r="M171" s="4" t="n">
        <f aca="false">(L171-L$344)/L$345</f>
        <v>1.19344198886308</v>
      </c>
      <c r="N171" s="4" t="n">
        <v>0.308915129521742</v>
      </c>
      <c r="O171" s="4" t="n">
        <f aca="false">(N171-N$344)/N$345</f>
        <v>0.851541246763</v>
      </c>
    </row>
    <row r="172" customFormat="false" ht="14.25" hidden="false" customHeight="false" outlineLevel="0" collapsed="false">
      <c r="B172" s="4" t="n">
        <v>0.460140385242958</v>
      </c>
      <c r="C172" s="4" t="n">
        <f aca="false">(B172-B$344)/B$345</f>
        <v>2.17925871944761</v>
      </c>
      <c r="D172" s="4" t="n">
        <v>0.456906004611261</v>
      </c>
      <c r="E172" s="4" t="n">
        <f aca="false">(D172-D$344)/D$345</f>
        <v>0.901605392462662</v>
      </c>
      <c r="F172" s="4" t="n">
        <v>0.437808662156585</v>
      </c>
      <c r="G172" s="4" t="n">
        <f aca="false">(F172-F$344)/F$345</f>
        <v>1.51215337127413</v>
      </c>
      <c r="H172" s="4" t="n">
        <v>0.296625894609683</v>
      </c>
      <c r="I172" s="4" t="n">
        <f aca="false">(H172-H$344)/H$345</f>
        <v>1.18825588663645</v>
      </c>
      <c r="J172" s="4" t="n">
        <v>0.220589880572891</v>
      </c>
      <c r="K172" s="4" t="n">
        <f aca="false">(J172-J$344)/J$345</f>
        <v>0.206433921694723</v>
      </c>
      <c r="L172" s="4" t="n">
        <v>0.384773347164314</v>
      </c>
      <c r="M172" s="4" t="n">
        <f aca="false">(L172-L$344)/L$345</f>
        <v>1.36672373056377</v>
      </c>
      <c r="N172" s="4" t="n">
        <v>0.330047934535297</v>
      </c>
      <c r="O172" s="4" t="n">
        <f aca="false">(N172-N$344)/N$345</f>
        <v>1.1121626162955</v>
      </c>
    </row>
    <row r="173" customFormat="false" ht="14.25" hidden="false" customHeight="false" outlineLevel="0" collapsed="false">
      <c r="A173" s="0" t="s">
        <v>59</v>
      </c>
      <c r="B173" s="4" t="n">
        <v>0.288409189767734</v>
      </c>
      <c r="C173" s="4" t="n">
        <f aca="false">(B173-B$344)/B$345</f>
        <v>0.558235591945864</v>
      </c>
      <c r="D173" s="4" t="n">
        <v>0.254573150860498</v>
      </c>
      <c r="E173" s="4" t="n">
        <f aca="false">(D173-D$344)/D$345</f>
        <v>-0.659451901441545</v>
      </c>
      <c r="F173" s="4" t="n">
        <v>0.337447208040956</v>
      </c>
      <c r="G173" s="4" t="n">
        <f aca="false">(F173-F$344)/F$345</f>
        <v>0.542701187463081</v>
      </c>
      <c r="H173" s="4" t="n">
        <v>0.220073372698314</v>
      </c>
      <c r="I173" s="4" t="n">
        <f aca="false">(H173-H$344)/H$345</f>
        <v>0.0976030036079056</v>
      </c>
      <c r="J173" s="4" t="n">
        <v>0.16550068128501</v>
      </c>
      <c r="K173" s="4" t="n">
        <f aca="false">(J173-J$344)/J$345</f>
        <v>-0.47883103021406</v>
      </c>
      <c r="L173" s="4" t="n">
        <v>0.296569490173159</v>
      </c>
      <c r="M173" s="4" t="n">
        <f aca="false">(L173-L$344)/L$345</f>
        <v>0.20964887469141</v>
      </c>
      <c r="N173" s="4" t="n">
        <v>0.188935333315756</v>
      </c>
      <c r="O173" s="4" t="n">
        <f aca="false">(N173-N$344)/N$345</f>
        <v>-0.628115560905394</v>
      </c>
    </row>
    <row r="174" customFormat="false" ht="14.25" hidden="false" customHeight="false" outlineLevel="0" collapsed="false">
      <c r="B174" s="4" t="n">
        <v>0.313297768822115</v>
      </c>
      <c r="C174" s="4" t="n">
        <f aca="false">(B174-B$344)/B$345</f>
        <v>0.793166479989596</v>
      </c>
      <c r="D174" s="4" t="n">
        <v>0.285844121599355</v>
      </c>
      <c r="E174" s="4" t="n">
        <f aca="false">(D174-D$344)/D$345</f>
        <v>-0.418187193044311</v>
      </c>
      <c r="F174" s="4" t="n">
        <v>0.351992346318583</v>
      </c>
      <c r="G174" s="4" t="n">
        <f aca="false">(F174-F$344)/F$345</f>
        <v>0.683201503957436</v>
      </c>
      <c r="H174" s="4" t="n">
        <v>0.231167941091266</v>
      </c>
      <c r="I174" s="4" t="n">
        <f aca="false">(H174-H$344)/H$345</f>
        <v>0.255668638829434</v>
      </c>
      <c r="J174" s="4" t="n">
        <v>0.17348462321079</v>
      </c>
      <c r="K174" s="4" t="n">
        <f aca="false">(J174-J$344)/J$345</f>
        <v>-0.37951726906786</v>
      </c>
      <c r="L174" s="4" t="n">
        <v>0.309352657853036</v>
      </c>
      <c r="M174" s="4" t="n">
        <f aca="false">(L174-L$344)/L$345</f>
        <v>0.377340882788854</v>
      </c>
      <c r="N174" s="4" t="n">
        <v>0.209386434941776</v>
      </c>
      <c r="O174" s="4" t="n">
        <f aca="false">(N174-N$344)/N$345</f>
        <v>-0.375901332325554</v>
      </c>
    </row>
    <row r="175" customFormat="false" ht="14.25" hidden="false" customHeight="false" outlineLevel="0" collapsed="false">
      <c r="B175" s="4" t="n">
        <v>0.33652710927287</v>
      </c>
      <c r="C175" s="4" t="n">
        <f aca="false">(B175-B$344)/B$345</f>
        <v>1.01243530883041</v>
      </c>
      <c r="D175" s="4" t="n">
        <v>0.314317087431449</v>
      </c>
      <c r="E175" s="4" t="n">
        <f aca="false">(D175-D$344)/D$345</f>
        <v>-0.198509912922388</v>
      </c>
      <c r="F175" s="4" t="n">
        <v>0.365567808711035</v>
      </c>
      <c r="G175" s="4" t="n">
        <f aca="false">(F175-F$344)/F$345</f>
        <v>0.8143351326855</v>
      </c>
      <c r="H175" s="4" t="n">
        <v>0.241522871591354</v>
      </c>
      <c r="I175" s="4" t="n">
        <f aca="false">(H175-H$344)/H$345</f>
        <v>0.403196565036195</v>
      </c>
      <c r="J175" s="4" t="n">
        <v>0.180936302341517</v>
      </c>
      <c r="K175" s="4" t="n">
        <f aca="false">(J175-J$344)/J$345</f>
        <v>-0.286824425331406</v>
      </c>
      <c r="L175" s="4" t="n">
        <v>0.321283614354255</v>
      </c>
      <c r="M175" s="4" t="n">
        <f aca="false">(L175-L$344)/L$345</f>
        <v>0.533853423679801</v>
      </c>
      <c r="N175" s="4" t="n">
        <v>0.228474129792729</v>
      </c>
      <c r="O175" s="4" t="n">
        <f aca="false">(N175-N$344)/N$345</f>
        <v>-0.140501385651036</v>
      </c>
    </row>
    <row r="176" customFormat="false" ht="14.25" hidden="false" customHeight="false" outlineLevel="0" collapsed="false">
      <c r="B176" s="4" t="n">
        <v>0.360586069025437</v>
      </c>
      <c r="C176" s="4" t="n">
        <f aca="false">(B176-B$344)/B$345</f>
        <v>1.23953516727269</v>
      </c>
      <c r="D176" s="4" t="n">
        <v>0.343161602188055</v>
      </c>
      <c r="E176" s="4" t="n">
        <f aca="false">(D176-D$344)/D$345</f>
        <v>0.0240339760962204</v>
      </c>
      <c r="F176" s="4" t="n">
        <v>0.379628109046075</v>
      </c>
      <c r="G176" s="4" t="n">
        <f aca="false">(F176-F$344)/F$345</f>
        <v>0.95015210529671</v>
      </c>
      <c r="H176" s="4" t="n">
        <v>0.252247621037875</v>
      </c>
      <c r="I176" s="4" t="n">
        <f aca="false">(H176-H$344)/H$345</f>
        <v>0.555993345750339</v>
      </c>
      <c r="J176" s="4" t="n">
        <v>0.188654112869771</v>
      </c>
      <c r="K176" s="4" t="n">
        <f aca="false">(J176-J$344)/J$345</f>
        <v>-0.190821122890079</v>
      </c>
      <c r="L176" s="4" t="n">
        <v>0.333640676444804</v>
      </c>
      <c r="M176" s="4" t="n">
        <f aca="false">(L176-L$344)/L$345</f>
        <v>0.695955698173996</v>
      </c>
      <c r="N176" s="4" t="n">
        <v>0.248243528031215</v>
      </c>
      <c r="O176" s="4" t="n">
        <f aca="false">(N176-N$344)/N$345</f>
        <v>0.103305701976142</v>
      </c>
    </row>
    <row r="177" customFormat="false" ht="14.25" hidden="false" customHeight="false" outlineLevel="0" collapsed="false">
      <c r="B177" s="4" t="n">
        <v>0.38630426738163</v>
      </c>
      <c r="C177" s="4" t="n">
        <f aca="false">(B177-B$344)/B$345</f>
        <v>1.48229708491788</v>
      </c>
      <c r="D177" s="4" t="n">
        <v>0.373347740324912</v>
      </c>
      <c r="E177" s="4" t="n">
        <f aca="false">(D177-D$344)/D$345</f>
        <v>0.256928882878816</v>
      </c>
      <c r="F177" s="4" t="n">
        <v>0.39465808526629</v>
      </c>
      <c r="G177" s="4" t="n">
        <f aca="false">(F177-F$344)/F$345</f>
        <v>1.09533576567421</v>
      </c>
      <c r="H177" s="4" t="n">
        <v>0.263712008377259</v>
      </c>
      <c r="I177" s="4" t="n">
        <f aca="false">(H177-H$344)/H$345</f>
        <v>0.719327835479252</v>
      </c>
      <c r="J177" s="4" t="n">
        <v>0.196904186193077</v>
      </c>
      <c r="K177" s="4" t="n">
        <f aca="false">(J177-J$344)/J$345</f>
        <v>-0.0881969030390042</v>
      </c>
      <c r="L177" s="4" t="n">
        <v>0.346849949714011</v>
      </c>
      <c r="M177" s="4" t="n">
        <f aca="false">(L177-L$344)/L$345</f>
        <v>0.869237439874688</v>
      </c>
      <c r="N177" s="4" t="n">
        <v>0.26937633304477</v>
      </c>
      <c r="O177" s="4" t="n">
        <f aca="false">(N177-N$344)/N$345</f>
        <v>0.363927071508645</v>
      </c>
    </row>
    <row r="178" customFormat="false" ht="14.25" hidden="false" customHeight="false" outlineLevel="0" collapsed="false">
      <c r="B178" s="4" t="n">
        <v>0.412852085039636</v>
      </c>
      <c r="C178" s="4" t="n">
        <f aca="false">(B178-B$344)/B$345</f>
        <v>1.73289003216452</v>
      </c>
      <c r="D178" s="4" t="n">
        <v>0.40388198949836</v>
      </c>
      <c r="E178" s="4" t="n">
        <f aca="false">(D178-D$344)/D$345</f>
        <v>0.492509568380418</v>
      </c>
      <c r="F178" s="4" t="n">
        <v>0.410172899429093</v>
      </c>
      <c r="G178" s="4" t="n">
        <f aca="false">(F178-F$344)/F$345</f>
        <v>1.24520276993486</v>
      </c>
      <c r="H178" s="4" t="n">
        <v>0.275546214663074</v>
      </c>
      <c r="I178" s="4" t="n">
        <f aca="false">(H178-H$344)/H$345</f>
        <v>0.88793117971555</v>
      </c>
      <c r="J178" s="4" t="n">
        <v>0.205420390913909</v>
      </c>
      <c r="K178" s="4" t="n">
        <f aca="false">(J178-J$344)/J$345</f>
        <v>0.0177377755169422</v>
      </c>
      <c r="L178" s="4" t="n">
        <v>0.360485328572547</v>
      </c>
      <c r="M178" s="4" t="n">
        <f aca="false">(L178-L$344)/L$345</f>
        <v>1.04810891517863</v>
      </c>
      <c r="N178" s="4" t="n">
        <v>0.291190841445858</v>
      </c>
      <c r="O178" s="4" t="n">
        <f aca="false">(N178-N$344)/N$345</f>
        <v>0.632955581993806</v>
      </c>
    </row>
    <row r="179" customFormat="false" ht="14.25" hidden="false" customHeight="false" outlineLevel="0" collapsed="false">
      <c r="B179" s="4" t="n">
        <v>0.436911044792203</v>
      </c>
      <c r="C179" s="4" t="n">
        <f aca="false">(B179-B$344)/B$345</f>
        <v>1.9599898906068</v>
      </c>
      <c r="D179" s="4" t="n">
        <v>0.431062391801449</v>
      </c>
      <c r="E179" s="4" t="n">
        <f aca="false">(D179-D$344)/D$345</f>
        <v>0.702214341875851</v>
      </c>
      <c r="F179" s="4" t="n">
        <v>0.424233199764133</v>
      </c>
      <c r="G179" s="4" t="n">
        <f aca="false">(F179-F$344)/F$345</f>
        <v>1.38101974254606</v>
      </c>
      <c r="H179" s="4" t="n">
        <v>0.286270964109594</v>
      </c>
      <c r="I179" s="4" t="n">
        <f aca="false">(H179-H$344)/H$345</f>
        <v>1.04072796042969</v>
      </c>
      <c r="J179" s="4" t="n">
        <v>0.213138201442163</v>
      </c>
      <c r="K179" s="4" t="n">
        <f aca="false">(J179-J$344)/J$345</f>
        <v>0.113741077958269</v>
      </c>
      <c r="L179" s="4" t="n">
        <v>0.372842390663095</v>
      </c>
      <c r="M179" s="4" t="n">
        <f aca="false">(L179-L$344)/L$345</f>
        <v>1.21021118967282</v>
      </c>
      <c r="N179" s="4" t="n">
        <v>0.310960239684344</v>
      </c>
      <c r="O179" s="4" t="n">
        <f aca="false">(N179-N$344)/N$345</f>
        <v>0.876762669620984</v>
      </c>
    </row>
    <row r="180" customFormat="false" ht="14.25" hidden="false" customHeight="false" outlineLevel="0" collapsed="false">
      <c r="B180" s="4" t="n">
        <v>0.458481146639332</v>
      </c>
      <c r="C180" s="4" t="n">
        <f aca="false">(B180-B$344)/B$345</f>
        <v>2.1635966602447</v>
      </c>
      <c r="D180" s="4" t="n">
        <v>0.455072255048816</v>
      </c>
      <c r="E180" s="4" t="n">
        <f aca="false">(D180-D$344)/D$345</f>
        <v>0.887457476903809</v>
      </c>
      <c r="F180" s="4" t="n">
        <v>0.43683898627141</v>
      </c>
      <c r="G180" s="4" t="n">
        <f aca="false">(F180-F$344)/F$345</f>
        <v>1.50278668350784</v>
      </c>
      <c r="H180" s="4" t="n">
        <v>0.29588625671682</v>
      </c>
      <c r="I180" s="4" t="n">
        <f aca="false">(H180-H$344)/H$345</f>
        <v>1.17771817762168</v>
      </c>
      <c r="J180" s="4" t="n">
        <v>0.220057617777839</v>
      </c>
      <c r="K180" s="4" t="n">
        <f aca="false">(J180-J$344)/J$345</f>
        <v>0.199813004284976</v>
      </c>
      <c r="L180" s="4" t="n">
        <v>0.383921135985655</v>
      </c>
      <c r="M180" s="4" t="n">
        <f aca="false">(L180-L$344)/L$345</f>
        <v>1.35554426335727</v>
      </c>
      <c r="N180" s="4" t="n">
        <v>0.328684527760229</v>
      </c>
      <c r="O180" s="4" t="n">
        <f aca="false">(N180-N$344)/N$345</f>
        <v>1.09534833439018</v>
      </c>
    </row>
    <row r="181" customFormat="false" ht="14.25" hidden="false" customHeight="false" outlineLevel="0" collapsed="false">
      <c r="A181" s="0" t="s">
        <v>60</v>
      </c>
      <c r="B181" s="4" t="n">
        <v>0.315786626727553</v>
      </c>
      <c r="C181" s="4" t="n">
        <f aca="false">(B181-B$344)/B$345</f>
        <v>0.81665956879397</v>
      </c>
      <c r="D181" s="4" t="n">
        <v>0.288926245959856</v>
      </c>
      <c r="E181" s="4" t="n">
        <f aca="false">(D181-D$344)/D$345</f>
        <v>-0.394407699875068</v>
      </c>
      <c r="F181" s="4" t="n">
        <v>0.353446860146346</v>
      </c>
      <c r="G181" s="4" t="n">
        <f aca="false">(F181-F$344)/F$345</f>
        <v>0.697251535606872</v>
      </c>
      <c r="H181" s="4" t="n">
        <v>0.232277397930561</v>
      </c>
      <c r="I181" s="4" t="n">
        <f aca="false">(H181-H$344)/H$345</f>
        <v>0.271475202351587</v>
      </c>
      <c r="J181" s="4" t="n">
        <v>0.174283017403368</v>
      </c>
      <c r="K181" s="4" t="n">
        <f aca="false">(J181-J$344)/J$345</f>
        <v>-0.36958589295324</v>
      </c>
      <c r="L181" s="4" t="n">
        <v>0.310630974621024</v>
      </c>
      <c r="M181" s="4" t="n">
        <f aca="false">(L181-L$344)/L$345</f>
        <v>0.394110083598599</v>
      </c>
      <c r="N181" s="4" t="n">
        <v>0.211431545104379</v>
      </c>
      <c r="O181" s="4" t="n">
        <f aca="false">(N181-N$344)/N$345</f>
        <v>-0.35067990946757</v>
      </c>
    </row>
    <row r="182" customFormat="false" ht="14.25" hidden="false" customHeight="false" outlineLevel="0" collapsed="false">
      <c r="B182" s="4" t="n">
        <v>0.33984558648012</v>
      </c>
      <c r="C182" s="4" t="n">
        <f aca="false">(B182-B$344)/B$345</f>
        <v>1.04375942723624</v>
      </c>
      <c r="D182" s="4" t="n">
        <v>0.318333033731382</v>
      </c>
      <c r="E182" s="4" t="n">
        <f aca="false">(D182-D$344)/D$345</f>
        <v>-0.167525709678953</v>
      </c>
      <c r="F182" s="4" t="n">
        <v>0.367507160481386</v>
      </c>
      <c r="G182" s="4" t="n">
        <f aca="false">(F182-F$344)/F$345</f>
        <v>0.833068508218081</v>
      </c>
      <c r="H182" s="4" t="n">
        <v>0.243002147377081</v>
      </c>
      <c r="I182" s="4" t="n">
        <f aca="false">(H182-H$344)/H$345</f>
        <v>0.424271983065732</v>
      </c>
      <c r="J182" s="4" t="n">
        <v>0.182000827931621</v>
      </c>
      <c r="K182" s="4" t="n">
        <f aca="false">(J182-J$344)/J$345</f>
        <v>-0.273582590511913</v>
      </c>
      <c r="L182" s="4" t="n">
        <v>0.322988036711572</v>
      </c>
      <c r="M182" s="4" t="n">
        <f aca="false">(L182-L$344)/L$345</f>
        <v>0.556212358092794</v>
      </c>
      <c r="N182" s="4" t="n">
        <v>0.231200943342865</v>
      </c>
      <c r="O182" s="4" t="n">
        <f aca="false">(N182-N$344)/N$345</f>
        <v>-0.106872821840391</v>
      </c>
    </row>
    <row r="183" customFormat="false" ht="14.25" hidden="false" customHeight="false" outlineLevel="0" collapsed="false">
      <c r="B183" s="4" t="n">
        <v>0.37385997785444</v>
      </c>
      <c r="C183" s="4" t="n">
        <f aca="false">(B183-B$344)/B$345</f>
        <v>1.36483164089601</v>
      </c>
      <c r="D183" s="4" t="n">
        <v>0.358820406051599</v>
      </c>
      <c r="E183" s="4" t="n">
        <f aca="false">(D183-D$344)/D$345</f>
        <v>0.144846239314291</v>
      </c>
      <c r="F183" s="4" t="n">
        <v>0.387385516127476</v>
      </c>
      <c r="G183" s="4" t="n">
        <f aca="false">(F183-F$344)/F$345</f>
        <v>1.02508560742703</v>
      </c>
      <c r="H183" s="4" t="n">
        <v>0.258164724180783</v>
      </c>
      <c r="I183" s="4" t="n">
        <f aca="false">(H183-H$344)/H$345</f>
        <v>0.640295017868487</v>
      </c>
      <c r="J183" s="4" t="n">
        <v>0.192912215230187</v>
      </c>
      <c r="K183" s="4" t="n">
        <f aca="false">(J183-J$344)/J$345</f>
        <v>-0.137853783612105</v>
      </c>
      <c r="L183" s="4" t="n">
        <v>0.340458365874072</v>
      </c>
      <c r="M183" s="4" t="n">
        <f aca="false">(L183-L$344)/L$345</f>
        <v>0.785391435825966</v>
      </c>
      <c r="N183" s="4" t="n">
        <v>0.259150782231759</v>
      </c>
      <c r="O183" s="4" t="n">
        <f aca="false">(N183-N$344)/N$345</f>
        <v>0.237819957218723</v>
      </c>
    </row>
    <row r="184" customFormat="false" ht="14.25" hidden="false" customHeight="false" outlineLevel="0" collapsed="false">
      <c r="B184" s="4" t="n">
        <v>0.393770841097944</v>
      </c>
      <c r="C184" s="4" t="n">
        <f aca="false">(B184-B$344)/B$345</f>
        <v>1.552776351331</v>
      </c>
      <c r="D184" s="4" t="n">
        <v>0.38199661504556</v>
      </c>
      <c r="E184" s="4" t="n">
        <f aca="false">(D184-D$344)/D$345</f>
        <v>0.323657487336509</v>
      </c>
      <c r="F184" s="4" t="n">
        <v>0.399021626749578</v>
      </c>
      <c r="G184" s="4" t="n">
        <f aca="false">(F184-F$344)/F$345</f>
        <v>1.13748586062252</v>
      </c>
      <c r="H184" s="4" t="n">
        <v>0.267040378895144</v>
      </c>
      <c r="I184" s="4" t="n">
        <f aca="false">(H184-H$344)/H$345</f>
        <v>0.76674752604571</v>
      </c>
      <c r="J184" s="4" t="n">
        <v>0.199299368770811</v>
      </c>
      <c r="K184" s="4" t="n">
        <f aca="false">(J184-J$344)/J$345</f>
        <v>-0.0584027746951452</v>
      </c>
      <c r="L184" s="4" t="n">
        <v>0.350684900017974</v>
      </c>
      <c r="M184" s="4" t="n">
        <f aca="false">(L184-L$344)/L$345</f>
        <v>0.91954504230392</v>
      </c>
      <c r="N184" s="4" t="n">
        <v>0.275511663532576</v>
      </c>
      <c r="O184" s="4" t="n">
        <f aca="false">(N184-N$344)/N$345</f>
        <v>0.439591340082596</v>
      </c>
    </row>
    <row r="185" customFormat="false" ht="14.25" hidden="false" customHeight="false" outlineLevel="0" collapsed="false">
      <c r="B185" s="4" t="n">
        <v>0.412852085039636</v>
      </c>
      <c r="C185" s="4" t="n">
        <f aca="false">(B185-B$344)/B$345</f>
        <v>1.73289003216452</v>
      </c>
      <c r="D185" s="4" t="n">
        <v>0.40388198949836</v>
      </c>
      <c r="E185" s="4" t="n">
        <f aca="false">(D185-D$344)/D$345</f>
        <v>0.492509568380418</v>
      </c>
      <c r="F185" s="4" t="n">
        <v>0.410172899429093</v>
      </c>
      <c r="G185" s="4" t="n">
        <f aca="false">(F185-F$344)/F$345</f>
        <v>1.24520276993486</v>
      </c>
      <c r="H185" s="4" t="n">
        <v>0.275546214663074</v>
      </c>
      <c r="I185" s="4" t="n">
        <f aca="false">(H185-H$344)/H$345</f>
        <v>0.88793117971555</v>
      </c>
      <c r="J185" s="4" t="n">
        <v>0.205420390913909</v>
      </c>
      <c r="K185" s="4" t="n">
        <f aca="false">(J185-J$344)/J$345</f>
        <v>0.0177377755169422</v>
      </c>
      <c r="L185" s="4" t="n">
        <v>0.360485328572547</v>
      </c>
      <c r="M185" s="4" t="n">
        <f aca="false">(L185-L$344)/L$345</f>
        <v>1.04810891517863</v>
      </c>
      <c r="N185" s="4" t="n">
        <v>0.291190841445858</v>
      </c>
      <c r="O185" s="4" t="n">
        <f aca="false">(N185-N$344)/N$345</f>
        <v>0.632955581993806</v>
      </c>
    </row>
    <row r="186" customFormat="false" ht="14.25" hidden="false" customHeight="false" outlineLevel="0" collapsed="false">
      <c r="B186" s="4" t="n">
        <v>0.433592567584952</v>
      </c>
      <c r="C186" s="4" t="n">
        <f aca="false">(B186-B$344)/B$345</f>
        <v>1.92866577220097</v>
      </c>
      <c r="D186" s="4" t="n">
        <v>0.427339323982208</v>
      </c>
      <c r="E186" s="4" t="n">
        <f aca="false">(D186-D$344)/D$345</f>
        <v>0.67348978198759</v>
      </c>
      <c r="F186" s="4" t="n">
        <v>0.422293847993782</v>
      </c>
      <c r="G186" s="4" t="n">
        <f aca="false">(F186-F$344)/F$345</f>
        <v>1.36228636701348</v>
      </c>
      <c r="H186" s="4" t="n">
        <v>0.284791688323868</v>
      </c>
      <c r="I186" s="4" t="n">
        <f aca="false">(H186-H$344)/H$345</f>
        <v>1.01965254240016</v>
      </c>
      <c r="J186" s="4" t="n">
        <v>0.212073675852059</v>
      </c>
      <c r="K186" s="4" t="n">
        <f aca="false">(J186-J$344)/J$345</f>
        <v>0.100499243138777</v>
      </c>
      <c r="L186" s="4" t="n">
        <v>0.371137968305778</v>
      </c>
      <c r="M186" s="4" t="n">
        <f aca="false">(L186-L$344)/L$345</f>
        <v>1.18785225525983</v>
      </c>
      <c r="N186" s="4" t="n">
        <v>0.308233426134208</v>
      </c>
      <c r="O186" s="4" t="n">
        <f aca="false">(N186-N$344)/N$345</f>
        <v>0.843134105810339</v>
      </c>
    </row>
    <row r="187" customFormat="false" ht="14.25" hidden="false" customHeight="false" outlineLevel="0" collapsed="false">
      <c r="B187" s="4" t="n">
        <v>0.460970004544771</v>
      </c>
      <c r="C187" s="4" t="n">
        <f aca="false">(B187-B$344)/B$345</f>
        <v>2.18708974904907</v>
      </c>
      <c r="D187" s="4" t="n">
        <v>0.457822196853332</v>
      </c>
      <c r="E187" s="4" t="n">
        <f aca="false">(D187-D$344)/D$345</f>
        <v>0.908674084252409</v>
      </c>
      <c r="F187" s="4" t="n">
        <v>0.438293500099172</v>
      </c>
      <c r="G187" s="4" t="n">
        <f aca="false">(F187-F$344)/F$345</f>
        <v>1.51683671515727</v>
      </c>
      <c r="H187" s="4" t="n">
        <v>0.296995713556115</v>
      </c>
      <c r="I187" s="4" t="n">
        <f aca="false">(H187-H$344)/H$345</f>
        <v>1.19352474114384</v>
      </c>
      <c r="J187" s="4" t="n">
        <v>0.220856011970417</v>
      </c>
      <c r="K187" s="4" t="n">
        <f aca="false">(J187-J$344)/J$345</f>
        <v>0.209744380399597</v>
      </c>
      <c r="L187" s="4" t="n">
        <v>0.385199452753643</v>
      </c>
      <c r="M187" s="4" t="n">
        <f aca="false">(L187-L$344)/L$345</f>
        <v>1.37231346416702</v>
      </c>
      <c r="N187" s="4" t="n">
        <v>0.330729637922831</v>
      </c>
      <c r="O187" s="4" t="n">
        <f aca="false">(N187-N$344)/N$345</f>
        <v>1.12056975724816</v>
      </c>
    </row>
    <row r="188" customFormat="false" ht="14.25" hidden="false" customHeight="false" outlineLevel="0" collapsed="false">
      <c r="A188" s="0" t="s">
        <v>61</v>
      </c>
      <c r="B188" s="4" t="n">
        <v>0.191122552772809</v>
      </c>
      <c r="C188" s="4" t="n">
        <f aca="false">(B188-B$344)/B$345</f>
        <v>-0.360082644465614</v>
      </c>
      <c r="D188" s="4" t="n">
        <v>0.262262175856746</v>
      </c>
      <c r="E188" s="4" t="n">
        <f aca="false">(D188-D$344)/D$345</f>
        <v>-0.600128819050835</v>
      </c>
      <c r="F188" s="4" t="n">
        <v>0.236849510941297</v>
      </c>
      <c r="G188" s="4" t="n">
        <f aca="false">(F188-F$344)/F$345</f>
        <v>-0.429033010681015</v>
      </c>
      <c r="H188" s="4" t="n">
        <v>0.203274203455197</v>
      </c>
      <c r="I188" s="4" t="n">
        <f aca="false">(H188-H$344)/H$345</f>
        <v>-0.141736758297031</v>
      </c>
      <c r="J188" s="4" t="n">
        <v>0.127785822655367</v>
      </c>
      <c r="K188" s="4" t="n">
        <f aca="false">(J188-J$344)/J$345</f>
        <v>-0.947973278044373</v>
      </c>
      <c r="L188" s="4" t="n">
        <v>0.244610582386085</v>
      </c>
      <c r="M188" s="4" t="n">
        <f aca="false">(L188-L$344)/L$345</f>
        <v>-0.471957891609548</v>
      </c>
      <c r="N188" s="4" t="n">
        <v>0.202255275248744</v>
      </c>
      <c r="O188" s="4" t="n">
        <f aca="false">(N188-N$344)/N$345</f>
        <v>-0.463846714131759</v>
      </c>
    </row>
    <row r="189" customFormat="false" ht="14.25" hidden="false" customHeight="false" outlineLevel="0" collapsed="false">
      <c r="B189" s="4" t="n">
        <v>0.227304569244352</v>
      </c>
      <c r="C189" s="4" t="n">
        <f aca="false">(B189-B$344)/B$345</f>
        <v>-0.0185495564456012</v>
      </c>
      <c r="D189" s="4" t="n">
        <v>0.317978607372021</v>
      </c>
      <c r="E189" s="4" t="n">
        <f aca="false">(D189-D$344)/D$345</f>
        <v>-0.170260212964874</v>
      </c>
      <c r="F189" s="4" t="n">
        <v>0.273662264222479</v>
      </c>
      <c r="G189" s="4" t="n">
        <f aca="false">(F189-F$344)/F$345</f>
        <v>-0.0734362890609644</v>
      </c>
      <c r="H189" s="4" t="n">
        <v>0.242464882179825</v>
      </c>
      <c r="I189" s="4" t="n">
        <f aca="false">(H189-H$344)/H$345</f>
        <v>0.416617501910732</v>
      </c>
      <c r="J189" s="4" t="n">
        <v>0.14966742924837</v>
      </c>
      <c r="K189" s="4" t="n">
        <f aca="false">(J189-J$344)/J$345</f>
        <v>-0.675783841939426</v>
      </c>
      <c r="L189" s="4" t="n">
        <v>0.282629613894987</v>
      </c>
      <c r="M189" s="4" t="n">
        <f aca="false">(L189-L$344)/L$345</f>
        <v>0.0267829447234967</v>
      </c>
      <c r="N189" s="4" t="n">
        <v>0.250417936778265</v>
      </c>
      <c r="O189" s="4" t="n">
        <f aca="false">(N189-N$344)/N$345</f>
        <v>0.130121706061553</v>
      </c>
    </row>
    <row r="190" customFormat="false" ht="14.25" hidden="false" customHeight="false" outlineLevel="0" collapsed="false">
      <c r="B190" s="4" t="n">
        <v>0.263363934812603</v>
      </c>
      <c r="C190" s="4" t="n">
        <f aca="false">(B190-B$344)/B$345</f>
        <v>0.321825792292988</v>
      </c>
      <c r="D190" s="4" t="n">
        <v>0.371868655138465</v>
      </c>
      <c r="E190" s="4" t="n">
        <f aca="false">(D190-D$344)/D$345</f>
        <v>0.245517306974035</v>
      </c>
      <c r="F190" s="4" t="n">
        <v>0.310350228509487</v>
      </c>
      <c r="G190" s="4" t="n">
        <f aca="false">(F190-F$344)/F$345</f>
        <v>0.280955019943426</v>
      </c>
      <c r="H190" s="4" t="n">
        <v>0.281522711146065</v>
      </c>
      <c r="I190" s="4" t="n">
        <f aca="false">(H190-H$344)/H$345</f>
        <v>0.973079035812707</v>
      </c>
      <c r="J190" s="4" t="n">
        <v>0.171474860903771</v>
      </c>
      <c r="K190" s="4" t="n">
        <f aca="false">(J190-J$344)/J$345</f>
        <v>-0.40451708188907</v>
      </c>
      <c r="L190" s="4" t="n">
        <v>0.320519767330977</v>
      </c>
      <c r="M190" s="4" t="n">
        <f aca="false">(L190-L$344)/L$345</f>
        <v>0.523833134153718</v>
      </c>
      <c r="N190" s="4" t="n">
        <v>0.298417335048365</v>
      </c>
      <c r="O190" s="4" t="n">
        <f aca="false">(N190-N$344)/N$345</f>
        <v>0.722076673983025</v>
      </c>
    </row>
    <row r="191" customFormat="false" ht="14.25" hidden="false" customHeight="false" outlineLevel="0" collapsed="false">
      <c r="A191" s="0" t="s">
        <v>62</v>
      </c>
      <c r="B191" s="4" t="n">
        <v>0.191122552772809</v>
      </c>
      <c r="C191" s="4" t="n">
        <f aca="false">(B191-B$344)/B$345</f>
        <v>-0.360082644465614</v>
      </c>
      <c r="D191" s="4" t="n">
        <v>0.262262175856746</v>
      </c>
      <c r="E191" s="4" t="n">
        <f aca="false">(D191-D$344)/D$345</f>
        <v>-0.600128819050835</v>
      </c>
      <c r="F191" s="4" t="n">
        <v>0.236849510941297</v>
      </c>
      <c r="G191" s="4" t="n">
        <f aca="false">(F191-F$344)/F$345</f>
        <v>-0.429033010681015</v>
      </c>
      <c r="H191" s="4" t="n">
        <v>0.203274203455197</v>
      </c>
      <c r="I191" s="4" t="n">
        <f aca="false">(H191-H$344)/H$345</f>
        <v>-0.141736758297031</v>
      </c>
      <c r="J191" s="4" t="n">
        <v>0.127785822655367</v>
      </c>
      <c r="K191" s="4" t="n">
        <f aca="false">(J191-J$344)/J$345</f>
        <v>-0.947973278044373</v>
      </c>
      <c r="L191" s="4" t="n">
        <v>0.244610582386085</v>
      </c>
      <c r="M191" s="4" t="n">
        <f aca="false">(L191-L$344)/L$345</f>
        <v>-0.471957891609548</v>
      </c>
      <c r="N191" s="4" t="n">
        <v>0.202255275248744</v>
      </c>
      <c r="O191" s="4" t="n">
        <f aca="false">(N191-N$344)/N$345</f>
        <v>-0.463846714131759</v>
      </c>
    </row>
    <row r="192" customFormat="false" ht="14.25" hidden="false" customHeight="false" outlineLevel="0" collapsed="false">
      <c r="B192" s="4" t="n">
        <v>0.226813965631179</v>
      </c>
      <c r="C192" s="4" t="n">
        <f aca="false">(B192-B$344)/B$345</f>
        <v>-0.0231805135712962</v>
      </c>
      <c r="D192" s="4" t="n">
        <v>0.317235635963234</v>
      </c>
      <c r="E192" s="4" t="n">
        <f aca="false">(D192-D$344)/D$345</f>
        <v>-0.175992455234726</v>
      </c>
      <c r="F192" s="4" t="n">
        <v>0.273163108245785</v>
      </c>
      <c r="G192" s="4" t="n">
        <f aca="false">(F192-F$344)/F$345</f>
        <v>-0.0782579395236085</v>
      </c>
      <c r="H192" s="4" t="n">
        <v>0.241933483146271</v>
      </c>
      <c r="I192" s="4" t="n">
        <f aca="false">(H192-H$344)/H$345</f>
        <v>0.409046596687576</v>
      </c>
      <c r="J192" s="4" t="n">
        <v>0.149370729497957</v>
      </c>
      <c r="K192" s="4" t="n">
        <f aca="false">(J192-J$344)/J$345</f>
        <v>-0.679474546157798</v>
      </c>
      <c r="L192" s="4" t="n">
        <v>0.282114101603341</v>
      </c>
      <c r="M192" s="4" t="n">
        <f aca="false">(L192-L$344)/L$345</f>
        <v>0.0200203571122016</v>
      </c>
      <c r="N192" s="4" t="n">
        <v>0.249764883740577</v>
      </c>
      <c r="O192" s="4" t="n">
        <f aca="false">(N192-N$344)/N$345</f>
        <v>0.122067896974186</v>
      </c>
    </row>
    <row r="193" customFormat="false" ht="14.25" hidden="false" customHeight="false" outlineLevel="0" collapsed="false">
      <c r="B193" s="4" t="n">
        <v>0.262750680296136</v>
      </c>
      <c r="C193" s="4" t="n">
        <f aca="false">(B193-B$344)/B$345</f>
        <v>0.316037095885869</v>
      </c>
      <c r="D193" s="4" t="n">
        <v>0.37096260696988</v>
      </c>
      <c r="E193" s="4" t="n">
        <f aca="false">(D193-D$344)/D$345</f>
        <v>0.238526879685633</v>
      </c>
      <c r="F193" s="4" t="n">
        <v>0.309726283538619</v>
      </c>
      <c r="G193" s="4" t="n">
        <f aca="false">(F193-F$344)/F$345</f>
        <v>0.274927956865119</v>
      </c>
      <c r="H193" s="4" t="n">
        <v>0.280858462354122</v>
      </c>
      <c r="I193" s="4" t="n">
        <f aca="false">(H193-H$344)/H$345</f>
        <v>0.963615404283761</v>
      </c>
      <c r="J193" s="4" t="n">
        <v>0.171103986215754</v>
      </c>
      <c r="K193" s="4" t="n">
        <f aca="false">(J193-J$344)/J$345</f>
        <v>-0.409130462162036</v>
      </c>
      <c r="L193" s="4" t="n">
        <v>0.319875376966419</v>
      </c>
      <c r="M193" s="4" t="n">
        <f aca="false">(L193-L$344)/L$345</f>
        <v>0.515379899639597</v>
      </c>
      <c r="N193" s="4" t="n">
        <v>0.297601018751254</v>
      </c>
      <c r="O193" s="4" t="n">
        <f aca="false">(N193-N$344)/N$345</f>
        <v>0.712009412623816</v>
      </c>
    </row>
    <row r="194" customFormat="false" ht="14.25" hidden="false" customHeight="false" outlineLevel="0" collapsed="false">
      <c r="A194" s="0" t="s">
        <v>63</v>
      </c>
      <c r="B194" s="4" t="n">
        <v>0.118022614409961</v>
      </c>
      <c r="C194" s="4" t="n">
        <f aca="false">(B194-B$344)/B$345</f>
        <v>-1.05009525619418</v>
      </c>
      <c r="D194" s="4" t="n">
        <v>0.140104050423783</v>
      </c>
      <c r="E194" s="4" t="n">
        <f aca="false">(D194-D$344)/D$345</f>
        <v>-1.54261457547522</v>
      </c>
      <c r="F194" s="4" t="n">
        <v>0.162475270413893</v>
      </c>
      <c r="G194" s="4" t="n">
        <f aca="false">(F194-F$344)/F$345</f>
        <v>-1.14745892961508</v>
      </c>
      <c r="H194" s="4" t="n">
        <v>0.12409574745561</v>
      </c>
      <c r="I194" s="4" t="n">
        <f aca="false">(H194-H$344)/H$345</f>
        <v>-1.26980163654729</v>
      </c>
      <c r="J194" s="4" t="n">
        <v>0.0835775598437389</v>
      </c>
      <c r="K194" s="4" t="n">
        <f aca="false">(J194-J$344)/J$345</f>
        <v>-1.49788820658183</v>
      </c>
      <c r="L194" s="4" t="n">
        <v>0.167799250930813</v>
      </c>
      <c r="M194" s="4" t="n">
        <f aca="false">(L194-L$344)/L$345</f>
        <v>-1.47958344569258</v>
      </c>
      <c r="N194" s="4" t="n">
        <v>0.104950372633168</v>
      </c>
      <c r="O194" s="4" t="n">
        <f aca="false">(N194-N$344)/N$345</f>
        <v>-1.66386426814944</v>
      </c>
    </row>
    <row r="195" customFormat="false" ht="14.25" hidden="false" customHeight="false" outlineLevel="0" collapsed="false">
      <c r="B195" s="4" t="n">
        <v>0.155308489011145</v>
      </c>
      <c r="C195" s="4" t="n">
        <f aca="false">(B195-B$344)/B$345</f>
        <v>-0.698142514641356</v>
      </c>
      <c r="D195" s="4" t="n">
        <v>0.204602352108872</v>
      </c>
      <c r="E195" s="4" t="n">
        <f aca="false">(D195-D$344)/D$345</f>
        <v>-1.04499126604486</v>
      </c>
      <c r="F195" s="4" t="n">
        <v>0.200411124642636</v>
      </c>
      <c r="G195" s="4" t="n">
        <f aca="false">(F195-F$344)/F$345</f>
        <v>-0.781013494454082</v>
      </c>
      <c r="H195" s="4" t="n">
        <v>0.164482074005735</v>
      </c>
      <c r="I195" s="4" t="n">
        <f aca="false">(H195-H$344)/H$345</f>
        <v>-0.694412839587425</v>
      </c>
      <c r="J195" s="4" t="n">
        <v>0.106126740875173</v>
      </c>
      <c r="K195" s="4" t="n">
        <f aca="false">(J195-J$344)/J$345</f>
        <v>-1.21739468598554</v>
      </c>
      <c r="L195" s="4" t="n">
        <v>0.206978185095918</v>
      </c>
      <c r="M195" s="4" t="n">
        <f aca="false">(L195-L$344)/L$345</f>
        <v>-0.96562678723412</v>
      </c>
      <c r="N195" s="4" t="n">
        <v>0.154582403497489</v>
      </c>
      <c r="O195" s="4" t="n">
        <f aca="false">(N195-N$344)/N$345</f>
        <v>-1.05177477750955</v>
      </c>
    </row>
    <row r="196" customFormat="false" ht="14.25" hidden="false" customHeight="false" outlineLevel="0" collapsed="false">
      <c r="B196" s="4" t="n">
        <v>0.190509298256342</v>
      </c>
      <c r="C196" s="4" t="n">
        <f aca="false">(B196-B$344)/B$345</f>
        <v>-0.365871340872733</v>
      </c>
      <c r="D196" s="4" t="n">
        <v>0.261299194149683</v>
      </c>
      <c r="E196" s="4" t="n">
        <f aca="false">(D196-D$344)/D$345</f>
        <v>-0.607558505282406</v>
      </c>
      <c r="F196" s="4" t="n">
        <v>0.23622556597043</v>
      </c>
      <c r="G196" s="4" t="n">
        <f aca="false">(F196-F$344)/F$345</f>
        <v>-0.435060073759321</v>
      </c>
      <c r="H196" s="4" t="n">
        <v>0.202609954663254</v>
      </c>
      <c r="I196" s="4" t="n">
        <f aca="false">(H196-H$344)/H$345</f>
        <v>-0.151200389825976</v>
      </c>
      <c r="J196" s="4" t="n">
        <v>0.12741494796735</v>
      </c>
      <c r="K196" s="4" t="n">
        <f aca="false">(J196-J$344)/J$345</f>
        <v>-0.952586658317339</v>
      </c>
      <c r="L196" s="4" t="n">
        <v>0.243966192021528</v>
      </c>
      <c r="M196" s="4" t="n">
        <f aca="false">(L196-L$344)/L$345</f>
        <v>-0.480411126123667</v>
      </c>
      <c r="N196" s="4" t="n">
        <v>0.201438958951633</v>
      </c>
      <c r="O196" s="4" t="n">
        <f aca="false">(N196-N$344)/N$345</f>
        <v>-0.473913975490968</v>
      </c>
    </row>
    <row r="197" customFormat="false" ht="14.25" hidden="false" customHeight="false" outlineLevel="0" collapsed="false">
      <c r="B197" s="4" t="n">
        <v>0.225832758404832</v>
      </c>
      <c r="C197" s="4" t="n">
        <f aca="false">(B197-B$344)/B$345</f>
        <v>-0.0324424278226869</v>
      </c>
      <c r="D197" s="4" t="n">
        <v>0.315748795583932</v>
      </c>
      <c r="E197" s="4" t="n">
        <f aca="false">(D197-D$344)/D$345</f>
        <v>-0.187463864726336</v>
      </c>
      <c r="F197" s="4" t="n">
        <v>0.272164796292397</v>
      </c>
      <c r="G197" s="4" t="n">
        <f aca="false">(F197-F$344)/F$345</f>
        <v>-0.0879012404488988</v>
      </c>
      <c r="H197" s="4" t="n">
        <v>0.240870685079162</v>
      </c>
      <c r="I197" s="4" t="n">
        <f aca="false">(H197-H$344)/H$345</f>
        <v>0.393904786241263</v>
      </c>
      <c r="J197" s="4" t="n">
        <v>0.148777329997129</v>
      </c>
      <c r="K197" s="4" t="n">
        <f aca="false">(J197-J$344)/J$345</f>
        <v>-0.686855954594542</v>
      </c>
      <c r="L197" s="4" t="n">
        <v>0.281083077020048</v>
      </c>
      <c r="M197" s="4" t="n">
        <f aca="false">(L197-L$344)/L$345</f>
        <v>0.00649518188960917</v>
      </c>
      <c r="N197" s="4" t="n">
        <v>0.2484587776652</v>
      </c>
      <c r="O197" s="4" t="n">
        <f aca="false">(N197-N$344)/N$345</f>
        <v>0.105960278799452</v>
      </c>
    </row>
    <row r="198" customFormat="false" ht="14.25" hidden="false" customHeight="false" outlineLevel="0" collapsed="false">
      <c r="B198" s="4" t="n">
        <v>0.275751676045233</v>
      </c>
      <c r="C198" s="4" t="n">
        <f aca="false">(B198-B$344)/B$345</f>
        <v>0.438757459716789</v>
      </c>
      <c r="D198" s="4" t="n">
        <v>0.390105225920925</v>
      </c>
      <c r="E198" s="4" t="n">
        <f aca="false">(D198-D$344)/D$345</f>
        <v>0.386217797813882</v>
      </c>
      <c r="F198" s="4" t="n">
        <v>0.32295391692101</v>
      </c>
      <c r="G198" s="4" t="n">
        <f aca="false">(F198-F$344)/F$345</f>
        <v>0.402701694125205</v>
      </c>
      <c r="H198" s="4" t="n">
        <v>0.29494053674331</v>
      </c>
      <c r="I198" s="4" t="n">
        <f aca="false">(H198-H$344)/H$345</f>
        <v>1.1642443926974</v>
      </c>
      <c r="J198" s="4" t="n">
        <v>0.178966529601714</v>
      </c>
      <c r="K198" s="4" t="n">
        <f aca="false">(J198-J$344)/J$345</f>
        <v>-0.311326800375173</v>
      </c>
      <c r="L198" s="4" t="n">
        <v>0.333536452695041</v>
      </c>
      <c r="M198" s="4" t="n">
        <f aca="false">(L198-L$344)/L$345</f>
        <v>0.694588471338928</v>
      </c>
      <c r="N198" s="4" t="n">
        <v>0.314906924249998</v>
      </c>
      <c r="O198" s="4" t="n">
        <f aca="false">(N198-N$344)/N$345</f>
        <v>0.925435353439041</v>
      </c>
    </row>
    <row r="199" customFormat="false" ht="14.25" hidden="false" customHeight="false" outlineLevel="0" collapsed="false">
      <c r="A199" s="0" t="s">
        <v>64</v>
      </c>
      <c r="B199" s="4" t="n">
        <v>0.179451072883797</v>
      </c>
      <c r="C199" s="4" t="n">
        <f aca="false">(B199-B$344)/B$345</f>
        <v>-0.470253302626495</v>
      </c>
      <c r="D199" s="4" t="n">
        <v>0.181426268099016</v>
      </c>
      <c r="E199" s="4" t="n">
        <f aca="false">(D199-D$344)/D$345</f>
        <v>-1.22380154977807</v>
      </c>
      <c r="F199" s="4" t="n">
        <v>0.245799674287471</v>
      </c>
      <c r="G199" s="4" t="n">
        <f aca="false">(F199-F$344)/F$345</f>
        <v>-0.342577952034526</v>
      </c>
      <c r="H199" s="4" t="n">
        <v>0.0965900399352309</v>
      </c>
      <c r="I199" s="4" t="n">
        <f aca="false">(H199-H$344)/H$345</f>
        <v>-1.66167872247234</v>
      </c>
      <c r="J199" s="4" t="n">
        <v>0.224629446763633</v>
      </c>
      <c r="K199" s="4" t="n">
        <f aca="false">(J199-J$344)/J$345</f>
        <v>0.256682848294024</v>
      </c>
      <c r="L199" s="4" t="n">
        <v>0.234575695961477</v>
      </c>
      <c r="M199" s="4" t="n">
        <f aca="false">(L199-L$344)/L$345</f>
        <v>-0.603597427107565</v>
      </c>
      <c r="N199" s="4" t="n">
        <v>0.126977596459543</v>
      </c>
      <c r="O199" s="4" t="n">
        <f aca="false">(N199-N$344)/N$345</f>
        <v>-1.39221243409585</v>
      </c>
    </row>
    <row r="200" customFormat="false" ht="14.25" hidden="false" customHeight="false" outlineLevel="0" collapsed="false">
      <c r="B200" s="4" t="n">
        <v>0.239795384227068</v>
      </c>
      <c r="C200" s="4" t="n">
        <f aca="false">(B200-B$344)/B$345</f>
        <v>0.0993550555399845</v>
      </c>
      <c r="D200" s="4" t="n">
        <v>0.286531857355338</v>
      </c>
      <c r="E200" s="4" t="n">
        <f aca="false">(D200-D$344)/D$345</f>
        <v>-0.41288111003182</v>
      </c>
      <c r="F200" s="4" t="n">
        <v>0.307846194010522</v>
      </c>
      <c r="G200" s="4" t="n">
        <f aca="false">(F200-F$344)/F$345</f>
        <v>0.2567670312903</v>
      </c>
      <c r="H200" s="4" t="n">
        <v>0.128398611032596</v>
      </c>
      <c r="I200" s="4" t="n">
        <f aca="false">(H200-H$344)/H$345</f>
        <v>-1.20849822748453</v>
      </c>
      <c r="J200" s="4" t="n">
        <v>0.293103745804798</v>
      </c>
      <c r="K200" s="4" t="n">
        <f aca="false">(J200-J$344)/J$345</f>
        <v>1.10844758341432</v>
      </c>
      <c r="L200" s="4" t="n">
        <v>0.293788978437189</v>
      </c>
      <c r="M200" s="4" t="n">
        <f aca="false">(L200-L$344)/L$345</f>
        <v>0.173173596558496</v>
      </c>
      <c r="N200" s="4" t="n">
        <v>0.204415722061711</v>
      </c>
      <c r="O200" s="4" t="n">
        <f aca="false">(N200-N$344)/N$345</f>
        <v>-0.437202896293264</v>
      </c>
    </row>
    <row r="201" customFormat="false" ht="14.25" hidden="false" customHeight="false" outlineLevel="0" collapsed="false">
      <c r="B201" s="4" t="n">
        <v>0.300139695570339</v>
      </c>
      <c r="C201" s="4" t="n">
        <f aca="false">(B201-B$344)/B$345</f>
        <v>0.668963413706464</v>
      </c>
      <c r="D201" s="4" t="n">
        <v>0.382803819759965</v>
      </c>
      <c r="E201" s="4" t="n">
        <f aca="false">(D201-D$344)/D$345</f>
        <v>0.329885308393429</v>
      </c>
      <c r="F201" s="4" t="n">
        <v>0.369892713733573</v>
      </c>
      <c r="G201" s="4" t="n">
        <f aca="false">(F201-F$344)/F$345</f>
        <v>0.856112014615125</v>
      </c>
      <c r="H201" s="4" t="n">
        <v>0.160207182129962</v>
      </c>
      <c r="I201" s="4" t="n">
        <f aca="false">(H201-H$344)/H$345</f>
        <v>-0.755317732496709</v>
      </c>
      <c r="J201" s="4" t="n">
        <v>0.361578044845964</v>
      </c>
      <c r="K201" s="4" t="n">
        <f aca="false">(J201-J$344)/J$345</f>
        <v>1.96021231853462</v>
      </c>
      <c r="L201" s="4" t="n">
        <v>0.353002260912902</v>
      </c>
      <c r="M201" s="4" t="n">
        <f aca="false">(L201-L$344)/L$345</f>
        <v>0.949944620224557</v>
      </c>
      <c r="N201" s="4" t="n">
        <v>0.281853847663879</v>
      </c>
      <c r="O201" s="4" t="n">
        <f aca="false">(N201-N$344)/N$345</f>
        <v>0.517806641509326</v>
      </c>
    </row>
    <row r="202" customFormat="false" ht="14.25" hidden="false" customHeight="false" outlineLevel="0" collapsed="false">
      <c r="A202" s="0" t="s">
        <v>65</v>
      </c>
      <c r="B202" s="4" t="n">
        <v>0.129257501253887</v>
      </c>
      <c r="C202" s="4" t="n">
        <f aca="false">(B202-B$344)/B$345</f>
        <v>-0.944045732935042</v>
      </c>
      <c r="D202" s="4" t="n">
        <v>0.182587468101394</v>
      </c>
      <c r="E202" s="4" t="n">
        <f aca="false">(D202-D$344)/D$345</f>
        <v>-1.21484255127738</v>
      </c>
      <c r="F202" s="4" t="n">
        <v>0.185651795390274</v>
      </c>
      <c r="G202" s="4" t="n">
        <f aca="false">(F202-F$344)/F$345</f>
        <v>-0.923582811542729</v>
      </c>
      <c r="H202" s="4" t="n">
        <v>0.0726410069353427</v>
      </c>
      <c r="I202" s="4" t="n">
        <f aca="false">(H202-H$344)/H$345</f>
        <v>-2.00288344355671</v>
      </c>
      <c r="J202" s="4" t="n">
        <v>0.225804041833643</v>
      </c>
      <c r="K202" s="4" t="n">
        <f aca="false">(J202-J$344)/J$345</f>
        <v>0.271293858157441</v>
      </c>
      <c r="L202" s="4" t="n">
        <v>0.204748911485644</v>
      </c>
      <c r="M202" s="4" t="n">
        <f aca="false">(L202-L$344)/L$345</f>
        <v>-0.994870819516823</v>
      </c>
      <c r="N202" s="4" t="n">
        <v>0.146117016722093</v>
      </c>
      <c r="O202" s="4" t="n">
        <f aca="false">(N202-N$344)/N$345</f>
        <v>-1.15617458120862</v>
      </c>
    </row>
    <row r="203" customFormat="false" ht="14.25" hidden="false" customHeight="false" outlineLevel="0" collapsed="false">
      <c r="B203" s="4" t="n">
        <v>0.168162157078541</v>
      </c>
      <c r="C203" s="4" t="n">
        <f aca="false">(B203-B$344)/B$345</f>
        <v>-0.576812821729005</v>
      </c>
      <c r="D203" s="4" t="n">
        <v>0.251716650797632</v>
      </c>
      <c r="E203" s="4" t="n">
        <f aca="false">(D203-D$344)/D$345</f>
        <v>-0.681490636997896</v>
      </c>
      <c r="F203" s="4" t="n">
        <v>0.231753247936852</v>
      </c>
      <c r="G203" s="4" t="n">
        <f aca="false">(F203-F$344)/F$345</f>
        <v>-0.478260907411593</v>
      </c>
      <c r="H203" s="4" t="n">
        <v>0.0962979922222811</v>
      </c>
      <c r="I203" s="4" t="n">
        <f aca="false">(H203-H$344)/H$345</f>
        <v>-1.66583956096803</v>
      </c>
      <c r="J203" s="4" t="n">
        <v>0.291963891968386</v>
      </c>
      <c r="K203" s="4" t="n">
        <f aca="false">(J203-J$344)/J$345</f>
        <v>1.09426872631548</v>
      </c>
      <c r="L203" s="4" t="n">
        <v>0.255592600914965</v>
      </c>
      <c r="M203" s="4" t="n">
        <f aca="false">(L203-L$344)/L$345</f>
        <v>-0.327893698274269</v>
      </c>
      <c r="N203" s="4" t="n">
        <v>0.207113838148921</v>
      </c>
      <c r="O203" s="4" t="n">
        <f aca="false">(N203-N$344)/N$345</f>
        <v>-0.403928245372324</v>
      </c>
    </row>
    <row r="204" customFormat="false" ht="14.25" hidden="false" customHeight="false" outlineLevel="0" collapsed="false">
      <c r="B204" s="4" t="n">
        <v>0.207066812903195</v>
      </c>
      <c r="C204" s="4" t="n">
        <f aca="false">(B204-B$344)/B$345</f>
        <v>-0.209579910522967</v>
      </c>
      <c r="D204" s="4" t="n">
        <v>0.31733477157369</v>
      </c>
      <c r="E204" s="4" t="n">
        <f aca="false">(D204-D$344)/D$345</f>
        <v>-0.175227594931918</v>
      </c>
      <c r="F204" s="4" t="n">
        <v>0.27785470048343</v>
      </c>
      <c r="G204" s="4" t="n">
        <f aca="false">(F204-F$344)/F$345</f>
        <v>-0.032939003280457</v>
      </c>
      <c r="H204" s="4" t="n">
        <v>0.119954977509219</v>
      </c>
      <c r="I204" s="4" t="n">
        <f aca="false">(H204-H$344)/H$345</f>
        <v>-1.32879567837934</v>
      </c>
      <c r="J204" s="4" t="n">
        <v>0.358123742103128</v>
      </c>
      <c r="K204" s="4" t="n">
        <f aca="false">(J204-J$344)/J$345</f>
        <v>1.91724359447352</v>
      </c>
      <c r="L204" s="4" t="n">
        <v>0.306436290344286</v>
      </c>
      <c r="M204" s="4" t="n">
        <f aca="false">(L204-L$344)/L$345</f>
        <v>0.339083422968285</v>
      </c>
      <c r="N204" s="4" t="n">
        <v>0.268110659575748</v>
      </c>
      <c r="O204" s="4" t="n">
        <f aca="false">(N204-N$344)/N$345</f>
        <v>0.348318090463973</v>
      </c>
    </row>
    <row r="205" customFormat="false" ht="14.25" hidden="false" customHeight="false" outlineLevel="0" collapsed="false">
      <c r="A205" s="0" t="s">
        <v>66</v>
      </c>
      <c r="B205" s="4" t="n">
        <v>0.137940338610545</v>
      </c>
      <c r="C205" s="4" t="n">
        <f aca="false">(B205-B$344)/B$345</f>
        <v>-0.862085783092913</v>
      </c>
      <c r="D205" s="4" t="n">
        <v>0.226441011152016</v>
      </c>
      <c r="E205" s="4" t="n">
        <f aca="false">(D205-D$344)/D$345</f>
        <v>-0.876499608084162</v>
      </c>
      <c r="F205" s="4" t="n">
        <v>0.208886420521784</v>
      </c>
      <c r="G205" s="4" t="n">
        <f aca="false">(F205-F$344)/F$345</f>
        <v>-0.699145468817282</v>
      </c>
      <c r="H205" s="4" t="n">
        <v>0.142549735759641</v>
      </c>
      <c r="I205" s="4" t="n">
        <f aca="false">(H205-H$344)/H$345</f>
        <v>-1.00688547069623</v>
      </c>
      <c r="J205" s="4" t="n">
        <v>0.117575621593289</v>
      </c>
      <c r="K205" s="4" t="n">
        <f aca="false">(J205-J$344)/J$345</f>
        <v>-1.0749798969502</v>
      </c>
      <c r="L205" s="4" t="n">
        <v>0.186258974067755</v>
      </c>
      <c r="M205" s="4" t="n">
        <f aca="false">(L205-L$344)/L$345</f>
        <v>-1.23742531092685</v>
      </c>
      <c r="N205" s="4" t="n">
        <v>0.156872693454629</v>
      </c>
      <c r="O205" s="4" t="n">
        <f aca="false">(N205-N$344)/N$345</f>
        <v>-1.02352966263371</v>
      </c>
    </row>
    <row r="206" customFormat="false" ht="14.25" hidden="false" customHeight="false" outlineLevel="0" collapsed="false">
      <c r="B206" s="4" t="n">
        <v>0.193075324946703</v>
      </c>
      <c r="C206" s="4" t="n">
        <f aca="false">(B206-B$344)/B$345</f>
        <v>-0.341649832373059</v>
      </c>
      <c r="D206" s="4" t="n">
        <v>0.332474186290742</v>
      </c>
      <c r="E206" s="4" t="n">
        <f aca="false">(D206-D$344)/D$345</f>
        <v>-0.0584225712722078</v>
      </c>
      <c r="F206" s="4" t="n">
        <v>0.28091622070171</v>
      </c>
      <c r="G206" s="4" t="n">
        <f aca="false">(F206-F$344)/F$345</f>
        <v>-0.00336592178670618</v>
      </c>
      <c r="H206" s="4" t="n">
        <v>0.201802288137694</v>
      </c>
      <c r="I206" s="4" t="n">
        <f aca="false">(H206-H$344)/H$345</f>
        <v>-0.162707310860507</v>
      </c>
      <c r="J206" s="4" t="n">
        <v>0.162227304272563</v>
      </c>
      <c r="K206" s="4" t="n">
        <f aca="false">(J206-J$344)/J$345</f>
        <v>-0.519549184952374</v>
      </c>
      <c r="L206" s="4" t="n">
        <v>0.250486206504912</v>
      </c>
      <c r="M206" s="4" t="n">
        <f aca="false">(L206-L$344)/L$345</f>
        <v>-0.39488034463636</v>
      </c>
      <c r="N206" s="4" t="n">
        <v>0.240685249599868</v>
      </c>
      <c r="O206" s="4" t="n">
        <f aca="false">(N206-N$344)/N$345</f>
        <v>0.0100928570735233</v>
      </c>
    </row>
    <row r="207" customFormat="false" ht="14.25" hidden="false" customHeight="false" outlineLevel="0" collapsed="false">
      <c r="B207" s="4" t="n">
        <v>0.226156316748398</v>
      </c>
      <c r="C207" s="4" t="n">
        <f aca="false">(B207-B$344)/B$345</f>
        <v>-0.0293882619411468</v>
      </c>
      <c r="D207" s="4" t="n">
        <v>0.393551183240635</v>
      </c>
      <c r="E207" s="4" t="n">
        <f aca="false">(D207-D$344)/D$345</f>
        <v>0.41280436894504</v>
      </c>
      <c r="F207" s="4" t="n">
        <v>0.324134100809665</v>
      </c>
      <c r="G207" s="4" t="n">
        <f aca="false">(F207-F$344)/F$345</f>
        <v>0.414101806431639</v>
      </c>
      <c r="H207" s="4" t="n">
        <v>0.237353819564526</v>
      </c>
      <c r="I207" s="4" t="n">
        <f aca="false">(H207-H$344)/H$345</f>
        <v>0.343799585040926</v>
      </c>
      <c r="J207" s="4" t="n">
        <v>0.189018313880127</v>
      </c>
      <c r="K207" s="4" t="n">
        <f aca="false">(J207-J$344)/J$345</f>
        <v>-0.186290757753677</v>
      </c>
      <c r="L207" s="4" t="n">
        <v>0.289022545967207</v>
      </c>
      <c r="M207" s="4" t="n">
        <f aca="false">(L207-L$344)/L$345</f>
        <v>0.110646635137934</v>
      </c>
      <c r="N207" s="4" t="n">
        <v>0.290972783287011</v>
      </c>
      <c r="O207" s="4" t="n">
        <f aca="false">(N207-N$344)/N$345</f>
        <v>0.630266368897865</v>
      </c>
    </row>
    <row r="208" customFormat="false" ht="14.25" hidden="false" customHeight="false" outlineLevel="0" collapsed="false">
      <c r="B208" s="4" t="n">
        <v>0.253723809916477</v>
      </c>
      <c r="C208" s="4" t="n">
        <f aca="false">(B208-B$344)/B$345</f>
        <v>0.23082971341878</v>
      </c>
      <c r="D208" s="4" t="n">
        <v>0.44360369351707</v>
      </c>
      <c r="E208" s="4" t="n">
        <f aca="false">(D208-D$344)/D$345</f>
        <v>0.798974161921385</v>
      </c>
      <c r="F208" s="4" t="n">
        <v>0.360149000899628</v>
      </c>
      <c r="G208" s="4" t="n">
        <f aca="false">(F208-F$344)/F$345</f>
        <v>0.761991579946927</v>
      </c>
      <c r="H208" s="4" t="n">
        <v>0.266980095753552</v>
      </c>
      <c r="I208" s="4" t="n">
        <f aca="false">(H208-H$344)/H$345</f>
        <v>0.765888664958786</v>
      </c>
      <c r="J208" s="4" t="n">
        <v>0.211344155219763</v>
      </c>
      <c r="K208" s="4" t="n">
        <f aca="false">(J208-J$344)/J$345</f>
        <v>0.0914245982452372</v>
      </c>
      <c r="L208" s="4" t="n">
        <v>0.321136162185785</v>
      </c>
      <c r="M208" s="4" t="n">
        <f aca="false">(L208-L$344)/L$345</f>
        <v>0.531919118283178</v>
      </c>
      <c r="N208" s="4" t="n">
        <v>0.33287906135963</v>
      </c>
      <c r="O208" s="4" t="n">
        <f aca="false">(N208-N$344)/N$345</f>
        <v>1.14707762875148</v>
      </c>
    </row>
    <row r="209" customFormat="false" ht="14.25" hidden="false" customHeight="false" outlineLevel="0" collapsed="false">
      <c r="B209" s="4" t="n">
        <v>0.297831798985403</v>
      </c>
      <c r="C209" s="4" t="n">
        <f aca="false">(B209-B$344)/B$345</f>
        <v>0.647178473994662</v>
      </c>
      <c r="D209" s="4" t="n">
        <v>0.52261333127303</v>
      </c>
      <c r="E209" s="4" t="n">
        <f aca="false">(D209-D$344)/D$345</f>
        <v>1.40855668409349</v>
      </c>
      <c r="F209" s="4" t="n">
        <v>0.417772841043568</v>
      </c>
      <c r="G209" s="4" t="n">
        <f aca="false">(F209-F$344)/F$345</f>
        <v>1.31861521757139</v>
      </c>
      <c r="H209" s="4" t="n">
        <v>0.314382137655994</v>
      </c>
      <c r="I209" s="4" t="n">
        <f aca="false">(H209-H$344)/H$345</f>
        <v>1.44123119282736</v>
      </c>
      <c r="J209" s="4" t="n">
        <v>0.247065501363182</v>
      </c>
      <c r="K209" s="4" t="n">
        <f aca="false">(J209-J$344)/J$345</f>
        <v>0.535769167843501</v>
      </c>
      <c r="L209" s="4" t="n">
        <v>0.372517948135511</v>
      </c>
      <c r="M209" s="4" t="n">
        <f aca="false">(L209-L$344)/L$345</f>
        <v>1.20595509131557</v>
      </c>
      <c r="N209" s="4" t="n">
        <v>0.399929106275822</v>
      </c>
      <c r="O209" s="4" t="n">
        <f aca="false">(N209-N$344)/N$345</f>
        <v>1.97397564451727</v>
      </c>
    </row>
    <row r="210" customFormat="false" ht="14.25" hidden="false" customHeight="false" outlineLevel="0" collapsed="false">
      <c r="B210" s="4" t="n">
        <v>0.336426289420714</v>
      </c>
      <c r="C210" s="4" t="n">
        <f aca="false">(B210-B$344)/B$345</f>
        <v>1.01148363949856</v>
      </c>
      <c r="D210" s="4" t="n">
        <v>0.590995811751367</v>
      </c>
      <c r="E210" s="4" t="n">
        <f aca="false">(D210-D$344)/D$345</f>
        <v>1.93614757181688</v>
      </c>
      <c r="F210" s="4" t="n">
        <v>0.468193701169516</v>
      </c>
      <c r="G210" s="4" t="n">
        <f aca="false">(F210-F$344)/F$345</f>
        <v>1.80566090049279</v>
      </c>
      <c r="H210" s="4" t="n">
        <v>0.355858924320632</v>
      </c>
      <c r="I210" s="4" t="n">
        <f aca="false">(H210-H$344)/H$345</f>
        <v>2.03215590471237</v>
      </c>
      <c r="J210" s="4" t="n">
        <v>0.278321679238673</v>
      </c>
      <c r="K210" s="4" t="n">
        <f aca="false">(J210-J$344)/J$345</f>
        <v>0.924570666241982</v>
      </c>
      <c r="L210" s="4" t="n">
        <v>0.417477010841521</v>
      </c>
      <c r="M210" s="4" t="n">
        <f aca="false">(L210-L$344)/L$345</f>
        <v>1.79573656771891</v>
      </c>
      <c r="N210" s="4" t="n">
        <v>0.427397702241992</v>
      </c>
      <c r="O210" s="4" t="n">
        <f aca="false">(N210-N$344)/N$345</f>
        <v>2.31273347128218</v>
      </c>
    </row>
    <row r="211" customFormat="false" ht="14.25" hidden="false" customHeight="false" outlineLevel="0" collapsed="false">
      <c r="A211" s="0" t="s">
        <v>67</v>
      </c>
      <c r="B211" s="4" t="n">
        <v>0.135786027721866</v>
      </c>
      <c r="C211" s="4" t="n">
        <f aca="false">(B211-B$344)/B$345</f>
        <v>-0.882420980578231</v>
      </c>
      <c r="D211" s="4" t="n">
        <v>0.276453674287197</v>
      </c>
      <c r="E211" s="4" t="n">
        <f aca="false">(D211-D$344)/D$345</f>
        <v>-0.490637247486407</v>
      </c>
      <c r="F211" s="4" t="n">
        <v>0.225430999694977</v>
      </c>
      <c r="G211" s="4" t="n">
        <f aca="false">(F211-F$344)/F$345</f>
        <v>-0.539331339468303</v>
      </c>
      <c r="H211" s="4" t="n">
        <v>0.184187287289893</v>
      </c>
      <c r="I211" s="4" t="n">
        <f aca="false">(H211-H$344)/H$345</f>
        <v>-0.413670322653213</v>
      </c>
      <c r="J211" s="4" t="n">
        <v>0.138455306114665</v>
      </c>
      <c r="K211" s="4" t="n">
        <f aca="false">(J211-J$344)/J$345</f>
        <v>-0.815253558677605</v>
      </c>
      <c r="L211" s="4" t="n">
        <v>0.219990335488888</v>
      </c>
      <c r="M211" s="4" t="n">
        <f aca="false">(L211-L$344)/L$345</f>
        <v>-0.794930940656289</v>
      </c>
      <c r="N211" s="4" t="n">
        <v>0.190475639955545</v>
      </c>
      <c r="O211" s="4" t="n">
        <f aca="false">(N211-N$344)/N$345</f>
        <v>-0.609119652614743</v>
      </c>
    </row>
    <row r="212" customFormat="false" ht="14.25" hidden="false" customHeight="false" outlineLevel="0" collapsed="false">
      <c r="B212" s="4" t="n">
        <v>0.156050543970955</v>
      </c>
      <c r="C212" s="4" t="n">
        <f aca="false">(B212-B$344)/B$345</f>
        <v>-0.691138031568842</v>
      </c>
      <c r="D212" s="4" t="n">
        <v>0.320368973802468</v>
      </c>
      <c r="E212" s="4" t="n">
        <f aca="false">(D212-D$344)/D$345</f>
        <v>-0.151817835060444</v>
      </c>
      <c r="F212" s="4" t="n">
        <v>0.256372509457033</v>
      </c>
      <c r="G212" s="4" t="n">
        <f aca="false">(F212-F$344)/F$345</f>
        <v>-0.240448521621961</v>
      </c>
      <c r="H212" s="4" t="n">
        <v>0.213847952257798</v>
      </c>
      <c r="I212" s="4" t="n">
        <f aca="false">(H212-H$344)/H$345</f>
        <v>0.00890869828672634</v>
      </c>
      <c r="J212" s="4" t="n">
        <v>0.15900260071079</v>
      </c>
      <c r="K212" s="4" t="n">
        <f aca="false">(J212-J$344)/J$345</f>
        <v>-0.559661881447214</v>
      </c>
      <c r="L212" s="4" t="n">
        <v>0.250185087418735</v>
      </c>
      <c r="M212" s="4" t="n">
        <f aca="false">(L212-L$344)/L$345</f>
        <v>-0.398830481683921</v>
      </c>
      <c r="N212" s="4" t="n">
        <v>0.223221829980617</v>
      </c>
      <c r="O212" s="4" t="n">
        <f aca="false">(N212-N$344)/N$345</f>
        <v>-0.205275634471766</v>
      </c>
    </row>
    <row r="213" customFormat="false" ht="14.25" hidden="false" customHeight="false" outlineLevel="0" collapsed="false">
      <c r="B213" s="4" t="n">
        <v>0.182104922005498</v>
      </c>
      <c r="C213" s="4" t="n">
        <f aca="false">(B213-B$344)/B$345</f>
        <v>-0.445202811413912</v>
      </c>
      <c r="D213" s="4" t="n">
        <v>0.37597375921906</v>
      </c>
      <c r="E213" s="4" t="n">
        <f aca="false">(D213-D$344)/D$345</f>
        <v>0.277189388637755</v>
      </c>
      <c r="F213" s="4" t="n">
        <v>0.296154450579676</v>
      </c>
      <c r="G213" s="4" t="n">
        <f aca="false">(F213-F$344)/F$345</f>
        <v>0.143829387037625</v>
      </c>
      <c r="H213" s="4" t="n">
        <v>0.251983092930819</v>
      </c>
      <c r="I213" s="4" t="n">
        <f aca="false">(H213-H$344)/H$345</f>
        <v>0.552224582352366</v>
      </c>
      <c r="J213" s="4" t="n">
        <v>0.185420550905807</v>
      </c>
      <c r="K213" s="4" t="n">
        <f aca="false">(J213-J$344)/J$345</f>
        <v>-0.231044010722423</v>
      </c>
      <c r="L213" s="4" t="n">
        <v>0.289006911328539</v>
      </c>
      <c r="M213" s="4" t="n">
        <f aca="false">(L213-L$344)/L$345</f>
        <v>0.110441536994841</v>
      </c>
      <c r="N213" s="4" t="n">
        <v>0.265324074298567</v>
      </c>
      <c r="O213" s="4" t="n">
        <f aca="false">(N213-N$344)/N$345</f>
        <v>0.313952388854921</v>
      </c>
    </row>
    <row r="214" customFormat="false" ht="14.25" hidden="false" customHeight="false" outlineLevel="0" collapsed="false">
      <c r="B214" s="4" t="n">
        <v>0.193684645576406</v>
      </c>
      <c r="C214" s="4" t="n">
        <f aca="false">(B214-B$344)/B$345</f>
        <v>-0.335898269122833</v>
      </c>
      <c r="D214" s="4" t="n">
        <v>0.400464507628601</v>
      </c>
      <c r="E214" s="4" t="n">
        <f aca="false">(D214-D$344)/D$345</f>
        <v>0.466142693695082</v>
      </c>
      <c r="F214" s="4" t="n">
        <v>0.31383531330085</v>
      </c>
      <c r="G214" s="4" t="n">
        <f aca="false">(F214-F$344)/F$345</f>
        <v>0.314619568664107</v>
      </c>
      <c r="H214" s="4" t="n">
        <v>0.268932044341051</v>
      </c>
      <c r="I214" s="4" t="n">
        <f aca="false">(H214-H$344)/H$345</f>
        <v>0.79369830860376</v>
      </c>
      <c r="J214" s="4" t="n">
        <v>0.197161862103593</v>
      </c>
      <c r="K214" s="4" t="n">
        <f aca="false">(J214-J$344)/J$345</f>
        <v>-0.0849916237336272</v>
      </c>
      <c r="L214" s="4" t="n">
        <v>0.306261055288452</v>
      </c>
      <c r="M214" s="4" t="n">
        <f aca="false">(L214-L$344)/L$345</f>
        <v>0.336784656407623</v>
      </c>
      <c r="N214" s="4" t="n">
        <v>0.284036182884323</v>
      </c>
      <c r="O214" s="4" t="n">
        <f aca="false">(N214-N$344)/N$345</f>
        <v>0.544720399222337</v>
      </c>
    </row>
    <row r="215" customFormat="false" ht="14.25" hidden="false" customHeight="false" outlineLevel="0" collapsed="false">
      <c r="B215" s="4" t="n">
        <v>0.21973902361095</v>
      </c>
      <c r="C215" s="4" t="n">
        <f aca="false">(B215-B$344)/B$345</f>
        <v>-0.0899630489679033</v>
      </c>
      <c r="D215" s="4" t="n">
        <v>0.455205755466104</v>
      </c>
      <c r="E215" s="4" t="n">
        <f aca="false">(D215-D$344)/D$345</f>
        <v>0.888487471767637</v>
      </c>
      <c r="F215" s="4" t="n">
        <v>0.353617254423494</v>
      </c>
      <c r="G215" s="4" t="n">
        <f aca="false">(F215-F$344)/F$345</f>
        <v>0.698897477323692</v>
      </c>
      <c r="H215" s="4" t="n">
        <v>0.307067185014072</v>
      </c>
      <c r="I215" s="4" t="n">
        <f aca="false">(H215-H$344)/H$345</f>
        <v>1.3370141926694</v>
      </c>
      <c r="J215" s="4" t="n">
        <v>0.22357981229861</v>
      </c>
      <c r="K215" s="4" t="n">
        <f aca="false">(J215-J$344)/J$345</f>
        <v>0.243626246991163</v>
      </c>
      <c r="L215" s="4" t="n">
        <v>0.345082879198256</v>
      </c>
      <c r="M215" s="4" t="n">
        <f aca="false">(L215-L$344)/L$345</f>
        <v>0.846056675086385</v>
      </c>
      <c r="N215" s="4" t="n">
        <v>0.326138427202273</v>
      </c>
      <c r="O215" s="4" t="n">
        <f aca="false">(N215-N$344)/N$345</f>
        <v>1.06394842254902</v>
      </c>
    </row>
    <row r="216" customFormat="false" ht="14.25" hidden="false" customHeight="false" outlineLevel="0" collapsed="false">
      <c r="B216" s="4" t="n">
        <v>0.274742710572763</v>
      </c>
      <c r="C216" s="4" t="n">
        <f aca="false">(B216-B$344)/B$345</f>
        <v>0.429233526914725</v>
      </c>
      <c r="D216" s="4" t="n">
        <v>0.569653760265693</v>
      </c>
      <c r="E216" s="4" t="n">
        <f aca="false">(D216-D$344)/D$345</f>
        <v>1.7714873867753</v>
      </c>
      <c r="F216" s="4" t="n">
        <v>0.437601352349073</v>
      </c>
      <c r="G216" s="4" t="n">
        <f aca="false">(F216-F$344)/F$345</f>
        <v>1.51015084004948</v>
      </c>
      <c r="H216" s="4" t="n">
        <v>0.387574704212672</v>
      </c>
      <c r="I216" s="4" t="n">
        <f aca="false">(H216-H$344)/H$345</f>
        <v>2.48401439236352</v>
      </c>
      <c r="J216" s="4" t="n">
        <v>0.279351040488091</v>
      </c>
      <c r="K216" s="4" t="n">
        <f aca="false">(J216-J$344)/J$345</f>
        <v>0.937375085187942</v>
      </c>
      <c r="L216" s="4" t="n">
        <v>0.427040063007842</v>
      </c>
      <c r="M216" s="4" t="n">
        <f aca="false">(L216-L$344)/L$345</f>
        <v>1.9211864922971</v>
      </c>
      <c r="N216" s="4" t="n">
        <v>0.399709101142667</v>
      </c>
      <c r="O216" s="4" t="n">
        <f aca="false">(N216-N$344)/N$345</f>
        <v>1.97126242026379</v>
      </c>
    </row>
    <row r="217" customFormat="false" ht="14.25" hidden="false" customHeight="false" outlineLevel="0" collapsed="false">
      <c r="A217" s="0" t="s">
        <v>68</v>
      </c>
      <c r="B217" s="4" t="n">
        <v>0.0840784479680713</v>
      </c>
      <c r="C217" s="4" t="n">
        <f aca="false">(B217-B$344)/B$345</f>
        <v>-1.37050459530002</v>
      </c>
      <c r="D217" s="4" t="n">
        <v>0.198162645684738</v>
      </c>
      <c r="E217" s="4" t="n">
        <f aca="false">(D217-D$344)/D$345</f>
        <v>-1.09467548933161</v>
      </c>
      <c r="F217" s="4" t="n">
        <v>0.157889347496294</v>
      </c>
      <c r="G217" s="4" t="n">
        <f aca="false">(F217-F$344)/F$345</f>
        <v>-1.19175714177663</v>
      </c>
      <c r="H217" s="4" t="n">
        <v>0.128209224601598</v>
      </c>
      <c r="I217" s="4" t="n">
        <f aca="false">(H217-H$344)/H$345</f>
        <v>-1.21119643848813</v>
      </c>
      <c r="J217" s="4" t="n">
        <v>0.125373813815082</v>
      </c>
      <c r="K217" s="4" t="n">
        <f aca="false">(J217-J$344)/J$345</f>
        <v>-0.97797671144524</v>
      </c>
      <c r="L217" s="4" t="n">
        <v>0.180163288811572</v>
      </c>
      <c r="M217" s="4" t="n">
        <f aca="false">(L217-L$344)/L$345</f>
        <v>-1.31738966146482</v>
      </c>
      <c r="N217" s="4" t="n">
        <v>0.151018526686363</v>
      </c>
      <c r="O217" s="4" t="n">
        <f aca="false">(N217-N$344)/N$345</f>
        <v>-1.09572646564394</v>
      </c>
    </row>
    <row r="218" customFormat="false" ht="14.25" hidden="false" customHeight="false" outlineLevel="0" collapsed="false">
      <c r="B218" s="4" t="n">
        <v>0.0972733666019557</v>
      </c>
      <c r="C218" s="4" t="n">
        <f aca="false">(B218-B$344)/B$345</f>
        <v>-1.24595373421831</v>
      </c>
      <c r="D218" s="4" t="n">
        <v>0.230239516717464</v>
      </c>
      <c r="E218" s="4" t="n">
        <f aca="false">(D218-D$344)/D$345</f>
        <v>-0.847193023864367</v>
      </c>
      <c r="F218" s="4" t="n">
        <v>0.181108369186925</v>
      </c>
      <c r="G218" s="4" t="n">
        <f aca="false">(F218-F$344)/F$345</f>
        <v>-0.967470522154675</v>
      </c>
      <c r="H218" s="4" t="n">
        <v>0.150708239799314</v>
      </c>
      <c r="I218" s="4" t="n">
        <f aca="false">(H218-H$344)/H$345</f>
        <v>-0.890650293462337</v>
      </c>
      <c r="J218" s="4" t="n">
        <v>0.145428428574824</v>
      </c>
      <c r="K218" s="4" t="n">
        <f aca="false">(J218-J$344)/J$345</f>
        <v>-0.728513571727633</v>
      </c>
      <c r="L218" s="4" t="n">
        <v>0.206657890107391</v>
      </c>
      <c r="M218" s="4" t="n">
        <f aca="false">(L218-L$344)/L$345</f>
        <v>-0.969828477390637</v>
      </c>
      <c r="N218" s="4" t="n">
        <v>0.177183832944097</v>
      </c>
      <c r="O218" s="4" t="n">
        <f aca="false">(N218-N$344)/N$345</f>
        <v>-0.773041524068315</v>
      </c>
    </row>
    <row r="219" customFormat="false" ht="14.25" hidden="false" customHeight="false" outlineLevel="0" collapsed="false">
      <c r="B219" s="4" t="n">
        <v>0.109148793372452</v>
      </c>
      <c r="C219" s="4" t="n">
        <f aca="false">(B219-B$344)/B$345</f>
        <v>-1.13385795924477</v>
      </c>
      <c r="D219" s="4" t="n">
        <v>0.25883998916646</v>
      </c>
      <c r="E219" s="4" t="n">
        <f aca="false">(D219-D$344)/D$345</f>
        <v>-0.626531992806064</v>
      </c>
      <c r="F219" s="4" t="n">
        <v>0.202005488708493</v>
      </c>
      <c r="G219" s="4" t="n">
        <f aca="false">(F219-F$344)/F$345</f>
        <v>-0.765612564494912</v>
      </c>
      <c r="H219" s="4" t="n">
        <v>0.170957353477258</v>
      </c>
      <c r="I219" s="4" t="n">
        <f aca="false">(H219-H$344)/H$345</f>
        <v>-0.602158762939124</v>
      </c>
      <c r="J219" s="4" t="n">
        <v>0.163477581858592</v>
      </c>
      <c r="K219" s="4" t="n">
        <f aca="false">(J219-J$344)/J$345</f>
        <v>-0.503996745981786</v>
      </c>
      <c r="L219" s="4" t="n">
        <v>0.230503031273629</v>
      </c>
      <c r="M219" s="4" t="n">
        <f aca="false">(L219-L$344)/L$345</f>
        <v>-0.657023411723872</v>
      </c>
      <c r="N219" s="4" t="n">
        <v>0.200732608576057</v>
      </c>
      <c r="O219" s="4" t="n">
        <f aca="false">(N219-N$344)/N$345</f>
        <v>-0.482625076650256</v>
      </c>
    </row>
    <row r="220" customFormat="false" ht="14.25" hidden="false" customHeight="false" outlineLevel="0" collapsed="false">
      <c r="B220" s="4" t="n">
        <v>0.123663203869724</v>
      </c>
      <c r="C220" s="4" t="n">
        <f aca="false">(B220-B$344)/B$345</f>
        <v>-0.996852012054895</v>
      </c>
      <c r="D220" s="4" t="n">
        <v>0.293556241282029</v>
      </c>
      <c r="E220" s="4" t="n">
        <f aca="false">(D220-D$344)/D$345</f>
        <v>-0.358685928376094</v>
      </c>
      <c r="F220" s="4" t="n">
        <v>0.227546412568188</v>
      </c>
      <c r="G220" s="4" t="n">
        <f aca="false">(F220-F$344)/F$345</f>
        <v>-0.518897282910758</v>
      </c>
      <c r="H220" s="4" t="n">
        <v>0.195706270194745</v>
      </c>
      <c r="I220" s="4" t="n">
        <f aca="false">(H220-H$344)/H$345</f>
        <v>-0.249558003410755</v>
      </c>
      <c r="J220" s="4" t="n">
        <v>0.185537658094309</v>
      </c>
      <c r="K220" s="4" t="n">
        <f aca="false">(J220-J$344)/J$345</f>
        <v>-0.229587292292418</v>
      </c>
      <c r="L220" s="4" t="n">
        <v>0.25964709269903</v>
      </c>
      <c r="M220" s="4" t="n">
        <f aca="false">(L220-L$344)/L$345</f>
        <v>-0.274706109242271</v>
      </c>
      <c r="N220" s="4" t="n">
        <v>0.229514445459563</v>
      </c>
      <c r="O220" s="4" t="n">
        <f aca="false">(N220-N$344)/N$345</f>
        <v>-0.127671640917073</v>
      </c>
    </row>
    <row r="221" customFormat="false" ht="14.25" hidden="false" customHeight="false" outlineLevel="0" collapsed="false">
      <c r="B221" s="4" t="n">
        <v>0.138177614366997</v>
      </c>
      <c r="C221" s="4" t="n">
        <f aca="false">(B221-B$344)/B$345</f>
        <v>-0.859846064865015</v>
      </c>
      <c r="D221" s="4" t="n">
        <v>0.328083669734275</v>
      </c>
      <c r="E221" s="4" t="n">
        <f aca="false">(D221-D$344)/D$345</f>
        <v>-0.0922966938747705</v>
      </c>
      <c r="F221" s="4" t="n">
        <v>0.253087336427883</v>
      </c>
      <c r="G221" s="4" t="n">
        <f aca="false">(F221-F$344)/F$345</f>
        <v>-0.272182001326604</v>
      </c>
      <c r="H221" s="4" t="n">
        <v>0.220455186912233</v>
      </c>
      <c r="I221" s="4" t="n">
        <f aca="false">(H221-H$344)/H$345</f>
        <v>0.103042756117616</v>
      </c>
      <c r="J221" s="4" t="n">
        <v>0.207597734330025</v>
      </c>
      <c r="K221" s="4" t="n">
        <f aca="false">(J221-J$344)/J$345</f>
        <v>0.0448221613969504</v>
      </c>
      <c r="L221" s="4" t="n">
        <v>0.288791154124431</v>
      </c>
      <c r="M221" s="4" t="n">
        <f aca="false">(L221-L$344)/L$345</f>
        <v>0.107611193239332</v>
      </c>
      <c r="N221" s="4" t="n">
        <v>0.25829628234307</v>
      </c>
      <c r="O221" s="4" t="n">
        <f aca="false">(N221-N$344)/N$345</f>
        <v>0.227281794816109</v>
      </c>
    </row>
    <row r="222" customFormat="false" ht="14.25" hidden="false" customHeight="false" outlineLevel="0" collapsed="false">
      <c r="B222" s="4" t="n">
        <v>0.151372533000882</v>
      </c>
      <c r="C222" s="4" t="n">
        <f aca="false">(B222-B$344)/B$345</f>
        <v>-0.735295203783306</v>
      </c>
      <c r="D222" s="4" t="n">
        <v>0.359352447724096</v>
      </c>
      <c r="E222" s="4" t="n">
        <f aca="false">(D222-D$344)/D$345</f>
        <v>0.148951096820703</v>
      </c>
      <c r="F222" s="4" t="n">
        <v>0.276306358118514</v>
      </c>
      <c r="G222" s="4" t="n">
        <f aca="false">(F222-F$344)/F$345</f>
        <v>-0.0478953817046448</v>
      </c>
      <c r="H222" s="4" t="n">
        <v>0.242954202109949</v>
      </c>
      <c r="I222" s="4" t="n">
        <f aca="false">(H222-H$344)/H$345</f>
        <v>0.423588901143406</v>
      </c>
      <c r="J222" s="4" t="n">
        <v>0.227652349089768</v>
      </c>
      <c r="K222" s="4" t="n">
        <f aca="false">(J222-J$344)/J$345</f>
        <v>0.294285301114558</v>
      </c>
      <c r="L222" s="4" t="n">
        <v>0.315285755420251</v>
      </c>
      <c r="M222" s="4" t="n">
        <f aca="false">(L222-L$344)/L$345</f>
        <v>0.455172377313516</v>
      </c>
      <c r="N222" s="4" t="n">
        <v>0.283061040424569</v>
      </c>
      <c r="O222" s="4" t="n">
        <f aca="false">(N222-N$344)/N$345</f>
        <v>0.532694406308137</v>
      </c>
    </row>
    <row r="223" customFormat="false" ht="14.25" hidden="false" customHeight="false" outlineLevel="0" collapsed="false">
      <c r="B223" s="4" t="n">
        <v>0.164567451634766</v>
      </c>
      <c r="C223" s="4" t="n">
        <f aca="false">(B223-B$344)/B$345</f>
        <v>-0.610744342701597</v>
      </c>
      <c r="D223" s="4" t="n">
        <v>0.390534553536882</v>
      </c>
      <c r="E223" s="4" t="n">
        <f aca="false">(D223-D$344)/D$345</f>
        <v>0.389530186256687</v>
      </c>
      <c r="F223" s="4" t="n">
        <v>0.299525379809145</v>
      </c>
      <c r="G223" s="4" t="n">
        <f aca="false">(F223-F$344)/F$345</f>
        <v>0.176391237917313</v>
      </c>
      <c r="H223" s="4" t="n">
        <v>0.265453217307664</v>
      </c>
      <c r="I223" s="4" t="n">
        <f aca="false">(H223-H$344)/H$345</f>
        <v>0.744135046169197</v>
      </c>
      <c r="J223" s="4" t="n">
        <v>0.24770696384951</v>
      </c>
      <c r="K223" s="4" t="n">
        <f aca="false">(J223-J$344)/J$345</f>
        <v>0.543748440832165</v>
      </c>
      <c r="L223" s="4" t="n">
        <v>0.34178035671607</v>
      </c>
      <c r="M223" s="4" t="n">
        <f aca="false">(L223-L$344)/L$345</f>
        <v>0.802733561387698</v>
      </c>
      <c r="N223" s="4" t="n">
        <v>0.306847682477054</v>
      </c>
      <c r="O223" s="4" t="n">
        <f aca="false">(N223-N$344)/N$345</f>
        <v>0.826044353195065</v>
      </c>
    </row>
    <row r="224" customFormat="false" ht="14.25" hidden="false" customHeight="false" outlineLevel="0" collapsed="false">
      <c r="B224" s="4" t="n">
        <v>0.176442878405262</v>
      </c>
      <c r="C224" s="4" t="n">
        <f aca="false">(B224-B$344)/B$345</f>
        <v>-0.498648567728059</v>
      </c>
      <c r="D224" s="4" t="n">
        <v>0.418539916786225</v>
      </c>
      <c r="E224" s="4" t="n">
        <f aca="false">(D224-D$344)/D$345</f>
        <v>0.60559977534416</v>
      </c>
      <c r="F224" s="4" t="n">
        <v>0.320422499330714</v>
      </c>
      <c r="G224" s="4" t="n">
        <f aca="false">(F224-F$344)/F$345</f>
        <v>0.378249195577076</v>
      </c>
      <c r="H224" s="4" t="n">
        <v>0.285702330985609</v>
      </c>
      <c r="I224" s="4" t="n">
        <f aca="false">(H224-H$344)/H$345</f>
        <v>1.03262657669241</v>
      </c>
      <c r="J224" s="4" t="n">
        <v>0.265756117133278</v>
      </c>
      <c r="K224" s="4" t="n">
        <f aca="false">(J224-J$344)/J$345</f>
        <v>0.768265266578011</v>
      </c>
      <c r="L224" s="4" t="n">
        <v>0.365625497882307</v>
      </c>
      <c r="M224" s="4" t="n">
        <f aca="false">(L224-L$344)/L$345</f>
        <v>1.11553862705446</v>
      </c>
      <c r="N224" s="4" t="n">
        <v>0.32825566032429</v>
      </c>
      <c r="O224" s="4" t="n">
        <f aca="false">(N224-N$344)/N$345</f>
        <v>1.0900593053933</v>
      </c>
    </row>
    <row r="225" customFormat="false" ht="14.25" hidden="false" customHeight="false" outlineLevel="0" collapsed="false">
      <c r="A225" s="0" t="s">
        <v>69</v>
      </c>
      <c r="B225" s="4" t="n">
        <v>0.230599714713063</v>
      </c>
      <c r="C225" s="4" t="n">
        <f aca="false">(B225-B$344)/B$345</f>
        <v>0.0125543265645936</v>
      </c>
      <c r="D225" s="4" t="n">
        <v>0.385763305046418</v>
      </c>
      <c r="E225" s="4" t="n">
        <f aca="false">(D225-D$344)/D$345</f>
        <v>0.352718605146662</v>
      </c>
      <c r="F225" s="4" t="n">
        <v>0.301687525384163</v>
      </c>
      <c r="G225" s="4" t="n">
        <f aca="false">(F225-F$344)/F$345</f>
        <v>0.197276713998634</v>
      </c>
      <c r="H225" s="4" t="n">
        <v>0.241763160915986</v>
      </c>
      <c r="I225" s="4" t="n">
        <f aca="false">(H225-H$344)/H$345</f>
        <v>0.406619995618578</v>
      </c>
      <c r="J225" s="4" t="n">
        <v>0.192616849204435</v>
      </c>
      <c r="K225" s="4" t="n">
        <f aca="false">(J225-J$344)/J$345</f>
        <v>-0.141527897377577</v>
      </c>
      <c r="L225" s="4" t="n">
        <v>0.293140956945964</v>
      </c>
      <c r="M225" s="4" t="n">
        <f aca="false">(L225-L$344)/L$345</f>
        <v>0.1646727282389</v>
      </c>
      <c r="N225" s="4" t="n">
        <v>0.309325860151775</v>
      </c>
      <c r="O225" s="4" t="n">
        <f aca="false">(N225-N$344)/N$345</f>
        <v>0.856606602698449</v>
      </c>
    </row>
    <row r="226" customFormat="false" ht="14.25" hidden="false" customHeight="false" outlineLevel="0" collapsed="false">
      <c r="B226" s="4" t="n">
        <v>0.280011834893419</v>
      </c>
      <c r="C226" s="4" t="n">
        <f aca="false">(B226-B$344)/B$345</f>
        <v>0.478970398319065</v>
      </c>
      <c r="D226" s="4" t="n">
        <v>0.469078915970748</v>
      </c>
      <c r="E226" s="4" t="n">
        <f aca="false">(D226-D$344)/D$345</f>
        <v>0.9955229728927</v>
      </c>
      <c r="F226" s="4" t="n">
        <v>0.360713345568021</v>
      </c>
      <c r="G226" s="4" t="n">
        <f aca="false">(F226-F$344)/F$345</f>
        <v>0.767442927538661</v>
      </c>
      <c r="H226" s="4" t="n">
        <v>0.294785208428386</v>
      </c>
      <c r="I226" s="4" t="n">
        <f aca="false">(H226-H$344)/H$345</f>
        <v>1.16203141172357</v>
      </c>
      <c r="J226" s="4" t="n">
        <v>0.232633804996378</v>
      </c>
      <c r="K226" s="4" t="n">
        <f aca="false">(J226-J$344)/J$345</f>
        <v>0.356250571737574</v>
      </c>
      <c r="L226" s="4" t="n">
        <v>0.350494622435391</v>
      </c>
      <c r="M226" s="4" t="n">
        <f aca="false">(L226-L$344)/L$345</f>
        <v>0.91704894503615</v>
      </c>
      <c r="N226" s="4" t="n">
        <v>0.384485959973429</v>
      </c>
      <c r="O226" s="4" t="n">
        <f aca="false">(N226-N$344)/N$345</f>
        <v>1.7835222741938</v>
      </c>
    </row>
    <row r="227" customFormat="false" ht="14.25" hidden="false" customHeight="false" outlineLevel="0" collapsed="false">
      <c r="B227" s="4" t="n">
        <v>0.33491419064937</v>
      </c>
      <c r="C227" s="4" t="n">
        <f aca="false">(B227-B$344)/B$345</f>
        <v>0.997210478046258</v>
      </c>
      <c r="D227" s="4" t="n">
        <v>0.560492077844878</v>
      </c>
      <c r="E227" s="4" t="n">
        <f aca="false">(D227-D$344)/D$345</f>
        <v>1.70080232054743</v>
      </c>
      <c r="F227" s="4" t="n">
        <v>0.426297590216753</v>
      </c>
      <c r="G227" s="4" t="n">
        <f aca="false">(F227-F$344)/F$345</f>
        <v>1.40096094258314</v>
      </c>
      <c r="H227" s="4" t="n">
        <v>0.353698594553275</v>
      </c>
      <c r="I227" s="4" t="n">
        <f aca="false">(H227-H$344)/H$345</f>
        <v>2.00137742961801</v>
      </c>
      <c r="J227" s="4" t="n">
        <v>0.277097089209647</v>
      </c>
      <c r="K227" s="4" t="n">
        <f aca="false">(J227-J$344)/J$345</f>
        <v>0.909337759643299</v>
      </c>
      <c r="L227" s="4" t="n">
        <v>0.414220917423644</v>
      </c>
      <c r="M227" s="4" t="n">
        <f aca="false">(L227-L$344)/L$345</f>
        <v>1.75302251925532</v>
      </c>
      <c r="N227" s="4" t="n">
        <v>0.436909163773596</v>
      </c>
      <c r="O227" s="4" t="n">
        <f aca="false">(N227-N$344)/N$345</f>
        <v>2.43003404397154</v>
      </c>
    </row>
    <row r="228" customFormat="false" ht="14.25" hidden="false" customHeight="false" outlineLevel="0" collapsed="false">
      <c r="A228" s="0" t="s">
        <v>70</v>
      </c>
      <c r="B228" s="4" t="n">
        <v>0.132194036718476</v>
      </c>
      <c r="C228" s="4" t="n">
        <f aca="false">(B228-B$344)/B$345</f>
        <v>-0.916326879120194</v>
      </c>
      <c r="D228" s="4" t="n">
        <v>0.258051228452672</v>
      </c>
      <c r="E228" s="4" t="n">
        <f aca="false">(D228-D$344)/D$345</f>
        <v>-0.632617512990149</v>
      </c>
      <c r="F228" s="4" t="n">
        <v>0.201113197680916</v>
      </c>
      <c r="G228" s="4" t="n">
        <f aca="false">(F228-F$344)/F$345</f>
        <v>-0.774231744965168</v>
      </c>
      <c r="H228" s="4" t="n">
        <v>0.178461025134146</v>
      </c>
      <c r="I228" s="4" t="n">
        <f aca="false">(H228-H$344)/H$345</f>
        <v>-0.495253060533143</v>
      </c>
      <c r="J228" s="4" t="n">
        <v>0.134813191177103</v>
      </c>
      <c r="K228" s="4" t="n">
        <f aca="false">(J228-J$344)/J$345</f>
        <v>-0.860558514091683</v>
      </c>
      <c r="L228" s="4" t="n">
        <v>0.213605853370416</v>
      </c>
      <c r="M228" s="4" t="n">
        <f aca="false">(L228-L$344)/L$345</f>
        <v>-0.878683782981447</v>
      </c>
      <c r="N228" s="4" t="n">
        <v>0.191063037456777</v>
      </c>
      <c r="O228" s="4" t="n">
        <f aca="false">(N228-N$344)/N$345</f>
        <v>-0.601875543698163</v>
      </c>
    </row>
    <row r="229" customFormat="false" ht="14.25" hidden="false" customHeight="false" outlineLevel="0" collapsed="false">
      <c r="B229" s="4" t="n">
        <v>0.152360964552072</v>
      </c>
      <c r="C229" s="4" t="n">
        <f aca="false">(B229-B$344)/B$345</f>
        <v>-0.725965096926491</v>
      </c>
      <c r="D229" s="4" t="n">
        <v>0.298771034735886</v>
      </c>
      <c r="E229" s="4" t="n">
        <f aca="false">(D229-D$344)/D$345</f>
        <v>-0.318452267819048</v>
      </c>
      <c r="F229" s="4" t="n">
        <v>0.229269045356244</v>
      </c>
      <c r="G229" s="4" t="n">
        <f aca="false">(F229-F$344)/F$345</f>
        <v>-0.502257327531459</v>
      </c>
      <c r="H229" s="4" t="n">
        <v>0.207901522462952</v>
      </c>
      <c r="I229" s="4" t="n">
        <f aca="false">(H229-H$344)/H$345</f>
        <v>-0.0758107941290142</v>
      </c>
      <c r="J229" s="4" t="n">
        <v>0.155261535573891</v>
      </c>
      <c r="K229" s="4" t="n">
        <f aca="false">(J229-J$344)/J$345</f>
        <v>-0.606197697074654</v>
      </c>
      <c r="L229" s="4" t="n">
        <v>0.243510672842274</v>
      </c>
      <c r="M229" s="4" t="n">
        <f aca="false">(L229-L$344)/L$345</f>
        <v>-0.486386712755152</v>
      </c>
      <c r="N229" s="4" t="n">
        <v>0.223651734235447</v>
      </c>
      <c r="O229" s="4" t="n">
        <f aca="false">(N229-N$344)/N$345</f>
        <v>-0.1999738188543</v>
      </c>
    </row>
    <row r="230" customFormat="false" ht="14.25" hidden="false" customHeight="false" outlineLevel="0" collapsed="false">
      <c r="B230" s="4" t="n">
        <v>0.178289871766696</v>
      </c>
      <c r="C230" s="4" t="n">
        <f aca="false">(B230-B$344)/B$345</f>
        <v>-0.481214234106017</v>
      </c>
      <c r="D230" s="4" t="n">
        <v>0.350456159969321</v>
      </c>
      <c r="E230" s="4" t="n">
        <f aca="false">(D230-D$344)/D$345</f>
        <v>0.0803136282592725</v>
      </c>
      <c r="F230" s="4" t="n">
        <v>0.265469420938809</v>
      </c>
      <c r="G230" s="4" t="n">
        <f aca="false">(F230-F$344)/F$345</f>
        <v>-0.152575933688118</v>
      </c>
      <c r="H230" s="4" t="n">
        <v>0.245753590457131</v>
      </c>
      <c r="I230" s="4" t="n">
        <f aca="false">(H230-H$344)/H$345</f>
        <v>0.463472119819153</v>
      </c>
      <c r="J230" s="4" t="n">
        <v>0.181552264084048</v>
      </c>
      <c r="K230" s="4" t="n">
        <f aca="false">(J230-J$344)/J$345</f>
        <v>-0.279162360909902</v>
      </c>
      <c r="L230" s="4" t="n">
        <v>0.281959726448949</v>
      </c>
      <c r="M230" s="4" t="n">
        <f aca="false">(L230-L$344)/L$345</f>
        <v>0.0179952346786557</v>
      </c>
      <c r="N230" s="4" t="n">
        <v>0.265551487236595</v>
      </c>
      <c r="O230" s="4" t="n">
        <f aca="false">(N230-N$344)/N$345</f>
        <v>0.316756970230666</v>
      </c>
    </row>
    <row r="231" customFormat="false" ht="14.25" hidden="false" customHeight="false" outlineLevel="0" collapsed="false">
      <c r="B231" s="4" t="n">
        <v>0.189813830528751</v>
      </c>
      <c r="C231" s="4" t="n">
        <f aca="false">(B231-B$344)/B$345</f>
        <v>-0.372436072852472</v>
      </c>
      <c r="D231" s="4" t="n">
        <v>0.373254790064869</v>
      </c>
      <c r="E231" s="4" t="n">
        <f aca="false">(D231-D$344)/D$345</f>
        <v>0.256211744368085</v>
      </c>
      <c r="F231" s="4" t="n">
        <v>0.281558476753282</v>
      </c>
      <c r="G231" s="4" t="n">
        <f aca="false">(F231-F$344)/F$345</f>
        <v>0.00283801913114465</v>
      </c>
      <c r="H231" s="4" t="n">
        <v>0.262576731787877</v>
      </c>
      <c r="I231" s="4" t="n">
        <f aca="false">(H231-H$344)/H$345</f>
        <v>0.703153414907228</v>
      </c>
      <c r="J231" s="4" t="n">
        <v>0.193237032310784</v>
      </c>
      <c r="K231" s="4" t="n">
        <f aca="false">(J231-J$344)/J$345</f>
        <v>-0.133813322614457</v>
      </c>
      <c r="L231" s="4" t="n">
        <v>0.299048194718582</v>
      </c>
      <c r="M231" s="4" t="n">
        <f aca="false">(L231-L$344)/L$345</f>
        <v>0.242164989093681</v>
      </c>
      <c r="N231" s="4" t="n">
        <v>0.28417359968155</v>
      </c>
      <c r="O231" s="4" t="n">
        <f aca="false">(N231-N$344)/N$345</f>
        <v>0.546415098712874</v>
      </c>
    </row>
    <row r="232" customFormat="false" ht="14.25" hidden="false" customHeight="false" outlineLevel="0" collapsed="false">
      <c r="B232" s="4" t="n">
        <v>0.207099768671834</v>
      </c>
      <c r="C232" s="4" t="n">
        <f aca="false">(B232-B$344)/B$345</f>
        <v>-0.209268830972156</v>
      </c>
      <c r="D232" s="4" t="n">
        <v>0.40730342462417</v>
      </c>
      <c r="E232" s="4" t="n">
        <f aca="false">(D232-D$344)/D$345</f>
        <v>0.518906943595345</v>
      </c>
      <c r="F232" s="4" t="n">
        <v>0.305692060474992</v>
      </c>
      <c r="G232" s="4" t="n">
        <f aca="false">(F232-F$344)/F$345</f>
        <v>0.235958948360039</v>
      </c>
      <c r="H232" s="4" t="n">
        <v>0.287811443783997</v>
      </c>
      <c r="I232" s="4" t="n">
        <f aca="false">(H232-H$344)/H$345</f>
        <v>1.06267535753934</v>
      </c>
      <c r="J232" s="4" t="n">
        <v>0.210764184650889</v>
      </c>
      <c r="K232" s="4" t="n">
        <f aca="false">(J232-J$344)/J$345</f>
        <v>0.0842102348287118</v>
      </c>
      <c r="L232" s="4" t="n">
        <v>0.324680897123032</v>
      </c>
      <c r="M232" s="4" t="n">
        <f aca="false">(L232-L$344)/L$345</f>
        <v>0.57841962071622</v>
      </c>
      <c r="N232" s="4" t="n">
        <v>0.312106768348982</v>
      </c>
      <c r="O232" s="4" t="n">
        <f aca="false">(N232-N$344)/N$345</f>
        <v>0.890902291436185</v>
      </c>
    </row>
    <row r="233" customFormat="false" ht="14.25" hidden="false" customHeight="false" outlineLevel="0" collapsed="false">
      <c r="B233" s="4" t="n">
        <v>0.218623727433889</v>
      </c>
      <c r="C233" s="4" t="n">
        <f aca="false">(B233-B$344)/B$345</f>
        <v>-0.100490669718611</v>
      </c>
      <c r="D233" s="4" t="n">
        <v>0.42992039350916</v>
      </c>
      <c r="E233" s="4" t="n">
        <f aca="false">(D233-D$344)/D$345</f>
        <v>0.693403490198742</v>
      </c>
      <c r="F233" s="4" t="n">
        <v>0.321781116289466</v>
      </c>
      <c r="G233" s="4" t="n">
        <f aca="false">(F233-F$344)/F$345</f>
        <v>0.391372901179302</v>
      </c>
      <c r="H233" s="4" t="n">
        <v>0.304634585114743</v>
      </c>
      <c r="I233" s="4" t="n">
        <f aca="false">(H233-H$344)/H$345</f>
        <v>1.30235665262741</v>
      </c>
      <c r="J233" s="4" t="n">
        <v>0.222448952877625</v>
      </c>
      <c r="K233" s="4" t="n">
        <f aca="false">(J233-J$344)/J$345</f>
        <v>0.229559273124157</v>
      </c>
      <c r="L233" s="4" t="n">
        <v>0.341769365392665</v>
      </c>
      <c r="M233" s="4" t="n">
        <f aca="false">(L233-L$344)/L$345</f>
        <v>0.802589375131247</v>
      </c>
      <c r="N233" s="4" t="n">
        <v>0.330728880793936</v>
      </c>
      <c r="O233" s="4" t="n">
        <f aca="false">(N233-N$344)/N$345</f>
        <v>1.12056041991839</v>
      </c>
    </row>
    <row r="234" customFormat="false" ht="14.25" hidden="false" customHeight="false" outlineLevel="0" collapsed="false">
      <c r="B234" s="4" t="n">
        <v>0.246857426400924</v>
      </c>
      <c r="C234" s="4" t="n">
        <f aca="false">(B234-B$344)/B$345</f>
        <v>0.166015825352572</v>
      </c>
      <c r="D234" s="4" t="n">
        <v>0.485115535932663</v>
      </c>
      <c r="E234" s="4" t="n">
        <f aca="false">(D234-D$344)/D$345</f>
        <v>1.11925019809141</v>
      </c>
      <c r="F234" s="4" t="n">
        <v>0.361199303034925</v>
      </c>
      <c r="G234" s="4" t="n">
        <f aca="false">(F234-F$344)/F$345</f>
        <v>0.772137085586494</v>
      </c>
      <c r="H234" s="4" t="n">
        <v>0.345851281375072</v>
      </c>
      <c r="I234" s="4" t="n">
        <f aca="false">(H234-H$344)/H$345</f>
        <v>1.88957582559319</v>
      </c>
      <c r="J234" s="4" t="n">
        <v>0.251076635033129</v>
      </c>
      <c r="K234" s="4" t="n">
        <f aca="false">(J234-J$344)/J$345</f>
        <v>0.585664416947997</v>
      </c>
      <c r="L234" s="4" t="n">
        <v>0.383636112653267</v>
      </c>
      <c r="M234" s="4" t="n">
        <f aca="false">(L234-L$344)/L$345</f>
        <v>1.35180527344806</v>
      </c>
      <c r="N234" s="4" t="n">
        <v>0.376353056284075</v>
      </c>
      <c r="O234" s="4" t="n">
        <f aca="false">(N234-N$344)/N$345</f>
        <v>1.6832228346998</v>
      </c>
    </row>
    <row r="235" customFormat="false" ht="14.25" hidden="false" customHeight="false" outlineLevel="0" collapsed="false">
      <c r="B235" s="4" t="n">
        <v>0.275091125367959</v>
      </c>
      <c r="C235" s="4" t="n">
        <f aca="false">(B235-B$344)/B$345</f>
        <v>0.432522320423755</v>
      </c>
      <c r="D235" s="4" t="n">
        <v>0.540076119736836</v>
      </c>
      <c r="E235" s="4" t="n">
        <f aca="false">(D235-D$344)/D$345</f>
        <v>1.54328721745962</v>
      </c>
      <c r="F235" s="4" t="n">
        <v>0.400617489780385</v>
      </c>
      <c r="G235" s="4" t="n">
        <f aca="false">(F235-F$344)/F$345</f>
        <v>1.15290126999369</v>
      </c>
      <c r="H235" s="4" t="n">
        <v>0.3870679776354</v>
      </c>
      <c r="I235" s="4" t="n">
        <f aca="false">(H235-H$344)/H$345</f>
        <v>2.47679499855898</v>
      </c>
      <c r="J235" s="4" t="n">
        <v>0.279704317188633</v>
      </c>
      <c r="K235" s="4" t="n">
        <f aca="false">(J235-J$344)/J$345</f>
        <v>0.941769560771839</v>
      </c>
      <c r="L235" s="4" t="n">
        <v>0.425502859913868</v>
      </c>
      <c r="M235" s="4" t="n">
        <f aca="false">(L235-L$344)/L$345</f>
        <v>1.90102117176487</v>
      </c>
      <c r="N235" s="4" t="n">
        <v>0.403945715577166</v>
      </c>
      <c r="O235" s="4" t="n">
        <f aca="false">(N235-N$344)/N$345</f>
        <v>2.02351067861813</v>
      </c>
    </row>
    <row r="236" customFormat="false" ht="14.25" hidden="false" customHeight="false" outlineLevel="0" collapsed="false">
      <c r="A236" s="0" t="s">
        <v>71</v>
      </c>
      <c r="B236" s="4" t="n">
        <v>0.104602151081381</v>
      </c>
      <c r="C236" s="4" t="n">
        <f aca="false">(B236-B$344)/B$345</f>
        <v>-1.17677510243421</v>
      </c>
      <c r="D236" s="4" t="n">
        <v>0.235726197899287</v>
      </c>
      <c r="E236" s="4" t="n">
        <f aca="false">(D236-D$344)/D$345</f>
        <v>-0.804861669764239</v>
      </c>
      <c r="F236" s="4" t="n">
        <v>0.177392826072209</v>
      </c>
      <c r="G236" s="4" t="n">
        <f aca="false">(F236-F$344)/F$345</f>
        <v>-1.00336120766084</v>
      </c>
      <c r="H236" s="4" t="n">
        <v>0.162513393976929</v>
      </c>
      <c r="I236" s="4" t="n">
        <f aca="false">(H236-H$344)/H$345</f>
        <v>-0.722460858066346</v>
      </c>
      <c r="J236" s="4" t="n">
        <v>0.156567258109902</v>
      </c>
      <c r="K236" s="4" t="n">
        <f aca="false">(J236-J$344)/J$345</f>
        <v>-0.58995556790212</v>
      </c>
      <c r="L236" s="4" t="n">
        <v>0.219974951915309</v>
      </c>
      <c r="M236" s="4" t="n">
        <f aca="false">(L236-L$344)/L$345</f>
        <v>-0.795132745280137</v>
      </c>
      <c r="N236" s="4" t="n">
        <v>0.195103994795916</v>
      </c>
      <c r="O236" s="4" t="n">
        <f aca="false">(N236-N$344)/N$345</f>
        <v>-0.552040236209475</v>
      </c>
    </row>
    <row r="237" customFormat="false" ht="14.25" hidden="false" customHeight="false" outlineLevel="0" collapsed="false">
      <c r="B237" s="4" t="n">
        <v>0.109852110596796</v>
      </c>
      <c r="C237" s="4" t="n">
        <f aca="false">(B237-B$344)/B$345</f>
        <v>-1.12721913347129</v>
      </c>
      <c r="D237" s="4" t="n">
        <v>0.24753953660853</v>
      </c>
      <c r="E237" s="4" t="n">
        <f aca="false">(D237-D$344)/D$345</f>
        <v>-0.71371829776327</v>
      </c>
      <c r="F237" s="4" t="n">
        <v>0.185840103504219</v>
      </c>
      <c r="G237" s="4" t="n">
        <f aca="false">(F237-F$344)/F$345</f>
        <v>-0.921763829206311</v>
      </c>
      <c r="H237" s="4" t="n">
        <v>0.171427321797904</v>
      </c>
      <c r="I237" s="4" t="n">
        <f aca="false">(H237-H$344)/H$345</f>
        <v>-0.595463068387897</v>
      </c>
      <c r="J237" s="4" t="n">
        <v>0.164546535474714</v>
      </c>
      <c r="K237" s="4" t="n">
        <f aca="false">(J237-J$344)/J$345</f>
        <v>-0.490699830110557</v>
      </c>
      <c r="L237" s="4" t="n">
        <v>0.230449949625562</v>
      </c>
      <c r="M237" s="4" t="n">
        <f aca="false">(L237-L$344)/L$345</f>
        <v>-0.657719746809227</v>
      </c>
      <c r="N237" s="4" t="n">
        <v>0.205503989643118</v>
      </c>
      <c r="O237" s="4" t="n">
        <f aca="false">(N237-N$344)/N$345</f>
        <v>-0.423781782186439</v>
      </c>
    </row>
    <row r="238" customFormat="false" ht="14.25" hidden="false" customHeight="false" outlineLevel="0" collapsed="false">
      <c r="B238" s="4" t="n">
        <v>0.122977009385335</v>
      </c>
      <c r="C238" s="4" t="n">
        <f aca="false">(B238-B$344)/B$345</f>
        <v>-1.00332921106397</v>
      </c>
      <c r="D238" s="4" t="n">
        <v>0.276970276114237</v>
      </c>
      <c r="E238" s="4" t="n">
        <f aca="false">(D238-D$344)/D$345</f>
        <v>-0.486651512914911</v>
      </c>
      <c r="F238" s="4" t="n">
        <v>0.206958297084244</v>
      </c>
      <c r="G238" s="4" t="n">
        <f aca="false">(F238-F$344)/F$345</f>
        <v>-0.717770383069987</v>
      </c>
      <c r="H238" s="4" t="n">
        <v>0.193712141350342</v>
      </c>
      <c r="I238" s="4" t="n">
        <f aca="false">(H238-H$344)/H$345</f>
        <v>-0.277968594191771</v>
      </c>
      <c r="J238" s="4" t="n">
        <v>0.184494728886746</v>
      </c>
      <c r="K238" s="4" t="n">
        <f aca="false">(J238-J$344)/J$345</f>
        <v>-0.242560485631645</v>
      </c>
      <c r="L238" s="4" t="n">
        <v>0.256637443901194</v>
      </c>
      <c r="M238" s="4" t="n">
        <f aca="false">(L238-L$344)/L$345</f>
        <v>-0.314187250631948</v>
      </c>
      <c r="N238" s="4" t="n">
        <v>0.231503976761123</v>
      </c>
      <c r="O238" s="4" t="n">
        <f aca="false">(N238-N$344)/N$345</f>
        <v>-0.103135647128847</v>
      </c>
    </row>
    <row r="239" customFormat="false" ht="14.25" hidden="false" customHeight="false" outlineLevel="0" collapsed="false">
      <c r="B239" s="4" t="n">
        <v>0.137414398052727</v>
      </c>
      <c r="C239" s="4" t="n">
        <f aca="false">(B239-B$344)/B$345</f>
        <v>-0.867050296415928</v>
      </c>
      <c r="D239" s="4" t="n">
        <v>0.309213618311235</v>
      </c>
      <c r="E239" s="4" t="n">
        <f aca="false">(D239-D$344)/D$345</f>
        <v>-0.23788467360331</v>
      </c>
      <c r="F239" s="4" t="n">
        <v>0.230188310022272</v>
      </c>
      <c r="G239" s="4" t="n">
        <f aca="false">(F239-F$344)/F$345</f>
        <v>-0.493377592320032</v>
      </c>
      <c r="H239" s="4" t="n">
        <v>0.218225442858024</v>
      </c>
      <c r="I239" s="4" t="n">
        <f aca="false">(H239-H$344)/H$345</f>
        <v>0.071275327423968</v>
      </c>
      <c r="J239" s="4" t="n">
        <v>0.206437741639981</v>
      </c>
      <c r="K239" s="4" t="n">
        <f aca="false">(J239-J$344)/J$345</f>
        <v>0.0303927932951567</v>
      </c>
      <c r="L239" s="4" t="n">
        <v>0.285443687604389</v>
      </c>
      <c r="M239" s="4" t="n">
        <f aca="false">(L239-L$344)/L$345</f>
        <v>0.0636984951630574</v>
      </c>
      <c r="N239" s="4" t="n">
        <v>0.257636235987506</v>
      </c>
      <c r="O239" s="4" t="n">
        <f aca="false">(N239-N$344)/N$345</f>
        <v>0.219141740288009</v>
      </c>
    </row>
    <row r="240" customFormat="false" ht="14.25" hidden="false" customHeight="false" outlineLevel="0" collapsed="false">
      <c r="B240" s="4" t="n">
        <v>0.150539296841266</v>
      </c>
      <c r="C240" s="4" t="n">
        <f aca="false">(B240-B$344)/B$345</f>
        <v>-0.743160374008615</v>
      </c>
      <c r="D240" s="4" t="n">
        <v>0.338438035810289</v>
      </c>
      <c r="E240" s="4" t="n">
        <f aca="false">(D240-D$344)/D$345</f>
        <v>-0.0124097235331779</v>
      </c>
      <c r="F240" s="4" t="n">
        <v>0.251306503602297</v>
      </c>
      <c r="G240" s="4" t="n">
        <f aca="false">(F240-F$344)/F$345</f>
        <v>-0.289384146183709</v>
      </c>
      <c r="H240" s="4" t="n">
        <v>0.240510262410462</v>
      </c>
      <c r="I240" s="4" t="n">
        <f aca="false">(H240-H$344)/H$345</f>
        <v>0.388769801620092</v>
      </c>
      <c r="J240" s="4" t="n">
        <v>0.226385935052012</v>
      </c>
      <c r="K240" s="4" t="n">
        <f aca="false">(J240-J$344)/J$345</f>
        <v>0.278532137774067</v>
      </c>
      <c r="L240" s="4" t="n">
        <v>0.311631181880021</v>
      </c>
      <c r="M240" s="4" t="n">
        <f aca="false">(L240-L$344)/L$345</f>
        <v>0.407230991340335</v>
      </c>
      <c r="N240" s="4" t="n">
        <v>0.281272587912965</v>
      </c>
      <c r="O240" s="4" t="n">
        <f aca="false">(N240-N$344)/N$345</f>
        <v>0.510638226704001</v>
      </c>
    </row>
    <row r="241" customFormat="false" ht="14.25" hidden="false" customHeight="false" outlineLevel="0" collapsed="false">
      <c r="B241" s="4" t="n">
        <v>0.16235170575095</v>
      </c>
      <c r="C241" s="4" t="n">
        <f aca="false">(B241-B$344)/B$345</f>
        <v>-0.631659443842033</v>
      </c>
      <c r="D241" s="4" t="n">
        <v>0.36468532875224</v>
      </c>
      <c r="E241" s="4" t="n">
        <f aca="false">(D241-D$344)/D$345</f>
        <v>0.190095837638538</v>
      </c>
      <c r="F241" s="4" t="n">
        <v>0.270312877824319</v>
      </c>
      <c r="G241" s="4" t="n">
        <f aca="false">(F241-F$344)/F$345</f>
        <v>-0.105790044661019</v>
      </c>
      <c r="H241" s="4" t="n">
        <v>0.260566600007657</v>
      </c>
      <c r="I241" s="4" t="n">
        <f aca="false">(H241-H$344)/H$345</f>
        <v>0.674514828396605</v>
      </c>
      <c r="J241" s="4" t="n">
        <v>0.244339309122841</v>
      </c>
      <c r="K241" s="4" t="n">
        <f aca="false">(J241-J$344)/J$345</f>
        <v>0.501857547805087</v>
      </c>
      <c r="L241" s="4" t="n">
        <v>0.33519992672809</v>
      </c>
      <c r="M241" s="4" t="n">
        <f aca="false">(L241-L$344)/L$345</f>
        <v>0.716410237899885</v>
      </c>
      <c r="N241" s="4" t="n">
        <v>0.302545304645878</v>
      </c>
      <c r="O241" s="4" t="n">
        <f aca="false">(N241-N$344)/N$345</f>
        <v>0.772985064478394</v>
      </c>
    </row>
    <row r="242" customFormat="false" ht="14.25" hidden="false" customHeight="false" outlineLevel="0" collapsed="false">
      <c r="B242" s="4" t="n">
        <v>0.176789094418343</v>
      </c>
      <c r="C242" s="4" t="n">
        <f aca="false">(B242-B$344)/B$345</f>
        <v>-0.495380529193988</v>
      </c>
      <c r="D242" s="4" t="n">
        <v>0.39671018522664</v>
      </c>
      <c r="E242" s="4" t="n">
        <f aca="false">(D242-D$344)/D$345</f>
        <v>0.437176995536795</v>
      </c>
      <c r="F242" s="4" t="n">
        <v>0.293542890762346</v>
      </c>
      <c r="G242" s="4" t="n">
        <f aca="false">(F242-F$344)/F$345</f>
        <v>0.118602746088936</v>
      </c>
      <c r="H242" s="4" t="n">
        <v>0.285079901515338</v>
      </c>
      <c r="I242" s="4" t="n">
        <f aca="false">(H242-H$344)/H$345</f>
        <v>1.02375875001234</v>
      </c>
      <c r="J242" s="4" t="n">
        <v>0.266282321876076</v>
      </c>
      <c r="K242" s="4" t="n">
        <f aca="false">(J242-J$344)/J$345</f>
        <v>0.774810826731888</v>
      </c>
      <c r="L242" s="4" t="n">
        <v>0.364006170431285</v>
      </c>
      <c r="M242" s="4" t="n">
        <f aca="false">(L242-L$344)/L$345</f>
        <v>1.09429598369489</v>
      </c>
      <c r="N242" s="4" t="n">
        <v>0.328545291763884</v>
      </c>
      <c r="O242" s="4" t="n">
        <f aca="false">(N242-N$344)/N$345</f>
        <v>1.09363119953598</v>
      </c>
    </row>
    <row r="243" customFormat="false" ht="14.25" hidden="false" customHeight="false" outlineLevel="0" collapsed="false">
      <c r="A243" s="0" t="s">
        <v>72</v>
      </c>
      <c r="B243" s="4" t="n">
        <v>0.0456405223991964</v>
      </c>
      <c r="C243" s="4" t="n">
        <f aca="false">(B243-B$344)/B$345</f>
        <v>-1.73333189728155</v>
      </c>
      <c r="D243" s="4" t="n">
        <v>0.138904152903547</v>
      </c>
      <c r="E243" s="4" t="n">
        <f aca="false">(D243-D$344)/D$345</f>
        <v>-1.55187213667291</v>
      </c>
      <c r="F243" s="4" t="n">
        <v>0.121923052357777</v>
      </c>
      <c r="G243" s="4" t="n">
        <f aca="false">(F243-F$344)/F$345</f>
        <v>-1.53917741057282</v>
      </c>
      <c r="H243" s="4" t="n">
        <v>0.0765209639538132</v>
      </c>
      <c r="I243" s="4" t="n">
        <f aca="false">(H243-H$344)/H$345</f>
        <v>-1.94760523452369</v>
      </c>
      <c r="J243" s="4" t="n">
        <v>0.0959824202295676</v>
      </c>
      <c r="K243" s="4" t="n">
        <f aca="false">(J243-J$344)/J$345</f>
        <v>-1.34358180595131</v>
      </c>
      <c r="L243" s="4" t="n">
        <v>0.130748803490698</v>
      </c>
      <c r="M243" s="4" t="n">
        <f aca="false">(L243-L$344)/L$345</f>
        <v>-1.96561821326602</v>
      </c>
      <c r="N243" s="4" t="n">
        <v>0.0869633873137591</v>
      </c>
      <c r="O243" s="4" t="n">
        <f aca="false">(N243-N$344)/N$345</f>
        <v>-1.88568965974788</v>
      </c>
    </row>
    <row r="244" customFormat="false" ht="14.25" hidden="false" customHeight="false" outlineLevel="0" collapsed="false">
      <c r="B244" s="4" t="n">
        <v>0.0621215004760607</v>
      </c>
      <c r="C244" s="4" t="n">
        <f aca="false">(B244-B$344)/B$345</f>
        <v>-1.57776291895751</v>
      </c>
      <c r="D244" s="4" t="n">
        <v>0.199531791250994</v>
      </c>
      <c r="E244" s="4" t="n">
        <f aca="false">(D244-D$344)/D$345</f>
        <v>-1.08411212983264</v>
      </c>
      <c r="F244" s="4" t="n">
        <v>0.162680187003091</v>
      </c>
      <c r="G244" s="4" t="n">
        <f aca="false">(F244-F$344)/F$345</f>
        <v>-1.14547951593831</v>
      </c>
      <c r="H244" s="4" t="n">
        <v>0.111304539334104</v>
      </c>
      <c r="I244" s="4" t="n">
        <f aca="false">(H244-H$344)/H$345</f>
        <v>-1.45203949973996</v>
      </c>
      <c r="J244" s="4" t="n">
        <v>0.132842409098106</v>
      </c>
      <c r="K244" s="4" t="n">
        <f aca="false">(J244-J$344)/J$345</f>
        <v>-0.885073444496261</v>
      </c>
      <c r="L244" s="4" t="n">
        <v>0.174456260657589</v>
      </c>
      <c r="M244" s="4" t="n">
        <f aca="false">(L244-L$344)/L$345</f>
        <v>-1.39225553472693</v>
      </c>
      <c r="N244" s="4" t="n">
        <v>0.125927323306167</v>
      </c>
      <c r="O244" s="4" t="n">
        <f aca="false">(N244-N$344)/N$345</f>
        <v>-1.40516498002814</v>
      </c>
    </row>
    <row r="245" customFormat="false" ht="14.25" hidden="false" customHeight="false" outlineLevel="0" collapsed="false">
      <c r="B245" s="4" t="n">
        <v>0.0715593255286241</v>
      </c>
      <c r="C245" s="4" t="n">
        <f aca="false">(B245-B$344)/B$345</f>
        <v>-1.48867641000272</v>
      </c>
      <c r="D245" s="4" t="n">
        <v>0.233050364903815</v>
      </c>
      <c r="E245" s="4" t="n">
        <f aca="false">(D245-D$344)/D$345</f>
        <v>-0.825506505921183</v>
      </c>
      <c r="F245" s="4" t="n">
        <v>0.186019742740151</v>
      </c>
      <c r="G245" s="4" t="n">
        <f aca="false">(F245-F$344)/F$345</f>
        <v>-0.920028584822824</v>
      </c>
      <c r="H245" s="4" t="n">
        <v>0.131223338910852</v>
      </c>
      <c r="I245" s="4" t="n">
        <f aca="false">(H245-H$344)/H$345</f>
        <v>-1.16825399349629</v>
      </c>
      <c r="J245" s="4" t="n">
        <v>0.153950265971543</v>
      </c>
      <c r="K245" s="4" t="n">
        <f aca="false">(J245-J$344)/J$345</f>
        <v>-0.62250882725277</v>
      </c>
      <c r="L245" s="4" t="n">
        <v>0.199485317325808</v>
      </c>
      <c r="M245" s="4" t="n">
        <f aca="false">(L245-L$344)/L$345</f>
        <v>-1.06391964188831</v>
      </c>
      <c r="N245" s="4" t="n">
        <v>0.148240004600965</v>
      </c>
      <c r="O245" s="4" t="n">
        <f aca="false">(N245-N$344)/N$345</f>
        <v>-1.12999272753905</v>
      </c>
    </row>
    <row r="246" customFormat="false" ht="14.25" hidden="false" customHeight="false" outlineLevel="0" collapsed="false">
      <c r="B246" s="4" t="n">
        <v>0.0824057811860476</v>
      </c>
      <c r="C246" s="4" t="n">
        <f aca="false">(B246-B$344)/B$345</f>
        <v>-1.38629340717407</v>
      </c>
      <c r="D246" s="4" t="n">
        <v>0.270953548278194</v>
      </c>
      <c r="E246" s="4" t="n">
        <f aca="false">(D246-D$344)/D$345</f>
        <v>-0.533072332370467</v>
      </c>
      <c r="F246" s="4" t="n">
        <v>0.212842814258862</v>
      </c>
      <c r="G246" s="4" t="n">
        <f aca="false">(F246-F$344)/F$345</f>
        <v>-0.660928261003534</v>
      </c>
      <c r="H246" s="4" t="n">
        <v>0.154115093648308</v>
      </c>
      <c r="I246" s="4" t="n">
        <f aca="false">(H246-H$344)/H$345</f>
        <v>-0.842112441544608</v>
      </c>
      <c r="J246" s="4" t="n">
        <v>0.178208549244</v>
      </c>
      <c r="K246" s="4" t="n">
        <f aca="false">(J246-J$344)/J$345</f>
        <v>-0.320755461166968</v>
      </c>
      <c r="L246" s="4" t="n">
        <v>0.228250054093762</v>
      </c>
      <c r="M246" s="4" t="n">
        <f aca="false">(L246-L$344)/L$345</f>
        <v>-0.686578391909597</v>
      </c>
      <c r="N246" s="4" t="n">
        <v>0.173882936835285</v>
      </c>
      <c r="O246" s="4" t="n">
        <f aca="false">(N246-N$344)/N$345</f>
        <v>-0.813749989603829</v>
      </c>
    </row>
    <row r="247" customFormat="false" ht="14.25" hidden="false" customHeight="false" outlineLevel="0" collapsed="false">
      <c r="B247" s="4" t="n">
        <v>0.09930934844437</v>
      </c>
      <c r="C247" s="4" t="n">
        <f aca="false">(B247-B$344)/B$345</f>
        <v>-1.22673548068788</v>
      </c>
      <c r="D247" s="4" t="n">
        <v>0.329181474887408</v>
      </c>
      <c r="E247" s="4" t="n">
        <f aca="false">(D247-D$344)/D$345</f>
        <v>-0.0838268052243801</v>
      </c>
      <c r="F247" s="4" t="n">
        <v>0.254645003638672</v>
      </c>
      <c r="G247" s="4" t="n">
        <f aca="false">(F247-F$344)/F$345</f>
        <v>-0.257135548557888</v>
      </c>
      <c r="H247" s="4" t="n">
        <v>0.189790555576812</v>
      </c>
      <c r="I247" s="4" t="n">
        <f aca="false">(H247-H$344)/H$345</f>
        <v>-0.333839893048478</v>
      </c>
      <c r="J247" s="4" t="n">
        <v>0.216013666032244</v>
      </c>
      <c r="K247" s="4" t="n">
        <f aca="false">(J247-J$344)/J$345</f>
        <v>0.149509524940778</v>
      </c>
      <c r="L247" s="4" t="n">
        <v>0.273078215290573</v>
      </c>
      <c r="M247" s="4" t="n">
        <f aca="false">(L247-L$344)/L$345</f>
        <v>-0.0985141062284826</v>
      </c>
      <c r="N247" s="4" t="n">
        <v>0.21384594810955</v>
      </c>
      <c r="O247" s="4" t="n">
        <f aca="false">(N247-N$344)/N$345</f>
        <v>-0.32090416425024</v>
      </c>
    </row>
    <row r="248" customFormat="false" ht="14.25" hidden="false" customHeight="false" outlineLevel="0" collapsed="false">
      <c r="B248" s="4" t="n">
        <v>0.107901995134017</v>
      </c>
      <c r="C248" s="4" t="n">
        <f aca="false">(B248-B$344)/B$345</f>
        <v>-1.1456268680574</v>
      </c>
      <c r="D248" s="4" t="n">
        <v>0.358515532042548</v>
      </c>
      <c r="E248" s="4" t="n">
        <f aca="false">(D248-D$344)/D$345</f>
        <v>0.142494046940547</v>
      </c>
      <c r="F248" s="4" t="n">
        <v>0.275894449906742</v>
      </c>
      <c r="G248" s="4" t="n">
        <f aca="false">(F248-F$344)/F$345</f>
        <v>-0.0518742530646835</v>
      </c>
      <c r="H248" s="4" t="n">
        <v>0.207925582057134</v>
      </c>
      <c r="I248" s="4" t="n">
        <f aca="false">(H248-H$344)/H$345</f>
        <v>-0.0754680142296112</v>
      </c>
      <c r="J248" s="4" t="n">
        <v>0.235231267066269</v>
      </c>
      <c r="K248" s="4" t="n">
        <f aca="false">(J248-J$344)/J$345</f>
        <v>0.388560892878883</v>
      </c>
      <c r="L248" s="4" t="n">
        <v>0.295865863898952</v>
      </c>
      <c r="M248" s="4" t="n">
        <f aca="false">(L248-L$344)/L$345</f>
        <v>0.200418572326085</v>
      </c>
      <c r="N248" s="4" t="n">
        <v>0.234160478840634</v>
      </c>
      <c r="O248" s="4" t="n">
        <f aca="false">(N248-N$344)/N$345</f>
        <v>-0.070374203028831</v>
      </c>
    </row>
    <row r="249" customFormat="false" ht="14.25" hidden="false" customHeight="false" outlineLevel="0" collapsed="false">
      <c r="B249" s="4" t="n">
        <v>0.120438807517273</v>
      </c>
      <c r="C249" s="4" t="n">
        <f aca="false">(B249-B$344)/B$345</f>
        <v>-1.02728807258014</v>
      </c>
      <c r="D249" s="4" t="n">
        <v>0.401092065410619</v>
      </c>
      <c r="E249" s="4" t="n">
        <f aca="false">(D249-D$344)/D$345</f>
        <v>0.470984485993295</v>
      </c>
      <c r="F249" s="4" t="n">
        <v>0.306897740363433</v>
      </c>
      <c r="G249" s="4" t="n">
        <f aca="false">(F249-F$344)/F$345</f>
        <v>0.24760534199917</v>
      </c>
      <c r="H249" s="4" t="n">
        <v>0.234384882987441</v>
      </c>
      <c r="I249" s="4" t="n">
        <f aca="false">(H249-H$344)/H$345</f>
        <v>0.301500792571685</v>
      </c>
      <c r="J249" s="4" t="n">
        <v>0.26327006201755</v>
      </c>
      <c r="K249" s="4" t="n">
        <f aca="false">(J249-J$344)/J$345</f>
        <v>0.737340757575459</v>
      </c>
      <c r="L249" s="4" t="n">
        <v>0.329113416786586</v>
      </c>
      <c r="M249" s="4" t="n">
        <f aca="false">(L249-L$344)/L$345</f>
        <v>0.63656625087291</v>
      </c>
      <c r="N249" s="4" t="n">
        <v>0.263799712202381</v>
      </c>
      <c r="O249" s="4" t="n">
        <f aca="false">(N249-N$344)/N$345</f>
        <v>0.295153117441746</v>
      </c>
    </row>
    <row r="250" customFormat="false" ht="14.25" hidden="false" customHeight="false" outlineLevel="0" collapsed="false">
      <c r="A250" s="0" t="s">
        <v>73</v>
      </c>
      <c r="B250" s="4" t="n">
        <v>0.243478633841056</v>
      </c>
      <c r="C250" s="4" t="n">
        <f aca="false">(B250-B$344)/B$345</f>
        <v>0.134122371938822</v>
      </c>
      <c r="D250" s="4" t="n">
        <v>0.38622010388926</v>
      </c>
      <c r="E250" s="4" t="n">
        <f aca="false">(D250-D$344)/D$345</f>
        <v>0.356242942159892</v>
      </c>
      <c r="F250" s="4" t="n">
        <v>0.272460810763157</v>
      </c>
      <c r="G250" s="4" t="n">
        <f aca="false">(F250-F$344)/F$345</f>
        <v>-0.0850418570566689</v>
      </c>
      <c r="H250" s="4" t="n">
        <v>0.241382838744579</v>
      </c>
      <c r="I250" s="4" t="n">
        <f aca="false">(H250-H$344)/H$345</f>
        <v>0.401201500415966</v>
      </c>
      <c r="J250" s="4" t="n">
        <v>0.197085651825866</v>
      </c>
      <c r="K250" s="4" t="n">
        <f aca="false">(J250-J$344)/J$345</f>
        <v>-0.085939617768327</v>
      </c>
      <c r="L250" s="4" t="n">
        <v>0.302887454624934</v>
      </c>
      <c r="M250" s="4" t="n">
        <f aca="false">(L250-L$344)/L$345</f>
        <v>0.292529125701043</v>
      </c>
      <c r="N250" s="4" t="n">
        <v>0.32629198472643</v>
      </c>
      <c r="O250" s="4" t="n">
        <f aca="false">(N250-N$344)/N$345</f>
        <v>1.0658421783577</v>
      </c>
    </row>
    <row r="251" customFormat="false" ht="14.25" hidden="false" customHeight="false" outlineLevel="0" collapsed="false">
      <c r="B251" s="4" t="n">
        <v>0.266262812106224</v>
      </c>
      <c r="C251" s="4" t="n">
        <f aca="false">(B251-B$344)/B$345</f>
        <v>0.349189179147344</v>
      </c>
      <c r="D251" s="4" t="n">
        <v>0.42262897836105</v>
      </c>
      <c r="E251" s="4" t="n">
        <f aca="false">(D251-D$344)/D$345</f>
        <v>0.637148084371957</v>
      </c>
      <c r="F251" s="4" t="n">
        <v>0.295535990848792</v>
      </c>
      <c r="G251" s="4" t="n">
        <f aca="false">(F251-F$344)/F$345</f>
        <v>0.137855309220718</v>
      </c>
      <c r="H251" s="4" t="n">
        <v>0.264368099530434</v>
      </c>
      <c r="I251" s="4" t="n">
        <f aca="false">(H251-H$344)/H$345</f>
        <v>0.728675244158598</v>
      </c>
      <c r="J251" s="4" t="n">
        <v>0.214848332244108</v>
      </c>
      <c r="K251" s="4" t="n">
        <f aca="false">(J251-J$344)/J$345</f>
        <v>0.135013717911316</v>
      </c>
      <c r="L251" s="4" t="n">
        <v>0.328539520114915</v>
      </c>
      <c r="M251" s="4" t="n">
        <f aca="false">(L251-L$344)/L$345</f>
        <v>0.62903776593686</v>
      </c>
      <c r="N251" s="4" t="n">
        <v>0.331103242822431</v>
      </c>
      <c r="O251" s="4" t="n">
        <f aca="false">(N251-N$344)/N$345</f>
        <v>1.12517725826544</v>
      </c>
    </row>
    <row r="252" customFormat="false" ht="14.25" hidden="false" customHeight="false" outlineLevel="0" collapsed="false">
      <c r="A252" s="0" t="s">
        <v>74</v>
      </c>
      <c r="B252" s="4" t="n">
        <v>0.244471345276205</v>
      </c>
      <c r="C252" s="4" t="n">
        <f aca="false">(B252-B$344)/B$345</f>
        <v>0.143492877925562</v>
      </c>
      <c r="D252" s="4" t="n">
        <v>0.387812685743675</v>
      </c>
      <c r="E252" s="4" t="n">
        <f aca="false">(D252-D$344)/D$345</f>
        <v>0.368530178137078</v>
      </c>
      <c r="F252" s="4" t="n">
        <v>0.273466201208778</v>
      </c>
      <c r="G252" s="4" t="n">
        <f aca="false">(F252-F$344)/F$345</f>
        <v>-0.0753301806797351</v>
      </c>
      <c r="H252" s="4" t="n">
        <v>0.242384311387411</v>
      </c>
      <c r="I252" s="4" t="n">
        <f aca="false">(H252-H$344)/H$345</f>
        <v>0.415469600250011</v>
      </c>
      <c r="J252" s="4" t="n">
        <v>0.197859575544547</v>
      </c>
      <c r="K252" s="4" t="n">
        <f aca="false">(J252-J$344)/J$345</f>
        <v>-0.0763126344990358</v>
      </c>
      <c r="L252" s="4" t="n">
        <v>0.304005120509159</v>
      </c>
      <c r="M252" s="4" t="n">
        <f aca="false">(L252-L$344)/L$345</f>
        <v>0.307190877873995</v>
      </c>
      <c r="N252" s="4" t="n">
        <v>0.327803240047743</v>
      </c>
      <c r="O252" s="4" t="n">
        <f aca="false">(N252-N$344)/N$345</f>
        <v>1.08447980981746</v>
      </c>
    </row>
    <row r="253" customFormat="false" ht="14.25" hidden="false" customHeight="false" outlineLevel="0" collapsed="false">
      <c r="B253" s="4" t="n">
        <v>0.266262812106224</v>
      </c>
      <c r="C253" s="4" t="n">
        <f aca="false">(B253-B$344)/B$345</f>
        <v>0.349189179147344</v>
      </c>
      <c r="D253" s="4" t="n">
        <v>0.42262897836105</v>
      </c>
      <c r="E253" s="4" t="n">
        <f aca="false">(D253-D$344)/D$345</f>
        <v>0.637148084371957</v>
      </c>
      <c r="F253" s="4" t="n">
        <v>0.295535990848792</v>
      </c>
      <c r="G253" s="4" t="n">
        <f aca="false">(F253-F$344)/F$345</f>
        <v>0.137855309220718</v>
      </c>
      <c r="H253" s="4" t="n">
        <v>0.264368099530434</v>
      </c>
      <c r="I253" s="4" t="n">
        <f aca="false">(H253-H$344)/H$345</f>
        <v>0.728675244158598</v>
      </c>
      <c r="J253" s="4" t="n">
        <v>0.214848332244108</v>
      </c>
      <c r="K253" s="4" t="n">
        <f aca="false">(J253-J$344)/J$345</f>
        <v>0.135013717911316</v>
      </c>
      <c r="L253" s="4" t="n">
        <v>0.328539520114915</v>
      </c>
      <c r="M253" s="4" t="n">
        <f aca="false">(L253-L$344)/L$345</f>
        <v>0.62903776593686</v>
      </c>
      <c r="N253" s="4" t="n">
        <v>0.331103242822431</v>
      </c>
      <c r="O253" s="4" t="n">
        <f aca="false">(N253-N$344)/N$345</f>
        <v>1.12517725826544</v>
      </c>
    </row>
    <row r="254" customFormat="false" ht="14.25" hidden="false" customHeight="false" outlineLevel="0" collapsed="false">
      <c r="A254" s="0" t="s">
        <v>75</v>
      </c>
      <c r="B254" s="4" t="n">
        <v>0.244471345276205</v>
      </c>
      <c r="C254" s="4" t="n">
        <f aca="false">(B254-B$344)/B$345</f>
        <v>0.143492877925562</v>
      </c>
      <c r="D254" s="4" t="n">
        <v>0.387812685743675</v>
      </c>
      <c r="E254" s="4" t="n">
        <f aca="false">(D254-D$344)/D$345</f>
        <v>0.368530178137078</v>
      </c>
      <c r="F254" s="4" t="n">
        <v>0.273466201208778</v>
      </c>
      <c r="G254" s="4" t="n">
        <f aca="false">(F254-F$344)/F$345</f>
        <v>-0.0753301806797351</v>
      </c>
      <c r="H254" s="4" t="n">
        <v>0.242384311387411</v>
      </c>
      <c r="I254" s="4" t="n">
        <f aca="false">(H254-H$344)/H$345</f>
        <v>0.415469600250011</v>
      </c>
      <c r="J254" s="4" t="n">
        <v>0.197859575544547</v>
      </c>
      <c r="K254" s="4" t="n">
        <f aca="false">(J254-J$344)/J$345</f>
        <v>-0.0763126344990358</v>
      </c>
      <c r="L254" s="4" t="n">
        <v>0.304005120509159</v>
      </c>
      <c r="M254" s="4" t="n">
        <f aca="false">(L254-L$344)/L$345</f>
        <v>0.307190877873995</v>
      </c>
      <c r="N254" s="4" t="n">
        <v>0.327803240047743</v>
      </c>
      <c r="O254" s="4" t="n">
        <f aca="false">(N254-N$344)/N$345</f>
        <v>1.08447980981746</v>
      </c>
    </row>
    <row r="255" customFormat="false" ht="14.25" hidden="false" customHeight="false" outlineLevel="0" collapsed="false">
      <c r="B255" s="4" t="n">
        <v>0.266262812106224</v>
      </c>
      <c r="C255" s="4" t="n">
        <f aca="false">(B255-B$344)/B$345</f>
        <v>0.349189179147344</v>
      </c>
      <c r="D255" s="4" t="n">
        <v>0.42262897836105</v>
      </c>
      <c r="E255" s="4" t="n">
        <f aca="false">(D255-D$344)/D$345</f>
        <v>0.637148084371957</v>
      </c>
      <c r="F255" s="4" t="n">
        <v>0.295535990848792</v>
      </c>
      <c r="G255" s="4" t="n">
        <f aca="false">(F255-F$344)/F$345</f>
        <v>0.137855309220718</v>
      </c>
      <c r="H255" s="4" t="n">
        <v>0.264368099530434</v>
      </c>
      <c r="I255" s="4" t="n">
        <f aca="false">(H255-H$344)/H$345</f>
        <v>0.728675244158598</v>
      </c>
      <c r="J255" s="4" t="n">
        <v>0.214848332244108</v>
      </c>
      <c r="K255" s="4" t="n">
        <f aca="false">(J255-J$344)/J$345</f>
        <v>0.135013717911316</v>
      </c>
      <c r="L255" s="4" t="n">
        <v>0.328539520114915</v>
      </c>
      <c r="M255" s="4" t="n">
        <f aca="false">(L255-L$344)/L$345</f>
        <v>0.62903776593686</v>
      </c>
      <c r="N255" s="4" t="n">
        <v>0.331103242822431</v>
      </c>
      <c r="O255" s="4" t="n">
        <f aca="false">(N255-N$344)/N$345</f>
        <v>1.12517725826544</v>
      </c>
    </row>
    <row r="256" customFormat="false" ht="14.25" hidden="false" customHeight="false" outlineLevel="0" collapsed="false">
      <c r="A256" s="0" t="s">
        <v>76</v>
      </c>
      <c r="B256" s="4" t="n">
        <v>0.245464056711353</v>
      </c>
      <c r="C256" s="4" t="n">
        <f aca="false">(B256-B$344)/B$345</f>
        <v>0.152863383912303</v>
      </c>
      <c r="D256" s="4" t="n">
        <v>0.389404655484156</v>
      </c>
      <c r="E256" s="4" t="n">
        <f aca="false">(D256-D$344)/D$345</f>
        <v>0.38081269147579</v>
      </c>
      <c r="F256" s="4" t="n">
        <v>0.274471591654398</v>
      </c>
      <c r="G256" s="4" t="n">
        <f aca="false">(F256-F$344)/F$345</f>
        <v>-0.0656185043028002</v>
      </c>
      <c r="H256" s="4" t="n">
        <v>0.243385784030244</v>
      </c>
      <c r="I256" s="4" t="n">
        <f aca="false">(H256-H$344)/H$345</f>
        <v>0.429737700084058</v>
      </c>
      <c r="J256" s="4" t="n">
        <v>0.198633499263228</v>
      </c>
      <c r="K256" s="4" t="n">
        <f aca="false">(J256-J$344)/J$345</f>
        <v>-0.0666856512297442</v>
      </c>
      <c r="L256" s="4" t="n">
        <v>0.305122786393384</v>
      </c>
      <c r="M256" s="4" t="n">
        <f aca="false">(L256-L$344)/L$345</f>
        <v>0.321852630046948</v>
      </c>
      <c r="N256" s="4" t="n">
        <v>0.329314495369055</v>
      </c>
      <c r="O256" s="4" t="n">
        <f aca="false">(N256-N$344)/N$345</f>
        <v>1.10311744127723</v>
      </c>
    </row>
    <row r="257" customFormat="false" ht="14.25" hidden="false" customHeight="false" outlineLevel="0" collapsed="false">
      <c r="B257" s="4" t="n">
        <v>0.266262812106224</v>
      </c>
      <c r="C257" s="4" t="n">
        <f aca="false">(B257-B$344)/B$345</f>
        <v>0.349189179147344</v>
      </c>
      <c r="D257" s="4" t="n">
        <v>0.42262897836105</v>
      </c>
      <c r="E257" s="4" t="n">
        <f aca="false">(D257-D$344)/D$345</f>
        <v>0.637148084371957</v>
      </c>
      <c r="F257" s="4" t="n">
        <v>0.295535990848792</v>
      </c>
      <c r="G257" s="4" t="n">
        <f aca="false">(F257-F$344)/F$345</f>
        <v>0.137855309220718</v>
      </c>
      <c r="H257" s="4" t="n">
        <v>0.264368099530434</v>
      </c>
      <c r="I257" s="4" t="n">
        <f aca="false">(H257-H$344)/H$345</f>
        <v>0.728675244158598</v>
      </c>
      <c r="J257" s="4" t="n">
        <v>0.214848332244108</v>
      </c>
      <c r="K257" s="4" t="n">
        <f aca="false">(J257-J$344)/J$345</f>
        <v>0.135013717911316</v>
      </c>
      <c r="L257" s="4" t="n">
        <v>0.328539520114915</v>
      </c>
      <c r="M257" s="4" t="n">
        <f aca="false">(L257-L$344)/L$345</f>
        <v>0.62903776593686</v>
      </c>
      <c r="N257" s="4" t="n">
        <v>0.331103242822431</v>
      </c>
      <c r="O257" s="4" t="n">
        <f aca="false">(N257-N$344)/N$345</f>
        <v>1.12517725826544</v>
      </c>
    </row>
    <row r="258" customFormat="false" ht="14.25" hidden="false" customHeight="false" outlineLevel="0" collapsed="false">
      <c r="A258" s="0" t="s">
        <v>77</v>
      </c>
      <c r="B258" s="4" t="n">
        <v>0.236778884485346</v>
      </c>
      <c r="C258" s="4" t="n">
        <f aca="false">(B258-B$344)/B$345</f>
        <v>0.0708813945263184</v>
      </c>
      <c r="D258" s="4" t="n">
        <v>0.328480045901093</v>
      </c>
      <c r="E258" s="4" t="n">
        <f aca="false">(D258-D$344)/D$345</f>
        <v>-0.0892385355239585</v>
      </c>
      <c r="F258" s="4" t="n">
        <v>0.251408133783651</v>
      </c>
      <c r="G258" s="4" t="n">
        <f aca="false">(F258-F$344)/F$345</f>
        <v>-0.288402438593646</v>
      </c>
      <c r="H258" s="4" t="n">
        <v>0.188662614165354</v>
      </c>
      <c r="I258" s="4" t="n">
        <f aca="false">(H258-H$344)/H$345</f>
        <v>-0.349909808468351</v>
      </c>
      <c r="J258" s="4" t="n">
        <v>0.166977792972074</v>
      </c>
      <c r="K258" s="4" t="n">
        <f aca="false">(J258-J$344)/J$345</f>
        <v>-0.460456959029789</v>
      </c>
      <c r="L258" s="4" t="n">
        <v>0.251823424603546</v>
      </c>
      <c r="M258" s="4" t="n">
        <f aca="false">(L258-L$344)/L$345</f>
        <v>-0.377338465045971</v>
      </c>
      <c r="N258" s="4" t="n">
        <v>0.254916286084226</v>
      </c>
      <c r="O258" s="4" t="n">
        <f aca="false">(N258-N$344)/N$345</f>
        <v>0.185597822743791</v>
      </c>
    </row>
    <row r="259" customFormat="false" ht="14.25" hidden="false" customHeight="false" outlineLevel="0" collapsed="false">
      <c r="B259" s="4" t="n">
        <v>0.30404573484726</v>
      </c>
      <c r="C259" s="4" t="n">
        <f aca="false">(B259-B$344)/B$345</f>
        <v>0.705833709678591</v>
      </c>
      <c r="D259" s="4" t="n">
        <v>0.426978190755246</v>
      </c>
      <c r="E259" s="4" t="n">
        <f aca="false">(D259-D$344)/D$345</f>
        <v>0.670703533251559</v>
      </c>
      <c r="F259" s="4" t="n">
        <v>0.311026716340782</v>
      </c>
      <c r="G259" s="4" t="n">
        <f aca="false">(F259-F$344)/F$345</f>
        <v>0.287489626393179</v>
      </c>
      <c r="H259" s="4" t="n">
        <v>0.239859948908389</v>
      </c>
      <c r="I259" s="4" t="n">
        <f aca="false">(H259-H$344)/H$345</f>
        <v>0.379504707823055</v>
      </c>
      <c r="J259" s="4" t="n">
        <v>0.2098866455726</v>
      </c>
      <c r="K259" s="4" t="n">
        <f aca="false">(J259-J$344)/J$345</f>
        <v>0.073294360536565</v>
      </c>
      <c r="L259" s="4" t="n">
        <v>0.311540488660295</v>
      </c>
      <c r="M259" s="4" t="n">
        <f aca="false">(L259-L$344)/L$345</f>
        <v>0.406041260553923</v>
      </c>
      <c r="N259" s="4" t="n">
        <v>0.302845497570507</v>
      </c>
      <c r="O259" s="4" t="n">
        <f aca="false">(N259-N$344)/N$345</f>
        <v>0.776687208660884</v>
      </c>
    </row>
    <row r="260" customFormat="false" ht="14.25" hidden="false" customHeight="false" outlineLevel="0" collapsed="false">
      <c r="A260" s="0" t="s">
        <v>78</v>
      </c>
      <c r="B260" s="4" t="n">
        <v>0.238597220634318</v>
      </c>
      <c r="C260" s="4" t="n">
        <f aca="false">(B260-B$344)/B$345</f>
        <v>0.0880452239802395</v>
      </c>
      <c r="D260" s="4" t="n">
        <v>0.331199689806788</v>
      </c>
      <c r="E260" s="4" t="n">
        <f aca="false">(D260-D$344)/D$345</f>
        <v>-0.0682556853485888</v>
      </c>
      <c r="F260" s="4" t="n">
        <v>0.253019724384828</v>
      </c>
      <c r="G260" s="4" t="n">
        <f aca="false">(F260-F$344)/F$345</f>
        <v>-0.272835107076901</v>
      </c>
      <c r="H260" s="4" t="n">
        <v>0.190046564268464</v>
      </c>
      <c r="I260" s="4" t="n">
        <f aca="false">(H260-H$344)/H$345</f>
        <v>-0.330192506774857</v>
      </c>
      <c r="J260" s="4" t="n">
        <v>0.168137691456612</v>
      </c>
      <c r="K260" s="4" t="n">
        <f aca="false">(J260-J$344)/J$345</f>
        <v>-0.446028762768081</v>
      </c>
      <c r="L260" s="4" t="n">
        <v>0.253437677325364</v>
      </c>
      <c r="M260" s="4" t="n">
        <f aca="false">(L260-L$344)/L$345</f>
        <v>-0.356162392942617</v>
      </c>
      <c r="N260" s="4" t="n">
        <v>0.257294033845362</v>
      </c>
      <c r="O260" s="4" t="n">
        <f aca="false">(N260-N$344)/N$345</f>
        <v>0.214921515339863</v>
      </c>
    </row>
    <row r="261" customFormat="false" ht="14.25" hidden="false" customHeight="false" outlineLevel="0" collapsed="false">
      <c r="B261" s="4" t="n">
        <v>0.30404573484726</v>
      </c>
      <c r="C261" s="4" t="n">
        <f aca="false">(B261-B$344)/B$345</f>
        <v>0.705833709678591</v>
      </c>
      <c r="D261" s="4" t="n">
        <v>0.426978190755246</v>
      </c>
      <c r="E261" s="4" t="n">
        <f aca="false">(D261-D$344)/D$345</f>
        <v>0.670703533251559</v>
      </c>
      <c r="F261" s="4" t="n">
        <v>0.311026716340782</v>
      </c>
      <c r="G261" s="4" t="n">
        <f aca="false">(F261-F$344)/F$345</f>
        <v>0.287489626393179</v>
      </c>
      <c r="H261" s="4" t="n">
        <v>0.239859948908389</v>
      </c>
      <c r="I261" s="4" t="n">
        <f aca="false">(H261-H$344)/H$345</f>
        <v>0.379504707823055</v>
      </c>
      <c r="J261" s="4" t="n">
        <v>0.2098866455726</v>
      </c>
      <c r="K261" s="4" t="n">
        <f aca="false">(J261-J$344)/J$345</f>
        <v>0.073294360536565</v>
      </c>
      <c r="L261" s="4" t="n">
        <v>0.311540488660295</v>
      </c>
      <c r="M261" s="4" t="n">
        <f aca="false">(L261-L$344)/L$345</f>
        <v>0.406041260553923</v>
      </c>
      <c r="N261" s="4" t="n">
        <v>0.302845497570507</v>
      </c>
      <c r="O261" s="4" t="n">
        <f aca="false">(N261-N$344)/N$345</f>
        <v>0.776687208660884</v>
      </c>
    </row>
    <row r="262" customFormat="false" ht="14.25" hidden="false" customHeight="false" outlineLevel="0" collapsed="false">
      <c r="A262" s="0" t="s">
        <v>79</v>
      </c>
      <c r="B262" s="4" t="n">
        <v>0.167874184193596</v>
      </c>
      <c r="C262" s="4" t="n">
        <f aca="false">(B262-B$344)/B$345</f>
        <v>-0.579531085614016</v>
      </c>
      <c r="D262" s="4" t="n">
        <v>0.263513160561774</v>
      </c>
      <c r="E262" s="4" t="n">
        <f aca="false">(D262-D$344)/D$345</f>
        <v>-0.590477105242892</v>
      </c>
      <c r="F262" s="4" t="n">
        <v>0.200146386095679</v>
      </c>
      <c r="G262" s="4" t="n">
        <f aca="false">(F262-F$344)/F$345</f>
        <v>-0.783570764720325</v>
      </c>
      <c r="H262" s="4" t="n">
        <v>0.165063138204492</v>
      </c>
      <c r="I262" s="4" t="n">
        <f aca="false">(H262-H$344)/H$345</f>
        <v>-0.686134348849622</v>
      </c>
      <c r="J262" s="4" t="n">
        <v>0.138143974770168</v>
      </c>
      <c r="K262" s="4" t="n">
        <f aca="false">(J262-J$344)/J$345</f>
        <v>-0.819126268057525</v>
      </c>
      <c r="L262" s="4" t="n">
        <v>0.217616872047867</v>
      </c>
      <c r="M262" s="4" t="n">
        <f aca="false">(L262-L$344)/L$345</f>
        <v>-0.826066482373169</v>
      </c>
      <c r="N262" s="4" t="n">
        <v>0.208494275721065</v>
      </c>
      <c r="O262" s="4" t="n">
        <f aca="false">(N262-N$344)/N$345</f>
        <v>-0.386903930314496</v>
      </c>
    </row>
    <row r="263" customFormat="false" ht="14.25" hidden="false" customHeight="false" outlineLevel="0" collapsed="false">
      <c r="B263" s="4" t="n">
        <v>0.246234223131742</v>
      </c>
      <c r="C263" s="4" t="n">
        <f aca="false">(B263-B$344)/B$345</f>
        <v>0.160133219634473</v>
      </c>
      <c r="D263" s="4" t="n">
        <v>0.393583619037759</v>
      </c>
      <c r="E263" s="4" t="n">
        <f aca="false">(D263-D$344)/D$345</f>
        <v>0.413054620630545</v>
      </c>
      <c r="F263" s="4" t="n">
        <v>0.281231332257518</v>
      </c>
      <c r="G263" s="4" t="n">
        <f aca="false">(F263-F$344)/F$345</f>
        <v>-0.000322068062045628</v>
      </c>
      <c r="H263" s="4" t="n">
        <v>0.24409176428261</v>
      </c>
      <c r="I263" s="4" t="n">
        <f aca="false">(H263-H$344)/H$345</f>
        <v>0.43979588469221</v>
      </c>
      <c r="J263" s="4" t="n">
        <v>0.199233925569371</v>
      </c>
      <c r="K263" s="4" t="n">
        <f aca="false">(J263-J$344)/J$345</f>
        <v>-0.0592168350348808</v>
      </c>
      <c r="L263" s="4" t="n">
        <v>0.305779604826234</v>
      </c>
      <c r="M263" s="4" t="n">
        <f aca="false">(L263-L$344)/L$345</f>
        <v>0.330468898308327</v>
      </c>
      <c r="N263" s="4" t="n">
        <v>0.327801396395627</v>
      </c>
      <c r="O263" s="4" t="n">
        <f aca="false">(N263-N$344)/N$345</f>
        <v>1.08445707288599</v>
      </c>
    </row>
    <row r="264" customFormat="false" ht="14.25" hidden="false" customHeight="false" outlineLevel="0" collapsed="false">
      <c r="B264" s="4" t="n">
        <v>0.266262812106224</v>
      </c>
      <c r="C264" s="4" t="n">
        <f aca="false">(B264-B$344)/B$345</f>
        <v>0.349189179147344</v>
      </c>
      <c r="D264" s="4" t="n">
        <v>0.42599386724751</v>
      </c>
      <c r="E264" s="4" t="n">
        <f aca="false">(D264-D$344)/D$345</f>
        <v>0.663109188770037</v>
      </c>
      <c r="F264" s="4" t="n">
        <v>0.301956399277652</v>
      </c>
      <c r="G264" s="4" t="n">
        <f aca="false">(F264-F$344)/F$345</f>
        <v>0.199873930086318</v>
      </c>
      <c r="H264" s="4" t="n">
        <v>0.264291242108112</v>
      </c>
      <c r="I264" s="4" t="n">
        <f aca="false">(H264-H$344)/H$345</f>
        <v>0.727580247323163</v>
      </c>
      <c r="J264" s="4" t="n">
        <v>0.214848332244108</v>
      </c>
      <c r="K264" s="4" t="n">
        <f aca="false">(J264-J$344)/J$345</f>
        <v>0.135013717911316</v>
      </c>
      <c r="L264" s="4" t="n">
        <v>0.328313732700759</v>
      </c>
      <c r="M264" s="4" t="n">
        <f aca="false">(L264-L$344)/L$345</f>
        <v>0.626075843991436</v>
      </c>
      <c r="N264" s="4" t="n">
        <v>0.32807869782238</v>
      </c>
      <c r="O264" s="4" t="n">
        <f aca="false">(N264-N$344)/N$345</f>
        <v>1.08787690653171</v>
      </c>
    </row>
    <row r="265" customFormat="false" ht="14.25" hidden="false" customHeight="false" outlineLevel="0" collapsed="false">
      <c r="A265" s="0" t="s">
        <v>80</v>
      </c>
      <c r="B265" s="4" t="n">
        <v>0.168866083420661</v>
      </c>
      <c r="C265" s="4" t="n">
        <f aca="false">(B265-B$344)/B$345</f>
        <v>-0.570168246307072</v>
      </c>
      <c r="D265" s="4" t="n">
        <v>0.26520845210462</v>
      </c>
      <c r="E265" s="4" t="n">
        <f aca="false">(D265-D$344)/D$345</f>
        <v>-0.577397433903335</v>
      </c>
      <c r="F265" s="4" t="n">
        <v>0.201172777819246</v>
      </c>
      <c r="G265" s="4" t="n">
        <f aca="false">(F265-F$344)/F$345</f>
        <v>-0.773656224256295</v>
      </c>
      <c r="H265" s="4" t="n">
        <v>0.166063500559911</v>
      </c>
      <c r="I265" s="4" t="n">
        <f aca="false">(H265-H$344)/H$345</f>
        <v>-0.671882067412383</v>
      </c>
      <c r="J265" s="4" t="n">
        <v>0.138917265286614</v>
      </c>
      <c r="K265" s="4" t="n">
        <f aca="false">(J265-J$344)/J$345</f>
        <v>-0.809507161310403</v>
      </c>
      <c r="L265" s="4" t="n">
        <v>0.218732856007087</v>
      </c>
      <c r="M265" s="4" t="n">
        <f aca="false">(L265-L$344)/L$345</f>
        <v>-0.811426794010112</v>
      </c>
      <c r="N265" s="4" t="n">
        <v>0.210004492438465</v>
      </c>
      <c r="O265" s="4" t="n">
        <f aca="false">(N265-N$344)/N$345</f>
        <v>-0.368279107489172</v>
      </c>
    </row>
    <row r="266" customFormat="false" ht="14.25" hidden="false" customHeight="false" outlineLevel="0" collapsed="false">
      <c r="B266" s="4" t="n">
        <v>0.247226122358808</v>
      </c>
      <c r="C266" s="4" t="n">
        <f aca="false">(B266-B$344)/B$345</f>
        <v>0.169496058941417</v>
      </c>
      <c r="D266" s="4" t="n">
        <v>0.395194385662089</v>
      </c>
      <c r="E266" s="4" t="n">
        <f aca="false">(D266-D$344)/D$345</f>
        <v>0.425482157439696</v>
      </c>
      <c r="F266" s="4" t="n">
        <v>0.282257723981085</v>
      </c>
      <c r="G266" s="4" t="n">
        <f aca="false">(F266-F$344)/F$345</f>
        <v>0.00959247240198402</v>
      </c>
      <c r="H266" s="4" t="n">
        <v>0.245092126638029</v>
      </c>
      <c r="I266" s="4" t="n">
        <f aca="false">(H266-H$344)/H$345</f>
        <v>0.45404816612945</v>
      </c>
      <c r="J266" s="4" t="n">
        <v>0.200007216085816</v>
      </c>
      <c r="K266" s="4" t="n">
        <f aca="false">(J266-J$344)/J$345</f>
        <v>-0.0495977282877582</v>
      </c>
      <c r="L266" s="4" t="n">
        <v>0.306895588785454</v>
      </c>
      <c r="M266" s="4" t="n">
        <f aca="false">(L266-L$344)/L$345</f>
        <v>0.345108586671385</v>
      </c>
      <c r="N266" s="4" t="n">
        <v>0.32807869782238</v>
      </c>
      <c r="O266" s="4" t="n">
        <f aca="false">(N266-N$344)/N$345</f>
        <v>1.08787690653171</v>
      </c>
    </row>
    <row r="267" customFormat="false" ht="14.25" hidden="false" customHeight="false" outlineLevel="0" collapsed="false">
      <c r="A267" s="0" t="s">
        <v>81</v>
      </c>
      <c r="B267" s="4" t="n">
        <v>0.104570834231011</v>
      </c>
      <c r="C267" s="4" t="n">
        <f aca="false">(B267-B$344)/B$345</f>
        <v>-1.17707071173565</v>
      </c>
      <c r="D267" s="4" t="n">
        <v>0.178163040513446</v>
      </c>
      <c r="E267" s="4" t="n">
        <f aca="false">(D267-D$344)/D$345</f>
        <v>-1.24897830743107</v>
      </c>
      <c r="F267" s="4" t="n">
        <v>0.141262254417484</v>
      </c>
      <c r="G267" s="4" t="n">
        <f aca="false">(F267-F$344)/F$345</f>
        <v>-1.35236832300872</v>
      </c>
      <c r="H267" s="4" t="n">
        <v>0.120451953426232</v>
      </c>
      <c r="I267" s="4" t="n">
        <f aca="false">(H267-H$344)/H$345</f>
        <v>-1.32171520339103</v>
      </c>
      <c r="J267" s="4" t="n">
        <v>0.0979619800840993</v>
      </c>
      <c r="K267" s="4" t="n">
        <f aca="false">(J267-J$344)/J$345</f>
        <v>-1.31895768713943</v>
      </c>
      <c r="L267" s="4" t="n">
        <v>0.165161217811746</v>
      </c>
      <c r="M267" s="4" t="n">
        <f aca="false">(L267-L$344)/L$345</f>
        <v>-1.51418966241774</v>
      </c>
      <c r="N267" s="4" t="n">
        <v>0.137529538661343</v>
      </c>
      <c r="O267" s="4" t="n">
        <f aca="false">(N267-N$344)/N$345</f>
        <v>-1.26208008176037</v>
      </c>
    </row>
    <row r="268" customFormat="false" ht="14.25" hidden="false" customHeight="false" outlineLevel="0" collapsed="false">
      <c r="B268" s="4" t="n">
        <v>0.152248441958829</v>
      </c>
      <c r="C268" s="4" t="n">
        <f aca="false">(B268-B$344)/B$345</f>
        <v>-0.727027232000494</v>
      </c>
      <c r="D268" s="4" t="n">
        <v>0.269571653514171</v>
      </c>
      <c r="E268" s="4" t="n">
        <f aca="false">(D268-D$344)/D$345</f>
        <v>-0.543734055668468</v>
      </c>
      <c r="F268" s="4" t="n">
        <v>0.197193502359432</v>
      </c>
      <c r="G268" s="4" t="n">
        <f aca="false">(F268-F$344)/F$345</f>
        <v>-0.812094460514392</v>
      </c>
      <c r="H268" s="4" t="n">
        <v>0.181118633958396</v>
      </c>
      <c r="I268" s="4" t="n">
        <f aca="false">(H268-H$344)/H$345</f>
        <v>-0.457389791580535</v>
      </c>
      <c r="J268" s="4" t="n">
        <v>0.141560036140415</v>
      </c>
      <c r="K268" s="4" t="n">
        <f aca="false">(J268-J$344)/J$345</f>
        <v>-0.776633235650806</v>
      </c>
      <c r="L268" s="4" t="n">
        <v>0.230554999483402</v>
      </c>
      <c r="M268" s="4" t="n">
        <f aca="false">(L268-L$344)/L$345</f>
        <v>-0.656341682932361</v>
      </c>
      <c r="N268" s="4" t="n">
        <v>0.213902867780978</v>
      </c>
      <c r="O268" s="4" t="n">
        <f aca="false">(N268-N$344)/N$345</f>
        <v>-0.32020219956966</v>
      </c>
    </row>
    <row r="269" customFormat="false" ht="14.25" hidden="false" customHeight="false" outlineLevel="0" collapsed="false">
      <c r="B269" s="4" t="n">
        <v>0.200537301067772</v>
      </c>
      <c r="C269" s="4" t="n">
        <f aca="false">(B269-B$344)/B$345</f>
        <v>-0.2712139640636</v>
      </c>
      <c r="D269" s="4" t="n">
        <v>0.358240061670949</v>
      </c>
      <c r="E269" s="4" t="n">
        <f aca="false">(D269-D$344)/D$345</f>
        <v>0.140368712251354</v>
      </c>
      <c r="F269" s="4" t="n">
        <v>0.253841817582687</v>
      </c>
      <c r="G269" s="4" t="n">
        <f aca="false">(F269-F$344)/F$345</f>
        <v>-0.264894010039362</v>
      </c>
      <c r="H269" s="4" t="n">
        <v>0.242563092446101</v>
      </c>
      <c r="I269" s="4" t="n">
        <f aca="false">(H269-H$344)/H$345</f>
        <v>0.418016715253176</v>
      </c>
      <c r="J269" s="4" t="n">
        <v>0.185717041633351</v>
      </c>
      <c r="K269" s="4" t="n">
        <f aca="false">(J269-J$344)/J$345</f>
        <v>-0.227355906578992</v>
      </c>
      <c r="L269" s="4" t="n">
        <v>0.296787162971361</v>
      </c>
      <c r="M269" s="4" t="n">
        <f aca="false">(L269-L$344)/L$345</f>
        <v>0.212504347572061</v>
      </c>
      <c r="N269" s="4" t="n">
        <v>0.291255342145737</v>
      </c>
      <c r="O269" s="4" t="n">
        <f aca="false">(N269-N$344)/N$345</f>
        <v>0.633751040085031</v>
      </c>
    </row>
    <row r="270" customFormat="false" ht="14.25" hidden="false" customHeight="false" outlineLevel="0" collapsed="false">
      <c r="B270" s="4" t="n">
        <v>0.236736667149215</v>
      </c>
      <c r="C270" s="4" t="n">
        <f aca="false">(B270-B$344)/B$345</f>
        <v>0.0704828922154139</v>
      </c>
      <c r="D270" s="4" t="n">
        <v>0.423478735440062</v>
      </c>
      <c r="E270" s="4" t="n">
        <f aca="false">(D270-D$344)/D$345</f>
        <v>0.643704209398851</v>
      </c>
      <c r="F270" s="4" t="n">
        <v>0.296307784650519</v>
      </c>
      <c r="G270" s="4" t="n">
        <f aca="false">(F270-F$344)/F$345</f>
        <v>0.145310533869755</v>
      </c>
      <c r="H270" s="4" t="n">
        <v>0.288624450852898</v>
      </c>
      <c r="I270" s="4" t="n">
        <f aca="false">(H270-H$344)/H$345</f>
        <v>1.07425836592993</v>
      </c>
      <c r="J270" s="4" t="n">
        <v>0.218818995922493</v>
      </c>
      <c r="K270" s="4" t="n">
        <f aca="false">(J270-J$344)/J$345</f>
        <v>0.184405553149198</v>
      </c>
      <c r="L270" s="4" t="n">
        <v>0.346437587038276</v>
      </c>
      <c r="M270" s="4" t="n">
        <f aca="false">(L270-L$344)/L$345</f>
        <v>0.863827988407726</v>
      </c>
      <c r="N270" s="4" t="n">
        <v>0.329185646393217</v>
      </c>
      <c r="O270" s="4" t="n">
        <f aca="false">(N270-N$344)/N$345</f>
        <v>1.10152840487036</v>
      </c>
    </row>
    <row r="271" customFormat="false" ht="14.25" hidden="false" customHeight="false" outlineLevel="0" collapsed="false">
      <c r="A271" s="0" t="s">
        <v>82</v>
      </c>
      <c r="B271" s="4" t="n">
        <v>0.103959582849885</v>
      </c>
      <c r="C271" s="4" t="n">
        <f aca="false">(B271-B$344)/B$345</f>
        <v>-1.18284049993739</v>
      </c>
      <c r="D271" s="4" t="n">
        <v>0.176946130441848</v>
      </c>
      <c r="E271" s="4" t="n">
        <f aca="false">(D271-D$344)/D$345</f>
        <v>-1.25836712545088</v>
      </c>
      <c r="F271" s="4" t="n">
        <v>0.140545187136177</v>
      </c>
      <c r="G271" s="4" t="n">
        <f aca="false">(F271-F$344)/F$345</f>
        <v>-1.35929491098942</v>
      </c>
      <c r="H271" s="4" t="n">
        <v>0.119674175470691</v>
      </c>
      <c r="I271" s="4" t="n">
        <f aca="false">(H271-H$344)/H$345</f>
        <v>-1.33279629841425</v>
      </c>
      <c r="J271" s="4" t="n">
        <v>0.0974030306474798</v>
      </c>
      <c r="K271" s="4" t="n">
        <f aca="false">(J271-J$344)/J$345</f>
        <v>-1.32591056472262</v>
      </c>
      <c r="L271" s="4" t="n">
        <v>0.164322835995443</v>
      </c>
      <c r="M271" s="4" t="n">
        <f aca="false">(L271-L$344)/L$345</f>
        <v>-1.52518771343678</v>
      </c>
      <c r="N271" s="4" t="n">
        <v>0.13655039341622</v>
      </c>
      <c r="O271" s="4" t="n">
        <f aca="false">(N271-N$344)/N$345</f>
        <v>-1.27415543922435</v>
      </c>
    </row>
    <row r="272" customFormat="false" ht="14.25" hidden="false" customHeight="false" outlineLevel="0" collapsed="false">
      <c r="B272" s="4" t="n">
        <v>0.151025939196577</v>
      </c>
      <c r="C272" s="4" t="n">
        <f aca="false">(B272-B$344)/B$345</f>
        <v>-0.738566808403959</v>
      </c>
      <c r="D272" s="4" t="n">
        <v>0.267290011158654</v>
      </c>
      <c r="E272" s="4" t="n">
        <f aca="false">(D272-D$344)/D$345</f>
        <v>-0.561337595455181</v>
      </c>
      <c r="F272" s="4" t="n">
        <v>0.195759367796818</v>
      </c>
      <c r="G272" s="4" t="n">
        <f aca="false">(F272-F$344)/F$345</f>
        <v>-0.825947636475785</v>
      </c>
      <c r="H272" s="4" t="n">
        <v>0.179563078047315</v>
      </c>
      <c r="I272" s="4" t="n">
        <f aca="false">(H272-H$344)/H$345</f>
        <v>-0.479551981626959</v>
      </c>
      <c r="J272" s="4" t="n">
        <v>0.140442137267177</v>
      </c>
      <c r="K272" s="4" t="n">
        <f aca="false">(J272-J$344)/J$345</f>
        <v>-0.790538990817181</v>
      </c>
      <c r="L272" s="4" t="n">
        <v>0.228878235850795</v>
      </c>
      <c r="M272" s="4" t="n">
        <f aca="false">(L272-L$344)/L$345</f>
        <v>-0.678337784970448</v>
      </c>
      <c r="N272" s="4" t="n">
        <v>0.211944577290731</v>
      </c>
      <c r="O272" s="4" t="n">
        <f aca="false">(N272-N$344)/N$345</f>
        <v>-0.344352914497626</v>
      </c>
    </row>
    <row r="273" customFormat="false" ht="14.25" hidden="false" customHeight="false" outlineLevel="0" collapsed="false">
      <c r="B273" s="4" t="n">
        <v>0.198703546924395</v>
      </c>
      <c r="C273" s="4" t="n">
        <f aca="false">(B273-B$344)/B$345</f>
        <v>-0.288523328668798</v>
      </c>
      <c r="D273" s="4" t="n">
        <v>0.354913269452016</v>
      </c>
      <c r="E273" s="4" t="n">
        <f aca="false">(D273-D$344)/D$345</f>
        <v>0.114701534813792</v>
      </c>
      <c r="F273" s="4" t="n">
        <v>0.251690615738766</v>
      </c>
      <c r="G273" s="4" t="n">
        <f aca="false">(F273-F$344)/F$345</f>
        <v>-0.285673773981451</v>
      </c>
      <c r="H273" s="4" t="n">
        <v>0.240229758579479</v>
      </c>
      <c r="I273" s="4" t="n">
        <f aca="false">(H273-H$344)/H$345</f>
        <v>0.384773430183542</v>
      </c>
      <c r="J273" s="4" t="n">
        <v>0.184040193323493</v>
      </c>
      <c r="K273" s="4" t="n">
        <f aca="false">(J273-J$344)/J$345</f>
        <v>-0.248214539328554</v>
      </c>
      <c r="L273" s="4" t="n">
        <v>0.294272017522451</v>
      </c>
      <c r="M273" s="4" t="n">
        <f aca="false">(L273-L$344)/L$345</f>
        <v>0.179510194514931</v>
      </c>
      <c r="N273" s="4" t="n">
        <v>0.288317906410367</v>
      </c>
      <c r="O273" s="4" t="n">
        <f aca="false">(N273-N$344)/N$345</f>
        <v>0.59752496769308</v>
      </c>
    </row>
    <row r="274" customFormat="false" ht="14.25" hidden="false" customHeight="false" outlineLevel="0" collapsed="false">
      <c r="A274" s="0" t="s">
        <v>83</v>
      </c>
      <c r="B274" s="4" t="n">
        <v>0.246307549681007</v>
      </c>
      <c r="C274" s="4" t="n">
        <f aca="false">(B274-B$344)/B$345</f>
        <v>0.160825371295617</v>
      </c>
      <c r="D274" s="4" t="n">
        <v>0.406533313824202</v>
      </c>
      <c r="E274" s="4" t="n">
        <f aca="false">(D274-D$344)/D$345</f>
        <v>0.512965312964831</v>
      </c>
      <c r="F274" s="4" t="n">
        <v>0.307753634090336</v>
      </c>
      <c r="G274" s="4" t="n">
        <f aca="false">(F274-F$344)/F$345</f>
        <v>0.255872938856625</v>
      </c>
      <c r="H274" s="4" t="n">
        <v>0.243884159176466</v>
      </c>
      <c r="I274" s="4" t="n">
        <f aca="false">(H274-H$344)/H$345</f>
        <v>0.436838110057316</v>
      </c>
      <c r="J274" s="4" t="n">
        <v>0.199291091381787</v>
      </c>
      <c r="K274" s="4" t="n">
        <f aca="false">(J274-J$344)/J$345</f>
        <v>-0.0585057387001609</v>
      </c>
      <c r="L274" s="4" t="n">
        <v>0.305007713062135</v>
      </c>
      <c r="M274" s="4" t="n">
        <f aca="false">(L274-L$344)/L$345</f>
        <v>0.320343076352683</v>
      </c>
      <c r="N274" s="4" t="n">
        <v>0.314449135945222</v>
      </c>
      <c r="O274" s="4" t="n">
        <f aca="false">(N274-N$344)/N$345</f>
        <v>0.919789656387934</v>
      </c>
    </row>
    <row r="275" customFormat="false" ht="14.25" hidden="false" customHeight="false" outlineLevel="0" collapsed="false">
      <c r="B275" s="4" t="n">
        <v>0.266262812106224</v>
      </c>
      <c r="C275" s="4" t="n">
        <f aca="false">(B275-B$344)/B$345</f>
        <v>0.349189179147344</v>
      </c>
      <c r="D275" s="4" t="n">
        <v>0.440766466738894</v>
      </c>
      <c r="E275" s="4" t="n">
        <f aca="false">(D275-D$344)/D$345</f>
        <v>0.77708412540765</v>
      </c>
      <c r="F275" s="4" t="n">
        <v>0.330344109029745</v>
      </c>
      <c r="G275" s="4" t="n">
        <f aca="false">(F275-F$344)/F$345</f>
        <v>0.47408804401151</v>
      </c>
      <c r="H275" s="4" t="n">
        <v>0.263986477260502</v>
      </c>
      <c r="I275" s="4" t="n">
        <f aca="false">(H275-H$344)/H$345</f>
        <v>0.723238226297696</v>
      </c>
      <c r="J275" s="4" t="n">
        <v>0.214848332244108</v>
      </c>
      <c r="K275" s="4" t="n">
        <f aca="false">(J275-J$344)/J$345</f>
        <v>0.135013717911316</v>
      </c>
      <c r="L275" s="4" t="n">
        <v>0.327396625279608</v>
      </c>
      <c r="M275" s="4" t="n">
        <f aca="false">(L275-L$344)/L$345</f>
        <v>0.614045055618384</v>
      </c>
      <c r="N275" s="4" t="n">
        <v>0.314449135945222</v>
      </c>
      <c r="O275" s="4" t="n">
        <f aca="false">(N275-N$344)/N$345</f>
        <v>0.919789656387934</v>
      </c>
    </row>
    <row r="276" customFormat="false" ht="14.25" hidden="false" customHeight="false" outlineLevel="0" collapsed="false">
      <c r="A276" s="0" t="s">
        <v>84</v>
      </c>
      <c r="B276" s="4" t="n">
        <v>0.246307549681007</v>
      </c>
      <c r="C276" s="4" t="n">
        <f aca="false">(B276-B$344)/B$345</f>
        <v>0.160825371295617</v>
      </c>
      <c r="D276" s="4" t="n">
        <v>0.406533313824202</v>
      </c>
      <c r="E276" s="4" t="n">
        <f aca="false">(D276-D$344)/D$345</f>
        <v>0.512965312964831</v>
      </c>
      <c r="F276" s="4" t="n">
        <v>0.307753634090336</v>
      </c>
      <c r="G276" s="4" t="n">
        <f aca="false">(F276-F$344)/F$345</f>
        <v>0.255872938856625</v>
      </c>
      <c r="H276" s="4" t="n">
        <v>0.243884159176466</v>
      </c>
      <c r="I276" s="4" t="n">
        <f aca="false">(H276-H$344)/H$345</f>
        <v>0.436838110057316</v>
      </c>
      <c r="J276" s="4" t="n">
        <v>0.199291091381787</v>
      </c>
      <c r="K276" s="4" t="n">
        <f aca="false">(J276-J$344)/J$345</f>
        <v>-0.0585057387001609</v>
      </c>
      <c r="L276" s="4" t="n">
        <v>0.305007713062135</v>
      </c>
      <c r="M276" s="4" t="n">
        <f aca="false">(L276-L$344)/L$345</f>
        <v>0.320343076352683</v>
      </c>
      <c r="N276" s="4" t="n">
        <v>0.314449135945222</v>
      </c>
      <c r="O276" s="4" t="n">
        <f aca="false">(N276-N$344)/N$345</f>
        <v>0.919789656387934</v>
      </c>
    </row>
    <row r="277" customFormat="false" ht="14.25" hidden="false" customHeight="false" outlineLevel="0" collapsed="false">
      <c r="B277" s="4" t="n">
        <v>0.266262812106224</v>
      </c>
      <c r="C277" s="4" t="n">
        <f aca="false">(B277-B$344)/B$345</f>
        <v>0.349189179147344</v>
      </c>
      <c r="D277" s="4" t="n">
        <v>0.440766466738894</v>
      </c>
      <c r="E277" s="4" t="n">
        <f aca="false">(D277-D$344)/D$345</f>
        <v>0.77708412540765</v>
      </c>
      <c r="F277" s="4" t="n">
        <v>0.330344109029745</v>
      </c>
      <c r="G277" s="4" t="n">
        <f aca="false">(F277-F$344)/F$345</f>
        <v>0.47408804401151</v>
      </c>
      <c r="H277" s="4" t="n">
        <v>0.263986477260502</v>
      </c>
      <c r="I277" s="4" t="n">
        <f aca="false">(H277-H$344)/H$345</f>
        <v>0.723238226297696</v>
      </c>
      <c r="J277" s="4" t="n">
        <v>0.214848332244108</v>
      </c>
      <c r="K277" s="4" t="n">
        <f aca="false">(J277-J$344)/J$345</f>
        <v>0.135013717911316</v>
      </c>
      <c r="L277" s="4" t="n">
        <v>0.327396625279608</v>
      </c>
      <c r="M277" s="4" t="n">
        <f aca="false">(L277-L$344)/L$345</f>
        <v>0.614045055618384</v>
      </c>
      <c r="N277" s="4" t="n">
        <v>0.314449135945222</v>
      </c>
      <c r="O277" s="4" t="n">
        <f aca="false">(N277-N$344)/N$345</f>
        <v>0.919789656387934</v>
      </c>
    </row>
    <row r="278" customFormat="false" ht="14.25" hidden="false" customHeight="false" outlineLevel="0" collapsed="false">
      <c r="A278" s="0" t="s">
        <v>85</v>
      </c>
      <c r="B278" s="4" t="n">
        <v>0.126644840509609</v>
      </c>
      <c r="C278" s="4" t="n">
        <f aca="false">(B278-B$344)/B$345</f>
        <v>-0.968707434491776</v>
      </c>
      <c r="D278" s="4" t="n">
        <v>0.225386747814965</v>
      </c>
      <c r="E278" s="4" t="n">
        <f aca="false">(D278-D$344)/D$345</f>
        <v>-0.884633558856319</v>
      </c>
      <c r="F278" s="4" t="n">
        <v>0.182872490198153</v>
      </c>
      <c r="G278" s="4" t="n">
        <f aca="false">(F278-F$344)/F$345</f>
        <v>-0.950429806853047</v>
      </c>
      <c r="H278" s="4" t="n">
        <v>0.1482324547078</v>
      </c>
      <c r="I278" s="4" t="n">
        <f aca="false">(H278-H$344)/H$345</f>
        <v>-0.925923098072809</v>
      </c>
      <c r="J278" s="4" t="n">
        <v>0.118147216067747</v>
      </c>
      <c r="K278" s="4" t="n">
        <f aca="false">(J278-J$344)/J$345</f>
        <v>-1.0678697253537</v>
      </c>
      <c r="L278" s="4" t="n">
        <v>0.194718588519085</v>
      </c>
      <c r="M278" s="4" t="n">
        <f aca="false">(L278-L$344)/L$345</f>
        <v>-1.12645049071021</v>
      </c>
      <c r="N278" s="4" t="n">
        <v>0.164941782717781</v>
      </c>
      <c r="O278" s="4" t="n">
        <f aca="false">(N278-N$344)/N$345</f>
        <v>-0.924017217726671</v>
      </c>
    </row>
    <row r="279" customFormat="false" ht="14.25" hidden="false" customHeight="false" outlineLevel="0" collapsed="false">
      <c r="B279" s="4" t="n">
        <v>0.15100219578489</v>
      </c>
      <c r="C279" s="4" t="n">
        <f aca="false">(B279-B$344)/B$345</f>
        <v>-0.738790929707973</v>
      </c>
      <c r="D279" s="4" t="n">
        <v>0.274521781821491</v>
      </c>
      <c r="E279" s="4" t="n">
        <f aca="false">(D279-D$344)/D$345</f>
        <v>-0.505542364320993</v>
      </c>
      <c r="F279" s="4" t="n">
        <v>0.21413274493288</v>
      </c>
      <c r="G279" s="4" t="n">
        <f aca="false">(F279-F$344)/F$345</f>
        <v>-0.648468037903832</v>
      </c>
      <c r="H279" s="4" t="n">
        <v>0.179161510191601</v>
      </c>
      <c r="I279" s="4" t="n">
        <f aca="false">(H279-H$344)/H$345</f>
        <v>-0.48527316662036</v>
      </c>
      <c r="J279" s="4" t="n">
        <v>0.14042042546906</v>
      </c>
      <c r="K279" s="4" t="n">
        <f aca="false">(J279-J$344)/J$345</f>
        <v>-0.790809067973587</v>
      </c>
      <c r="L279" s="4" t="n">
        <v>0.228003817325766</v>
      </c>
      <c r="M279" s="4" t="n">
        <f aca="false">(L279-L$344)/L$345</f>
        <v>-0.689808572341134</v>
      </c>
      <c r="N279" s="4" t="n">
        <v>0.203963513616405</v>
      </c>
      <c r="O279" s="4" t="n">
        <f aca="false">(N279-N$344)/N$345</f>
        <v>-0.442779779449771</v>
      </c>
    </row>
    <row r="280" customFormat="false" ht="14.25" hidden="false" customHeight="false" outlineLevel="0" collapsed="false">
      <c r="B280" s="4" t="n">
        <v>0.174750617178289</v>
      </c>
      <c r="C280" s="4" t="n">
        <f aca="false">(B280-B$344)/B$345</f>
        <v>-0.514622337543765</v>
      </c>
      <c r="D280" s="4" t="n">
        <v>0.321226043103179</v>
      </c>
      <c r="E280" s="4" t="n">
        <f aca="false">(D280-D$344)/D$345</f>
        <v>-0.145205294099082</v>
      </c>
      <c r="F280" s="4" t="n">
        <v>0.244611493299239</v>
      </c>
      <c r="G280" s="4" t="n">
        <f aca="false">(F280-F$344)/F$345</f>
        <v>-0.354055313178348</v>
      </c>
      <c r="H280" s="4" t="n">
        <v>0.209317339288306</v>
      </c>
      <c r="I280" s="4" t="n">
        <f aca="false">(H280-H$344)/H$345</f>
        <v>-0.0556394834542222</v>
      </c>
      <c r="J280" s="4" t="n">
        <v>0.162136804635339</v>
      </c>
      <c r="K280" s="4" t="n">
        <f aca="false">(J280-J$344)/J$345</f>
        <v>-0.520674927027975</v>
      </c>
      <c r="L280" s="4" t="n">
        <v>0.260456915412281</v>
      </c>
      <c r="M280" s="4" t="n">
        <f aca="false">(L280-L$344)/L$345</f>
        <v>-0.264082701931289</v>
      </c>
      <c r="N280" s="4" t="n">
        <v>0.242009701242563</v>
      </c>
      <c r="O280" s="4" t="n">
        <f aca="false">(N280-N$344)/N$345</f>
        <v>0.0264267228702071</v>
      </c>
    </row>
    <row r="281" customFormat="false" ht="14.25" hidden="false" customHeight="false" outlineLevel="0" collapsed="false">
      <c r="B281" s="4" t="n">
        <v>0.19910797245357</v>
      </c>
      <c r="C281" s="4" t="n">
        <f aca="false">(B281-B$344)/B$345</f>
        <v>-0.284705832759963</v>
      </c>
      <c r="D281" s="4" t="n">
        <v>0.368310355920097</v>
      </c>
      <c r="E281" s="4" t="n">
        <f aca="false">(D281-D$344)/D$345</f>
        <v>0.218063985154283</v>
      </c>
      <c r="F281" s="4" t="n">
        <v>0.275871748033966</v>
      </c>
      <c r="G281" s="4" t="n">
        <f aca="false">(F281-F$344)/F$345</f>
        <v>-0.0520935442291344</v>
      </c>
      <c r="H281" s="4" t="n">
        <v>0.240246394772107</v>
      </c>
      <c r="I281" s="4" t="n">
        <f aca="false">(H281-H$344)/H$345</f>
        <v>0.385010447998226</v>
      </c>
      <c r="J281" s="4" t="n">
        <v>0.184410014036652</v>
      </c>
      <c r="K281" s="4" t="n">
        <f aca="false">(J281-J$344)/J$345</f>
        <v>-0.243614269647861</v>
      </c>
      <c r="L281" s="4" t="n">
        <v>0.293742144218962</v>
      </c>
      <c r="M281" s="4" t="n">
        <f aca="false">(L281-L$344)/L$345</f>
        <v>0.17255921643778</v>
      </c>
      <c r="N281" s="4" t="n">
        <v>0.281031432141187</v>
      </c>
      <c r="O281" s="4" t="n">
        <f aca="false">(N281-N$344)/N$345</f>
        <v>0.507664161147105</v>
      </c>
    </row>
    <row r="282" customFormat="false" ht="14.25" hidden="false" customHeight="false" outlineLevel="0" collapsed="false">
      <c r="B282" s="4" t="n">
        <v>0.222247459965087</v>
      </c>
      <c r="C282" s="4" t="n">
        <f aca="false">(B282-B$344)/B$345</f>
        <v>-0.0662851532153492</v>
      </c>
      <c r="D282" s="4" t="n">
        <v>0.412503112940032</v>
      </c>
      <c r="E282" s="4" t="n">
        <f aca="false">(D282-D$344)/D$345</f>
        <v>0.559024063583694</v>
      </c>
      <c r="F282" s="4" t="n">
        <v>0.305568990031957</v>
      </c>
      <c r="G282" s="4" t="n">
        <f aca="false">(F282-F$344)/F$345</f>
        <v>0.23477013627262</v>
      </c>
      <c r="H282" s="4" t="n">
        <v>0.269628997481717</v>
      </c>
      <c r="I282" s="4" t="n">
        <f aca="false">(H282-H$344)/H$345</f>
        <v>0.803627882878053</v>
      </c>
      <c r="J282" s="4" t="n">
        <v>0.205569562967899</v>
      </c>
      <c r="K282" s="4" t="n">
        <f aca="false">(J282-J$344)/J$345</f>
        <v>0.0195933548632481</v>
      </c>
      <c r="L282" s="4" t="n">
        <v>0.325363111585309</v>
      </c>
      <c r="M282" s="4" t="n">
        <f aca="false">(L282-L$344)/L$345</f>
        <v>0.587369038888399</v>
      </c>
      <c r="N282" s="4" t="n">
        <v>0.31810207649488</v>
      </c>
      <c r="O282" s="4" t="n">
        <f aca="false">(N282-N$344)/N$345</f>
        <v>0.96483972751016</v>
      </c>
    </row>
    <row r="283" customFormat="false" ht="14.25" hidden="false" customHeight="false" outlineLevel="0" collapsed="false">
      <c r="B283" s="4" t="n">
        <v>0.236736667149215</v>
      </c>
      <c r="C283" s="4" t="n">
        <f aca="false">(B283-B$344)/B$345</f>
        <v>0.0704828922154139</v>
      </c>
      <c r="D283" s="4" t="n">
        <v>0.439974060774326</v>
      </c>
      <c r="E283" s="4" t="n">
        <f aca="false">(D283-D$344)/D$345</f>
        <v>0.770970481044953</v>
      </c>
      <c r="F283" s="4" t="n">
        <v>0.324164453388346</v>
      </c>
      <c r="G283" s="4" t="n">
        <f aca="false">(F283-F$344)/F$345</f>
        <v>0.414395000406816</v>
      </c>
      <c r="H283" s="4" t="n">
        <v>0.288027443776457</v>
      </c>
      <c r="I283" s="4" t="n">
        <f aca="false">(H283-H$344)/H$345</f>
        <v>1.06575273511788</v>
      </c>
      <c r="J283" s="4" t="n">
        <v>0.218818995922493</v>
      </c>
      <c r="K283" s="4" t="n">
        <f aca="false">(J283-J$344)/J$345</f>
        <v>0.184405553149198</v>
      </c>
      <c r="L283" s="4" t="n">
        <v>0.345163150255374</v>
      </c>
      <c r="M283" s="4" t="n">
        <f aca="false">(L283-L$344)/L$345</f>
        <v>0.847109685975182</v>
      </c>
      <c r="N283" s="4" t="n">
        <v>0.31979774579781</v>
      </c>
      <c r="O283" s="4" t="n">
        <f aca="false">(N283-N$344)/N$345</f>
        <v>0.985751653575833</v>
      </c>
    </row>
    <row r="284" customFormat="false" ht="14.25" hidden="false" customHeight="false" outlineLevel="0" collapsed="false">
      <c r="A284" s="0" t="s">
        <v>86</v>
      </c>
      <c r="B284" s="4" t="n">
        <v>0.174750617178289</v>
      </c>
      <c r="C284" s="4" t="n">
        <f aca="false">(B284-B$344)/B$345</f>
        <v>-0.514622337543765</v>
      </c>
      <c r="D284" s="4" t="n">
        <v>0.321226043103179</v>
      </c>
      <c r="E284" s="4" t="n">
        <f aca="false">(D284-D$344)/D$345</f>
        <v>-0.145205294099082</v>
      </c>
      <c r="F284" s="4" t="n">
        <v>0.244611493299239</v>
      </c>
      <c r="G284" s="4" t="n">
        <f aca="false">(F284-F$344)/F$345</f>
        <v>-0.354055313178348</v>
      </c>
      <c r="H284" s="4" t="n">
        <v>0.209317339288306</v>
      </c>
      <c r="I284" s="4" t="n">
        <f aca="false">(H284-H$344)/H$345</f>
        <v>-0.0556394834542222</v>
      </c>
      <c r="J284" s="4" t="n">
        <v>0.162136804635339</v>
      </c>
      <c r="K284" s="4" t="n">
        <f aca="false">(J284-J$344)/J$345</f>
        <v>-0.520674927027975</v>
      </c>
      <c r="L284" s="4" t="n">
        <v>0.260456915412281</v>
      </c>
      <c r="M284" s="4" t="n">
        <f aca="false">(L284-L$344)/L$345</f>
        <v>-0.264082701931289</v>
      </c>
      <c r="N284" s="4" t="n">
        <v>0.242009701242563</v>
      </c>
      <c r="O284" s="4" t="n">
        <f aca="false">(N284-N$344)/N$345</f>
        <v>0.0264267228702071</v>
      </c>
    </row>
    <row r="285" customFormat="false" ht="14.25" hidden="false" customHeight="false" outlineLevel="0" collapsed="false">
      <c r="B285" s="4" t="n">
        <v>0.197890104689806</v>
      </c>
      <c r="C285" s="4" t="n">
        <f aca="false">(B285-B$344)/B$345</f>
        <v>-0.296201657999152</v>
      </c>
      <c r="D285" s="4" t="n">
        <v>0.365971488369034</v>
      </c>
      <c r="E285" s="4" t="n">
        <f aca="false">(D285-D$344)/D$345</f>
        <v>0.200018936204601</v>
      </c>
      <c r="F285" s="4" t="n">
        <v>0.27430873529723</v>
      </c>
      <c r="G285" s="4" t="n">
        <f aca="false">(F285-F$344)/F$345</f>
        <v>-0.0671916326765947</v>
      </c>
      <c r="H285" s="4" t="n">
        <v>0.238699941997917</v>
      </c>
      <c r="I285" s="4" t="n">
        <f aca="false">(H285-H$344)/H$345</f>
        <v>0.362977951425604</v>
      </c>
      <c r="J285" s="4" t="n">
        <v>0.183296353566586</v>
      </c>
      <c r="K285" s="4" t="n">
        <f aca="false">(J285-J$344)/J$345</f>
        <v>-0.257467302516867</v>
      </c>
      <c r="L285" s="4" t="n">
        <v>0.292077882778628</v>
      </c>
      <c r="M285" s="4" t="n">
        <f aca="false">(L285-L$344)/L$345</f>
        <v>0.150727120519327</v>
      </c>
      <c r="N285" s="4" t="n">
        <v>0.279080345596256</v>
      </c>
      <c r="O285" s="4" t="n">
        <f aca="false">(N285-N$344)/N$345</f>
        <v>0.483602289233261</v>
      </c>
    </row>
    <row r="286" customFormat="false" ht="14.25" hidden="false" customHeight="false" outlineLevel="0" collapsed="false">
      <c r="B286" s="4" t="n">
        <v>0.222247459965087</v>
      </c>
      <c r="C286" s="4" t="n">
        <f aca="false">(B286-B$344)/B$345</f>
        <v>-0.0662851532153492</v>
      </c>
      <c r="D286" s="4" t="n">
        <v>0.412503112940032</v>
      </c>
      <c r="E286" s="4" t="n">
        <f aca="false">(D286-D$344)/D$345</f>
        <v>0.559024063583694</v>
      </c>
      <c r="F286" s="4" t="n">
        <v>0.305568990031957</v>
      </c>
      <c r="G286" s="4" t="n">
        <f aca="false">(F286-F$344)/F$345</f>
        <v>0.23477013627262</v>
      </c>
      <c r="H286" s="4" t="n">
        <v>0.269628997481717</v>
      </c>
      <c r="I286" s="4" t="n">
        <f aca="false">(H286-H$344)/H$345</f>
        <v>0.803627882878053</v>
      </c>
      <c r="J286" s="4" t="n">
        <v>0.205569562967899</v>
      </c>
      <c r="K286" s="4" t="n">
        <f aca="false">(J286-J$344)/J$345</f>
        <v>0.0195933548632481</v>
      </c>
      <c r="L286" s="4" t="n">
        <v>0.325363111585309</v>
      </c>
      <c r="M286" s="4" t="n">
        <f aca="false">(L286-L$344)/L$345</f>
        <v>0.587369038888399</v>
      </c>
      <c r="N286" s="4" t="n">
        <v>0.31810207649488</v>
      </c>
      <c r="O286" s="4" t="n">
        <f aca="false">(N286-N$344)/N$345</f>
        <v>0.96483972751016</v>
      </c>
    </row>
    <row r="287" customFormat="false" ht="14.25" hidden="false" customHeight="false" outlineLevel="0" collapsed="false">
      <c r="B287" s="4" t="n">
        <v>0.236736667149215</v>
      </c>
      <c r="C287" s="4" t="n">
        <f aca="false">(B287-B$344)/B$345</f>
        <v>0.0704828922154139</v>
      </c>
      <c r="D287" s="4" t="n">
        <v>0.439974060774326</v>
      </c>
      <c r="E287" s="4" t="n">
        <f aca="false">(D287-D$344)/D$345</f>
        <v>0.770970481044953</v>
      </c>
      <c r="F287" s="4" t="n">
        <v>0.324164453388346</v>
      </c>
      <c r="G287" s="4" t="n">
        <f aca="false">(F287-F$344)/F$345</f>
        <v>0.414395000406816</v>
      </c>
      <c r="H287" s="4" t="n">
        <v>0.288027443776457</v>
      </c>
      <c r="I287" s="4" t="n">
        <f aca="false">(H287-H$344)/H$345</f>
        <v>1.06575273511788</v>
      </c>
      <c r="J287" s="4" t="n">
        <v>0.218818995922493</v>
      </c>
      <c r="K287" s="4" t="n">
        <f aca="false">(J287-J$344)/J$345</f>
        <v>0.184405553149198</v>
      </c>
      <c r="L287" s="4" t="n">
        <v>0.345163150255374</v>
      </c>
      <c r="M287" s="4" t="n">
        <f aca="false">(L287-L$344)/L$345</f>
        <v>0.847109685975182</v>
      </c>
      <c r="N287" s="4" t="n">
        <v>0.31979774579781</v>
      </c>
      <c r="O287" s="4" t="n">
        <f aca="false">(N287-N$344)/N$345</f>
        <v>0.985751653575833</v>
      </c>
    </row>
    <row r="288" customFormat="false" ht="14.25" hidden="false" customHeight="false" outlineLevel="0" collapsed="false">
      <c r="A288" s="0" t="s">
        <v>87</v>
      </c>
      <c r="B288" s="4" t="n">
        <v>0.113684471499992</v>
      </c>
      <c r="C288" s="4" t="n">
        <f aca="false">(B288-B$344)/B$345</f>
        <v>-1.09104431013868</v>
      </c>
      <c r="D288" s="4" t="n">
        <v>0.207056513328202</v>
      </c>
      <c r="E288" s="4" t="n">
        <f aca="false">(D288-D$344)/D$345</f>
        <v>-1.02605669263855</v>
      </c>
      <c r="F288" s="4" t="n">
        <v>0.125395114242982</v>
      </c>
      <c r="G288" s="4" t="n">
        <f aca="false">(F288-F$344)/F$345</f>
        <v>-1.50563865800491</v>
      </c>
      <c r="H288" s="4" t="n">
        <v>0.133484719854416</v>
      </c>
      <c r="I288" s="4" t="n">
        <f aca="false">(H288-H$344)/H$345</f>
        <v>-1.13603583027785</v>
      </c>
      <c r="J288" s="4" t="n">
        <v>0.127473724358687</v>
      </c>
      <c r="K288" s="4" t="n">
        <f aca="false">(J288-J$344)/J$345</f>
        <v>-0.95185552768731</v>
      </c>
      <c r="L288" s="4" t="n">
        <v>0.168052555239123</v>
      </c>
      <c r="M288" s="4" t="n">
        <f aca="false">(L288-L$344)/L$345</f>
        <v>-1.47626055193229</v>
      </c>
      <c r="N288" s="4" t="n">
        <v>0.152664462330696</v>
      </c>
      <c r="O288" s="4" t="n">
        <f aca="false">(N288-N$344)/N$345</f>
        <v>-1.07542788239797</v>
      </c>
    </row>
    <row r="289" customFormat="false" ht="14.25" hidden="false" customHeight="false" outlineLevel="0" collapsed="false">
      <c r="B289" s="4" t="n">
        <v>0.142372635093723</v>
      </c>
      <c r="C289" s="4" t="n">
        <f aca="false">(B289-B$344)/B$345</f>
        <v>-0.820247984856579</v>
      </c>
      <c r="D289" s="4" t="n">
        <v>0.261262932501547</v>
      </c>
      <c r="E289" s="4" t="n">
        <f aca="false">(D289-D$344)/D$345</f>
        <v>-0.607838274530268</v>
      </c>
      <c r="F289" s="4" t="n">
        <v>0.15101347091628</v>
      </c>
      <c r="G289" s="4" t="n">
        <f aca="false">(F289-F$344)/F$345</f>
        <v>-1.25817540588857</v>
      </c>
      <c r="H289" s="4" t="n">
        <v>0.167447155837628</v>
      </c>
      <c r="I289" s="4" t="n">
        <f aca="false">(H289-H$344)/H$345</f>
        <v>-0.652168966131322</v>
      </c>
      <c r="J289" s="4" t="n">
        <v>0.156613663672433</v>
      </c>
      <c r="K289" s="4" t="n">
        <f aca="false">(J289-J$344)/J$345</f>
        <v>-0.589378320347477</v>
      </c>
      <c r="L289" s="4" t="n">
        <v>0.202385872976148</v>
      </c>
      <c r="M289" s="4" t="n">
        <f aca="false">(L289-L$344)/L$345</f>
        <v>-1.02586960501291</v>
      </c>
      <c r="N289" s="4" t="n">
        <v>0.197688430838374</v>
      </c>
      <c r="O289" s="4" t="n">
        <f aca="false">(N289-N$344)/N$345</f>
        <v>-0.520167550097886</v>
      </c>
    </row>
    <row r="290" customFormat="false" ht="14.25" hidden="false" customHeight="false" outlineLevel="0" collapsed="false">
      <c r="B290" s="4" t="n">
        <v>0.164021214753243</v>
      </c>
      <c r="C290" s="4" t="n">
        <f aca="false">(B290-B$344)/B$345</f>
        <v>-0.615900439213904</v>
      </c>
      <c r="D290" s="4" t="n">
        <v>0.301092620869969</v>
      </c>
      <c r="E290" s="4" t="n">
        <f aca="false">(D290-D$344)/D$345</f>
        <v>-0.300540550068539</v>
      </c>
      <c r="F290" s="4" t="n">
        <v>0.170345521689618</v>
      </c>
      <c r="G290" s="4" t="n">
        <f aca="false">(F290-F$344)/F$345</f>
        <v>-1.07143539693886</v>
      </c>
      <c r="H290" s="4" t="n">
        <v>0.193075791787492</v>
      </c>
      <c r="I290" s="4" t="n">
        <f aca="false">(H290-H$344)/H$345</f>
        <v>-0.287034742086161</v>
      </c>
      <c r="J290" s="4" t="n">
        <v>0.178603161028932</v>
      </c>
      <c r="K290" s="4" t="n">
        <f aca="false">(J290-J$344)/J$345</f>
        <v>-0.315846810663427</v>
      </c>
      <c r="L290" s="4" t="n">
        <v>0.228294382650429</v>
      </c>
      <c r="M290" s="4" t="n">
        <f aca="false">(L290-L$344)/L$345</f>
        <v>-0.685996881530496</v>
      </c>
      <c r="N290" s="4" t="n">
        <v>0.209610719033077</v>
      </c>
      <c r="O290" s="4" t="n">
        <f aca="false">(N290-N$344)/N$345</f>
        <v>-0.373135337607789</v>
      </c>
    </row>
    <row r="291" customFormat="false" ht="14.25" hidden="false" customHeight="false" outlineLevel="0" collapsed="false">
      <c r="A291" s="0" t="s">
        <v>88</v>
      </c>
      <c r="B291" s="4" t="n">
        <v>0.164021214753243</v>
      </c>
      <c r="C291" s="4" t="n">
        <f aca="false">(B291-B$344)/B$345</f>
        <v>-0.615900439213904</v>
      </c>
      <c r="D291" s="4" t="n">
        <v>0.300005801730213</v>
      </c>
      <c r="E291" s="4" t="n">
        <f aca="false">(D291-D$344)/D$345</f>
        <v>-0.308925678404452</v>
      </c>
      <c r="F291" s="4" t="n">
        <v>0.168291165283984</v>
      </c>
      <c r="G291" s="4" t="n">
        <f aca="false">(F291-F$344)/F$345</f>
        <v>-1.09127967202751</v>
      </c>
      <c r="H291" s="4" t="n">
        <v>0.193065143624692</v>
      </c>
      <c r="I291" s="4" t="n">
        <f aca="false">(H291-H$344)/H$345</f>
        <v>-0.287186447727806</v>
      </c>
      <c r="J291" s="4" t="n">
        <v>0.178603161028932</v>
      </c>
      <c r="K291" s="4" t="n">
        <f aca="false">(J291-J$344)/J$345</f>
        <v>-0.315846810663427</v>
      </c>
      <c r="L291" s="4" t="n">
        <v>0.22835384489192</v>
      </c>
      <c r="M291" s="4" t="n">
        <f aca="false">(L291-L$344)/L$345</f>
        <v>-0.685216844615448</v>
      </c>
      <c r="N291" s="4" t="n">
        <v>0.210917940131067</v>
      </c>
      <c r="O291" s="4" t="n">
        <f aca="false">(N291-N$344)/N$345</f>
        <v>-0.357013968361187</v>
      </c>
    </row>
    <row r="292" customFormat="false" ht="14.25" hidden="false" customHeight="false" outlineLevel="0" collapsed="false">
      <c r="A292" s="0" t="s">
        <v>89</v>
      </c>
      <c r="B292" s="4" t="n">
        <v>0.168743686059287</v>
      </c>
      <c r="C292" s="4" t="n">
        <f aca="false">(B292-B$344)/B$345</f>
        <v>-0.571323592328992</v>
      </c>
      <c r="D292" s="4" t="n">
        <v>0.282131694842786</v>
      </c>
      <c r="E292" s="4" t="n">
        <f aca="false">(D292-D$344)/D$345</f>
        <v>-0.446829654013932</v>
      </c>
      <c r="F292" s="4" t="n">
        <v>0.168998738034061</v>
      </c>
      <c r="G292" s="4" t="n">
        <f aca="false">(F292-F$344)/F$345</f>
        <v>-1.08444479748517</v>
      </c>
      <c r="H292" s="4" t="n">
        <v>0.17975701793193</v>
      </c>
      <c r="I292" s="4" t="n">
        <f aca="false">(H292-H$344)/H$345</f>
        <v>-0.476788897028191</v>
      </c>
      <c r="J292" s="4" t="n">
        <v>0.169160126944967</v>
      </c>
      <c r="K292" s="4" t="n">
        <f aca="false">(J292-J$344)/J$345</f>
        <v>-0.433310494671713</v>
      </c>
      <c r="L292" s="4" t="n">
        <v>0.233546286066943</v>
      </c>
      <c r="M292" s="4" t="n">
        <f aca="false">(L292-L$344)/L$345</f>
        <v>-0.617101420538041</v>
      </c>
      <c r="N292" s="4" t="n">
        <v>0.233608060531945</v>
      </c>
      <c r="O292" s="4" t="n">
        <f aca="false">(N292-N$344)/N$345</f>
        <v>-0.0771869293125907</v>
      </c>
    </row>
    <row r="293" customFormat="false" ht="14.25" hidden="false" customHeight="false" outlineLevel="0" collapsed="false">
      <c r="B293" s="4" t="n">
        <v>0.189506313649598</v>
      </c>
      <c r="C293" s="4" t="n">
        <f aca="false">(B293-B$344)/B$345</f>
        <v>-0.375338818459208</v>
      </c>
      <c r="D293" s="4" t="n">
        <v>0.316941376784529</v>
      </c>
      <c r="E293" s="4" t="n">
        <f aca="false">(D293-D$344)/D$345</f>
        <v>-0.178262751079913</v>
      </c>
      <c r="F293" s="4" t="n">
        <v>0.186629109311803</v>
      </c>
      <c r="G293" s="4" t="n">
        <f aca="false">(F293-F$344)/F$345</f>
        <v>-0.914142343348599</v>
      </c>
      <c r="H293" s="4" t="n">
        <v>0.202085990676294</v>
      </c>
      <c r="I293" s="4" t="n">
        <f aca="false">(H293-H$344)/H$345</f>
        <v>-0.158665367056156</v>
      </c>
      <c r="J293" s="4" t="n">
        <v>0.188476135942054</v>
      </c>
      <c r="K293" s="4" t="n">
        <f aca="false">(J293-J$344)/J$345</f>
        <v>-0.193035011499641</v>
      </c>
      <c r="L293" s="4" t="n">
        <v>0.257910419088269</v>
      </c>
      <c r="M293" s="4" t="n">
        <f aca="false">(L293-L$344)/L$345</f>
        <v>-0.297488121689529</v>
      </c>
      <c r="N293" s="4" t="n">
        <v>0.241500697123631</v>
      </c>
      <c r="O293" s="4" t="n">
        <f aca="false">(N293-N$344)/N$345</f>
        <v>0.0201494042421872</v>
      </c>
    </row>
    <row r="294" customFormat="false" ht="14.25" hidden="false" customHeight="false" outlineLevel="0" collapsed="false">
      <c r="A294" s="0" t="s">
        <v>90</v>
      </c>
      <c r="B294" s="4" t="n">
        <v>0.0819925192794291</v>
      </c>
      <c r="C294" s="4" t="n">
        <f aca="false">(B294-B$344)/B$345</f>
        <v>-1.39019431234445</v>
      </c>
      <c r="D294" s="4" t="n">
        <v>0.241120263400406</v>
      </c>
      <c r="E294" s="4" t="n">
        <f aca="false">(D294-D$344)/D$345</f>
        <v>-0.763244872797144</v>
      </c>
      <c r="F294" s="4" t="n">
        <v>0.0898378575851904</v>
      </c>
      <c r="G294" s="4" t="n">
        <f aca="false">(F294-F$344)/F$345</f>
        <v>-1.84910777591457</v>
      </c>
      <c r="H294" s="4" t="n">
        <v>0.173853205553144</v>
      </c>
      <c r="I294" s="4" t="n">
        <f aca="false">(H294-H$344)/H$345</f>
        <v>-0.560901214049411</v>
      </c>
      <c r="J294" s="4" t="n">
        <v>0.144397179614943</v>
      </c>
      <c r="K294" s="4" t="n">
        <f aca="false">(J294-J$344)/J$345</f>
        <v>-0.741341472260484</v>
      </c>
      <c r="L294" s="4" t="n">
        <v>0.145905508868524</v>
      </c>
      <c r="M294" s="4" t="n">
        <f aca="false">(L294-L$344)/L$345</f>
        <v>-1.76678968933531</v>
      </c>
      <c r="N294" s="4" t="n">
        <v>0.163516072756478</v>
      </c>
      <c r="O294" s="4" t="n">
        <f aca="false">(N294-N$344)/N$345</f>
        <v>-0.941599856776831</v>
      </c>
    </row>
    <row r="295" customFormat="false" ht="14.25" hidden="false" customHeight="false" outlineLevel="0" collapsed="false">
      <c r="A295" s="0" t="s">
        <v>91</v>
      </c>
      <c r="B295" s="4" t="n">
        <v>0.116500494668997</v>
      </c>
      <c r="C295" s="4" t="n">
        <f aca="false">(B295-B$344)/B$345</f>
        <v>-1.06446300863486</v>
      </c>
      <c r="D295" s="4" t="n">
        <v>0.207993917471969</v>
      </c>
      <c r="E295" s="4" t="n">
        <f aca="false">(D295-D$344)/D$345</f>
        <v>-1.01882434480756</v>
      </c>
      <c r="F295" s="4" t="n">
        <v>0.119692304813366</v>
      </c>
      <c r="G295" s="4" t="n">
        <f aca="false">(F295-F$344)/F$345</f>
        <v>-1.56072555470361</v>
      </c>
      <c r="H295" s="4" t="n">
        <v>0.141203027578438</v>
      </c>
      <c r="I295" s="4" t="n">
        <f aca="false">(H295-H$344)/H$345</f>
        <v>-1.02607218229963</v>
      </c>
      <c r="J295" s="4" t="n">
        <v>0.130956913871274</v>
      </c>
      <c r="K295" s="4" t="n">
        <f aca="false">(J295-J$344)/J$345</f>
        <v>-0.908527475642861</v>
      </c>
      <c r="L295" s="4" t="n">
        <v>0.18982529204428</v>
      </c>
      <c r="M295" s="4" t="n">
        <f aca="false">(L295-L$344)/L$345</f>
        <v>-1.19064167810799</v>
      </c>
      <c r="N295" s="4" t="n">
        <v>0.181181321662118</v>
      </c>
      <c r="O295" s="4" t="n">
        <f aca="false">(N295-N$344)/N$345</f>
        <v>-0.72374229551284</v>
      </c>
    </row>
    <row r="296" customFormat="false" ht="14.25" hidden="false" customHeight="false" outlineLevel="0" collapsed="false">
      <c r="B296" s="4" t="n">
        <v>0.138773591577022</v>
      </c>
      <c r="C296" s="4" t="n">
        <f aca="false">(B296-B$344)/B$345</f>
        <v>-0.854220454222516</v>
      </c>
      <c r="D296" s="4" t="n">
        <v>0.247713135324876</v>
      </c>
      <c r="E296" s="4" t="n">
        <f aca="false">(D296-D$344)/D$345</f>
        <v>-0.712378932764749</v>
      </c>
      <c r="F296" s="4" t="n">
        <v>0.139220557511254</v>
      </c>
      <c r="G296" s="4" t="n">
        <f aca="false">(F296-F$344)/F$345</f>
        <v>-1.37209031231096</v>
      </c>
      <c r="H296" s="4" t="n">
        <v>0.170181725795574</v>
      </c>
      <c r="I296" s="4" t="n">
        <f aca="false">(H296-H$344)/H$345</f>
        <v>-0.613209222754992</v>
      </c>
      <c r="J296" s="4" t="n">
        <v>0.154850837840977</v>
      </c>
      <c r="K296" s="4" t="n">
        <f aca="false">(J296-J$344)/J$345</f>
        <v>-0.611306443722508</v>
      </c>
      <c r="L296" s="4" t="n">
        <v>0.220796007139716</v>
      </c>
      <c r="M296" s="4" t="n">
        <f aca="false">(L296-L$344)/L$345</f>
        <v>-0.784361987766214</v>
      </c>
      <c r="N296" s="4" t="n">
        <v>0.21959632490432</v>
      </c>
      <c r="O296" s="4" t="n">
        <f aca="false">(N296-N$344)/N$345</f>
        <v>-0.249987356253396</v>
      </c>
    </row>
    <row r="297" customFormat="false" ht="14.25" hidden="false" customHeight="false" outlineLevel="0" collapsed="false">
      <c r="B297" s="4" t="n">
        <v>0.16253866626836</v>
      </c>
      <c r="C297" s="4" t="n">
        <f aca="false">(B297-B$344)/B$345</f>
        <v>-0.629894666500257</v>
      </c>
      <c r="D297" s="4" t="n">
        <v>0.289373451134784</v>
      </c>
      <c r="E297" s="4" t="n">
        <f aca="false">(D297-D$344)/D$345</f>
        <v>-0.390957380822819</v>
      </c>
      <c r="F297" s="4" t="n">
        <v>0.160056922830052</v>
      </c>
      <c r="G297" s="4" t="n">
        <f aca="false">(F297-F$344)/F$345</f>
        <v>-1.17081921636091</v>
      </c>
      <c r="H297" s="4" t="n">
        <v>0.201101580831083</v>
      </c>
      <c r="I297" s="4" t="n">
        <f aca="false">(H297-H$344)/H$345</f>
        <v>-0.172690371183442</v>
      </c>
      <c r="J297" s="4" t="n">
        <v>0.180345311741664</v>
      </c>
      <c r="K297" s="4" t="n">
        <f aca="false">(J297-J$344)/J$345</f>
        <v>-0.294175868994092</v>
      </c>
      <c r="L297" s="4" t="n">
        <v>0.253841315590828</v>
      </c>
      <c r="M297" s="4" t="n">
        <f aca="false">(L297-L$344)/L$345</f>
        <v>-0.350867389937434</v>
      </c>
      <c r="N297" s="4" t="n">
        <v>0.26058458195222</v>
      </c>
      <c r="O297" s="4" t="n">
        <f aca="false">(N297-N$344)/N$345</f>
        <v>0.255502363626298</v>
      </c>
    </row>
    <row r="298" customFormat="false" ht="14.25" hidden="false" customHeight="false" outlineLevel="0" collapsed="false">
      <c r="B298" s="4" t="n">
        <v>0.172954766525842</v>
      </c>
      <c r="C298" s="4" t="n">
        <f aca="false">(B298-B$344)/B$345</f>
        <v>-0.531573919538527</v>
      </c>
      <c r="D298" s="4" t="n">
        <v>0.307467294151049</v>
      </c>
      <c r="E298" s="4" t="n">
        <f aca="false">(D298-D$344)/D$345</f>
        <v>-0.251358076549221</v>
      </c>
      <c r="F298" s="4" t="n">
        <v>0.169189386034185</v>
      </c>
      <c r="G298" s="4" t="n">
        <f aca="false">(F298-F$344)/F$345</f>
        <v>-1.08260321276832</v>
      </c>
      <c r="H298" s="4" t="n">
        <v>0.214653581579225</v>
      </c>
      <c r="I298" s="4" t="n">
        <f aca="false">(H298-H$344)/H$345</f>
        <v>0.0203865950317117</v>
      </c>
      <c r="J298" s="4" t="n">
        <v>0.191519398068357</v>
      </c>
      <c r="K298" s="4" t="n">
        <f aca="false">(J298-J$344)/J$345</f>
        <v>-0.155179299280468</v>
      </c>
      <c r="L298" s="4" t="n">
        <v>0.268324890767289</v>
      </c>
      <c r="M298" s="4" t="n">
        <f aca="false">(L298-L$344)/L$345</f>
        <v>-0.160869115128428</v>
      </c>
      <c r="N298" s="4" t="n">
        <v>0.260852275415002</v>
      </c>
      <c r="O298" s="4" t="n">
        <f aca="false">(N298-N$344)/N$345</f>
        <v>0.258803706578193</v>
      </c>
    </row>
    <row r="299" customFormat="false" ht="14.25" hidden="false" customHeight="false" outlineLevel="0" collapsed="false">
      <c r="A299" s="0" t="s">
        <v>92</v>
      </c>
      <c r="B299" s="4" t="n">
        <v>0.161642534697404</v>
      </c>
      <c r="C299" s="4" t="n">
        <f aca="false">(B299-B$344)/B$345</f>
        <v>-0.638353525694621</v>
      </c>
      <c r="D299" s="4" t="n">
        <v>0.298268173443788</v>
      </c>
      <c r="E299" s="4" t="n">
        <f aca="false">(D299-D$344)/D$345</f>
        <v>-0.322331990134522</v>
      </c>
      <c r="F299" s="4" t="n">
        <v>0.179445475068434</v>
      </c>
      <c r="G299" s="4" t="n">
        <f aca="false">(F299-F$344)/F$345</f>
        <v>-0.983533425475705</v>
      </c>
      <c r="H299" s="4" t="n">
        <v>0.199754553522279</v>
      </c>
      <c r="I299" s="4" t="n">
        <f aca="false">(H299-H$344)/H$345</f>
        <v>-0.191881629435734</v>
      </c>
      <c r="J299" s="4" t="n">
        <v>0.179383968121075</v>
      </c>
      <c r="K299" s="4" t="n">
        <f aca="false">(J299-J$344)/J$345</f>
        <v>-0.306134203811918</v>
      </c>
      <c r="L299" s="4" t="n">
        <v>0.251625608498228</v>
      </c>
      <c r="M299" s="4" t="n">
        <f aca="false">(L299-L$344)/L$345</f>
        <v>-0.379933454078858</v>
      </c>
      <c r="N299" s="4" t="n">
        <v>0.248696381439592</v>
      </c>
      <c r="O299" s="4" t="n">
        <f aca="false">(N299-N$344)/N$345</f>
        <v>0.108890539171822</v>
      </c>
    </row>
    <row r="300" customFormat="false" ht="14.25" hidden="false" customHeight="false" outlineLevel="0" collapsed="false">
      <c r="B300" s="4" t="n">
        <v>0.172954766525842</v>
      </c>
      <c r="C300" s="4" t="n">
        <f aca="false">(B300-B$344)/B$345</f>
        <v>-0.531573919538527</v>
      </c>
      <c r="D300" s="4" t="n">
        <v>0.319256994799243</v>
      </c>
      <c r="E300" s="4" t="n">
        <f aca="false">(D300-D$344)/D$345</f>
        <v>-0.160397079120292</v>
      </c>
      <c r="F300" s="4" t="n">
        <v>0.190619927798649</v>
      </c>
      <c r="G300" s="4" t="n">
        <f aca="false">(F300-F$344)/F$345</f>
        <v>-0.875592605988186</v>
      </c>
      <c r="H300" s="4" t="n">
        <v>0.214459146084866</v>
      </c>
      <c r="I300" s="4" t="n">
        <f aca="false">(H300-H$344)/H$345</f>
        <v>0.0176164494219917</v>
      </c>
      <c r="J300" s="4" t="n">
        <v>0.191519398068357</v>
      </c>
      <c r="K300" s="4" t="n">
        <f aca="false">(J300-J$344)/J$345</f>
        <v>-0.155179299280468</v>
      </c>
      <c r="L300" s="4" t="n">
        <v>0.267294872194081</v>
      </c>
      <c r="M300" s="4" t="n">
        <f aca="false">(L300-L$344)/L$345</f>
        <v>-0.174381093320718</v>
      </c>
      <c r="N300" s="4" t="n">
        <v>0.248963047307664</v>
      </c>
      <c r="O300" s="4" t="n">
        <f aca="false">(N300-N$344)/N$345</f>
        <v>0.112179209260804</v>
      </c>
    </row>
    <row r="301" customFormat="false" ht="14.25" hidden="false" customHeight="false" outlineLevel="0" collapsed="false">
      <c r="A301" s="0" t="s">
        <v>93</v>
      </c>
      <c r="B301" s="4" t="n">
        <v>0.115869668748682</v>
      </c>
      <c r="C301" s="4" t="n">
        <f aca="false">(B301-B$344)/B$345</f>
        <v>-1.07041756688171</v>
      </c>
      <c r="D301" s="4" t="n">
        <v>0.211097749239239</v>
      </c>
      <c r="E301" s="4" t="n">
        <f aca="false">(D301-D$344)/D$345</f>
        <v>-0.994877372630139</v>
      </c>
      <c r="F301" s="4" t="n">
        <v>0.133279593911907</v>
      </c>
      <c r="G301" s="4" t="n">
        <f aca="false">(F301-F$344)/F$345</f>
        <v>-1.42947768464509</v>
      </c>
      <c r="H301" s="4" t="n">
        <v>0.140262050594689</v>
      </c>
      <c r="I301" s="4" t="n">
        <f aca="false">(H301-H$344)/H$345</f>
        <v>-1.03947839328478</v>
      </c>
      <c r="J301" s="4" t="n">
        <v>0.130280182357899</v>
      </c>
      <c r="K301" s="4" t="n">
        <f aca="false">(J301-J$344)/J$345</f>
        <v>-0.916945466718483</v>
      </c>
      <c r="L301" s="4" t="n">
        <v>0.188264746812169</v>
      </c>
      <c r="M301" s="4" t="n">
        <f aca="false">(L301-L$344)/L$345</f>
        <v>-1.21111320521714</v>
      </c>
      <c r="N301" s="4" t="n">
        <v>0.170342104351581</v>
      </c>
      <c r="O301" s="4" t="n">
        <f aca="false">(N301-N$344)/N$345</f>
        <v>-0.857417482423463</v>
      </c>
    </row>
    <row r="302" customFormat="false" ht="14.25" hidden="false" customHeight="false" outlineLevel="0" collapsed="false">
      <c r="B302" s="4" t="n">
        <v>0.138039844019435</v>
      </c>
      <c r="C302" s="4" t="n">
        <f aca="false">(B302-B$344)/B$345</f>
        <v>-0.861146521191921</v>
      </c>
      <c r="D302" s="4" t="n">
        <v>0.253482667719648</v>
      </c>
      <c r="E302" s="4" t="n">
        <f aca="false">(D302-D$344)/D$345</f>
        <v>-0.667865298620244</v>
      </c>
      <c r="F302" s="4" t="n">
        <v>0.155024664269119</v>
      </c>
      <c r="G302" s="4" t="n">
        <f aca="false">(F302-F$344)/F$345</f>
        <v>-1.21942885533422</v>
      </c>
      <c r="H302" s="4" t="n">
        <v>0.169082136676595</v>
      </c>
      <c r="I302" s="4" t="n">
        <f aca="false">(H302-H$344)/H$345</f>
        <v>-0.628875199692368</v>
      </c>
      <c r="J302" s="4" t="n">
        <v>0.154063695019017</v>
      </c>
      <c r="K302" s="4" t="n">
        <f aca="false">(J302-J$344)/J$345</f>
        <v>-0.621097861913511</v>
      </c>
      <c r="L302" s="4" t="n">
        <v>0.2189808530446</v>
      </c>
      <c r="M302" s="4" t="n">
        <f aca="false">(L302-L$344)/L$345</f>
        <v>-0.808173522030572</v>
      </c>
      <c r="N302" s="4" t="n">
        <v>0.208618169239519</v>
      </c>
      <c r="O302" s="4" t="n">
        <f aca="false">(N302-N$344)/N$345</f>
        <v>-0.385376007332429</v>
      </c>
    </row>
    <row r="303" customFormat="false" ht="14.25" hidden="false" customHeight="false" outlineLevel="0" collapsed="false">
      <c r="B303" s="4" t="n">
        <v>0.161695102801147</v>
      </c>
      <c r="C303" s="4" t="n">
        <f aca="false">(B303-B$344)/B$345</f>
        <v>-0.637857319331526</v>
      </c>
      <c r="D303" s="4" t="n">
        <v>0.29771864518566</v>
      </c>
      <c r="E303" s="4" t="n">
        <f aca="false">(D303-D$344)/D$345</f>
        <v>-0.326571761776424</v>
      </c>
      <c r="F303" s="4" t="n">
        <v>0.178226342210068</v>
      </c>
      <c r="G303" s="4" t="n">
        <f aca="false">(F303-F$344)/F$345</f>
        <v>-0.995309769514497</v>
      </c>
      <c r="H303" s="4" t="n">
        <v>0.199832754840543</v>
      </c>
      <c r="I303" s="4" t="n">
        <f aca="false">(H303-H$344)/H$345</f>
        <v>-0.190767485955009</v>
      </c>
      <c r="J303" s="4" t="n">
        <v>0.179440361638297</v>
      </c>
      <c r="K303" s="4" t="n">
        <f aca="false">(J303-J$344)/J$345</f>
        <v>-0.305432714202943</v>
      </c>
      <c r="L303" s="4" t="n">
        <v>0.251754497493556</v>
      </c>
      <c r="M303" s="4" t="n">
        <f aca="false">(L303-L$344)/L$345</f>
        <v>-0.378242663893706</v>
      </c>
      <c r="N303" s="4" t="n">
        <v>0.249458181057751</v>
      </c>
      <c r="O303" s="4" t="n">
        <f aca="false">(N303-N$344)/N$345</f>
        <v>0.118285470874753</v>
      </c>
    </row>
    <row r="304" customFormat="false" ht="14.25" hidden="false" customHeight="false" outlineLevel="0" collapsed="false">
      <c r="B304" s="4" t="n">
        <v>0.172954766525842</v>
      </c>
      <c r="C304" s="4" t="n">
        <f aca="false">(B304-B$344)/B$345</f>
        <v>-0.531573919538527</v>
      </c>
      <c r="D304" s="4" t="n">
        <v>0.318522177798614</v>
      </c>
      <c r="E304" s="4" t="n">
        <f aca="false">(D304-D$344)/D$345</f>
        <v>-0.166066407740197</v>
      </c>
      <c r="F304" s="4" t="n">
        <v>0.189270106046028</v>
      </c>
      <c r="G304" s="4" t="n">
        <f aca="false">(F304-F$344)/F$345</f>
        <v>-0.888631353357532</v>
      </c>
      <c r="H304" s="4" t="n">
        <v>0.214469737806893</v>
      </c>
      <c r="I304" s="4" t="n">
        <f aca="false">(H304-H$344)/H$345</f>
        <v>0.0177673509452416</v>
      </c>
      <c r="J304" s="4" t="n">
        <v>0.191519398068357</v>
      </c>
      <c r="K304" s="4" t="n">
        <f aca="false">(J304-J$344)/J$345</f>
        <v>-0.155179299280468</v>
      </c>
      <c r="L304" s="4" t="n">
        <v>0.267354420493057</v>
      </c>
      <c r="M304" s="4" t="n">
        <f aca="false">(L304-L$344)/L$345</f>
        <v>-0.173599927487326</v>
      </c>
      <c r="N304" s="4" t="n">
        <v>0.249724906333991</v>
      </c>
      <c r="O304" s="4" t="n">
        <f aca="false">(N304-N$344)/N$345</f>
        <v>0.12157487361793</v>
      </c>
    </row>
    <row r="305" customFormat="false" ht="14.25" hidden="false" customHeight="false" outlineLevel="0" collapsed="false">
      <c r="A305" s="0" t="s">
        <v>94</v>
      </c>
      <c r="B305" s="4" t="n">
        <v>0.115969490704598</v>
      </c>
      <c r="C305" s="4" t="n">
        <f aca="false">(B305-B$344)/B$345</f>
        <v>-1.0694753169968</v>
      </c>
      <c r="D305" s="4" t="n">
        <v>0.210639186508671</v>
      </c>
      <c r="E305" s="4" t="n">
        <f aca="false">(D305-D$344)/D$345</f>
        <v>-0.998415318554372</v>
      </c>
      <c r="F305" s="4" t="n">
        <v>0.131000549192811</v>
      </c>
      <c r="G305" s="4" t="n">
        <f aca="false">(F305-F$344)/F$345</f>
        <v>-1.45149236049251</v>
      </c>
      <c r="H305" s="4" t="n">
        <v>0.140409714552097</v>
      </c>
      <c r="I305" s="4" t="n">
        <f aca="false">(H305-H$344)/H$345</f>
        <v>-1.03737460732391</v>
      </c>
      <c r="J305" s="4" t="n">
        <v>0.130387268419392</v>
      </c>
      <c r="K305" s="4" t="n">
        <f aca="false">(J305-J$344)/J$345</f>
        <v>-0.915613402979524</v>
      </c>
      <c r="L305" s="4" t="n">
        <v>0.188509944732314</v>
      </c>
      <c r="M305" s="4" t="n">
        <f aca="false">(L305-L$344)/L$345</f>
        <v>-1.20789665258793</v>
      </c>
      <c r="N305" s="4" t="n">
        <v>0.172193081690823</v>
      </c>
      <c r="O305" s="4" t="n">
        <f aca="false">(N305-N$344)/N$345</f>
        <v>-0.834590212270845</v>
      </c>
    </row>
    <row r="306" customFormat="false" ht="14.25" hidden="false" customHeight="false" outlineLevel="0" collapsed="false">
      <c r="B306" s="4" t="n">
        <v>0.138155952305394</v>
      </c>
      <c r="C306" s="4" t="n">
        <f aca="false">(B306-B$344)/B$345</f>
        <v>-0.860050539670835</v>
      </c>
      <c r="D306" s="4" t="n">
        <v>0.25255429546065</v>
      </c>
      <c r="E306" s="4" t="n">
        <f aca="false">(D306-D$344)/D$345</f>
        <v>-0.675027962811955</v>
      </c>
      <c r="F306" s="4" t="n">
        <v>0.1523737847754</v>
      </c>
      <c r="G306" s="4" t="n">
        <f aca="false">(F306-F$344)/F$345</f>
        <v>-1.24503530889602</v>
      </c>
      <c r="H306" s="4" t="n">
        <v>0.169254649407752</v>
      </c>
      <c r="I306" s="4" t="n">
        <f aca="false">(H306-H$344)/H$345</f>
        <v>-0.626417390296964</v>
      </c>
      <c r="J306" s="4" t="n">
        <v>0.154188252576883</v>
      </c>
      <c r="K306" s="4" t="n">
        <f aca="false">(J306-J$344)/J$345</f>
        <v>-0.619548466932209</v>
      </c>
      <c r="L306" s="4" t="n">
        <v>0.219266055933761</v>
      </c>
      <c r="M306" s="4" t="n">
        <f aca="false">(L306-L$344)/L$345</f>
        <v>-0.8044321766617</v>
      </c>
      <c r="N306" s="4" t="n">
        <v>0.210490863957865</v>
      </c>
      <c r="O306" s="4" t="n">
        <f aca="false">(N306-N$344)/N$345</f>
        <v>-0.362280906521222</v>
      </c>
    </row>
    <row r="307" customFormat="false" ht="14.25" hidden="false" customHeight="false" outlineLevel="0" collapsed="false">
      <c r="B307" s="4" t="n">
        <v>0.161828588367488</v>
      </c>
      <c r="C307" s="4" t="n">
        <f aca="false">(B307-B$344)/B$345</f>
        <v>-0.636597308361312</v>
      </c>
      <c r="D307" s="4" t="n">
        <v>0.296338127486535</v>
      </c>
      <c r="E307" s="4" t="n">
        <f aca="false">(D307-D$344)/D$345</f>
        <v>-0.337222860614965</v>
      </c>
      <c r="F307" s="4" t="n">
        <v>0.175178720349168</v>
      </c>
      <c r="G307" s="4" t="n">
        <f aca="false">(F307-F$344)/F$345</f>
        <v>-1.02474859834091</v>
      </c>
      <c r="H307" s="4" t="n">
        <v>0.200031780856609</v>
      </c>
      <c r="I307" s="4" t="n">
        <f aca="false">(H307-H$344)/H$345</f>
        <v>-0.187931938636632</v>
      </c>
      <c r="J307" s="4" t="n">
        <v>0.179583561032004</v>
      </c>
      <c r="K307" s="4" t="n">
        <f aca="false">(J307-J$344)/J$345</f>
        <v>-0.303651429905648</v>
      </c>
      <c r="L307" s="4" t="n">
        <v>0.252082385110424</v>
      </c>
      <c r="M307" s="4" t="n">
        <f aca="false">(L307-L$344)/L$345</f>
        <v>-0.373941372204526</v>
      </c>
      <c r="N307" s="4" t="n">
        <v>0.251354047907867</v>
      </c>
      <c r="O307" s="4" t="n">
        <f aca="false">(N307-N$344)/N$345</f>
        <v>0.141666343154212</v>
      </c>
    </row>
    <row r="308" customFormat="false" ht="14.25" hidden="false" customHeight="false" outlineLevel="0" collapsed="false">
      <c r="B308" s="4" t="n">
        <v>0.172954766525842</v>
      </c>
      <c r="C308" s="4" t="n">
        <f aca="false">(B308-B$344)/B$345</f>
        <v>-0.531573919538527</v>
      </c>
      <c r="D308" s="4" t="n">
        <v>0.31668060827241</v>
      </c>
      <c r="E308" s="4" t="n">
        <f aca="false">(D308-D$344)/D$345</f>
        <v>-0.180274656612393</v>
      </c>
      <c r="F308" s="4" t="n">
        <v>0.18589707784083</v>
      </c>
      <c r="G308" s="4" t="n">
        <f aca="false">(F308-F$344)/F$345</f>
        <v>-0.921213479517427</v>
      </c>
      <c r="H308" s="4" t="n">
        <v>0.214497083613972</v>
      </c>
      <c r="I308" s="4" t="n">
        <f aca="false">(H308-H$344)/H$345</f>
        <v>0.0181569499105552</v>
      </c>
      <c r="J308" s="4" t="n">
        <v>0.191519398068357</v>
      </c>
      <c r="K308" s="4" t="n">
        <f aca="false">(J308-J$344)/J$345</f>
        <v>-0.155179299280468</v>
      </c>
      <c r="L308" s="4" t="n">
        <v>0.267506114177395</v>
      </c>
      <c r="M308" s="4" t="n">
        <f aca="false">(L308-L$344)/L$345</f>
        <v>-0.171609981084419</v>
      </c>
      <c r="N308" s="4" t="n">
        <v>0.251620924520823</v>
      </c>
      <c r="O308" s="4" t="n">
        <f aca="false">(N308-N$344)/N$345</f>
        <v>0.144957612264966</v>
      </c>
    </row>
    <row r="309" customFormat="false" ht="14.25" hidden="false" customHeight="false" outlineLevel="0" collapsed="false">
      <c r="A309" s="0" t="s">
        <v>95</v>
      </c>
      <c r="B309" s="4" t="n">
        <v>0.0870306749592626</v>
      </c>
      <c r="C309" s="4" t="n">
        <f aca="false">(B309-B$344)/B$345</f>
        <v>-1.34263762438007</v>
      </c>
      <c r="D309" s="4" t="n">
        <v>0.223784052426312</v>
      </c>
      <c r="E309" s="4" t="n">
        <f aca="false">(D309-D$344)/D$345</f>
        <v>-0.896998823715609</v>
      </c>
      <c r="F309" s="4" t="n">
        <v>0.110695249958927</v>
      </c>
      <c r="G309" s="4" t="n">
        <f aca="false">(F309-F$344)/F$345</f>
        <v>-1.64763356688183</v>
      </c>
      <c r="H309" s="4" t="n">
        <v>0.174162357405356</v>
      </c>
      <c r="I309" s="4" t="n">
        <f aca="false">(H309-H$344)/H$345</f>
        <v>-0.556496690847698</v>
      </c>
      <c r="J309" s="4" t="n">
        <v>0.14424167270542</v>
      </c>
      <c r="K309" s="4" t="n">
        <f aca="false">(J309-J$344)/J$345</f>
        <v>-0.743275852070922</v>
      </c>
      <c r="L309" s="4" t="n">
        <v>0.179897639947225</v>
      </c>
      <c r="M309" s="4" t="n">
        <f aca="false">(L309-L$344)/L$345</f>
        <v>-1.32087449344283</v>
      </c>
      <c r="N309" s="4" t="n">
        <v>0.163902413576188</v>
      </c>
      <c r="O309" s="4" t="n">
        <f aca="false">(N309-N$344)/N$345</f>
        <v>-0.936835289390986</v>
      </c>
    </row>
    <row r="310" customFormat="false" ht="14.25" hidden="false" customHeight="false" outlineLevel="0" collapsed="false">
      <c r="B310" s="4" t="n">
        <v>0.103508727574287</v>
      </c>
      <c r="C310" s="4" t="n">
        <f aca="false">(B310-B$344)/B$345</f>
        <v>-1.18709626038253</v>
      </c>
      <c r="D310" s="4" t="n">
        <v>0.265422112278053</v>
      </c>
      <c r="E310" s="4" t="n">
        <f aca="false">(D310-D$344)/D$345</f>
        <v>-0.575748983016733</v>
      </c>
      <c r="F310" s="4" t="n">
        <v>0.129954007842466</v>
      </c>
      <c r="G310" s="4" t="n">
        <f aca="false">(F310-F$344)/F$345</f>
        <v>-1.46160153842821</v>
      </c>
      <c r="H310" s="4" t="n">
        <v>0.210706974335655</v>
      </c>
      <c r="I310" s="4" t="n">
        <f aca="false">(H310-H$344)/H$345</f>
        <v>-0.0358411876841214</v>
      </c>
      <c r="J310" s="4" t="n">
        <v>0.171653172456639</v>
      </c>
      <c r="K310" s="4" t="n">
        <f aca="false">(J310-J$344)/J$345</f>
        <v>-0.402299030814073</v>
      </c>
      <c r="L310" s="4" t="n">
        <v>0.211196228575456</v>
      </c>
      <c r="M310" s="4" t="n">
        <f aca="false">(L310-L$344)/L$345</f>
        <v>-0.910293696169413</v>
      </c>
      <c r="N310" s="4" t="n">
        <v>0.191231643360071</v>
      </c>
      <c r="O310" s="4" t="n">
        <f aca="false">(N310-N$344)/N$345</f>
        <v>-0.59979620300488</v>
      </c>
    </row>
    <row r="311" customFormat="false" ht="14.25" hidden="false" customHeight="false" outlineLevel="0" collapsed="false">
      <c r="A311" s="0" t="s">
        <v>96</v>
      </c>
      <c r="B311" s="4" t="n">
        <v>0.0935679814869546</v>
      </c>
      <c r="C311" s="4" t="n">
        <f aca="false">(B311-B$344)/B$345</f>
        <v>-1.28092999436194</v>
      </c>
      <c r="D311" s="4" t="n">
        <v>0.198695170716526</v>
      </c>
      <c r="E311" s="4" t="n">
        <f aca="false">(D311-D$344)/D$345</f>
        <v>-1.09056690256654</v>
      </c>
      <c r="F311" s="4" t="n">
        <v>0.120494910383521</v>
      </c>
      <c r="G311" s="4" t="n">
        <f aca="false">(F311-F$344)/F$345</f>
        <v>-1.55297270048701</v>
      </c>
      <c r="H311" s="4" t="n">
        <v>0.143689616569532</v>
      </c>
      <c r="I311" s="4" t="n">
        <f aca="false">(H311-H$344)/H$345</f>
        <v>-0.990645453247079</v>
      </c>
      <c r="J311" s="4" t="n">
        <v>0.123255665971158</v>
      </c>
      <c r="K311" s="4" t="n">
        <f aca="false">(J311-J$344)/J$345</f>
        <v>-1.00432475242542</v>
      </c>
      <c r="L311" s="4" t="n">
        <v>0.189803205605089</v>
      </c>
      <c r="M311" s="4" t="n">
        <f aca="false">(L311-L$344)/L$345</f>
        <v>-1.19093141218895</v>
      </c>
      <c r="N311" s="4" t="n">
        <v>0.163196072258285</v>
      </c>
      <c r="O311" s="4" t="n">
        <f aca="false">(N311-N$344)/N$345</f>
        <v>-0.945546278846065</v>
      </c>
    </row>
    <row r="312" customFormat="false" ht="14.25" hidden="false" customHeight="false" outlineLevel="0" collapsed="false">
      <c r="B312" s="4" t="n">
        <v>0.112861248150379</v>
      </c>
      <c r="C312" s="4" t="n">
        <f aca="false">(B312-B$344)/B$345</f>
        <v>-1.09881496639673</v>
      </c>
      <c r="D312" s="4" t="n">
        <v>0.241113802171902</v>
      </c>
      <c r="E312" s="4" t="n">
        <f aca="false">(D312-D$344)/D$345</f>
        <v>-0.763294723069592</v>
      </c>
      <c r="F312" s="4" t="n">
        <v>0.142813492728965</v>
      </c>
      <c r="G312" s="4" t="n">
        <f aca="false">(F312-F$344)/F$345</f>
        <v>-1.33738397087944</v>
      </c>
      <c r="H312" s="4" t="n">
        <v>0.177936147530355</v>
      </c>
      <c r="I312" s="4" t="n">
        <f aca="false">(H312-H$344)/H$345</f>
        <v>-0.502731054170955</v>
      </c>
      <c r="J312" s="4" t="n">
        <v>0.148913519930409</v>
      </c>
      <c r="K312" s="4" t="n">
        <f aca="false">(J312-J$344)/J$345</f>
        <v>-0.685161862299038</v>
      </c>
      <c r="L312" s="4" t="n">
        <v>0.224959366643287</v>
      </c>
      <c r="M312" s="4" t="n">
        <f aca="false">(L312-L$344)/L$345</f>
        <v>-0.729746251426902</v>
      </c>
      <c r="N312" s="4" t="n">
        <v>0.20105760731753</v>
      </c>
      <c r="O312" s="4" t="n">
        <f aca="false">(N312-N$344)/N$345</f>
        <v>-0.47861701349703</v>
      </c>
    </row>
    <row r="313" customFormat="false" ht="14.25" hidden="false" customHeight="false" outlineLevel="0" collapsed="false">
      <c r="B313" s="4" t="n">
        <v>0.131714782240279</v>
      </c>
      <c r="C313" s="4" t="n">
        <f aca="false">(B313-B$344)/B$345</f>
        <v>-0.920850708299663</v>
      </c>
      <c r="D313" s="4" t="n">
        <v>0.281892489458961</v>
      </c>
      <c r="E313" s="4" t="n">
        <f aca="false">(D313-D$344)/D$345</f>
        <v>-0.448675193688974</v>
      </c>
      <c r="F313" s="4" t="n">
        <v>0.164623389436905</v>
      </c>
      <c r="G313" s="4" t="n">
        <f aca="false">(F313-F$344)/F$345</f>
        <v>-1.12670894451078</v>
      </c>
      <c r="H313" s="4" t="n">
        <v>0.211402130776971</v>
      </c>
      <c r="I313" s="4" t="n">
        <f aca="false">(H313-H$344)/H$345</f>
        <v>-0.0259372111991296</v>
      </c>
      <c r="J313" s="4" t="n">
        <v>0.173986579497425</v>
      </c>
      <c r="K313" s="4" t="n">
        <f aca="false">(J313-J$344)/J$345</f>
        <v>-0.37327334003879</v>
      </c>
      <c r="L313" s="4" t="n">
        <v>0.259314247657823</v>
      </c>
      <c r="M313" s="4" t="n">
        <f aca="false">(L313-L$344)/L$345</f>
        <v>-0.279072433360281</v>
      </c>
      <c r="N313" s="4" t="n">
        <v>0.238056201406764</v>
      </c>
      <c r="O313" s="4" t="n">
        <f aca="false">(N313-N$344)/N$345</f>
        <v>-0.0223300106060912</v>
      </c>
    </row>
    <row r="314" customFormat="false" ht="14.25" hidden="false" customHeight="false" outlineLevel="0" collapsed="false">
      <c r="B314" s="4" t="n">
        <v>0.149453615884764</v>
      </c>
      <c r="C314" s="4" t="n">
        <f aca="false">(B314-B$344)/B$345</f>
        <v>-0.753408447660619</v>
      </c>
      <c r="D314" s="4" t="n">
        <v>0.319864776508347</v>
      </c>
      <c r="E314" s="4" t="n">
        <f aca="false">(D314-D$344)/D$345</f>
        <v>-0.155707865023269</v>
      </c>
      <c r="F314" s="4" t="n">
        <v>0.185143793073741</v>
      </c>
      <c r="G314" s="4" t="n">
        <f aca="false">(F314-F$344)/F$345</f>
        <v>-0.928489914169769</v>
      </c>
      <c r="H314" s="4" t="n">
        <v>0.242889463959713</v>
      </c>
      <c r="I314" s="4" t="n">
        <f aca="false">(H314-H$344)/H$345</f>
        <v>0.422666569018566</v>
      </c>
      <c r="J314" s="4" t="n">
        <v>0.197577214043543</v>
      </c>
      <c r="K314" s="4" t="n">
        <f aca="false">(J314-J$344)/J$345</f>
        <v>-0.0798249825256531</v>
      </c>
      <c r="L314" s="4" t="n">
        <v>0.291637923223744</v>
      </c>
      <c r="M314" s="4" t="n">
        <f aca="false">(L314-L$344)/L$345</f>
        <v>0.144955647979216</v>
      </c>
      <c r="N314" s="4" t="n">
        <v>0.26385336007586</v>
      </c>
      <c r="O314" s="4" t="n">
        <f aca="false">(N314-N$344)/N$345</f>
        <v>0.295814732511296</v>
      </c>
    </row>
    <row r="315" customFormat="false" ht="14.25" hidden="false" customHeight="false" outlineLevel="0" collapsed="false">
      <c r="A315" s="0" t="s">
        <v>97</v>
      </c>
      <c r="B315" s="4" t="n">
        <v>0.112980180425429</v>
      </c>
      <c r="C315" s="4" t="n">
        <f aca="false">(B315-B$344)/B$345</f>
        <v>-1.09769232838137</v>
      </c>
      <c r="D315" s="4" t="n">
        <v>0.239792741216146</v>
      </c>
      <c r="E315" s="4" t="n">
        <f aca="false">(D315-D$344)/D$345</f>
        <v>-0.77348709569937</v>
      </c>
      <c r="F315" s="4" t="n">
        <v>0.140069855911848</v>
      </c>
      <c r="G315" s="4" t="n">
        <f aca="false">(F315-F$344)/F$345</f>
        <v>-1.36388642371231</v>
      </c>
      <c r="H315" s="4" t="n">
        <v>0.178233601801334</v>
      </c>
      <c r="I315" s="4" t="n">
        <f aca="false">(H315-H$344)/H$345</f>
        <v>-0.498493187800095</v>
      </c>
      <c r="J315" s="4" t="n">
        <v>0.149071686351757</v>
      </c>
      <c r="K315" s="4" t="n">
        <f aca="false">(J315-J$344)/J$345</f>
        <v>-0.683194400318834</v>
      </c>
      <c r="L315" s="4" t="n">
        <v>0.225394834600158</v>
      </c>
      <c r="M315" s="4" t="n">
        <f aca="false">(L315-L$344)/L$345</f>
        <v>-0.724033700517896</v>
      </c>
      <c r="N315" s="4" t="n">
        <v>0.20252514506611</v>
      </c>
      <c r="O315" s="4" t="n">
        <f aca="false">(N315-N$344)/N$345</f>
        <v>-0.46051853117865</v>
      </c>
    </row>
    <row r="316" customFormat="false" ht="14.25" hidden="false" customHeight="false" outlineLevel="0" collapsed="false">
      <c r="A316" s="0" t="s">
        <v>98</v>
      </c>
      <c r="B316" s="4" t="n">
        <v>0.0935679814869546</v>
      </c>
      <c r="C316" s="4" t="n">
        <f aca="false">(B316-B$344)/B$345</f>
        <v>-1.28092999436194</v>
      </c>
      <c r="D316" s="4" t="n">
        <v>0.198695170716526</v>
      </c>
      <c r="E316" s="4" t="n">
        <f aca="false">(D316-D$344)/D$345</f>
        <v>-1.09056690256654</v>
      </c>
      <c r="F316" s="4" t="n">
        <v>0.120494910383521</v>
      </c>
      <c r="G316" s="4" t="n">
        <f aca="false">(F316-F$344)/F$345</f>
        <v>-1.55297270048701</v>
      </c>
      <c r="H316" s="4" t="n">
        <v>0.143689616569532</v>
      </c>
      <c r="I316" s="4" t="n">
        <f aca="false">(H316-H$344)/H$345</f>
        <v>-0.990645453247079</v>
      </c>
      <c r="J316" s="4" t="n">
        <v>0.123255665971158</v>
      </c>
      <c r="K316" s="4" t="n">
        <f aca="false">(J316-J$344)/J$345</f>
        <v>-1.00432475242542</v>
      </c>
      <c r="L316" s="4" t="n">
        <v>0.189803205605089</v>
      </c>
      <c r="M316" s="4" t="n">
        <f aca="false">(L316-L$344)/L$345</f>
        <v>-1.19093141218895</v>
      </c>
      <c r="N316" s="4" t="n">
        <v>0.163196072258285</v>
      </c>
      <c r="O316" s="4" t="n">
        <f aca="false">(N316-N$344)/N$345</f>
        <v>-0.945546278846065</v>
      </c>
    </row>
    <row r="317" customFormat="false" ht="14.25" hidden="false" customHeight="false" outlineLevel="0" collapsed="false">
      <c r="B317" s="4" t="n">
        <v>0.112861248150379</v>
      </c>
      <c r="C317" s="4" t="n">
        <f aca="false">(B317-B$344)/B$345</f>
        <v>-1.09881496639673</v>
      </c>
      <c r="D317" s="4" t="n">
        <v>0.241113802171902</v>
      </c>
      <c r="E317" s="4" t="n">
        <f aca="false">(D317-D$344)/D$345</f>
        <v>-0.763294723069592</v>
      </c>
      <c r="F317" s="4" t="n">
        <v>0.142813492728965</v>
      </c>
      <c r="G317" s="4" t="n">
        <f aca="false">(F317-F$344)/F$345</f>
        <v>-1.33738397087944</v>
      </c>
      <c r="H317" s="4" t="n">
        <v>0.177936147530355</v>
      </c>
      <c r="I317" s="4" t="n">
        <f aca="false">(H317-H$344)/H$345</f>
        <v>-0.502731054170955</v>
      </c>
      <c r="J317" s="4" t="n">
        <v>0.148913519930409</v>
      </c>
      <c r="K317" s="4" t="n">
        <f aca="false">(J317-J$344)/J$345</f>
        <v>-0.685161862299038</v>
      </c>
      <c r="L317" s="4" t="n">
        <v>0.224959366643287</v>
      </c>
      <c r="M317" s="4" t="n">
        <f aca="false">(L317-L$344)/L$345</f>
        <v>-0.729746251426902</v>
      </c>
      <c r="N317" s="4" t="n">
        <v>0.20105760731753</v>
      </c>
      <c r="O317" s="4" t="n">
        <f aca="false">(N317-N$344)/N$345</f>
        <v>-0.47861701349703</v>
      </c>
    </row>
    <row r="318" customFormat="false" ht="14.25" hidden="false" customHeight="false" outlineLevel="0" collapsed="false">
      <c r="B318" s="4" t="n">
        <v>0.131714782240279</v>
      </c>
      <c r="C318" s="4" t="n">
        <f aca="false">(B318-B$344)/B$345</f>
        <v>-0.920850708299663</v>
      </c>
      <c r="D318" s="4" t="n">
        <v>0.281892489458961</v>
      </c>
      <c r="E318" s="4" t="n">
        <f aca="false">(D318-D$344)/D$345</f>
        <v>-0.448675193688974</v>
      </c>
      <c r="F318" s="4" t="n">
        <v>0.164623389436905</v>
      </c>
      <c r="G318" s="4" t="n">
        <f aca="false">(F318-F$344)/F$345</f>
        <v>-1.12670894451078</v>
      </c>
      <c r="H318" s="4" t="n">
        <v>0.211402130776971</v>
      </c>
      <c r="I318" s="4" t="n">
        <f aca="false">(H318-H$344)/H$345</f>
        <v>-0.0259372111991296</v>
      </c>
      <c r="J318" s="4" t="n">
        <v>0.173986579497425</v>
      </c>
      <c r="K318" s="4" t="n">
        <f aca="false">(J318-J$344)/J$345</f>
        <v>-0.37327334003879</v>
      </c>
      <c r="L318" s="4" t="n">
        <v>0.259314247657823</v>
      </c>
      <c r="M318" s="4" t="n">
        <f aca="false">(L318-L$344)/L$345</f>
        <v>-0.279072433360281</v>
      </c>
      <c r="N318" s="4" t="n">
        <v>0.238056201406764</v>
      </c>
      <c r="O318" s="4" t="n">
        <f aca="false">(N318-N$344)/N$345</f>
        <v>-0.0223300106060912</v>
      </c>
    </row>
    <row r="319" customFormat="false" ht="14.25" hidden="false" customHeight="false" outlineLevel="0" collapsed="false">
      <c r="B319" s="4" t="n">
        <v>0.149453615884764</v>
      </c>
      <c r="C319" s="4" t="n">
        <f aca="false">(B319-B$344)/B$345</f>
        <v>-0.753408447660619</v>
      </c>
      <c r="D319" s="4" t="n">
        <v>0.319864776508347</v>
      </c>
      <c r="E319" s="4" t="n">
        <f aca="false">(D319-D$344)/D$345</f>
        <v>-0.155707865023269</v>
      </c>
      <c r="F319" s="4" t="n">
        <v>0.185143793073741</v>
      </c>
      <c r="G319" s="4" t="n">
        <f aca="false">(F319-F$344)/F$345</f>
        <v>-0.928489914169769</v>
      </c>
      <c r="H319" s="4" t="n">
        <v>0.242889463959713</v>
      </c>
      <c r="I319" s="4" t="n">
        <f aca="false">(H319-H$344)/H$345</f>
        <v>0.422666569018566</v>
      </c>
      <c r="J319" s="4" t="n">
        <v>0.197577214043543</v>
      </c>
      <c r="K319" s="4" t="n">
        <f aca="false">(J319-J$344)/J$345</f>
        <v>-0.0798249825256531</v>
      </c>
      <c r="L319" s="4" t="n">
        <v>0.291637923223744</v>
      </c>
      <c r="M319" s="4" t="n">
        <f aca="false">(L319-L$344)/L$345</f>
        <v>0.144955647979216</v>
      </c>
      <c r="N319" s="4" t="n">
        <v>0.26385336007586</v>
      </c>
      <c r="O319" s="4" t="n">
        <f aca="false">(N319-N$344)/N$345</f>
        <v>0.295814732511296</v>
      </c>
    </row>
    <row r="320" customFormat="false" ht="14.25" hidden="false" customHeight="false" outlineLevel="0" collapsed="false">
      <c r="A320" s="0" t="s">
        <v>99</v>
      </c>
      <c r="B320" s="4" t="n">
        <v>0.113259086649568</v>
      </c>
      <c r="C320" s="4" t="n">
        <f aca="false">(B320-B$344)/B$345</f>
        <v>-1.09505964747281</v>
      </c>
      <c r="D320" s="4" t="n">
        <v>0.23680189322141</v>
      </c>
      <c r="E320" s="4" t="n">
        <f aca="false">(D320-D$344)/D$345</f>
        <v>-0.796562364943053</v>
      </c>
      <c r="F320" s="4" t="n">
        <v>0.133890318094438</v>
      </c>
      <c r="G320" s="4" t="n">
        <f aca="false">(F320-F$344)/F$345</f>
        <v>-1.4235783291836</v>
      </c>
      <c r="H320" s="4" t="n">
        <v>0.178937721672636</v>
      </c>
      <c r="I320" s="4" t="n">
        <f aca="false">(H320-H$344)/H$345</f>
        <v>-0.488461508262192</v>
      </c>
      <c r="J320" s="4" t="n">
        <v>0.149442599960744</v>
      </c>
      <c r="K320" s="4" t="n">
        <f aca="false">(J320-J$344)/J$345</f>
        <v>-0.678580535900576</v>
      </c>
      <c r="L320" s="4" t="n">
        <v>0.22642364307679</v>
      </c>
      <c r="M320" s="4" t="n">
        <f aca="false">(L320-L$344)/L$345</f>
        <v>-0.71053759660105</v>
      </c>
      <c r="N320" s="4" t="n">
        <v>0.205808204234241</v>
      </c>
      <c r="O320" s="4" t="n">
        <f aca="false">(N320-N$344)/N$345</f>
        <v>-0.42003004060176</v>
      </c>
    </row>
    <row r="321" customFormat="false" ht="14.25" hidden="false" customHeight="false" outlineLevel="0" collapsed="false">
      <c r="B321" s="4" t="n">
        <v>0.13217337701962</v>
      </c>
      <c r="C321" s="4" t="n">
        <f aca="false">(B321-B$344)/B$345</f>
        <v>-0.916521892318351</v>
      </c>
      <c r="D321" s="4" t="n">
        <v>0.276248026213468</v>
      </c>
      <c r="E321" s="4" t="n">
        <f aca="false">(D321-D$344)/D$345</f>
        <v>-0.492223882674522</v>
      </c>
      <c r="F321" s="4" t="n">
        <v>0.154337503805209</v>
      </c>
      <c r="G321" s="4" t="n">
        <f aca="false">(F321-F$344)/F$345</f>
        <v>-1.22606655521847</v>
      </c>
      <c r="H321" s="4" t="n">
        <v>0.212567065760864</v>
      </c>
      <c r="I321" s="4" t="n">
        <f aca="false">(H321-H$344)/H$345</f>
        <v>-0.009340243953615</v>
      </c>
      <c r="J321" s="4" t="n">
        <v>0.174596458481636</v>
      </c>
      <c r="K321" s="4" t="n">
        <f aca="false">(J321-J$344)/J$345</f>
        <v>-0.365686940196573</v>
      </c>
      <c r="L321" s="4" t="n">
        <v>0.261002142442479</v>
      </c>
      <c r="M321" s="4" t="n">
        <f aca="false">(L321-L$344)/L$345</f>
        <v>-0.256930310767168</v>
      </c>
      <c r="N321" s="4" t="n">
        <v>0.242928004723781</v>
      </c>
      <c r="O321" s="4" t="n">
        <f aca="false">(N321-N$344)/N$345</f>
        <v>0.0377517462529549</v>
      </c>
    </row>
    <row r="322" customFormat="false" ht="14.25" hidden="false" customHeight="false" outlineLevel="0" collapsed="false">
      <c r="B322" s="4" t="n">
        <v>0.149453615884764</v>
      </c>
      <c r="C322" s="4" t="n">
        <f aca="false">(B322-B$344)/B$345</f>
        <v>-0.753408447660619</v>
      </c>
      <c r="D322" s="4" t="n">
        <v>0.311971247031224</v>
      </c>
      <c r="E322" s="4" t="n">
        <f aca="false">(D322-D$344)/D$345</f>
        <v>-0.216608759447908</v>
      </c>
      <c r="F322" s="4" t="n">
        <v>0.173018207457806</v>
      </c>
      <c r="G322" s="4" t="n">
        <f aca="false">(F322-F$344)/F$345</f>
        <v>-1.0456183033401</v>
      </c>
      <c r="H322" s="4" t="n">
        <v>0.24329108909736</v>
      </c>
      <c r="I322" s="4" t="n">
        <f aca="false">(H322-H$344)/H$345</f>
        <v>0.428388570114482</v>
      </c>
      <c r="J322" s="4" t="n">
        <v>0.197577214043543</v>
      </c>
      <c r="K322" s="4" t="n">
        <f aca="false">(J322-J$344)/J$345</f>
        <v>-0.0798249825256531</v>
      </c>
      <c r="L322" s="4" t="n">
        <v>0.292593321225664</v>
      </c>
      <c r="M322" s="4" t="n">
        <f aca="false">(L322-L$344)/L$345</f>
        <v>0.157488739423084</v>
      </c>
      <c r="N322" s="4" t="n">
        <v>0.268809674191663</v>
      </c>
      <c r="O322" s="4" t="n">
        <f aca="false">(N322-N$344)/N$345</f>
        <v>0.356938723002153</v>
      </c>
    </row>
    <row r="323" customFormat="false" ht="14.25" hidden="false" customHeight="false" outlineLevel="0" collapsed="false">
      <c r="A323" s="0" t="s">
        <v>100</v>
      </c>
      <c r="B323" s="4" t="n">
        <v>0.153471130539499</v>
      </c>
      <c r="C323" s="4" t="n">
        <f aca="false">(B323-B$344)/B$345</f>
        <v>-0.715485901600309</v>
      </c>
      <c r="D323" s="4" t="n">
        <v>0.262981725471247</v>
      </c>
      <c r="E323" s="4" t="n">
        <f aca="false">(D323-D$344)/D$345</f>
        <v>-0.594577282791548</v>
      </c>
      <c r="F323" s="4" t="n">
        <v>0.168554238796768</v>
      </c>
      <c r="G323" s="4" t="n">
        <f aca="false">(F323-F$344)/F$345</f>
        <v>-1.08873848533668</v>
      </c>
      <c r="H323" s="4" t="n">
        <v>0.223576019419764</v>
      </c>
      <c r="I323" s="4" t="n">
        <f aca="false">(H323-H$344)/H$345</f>
        <v>0.147505627970861</v>
      </c>
      <c r="J323" s="4" t="n">
        <v>0.118128118714196</v>
      </c>
      <c r="K323" s="4" t="n">
        <f aca="false">(J323-J$344)/J$345</f>
        <v>-1.0681072809405</v>
      </c>
      <c r="L323" s="4" t="n">
        <v>0.230000805197116</v>
      </c>
      <c r="M323" s="4" t="n">
        <f aca="false">(L323-L$344)/L$345</f>
        <v>-0.66361170825556</v>
      </c>
      <c r="N323" s="4" t="n">
        <v>0.190202945624407</v>
      </c>
      <c r="O323" s="4" t="n">
        <f aca="false">(N323-N$344)/N$345</f>
        <v>-0.612482669024501</v>
      </c>
    </row>
    <row r="324" customFormat="false" ht="14.25" hidden="false" customHeight="false" outlineLevel="0" collapsed="false">
      <c r="B324" s="4" t="n">
        <v>0.195509193571851</v>
      </c>
      <c r="C324" s="4" t="n">
        <f aca="false">(B324-B$344)/B$345</f>
        <v>-0.318675804155602</v>
      </c>
      <c r="D324" s="4" t="n">
        <v>0.345929168973655</v>
      </c>
      <c r="E324" s="4" t="n">
        <f aca="false">(D324-D$344)/D$345</f>
        <v>0.0453865653418094</v>
      </c>
      <c r="F324" s="4" t="n">
        <v>0.207473629557566</v>
      </c>
      <c r="G324" s="4" t="n">
        <f aca="false">(F324-F$344)/F$345</f>
        <v>-0.712792474010645</v>
      </c>
      <c r="H324" s="4" t="n">
        <v>0.290986765116843</v>
      </c>
      <c r="I324" s="4" t="n">
        <f aca="false">(H324-H$344)/H$345</f>
        <v>1.10791453816646</v>
      </c>
      <c r="J324" s="4" t="n">
        <v>0.149037936210803</v>
      </c>
      <c r="K324" s="4" t="n">
        <f aca="false">(J324-J$344)/J$345</f>
        <v>-0.683614224694877</v>
      </c>
      <c r="L324" s="4" t="n">
        <v>0.283108287255506</v>
      </c>
      <c r="M324" s="4" t="n">
        <f aca="false">(L324-L$344)/L$345</f>
        <v>0.0330622722781634</v>
      </c>
      <c r="N324" s="4" t="n">
        <v>0.252533094927036</v>
      </c>
      <c r="O324" s="4" t="n">
        <f aca="false">(N324-N$344)/N$345</f>
        <v>0.156206999194991</v>
      </c>
    </row>
    <row r="325" customFormat="false" ht="14.25" hidden="false" customHeight="false" outlineLevel="0" collapsed="false">
      <c r="B325" s="4" t="n">
        <v>0.232702721459211</v>
      </c>
      <c r="C325" s="4" t="n">
        <f aca="false">(B325-B$344)/B$345</f>
        <v>0.0324052486021669</v>
      </c>
      <c r="D325" s="4" t="n">
        <v>0.416644912012127</v>
      </c>
      <c r="E325" s="4" t="n">
        <f aca="false">(D325-D$344)/D$345</f>
        <v>0.5909792578664</v>
      </c>
      <c r="F325" s="4" t="n">
        <v>0.241907886067121</v>
      </c>
      <c r="G325" s="4" t="n">
        <f aca="false">(F325-F$344)/F$345</f>
        <v>-0.3801710959601</v>
      </c>
      <c r="H325" s="4" t="n">
        <v>0.35062898621686</v>
      </c>
      <c r="I325" s="4" t="n">
        <f aca="false">(H325-H$344)/H$345</f>
        <v>1.95764435462205</v>
      </c>
      <c r="J325" s="4" t="n">
        <v>0.176385655780292</v>
      </c>
      <c r="K325" s="4" t="n">
        <f aca="false">(J325-J$344)/J$345</f>
        <v>-0.343430777161573</v>
      </c>
      <c r="L325" s="4" t="n">
        <v>0.33009557621423</v>
      </c>
      <c r="M325" s="4" t="n">
        <f aca="false">(L325-L$344)/L$345</f>
        <v>0.649450403754095</v>
      </c>
      <c r="N325" s="4" t="n">
        <v>0.307680215871369</v>
      </c>
      <c r="O325" s="4" t="n">
        <f aca="false">(N325-N$344)/N$345</f>
        <v>0.836311612712609</v>
      </c>
    </row>
    <row r="326" customFormat="false" ht="14.25" hidden="false" customHeight="false" outlineLevel="0" collapsed="false">
      <c r="B326" s="4" t="n">
        <v>0.259269527093039</v>
      </c>
      <c r="C326" s="4" t="n">
        <f aca="false">(B326-B$344)/B$345</f>
        <v>0.283177429143431</v>
      </c>
      <c r="D326" s="4" t="n">
        <v>0.466184504682622</v>
      </c>
      <c r="E326" s="4" t="n">
        <f aca="false">(D326-D$344)/D$345</f>
        <v>0.973191741117299</v>
      </c>
      <c r="F326" s="4" t="n">
        <v>0.266503783573945</v>
      </c>
      <c r="G326" s="4" t="n">
        <f aca="false">(F326-F$344)/F$345</f>
        <v>-0.142584397352566</v>
      </c>
      <c r="H326" s="4" t="n">
        <v>0.393230572716873</v>
      </c>
      <c r="I326" s="4" t="n">
        <f aca="false">(H326-H$344)/H$345</f>
        <v>2.5645942235189</v>
      </c>
      <c r="J326" s="4" t="n">
        <v>0.19591974118707</v>
      </c>
      <c r="K326" s="4" t="n">
        <f aca="false">(J326-J$344)/J$345</f>
        <v>-0.100442600352071</v>
      </c>
      <c r="L326" s="4" t="n">
        <v>0.363657925470461</v>
      </c>
      <c r="M326" s="4" t="n">
        <f aca="false">(L326-L$344)/L$345</f>
        <v>1.08972764052262</v>
      </c>
      <c r="N326" s="4" t="n">
        <v>0.333901700152379</v>
      </c>
      <c r="O326" s="4" t="n">
        <f aca="false">(N326-N$344)/N$345</f>
        <v>1.15968937255606</v>
      </c>
    </row>
    <row r="327" customFormat="false" ht="14.25" hidden="false" customHeight="false" outlineLevel="0" collapsed="false">
      <c r="B327" s="4" t="n">
        <v>0.265388048156554</v>
      </c>
      <c r="C327" s="4" t="n">
        <f aca="false">(B327-B$344)/B$345</f>
        <v>0.340932015446857</v>
      </c>
      <c r="D327" s="4" t="n">
        <v>0.477506372083716</v>
      </c>
      <c r="E327" s="4" t="n">
        <f aca="false">(D327-D$344)/D$345</f>
        <v>1.06054326786868</v>
      </c>
      <c r="F327" s="4" t="n">
        <v>0.272168390717377</v>
      </c>
      <c r="G327" s="4" t="n">
        <f aca="false">(F327-F$344)/F$345</f>
        <v>-0.0878665197169462</v>
      </c>
      <c r="H327" s="4" t="n">
        <v>0.403042015911517</v>
      </c>
      <c r="I327" s="4" t="n">
        <f aca="false">(H327-H$344)/H$345</f>
        <v>2.7043790214554</v>
      </c>
      <c r="J327" s="4" t="n">
        <v>0.200418577617208</v>
      </c>
      <c r="K327" s="4" t="n">
        <f aca="false">(J327-J$344)/J$345</f>
        <v>-0.0444807245253095</v>
      </c>
      <c r="L327" s="4" t="n">
        <v>0.371387569135404</v>
      </c>
      <c r="M327" s="4" t="n">
        <f aca="false">(L327-L$344)/L$345</f>
        <v>1.19112656608724</v>
      </c>
      <c r="N327" s="4" t="n">
        <v>0.333901700152379</v>
      </c>
      <c r="O327" s="4" t="n">
        <f aca="false">(N327-N$344)/N$345</f>
        <v>1.15968937255606</v>
      </c>
    </row>
    <row r="328" customFormat="false" ht="14.25" hidden="false" customHeight="false" outlineLevel="0" collapsed="false">
      <c r="A328" s="0" t="s">
        <v>101</v>
      </c>
      <c r="B328" s="4" t="n">
        <v>0.15296421546126</v>
      </c>
      <c r="C328" s="4" t="n">
        <f aca="false">(B328-B$344)/B$345</f>
        <v>-0.720270827619314</v>
      </c>
      <c r="D328" s="4" t="n">
        <v>0.261719188620963</v>
      </c>
      <c r="E328" s="4" t="n">
        <f aca="false">(D328-D$344)/D$345</f>
        <v>-0.604318124787408</v>
      </c>
      <c r="F328" s="4" t="n">
        <v>0.179610356880423</v>
      </c>
      <c r="G328" s="4" t="n">
        <f aca="false">(F328-F$344)/F$345</f>
        <v>-0.98194073200477</v>
      </c>
      <c r="H328" s="4" t="n">
        <v>0.222537550406938</v>
      </c>
      <c r="I328" s="4" t="n">
        <f aca="false">(H328-H$344)/H$345</f>
        <v>0.132710436454048</v>
      </c>
      <c r="J328" s="4" t="n">
        <v>0.117755393345223</v>
      </c>
      <c r="K328" s="4" t="n">
        <f aca="false">(J328-J$344)/J$345</f>
        <v>-1.07274368218332</v>
      </c>
      <c r="L328" s="4" t="n">
        <v>0.228799457603783</v>
      </c>
      <c r="M328" s="4" t="n">
        <f aca="false">(L328-L$344)/L$345</f>
        <v>-0.679371212894311</v>
      </c>
      <c r="N328" s="4" t="n">
        <v>0.181193188241833</v>
      </c>
      <c r="O328" s="4" t="n">
        <f aca="false">(N328-N$344)/N$345</f>
        <v>-0.723595950327956</v>
      </c>
    </row>
    <row r="329" customFormat="false" ht="14.25" hidden="false" customHeight="false" outlineLevel="0" collapsed="false">
      <c r="B329" s="4" t="n">
        <v>0.194885231149366</v>
      </c>
      <c r="C329" s="4" t="n">
        <f aca="false">(B329-B$344)/B$345</f>
        <v>-0.324565575753245</v>
      </c>
      <c r="D329" s="4" t="n">
        <v>0.349058898977666</v>
      </c>
      <c r="E329" s="4" t="n">
        <f aca="false">(D329-D$344)/D$345</f>
        <v>0.0695333500094692</v>
      </c>
      <c r="F329" s="4" t="n">
        <v>0.221082619542084</v>
      </c>
      <c r="G329" s="4" t="n">
        <f aca="false">(F329-F$344)/F$345</f>
        <v>-0.581334981926557</v>
      </c>
      <c r="H329" s="4" t="n">
        <v>0.2896925246179</v>
      </c>
      <c r="I329" s="4" t="n">
        <f aca="false">(H329-H$344)/H$345</f>
        <v>1.08947533987149</v>
      </c>
      <c r="J329" s="4" t="n">
        <v>0.14857914807423</v>
      </c>
      <c r="K329" s="4" t="n">
        <f aca="false">(J329-J$344)/J$345</f>
        <v>-0.689321176954281</v>
      </c>
      <c r="L329" s="4" t="n">
        <v>0.281629546956073</v>
      </c>
      <c r="M329" s="4" t="n">
        <f aca="false">(L329-L$344)/L$345</f>
        <v>0.0136638777271175</v>
      </c>
      <c r="N329" s="4" t="n">
        <v>0.243370895228148</v>
      </c>
      <c r="O329" s="4" t="n">
        <f aca="false">(N329-N$344)/N$345</f>
        <v>0.0432137154391036</v>
      </c>
    </row>
    <row r="330" customFormat="false" ht="14.25" hidden="false" customHeight="false" outlineLevel="0" collapsed="false">
      <c r="B330" s="4" t="n">
        <v>0.231975200419884</v>
      </c>
      <c r="C330" s="4" t="n">
        <f aca="false">(B330-B$344)/B$345</f>
        <v>0.0255379556375518</v>
      </c>
      <c r="D330" s="4" t="n">
        <v>0.423097471211964</v>
      </c>
      <c r="E330" s="4" t="n">
        <f aca="false">(D330-D$344)/D$345</f>
        <v>0.640762644086323</v>
      </c>
      <c r="F330" s="4" t="n">
        <v>0.257775550818943</v>
      </c>
      <c r="G330" s="4" t="n">
        <f aca="false">(F330-F$344)/F$345</f>
        <v>-0.226895693753269</v>
      </c>
      <c r="H330" s="4" t="n">
        <v>0.349108449756222</v>
      </c>
      <c r="I330" s="4" t="n">
        <f aca="false">(H330-H$344)/H$345</f>
        <v>1.93598109085048</v>
      </c>
      <c r="J330" s="4" t="n">
        <v>0.17585072289023</v>
      </c>
      <c r="K330" s="4" t="n">
        <f aca="false">(J330-J$344)/J$345</f>
        <v>-0.350084908387322</v>
      </c>
      <c r="L330" s="4" t="n">
        <v>0.328371410397876</v>
      </c>
      <c r="M330" s="4" t="n">
        <f aca="false">(L330-L$344)/L$345</f>
        <v>0.626832470916336</v>
      </c>
      <c r="N330" s="4" t="n">
        <v>0.298383141558048</v>
      </c>
      <c r="O330" s="4" t="n">
        <f aca="false">(N330-N$344)/N$345</f>
        <v>0.721654981062004</v>
      </c>
    </row>
    <row r="331" customFormat="false" ht="14.25" hidden="false" customHeight="false" outlineLevel="0" collapsed="false">
      <c r="B331" s="4" t="n">
        <v>0.258468035613112</v>
      </c>
      <c r="C331" s="4" t="n">
        <f aca="false">(B331-B$344)/B$345</f>
        <v>0.275611906630979</v>
      </c>
      <c r="D331" s="4" t="n">
        <v>0.474805739819789</v>
      </c>
      <c r="E331" s="4" t="n">
        <f aca="false">(D331-D$344)/D$345</f>
        <v>1.03970709808407</v>
      </c>
      <c r="F331" s="4" t="n">
        <v>0.28398478744527</v>
      </c>
      <c r="G331" s="4" t="n">
        <f aca="false">(F331-F$344)/F$345</f>
        <v>0.0262752263705082</v>
      </c>
      <c r="H331" s="4" t="n">
        <v>0.391548396283595</v>
      </c>
      <c r="I331" s="4" t="n">
        <f aca="false">(H331-H$344)/H$345</f>
        <v>2.54062805583548</v>
      </c>
      <c r="J331" s="4" t="n">
        <v>0.195330419187372</v>
      </c>
      <c r="K331" s="4" t="n">
        <f aca="false">(J331-J$344)/J$345</f>
        <v>-0.10777328798235</v>
      </c>
      <c r="L331" s="4" t="n">
        <v>0.36175845571345</v>
      </c>
      <c r="M331" s="4" t="n">
        <f aca="false">(L331-L$344)/L$345</f>
        <v>1.06481003748006</v>
      </c>
      <c r="N331" s="4" t="n">
        <v>0.324540495336473</v>
      </c>
      <c r="O331" s="4" t="n">
        <f aca="false">(N331-N$344)/N$345</f>
        <v>1.04424184829079</v>
      </c>
    </row>
    <row r="332" customFormat="false" ht="14.25" hidden="false" customHeight="false" outlineLevel="0" collapsed="false">
      <c r="B332" s="4" t="n">
        <v>0.265388048156554</v>
      </c>
      <c r="C332" s="4" t="n">
        <f aca="false">(B332-B$344)/B$345</f>
        <v>0.340932015446857</v>
      </c>
      <c r="D332" s="4" t="n">
        <v>0.488189350790212</v>
      </c>
      <c r="E332" s="4" t="n">
        <f aca="false">(D332-D$344)/D$345</f>
        <v>1.1429655810089</v>
      </c>
      <c r="F332" s="4" t="n">
        <v>0.290830723143938</v>
      </c>
      <c r="G332" s="4" t="n">
        <f aca="false">(F332-F$344)/F$345</f>
        <v>0.0924042733416406</v>
      </c>
      <c r="H332" s="4" t="n">
        <v>0.402633844865087</v>
      </c>
      <c r="I332" s="4" t="n">
        <f aca="false">(H332-H$344)/H$345</f>
        <v>2.69856376001863</v>
      </c>
      <c r="J332" s="4" t="n">
        <v>0.200418577617208</v>
      </c>
      <c r="K332" s="4" t="n">
        <f aca="false">(J332-J$344)/J$345</f>
        <v>-0.0444807245253095</v>
      </c>
      <c r="L332" s="4" t="n">
        <v>0.370479257797755</v>
      </c>
      <c r="M332" s="4" t="n">
        <f aca="false">(L332-L$344)/L$345</f>
        <v>1.17921116639896</v>
      </c>
      <c r="N332" s="4" t="n">
        <v>0.324540495336473</v>
      </c>
      <c r="O332" s="4" t="n">
        <f aca="false">(N332-N$344)/N$345</f>
        <v>1.04424184829079</v>
      </c>
    </row>
    <row r="333" customFormat="false" ht="14.25" hidden="false" customHeight="false" outlineLevel="0" collapsed="false">
      <c r="A333" s="0" t="s">
        <v>102</v>
      </c>
      <c r="B333" s="4" t="n">
        <v>0.0899529286657515</v>
      </c>
      <c r="C333" s="4" t="n">
        <f aca="false">(B333-B$344)/B$345</f>
        <v>-1.31505358043548</v>
      </c>
      <c r="D333" s="4" t="n">
        <v>0.200063812891191</v>
      </c>
      <c r="E333" s="4" t="n">
        <f aca="false">(D333-D$344)/D$345</f>
        <v>-1.0800074268813</v>
      </c>
      <c r="F333" s="4" t="n">
        <v>0.101839151377413</v>
      </c>
      <c r="G333" s="4" t="n">
        <f aca="false">(F333-F$344)/F$345</f>
        <v>-1.73317999688874</v>
      </c>
      <c r="H333" s="4" t="n">
        <v>0.145809720914239</v>
      </c>
      <c r="I333" s="4" t="n">
        <f aca="false">(H333-H$344)/H$345</f>
        <v>-0.960440074532668</v>
      </c>
      <c r="J333" s="4" t="n">
        <v>0.148847786759759</v>
      </c>
      <c r="K333" s="4" t="n">
        <f aca="false">(J333-J$344)/J$345</f>
        <v>-0.685979529620512</v>
      </c>
      <c r="L333" s="4" t="n">
        <v>0.174071146131671</v>
      </c>
      <c r="M333" s="4" t="n">
        <f aca="false">(L333-L$344)/L$345</f>
        <v>-1.397307539818</v>
      </c>
      <c r="N333" s="4" t="n">
        <v>0.162427622568794</v>
      </c>
      <c r="O333" s="4" t="n">
        <f aca="false">(N333-N$344)/N$345</f>
        <v>-0.955023222884652</v>
      </c>
    </row>
    <row r="334" customFormat="false" ht="14.25" hidden="false" customHeight="false" outlineLevel="0" collapsed="false">
      <c r="B334" s="4" t="n">
        <v>0.111145771661263</v>
      </c>
      <c r="C334" s="4" t="n">
        <f aca="false">(B334-B$344)/B$345</f>
        <v>-1.11500787215184</v>
      </c>
      <c r="D334" s="4" t="n">
        <v>0.245165614971047</v>
      </c>
      <c r="E334" s="4" t="n">
        <f aca="false">(D334-D$344)/D$345</f>
        <v>-0.732033799268101</v>
      </c>
      <c r="F334" s="4" t="n">
        <v>0.122214743783336</v>
      </c>
      <c r="G334" s="4" t="n">
        <f aca="false">(F334-F$344)/F$345</f>
        <v>-1.53635978609738</v>
      </c>
      <c r="H334" s="4" t="n">
        <v>0.18312995325971</v>
      </c>
      <c r="I334" s="4" t="n">
        <f aca="false">(H334-H$344)/H$345</f>
        <v>-0.428734286315682</v>
      </c>
      <c r="J334" s="4" t="n">
        <v>0.182314491461756</v>
      </c>
      <c r="K334" s="4" t="n">
        <f aca="false">(J334-J$344)/J$345</f>
        <v>-0.269680870634481</v>
      </c>
      <c r="L334" s="4" t="n">
        <v>0.20889864297585</v>
      </c>
      <c r="M334" s="4" t="n">
        <f aca="false">(L334-L$344)/L$345</f>
        <v>-0.940433858030878</v>
      </c>
      <c r="N334" s="4" t="n">
        <v>0.202814346777621</v>
      </c>
      <c r="O334" s="4" t="n">
        <f aca="false">(N334-N$344)/N$345</f>
        <v>-0.456951936678924</v>
      </c>
    </row>
    <row r="335" customFormat="false" ht="14.25" hidden="false" customHeight="false" outlineLevel="0" collapsed="false">
      <c r="B335" s="4" t="n">
        <v>0.127494536257801</v>
      </c>
      <c r="C335" s="4" t="n">
        <f aca="false">(B335-B$344)/B$345</f>
        <v>-0.960686897190168</v>
      </c>
      <c r="D335" s="4" t="n">
        <v>0.279492894718533</v>
      </c>
      <c r="E335" s="4" t="n">
        <f aca="false">(D335-D$344)/D$345</f>
        <v>-0.467188770710793</v>
      </c>
      <c r="F335" s="4" t="n">
        <v>0.137933057925048</v>
      </c>
      <c r="G335" s="4" t="n">
        <f aca="false">(F335-F$344)/F$345</f>
        <v>-1.38452705205833</v>
      </c>
      <c r="H335" s="4" t="n">
        <v>0.211919846783359</v>
      </c>
      <c r="I335" s="4" t="n">
        <f aca="false">(H335-H$344)/H$345</f>
        <v>-0.0185612496911494</v>
      </c>
      <c r="J335" s="4" t="n">
        <v>0.208131663660439</v>
      </c>
      <c r="K335" s="4" t="n">
        <f aca="false">(J335-J$344)/J$345</f>
        <v>0.0514638091547416</v>
      </c>
      <c r="L335" s="4" t="n">
        <v>0.235765569112789</v>
      </c>
      <c r="M335" s="4" t="n">
        <f aca="false">(L335-L$344)/L$345</f>
        <v>-0.587988446366525</v>
      </c>
      <c r="N335" s="4" t="n">
        <v>0.233969819738716</v>
      </c>
      <c r="O335" s="4" t="n">
        <f aca="false">(N335-N$344)/N$345</f>
        <v>-0.0727255158916487</v>
      </c>
    </row>
    <row r="336" customFormat="false" ht="14.25" hidden="false" customHeight="false" outlineLevel="0" collapsed="false">
      <c r="B336" s="4" t="n">
        <v>0.143466664806473</v>
      </c>
      <c r="C336" s="4" t="n">
        <f aca="false">(B336-B$344)/B$345</f>
        <v>-0.809921104748203</v>
      </c>
      <c r="D336" s="4" t="n">
        <v>0.312769216661697</v>
      </c>
      <c r="E336" s="4" t="n">
        <f aca="false">(D336-D$344)/D$345</f>
        <v>-0.210452189771396</v>
      </c>
      <c r="F336" s="4" t="n">
        <v>0.153289260074597</v>
      </c>
      <c r="G336" s="4" t="n">
        <f aca="false">(F336-F$344)/F$345</f>
        <v>-1.23619217747816</v>
      </c>
      <c r="H336" s="4" t="n">
        <v>0.240046490698684</v>
      </c>
      <c r="I336" s="4" t="n">
        <f aca="false">(H336-H$344)/H$345</f>
        <v>0.382162390892286</v>
      </c>
      <c r="J336" s="4" t="n">
        <v>0.233354070569882</v>
      </c>
      <c r="K336" s="4" t="n">
        <f aca="false">(J336-J$344)/J$345</f>
        <v>0.365210091207261</v>
      </c>
      <c r="L336" s="4" t="n">
        <v>0.262013546165301</v>
      </c>
      <c r="M336" s="4" t="n">
        <f aca="false">(L336-L$344)/L$345</f>
        <v>-0.243662525698194</v>
      </c>
      <c r="N336" s="4" t="n">
        <v>0.248259155636733</v>
      </c>
      <c r="O336" s="4" t="n">
        <f aca="false">(N336-N$344)/N$345</f>
        <v>0.10349843019892</v>
      </c>
    </row>
    <row r="337" customFormat="false" ht="14.25" hidden="false" customHeight="false" outlineLevel="0" collapsed="false">
      <c r="A337" s="0" t="s">
        <v>103</v>
      </c>
      <c r="B337" s="4" t="n">
        <v>0.111145771661263</v>
      </c>
      <c r="C337" s="4" t="n">
        <f aca="false">(B337-B$344)/B$345</f>
        <v>-1.11500787215184</v>
      </c>
      <c r="D337" s="4" t="n">
        <v>0.245165614971047</v>
      </c>
      <c r="E337" s="4" t="n">
        <f aca="false">(D337-D$344)/D$345</f>
        <v>-0.732033799268101</v>
      </c>
      <c r="F337" s="4" t="n">
        <v>0.122214743783336</v>
      </c>
      <c r="G337" s="4" t="n">
        <f aca="false">(F337-F$344)/F$345</f>
        <v>-1.53635978609738</v>
      </c>
      <c r="H337" s="4" t="n">
        <v>0.18312995325971</v>
      </c>
      <c r="I337" s="4" t="n">
        <f aca="false">(H337-H$344)/H$345</f>
        <v>-0.428734286315682</v>
      </c>
      <c r="J337" s="4" t="n">
        <v>0.182314491461756</v>
      </c>
      <c r="K337" s="4" t="n">
        <f aca="false">(J337-J$344)/J$345</f>
        <v>-0.269680870634481</v>
      </c>
      <c r="L337" s="4" t="n">
        <v>0.20889864297585</v>
      </c>
      <c r="M337" s="4" t="n">
        <f aca="false">(L337-L$344)/L$345</f>
        <v>-0.940433858030878</v>
      </c>
      <c r="N337" s="4" t="n">
        <v>0.202814346777621</v>
      </c>
      <c r="O337" s="4" t="n">
        <f aca="false">(N337-N$344)/N$345</f>
        <v>-0.456951936678924</v>
      </c>
    </row>
    <row r="338" customFormat="false" ht="14.25" hidden="false" customHeight="false" outlineLevel="0" collapsed="false">
      <c r="B338" s="4" t="n">
        <v>0.127494536257801</v>
      </c>
      <c r="C338" s="4" t="n">
        <f aca="false">(B338-B$344)/B$345</f>
        <v>-0.960686897190168</v>
      </c>
      <c r="D338" s="4" t="n">
        <v>0.279492894718533</v>
      </c>
      <c r="E338" s="4" t="n">
        <f aca="false">(D338-D$344)/D$345</f>
        <v>-0.467188770710793</v>
      </c>
      <c r="F338" s="4" t="n">
        <v>0.137933057925048</v>
      </c>
      <c r="G338" s="4" t="n">
        <f aca="false">(F338-F$344)/F$345</f>
        <v>-1.38452705205833</v>
      </c>
      <c r="H338" s="4" t="n">
        <v>0.211919846783359</v>
      </c>
      <c r="I338" s="4" t="n">
        <f aca="false">(H338-H$344)/H$345</f>
        <v>-0.0185612496911494</v>
      </c>
      <c r="J338" s="4" t="n">
        <v>0.208131663660439</v>
      </c>
      <c r="K338" s="4" t="n">
        <f aca="false">(J338-J$344)/J$345</f>
        <v>0.0514638091547416</v>
      </c>
      <c r="L338" s="4" t="n">
        <v>0.235765569112789</v>
      </c>
      <c r="M338" s="4" t="n">
        <f aca="false">(L338-L$344)/L$345</f>
        <v>-0.587988446366525</v>
      </c>
      <c r="N338" s="4" t="n">
        <v>0.233969819738716</v>
      </c>
      <c r="O338" s="4" t="n">
        <f aca="false">(N338-N$344)/N$345</f>
        <v>-0.0727255158916487</v>
      </c>
    </row>
    <row r="339" customFormat="false" ht="14.25" hidden="false" customHeight="false" outlineLevel="0" collapsed="false">
      <c r="B339" s="4" t="n">
        <v>0.143466664806473</v>
      </c>
      <c r="C339" s="4" t="n">
        <f aca="false">(B339-B$344)/B$345</f>
        <v>-0.809921104748203</v>
      </c>
      <c r="D339" s="4" t="n">
        <v>0.312769216661697</v>
      </c>
      <c r="E339" s="4" t="n">
        <f aca="false">(D339-D$344)/D$345</f>
        <v>-0.210452189771396</v>
      </c>
      <c r="F339" s="4" t="n">
        <v>0.153289260074597</v>
      </c>
      <c r="G339" s="4" t="n">
        <f aca="false">(F339-F$344)/F$345</f>
        <v>-1.23619217747816</v>
      </c>
      <c r="H339" s="4" t="n">
        <v>0.240046490698684</v>
      </c>
      <c r="I339" s="4" t="n">
        <f aca="false">(H339-H$344)/H$345</f>
        <v>0.382162390892286</v>
      </c>
      <c r="J339" s="4" t="n">
        <v>0.233354070569882</v>
      </c>
      <c r="K339" s="4" t="n">
        <f aca="false">(J339-J$344)/J$345</f>
        <v>0.365210091207261</v>
      </c>
      <c r="L339" s="4" t="n">
        <v>0.262013546165301</v>
      </c>
      <c r="M339" s="4" t="n">
        <f aca="false">(L339-L$344)/L$345</f>
        <v>-0.243662525698194</v>
      </c>
      <c r="N339" s="4" t="n">
        <v>0.248259155636733</v>
      </c>
      <c r="O339" s="4" t="n">
        <f aca="false">(N339-N$344)/N$345</f>
        <v>0.10349843019892</v>
      </c>
    </row>
    <row r="340" customFormat="false" ht="14.25" hidden="false" customHeight="false" outlineLevel="0" collapsed="false">
      <c r="A340" s="0" t="s">
        <v>104</v>
      </c>
      <c r="B340" s="4" t="n">
        <v>0.0817146924374488</v>
      </c>
      <c r="C340" s="4" t="n">
        <f aca="false">(B340-B$344)/B$345</f>
        <v>-1.39281680463564</v>
      </c>
      <c r="D340" s="4" t="n">
        <v>0.203642081431838</v>
      </c>
      <c r="E340" s="4" t="n">
        <f aca="false">(D340-D$344)/D$345</f>
        <v>-1.05240003588485</v>
      </c>
      <c r="F340" s="4" t="n">
        <v>0.101440797590145</v>
      </c>
      <c r="G340" s="4" t="n">
        <f aca="false">(F340-F$344)/F$345</f>
        <v>-1.73702793783777</v>
      </c>
      <c r="H340" s="4" t="n">
        <v>0.16010003061436</v>
      </c>
      <c r="I340" s="4" t="n">
        <f aca="false">(H340-H$344)/H$345</f>
        <v>-0.75684433288157</v>
      </c>
      <c r="J340" s="4" t="n">
        <v>0.154484421833995</v>
      </c>
      <c r="K340" s="4" t="n">
        <f aca="false">(J340-J$344)/J$345</f>
        <v>-0.615864361620186</v>
      </c>
      <c r="L340" s="4" t="n">
        <v>0.187960886048831</v>
      </c>
      <c r="M340" s="4" t="n">
        <f aca="false">(L340-L$344)/L$345</f>
        <v>-1.21509930810355</v>
      </c>
      <c r="N340" s="4" t="n">
        <v>0.168812446923305</v>
      </c>
      <c r="O340" s="4" t="n">
        <f aca="false">(N340-N$344)/N$345</f>
        <v>-0.876282058783168</v>
      </c>
    </row>
    <row r="341" customFormat="false" ht="14.25" hidden="false" customHeight="false" outlineLevel="0" collapsed="false">
      <c r="A341" s="0" t="s">
        <v>105</v>
      </c>
      <c r="B341" s="4" t="n">
        <v>0.0618031210023248</v>
      </c>
      <c r="C341" s="4" t="n">
        <f aca="false">(B341-B$344)/B$345</f>
        <v>-1.58076819990731</v>
      </c>
      <c r="D341" s="4" t="n">
        <v>0.156744540115196</v>
      </c>
      <c r="E341" s="4" t="n">
        <f aca="false">(D341-D$344)/D$345</f>
        <v>-1.41422831824921</v>
      </c>
      <c r="F341" s="4" t="n">
        <v>0.0833943186785463</v>
      </c>
      <c r="G341" s="4" t="n">
        <f aca="false">(F341-F$344)/F$345</f>
        <v>-1.91134982810047</v>
      </c>
      <c r="H341" s="4" t="n">
        <v>0.115349874105662</v>
      </c>
      <c r="I341" s="4" t="n">
        <f aca="false">(H341-H$344)/H$345</f>
        <v>-1.39440513419256</v>
      </c>
      <c r="J341" s="4" t="n">
        <v>0.116635036456283</v>
      </c>
      <c r="K341" s="4" t="n">
        <f aca="false">(J341-J$344)/J$345</f>
        <v>-1.08668001307112</v>
      </c>
      <c r="L341" s="4" t="n">
        <v>0.146565134130969</v>
      </c>
      <c r="M341" s="4" t="n">
        <f aca="false">(L341-L$344)/L$345</f>
        <v>-1.75813660055314</v>
      </c>
      <c r="N341" s="4" t="n">
        <v>0.122905898850661</v>
      </c>
      <c r="O341" s="4" t="n">
        <f aca="false">(N341-N$344)/N$345</f>
        <v>-1.44242684749097</v>
      </c>
    </row>
    <row r="342" customFormat="false" ht="14.25" hidden="false" customHeight="false" outlineLevel="0" collapsed="false">
      <c r="B342" s="4" t="n">
        <v>0.081495536285087</v>
      </c>
      <c r="C342" s="4" t="n">
        <f aca="false">(B342-B$344)/B$345</f>
        <v>-1.39488548639454</v>
      </c>
      <c r="D342" s="4" t="n">
        <v>0.206647657184177</v>
      </c>
      <c r="E342" s="4" t="n">
        <f aca="false">(D342-D$344)/D$345</f>
        <v>-1.02921113767285</v>
      </c>
      <c r="F342" s="4" t="n">
        <v>0.106505846302048</v>
      </c>
      <c r="G342" s="4" t="n">
        <f aca="false">(F342-F$344)/F$345</f>
        <v>-1.68810155889943</v>
      </c>
      <c r="H342" s="4" t="n">
        <v>0.159637167093033</v>
      </c>
      <c r="I342" s="4" t="n">
        <f aca="false">(H342-H$344)/H$345</f>
        <v>-0.763438804512022</v>
      </c>
      <c r="J342" s="4" t="n">
        <v>0.154067833635737</v>
      </c>
      <c r="K342" s="4" t="n">
        <f aca="false">(J342-J$344)/J$345</f>
        <v>-0.621046380878678</v>
      </c>
      <c r="L342" s="4" t="n">
        <v>0.187183538355448</v>
      </c>
      <c r="M342" s="4" t="n">
        <f aca="false">(L342-L$344)/L$345</f>
        <v>-1.22529670197006</v>
      </c>
      <c r="N342" s="4" t="n">
        <v>0.166042772948336</v>
      </c>
      <c r="O342" s="4" t="n">
        <f aca="false">(N342-N$344)/N$345</f>
        <v>-0.910439200916072</v>
      </c>
    </row>
    <row r="344" customFormat="false" ht="14.25" hidden="false" customHeight="false" outlineLevel="0" collapsed="false">
      <c r="A344" s="42" t="s">
        <v>149</v>
      </c>
      <c r="B344" s="12" t="n">
        <f aca="false">AVERAGE(B2:B342)</f>
        <v>0.229269709315394</v>
      </c>
      <c r="C344" s="12"/>
      <c r="D344" s="12" t="n">
        <f aca="false">AVERAGE(D2:D342)</f>
        <v>0.34004649360779</v>
      </c>
      <c r="E344" s="12"/>
      <c r="F344" s="12" t="n">
        <f aca="false">AVERAGE(F2:F342)</f>
        <v>0.28126467399378</v>
      </c>
      <c r="G344" s="12"/>
      <c r="H344" s="12" t="n">
        <f aca="false">AVERAGE(H2:H342)</f>
        <v>0.213222654024594</v>
      </c>
      <c r="I344" s="12"/>
      <c r="J344" s="12" t="n">
        <f aca="false">AVERAGE(J2:J342)</f>
        <v>0.203994431731764</v>
      </c>
      <c r="K344" s="12"/>
      <c r="L344" s="12" t="n">
        <f aca="false">AVERAGE(L2:L342)</f>
        <v>0.280587949075979</v>
      </c>
      <c r="M344" s="12"/>
      <c r="N344" s="12" t="n">
        <f aca="false">AVERAGE(N2:N342)</f>
        <v>0.23986685784271</v>
      </c>
      <c r="O344" s="42"/>
    </row>
    <row r="345" customFormat="false" ht="14.25" hidden="false" customHeight="false" outlineLevel="0" collapsed="false">
      <c r="A345" s="42" t="s">
        <v>150</v>
      </c>
      <c r="B345" s="12" t="n">
        <f aca="false">_xlfn.STDEV.S(B2:B342)</f>
        <v>0.105940003298959</v>
      </c>
      <c r="C345" s="12"/>
      <c r="D345" s="12" t="n">
        <f aca="false">_xlfn.STDEV.S(D2:D342)</f>
        <v>0.129612701943007</v>
      </c>
      <c r="E345" s="12"/>
      <c r="F345" s="12" t="n">
        <f aca="false">_xlfn.STDEV.S(F2:F342)</f>
        <v>0.103523882654114</v>
      </c>
      <c r="G345" s="12"/>
      <c r="H345" s="12" t="n">
        <f aca="false">_xlfn.STDEV.S(H2:H342)</f>
        <v>0.0701896296269779</v>
      </c>
      <c r="I345" s="12"/>
      <c r="J345" s="12" t="n">
        <f aca="false">_xlfn.STDEV.S(J2:J342)</f>
        <v>0.0803910941810644</v>
      </c>
      <c r="K345" s="12"/>
      <c r="L345" s="12" t="n">
        <f aca="false">_xlfn.STDEV.S(L2:L342)</f>
        <v>0.0762300351991101</v>
      </c>
      <c r="M345" s="12"/>
      <c r="N345" s="12" t="n">
        <f aca="false">_xlfn.STDEV.S(N2:N342)</f>
        <v>0.0810862326886782</v>
      </c>
      <c r="O345" s="4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5"/>
  <sheetViews>
    <sheetView showFormulas="false" showGridLines="true" showRowColHeaders="true" showZeros="true" rightToLeft="false" tabSelected="false" showOutlineSymbols="true" defaultGridColor="true" view="normal" topLeftCell="A329" colorId="64" zoomScale="130" zoomScaleNormal="130" zoomScalePageLayoutView="100" workbookViewId="0">
      <selection pane="topLeft" activeCell="A344" activeCellId="0" sqref="A34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5.89"/>
    <col collapsed="false" customWidth="true" hidden="false" outlineLevel="0" max="2" min="2" style="4" width="14.78"/>
    <col collapsed="false" customWidth="true" hidden="false" outlineLevel="0" max="3" min="3" style="4" width="19.89"/>
    <col collapsed="false" customWidth="true" hidden="false" outlineLevel="0" max="4" min="4" style="4" width="12"/>
    <col collapsed="false" customWidth="true" hidden="false" outlineLevel="0" max="5" min="5" style="4" width="19.89"/>
    <col collapsed="false" customWidth="true" hidden="false" outlineLevel="0" max="6" min="6" style="4" width="12"/>
    <col collapsed="false" customWidth="true" hidden="false" outlineLevel="0" max="7" min="7" style="4" width="19.89"/>
    <col collapsed="false" customWidth="true" hidden="false" outlineLevel="0" max="8" min="8" style="4" width="12"/>
    <col collapsed="false" customWidth="true" hidden="false" outlineLevel="0" max="9" min="9" style="4" width="19.89"/>
    <col collapsed="false" customWidth="true" hidden="false" outlineLevel="0" max="10" min="10" style="4" width="12"/>
    <col collapsed="false" customWidth="true" hidden="false" outlineLevel="0" max="11" min="11" style="0" width="19.89"/>
  </cols>
  <sheetData>
    <row r="1" customFormat="false" ht="14.25" hidden="false" customHeight="false" outlineLevel="0" collapsed="false">
      <c r="A1" s="0" t="s">
        <v>8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  <c r="I1" s="4" t="s">
        <v>172</v>
      </c>
      <c r="J1" s="4" t="s">
        <v>173</v>
      </c>
      <c r="K1" s="4" t="s">
        <v>174</v>
      </c>
    </row>
    <row r="2" customFormat="false" ht="14.25" hidden="false" customHeight="false" outlineLevel="0" collapsed="false">
      <c r="A2" s="0" t="s">
        <v>22</v>
      </c>
      <c r="B2" s="4" t="n">
        <v>0.102129723973678</v>
      </c>
      <c r="C2" s="4" t="n">
        <f aca="false">(B2-B$344)/B$345</f>
        <v>-1.39272707708248</v>
      </c>
      <c r="D2" s="4" t="n">
        <v>0.149956191699532</v>
      </c>
      <c r="E2" s="4" t="n">
        <f aca="false">(D2-D$344)/D$345</f>
        <v>-1.35779578518001</v>
      </c>
      <c r="F2" s="4" t="n">
        <v>0.116566113972405</v>
      </c>
      <c r="G2" s="4" t="n">
        <f aca="false">(F2-F$344)/F$345</f>
        <v>-1.39278967276458</v>
      </c>
      <c r="H2" s="4" t="n">
        <v>0.109685613842397</v>
      </c>
      <c r="I2" s="4" t="n">
        <f aca="false">(H2-H$344)/H$345</f>
        <v>-1.28362778068603</v>
      </c>
      <c r="J2" s="4" t="n">
        <v>0.0820065646188429</v>
      </c>
      <c r="K2" s="4" t="n">
        <f aca="false">(J2-J$344)/J$345</f>
        <v>-1.44751374527531</v>
      </c>
    </row>
    <row r="3" customFormat="false" ht="14.25" hidden="false" customHeight="false" outlineLevel="0" collapsed="false">
      <c r="B3" s="4" t="n">
        <v>0.190782516555556</v>
      </c>
      <c r="C3" s="4" t="n">
        <f aca="false">(B3-B$344)/B$345</f>
        <v>-0.640754232536806</v>
      </c>
      <c r="D3" s="4" t="n">
        <v>0.204348041181117</v>
      </c>
      <c r="E3" s="4" t="n">
        <f aca="false">(D3-D$344)/D$345</f>
        <v>-0.762427878863775</v>
      </c>
      <c r="F3" s="4" t="n">
        <v>0.197287948854427</v>
      </c>
      <c r="G3" s="4" t="n">
        <f aca="false">(F3-F$344)/F$345</f>
        <v>-0.668235019376526</v>
      </c>
      <c r="H3" s="4" t="n">
        <v>0.193326264807891</v>
      </c>
      <c r="I3" s="4" t="n">
        <f aca="false">(H3-H$344)/H$345</f>
        <v>-0.638580955254871</v>
      </c>
      <c r="J3" s="4" t="n">
        <v>0.15626605743881</v>
      </c>
      <c r="K3" s="4" t="n">
        <f aca="false">(J3-J$344)/J$345</f>
        <v>-0.768596917416234</v>
      </c>
    </row>
    <row r="4" customFormat="false" ht="14.25" hidden="false" customHeight="false" outlineLevel="0" collapsed="false">
      <c r="B4" s="4" t="n">
        <v>0.203057518605355</v>
      </c>
      <c r="C4" s="4" t="n">
        <f aca="false">(B4-B$344)/B$345</f>
        <v>-0.536634915599713</v>
      </c>
      <c r="D4" s="4" t="n">
        <v>0.212052045031756</v>
      </c>
      <c r="E4" s="4" t="n">
        <f aca="false">(D4-D$344)/D$345</f>
        <v>-0.678100600300465</v>
      </c>
      <c r="F4" s="4" t="n">
        <v>0.208040961806976</v>
      </c>
      <c r="G4" s="4" t="n">
        <f aca="false">(F4-F$344)/F$345</f>
        <v>-0.571716579426559</v>
      </c>
      <c r="H4" s="4" t="n">
        <v>0.205300909684791</v>
      </c>
      <c r="I4" s="4" t="n">
        <f aca="false">(H4-H$344)/H$345</f>
        <v>-0.546231044364093</v>
      </c>
      <c r="J4" s="4" t="n">
        <v>0.167095731892512</v>
      </c>
      <c r="K4" s="4" t="n">
        <f aca="false">(J4-J$344)/J$345</f>
        <v>-0.669586704073148</v>
      </c>
    </row>
    <row r="5" customFormat="false" ht="14.25" hidden="false" customHeight="false" outlineLevel="0" collapsed="false">
      <c r="B5" s="4" t="n">
        <v>0.263068639737704</v>
      </c>
      <c r="C5" s="4" t="n">
        <f aca="false">(B5-B$344)/B$345</f>
        <v>-0.0276071439072581</v>
      </c>
      <c r="D5" s="4" t="n">
        <v>0.25013945817228</v>
      </c>
      <c r="E5" s="4" t="n">
        <f aca="false">(D5-D$344)/D$345</f>
        <v>-0.261199472013715</v>
      </c>
      <c r="F5" s="4" t="n">
        <v>0.259367569311019</v>
      </c>
      <c r="G5" s="4" t="n">
        <f aca="false">(F5-F$344)/F$345</f>
        <v>-0.111011834991175</v>
      </c>
      <c r="H5" s="4" t="n">
        <v>0.265221919842423</v>
      </c>
      <c r="I5" s="4" t="n">
        <f aca="false">(H5-H$344)/H$345</f>
        <v>-0.0841129602430754</v>
      </c>
      <c r="J5" s="4" t="n">
        <v>0.221958197121629</v>
      </c>
      <c r="K5" s="4" t="n">
        <f aca="false">(J5-J$344)/J$345</f>
        <v>-0.168007048093257</v>
      </c>
    </row>
    <row r="6" customFormat="false" ht="14.25" hidden="false" customHeight="false" outlineLevel="0" collapsed="false">
      <c r="B6" s="4" t="n">
        <v>0.380363103769112</v>
      </c>
      <c r="C6" s="4" t="n">
        <f aca="false">(B6-B$344)/B$345</f>
        <v>0.967310773491629</v>
      </c>
      <c r="D6" s="4" t="n">
        <v>0.311870443287798</v>
      </c>
      <c r="E6" s="4" t="n">
        <f aca="false">(D6-D$344)/D$345</f>
        <v>0.414501900772074</v>
      </c>
      <c r="F6" s="4" t="n">
        <v>0.35480967272614</v>
      </c>
      <c r="G6" s="4" t="n">
        <f aca="false">(F6-F$344)/F$345</f>
        <v>0.745671121480775</v>
      </c>
      <c r="H6" s="4" t="n">
        <v>0.388948068732387</v>
      </c>
      <c r="I6" s="4" t="n">
        <f aca="false">(H6-H$344)/H$345</f>
        <v>0.870078077763313</v>
      </c>
      <c r="J6" s="4" t="n">
        <v>0.338381669711537</v>
      </c>
      <c r="K6" s="4" t="n">
        <f aca="false">(J6-J$344)/J$345</f>
        <v>0.896393632513409</v>
      </c>
    </row>
    <row r="7" customFormat="false" ht="14.25" hidden="false" customHeight="false" outlineLevel="0" collapsed="false">
      <c r="B7" s="4" t="n">
        <v>0.420805970660799</v>
      </c>
      <c r="C7" s="4" t="n">
        <f aca="false">(B7-B$344)/B$345</f>
        <v>1.31035622950516</v>
      </c>
      <c r="D7" s="4" t="n">
        <v>0.311870443287798</v>
      </c>
      <c r="E7" s="4" t="n">
        <f aca="false">(D7-D$344)/D$345</f>
        <v>0.414501900772074</v>
      </c>
      <c r="F7" s="4" t="n">
        <v>0.393944057808529</v>
      </c>
      <c r="G7" s="4" t="n">
        <f aca="false">(F7-F$344)/F$345</f>
        <v>1.09693916265411</v>
      </c>
      <c r="H7" s="4" t="n">
        <v>0.444319066782003</v>
      </c>
      <c r="I7" s="4" t="n">
        <f aca="false">(H7-H$344)/H$345</f>
        <v>1.29710591770199</v>
      </c>
      <c r="J7" s="4" t="n">
        <v>0.397132626997581</v>
      </c>
      <c r="K7" s="4" t="n">
        <f aca="false">(J7-J$344)/J$345</f>
        <v>1.43352379647812</v>
      </c>
    </row>
    <row r="8" customFormat="false" ht="14.25" hidden="false" customHeight="false" outlineLevel="0" collapsed="false">
      <c r="A8" s="0" t="s">
        <v>23</v>
      </c>
      <c r="B8" s="4" t="n">
        <v>0.220519365945007</v>
      </c>
      <c r="C8" s="4" t="n">
        <f aca="false">(B8-B$344)/B$345</f>
        <v>-0.388519615081762</v>
      </c>
      <c r="D8" s="4" t="n">
        <v>0.232255360529084</v>
      </c>
      <c r="E8" s="4" t="n">
        <f aca="false">(D8-D$344)/D$345</f>
        <v>-0.456957069368262</v>
      </c>
      <c r="F8" s="4" t="n">
        <v>0.226512841780267</v>
      </c>
      <c r="G8" s="4" t="n">
        <f aca="false">(F8-F$344)/F$345</f>
        <v>-0.405914022893562</v>
      </c>
      <c r="H8" s="4" t="n">
        <v>0.148120891103246</v>
      </c>
      <c r="I8" s="4" t="n">
        <f aca="false">(H8-H$344)/H$345</f>
        <v>-0.987210269637424</v>
      </c>
      <c r="J8" s="4" t="n">
        <v>0.130592528876043</v>
      </c>
      <c r="K8" s="4" t="n">
        <f aca="false">(J8-J$344)/J$345</f>
        <v>-1.00331694996534</v>
      </c>
    </row>
    <row r="9" customFormat="false" ht="14.25" hidden="false" customHeight="false" outlineLevel="0" collapsed="false">
      <c r="B9" s="4" t="n">
        <v>0.293288436360923</v>
      </c>
      <c r="C9" s="4" t="n">
        <f aca="false">(B9-B$344)/B$345</f>
        <v>0.228723940162835</v>
      </c>
      <c r="D9" s="4" t="n">
        <v>0.271508577910959</v>
      </c>
      <c r="E9" s="4" t="n">
        <f aca="false">(D9-D$344)/D$345</f>
        <v>-0.0272951609836992</v>
      </c>
      <c r="F9" s="4" t="n">
        <v>0.285618305191059</v>
      </c>
      <c r="G9" s="4" t="n">
        <f aca="false">(F9-F$344)/F$345</f>
        <v>0.124613294994317</v>
      </c>
      <c r="H9" s="4" t="n">
        <v>0.197196172467178</v>
      </c>
      <c r="I9" s="4" t="n">
        <f aca="false">(H9-H$344)/H$345</f>
        <v>-0.608735758911708</v>
      </c>
      <c r="J9" s="4" t="n">
        <v>0.179729227252511</v>
      </c>
      <c r="K9" s="4" t="n">
        <f aca="false">(J9-J$344)/J$345</f>
        <v>-0.554085072310372</v>
      </c>
    </row>
    <row r="10" customFormat="false" ht="14.25" hidden="false" customHeight="false" outlineLevel="0" collapsed="false">
      <c r="B10" s="4" t="n">
        <v>0.491606140616201</v>
      </c>
      <c r="C10" s="4" t="n">
        <f aca="false">(B10-B$344)/B$345</f>
        <v>1.91089913001796</v>
      </c>
      <c r="D10" s="4" t="n">
        <v>0.309914237155623</v>
      </c>
      <c r="E10" s="4" t="n">
        <f aca="false">(D10-D$344)/D$345</f>
        <v>0.393089458276799</v>
      </c>
      <c r="F10" s="4" t="n">
        <v>0.446798342633012</v>
      </c>
      <c r="G10" s="4" t="n">
        <f aca="false">(F10-F$344)/F$345</f>
        <v>1.57135625286333</v>
      </c>
      <c r="H10" s="4" t="n">
        <v>0.344296754142696</v>
      </c>
      <c r="I10" s="4" t="n">
        <f aca="false">(H10-H$344)/H$345</f>
        <v>0.525721734347348</v>
      </c>
      <c r="J10" s="4" t="n">
        <v>0.332475023090406</v>
      </c>
      <c r="K10" s="4" t="n">
        <f aca="false">(J10-J$344)/J$345</f>
        <v>0.842392162330669</v>
      </c>
    </row>
    <row r="11" customFormat="false" ht="14.25" hidden="false" customHeight="false" outlineLevel="0" collapsed="false">
      <c r="A11" s="0" t="s">
        <v>24</v>
      </c>
      <c r="B11" s="4" t="n">
        <v>0.167247284948928</v>
      </c>
      <c r="C11" s="4" t="n">
        <f aca="false">(B11-B$344)/B$345</f>
        <v>-0.840385338820707</v>
      </c>
      <c r="D11" s="4" t="n">
        <v>0.190702496058795</v>
      </c>
      <c r="E11" s="4" t="n">
        <f aca="false">(D11-D$344)/D$345</f>
        <v>-0.911790691628039</v>
      </c>
      <c r="F11" s="4" t="n">
        <v>0.177871868506364</v>
      </c>
      <c r="G11" s="4" t="n">
        <f aca="false">(F11-F$344)/F$345</f>
        <v>-0.842512665410046</v>
      </c>
      <c r="H11" s="4" t="n">
        <v>0.155220328601953</v>
      </c>
      <c r="I11" s="4" t="n">
        <f aca="false">(H11-H$344)/H$345</f>
        <v>-0.932458548219364</v>
      </c>
      <c r="J11" s="4" t="n">
        <v>0.143127787602911</v>
      </c>
      <c r="K11" s="4" t="n">
        <f aca="false">(J11-J$344)/J$345</f>
        <v>-0.888713445846747</v>
      </c>
    </row>
    <row r="12" customFormat="false" ht="14.25" hidden="false" customHeight="false" outlineLevel="0" collapsed="false">
      <c r="B12" s="4" t="n">
        <v>0.214040810849146</v>
      </c>
      <c r="C12" s="4" t="n">
        <f aca="false">(B12-B$344)/B$345</f>
        <v>-0.443472170574938</v>
      </c>
      <c r="D12" s="4" t="n">
        <v>0.221492056589981</v>
      </c>
      <c r="E12" s="4" t="n">
        <f aca="false">(D12-D$344)/D$345</f>
        <v>-0.574771149829676</v>
      </c>
      <c r="F12" s="4" t="n">
        <v>0.219901220757958</v>
      </c>
      <c r="G12" s="4" t="n">
        <f aca="false">(F12-F$344)/F$345</f>
        <v>-0.465259561621141</v>
      </c>
      <c r="H12" s="4" t="n">
        <v>0.193860670369054</v>
      </c>
      <c r="I12" s="4" t="n">
        <f aca="false">(H12-H$344)/H$345</f>
        <v>-0.634459554874292</v>
      </c>
      <c r="J12" s="4" t="n">
        <v>0.181581352232222</v>
      </c>
      <c r="K12" s="4" t="n">
        <f aca="false">(J12-J$344)/J$345</f>
        <v>-0.53715203428017</v>
      </c>
    </row>
    <row r="13" customFormat="false" ht="14.25" hidden="false" customHeight="false" outlineLevel="0" collapsed="false">
      <c r="B13" s="4" t="n">
        <v>0.263988956472974</v>
      </c>
      <c r="C13" s="4" t="n">
        <f aca="false">(B13-B$344)/B$345</f>
        <v>-0.0198008112114753</v>
      </c>
      <c r="D13" s="4" t="n">
        <v>0.254820249615275</v>
      </c>
      <c r="E13" s="4" t="n">
        <f aca="false">(D13-D$344)/D$345</f>
        <v>-0.209963983096162</v>
      </c>
      <c r="F13" s="4" t="n">
        <v>0.263431710864437</v>
      </c>
      <c r="G13" s="4" t="n">
        <f aca="false">(F13-F$344)/F$345</f>
        <v>-0.0745323288097248</v>
      </c>
      <c r="H13" s="4" t="n">
        <v>0.235621601015159</v>
      </c>
      <c r="I13" s="4" t="n">
        <f aca="false">(H13-H$344)/H$345</f>
        <v>-0.312394202328983</v>
      </c>
      <c r="J13" s="4" t="n">
        <v>0.223815917313938</v>
      </c>
      <c r="K13" s="4" t="n">
        <f aca="false">(J13-J$344)/J$345</f>
        <v>-0.151022855875971</v>
      </c>
    </row>
    <row r="14" customFormat="false" ht="14.25" hidden="false" customHeight="false" outlineLevel="0" collapsed="false">
      <c r="B14" s="4" t="n">
        <v>0.314462872050737</v>
      </c>
      <c r="C14" s="4" t="n">
        <f aca="false">(B14-B$344)/B$345</f>
        <v>0.408330246671601</v>
      </c>
      <c r="D14" s="4" t="n">
        <v>0.288861918483085</v>
      </c>
      <c r="E14" s="4" t="n">
        <f aca="false">(D14-D$344)/D$345</f>
        <v>0.16265282097483</v>
      </c>
      <c r="F14" s="4" t="n">
        <v>0.306228848383008</v>
      </c>
      <c r="G14" s="4" t="n">
        <f aca="false">(F14-F$344)/F$345</f>
        <v>0.309612372386551</v>
      </c>
      <c r="H14" s="4" t="n">
        <v>0.278362992563234</v>
      </c>
      <c r="I14" s="4" t="n">
        <f aca="false">(H14-H$344)/H$345</f>
        <v>0.0172325833827919</v>
      </c>
      <c r="J14" s="4" t="n">
        <v>0.267741889354363</v>
      </c>
      <c r="K14" s="4" t="n">
        <f aca="false">(J14-J$344)/J$345</f>
        <v>0.250569997318049</v>
      </c>
    </row>
    <row r="15" customFormat="false" ht="14.25" hidden="false" customHeight="false" outlineLevel="0" collapsed="false">
      <c r="B15" s="4" t="n">
        <v>0.347060609194709</v>
      </c>
      <c r="C15" s="4" t="n">
        <f aca="false">(B15-B$344)/B$345</f>
        <v>0.684831554887756</v>
      </c>
      <c r="D15" s="4" t="n">
        <v>0.3109997122228</v>
      </c>
      <c r="E15" s="4" t="n">
        <f aca="false">(D15-D$344)/D$345</f>
        <v>0.404970963029133</v>
      </c>
      <c r="F15" s="4" t="n">
        <v>0.333317936028614</v>
      </c>
      <c r="G15" s="4" t="n">
        <f aca="false">(F15-F$344)/F$345</f>
        <v>0.552762500704964</v>
      </c>
      <c r="H15" s="4" t="n">
        <v>0.306255768652636</v>
      </c>
      <c r="I15" s="4" t="n">
        <f aca="false">(H15-H$344)/H$345</f>
        <v>0.232345049166373</v>
      </c>
      <c r="J15" s="4" t="n">
        <v>0.296776866064045</v>
      </c>
      <c r="K15" s="4" t="n">
        <f aca="false">(J15-J$344)/J$345</f>
        <v>0.516022043058382</v>
      </c>
    </row>
    <row r="16" customFormat="false" ht="14.25" hidden="false" customHeight="false" outlineLevel="0" collapsed="false">
      <c r="B16" s="4" t="n">
        <v>0.416988013068069</v>
      </c>
      <c r="C16" s="4" t="n">
        <f aca="false">(B16-B$344)/B$345</f>
        <v>1.2779714579966</v>
      </c>
      <c r="D16" s="4" t="n">
        <v>0.35880546475868</v>
      </c>
      <c r="E16" s="4" t="n">
        <f aca="false">(D16-D$344)/D$345</f>
        <v>0.928248091283342</v>
      </c>
      <c r="F16" s="4" t="n">
        <v>0.390192148969359</v>
      </c>
      <c r="G16" s="4" t="n">
        <f aca="false">(F16-F$344)/F$345</f>
        <v>1.06326223976848</v>
      </c>
      <c r="H16" s="4" t="n">
        <v>0.366855298345975</v>
      </c>
      <c r="I16" s="4" t="n">
        <f aca="false">(H16-H$344)/H$345</f>
        <v>0.699695958085481</v>
      </c>
      <c r="J16" s="4" t="n">
        <v>0.360825132369888</v>
      </c>
      <c r="K16" s="4" t="n">
        <f aca="false">(J16-J$344)/J$345</f>
        <v>1.1015828129879</v>
      </c>
    </row>
    <row r="17" customFormat="false" ht="14.25" hidden="false" customHeight="false" outlineLevel="0" collapsed="false">
      <c r="B17" s="4" t="n">
        <v>0.420926463531363</v>
      </c>
      <c r="C17" s="4" t="n">
        <f aca="false">(B17-B$344)/B$345</f>
        <v>1.3113782770232</v>
      </c>
      <c r="D17" s="4" t="n">
        <v>0.362414739481241</v>
      </c>
      <c r="E17" s="4" t="n">
        <f aca="false">(D17-D$344)/D$345</f>
        <v>0.96775486215751</v>
      </c>
      <c r="F17" s="4" t="n">
        <v>0.394407809384809</v>
      </c>
      <c r="G17" s="4" t="n">
        <f aca="false">(F17-F$344)/F$345</f>
        <v>1.10110177074028</v>
      </c>
      <c r="H17" s="4" t="n">
        <v>0.371453835854817</v>
      </c>
      <c r="I17" s="4" t="n">
        <f aca="false">(H17-H$344)/H$345</f>
        <v>0.735160436033273</v>
      </c>
      <c r="J17" s="4" t="n">
        <v>0.365738030288778</v>
      </c>
      <c r="K17" s="4" t="n">
        <f aca="false">(J17-J$344)/J$345</f>
        <v>1.14649894349225</v>
      </c>
    </row>
    <row r="18" customFormat="false" ht="14.25" hidden="false" customHeight="false" outlineLevel="0" collapsed="false">
      <c r="B18" s="4" t="n">
        <v>0.450992639497889</v>
      </c>
      <c r="C18" s="4" t="n">
        <f aca="false">(B18-B$344)/B$345</f>
        <v>1.56640631627282</v>
      </c>
      <c r="D18" s="4" t="n">
        <v>0.391352428883317</v>
      </c>
      <c r="E18" s="4" t="n">
        <f aca="false">(D18-D$344)/D$345</f>
        <v>1.28450400227963</v>
      </c>
      <c r="F18" s="4" t="n">
        <v>0.427864675207727</v>
      </c>
      <c r="G18" s="4" t="n">
        <f aca="false">(F18-F$344)/F$345</f>
        <v>1.40140871811337</v>
      </c>
      <c r="H18" s="4" t="n">
        <v>0.408454520280917</v>
      </c>
      <c r="I18" s="4" t="n">
        <f aca="false">(H18-H$344)/H$345</f>
        <v>1.02051419347452</v>
      </c>
      <c r="J18" s="4" t="n">
        <v>0.405530807588627</v>
      </c>
      <c r="K18" s="4" t="n">
        <f aca="false">(J18-J$344)/J$345</f>
        <v>1.51030409634474</v>
      </c>
    </row>
    <row r="19" customFormat="false" ht="14.25" hidden="false" customHeight="false" outlineLevel="0" collapsed="false">
      <c r="B19" s="4" t="n">
        <v>0.525779355501812</v>
      </c>
      <c r="C19" s="4" t="n">
        <f aca="false">(B19-B$344)/B$345</f>
        <v>2.20076399333932</v>
      </c>
      <c r="D19" s="4" t="n">
        <v>0.425809374021921</v>
      </c>
      <c r="E19" s="4" t="n">
        <f aca="false">(D19-D$344)/D$345</f>
        <v>1.6616663801129</v>
      </c>
      <c r="F19" s="4" t="n">
        <v>0.509322356978423</v>
      </c>
      <c r="G19" s="4" t="n">
        <f aca="false">(F19-F$344)/F$345</f>
        <v>2.13256829182007</v>
      </c>
      <c r="H19" s="4" t="n">
        <v>0.502127798161467</v>
      </c>
      <c r="I19" s="4" t="n">
        <f aca="false">(H19-H$344)/H$345</f>
        <v>1.7429338521822</v>
      </c>
      <c r="J19" s="4" t="n">
        <v>0.508286638121516</v>
      </c>
      <c r="K19" s="4" t="n">
        <f aca="false">(J19-J$344)/J$345</f>
        <v>2.44974846716134</v>
      </c>
    </row>
    <row r="20" customFormat="false" ht="14.25" hidden="false" customHeight="false" outlineLevel="0" collapsed="false">
      <c r="B20" s="4" t="n">
        <v>0.525779355501812</v>
      </c>
      <c r="C20" s="4" t="n">
        <f aca="false">(B20-B$344)/B$345</f>
        <v>2.20076399333932</v>
      </c>
      <c r="D20" s="4" t="n">
        <v>0.425809374021921</v>
      </c>
      <c r="E20" s="4" t="n">
        <f aca="false">(D20-D$344)/D$345</f>
        <v>1.6616663801129</v>
      </c>
      <c r="F20" s="4" t="n">
        <v>0.509322356978423</v>
      </c>
      <c r="G20" s="4" t="n">
        <f aca="false">(F20-F$344)/F$345</f>
        <v>2.13256829182007</v>
      </c>
      <c r="H20" s="4" t="n">
        <v>0.502127798161467</v>
      </c>
      <c r="I20" s="4" t="n">
        <f aca="false">(H20-H$344)/H$345</f>
        <v>1.7429338521822</v>
      </c>
      <c r="J20" s="4" t="n">
        <v>0.508286638121516</v>
      </c>
      <c r="K20" s="4" t="n">
        <f aca="false">(J20-J$344)/J$345</f>
        <v>2.44974846716134</v>
      </c>
    </row>
    <row r="21" customFormat="false" ht="14.25" hidden="false" customHeight="false" outlineLevel="0" collapsed="false">
      <c r="A21" s="0" t="s">
        <v>25</v>
      </c>
      <c r="B21" s="4" t="n">
        <v>0.206339105936133</v>
      </c>
      <c r="C21" s="4" t="n">
        <f aca="false">(B21-B$344)/B$345</f>
        <v>-0.508799756797791</v>
      </c>
      <c r="D21" s="4" t="n">
        <v>0.213947817538314</v>
      </c>
      <c r="E21" s="4" t="n">
        <f aca="false">(D21-D$344)/D$345</f>
        <v>-0.657349658406792</v>
      </c>
      <c r="F21" s="4" t="n">
        <v>0.213556650771811</v>
      </c>
      <c r="G21" s="4" t="n">
        <f aca="false">(F21-F$344)/F$345</f>
        <v>-0.522208065256215</v>
      </c>
      <c r="H21" s="4" t="n">
        <v>0.182573735775916</v>
      </c>
      <c r="I21" s="4" t="n">
        <f aca="false">(H21-H$344)/H$345</f>
        <v>-0.721505760805386</v>
      </c>
      <c r="J21" s="4" t="n">
        <v>0.17134979849018</v>
      </c>
      <c r="K21" s="4" t="n">
        <f aca="false">(J21-J$344)/J$345</f>
        <v>-0.630693933730757</v>
      </c>
    </row>
    <row r="22" customFormat="false" ht="14.25" hidden="false" customHeight="false" outlineLevel="0" collapsed="false">
      <c r="B22" s="4" t="n">
        <v>0.248808894229133</v>
      </c>
      <c r="C22" s="4" t="n">
        <f aca="false">(B22-B$344)/B$345</f>
        <v>-0.148561499436147</v>
      </c>
      <c r="D22" s="4" t="n">
        <v>0.241733936153279</v>
      </c>
      <c r="E22" s="4" t="n">
        <f aca="false">(D22-D$344)/D$345</f>
        <v>-0.353205500373569</v>
      </c>
      <c r="F22" s="4" t="n">
        <v>0.250468611260248</v>
      </c>
      <c r="G22" s="4" t="n">
        <f aca="false">(F22-F$344)/F$345</f>
        <v>-0.190888382339425</v>
      </c>
      <c r="H22" s="4" t="n">
        <v>0.217047713175829</v>
      </c>
      <c r="I22" s="4" t="n">
        <f aca="false">(H22-H$344)/H$345</f>
        <v>-0.455638273822605</v>
      </c>
      <c r="J22" s="4" t="n">
        <v>0.206714872828453</v>
      </c>
      <c r="K22" s="4" t="n">
        <f aca="false">(J22-J$344)/J$345</f>
        <v>-0.30736902030925</v>
      </c>
    </row>
    <row r="23" customFormat="false" ht="14.25" hidden="false" customHeight="false" outlineLevel="0" collapsed="false">
      <c r="B23" s="4" t="n">
        <v>0.264735064839007</v>
      </c>
      <c r="C23" s="4" t="n">
        <f aca="false">(B23-B$344)/B$345</f>
        <v>-0.0134721529255314</v>
      </c>
      <c r="D23" s="4" t="n">
        <v>0.252227682363122</v>
      </c>
      <c r="E23" s="4" t="n">
        <f aca="false">(D23-D$344)/D$345</f>
        <v>-0.238341972659121</v>
      </c>
      <c r="F23" s="4" t="n">
        <v>0.264073323028977</v>
      </c>
      <c r="G23" s="4" t="n">
        <f aca="false">(F23-F$344)/F$345</f>
        <v>-0.0687732540789864</v>
      </c>
      <c r="H23" s="4" t="n">
        <v>0.230061655297984</v>
      </c>
      <c r="I23" s="4" t="n">
        <f aca="false">(H23-H$344)/H$345</f>
        <v>-0.355273176763468</v>
      </c>
      <c r="J23" s="4" t="n">
        <v>0.220213977398363</v>
      </c>
      <c r="K23" s="4" t="n">
        <f aca="false">(J23-J$344)/J$345</f>
        <v>-0.183953563166817</v>
      </c>
    </row>
    <row r="24" customFormat="false" ht="14.25" hidden="false" customHeight="false" outlineLevel="0" collapsed="false">
      <c r="B24" s="4" t="n">
        <v>0.291278682522132</v>
      </c>
      <c r="C24" s="4" t="n">
        <f aca="false">(B24-B$344)/B$345</f>
        <v>0.211676757925495</v>
      </c>
      <c r="D24" s="4" t="n">
        <v>0.26979363219017</v>
      </c>
      <c r="E24" s="4" t="n">
        <f aca="false">(D24-D$344)/D$345</f>
        <v>-0.0460667904275185</v>
      </c>
      <c r="F24" s="4" t="n">
        <v>0.286485282745068</v>
      </c>
      <c r="G24" s="4" t="n">
        <f aca="false">(F24-F$344)/F$345</f>
        <v>0.132395236795552</v>
      </c>
      <c r="H24" s="4" t="n">
        <v>0.251856044407259</v>
      </c>
      <c r="I24" s="4" t="n">
        <f aca="false">(H24-H$344)/H$345</f>
        <v>-0.1871922096157</v>
      </c>
      <c r="J24" s="4" t="n">
        <v>0.243000002218587</v>
      </c>
      <c r="K24" s="4" t="n">
        <f aca="false">(J24-J$344)/J$345</f>
        <v>0.0243674891728394</v>
      </c>
    </row>
    <row r="25" customFormat="false" ht="14.25" hidden="false" customHeight="false" outlineLevel="0" collapsed="false">
      <c r="B25" s="4" t="n">
        <v>0.328439747278506</v>
      </c>
      <c r="C25" s="4" t="n">
        <f aca="false">(B25-B$344)/B$345</f>
        <v>0.526885233116932</v>
      </c>
      <c r="D25" s="4" t="n">
        <v>0.29452570580067</v>
      </c>
      <c r="E25" s="4" t="n">
        <f aca="false">(D25-D$344)/D$345</f>
        <v>0.224648087347089</v>
      </c>
      <c r="F25" s="4" t="n">
        <v>0.317355360279721</v>
      </c>
      <c r="G25" s="4" t="n">
        <f aca="false">(F25-F$344)/F$345</f>
        <v>0.409483317868951</v>
      </c>
      <c r="H25" s="4" t="n">
        <v>0.282587608862176</v>
      </c>
      <c r="I25" s="4" t="n">
        <f aca="false">(H25-H$344)/H$345</f>
        <v>0.0498133356945081</v>
      </c>
      <c r="J25" s="4" t="n">
        <v>0.275504223094685</v>
      </c>
      <c r="K25" s="4" t="n">
        <f aca="false">(J25-J$344)/J$345</f>
        <v>0.321537072363117</v>
      </c>
    </row>
    <row r="26" customFormat="false" ht="14.25" hidden="false" customHeight="false" outlineLevel="0" collapsed="false">
      <c r="B26" s="4" t="n">
        <v>0.40807060032788</v>
      </c>
      <c r="C26" s="4" t="n">
        <f aca="false">(B26-B$344)/B$345</f>
        <v>1.20233196567001</v>
      </c>
      <c r="D26" s="4" t="n">
        <v>0.347960818074929</v>
      </c>
      <c r="E26" s="4" t="n">
        <f aca="false">(D26-D$344)/D$345</f>
        <v>0.809543641032386</v>
      </c>
      <c r="F26" s="4" t="n">
        <v>0.381793914173135</v>
      </c>
      <c r="G26" s="4" t="n">
        <f aca="false">(F26-F$344)/F$345</f>
        <v>0.987880156212738</v>
      </c>
      <c r="H26" s="4" t="n">
        <v>0.34930296723745</v>
      </c>
      <c r="I26" s="4" t="n">
        <f aca="false">(H26-H$344)/H$345</f>
        <v>0.564330255765189</v>
      </c>
      <c r="J26" s="4" t="n">
        <v>0.347528141902618</v>
      </c>
      <c r="K26" s="4" t="n">
        <f aca="false">(J26-J$344)/J$345</f>
        <v>0.980015182435978</v>
      </c>
    </row>
    <row r="27" customFormat="false" ht="14.25" hidden="false" customHeight="false" outlineLevel="0" collapsed="false">
      <c r="A27" s="0" t="s">
        <v>26</v>
      </c>
      <c r="B27" s="4" t="n">
        <v>0.0614068205895771</v>
      </c>
      <c r="C27" s="4" t="n">
        <f aca="false">(B27-B$344)/B$345</f>
        <v>-1.7381478653517</v>
      </c>
      <c r="D27" s="4" t="n">
        <v>0.101570248247997</v>
      </c>
      <c r="E27" s="4" t="n">
        <f aca="false">(D27-D$344)/D$345</f>
        <v>-1.88742362689606</v>
      </c>
      <c r="F27" s="4" t="n">
        <v>0.0614068205895771</v>
      </c>
      <c r="G27" s="4" t="n">
        <f aca="false">(F27-F$344)/F$345</f>
        <v>-1.88789639025357</v>
      </c>
      <c r="H27" s="4" t="n">
        <v>0.0709347357123378</v>
      </c>
      <c r="I27" s="4" t="n">
        <f aca="false">(H27-H$344)/H$345</f>
        <v>-1.58247924384331</v>
      </c>
      <c r="J27" s="4" t="n">
        <v>0.061382612698445</v>
      </c>
      <c r="K27" s="4" t="n">
        <f aca="false">(J27-J$344)/J$345</f>
        <v>-1.63606806316784</v>
      </c>
    </row>
    <row r="28" customFormat="false" ht="14.25" hidden="false" customHeight="false" outlineLevel="0" collapsed="false">
      <c r="B28" s="4" t="n">
        <v>0.117386667274441</v>
      </c>
      <c r="C28" s="4" t="n">
        <f aca="false">(B28-B$344)/B$345</f>
        <v>-1.26331426651195</v>
      </c>
      <c r="D28" s="4" t="n">
        <v>0.150242305935923</v>
      </c>
      <c r="E28" s="4" t="n">
        <f aca="false">(D28-D$344)/D$345</f>
        <v>-1.3546640065126</v>
      </c>
      <c r="F28" s="4" t="n">
        <v>0.126324811343922</v>
      </c>
      <c r="G28" s="4" t="n">
        <f aca="false">(F28-F$344)/F$345</f>
        <v>-1.3051961535901</v>
      </c>
      <c r="H28" s="4" t="n">
        <v>0.135159125290029</v>
      </c>
      <c r="I28" s="4" t="n">
        <f aca="false">(H28-H$344)/H$345</f>
        <v>-1.08717297668578</v>
      </c>
      <c r="J28" s="4" t="n">
        <v>0.121643412474959</v>
      </c>
      <c r="K28" s="4" t="n">
        <f aca="false">(J28-J$344)/J$345</f>
        <v>-1.08513417613325</v>
      </c>
    </row>
    <row r="29" customFormat="false" ht="14.25" hidden="false" customHeight="false" outlineLevel="0" collapsed="false">
      <c r="B29" s="4" t="n">
        <v>0.163620726981609</v>
      </c>
      <c r="C29" s="4" t="n">
        <f aca="false">(B29-B$344)/B$345</f>
        <v>-0.871146615833786</v>
      </c>
      <c r="D29" s="4" t="n">
        <v>0.184901076959699</v>
      </c>
      <c r="E29" s="4" t="n">
        <f aca="false">(D29-D$344)/D$345</f>
        <v>-0.975292462125136</v>
      </c>
      <c r="F29" s="4" t="n">
        <v>0.171352578224402</v>
      </c>
      <c r="G29" s="4" t="n">
        <f aca="false">(F29-F$344)/F$345</f>
        <v>-0.901029448601201</v>
      </c>
      <c r="H29" s="4" t="n">
        <v>0.180241955343307</v>
      </c>
      <c r="I29" s="4" t="n">
        <f aca="false">(H29-H$344)/H$345</f>
        <v>-0.739488733777193</v>
      </c>
      <c r="J29" s="4" t="n">
        <v>0.165252277490784</v>
      </c>
      <c r="K29" s="4" t="n">
        <f aca="false">(J29-J$344)/J$345</f>
        <v>-0.686440471412479</v>
      </c>
    </row>
    <row r="30" customFormat="false" ht="14.25" hidden="false" customHeight="false" outlineLevel="0" collapsed="false">
      <c r="B30" s="4" t="n">
        <v>0.240117080315287</v>
      </c>
      <c r="C30" s="4" t="n">
        <f aca="false">(B30-B$344)/B$345</f>
        <v>-0.222287411984466</v>
      </c>
      <c r="D30" s="4" t="n">
        <v>0.243372362657284</v>
      </c>
      <c r="E30" s="4" t="n">
        <f aca="false">(D30-D$344)/D$345</f>
        <v>-0.335271442851359</v>
      </c>
      <c r="F30" s="4" t="n">
        <v>0.243304328572096</v>
      </c>
      <c r="G30" s="4" t="n">
        <f aca="false">(F30-F$344)/F$345</f>
        <v>-0.255194581120391</v>
      </c>
      <c r="H30" s="4" t="n">
        <v>0.256495079227621</v>
      </c>
      <c r="I30" s="4" t="n">
        <f aca="false">(H30-H$344)/H$345</f>
        <v>-0.15141541149903</v>
      </c>
      <c r="J30" s="4" t="n">
        <v>0.241305154199336</v>
      </c>
      <c r="K30" s="4" t="n">
        <f aca="false">(J30-J$344)/J$345</f>
        <v>0.00887235451412466</v>
      </c>
    </row>
    <row r="31" customFormat="false" ht="14.25" hidden="false" customHeight="false" outlineLevel="0" collapsed="false">
      <c r="B31" s="4" t="n">
        <v>0.351919442879894</v>
      </c>
      <c r="C31" s="4" t="n">
        <f aca="false">(B31-B$344)/B$345</f>
        <v>0.726045270564542</v>
      </c>
      <c r="D31" s="4" t="n">
        <v>0.330241223546163</v>
      </c>
      <c r="E31" s="4" t="n">
        <f aca="false">(D31-D$344)/D$345</f>
        <v>0.61558667880525</v>
      </c>
      <c r="F31" s="4" t="n">
        <v>0.344130033884041</v>
      </c>
      <c r="G31" s="4" t="n">
        <f aca="false">(F31-F$344)/F$345</f>
        <v>0.649811283422633</v>
      </c>
      <c r="H31" s="4" t="n">
        <v>0.371667706888853</v>
      </c>
      <c r="I31" s="4" t="n">
        <f aca="false">(H31-H$344)/H$345</f>
        <v>0.736809835338088</v>
      </c>
      <c r="J31" s="4" t="n">
        <v>0.361204625357426</v>
      </c>
      <c r="K31" s="4" t="n">
        <f aca="false">(J31-J$344)/J$345</f>
        <v>1.10505232463564</v>
      </c>
    </row>
    <row r="32" customFormat="false" ht="14.25" hidden="false" customHeight="false" outlineLevel="0" collapsed="false">
      <c r="A32" s="0" t="s">
        <v>27</v>
      </c>
      <c r="B32" s="4" t="n">
        <v>0.306790181347957</v>
      </c>
      <c r="C32" s="4" t="n">
        <f aca="false">(B32-B$344)/B$345</f>
        <v>0.343248765479006</v>
      </c>
      <c r="D32" s="4" t="n">
        <v>0.327307817172589</v>
      </c>
      <c r="E32" s="4" t="n">
        <f aca="false">(D32-D$344)/D$345</f>
        <v>0.583477897293762</v>
      </c>
      <c r="F32" s="4" t="n">
        <v>0.320658595123715</v>
      </c>
      <c r="G32" s="4" t="n">
        <f aca="false">(F32-F$344)/F$345</f>
        <v>0.439132968189058</v>
      </c>
      <c r="H32" s="4" t="n">
        <v>0.262881518350455</v>
      </c>
      <c r="I32" s="4" t="n">
        <f aca="false">(H32-H$344)/H$345</f>
        <v>-0.102162419868291</v>
      </c>
      <c r="J32" s="4" t="n">
        <v>0.239972551025448</v>
      </c>
      <c r="K32" s="4" t="n">
        <f aca="false">(J32-J$344)/J$345</f>
        <v>-0.00331095950074985</v>
      </c>
    </row>
    <row r="33" customFormat="false" ht="14.25" hidden="false" customHeight="false" outlineLevel="0" collapsed="false">
      <c r="B33" s="4" t="n">
        <v>0.483588349093174</v>
      </c>
      <c r="C33" s="4" t="n">
        <f aca="false">(B33-B$344)/B$345</f>
        <v>1.84289042636685</v>
      </c>
      <c r="D33" s="4" t="n">
        <v>0.438833117444506</v>
      </c>
      <c r="E33" s="4" t="n">
        <f aca="false">(D33-D$344)/D$345</f>
        <v>1.80422301181062</v>
      </c>
      <c r="F33" s="4" t="n">
        <v>0.470380784753392</v>
      </c>
      <c r="G33" s="4" t="n">
        <f aca="false">(F33-F$344)/F$345</f>
        <v>1.78303092801843</v>
      </c>
      <c r="H33" s="4" t="n">
        <v>0.405833834965342</v>
      </c>
      <c r="I33" s="4" t="n">
        <f aca="false">(H33-H$344)/H$345</f>
        <v>1.00030315107168</v>
      </c>
      <c r="J33" s="4" t="n">
        <v>0.380754891478883</v>
      </c>
      <c r="K33" s="4" t="n">
        <f aca="false">(J33-J$344)/J$345</f>
        <v>1.28379047857321</v>
      </c>
    </row>
    <row r="34" customFormat="false" ht="14.25" hidden="false" customHeight="false" outlineLevel="0" collapsed="false">
      <c r="B34" s="4" t="n">
        <v>0.701452813603441</v>
      </c>
      <c r="C34" s="4" t="n">
        <f aca="false">(B34-B$344)/B$345</f>
        <v>3.69086561509985</v>
      </c>
      <c r="D34" s="4" t="n">
        <v>0.51425077014726</v>
      </c>
      <c r="E34" s="4" t="n">
        <f aca="false">(D34-D$344)/D$345</f>
        <v>2.62973731987117</v>
      </c>
      <c r="F34" s="4" t="n">
        <v>0.656072725002593</v>
      </c>
      <c r="G34" s="4" t="n">
        <f aca="false">(F34-F$344)/F$345</f>
        <v>3.4497913479328</v>
      </c>
      <c r="H34" s="4" t="n">
        <v>0.60342015848059</v>
      </c>
      <c r="I34" s="4" t="n">
        <f aca="false">(H34-H$344)/H$345</f>
        <v>2.52411279699021</v>
      </c>
      <c r="J34" s="4" t="n">
        <v>0.580104013695725</v>
      </c>
      <c r="K34" s="4" t="n">
        <f aca="false">(J34-J$344)/J$345</f>
        <v>3.10633825734768</v>
      </c>
    </row>
    <row r="35" customFormat="false" ht="14.25" hidden="false" customHeight="false" outlineLevel="0" collapsed="false">
      <c r="B35" s="4" t="n">
        <v>0.701452813603441</v>
      </c>
      <c r="C35" s="4" t="n">
        <f aca="false">(B35-B$344)/B$345</f>
        <v>3.69086561509985</v>
      </c>
      <c r="D35" s="4" t="n">
        <v>0.51425077014726</v>
      </c>
      <c r="E35" s="4" t="n">
        <f aca="false">(D35-D$344)/D$345</f>
        <v>2.62973731987117</v>
      </c>
      <c r="F35" s="4" t="n">
        <v>0.656072725002593</v>
      </c>
      <c r="G35" s="4" t="n">
        <f aca="false">(F35-F$344)/F$345</f>
        <v>3.4497913479328</v>
      </c>
      <c r="H35" s="4" t="n">
        <v>0.60342015848059</v>
      </c>
      <c r="I35" s="4" t="n">
        <f aca="false">(H35-H$344)/H$345</f>
        <v>2.52411279699021</v>
      </c>
      <c r="J35" s="4" t="n">
        <v>0.580104013695725</v>
      </c>
      <c r="K35" s="4" t="n">
        <f aca="false">(J35-J$344)/J$345</f>
        <v>3.10633825734768</v>
      </c>
    </row>
    <row r="36" customFormat="false" ht="14.25" hidden="false" customHeight="false" outlineLevel="0" collapsed="false">
      <c r="B36" s="4" t="n">
        <v>0.701452813603441</v>
      </c>
      <c r="C36" s="4" t="n">
        <f aca="false">(B36-B$344)/B$345</f>
        <v>3.69086561509985</v>
      </c>
      <c r="D36" s="4" t="n">
        <v>0.51425077014726</v>
      </c>
      <c r="E36" s="4" t="n">
        <f aca="false">(D36-D$344)/D$345</f>
        <v>2.62973731987117</v>
      </c>
      <c r="F36" s="4" t="n">
        <v>0.656072725002593</v>
      </c>
      <c r="G36" s="4" t="n">
        <f aca="false">(F36-F$344)/F$345</f>
        <v>3.4497913479328</v>
      </c>
      <c r="H36" s="4" t="n">
        <v>0.60342015848059</v>
      </c>
      <c r="I36" s="4" t="n">
        <f aca="false">(H36-H$344)/H$345</f>
        <v>2.52411279699021</v>
      </c>
      <c r="J36" s="4" t="n">
        <v>0.580104013695725</v>
      </c>
      <c r="K36" s="4" t="n">
        <f aca="false">(J36-J$344)/J$345</f>
        <v>3.10633825734768</v>
      </c>
    </row>
    <row r="37" customFormat="false" ht="14.25" hidden="false" customHeight="false" outlineLevel="0" collapsed="false">
      <c r="A37" s="0" t="s">
        <v>28</v>
      </c>
      <c r="B37" s="4" t="n">
        <v>0.0521970847573939</v>
      </c>
      <c r="C37" s="4" t="n">
        <f aca="false">(B37-B$344)/B$345</f>
        <v>-1.81626690762378</v>
      </c>
      <c r="D37" s="4" t="n">
        <v>0.0898924413649216</v>
      </c>
      <c r="E37" s="4" t="n">
        <f aca="false">(D37-D$344)/D$345</f>
        <v>-2.01524776784012</v>
      </c>
      <c r="F37" s="4" t="n">
        <v>0.0521970847573939</v>
      </c>
      <c r="G37" s="4" t="n">
        <f aca="false">(F37-F$344)/F$345</f>
        <v>-1.97056246150227</v>
      </c>
      <c r="H37" s="4" t="n">
        <v>0.0718004226214465</v>
      </c>
      <c r="I37" s="4" t="n">
        <f aca="false">(H37-H$344)/H$345</f>
        <v>-1.57580296160384</v>
      </c>
      <c r="J37" s="4" t="n">
        <v>0.051614247318552</v>
      </c>
      <c r="K37" s="4" t="n">
        <f aca="false">(J37-J$344)/J$345</f>
        <v>-1.72537526666792</v>
      </c>
    </row>
    <row r="38" customFormat="false" ht="14.25" hidden="false" customHeight="false" outlineLevel="0" collapsed="false">
      <c r="B38" s="4" t="n">
        <v>0.140004492446294</v>
      </c>
      <c r="C38" s="4" t="n">
        <f aca="false">(B38-B$344)/B$345</f>
        <v>-1.07146480710314</v>
      </c>
      <c r="D38" s="4" t="n">
        <v>0.169461349415442</v>
      </c>
      <c r="E38" s="4" t="n">
        <f aca="false">(D38-D$344)/D$345</f>
        <v>-1.14429422157496</v>
      </c>
      <c r="F38" s="4" t="n">
        <v>0.14926680166141</v>
      </c>
      <c r="G38" s="4" t="n">
        <f aca="false">(F38-F$344)/F$345</f>
        <v>-1.09927013782479</v>
      </c>
      <c r="H38" s="4" t="n">
        <v>0.211083922293619</v>
      </c>
      <c r="I38" s="4" t="n">
        <f aca="false">(H38-H$344)/H$345</f>
        <v>-0.501631751057639</v>
      </c>
      <c r="J38" s="4" t="n">
        <v>0.157192502340587</v>
      </c>
      <c r="K38" s="4" t="n">
        <f aca="false">(J38-J$344)/J$345</f>
        <v>-0.760126902203151</v>
      </c>
    </row>
    <row r="39" customFormat="false" ht="14.25" hidden="false" customHeight="false" outlineLevel="0" collapsed="false">
      <c r="B39" s="4" t="n">
        <v>0.244552011032669</v>
      </c>
      <c r="C39" s="4" t="n">
        <f aca="false">(B39-B$344)/B$345</f>
        <v>-0.184669336233132</v>
      </c>
      <c r="D39" s="4" t="n">
        <v>0.252852379562243</v>
      </c>
      <c r="E39" s="4" t="n">
        <f aca="false">(D39-D$344)/D$345</f>
        <v>-0.231504097737293</v>
      </c>
      <c r="F39" s="4" t="n">
        <v>0.250462643047054</v>
      </c>
      <c r="G39" s="4" t="n">
        <f aca="false">(F39-F$344)/F$345</f>
        <v>-0.190941952685643</v>
      </c>
      <c r="H39" s="4" t="n">
        <v>0.37412457671013</v>
      </c>
      <c r="I39" s="4" t="n">
        <f aca="false">(H39-H$344)/H$345</f>
        <v>0.755757512818097</v>
      </c>
      <c r="J39" s="4" t="n">
        <v>0.279284262667626</v>
      </c>
      <c r="K39" s="4" t="n">
        <f aca="false">(J39-J$344)/J$345</f>
        <v>0.356096054367812</v>
      </c>
    </row>
    <row r="40" customFormat="false" ht="14.25" hidden="false" customHeight="false" outlineLevel="0" collapsed="false">
      <c r="B40" s="4" t="n">
        <v>0.349099529619044</v>
      </c>
      <c r="C40" s="4" t="n">
        <f aca="false">(B40-B$344)/B$345</f>
        <v>0.702126134636876</v>
      </c>
      <c r="D40" s="4" t="n">
        <v>0.337702064105617</v>
      </c>
      <c r="E40" s="4" t="n">
        <f aca="false">(D40-D$344)/D$345</f>
        <v>0.697252315579475</v>
      </c>
      <c r="F40" s="4" t="n">
        <v>0.347693166545207</v>
      </c>
      <c r="G40" s="4" t="n">
        <f aca="false">(F40-F$344)/F$345</f>
        <v>0.68179376194359</v>
      </c>
      <c r="H40" s="4" t="n">
        <v>0.56092238587098</v>
      </c>
      <c r="I40" s="4" t="n">
        <f aca="false">(H40-H$344)/H$345</f>
        <v>2.19636483002337</v>
      </c>
      <c r="J40" s="4" t="n">
        <v>0.417889528299669</v>
      </c>
      <c r="K40" s="4" t="n">
        <f aca="false">(J40-J$344)/J$345</f>
        <v>1.62329360304497</v>
      </c>
    </row>
    <row r="41" customFormat="false" ht="14.25" hidden="false" customHeight="false" outlineLevel="0" collapsed="false">
      <c r="B41" s="4" t="n">
        <v>0.427510168558826</v>
      </c>
      <c r="C41" s="4" t="n">
        <f aca="false">(B41-B$344)/B$345</f>
        <v>1.36722273778938</v>
      </c>
      <c r="D41" s="4" t="n">
        <v>0.401847999964115</v>
      </c>
      <c r="E41" s="4" t="n">
        <f aca="false">(D41-D$344)/D$345</f>
        <v>1.39938750485446</v>
      </c>
      <c r="F41" s="4" t="n">
        <v>0.418716232717818</v>
      </c>
      <c r="G41" s="4" t="n">
        <f aca="false">(F41-F$344)/F$345</f>
        <v>1.31929281246028</v>
      </c>
      <c r="H41" s="4" t="n">
        <v>0.71661137554259</v>
      </c>
      <c r="I41" s="4" t="n">
        <f aca="false">(H41-H$344)/H$345</f>
        <v>3.39705716542482</v>
      </c>
      <c r="J41" s="4" t="n">
        <v>0.535910460178676</v>
      </c>
      <c r="K41" s="4" t="n">
        <f aca="false">(J41-J$344)/J$345</f>
        <v>2.70229904261246</v>
      </c>
    </row>
    <row r="42" customFormat="false" ht="14.25" hidden="false" customHeight="false" outlineLevel="0" collapsed="false">
      <c r="B42" s="4" t="n">
        <v>0.513242014055723</v>
      </c>
      <c r="C42" s="4" t="n">
        <f aca="false">(B42-B$344)/B$345</f>
        <v>2.09441945487993</v>
      </c>
      <c r="D42" s="4" t="n">
        <v>0.456105559431892</v>
      </c>
      <c r="E42" s="4" t="n">
        <f aca="false">(D42-D$344)/D$345</f>
        <v>1.99328548571088</v>
      </c>
      <c r="F42" s="4" t="n">
        <v>0.499391431416252</v>
      </c>
      <c r="G42" s="4" t="n">
        <f aca="false">(F42-F$344)/F$345</f>
        <v>2.04342886208538</v>
      </c>
      <c r="H42" s="4" t="n">
        <v>0.913441792866073</v>
      </c>
      <c r="I42" s="4" t="n">
        <f aca="false">(H42-H$344)/H$345</f>
        <v>4.91503717128565</v>
      </c>
      <c r="J42" s="4" t="n">
        <v>0.676813733906936</v>
      </c>
      <c r="K42" s="4" t="n">
        <f aca="false">(J42-J$344)/J$345</f>
        <v>3.99050611219841</v>
      </c>
    </row>
    <row r="43" customFormat="false" ht="14.25" hidden="false" customHeight="false" outlineLevel="0" collapsed="false">
      <c r="A43" s="0" t="s">
        <v>29</v>
      </c>
      <c r="B43" s="4" t="n">
        <v>0.128628278366832</v>
      </c>
      <c r="C43" s="4" t="n">
        <f aca="false">(B43-B$344)/B$345</f>
        <v>-1.16796040315097</v>
      </c>
      <c r="D43" s="4" t="n">
        <v>0.212644348091411</v>
      </c>
      <c r="E43" s="4" t="n">
        <f aca="false">(D43-D$344)/D$345</f>
        <v>-0.671617308485739</v>
      </c>
      <c r="F43" s="4" t="n">
        <v>0.155473804275794</v>
      </c>
      <c r="G43" s="4" t="n">
        <f aca="false">(F43-F$344)/F$345</f>
        <v>-1.04355643118747</v>
      </c>
      <c r="H43" s="4" t="n">
        <v>0.12691956329147</v>
      </c>
      <c r="I43" s="4" t="n">
        <f aca="false">(H43-H$344)/H$345</f>
        <v>-1.15071747626537</v>
      </c>
      <c r="J43" s="4" t="n">
        <v>0.109714466684105</v>
      </c>
      <c r="K43" s="4" t="n">
        <f aca="false">(J43-J$344)/J$345</f>
        <v>-1.19419446901276</v>
      </c>
    </row>
    <row r="44" customFormat="false" ht="14.25" hidden="false" customHeight="false" outlineLevel="0" collapsed="false">
      <c r="B44" s="4" t="n">
        <v>0.210879559478227</v>
      </c>
      <c r="C44" s="4" t="n">
        <f aca="false">(B44-B$344)/B$345</f>
        <v>-0.470286612810565</v>
      </c>
      <c r="D44" s="4" t="n">
        <v>0.263208368328035</v>
      </c>
      <c r="E44" s="4" t="n">
        <f aca="false">(D44-D$344)/D$345</f>
        <v>-0.118148449637635</v>
      </c>
      <c r="F44" s="4" t="n">
        <v>0.232814758786768</v>
      </c>
      <c r="G44" s="4" t="n">
        <f aca="false">(F44-F$344)/F$345</f>
        <v>-0.349348370006719</v>
      </c>
      <c r="H44" s="4" t="n">
        <v>0.191098577231554</v>
      </c>
      <c r="I44" s="4" t="n">
        <f aca="false">(H44-H$344)/H$345</f>
        <v>-0.655761151518068</v>
      </c>
      <c r="J44" s="4" t="n">
        <v>0.170997543398027</v>
      </c>
      <c r="K44" s="4" t="n">
        <f aca="false">(J44-J$344)/J$345</f>
        <v>-0.633914423134598</v>
      </c>
    </row>
    <row r="45" customFormat="false" ht="14.25" hidden="false" customHeight="false" outlineLevel="0" collapsed="false">
      <c r="B45" s="4" t="n">
        <v>0.294316499415245</v>
      </c>
      <c r="C45" s="4" t="n">
        <f aca="false">(B45-B$344)/B$345</f>
        <v>0.237444201271548</v>
      </c>
      <c r="D45" s="4" t="n">
        <v>0.31523014425319</v>
      </c>
      <c r="E45" s="4" t="n">
        <f aca="false">(D45-D$344)/D$345</f>
        <v>0.451276861518551</v>
      </c>
      <c r="F45" s="4" t="n">
        <v>0.307888689396376</v>
      </c>
      <c r="G45" s="4" t="n">
        <f aca="false">(F45-F$344)/F$345</f>
        <v>0.324511012040591</v>
      </c>
      <c r="H45" s="4" t="n">
        <v>0.2578670110121</v>
      </c>
      <c r="I45" s="4" t="n">
        <f aca="false">(H45-H$344)/H$345</f>
        <v>-0.140834907496842</v>
      </c>
      <c r="J45" s="4" t="n">
        <v>0.235606152292124</v>
      </c>
      <c r="K45" s="4" t="n">
        <f aca="false">(J45-J$344)/J$345</f>
        <v>-0.0432307255080879</v>
      </c>
    </row>
    <row r="46" customFormat="false" ht="14.25" hidden="false" customHeight="false" outlineLevel="0" collapsed="false">
      <c r="B46" s="4" t="n">
        <v>0.461190379289281</v>
      </c>
      <c r="C46" s="4" t="n">
        <f aca="false">(B46-B$344)/B$345</f>
        <v>1.65290582943578</v>
      </c>
      <c r="D46" s="4" t="n">
        <v>0.422002047197835</v>
      </c>
      <c r="E46" s="4" t="n">
        <f aca="false">(D46-D$344)/D$345</f>
        <v>1.61999175015414</v>
      </c>
      <c r="F46" s="4" t="n">
        <v>0.450233347394978</v>
      </c>
      <c r="G46" s="4" t="n">
        <f aca="false">(F46-F$344)/F$345</f>
        <v>1.60218866256177</v>
      </c>
      <c r="H46" s="4" t="n">
        <v>0.395311093251235</v>
      </c>
      <c r="I46" s="4" t="n">
        <f aca="false">(H46-H$344)/H$345</f>
        <v>0.919150493133642</v>
      </c>
      <c r="J46" s="4" t="n">
        <v>0.370938921777491</v>
      </c>
      <c r="K46" s="4" t="n">
        <f aca="false">(J46-J$344)/J$345</f>
        <v>1.194048052939</v>
      </c>
    </row>
    <row r="47" customFormat="false" ht="14.25" hidden="false" customHeight="false" outlineLevel="0" collapsed="false">
      <c r="B47" s="4" t="n">
        <v>0.676790910654505</v>
      </c>
      <c r="C47" s="4" t="n">
        <f aca="false">(B47-B$344)/B$345</f>
        <v>3.48167783012068</v>
      </c>
      <c r="D47" s="4" t="n">
        <v>0.502945662568176</v>
      </c>
      <c r="E47" s="4" t="n">
        <f aca="false">(D47-D$344)/D$345</f>
        <v>2.50599270934239</v>
      </c>
      <c r="F47" s="4" t="n">
        <v>0.634648674302044</v>
      </c>
      <c r="G47" s="4" t="n">
        <f aca="false">(F47-F$344)/F$345</f>
        <v>3.25749027286195</v>
      </c>
      <c r="H47" s="4" t="n">
        <v>0.594003328595022</v>
      </c>
      <c r="I47" s="4" t="n">
        <f aca="false">(H47-H$344)/H$345</f>
        <v>2.45148906495091</v>
      </c>
      <c r="J47" s="4" t="n">
        <v>0.571563729153564</v>
      </c>
      <c r="K47" s="4" t="n">
        <f aca="false">(J47-J$344)/J$345</f>
        <v>3.02825877322792</v>
      </c>
    </row>
    <row r="48" customFormat="false" ht="14.25" hidden="false" customHeight="false" outlineLevel="0" collapsed="false">
      <c r="A48" s="0" t="s">
        <v>30</v>
      </c>
      <c r="B48" s="4" t="n">
        <v>0.128628278366832</v>
      </c>
      <c r="C48" s="4" t="n">
        <f aca="false">(B48-B$344)/B$345</f>
        <v>-1.16796040315097</v>
      </c>
      <c r="D48" s="4" t="n">
        <v>0.212644348091411</v>
      </c>
      <c r="E48" s="4" t="n">
        <f aca="false">(D48-D$344)/D$345</f>
        <v>-0.671617308485739</v>
      </c>
      <c r="F48" s="4" t="n">
        <v>0.155473804275794</v>
      </c>
      <c r="G48" s="4" t="n">
        <f aca="false">(F48-F$344)/F$345</f>
        <v>-1.04355643118747</v>
      </c>
      <c r="H48" s="4" t="n">
        <v>0.12691956329147</v>
      </c>
      <c r="I48" s="4" t="n">
        <f aca="false">(H48-H$344)/H$345</f>
        <v>-1.15071747626537</v>
      </c>
      <c r="J48" s="4" t="n">
        <v>0.109714466684105</v>
      </c>
      <c r="K48" s="4" t="n">
        <f aca="false">(J48-J$344)/J$345</f>
        <v>-1.19419446901276</v>
      </c>
    </row>
    <row r="49" customFormat="false" ht="14.25" hidden="false" customHeight="false" outlineLevel="0" collapsed="false">
      <c r="B49" s="4" t="n">
        <v>0.294316499415245</v>
      </c>
      <c r="C49" s="4" t="n">
        <f aca="false">(B49-B$344)/B$345</f>
        <v>0.237444201271548</v>
      </c>
      <c r="D49" s="4" t="n">
        <v>0.31523014425319</v>
      </c>
      <c r="E49" s="4" t="n">
        <f aca="false">(D49-D$344)/D$345</f>
        <v>0.451276861518551</v>
      </c>
      <c r="F49" s="4" t="n">
        <v>0.307888689396376</v>
      </c>
      <c r="G49" s="4" t="n">
        <f aca="false">(F49-F$344)/F$345</f>
        <v>0.324511012040591</v>
      </c>
      <c r="H49" s="4" t="n">
        <v>0.2578670110121</v>
      </c>
      <c r="I49" s="4" t="n">
        <f aca="false">(H49-H$344)/H$345</f>
        <v>-0.140834907496842</v>
      </c>
      <c r="J49" s="4" t="n">
        <v>0.235606152292124</v>
      </c>
      <c r="K49" s="4" t="n">
        <f aca="false">(J49-J$344)/J$345</f>
        <v>-0.0432307255080879</v>
      </c>
    </row>
    <row r="50" customFormat="false" ht="14.25" hidden="false" customHeight="false" outlineLevel="0" collapsed="false">
      <c r="B50" s="4" t="n">
        <v>0.461190379289281</v>
      </c>
      <c r="C50" s="4" t="n">
        <f aca="false">(B50-B$344)/B$345</f>
        <v>1.65290582943578</v>
      </c>
      <c r="D50" s="4" t="n">
        <v>0.422002047197835</v>
      </c>
      <c r="E50" s="4" t="n">
        <f aca="false">(D50-D$344)/D$345</f>
        <v>1.61999175015414</v>
      </c>
      <c r="F50" s="4" t="n">
        <v>0.450233347394978</v>
      </c>
      <c r="G50" s="4" t="n">
        <f aca="false">(F50-F$344)/F$345</f>
        <v>1.60218866256177</v>
      </c>
      <c r="H50" s="4" t="n">
        <v>0.395311093251235</v>
      </c>
      <c r="I50" s="4" t="n">
        <f aca="false">(H50-H$344)/H$345</f>
        <v>0.919150493133642</v>
      </c>
      <c r="J50" s="4" t="n">
        <v>0.370938921777491</v>
      </c>
      <c r="K50" s="4" t="n">
        <f aca="false">(J50-J$344)/J$345</f>
        <v>1.194048052939</v>
      </c>
    </row>
    <row r="51" customFormat="false" ht="14.25" hidden="false" customHeight="false" outlineLevel="0" collapsed="false">
      <c r="B51" s="4" t="n">
        <v>0.676790910654505</v>
      </c>
      <c r="C51" s="4" t="n">
        <f aca="false">(B51-B$344)/B$345</f>
        <v>3.48167783012068</v>
      </c>
      <c r="D51" s="4" t="n">
        <v>0.502945662568176</v>
      </c>
      <c r="E51" s="4" t="n">
        <f aca="false">(D51-D$344)/D$345</f>
        <v>2.50599270934239</v>
      </c>
      <c r="F51" s="4" t="n">
        <v>0.634648674302044</v>
      </c>
      <c r="G51" s="4" t="n">
        <f aca="false">(F51-F$344)/F$345</f>
        <v>3.25749027286195</v>
      </c>
      <c r="H51" s="4" t="n">
        <v>0.594003328595022</v>
      </c>
      <c r="I51" s="4" t="n">
        <f aca="false">(H51-H$344)/H$345</f>
        <v>2.45148906495091</v>
      </c>
      <c r="J51" s="4" t="n">
        <v>0.571563729153564</v>
      </c>
      <c r="K51" s="4" t="n">
        <f aca="false">(J51-J$344)/J$345</f>
        <v>3.02825877322792</v>
      </c>
    </row>
    <row r="52" customFormat="false" ht="14.25" hidden="false" customHeight="false" outlineLevel="0" collapsed="false">
      <c r="A52" s="0" t="s">
        <v>31</v>
      </c>
      <c r="B52" s="4" t="n">
        <v>0.337329961020365</v>
      </c>
      <c r="C52" s="4" t="n">
        <f aca="false">(B52-B$344)/B$345</f>
        <v>0.60229401744722</v>
      </c>
      <c r="D52" s="4" t="n">
        <v>0.45926972621923</v>
      </c>
      <c r="E52" s="4" t="n">
        <f aca="false">(D52-D$344)/D$345</f>
        <v>2.02792014831876</v>
      </c>
      <c r="F52" s="4" t="n">
        <v>0.390154776912632</v>
      </c>
      <c r="G52" s="4" t="n">
        <f aca="false">(F52-F$344)/F$345</f>
        <v>1.06292679028758</v>
      </c>
      <c r="H52" s="4" t="n">
        <v>0.268563275090532</v>
      </c>
      <c r="I52" s="4" t="n">
        <f aca="false">(H52-H$344)/H$345</f>
        <v>-0.058344024079252</v>
      </c>
      <c r="J52" s="4" t="n">
        <v>0.250754757974431</v>
      </c>
      <c r="K52" s="4" t="n">
        <f aca="false">(J52-J$344)/J$345</f>
        <v>0.0952652825545268</v>
      </c>
    </row>
    <row r="53" customFormat="false" ht="14.25" hidden="false" customHeight="false" outlineLevel="0" collapsed="false">
      <c r="B53" s="4" t="n">
        <v>0.512087718894221</v>
      </c>
      <c r="C53" s="4" t="n">
        <f aca="false">(B53-B$344)/B$345</f>
        <v>2.08462846476263</v>
      </c>
      <c r="D53" s="4" t="n">
        <v>0.573472084994304</v>
      </c>
      <c r="E53" s="4" t="n">
        <f aca="false">(D53-D$344)/D$345</f>
        <v>3.27796808543314</v>
      </c>
      <c r="F53" s="4" t="n">
        <v>0.547403733284632</v>
      </c>
      <c r="G53" s="4" t="n">
        <f aca="false">(F53-F$344)/F$345</f>
        <v>2.4743845853968</v>
      </c>
      <c r="H53" s="4" t="n">
        <v>0.367073756326494</v>
      </c>
      <c r="I53" s="4" t="n">
        <f aca="false">(H53-H$344)/H$345</f>
        <v>0.701380732476846</v>
      </c>
      <c r="J53" s="4" t="n">
        <v>0.350598008116056</v>
      </c>
      <c r="K53" s="4" t="n">
        <f aca="false">(J53-J$344)/J$345</f>
        <v>1.00808141009838</v>
      </c>
    </row>
    <row r="54" customFormat="false" ht="14.25" hidden="false" customHeight="false" outlineLevel="0" collapsed="false">
      <c r="A54" s="0" t="s">
        <v>32</v>
      </c>
      <c r="B54" s="4" t="n">
        <v>0.208248294659241</v>
      </c>
      <c r="C54" s="4" t="n">
        <f aca="false">(B54-B$344)/B$345</f>
        <v>-0.492605590397854</v>
      </c>
      <c r="D54" s="4" t="n">
        <v>0.341152841716</v>
      </c>
      <c r="E54" s="4" t="n">
        <f aca="false">(D54-D$344)/D$345</f>
        <v>0.735024192444084</v>
      </c>
      <c r="F54" s="4" t="n">
        <v>0.257729596835393</v>
      </c>
      <c r="G54" s="4" t="n">
        <f aca="false">(F54-F$344)/F$345</f>
        <v>-0.12571418387944</v>
      </c>
      <c r="H54" s="4" t="n">
        <v>0.206685401726936</v>
      </c>
      <c r="I54" s="4" t="n">
        <f aca="false">(H54-H$344)/H$345</f>
        <v>-0.535553674134291</v>
      </c>
      <c r="J54" s="4" t="n">
        <v>0.189957038952</v>
      </c>
      <c r="K54" s="4" t="n">
        <f aca="false">(J54-J$344)/J$345</f>
        <v>-0.46057738445433</v>
      </c>
    </row>
    <row r="55" customFormat="false" ht="14.25" hidden="false" customHeight="false" outlineLevel="0" collapsed="false">
      <c r="B55" s="4" t="n">
        <v>0.325387960405064</v>
      </c>
      <c r="C55" s="4" t="n">
        <f aca="false">(B55-B$344)/B$345</f>
        <v>0.500999293268511</v>
      </c>
      <c r="D55" s="4" t="n">
        <v>0.446951195300323</v>
      </c>
      <c r="E55" s="4" t="n">
        <f aca="false">(D55-D$344)/D$345</f>
        <v>1.89308270425345</v>
      </c>
      <c r="F55" s="4" t="n">
        <v>0.377775671759693</v>
      </c>
      <c r="G55" s="4" t="n">
        <f aca="false">(F55-F$344)/F$345</f>
        <v>0.951812638132203</v>
      </c>
      <c r="H55" s="4" t="n">
        <v>0.26192842472274</v>
      </c>
      <c r="I55" s="4" t="n">
        <f aca="false">(H55-H$344)/H$345</f>
        <v>-0.109512793302726</v>
      </c>
      <c r="J55" s="4" t="n">
        <v>0.244113683542718</v>
      </c>
      <c r="K55" s="4" t="n">
        <f aca="false">(J55-J$344)/J$345</f>
        <v>0.0345493119016554</v>
      </c>
    </row>
    <row r="56" customFormat="false" ht="14.25" hidden="false" customHeight="false" outlineLevel="0" collapsed="false">
      <c r="B56" s="4" t="n">
        <v>0.491638007513166</v>
      </c>
      <c r="C56" s="4" t="n">
        <f aca="false">(B56-B$344)/B$345</f>
        <v>1.91116943217608</v>
      </c>
      <c r="D56" s="4" t="n">
        <v>0.558108313744532</v>
      </c>
      <c r="E56" s="4" t="n">
        <f aca="false">(D56-D$344)/D$345</f>
        <v>3.10979773621207</v>
      </c>
      <c r="F56" s="4" t="n">
        <v>0.528288363347257</v>
      </c>
      <c r="G56" s="4" t="n">
        <f aca="false">(F56-F$344)/F$345</f>
        <v>2.30280609910989</v>
      </c>
      <c r="H56" s="4" t="n">
        <v>0.353301112765056</v>
      </c>
      <c r="I56" s="4" t="n">
        <f aca="false">(H56-H$344)/H$345</f>
        <v>0.595164438072763</v>
      </c>
      <c r="J56" s="4" t="n">
        <v>0.336662338634047</v>
      </c>
      <c r="K56" s="4" t="n">
        <f aca="false">(J56-J$344)/J$345</f>
        <v>0.880674661687694</v>
      </c>
    </row>
    <row r="57" customFormat="false" ht="14.25" hidden="false" customHeight="false" outlineLevel="0" collapsed="false">
      <c r="A57" s="0" t="s">
        <v>33</v>
      </c>
      <c r="B57" s="4" t="n">
        <v>0.208248294659241</v>
      </c>
      <c r="C57" s="4" t="n">
        <f aca="false">(B57-B$344)/B$345</f>
        <v>-0.492605590397854</v>
      </c>
      <c r="D57" s="4" t="n">
        <v>0.341152841716</v>
      </c>
      <c r="E57" s="4" t="n">
        <f aca="false">(D57-D$344)/D$345</f>
        <v>0.735024192444084</v>
      </c>
      <c r="F57" s="4" t="n">
        <v>0.257729596835393</v>
      </c>
      <c r="G57" s="4" t="n">
        <f aca="false">(F57-F$344)/F$345</f>
        <v>-0.12571418387944</v>
      </c>
      <c r="H57" s="4" t="n">
        <v>0.206685401726936</v>
      </c>
      <c r="I57" s="4" t="n">
        <f aca="false">(H57-H$344)/H$345</f>
        <v>-0.535553674134291</v>
      </c>
      <c r="J57" s="4" t="n">
        <v>0.189957038952</v>
      </c>
      <c r="K57" s="4" t="n">
        <f aca="false">(J57-J$344)/J$345</f>
        <v>-0.46057738445433</v>
      </c>
    </row>
    <row r="58" customFormat="false" ht="14.25" hidden="false" customHeight="false" outlineLevel="0" collapsed="false">
      <c r="B58" s="4" t="n">
        <v>0.325387960405064</v>
      </c>
      <c r="C58" s="4" t="n">
        <f aca="false">(B58-B$344)/B$345</f>
        <v>0.500999293268511</v>
      </c>
      <c r="D58" s="4" t="n">
        <v>0.446951195300323</v>
      </c>
      <c r="E58" s="4" t="n">
        <f aca="false">(D58-D$344)/D$345</f>
        <v>1.89308270425345</v>
      </c>
      <c r="F58" s="4" t="n">
        <v>0.377775671759693</v>
      </c>
      <c r="G58" s="4" t="n">
        <f aca="false">(F58-F$344)/F$345</f>
        <v>0.951812638132203</v>
      </c>
      <c r="H58" s="4" t="n">
        <v>0.26192842472274</v>
      </c>
      <c r="I58" s="4" t="n">
        <f aca="false">(H58-H$344)/H$345</f>
        <v>-0.109512793302726</v>
      </c>
      <c r="J58" s="4" t="n">
        <v>0.244113683542718</v>
      </c>
      <c r="K58" s="4" t="n">
        <f aca="false">(J58-J$344)/J$345</f>
        <v>0.0345493119016554</v>
      </c>
    </row>
    <row r="59" customFormat="false" ht="14.25" hidden="false" customHeight="false" outlineLevel="0" collapsed="false">
      <c r="B59" s="4" t="n">
        <v>0.491638007513166</v>
      </c>
      <c r="C59" s="4" t="n">
        <f aca="false">(B59-B$344)/B$345</f>
        <v>1.91116943217608</v>
      </c>
      <c r="D59" s="4" t="n">
        <v>0.558108313744532</v>
      </c>
      <c r="E59" s="4" t="n">
        <f aca="false">(D59-D$344)/D$345</f>
        <v>3.10979773621207</v>
      </c>
      <c r="F59" s="4" t="n">
        <v>0.528288363347257</v>
      </c>
      <c r="G59" s="4" t="n">
        <f aca="false">(F59-F$344)/F$345</f>
        <v>2.30280609910989</v>
      </c>
      <c r="H59" s="4" t="n">
        <v>0.353301112765056</v>
      </c>
      <c r="I59" s="4" t="n">
        <f aca="false">(H59-H$344)/H$345</f>
        <v>0.595164438072763</v>
      </c>
      <c r="J59" s="4" t="n">
        <v>0.336662338634047</v>
      </c>
      <c r="K59" s="4" t="n">
        <f aca="false">(J59-J$344)/J$345</f>
        <v>0.880674661687694</v>
      </c>
    </row>
    <row r="60" customFormat="false" ht="14.25" hidden="false" customHeight="false" outlineLevel="0" collapsed="false">
      <c r="A60" s="0" t="s">
        <v>34</v>
      </c>
      <c r="B60" s="4" t="n">
        <v>0.159796607353437</v>
      </c>
      <c r="C60" s="4" t="n">
        <f aca="false">(B60-B$344)/B$345</f>
        <v>-0.90358365510724</v>
      </c>
      <c r="D60" s="4" t="n">
        <v>0.181037523189447</v>
      </c>
      <c r="E60" s="4" t="n">
        <f aca="false">(D60-D$344)/D$345</f>
        <v>-1.01758254678044</v>
      </c>
      <c r="F60" s="4" t="n">
        <v>0.167708229366573</v>
      </c>
      <c r="G60" s="4" t="n">
        <f aca="false">(F60-F$344)/F$345</f>
        <v>-0.933740919139114</v>
      </c>
      <c r="H60" s="4" t="n">
        <v>0.2456987624123</v>
      </c>
      <c r="I60" s="4" t="n">
        <f aca="false">(H60-H$344)/H$345</f>
        <v>-0.234677913735474</v>
      </c>
      <c r="J60" s="4" t="n">
        <v>0.181748553794826</v>
      </c>
      <c r="K60" s="4" t="n">
        <f aca="false">(J60-J$344)/J$345</f>
        <v>-0.535623395311795</v>
      </c>
    </row>
    <row r="61" customFormat="false" ht="14.25" hidden="false" customHeight="false" outlineLevel="0" collapsed="false">
      <c r="B61" s="4" t="n">
        <v>0.281880691491014</v>
      </c>
      <c r="C61" s="4" t="n">
        <f aca="false">(B61-B$344)/B$345</f>
        <v>0.131960892887658</v>
      </c>
      <c r="D61" s="4" t="n">
        <v>0.280665441548327</v>
      </c>
      <c r="E61" s="4" t="n">
        <f aca="false">(D61-D$344)/D$345</f>
        <v>0.072934979821657</v>
      </c>
      <c r="F61" s="4" t="n">
        <v>0.284492847479409</v>
      </c>
      <c r="G61" s="4" t="n">
        <f aca="false">(F61-F$344)/F$345</f>
        <v>0.11451124982452</v>
      </c>
      <c r="H61" s="4" t="n">
        <v>0.454026544280083</v>
      </c>
      <c r="I61" s="4" t="n">
        <f aca="false">(H61-H$344)/H$345</f>
        <v>1.37197115931357</v>
      </c>
      <c r="J61" s="4" t="n">
        <v>0.335635411128368</v>
      </c>
      <c r="K61" s="4" t="n">
        <f aca="false">(J61-J$344)/J$345</f>
        <v>0.871285985060356</v>
      </c>
    </row>
    <row r="62" customFormat="false" ht="14.25" hidden="false" customHeight="false" outlineLevel="0" collapsed="false">
      <c r="B62" s="4" t="n">
        <v>0.403964775628591</v>
      </c>
      <c r="C62" s="4" t="n">
        <f aca="false">(B62-B$344)/B$345</f>
        <v>1.16750544088256</v>
      </c>
      <c r="D62" s="4" t="n">
        <v>0.381722085656467</v>
      </c>
      <c r="E62" s="4" t="n">
        <f aca="false">(D62-D$344)/D$345</f>
        <v>1.1790911998336</v>
      </c>
      <c r="F62" s="4" t="n">
        <v>0.396659197893507</v>
      </c>
      <c r="G62" s="4" t="n">
        <f aca="false">(F62-F$344)/F$345</f>
        <v>1.12131010746783</v>
      </c>
      <c r="H62" s="4" t="n">
        <v>0.698716342483166</v>
      </c>
      <c r="I62" s="4" t="n">
        <f aca="false">(H62-H$344)/H$345</f>
        <v>3.25904850417314</v>
      </c>
      <c r="J62" s="4" t="n">
        <v>0.517621333591178</v>
      </c>
      <c r="K62" s="4" t="n">
        <f aca="false">(J62-J$344)/J$345</f>
        <v>2.53509084692493</v>
      </c>
    </row>
    <row r="63" customFormat="false" ht="14.25" hidden="false" customHeight="false" outlineLevel="0" collapsed="false">
      <c r="B63" s="4" t="n">
        <v>0.49024229779742</v>
      </c>
      <c r="C63" s="4" t="n">
        <f aca="false">(B63-B$344)/B$345</f>
        <v>1.8993307097338</v>
      </c>
      <c r="D63" s="4" t="n">
        <v>0.43961936124439</v>
      </c>
      <c r="E63" s="4" t="n">
        <f aca="false">(D63-D$344)/D$345</f>
        <v>1.81282916014815</v>
      </c>
      <c r="F63" s="4" t="n">
        <v>0.477970672426251</v>
      </c>
      <c r="G63" s="4" t="n">
        <f aca="false">(F63-F$344)/F$345</f>
        <v>1.85115733322341</v>
      </c>
      <c r="H63" s="4" t="n">
        <v>0.904062726912271</v>
      </c>
      <c r="I63" s="4" t="n">
        <f aca="false">(H63-H$344)/H$345</f>
        <v>4.84270467925967</v>
      </c>
      <c r="J63" s="4" t="n">
        <v>0.661140623302812</v>
      </c>
      <c r="K63" s="4" t="n">
        <f aca="false">(J63-J$344)/J$345</f>
        <v>3.84721482202177</v>
      </c>
    </row>
    <row r="64" customFormat="false" ht="14.25" hidden="false" customHeight="false" outlineLevel="0" collapsed="false">
      <c r="A64" s="0" t="s">
        <v>35</v>
      </c>
      <c r="B64" s="4" t="n">
        <v>0.159796607353437</v>
      </c>
      <c r="C64" s="4" t="n">
        <f aca="false">(B64-B$344)/B$345</f>
        <v>-0.90358365510724</v>
      </c>
      <c r="D64" s="4" t="n">
        <v>0.181037523189447</v>
      </c>
      <c r="E64" s="4" t="n">
        <f aca="false">(D64-D$344)/D$345</f>
        <v>-1.01758254678044</v>
      </c>
      <c r="F64" s="4" t="n">
        <v>0.167708229366573</v>
      </c>
      <c r="G64" s="4" t="n">
        <f aca="false">(F64-F$344)/F$345</f>
        <v>-0.933740919139114</v>
      </c>
      <c r="H64" s="4" t="n">
        <v>0.2456987624123</v>
      </c>
      <c r="I64" s="4" t="n">
        <f aca="false">(H64-H$344)/H$345</f>
        <v>-0.234677913735474</v>
      </c>
      <c r="J64" s="4" t="n">
        <v>0.181748553794826</v>
      </c>
      <c r="K64" s="4" t="n">
        <f aca="false">(J64-J$344)/J$345</f>
        <v>-0.535623395311795</v>
      </c>
    </row>
    <row r="65" customFormat="false" ht="14.25" hidden="false" customHeight="false" outlineLevel="0" collapsed="false">
      <c r="B65" s="4" t="n">
        <v>0.281880691491014</v>
      </c>
      <c r="C65" s="4" t="n">
        <f aca="false">(B65-B$344)/B$345</f>
        <v>0.131960892887658</v>
      </c>
      <c r="D65" s="4" t="n">
        <v>0.280665441548327</v>
      </c>
      <c r="E65" s="4" t="n">
        <f aca="false">(D65-D$344)/D$345</f>
        <v>0.072934979821657</v>
      </c>
      <c r="F65" s="4" t="n">
        <v>0.284492847479409</v>
      </c>
      <c r="G65" s="4" t="n">
        <f aca="false">(F65-F$344)/F$345</f>
        <v>0.11451124982452</v>
      </c>
      <c r="H65" s="4" t="n">
        <v>0.454026544280083</v>
      </c>
      <c r="I65" s="4" t="n">
        <f aca="false">(H65-H$344)/H$345</f>
        <v>1.37197115931357</v>
      </c>
      <c r="J65" s="4" t="n">
        <v>0.335635411128368</v>
      </c>
      <c r="K65" s="4" t="n">
        <f aca="false">(J65-J$344)/J$345</f>
        <v>0.871285985060356</v>
      </c>
    </row>
    <row r="66" customFormat="false" ht="14.25" hidden="false" customHeight="false" outlineLevel="0" collapsed="false">
      <c r="B66" s="4" t="n">
        <v>0.403964775628591</v>
      </c>
      <c r="C66" s="4" t="n">
        <f aca="false">(B66-B$344)/B$345</f>
        <v>1.16750544088256</v>
      </c>
      <c r="D66" s="4" t="n">
        <v>0.381722085656467</v>
      </c>
      <c r="E66" s="4" t="n">
        <f aca="false">(D66-D$344)/D$345</f>
        <v>1.1790911998336</v>
      </c>
      <c r="F66" s="4" t="n">
        <v>0.396659197893507</v>
      </c>
      <c r="G66" s="4" t="n">
        <f aca="false">(F66-F$344)/F$345</f>
        <v>1.12131010746783</v>
      </c>
      <c r="H66" s="4" t="n">
        <v>0.698716342483166</v>
      </c>
      <c r="I66" s="4" t="n">
        <f aca="false">(H66-H$344)/H$345</f>
        <v>3.25904850417314</v>
      </c>
      <c r="J66" s="4" t="n">
        <v>0.517621333591178</v>
      </c>
      <c r="K66" s="4" t="n">
        <f aca="false">(J66-J$344)/J$345</f>
        <v>2.53509084692493</v>
      </c>
    </row>
    <row r="67" customFormat="false" ht="14.25" hidden="false" customHeight="false" outlineLevel="0" collapsed="false">
      <c r="B67" s="4" t="n">
        <v>0.49024229779742</v>
      </c>
      <c r="C67" s="4" t="n">
        <f aca="false">(B67-B$344)/B$345</f>
        <v>1.8993307097338</v>
      </c>
      <c r="D67" s="4" t="n">
        <v>0.43961936124439</v>
      </c>
      <c r="E67" s="4" t="n">
        <f aca="false">(D67-D$344)/D$345</f>
        <v>1.81282916014815</v>
      </c>
      <c r="F67" s="4" t="n">
        <v>0.477970672426251</v>
      </c>
      <c r="G67" s="4" t="n">
        <f aca="false">(F67-F$344)/F$345</f>
        <v>1.85115733322341</v>
      </c>
      <c r="H67" s="4" t="n">
        <v>0.904062726912271</v>
      </c>
      <c r="I67" s="4" t="n">
        <f aca="false">(H67-H$344)/H$345</f>
        <v>4.84270467925967</v>
      </c>
      <c r="J67" s="4" t="n">
        <v>0.661140623302812</v>
      </c>
      <c r="K67" s="4" t="n">
        <f aca="false">(J67-J$344)/J$345</f>
        <v>3.84721482202177</v>
      </c>
    </row>
    <row r="68" customFormat="false" ht="14.25" hidden="false" customHeight="false" outlineLevel="0" collapsed="false">
      <c r="A68" s="0" t="s">
        <v>36</v>
      </c>
      <c r="B68" s="4" t="n">
        <v>0.221639798156612</v>
      </c>
      <c r="C68" s="4" t="n">
        <f aca="false">(B68-B$344)/B$345</f>
        <v>-0.379015858090658</v>
      </c>
      <c r="D68" s="4" t="n">
        <v>0.217471618756387</v>
      </c>
      <c r="E68" s="4" t="n">
        <f aca="false">(D68-D$344)/D$345</f>
        <v>-0.618778472218518</v>
      </c>
      <c r="F68" s="4" t="n">
        <v>0.109394577369187</v>
      </c>
      <c r="G68" s="4" t="n">
        <f aca="false">(F68-F$344)/F$345</f>
        <v>-1.45716098227953</v>
      </c>
      <c r="H68" s="4" t="n">
        <v>0.119779624274062</v>
      </c>
      <c r="I68" s="4" t="n">
        <f aca="false">(H68-H$344)/H$345</f>
        <v>-1.2057815502986</v>
      </c>
      <c r="J68" s="4" t="n">
        <v>0.105758903426018</v>
      </c>
      <c r="K68" s="4" t="n">
        <f aca="false">(J68-J$344)/J$345</f>
        <v>-1.23035817492558</v>
      </c>
    </row>
    <row r="69" customFormat="false" ht="14.25" hidden="false" customHeight="false" outlineLevel="0" collapsed="false">
      <c r="B69" s="4" t="n">
        <v>0.443279596313223</v>
      </c>
      <c r="C69" s="4" t="n">
        <f aca="false">(B69-B$344)/B$345</f>
        <v>1.50098255629008</v>
      </c>
      <c r="D69" s="4" t="n">
        <v>0.464454248997503</v>
      </c>
      <c r="E69" s="4" t="n">
        <f aca="false">(D69-D$344)/D$345</f>
        <v>2.08466943155087</v>
      </c>
      <c r="F69" s="4" t="n">
        <v>0.435592365771831</v>
      </c>
      <c r="G69" s="4" t="n">
        <f aca="false">(F69-F$344)/F$345</f>
        <v>1.47077203432575</v>
      </c>
      <c r="H69" s="4" t="n">
        <v>0.426854073890622</v>
      </c>
      <c r="I69" s="4" t="n">
        <f aca="false">(H69-H$344)/H$345</f>
        <v>1.16241377828511</v>
      </c>
      <c r="J69" s="4" t="n">
        <v>0.408842748050739</v>
      </c>
      <c r="K69" s="4" t="n">
        <f aca="false">(J69-J$344)/J$345</f>
        <v>1.54058348591782</v>
      </c>
    </row>
    <row r="70" customFormat="false" ht="14.25" hidden="false" customHeight="false" outlineLevel="0" collapsed="false">
      <c r="A70" s="0" t="s">
        <v>37</v>
      </c>
      <c r="B70" s="4" t="n">
        <v>0.106297702576725</v>
      </c>
      <c r="C70" s="4" t="n">
        <f aca="false">(B70-B$344)/B$345</f>
        <v>-1.35737334896112</v>
      </c>
      <c r="D70" s="4" t="n">
        <v>0.211739801206912</v>
      </c>
      <c r="E70" s="4" t="n">
        <f aca="false">(D70-D$344)/D$345</f>
        <v>-0.681518390907498</v>
      </c>
      <c r="F70" s="4" t="n">
        <v>0.106297702576725</v>
      </c>
      <c r="G70" s="4" t="n">
        <f aca="false">(F70-F$344)/F$345</f>
        <v>-1.48495835637438</v>
      </c>
      <c r="H70" s="4" t="n">
        <v>0.116616485784473</v>
      </c>
      <c r="I70" s="4" t="n">
        <f aca="false">(H70-H$344)/H$345</f>
        <v>-1.23017605724655</v>
      </c>
      <c r="J70" s="4" t="n">
        <v>0.102828882848348</v>
      </c>
      <c r="K70" s="4" t="n">
        <f aca="false">(J70-J$344)/J$345</f>
        <v>-1.2571458649651</v>
      </c>
    </row>
    <row r="71" customFormat="false" ht="14.25" hidden="false" customHeight="false" outlineLevel="0" collapsed="false">
      <c r="B71" s="4" t="n">
        <v>0.400427657972162</v>
      </c>
      <c r="C71" s="4" t="n">
        <f aca="false">(B71-B$344)/B$345</f>
        <v>1.1375028166207</v>
      </c>
      <c r="D71" s="4" t="n">
        <v>0.451779017663073</v>
      </c>
      <c r="E71" s="4" t="n">
        <f aca="false">(D71-D$344)/D$345</f>
        <v>1.94592757935097</v>
      </c>
      <c r="F71" s="4" t="n">
        <v>0.422437728090828</v>
      </c>
      <c r="G71" s="4" t="n">
        <f aca="false">(F71-F$344)/F$345</f>
        <v>1.35269674578287</v>
      </c>
      <c r="H71" s="4" t="n">
        <v>0.416102356520265</v>
      </c>
      <c r="I71" s="4" t="n">
        <f aca="false">(H71-H$344)/H$345</f>
        <v>1.07949523236725</v>
      </c>
      <c r="J71" s="4" t="n">
        <v>0.398168868846905</v>
      </c>
      <c r="K71" s="4" t="n">
        <f aca="false">(J71-J$344)/J$345</f>
        <v>1.44299762941881</v>
      </c>
    </row>
    <row r="72" customFormat="false" ht="14.25" hidden="false" customHeight="false" outlineLevel="0" collapsed="false">
      <c r="A72" s="0" t="s">
        <v>38</v>
      </c>
      <c r="B72" s="4" t="n">
        <v>0.106297702576725</v>
      </c>
      <c r="C72" s="4" t="n">
        <f aca="false">(B72-B$344)/B$345</f>
        <v>-1.35737334896112</v>
      </c>
      <c r="D72" s="4" t="n">
        <v>0.211739801206912</v>
      </c>
      <c r="E72" s="4" t="n">
        <f aca="false">(D72-D$344)/D$345</f>
        <v>-0.681518390907498</v>
      </c>
      <c r="F72" s="4" t="n">
        <v>0.106297702576725</v>
      </c>
      <c r="G72" s="4" t="n">
        <f aca="false">(F72-F$344)/F$345</f>
        <v>-1.48495835637438</v>
      </c>
      <c r="H72" s="4" t="n">
        <v>0.116616485784473</v>
      </c>
      <c r="I72" s="4" t="n">
        <f aca="false">(H72-H$344)/H$345</f>
        <v>-1.23017605724655</v>
      </c>
      <c r="J72" s="4" t="n">
        <v>0.102828882848348</v>
      </c>
      <c r="K72" s="4" t="n">
        <f aca="false">(J72-J$344)/J$345</f>
        <v>-1.2571458649651</v>
      </c>
    </row>
    <row r="73" customFormat="false" ht="14.25" hidden="false" customHeight="false" outlineLevel="0" collapsed="false">
      <c r="B73" s="4" t="n">
        <v>0.400427657972162</v>
      </c>
      <c r="C73" s="4" t="n">
        <f aca="false">(B73-B$344)/B$345</f>
        <v>1.1375028166207</v>
      </c>
      <c r="D73" s="4" t="n">
        <v>0.451779017663073</v>
      </c>
      <c r="E73" s="4" t="n">
        <f aca="false">(D73-D$344)/D$345</f>
        <v>1.94592757935097</v>
      </c>
      <c r="F73" s="4" t="n">
        <v>0.422437728090828</v>
      </c>
      <c r="G73" s="4" t="n">
        <f aca="false">(F73-F$344)/F$345</f>
        <v>1.35269674578287</v>
      </c>
      <c r="H73" s="4" t="n">
        <v>0.416102356520265</v>
      </c>
      <c r="I73" s="4" t="n">
        <f aca="false">(H73-H$344)/H$345</f>
        <v>1.07949523236725</v>
      </c>
      <c r="J73" s="4" t="n">
        <v>0.398168868846905</v>
      </c>
      <c r="K73" s="4" t="n">
        <f aca="false">(J73-J$344)/J$345</f>
        <v>1.44299762941881</v>
      </c>
    </row>
    <row r="74" customFormat="false" ht="14.25" hidden="false" customHeight="false" outlineLevel="0" collapsed="false">
      <c r="A74" s="0" t="s">
        <v>39</v>
      </c>
      <c r="B74" s="4" t="n">
        <v>0.145762856227899</v>
      </c>
      <c r="C74" s="4" t="n">
        <f aca="false">(B74-B$344)/B$345</f>
        <v>-1.02262107565742</v>
      </c>
      <c r="D74" s="4" t="n">
        <v>0.153613930137248</v>
      </c>
      <c r="E74" s="4" t="n">
        <f aca="false">(D74-D$344)/D$345</f>
        <v>-1.3177585351826</v>
      </c>
      <c r="F74" s="4" t="n">
        <v>0.150226129345544</v>
      </c>
      <c r="G74" s="4" t="n">
        <f aca="false">(F74-F$344)/F$345</f>
        <v>-1.09065926644558</v>
      </c>
      <c r="H74" s="4" t="n">
        <v>0.14468014850432</v>
      </c>
      <c r="I74" s="4" t="n">
        <f aca="false">(H74-H$344)/H$345</f>
        <v>-1.01374569308216</v>
      </c>
      <c r="J74" s="4" t="n">
        <v>0.13437916066971</v>
      </c>
      <c r="K74" s="4" t="n">
        <f aca="false">(J74-J$344)/J$345</f>
        <v>-0.96869769863462</v>
      </c>
    </row>
    <row r="75" customFormat="false" ht="14.25" hidden="false" customHeight="false" outlineLevel="0" collapsed="false">
      <c r="B75" s="4" t="n">
        <v>0.185946383216879</v>
      </c>
      <c r="C75" s="4" t="n">
        <f aca="false">(B75-B$344)/B$345</f>
        <v>-0.681775398789728</v>
      </c>
      <c r="D75" s="4" t="n">
        <v>0.181890825269504</v>
      </c>
      <c r="E75" s="4" t="n">
        <f aca="false">(D75-D$344)/D$345</f>
        <v>-1.00824238501539</v>
      </c>
      <c r="F75" s="4" t="n">
        <v>0.186105401997442</v>
      </c>
      <c r="G75" s="4" t="n">
        <f aca="false">(F75-F$344)/F$345</f>
        <v>-0.768608931513192</v>
      </c>
      <c r="H75" s="4" t="n">
        <v>0.181629277480543</v>
      </c>
      <c r="I75" s="4" t="n">
        <f aca="false">(H75-H$344)/H$345</f>
        <v>-0.728789537511447</v>
      </c>
      <c r="J75" s="4" t="n">
        <v>0.172036156056423</v>
      </c>
      <c r="K75" s="4" t="n">
        <f aca="false">(J75-J$344)/J$345</f>
        <v>-0.624418915090639</v>
      </c>
    </row>
    <row r="76" customFormat="false" ht="14.25" hidden="false" customHeight="false" outlineLevel="0" collapsed="false">
      <c r="A76" s="0" t="s">
        <v>40</v>
      </c>
      <c r="B76" s="4" t="n">
        <v>0.138787693801932</v>
      </c>
      <c r="C76" s="4" t="n">
        <f aca="false">(B76-B$344)/B$345</f>
        <v>-1.08178596576258</v>
      </c>
      <c r="D76" s="4" t="n">
        <v>0.142224241669952</v>
      </c>
      <c r="E76" s="4" t="n">
        <f aca="false">(D76-D$344)/D$345</f>
        <v>-1.44242895990614</v>
      </c>
      <c r="F76" s="4" t="n">
        <v>0.141314860416852</v>
      </c>
      <c r="G76" s="4" t="n">
        <f aca="false">(F76-F$344)/F$345</f>
        <v>-1.17064631554218</v>
      </c>
      <c r="H76" s="4" t="n">
        <v>0.161045912885335</v>
      </c>
      <c r="I76" s="4" t="n">
        <f aca="false">(H76-H$344)/H$345</f>
        <v>-0.887530937005198</v>
      </c>
      <c r="J76" s="4" t="n">
        <v>0.142988622154413</v>
      </c>
      <c r="K76" s="4" t="n">
        <f aca="false">(J76-J$344)/J$345</f>
        <v>-0.889985764862865</v>
      </c>
    </row>
    <row r="77" customFormat="false" ht="14.25" hidden="false" customHeight="false" outlineLevel="0" collapsed="false">
      <c r="B77" s="4" t="n">
        <v>0.169174129740279</v>
      </c>
      <c r="C77" s="4" t="n">
        <f aca="false">(B77-B$344)/B$345</f>
        <v>-0.824041409695043</v>
      </c>
      <c r="D77" s="4" t="n">
        <v>0.165181191227895</v>
      </c>
      <c r="E77" s="4" t="n">
        <f aca="false">(D77-D$344)/D$345</f>
        <v>-1.19114441775526</v>
      </c>
      <c r="F77" s="4" t="n">
        <v>0.168924383471486</v>
      </c>
      <c r="G77" s="4" t="n">
        <f aca="false">(F77-F$344)/F$345</f>
        <v>-0.922824788240455</v>
      </c>
      <c r="H77" s="4" t="n">
        <v>0.195753983696705</v>
      </c>
      <c r="I77" s="4" t="n">
        <f aca="false">(H77-H$344)/H$345</f>
        <v>-0.6198580932949</v>
      </c>
      <c r="J77" s="4" t="n">
        <v>0.176870389845427</v>
      </c>
      <c r="K77" s="4" t="n">
        <f aca="false">(J77-J$344)/J$345</f>
        <v>-0.580221970773812</v>
      </c>
    </row>
    <row r="78" customFormat="false" ht="14.25" hidden="false" customHeight="false" outlineLevel="0" collapsed="false">
      <c r="B78" s="4" t="n">
        <v>0.212303264620514</v>
      </c>
      <c r="C78" s="4" t="n">
        <f aca="false">(B78-B$344)/B$345</f>
        <v>-0.458210426889506</v>
      </c>
      <c r="D78" s="4" t="n">
        <v>0.19301515670637</v>
      </c>
      <c r="E78" s="4" t="n">
        <f aca="false">(D78-D$344)/D$345</f>
        <v>-0.886476532597052</v>
      </c>
      <c r="F78" s="4" t="n">
        <v>0.207125617995668</v>
      </c>
      <c r="G78" s="4" t="n">
        <f aca="false">(F78-F$344)/F$345</f>
        <v>-0.579932654035148</v>
      </c>
      <c r="H78" s="4" t="n">
        <v>0.24679825111898</v>
      </c>
      <c r="I78" s="4" t="n">
        <f aca="false">(H78-H$344)/H$345</f>
        <v>-0.22619852373008</v>
      </c>
      <c r="J78" s="4" t="n">
        <v>0.227985478521303</v>
      </c>
      <c r="K78" s="4" t="n">
        <f aca="false">(J78-J$344)/J$345</f>
        <v>-0.112902675398417</v>
      </c>
    </row>
    <row r="79" customFormat="false" ht="14.25" hidden="false" customHeight="false" outlineLevel="0" collapsed="false">
      <c r="A79" s="0" t="s">
        <v>41</v>
      </c>
      <c r="B79" s="4" t="n">
        <v>0.120074193627518</v>
      </c>
      <c r="C79" s="4" t="n">
        <f aca="false">(B79-B$344)/B$345</f>
        <v>-1.24051806599014</v>
      </c>
      <c r="D79" s="4" t="n">
        <v>0.122540817776016</v>
      </c>
      <c r="E79" s="4" t="n">
        <f aca="false">(D79-D$344)/D$345</f>
        <v>-1.65788180779718</v>
      </c>
      <c r="F79" s="4" t="n">
        <v>0.122073754892787</v>
      </c>
      <c r="G79" s="4" t="n">
        <f aca="false">(F79-F$344)/F$345</f>
        <v>-1.34335339738897</v>
      </c>
      <c r="H79" s="4" t="n">
        <v>0.120074193627518</v>
      </c>
      <c r="I79" s="4" t="n">
        <f aca="false">(H79-H$344)/H$345</f>
        <v>-1.20350979578543</v>
      </c>
      <c r="J79" s="4" t="n">
        <v>0.138991190701571</v>
      </c>
      <c r="K79" s="4" t="n">
        <f aca="false">(J79-J$344)/J$345</f>
        <v>-0.926532250416259</v>
      </c>
    </row>
    <row r="80" customFormat="false" ht="14.25" hidden="false" customHeight="false" outlineLevel="0" collapsed="false">
      <c r="B80" s="4" t="n">
        <v>0.170566204026832</v>
      </c>
      <c r="C80" s="4" t="n">
        <f aca="false">(B80-B$344)/B$345</f>
        <v>-0.812233523777503</v>
      </c>
      <c r="D80" s="4" t="n">
        <v>0.163887884579285</v>
      </c>
      <c r="E80" s="4" t="n">
        <f aca="false">(D80-D$344)/D$345</f>
        <v>-1.20530082683027</v>
      </c>
      <c r="F80" s="4" t="n">
        <v>0.168943661645472</v>
      </c>
      <c r="G80" s="4" t="n">
        <f aca="false">(F80-F$344)/F$345</f>
        <v>-0.92265174843418</v>
      </c>
      <c r="H80" s="4" t="n">
        <v>0.170566204026832</v>
      </c>
      <c r="I80" s="4" t="n">
        <f aca="false">(H80-H$344)/H$345</f>
        <v>-0.814109299235587</v>
      </c>
      <c r="J80" s="4" t="n">
        <v>0.208455531838394</v>
      </c>
      <c r="K80" s="4" t="n">
        <f aca="false">(J80-J$344)/J$345</f>
        <v>-0.291455059029194</v>
      </c>
    </row>
    <row r="81" customFormat="false" ht="14.25" hidden="false" customHeight="false" outlineLevel="0" collapsed="false">
      <c r="A81" s="0" t="s">
        <v>42</v>
      </c>
      <c r="B81" s="4" t="n">
        <v>0.122061551131185</v>
      </c>
      <c r="C81" s="4" t="n">
        <f aca="false">(B81-B$344)/B$345</f>
        <v>-1.22366085448402</v>
      </c>
      <c r="D81" s="4" t="n">
        <v>0.213780258336536</v>
      </c>
      <c r="E81" s="4" t="n">
        <f aca="false">(D81-D$344)/D$345</f>
        <v>-0.659183745169746</v>
      </c>
      <c r="F81" s="4" t="n">
        <v>0.14488845434355</v>
      </c>
      <c r="G81" s="4" t="n">
        <f aca="false">(F81-F$344)/F$345</f>
        <v>-1.13856993728972</v>
      </c>
      <c r="H81" s="4" t="n">
        <v>0.123820150465785</v>
      </c>
      <c r="I81" s="4" t="n">
        <f aca="false">(H81-H$344)/H$345</f>
        <v>-1.17462052317893</v>
      </c>
      <c r="J81" s="4" t="n">
        <v>0.103725733401339</v>
      </c>
      <c r="K81" s="4" t="n">
        <f aca="false">(J81-J$344)/J$345</f>
        <v>-1.24894641585257</v>
      </c>
    </row>
    <row r="82" customFormat="false" ht="14.25" hidden="false" customHeight="false" outlineLevel="0" collapsed="false">
      <c r="B82" s="4" t="n">
        <v>0.155480388068208</v>
      </c>
      <c r="C82" s="4" t="n">
        <f aca="false">(B82-B$344)/B$345</f>
        <v>-0.940194793900175</v>
      </c>
      <c r="D82" s="4" t="n">
        <v>0.247470305258807</v>
      </c>
      <c r="E82" s="4" t="n">
        <f aca="false">(D82-D$344)/D$345</f>
        <v>-0.290415760793724</v>
      </c>
      <c r="F82" s="4" t="n">
        <v>0.184026566590357</v>
      </c>
      <c r="G82" s="4" t="n">
        <f aca="false">(F82-F$344)/F$345</f>
        <v>-0.78726844129803</v>
      </c>
      <c r="H82" s="4" t="n">
        <v>0.144908016410311</v>
      </c>
      <c r="I82" s="4" t="n">
        <f aca="false">(H82-H$344)/H$345</f>
        <v>-1.01198834820643</v>
      </c>
      <c r="J82" s="4" t="n">
        <v>0.122079492746005</v>
      </c>
      <c r="K82" s="4" t="n">
        <f aca="false">(J82-J$344)/J$345</f>
        <v>-1.08114731569201</v>
      </c>
    </row>
    <row r="83" customFormat="false" ht="14.25" hidden="false" customHeight="false" outlineLevel="0" collapsed="false">
      <c r="B83" s="4" t="n">
        <v>0.196817339105875</v>
      </c>
      <c r="C83" s="4" t="n">
        <f aca="false">(B83-B$344)/B$345</f>
        <v>-0.589565515889216</v>
      </c>
      <c r="D83" s="4" t="n">
        <v>0.282764913699727</v>
      </c>
      <c r="E83" s="4" t="n">
        <f aca="false">(D83-D$344)/D$345</f>
        <v>0.0959155982610255</v>
      </c>
      <c r="F83" s="4" t="n">
        <v>0.225689658404868</v>
      </c>
      <c r="G83" s="4" t="n">
        <f aca="false">(F83-F$344)/F$345</f>
        <v>-0.413302870608791</v>
      </c>
      <c r="H83" s="4" t="n">
        <v>0.166332655567825</v>
      </c>
      <c r="I83" s="4" t="n">
        <f aca="false">(H83-H$344)/H$345</f>
        <v>-0.846758937447013</v>
      </c>
      <c r="J83" s="4" t="n">
        <v>0.141314327497344</v>
      </c>
      <c r="K83" s="4" t="n">
        <f aca="false">(J83-J$344)/J$345</f>
        <v>-0.905292990569806</v>
      </c>
    </row>
    <row r="84" customFormat="false" ht="14.25" hidden="false" customHeight="false" outlineLevel="0" collapsed="false">
      <c r="B84" s="4" t="n">
        <v>0.242938106356575</v>
      </c>
      <c r="C84" s="4" t="n">
        <f aca="false">(B84-B$344)/B$345</f>
        <v>-0.198358837203866</v>
      </c>
      <c r="D84" s="4" t="n">
        <v>0.319202602669315</v>
      </c>
      <c r="E84" s="4" t="n">
        <f aca="false">(D84-D$344)/D$345</f>
        <v>0.494759005859643</v>
      </c>
      <c r="F84" s="4" t="n">
        <v>0.269339020140923</v>
      </c>
      <c r="G84" s="4" t="n">
        <f aca="false">(F84-F$344)/F$345</f>
        <v>-0.0215086527308052</v>
      </c>
      <c r="H84" s="4" t="n">
        <v>0.188056517406403</v>
      </c>
      <c r="I84" s="4" t="n">
        <f aca="false">(H84-H$344)/H$345</f>
        <v>-0.67922188514859</v>
      </c>
      <c r="J84" s="4" t="n">
        <v>0.16139503955002</v>
      </c>
      <c r="K84" s="4" t="n">
        <f aca="false">(J84-J$344)/J$345</f>
        <v>-0.721705238886582</v>
      </c>
    </row>
    <row r="85" customFormat="false" ht="14.25" hidden="false" customHeight="false" outlineLevel="0" collapsed="false">
      <c r="B85" s="4" t="n">
        <v>0.29732680364536</v>
      </c>
      <c r="C85" s="4" t="n">
        <f aca="false">(B85-B$344)/B$345</f>
        <v>0.262978276047333</v>
      </c>
      <c r="D85" s="4" t="n">
        <v>0.356572665241354</v>
      </c>
      <c r="E85" s="4" t="n">
        <f aca="false">(D85-D$344)/D$345</f>
        <v>0.903808084434442</v>
      </c>
      <c r="F85" s="4" t="n">
        <v>0.31768673757827</v>
      </c>
      <c r="G85" s="4" t="n">
        <f aca="false">(F85-F$344)/F$345</f>
        <v>0.412457741877537</v>
      </c>
      <c r="H85" s="4" t="n">
        <v>0.21541289079995</v>
      </c>
      <c r="I85" s="4" t="n">
        <f aca="false">(H85-H$344)/H$345</f>
        <v>-0.4682462218901</v>
      </c>
      <c r="J85" s="4" t="n">
        <v>0.187650702898673</v>
      </c>
      <c r="K85" s="4" t="n">
        <f aca="false">(J85-J$344)/J$345</f>
        <v>-0.481663043645385</v>
      </c>
    </row>
    <row r="86" customFormat="false" ht="14.25" hidden="false" customHeight="false" outlineLevel="0" collapsed="false">
      <c r="B86" s="4" t="n">
        <v>0.367214580763309</v>
      </c>
      <c r="C86" s="4" t="n">
        <f aca="false">(B86-B$344)/B$345</f>
        <v>0.855782056140552</v>
      </c>
      <c r="D86" s="4" t="n">
        <v>0.394749640416382</v>
      </c>
      <c r="E86" s="4" t="n">
        <f aca="false">(D86-D$344)/D$345</f>
        <v>1.32168955005989</v>
      </c>
      <c r="F86" s="4" t="n">
        <v>0.377598478452511</v>
      </c>
      <c r="G86" s="4" t="n">
        <f aca="false">(F86-F$344)/F$345</f>
        <v>0.950222160965087</v>
      </c>
      <c r="H86" s="4" t="n">
        <v>0.264028361001735</v>
      </c>
      <c r="I86" s="4" t="n">
        <f aca="false">(H86-H$344)/H$345</f>
        <v>-0.0933178305096707</v>
      </c>
      <c r="J86" s="4" t="n">
        <v>0.235707411226726</v>
      </c>
      <c r="K86" s="4" t="n">
        <f aca="false">(J86-J$344)/J$345</f>
        <v>-0.0423049664965159</v>
      </c>
    </row>
    <row r="87" customFormat="false" ht="14.25" hidden="false" customHeight="false" outlineLevel="0" collapsed="false">
      <c r="B87" s="4" t="n">
        <v>0.437102357881258</v>
      </c>
      <c r="C87" s="4" t="n">
        <f aca="false">(B87-B$344)/B$345</f>
        <v>1.44858583623377</v>
      </c>
      <c r="D87" s="4" t="n">
        <v>0.433529373436969</v>
      </c>
      <c r="E87" s="4" t="n">
        <f aca="false">(D87-D$344)/D$345</f>
        <v>1.74616874457205</v>
      </c>
      <c r="F87" s="4" t="n">
        <v>0.435873664663132</v>
      </c>
      <c r="G87" s="4" t="n">
        <f aca="false">(F87-F$344)/F$345</f>
        <v>1.47329695736525</v>
      </c>
      <c r="H87" s="4" t="n">
        <v>0.312980604416508</v>
      </c>
      <c r="I87" s="4" t="n">
        <f aca="false">(H87-H$344)/H$345</f>
        <v>0.284207796657674</v>
      </c>
      <c r="J87" s="4" t="n">
        <v>0.284645194961453</v>
      </c>
      <c r="K87" s="4" t="n">
        <f aca="false">(J87-J$344)/J$345</f>
        <v>0.405108335614003</v>
      </c>
    </row>
    <row r="88" customFormat="false" ht="14.25" hidden="false" customHeight="false" outlineLevel="0" collapsed="false">
      <c r="B88" s="4" t="n">
        <v>0.506750793296748</v>
      </c>
      <c r="C88" s="4" t="n">
        <f aca="false">(B88-B$344)/B$345</f>
        <v>2.03935946639517</v>
      </c>
      <c r="D88" s="4" t="n">
        <v>0.472670827370597</v>
      </c>
      <c r="E88" s="4" t="n">
        <f aca="false">(D88-D$344)/D$345</f>
        <v>2.17460730109745</v>
      </c>
      <c r="F88" s="4" t="n">
        <v>0.492484663694057</v>
      </c>
      <c r="G88" s="4" t="n">
        <f aca="false">(F88-F$344)/F$345</f>
        <v>1.98143410316667</v>
      </c>
      <c r="H88" s="4" t="n">
        <v>0.362100248350545</v>
      </c>
      <c r="I88" s="4" t="n">
        <f aca="false">(H88-H$344)/H$345</f>
        <v>0.663024436894379</v>
      </c>
      <c r="J88" s="4" t="n">
        <v>0.33429193804753</v>
      </c>
      <c r="K88" s="4" t="n">
        <f aca="false">(J88-J$344)/J$345</f>
        <v>0.859003293006858</v>
      </c>
    </row>
    <row r="89" customFormat="false" ht="14.25" hidden="false" customHeight="false" outlineLevel="0" collapsed="false">
      <c r="A89" s="0" t="s">
        <v>43</v>
      </c>
      <c r="B89" s="4" t="n">
        <v>0.155480388068208</v>
      </c>
      <c r="C89" s="4" t="n">
        <f aca="false">(B89-B$344)/B$345</f>
        <v>-0.940194793900175</v>
      </c>
      <c r="D89" s="4" t="n">
        <v>0.247470305258807</v>
      </c>
      <c r="E89" s="4" t="n">
        <f aca="false">(D89-D$344)/D$345</f>
        <v>-0.290415760793724</v>
      </c>
      <c r="F89" s="4" t="n">
        <v>0.184026566590357</v>
      </c>
      <c r="G89" s="4" t="n">
        <f aca="false">(F89-F$344)/F$345</f>
        <v>-0.78726844129803</v>
      </c>
      <c r="H89" s="4" t="n">
        <v>0.144908016410311</v>
      </c>
      <c r="I89" s="4" t="n">
        <f aca="false">(H89-H$344)/H$345</f>
        <v>-1.01198834820643</v>
      </c>
      <c r="J89" s="4" t="n">
        <v>0.122079492746005</v>
      </c>
      <c r="K89" s="4" t="n">
        <f aca="false">(J89-J$344)/J$345</f>
        <v>-1.08114731569201</v>
      </c>
    </row>
    <row r="90" customFormat="false" ht="14.25" hidden="false" customHeight="false" outlineLevel="0" collapsed="false">
      <c r="B90" s="4" t="n">
        <v>0.196817339105875</v>
      </c>
      <c r="C90" s="4" t="n">
        <f aca="false">(B90-B$344)/B$345</f>
        <v>-0.589565515889216</v>
      </c>
      <c r="D90" s="4" t="n">
        <v>0.282764913699727</v>
      </c>
      <c r="E90" s="4" t="n">
        <f aca="false">(D90-D$344)/D$345</f>
        <v>0.0959155982610255</v>
      </c>
      <c r="F90" s="4" t="n">
        <v>0.225689658404868</v>
      </c>
      <c r="G90" s="4" t="n">
        <f aca="false">(F90-F$344)/F$345</f>
        <v>-0.413302870608791</v>
      </c>
      <c r="H90" s="4" t="n">
        <v>0.166332655567825</v>
      </c>
      <c r="I90" s="4" t="n">
        <f aca="false">(H90-H$344)/H$345</f>
        <v>-0.846758937447013</v>
      </c>
      <c r="J90" s="4" t="n">
        <v>0.141314327497344</v>
      </c>
      <c r="K90" s="4" t="n">
        <f aca="false">(J90-J$344)/J$345</f>
        <v>-0.905292990569806</v>
      </c>
    </row>
    <row r="91" customFormat="false" ht="14.25" hidden="false" customHeight="false" outlineLevel="0" collapsed="false">
      <c r="B91" s="4" t="n">
        <v>0.242938106356575</v>
      </c>
      <c r="C91" s="4" t="n">
        <f aca="false">(B91-B$344)/B$345</f>
        <v>-0.198358837203866</v>
      </c>
      <c r="D91" s="4" t="n">
        <v>0.319202602669315</v>
      </c>
      <c r="E91" s="4" t="n">
        <f aca="false">(D91-D$344)/D$345</f>
        <v>0.494759005859643</v>
      </c>
      <c r="F91" s="4" t="n">
        <v>0.269339020140923</v>
      </c>
      <c r="G91" s="4" t="n">
        <f aca="false">(F91-F$344)/F$345</f>
        <v>-0.0215086527308052</v>
      </c>
      <c r="H91" s="4" t="n">
        <v>0.188056517406403</v>
      </c>
      <c r="I91" s="4" t="n">
        <f aca="false">(H91-H$344)/H$345</f>
        <v>-0.67922188514859</v>
      </c>
      <c r="J91" s="4" t="n">
        <v>0.16139503955002</v>
      </c>
      <c r="K91" s="4" t="n">
        <f aca="false">(J91-J$344)/J$345</f>
        <v>-0.721705238886582</v>
      </c>
    </row>
    <row r="92" customFormat="false" ht="14.25" hidden="false" customHeight="false" outlineLevel="0" collapsed="false">
      <c r="B92" s="4" t="n">
        <v>0.29732680364536</v>
      </c>
      <c r="C92" s="4" t="n">
        <f aca="false">(B92-B$344)/B$345</f>
        <v>0.262978276047333</v>
      </c>
      <c r="D92" s="4" t="n">
        <v>0.356572665241354</v>
      </c>
      <c r="E92" s="4" t="n">
        <f aca="false">(D92-D$344)/D$345</f>
        <v>0.903808084434442</v>
      </c>
      <c r="F92" s="4" t="n">
        <v>0.31768673757827</v>
      </c>
      <c r="G92" s="4" t="n">
        <f aca="false">(F92-F$344)/F$345</f>
        <v>0.412457741877537</v>
      </c>
      <c r="H92" s="4" t="n">
        <v>0.21541289079995</v>
      </c>
      <c r="I92" s="4" t="n">
        <f aca="false">(H92-H$344)/H$345</f>
        <v>-0.4682462218901</v>
      </c>
      <c r="J92" s="4" t="n">
        <v>0.187650702898673</v>
      </c>
      <c r="K92" s="4" t="n">
        <f aca="false">(J92-J$344)/J$345</f>
        <v>-0.481663043645385</v>
      </c>
    </row>
    <row r="93" customFormat="false" ht="14.25" hidden="false" customHeight="false" outlineLevel="0" collapsed="false">
      <c r="B93" s="4" t="n">
        <v>0.367214580763309</v>
      </c>
      <c r="C93" s="4" t="n">
        <f aca="false">(B93-B$344)/B$345</f>
        <v>0.855782056140552</v>
      </c>
      <c r="D93" s="4" t="n">
        <v>0.394749640416382</v>
      </c>
      <c r="E93" s="4" t="n">
        <f aca="false">(D93-D$344)/D$345</f>
        <v>1.32168955005989</v>
      </c>
      <c r="F93" s="4" t="n">
        <v>0.377598478452511</v>
      </c>
      <c r="G93" s="4" t="n">
        <f aca="false">(F93-F$344)/F$345</f>
        <v>0.950222160965087</v>
      </c>
      <c r="H93" s="4" t="n">
        <v>0.264028361001735</v>
      </c>
      <c r="I93" s="4" t="n">
        <f aca="false">(H93-H$344)/H$345</f>
        <v>-0.0933178305096707</v>
      </c>
      <c r="J93" s="4" t="n">
        <v>0.235707411226726</v>
      </c>
      <c r="K93" s="4" t="n">
        <f aca="false">(J93-J$344)/J$345</f>
        <v>-0.0423049664965159</v>
      </c>
    </row>
    <row r="94" customFormat="false" ht="14.25" hidden="false" customHeight="false" outlineLevel="0" collapsed="false">
      <c r="B94" s="4" t="n">
        <v>0.437102357881258</v>
      </c>
      <c r="C94" s="4" t="n">
        <f aca="false">(B94-B$344)/B$345</f>
        <v>1.44858583623377</v>
      </c>
      <c r="D94" s="4" t="n">
        <v>0.433529373436969</v>
      </c>
      <c r="E94" s="4" t="n">
        <f aca="false">(D94-D$344)/D$345</f>
        <v>1.74616874457205</v>
      </c>
      <c r="F94" s="4" t="n">
        <v>0.435873664663132</v>
      </c>
      <c r="G94" s="4" t="n">
        <f aca="false">(F94-F$344)/F$345</f>
        <v>1.47329695736525</v>
      </c>
      <c r="H94" s="4" t="n">
        <v>0.312980604416508</v>
      </c>
      <c r="I94" s="4" t="n">
        <f aca="false">(H94-H$344)/H$345</f>
        <v>0.284207796657674</v>
      </c>
      <c r="J94" s="4" t="n">
        <v>0.284645194961453</v>
      </c>
      <c r="K94" s="4" t="n">
        <f aca="false">(J94-J$344)/J$345</f>
        <v>0.405108335614003</v>
      </c>
    </row>
    <row r="95" customFormat="false" ht="14.25" hidden="false" customHeight="false" outlineLevel="0" collapsed="false">
      <c r="B95" s="4" t="n">
        <v>0.506750793296748</v>
      </c>
      <c r="C95" s="4" t="n">
        <f aca="false">(B95-B$344)/B$345</f>
        <v>2.03935946639517</v>
      </c>
      <c r="D95" s="4" t="n">
        <v>0.472670827370597</v>
      </c>
      <c r="E95" s="4" t="n">
        <f aca="false">(D95-D$344)/D$345</f>
        <v>2.17460730109745</v>
      </c>
      <c r="F95" s="4" t="n">
        <v>0.492484663694057</v>
      </c>
      <c r="G95" s="4" t="n">
        <f aca="false">(F95-F$344)/F$345</f>
        <v>1.98143410316667</v>
      </c>
      <c r="H95" s="4" t="n">
        <v>0.362100248350545</v>
      </c>
      <c r="I95" s="4" t="n">
        <f aca="false">(H95-H$344)/H$345</f>
        <v>0.663024436894379</v>
      </c>
      <c r="J95" s="4" t="n">
        <v>0.33429193804753</v>
      </c>
      <c r="K95" s="4" t="n">
        <f aca="false">(J95-J$344)/J$345</f>
        <v>0.859003293006858</v>
      </c>
    </row>
    <row r="96" customFormat="false" ht="14.25" hidden="false" customHeight="false" outlineLevel="0" collapsed="false">
      <c r="A96" s="0" t="s">
        <v>44</v>
      </c>
      <c r="B96" s="4" t="n">
        <v>0.110634462033796</v>
      </c>
      <c r="C96" s="4" t="n">
        <f aca="false">(B96-B$344)/B$345</f>
        <v>-1.3205879838297</v>
      </c>
      <c r="D96" s="4" t="n">
        <v>0.187434596405334</v>
      </c>
      <c r="E96" s="4" t="n">
        <f aca="false">(D96-D$344)/D$345</f>
        <v>-0.947560804122407</v>
      </c>
      <c r="F96" s="4" t="n">
        <v>0.130946934514462</v>
      </c>
      <c r="G96" s="4" t="n">
        <f aca="false">(F96-F$344)/F$345</f>
        <v>-1.26370823577156</v>
      </c>
      <c r="H96" s="4" t="n">
        <v>0.111890980158436</v>
      </c>
      <c r="I96" s="4" t="n">
        <f aca="false">(H96-H$344)/H$345</f>
        <v>-1.26661972868437</v>
      </c>
      <c r="J96" s="4" t="n">
        <v>0.0909930549573873</v>
      </c>
      <c r="K96" s="4" t="n">
        <f aca="false">(J96-J$344)/J$345</f>
        <v>-1.36535482817871</v>
      </c>
    </row>
    <row r="97" customFormat="false" ht="14.25" hidden="false" customHeight="false" outlineLevel="0" collapsed="false">
      <c r="B97" s="4" t="n">
        <v>0.143773448066767</v>
      </c>
      <c r="C97" s="4" t="n">
        <f aca="false">(B97-B$344)/B$345</f>
        <v>-1.03949568129951</v>
      </c>
      <c r="D97" s="4" t="n">
        <v>0.213772641070911</v>
      </c>
      <c r="E97" s="4" t="n">
        <f aca="false">(D97-D$344)/D$345</f>
        <v>-0.659267123020106</v>
      </c>
      <c r="F97" s="4" t="n">
        <v>0.163768165851579</v>
      </c>
      <c r="G97" s="4" t="n">
        <f aca="false">(F97-F$344)/F$345</f>
        <v>-0.969106707820776</v>
      </c>
      <c r="H97" s="4" t="n">
        <v>0.134461087396925</v>
      </c>
      <c r="I97" s="4" t="n">
        <f aca="false">(H97-H$344)/H$345</f>
        <v>-1.09255632941893</v>
      </c>
      <c r="J97" s="4" t="n">
        <v>0.110573338061573</v>
      </c>
      <c r="K97" s="4" t="n">
        <f aca="false">(J97-J$344)/J$345</f>
        <v>-1.18634224421312</v>
      </c>
    </row>
    <row r="98" customFormat="false" ht="14.25" hidden="false" customHeight="false" outlineLevel="0" collapsed="false">
      <c r="B98" s="4" t="n">
        <v>0.189900289444197</v>
      </c>
      <c r="C98" s="4" t="n">
        <f aca="false">(B98-B$344)/B$345</f>
        <v>-0.648237480510655</v>
      </c>
      <c r="D98" s="4" t="n">
        <v>0.240745421964242</v>
      </c>
      <c r="E98" s="4" t="n">
        <f aca="false">(D98-D$344)/D$345</f>
        <v>-0.364025680762736</v>
      </c>
      <c r="F98" s="4" t="n">
        <v>0.206356749600826</v>
      </c>
      <c r="G98" s="4" t="n">
        <f aca="false">(F98-F$344)/F$345</f>
        <v>-0.586833973537367</v>
      </c>
      <c r="H98" s="4" t="n">
        <v>0.171682024931947</v>
      </c>
      <c r="I98" s="4" t="n">
        <f aca="false">(H98-H$344)/H$345</f>
        <v>-0.805503953338756</v>
      </c>
      <c r="J98" s="4" t="n">
        <v>0.145065495181164</v>
      </c>
      <c r="K98" s="4" t="n">
        <f aca="false">(J98-J$344)/J$345</f>
        <v>-0.870997969583863</v>
      </c>
    </row>
    <row r="99" customFormat="false" ht="14.25" hidden="false" customHeight="false" outlineLevel="0" collapsed="false">
      <c r="B99" s="4" t="n">
        <v>0.236027130821627</v>
      </c>
      <c r="C99" s="4" t="n">
        <f aca="false">(B99-B$344)/B$345</f>
        <v>-0.256979279721802</v>
      </c>
      <c r="D99" s="4" t="n">
        <v>0.268244876803776</v>
      </c>
      <c r="E99" s="4" t="n">
        <f aca="false">(D99-D$344)/D$345</f>
        <v>-0.0630193165979257</v>
      </c>
      <c r="F99" s="4" t="n">
        <v>0.247781640921291</v>
      </c>
      <c r="G99" s="4" t="n">
        <f aca="false">(F99-F$344)/F$345</f>
        <v>-0.215006477095972</v>
      </c>
      <c r="H99" s="4" t="n">
        <v>0.20947007070117</v>
      </c>
      <c r="I99" s="4" t="n">
        <f aca="false">(H99-H$344)/H$345</f>
        <v>-0.514077969904689</v>
      </c>
      <c r="J99" s="4" t="n">
        <v>0.180380465391046</v>
      </c>
      <c r="K99" s="4" t="n">
        <f aca="false">(J99-J$344)/J$345</f>
        <v>-0.548131132761294</v>
      </c>
    </row>
    <row r="100" customFormat="false" ht="14.25" hidden="false" customHeight="false" outlineLevel="0" collapsed="false">
      <c r="B100" s="4" t="n">
        <v>0.282233091995588</v>
      </c>
      <c r="C100" s="4" t="n">
        <f aca="false">(B100-B$344)/B$345</f>
        <v>0.134950032903737</v>
      </c>
      <c r="D100" s="4" t="n">
        <v>0.296211096546674</v>
      </c>
      <c r="E100" s="4" t="n">
        <f aca="false">(D100-D$344)/D$345</f>
        <v>0.243096210904882</v>
      </c>
      <c r="F100" s="4" t="n">
        <v>0.288228083465787</v>
      </c>
      <c r="G100" s="4" t="n">
        <f aca="false">(F100-F$344)/F$345</f>
        <v>0.148038518120488</v>
      </c>
      <c r="H100" s="4" t="n">
        <v>0.247891501196002</v>
      </c>
      <c r="I100" s="4" t="n">
        <f aca="false">(H100-H$344)/H$345</f>
        <v>-0.217767246791835</v>
      </c>
      <c r="J100" s="4" t="n">
        <v>0.216580941479414</v>
      </c>
      <c r="K100" s="4" t="n">
        <f aca="false">(J100-J$344)/J$345</f>
        <v>-0.217168565423442</v>
      </c>
    </row>
    <row r="101" customFormat="false" ht="14.25" hidden="false" customHeight="false" outlineLevel="0" collapsed="false">
      <c r="B101" s="4" t="n">
        <v>0.328439053169549</v>
      </c>
      <c r="C101" s="4" t="n">
        <f aca="false">(B101-B$344)/B$345</f>
        <v>0.526879345529277</v>
      </c>
      <c r="D101" s="4" t="n">
        <v>0.324517798744556</v>
      </c>
      <c r="E101" s="4" t="n">
        <f aca="false">(D101-D$344)/D$345</f>
        <v>0.552938626320015</v>
      </c>
      <c r="F101" s="4" t="n">
        <v>0.327729685109247</v>
      </c>
      <c r="G101" s="4" t="n">
        <f aca="false">(F101-F$344)/F$345</f>
        <v>0.502602674508681</v>
      </c>
      <c r="H101" s="4" t="n">
        <v>0.286881987076337</v>
      </c>
      <c r="I101" s="4" t="n">
        <f aca="false">(H101-H$344)/H$345</f>
        <v>0.0829321003414759</v>
      </c>
      <c r="J101" s="4" t="n">
        <v>0.253607055765319</v>
      </c>
      <c r="K101" s="4" t="n">
        <f aca="false">(J101-J$344)/J$345</f>
        <v>0.121342392628444</v>
      </c>
    </row>
    <row r="102" customFormat="false" ht="14.25" hidden="false" customHeight="false" outlineLevel="0" collapsed="false">
      <c r="B102" s="4" t="n">
        <v>0.374486774750448</v>
      </c>
      <c r="C102" s="4" t="n">
        <f aca="false">(B102-B$344)/B$345</f>
        <v>0.917466434481443</v>
      </c>
      <c r="D102" s="4" t="n">
        <v>0.353006906494327</v>
      </c>
      <c r="E102" s="4" t="n">
        <f aca="false">(D102-D$344)/D$345</f>
        <v>0.864777635205738</v>
      </c>
      <c r="F102" s="4" t="n">
        <v>0.366250433461202</v>
      </c>
      <c r="G102" s="4" t="n">
        <f aca="false">(F102-F$344)/F$345</f>
        <v>0.848362746875614</v>
      </c>
      <c r="H102" s="4" t="n">
        <v>0.326305079388243</v>
      </c>
      <c r="I102" s="4" t="n">
        <f aca="false">(H102-H$344)/H$345</f>
        <v>0.386967760644569</v>
      </c>
      <c r="J102" s="4" t="n">
        <v>0.291327770037055</v>
      </c>
      <c r="K102" s="4" t="n">
        <f aca="false">(J102-J$344)/J$345</f>
        <v>0.466203725576568</v>
      </c>
    </row>
    <row r="103" customFormat="false" ht="14.25" hidden="false" customHeight="false" outlineLevel="0" collapsed="false">
      <c r="A103" s="0" t="s">
        <v>45</v>
      </c>
      <c r="B103" s="4" t="n">
        <v>0.0868547744972512</v>
      </c>
      <c r="C103" s="4" t="n">
        <f aca="false">(B103-B$344)/B$345</f>
        <v>-1.52229262006829</v>
      </c>
      <c r="D103" s="4" t="n">
        <v>0.162002927407979</v>
      </c>
      <c r="E103" s="4" t="n">
        <f aca="false">(D103-D$344)/D$345</f>
        <v>-1.22593338511377</v>
      </c>
      <c r="F103" s="4" t="n">
        <v>0.103097608646145</v>
      </c>
      <c r="G103" s="4" t="n">
        <f aca="false">(F103-F$344)/F$345</f>
        <v>-1.51368221965213</v>
      </c>
      <c r="H103" s="4" t="n">
        <v>0.0943737887079392</v>
      </c>
      <c r="I103" s="4" t="n">
        <f aca="false">(H103-H$344)/H$345</f>
        <v>-1.4017144297081</v>
      </c>
      <c r="J103" s="4" t="n">
        <v>0.0767222704532262</v>
      </c>
      <c r="K103" s="4" t="n">
        <f aca="false">(J103-J$344)/J$345</f>
        <v>-1.49582536303834</v>
      </c>
    </row>
    <row r="104" customFormat="false" ht="14.25" hidden="false" customHeight="false" outlineLevel="0" collapsed="false">
      <c r="B104" s="4" t="n">
        <v>0.110634462033796</v>
      </c>
      <c r="C104" s="4" t="n">
        <f aca="false">(B104-B$344)/B$345</f>
        <v>-1.3205879838297</v>
      </c>
      <c r="D104" s="4" t="n">
        <v>0.187434596405334</v>
      </c>
      <c r="E104" s="4" t="n">
        <f aca="false">(D104-D$344)/D$345</f>
        <v>-0.947560804122407</v>
      </c>
      <c r="F104" s="4" t="n">
        <v>0.130946934514462</v>
      </c>
      <c r="G104" s="4" t="n">
        <f aca="false">(F104-F$344)/F$345</f>
        <v>-1.26370823577156</v>
      </c>
      <c r="H104" s="4" t="n">
        <v>0.111890980158436</v>
      </c>
      <c r="I104" s="4" t="n">
        <f aca="false">(H104-H$344)/H$345</f>
        <v>-1.26661972868437</v>
      </c>
      <c r="J104" s="4" t="n">
        <v>0.0909930549573873</v>
      </c>
      <c r="K104" s="4" t="n">
        <f aca="false">(J104-J$344)/J$345</f>
        <v>-1.36535482817871</v>
      </c>
    </row>
    <row r="105" customFormat="false" ht="14.25" hidden="false" customHeight="false" outlineLevel="0" collapsed="false">
      <c r="B105" s="4" t="n">
        <v>0.143773448066767</v>
      </c>
      <c r="C105" s="4" t="n">
        <f aca="false">(B105-B$344)/B$345</f>
        <v>-1.03949568129951</v>
      </c>
      <c r="D105" s="4" t="n">
        <v>0.213772641070911</v>
      </c>
      <c r="E105" s="4" t="n">
        <f aca="false">(D105-D$344)/D$345</f>
        <v>-0.659267123020106</v>
      </c>
      <c r="F105" s="4" t="n">
        <v>0.163768165851579</v>
      </c>
      <c r="G105" s="4" t="n">
        <f aca="false">(F105-F$344)/F$345</f>
        <v>-0.969106707820776</v>
      </c>
      <c r="H105" s="4" t="n">
        <v>0.134461087396925</v>
      </c>
      <c r="I105" s="4" t="n">
        <f aca="false">(H105-H$344)/H$345</f>
        <v>-1.09255632941893</v>
      </c>
      <c r="J105" s="4" t="n">
        <v>0.110573338061573</v>
      </c>
      <c r="K105" s="4" t="n">
        <f aca="false">(J105-J$344)/J$345</f>
        <v>-1.18634224421312</v>
      </c>
    </row>
    <row r="106" customFormat="false" ht="14.25" hidden="false" customHeight="false" outlineLevel="0" collapsed="false">
      <c r="B106" s="4" t="n">
        <v>0.189900289444197</v>
      </c>
      <c r="C106" s="4" t="n">
        <f aca="false">(B106-B$344)/B$345</f>
        <v>-0.648237480510655</v>
      </c>
      <c r="D106" s="4" t="n">
        <v>0.240745421964242</v>
      </c>
      <c r="E106" s="4" t="n">
        <f aca="false">(D106-D$344)/D$345</f>
        <v>-0.364025680762736</v>
      </c>
      <c r="F106" s="4" t="n">
        <v>0.206356749600826</v>
      </c>
      <c r="G106" s="4" t="n">
        <f aca="false">(F106-F$344)/F$345</f>
        <v>-0.586833973537367</v>
      </c>
      <c r="H106" s="4" t="n">
        <v>0.171682024931947</v>
      </c>
      <c r="I106" s="4" t="n">
        <f aca="false">(H106-H$344)/H$345</f>
        <v>-0.805503953338756</v>
      </c>
      <c r="J106" s="4" t="n">
        <v>0.145065495181164</v>
      </c>
      <c r="K106" s="4" t="n">
        <f aca="false">(J106-J$344)/J$345</f>
        <v>-0.870997969583863</v>
      </c>
    </row>
    <row r="107" customFormat="false" ht="14.25" hidden="false" customHeight="false" outlineLevel="0" collapsed="false">
      <c r="B107" s="4" t="n">
        <v>0.236027130821627</v>
      </c>
      <c r="C107" s="4" t="n">
        <f aca="false">(B107-B$344)/B$345</f>
        <v>-0.256979279721802</v>
      </c>
      <c r="D107" s="4" t="n">
        <v>0.268244876803776</v>
      </c>
      <c r="E107" s="4" t="n">
        <f aca="false">(D107-D$344)/D$345</f>
        <v>-0.0630193165979257</v>
      </c>
      <c r="F107" s="4" t="n">
        <v>0.247781640921291</v>
      </c>
      <c r="G107" s="4" t="n">
        <f aca="false">(F107-F$344)/F$345</f>
        <v>-0.215006477095972</v>
      </c>
      <c r="H107" s="4" t="n">
        <v>0.20947007070117</v>
      </c>
      <c r="I107" s="4" t="n">
        <f aca="false">(H107-H$344)/H$345</f>
        <v>-0.514077969904689</v>
      </c>
      <c r="J107" s="4" t="n">
        <v>0.180380465391046</v>
      </c>
      <c r="K107" s="4" t="n">
        <f aca="false">(J107-J$344)/J$345</f>
        <v>-0.548131132761294</v>
      </c>
    </row>
    <row r="108" customFormat="false" ht="14.25" hidden="false" customHeight="false" outlineLevel="0" collapsed="false">
      <c r="B108" s="4" t="n">
        <v>0.282233091995588</v>
      </c>
      <c r="C108" s="4" t="n">
        <f aca="false">(B108-B$344)/B$345</f>
        <v>0.134950032903737</v>
      </c>
      <c r="D108" s="4" t="n">
        <v>0.296211096546674</v>
      </c>
      <c r="E108" s="4" t="n">
        <f aca="false">(D108-D$344)/D$345</f>
        <v>0.243096210904882</v>
      </c>
      <c r="F108" s="4" t="n">
        <v>0.288228083465787</v>
      </c>
      <c r="G108" s="4" t="n">
        <f aca="false">(F108-F$344)/F$345</f>
        <v>0.148038518120488</v>
      </c>
      <c r="H108" s="4" t="n">
        <v>0.247891501196002</v>
      </c>
      <c r="I108" s="4" t="n">
        <f aca="false">(H108-H$344)/H$345</f>
        <v>-0.217767246791835</v>
      </c>
      <c r="J108" s="4" t="n">
        <v>0.216580941479414</v>
      </c>
      <c r="K108" s="4" t="n">
        <f aca="false">(J108-J$344)/J$345</f>
        <v>-0.217168565423442</v>
      </c>
    </row>
    <row r="109" customFormat="false" ht="14.25" hidden="false" customHeight="false" outlineLevel="0" collapsed="false">
      <c r="B109" s="4" t="n">
        <v>0.328439053169549</v>
      </c>
      <c r="C109" s="4" t="n">
        <f aca="false">(B109-B$344)/B$345</f>
        <v>0.526879345529277</v>
      </c>
      <c r="D109" s="4" t="n">
        <v>0.324517798744556</v>
      </c>
      <c r="E109" s="4" t="n">
        <f aca="false">(D109-D$344)/D$345</f>
        <v>0.552938626320015</v>
      </c>
      <c r="F109" s="4" t="n">
        <v>0.327729685109247</v>
      </c>
      <c r="G109" s="4" t="n">
        <f aca="false">(F109-F$344)/F$345</f>
        <v>0.502602674508681</v>
      </c>
      <c r="H109" s="4" t="n">
        <v>0.286881987076337</v>
      </c>
      <c r="I109" s="4" t="n">
        <f aca="false">(H109-H$344)/H$345</f>
        <v>0.0829321003414759</v>
      </c>
      <c r="J109" s="4" t="n">
        <v>0.253607055765319</v>
      </c>
      <c r="K109" s="4" t="n">
        <f aca="false">(J109-J$344)/J$345</f>
        <v>0.121342392628444</v>
      </c>
    </row>
    <row r="110" customFormat="false" ht="14.25" hidden="false" customHeight="false" outlineLevel="0" collapsed="false">
      <c r="B110" s="4" t="n">
        <v>0.374486774750448</v>
      </c>
      <c r="C110" s="4" t="n">
        <f aca="false">(B110-B$344)/B$345</f>
        <v>0.917466434481443</v>
      </c>
      <c r="D110" s="4" t="n">
        <v>0.353006906494327</v>
      </c>
      <c r="E110" s="4" t="n">
        <f aca="false">(D110-D$344)/D$345</f>
        <v>0.864777635205738</v>
      </c>
      <c r="F110" s="4" t="n">
        <v>0.366250433461202</v>
      </c>
      <c r="G110" s="4" t="n">
        <f aca="false">(F110-F$344)/F$345</f>
        <v>0.848362746875614</v>
      </c>
      <c r="H110" s="4" t="n">
        <v>0.326305079388243</v>
      </c>
      <c r="I110" s="4" t="n">
        <f aca="false">(H110-H$344)/H$345</f>
        <v>0.386967760644569</v>
      </c>
      <c r="J110" s="4" t="n">
        <v>0.291327770037055</v>
      </c>
      <c r="K110" s="4" t="n">
        <f aca="false">(J110-J$344)/J$345</f>
        <v>0.466203725576568</v>
      </c>
    </row>
    <row r="111" customFormat="false" ht="14.25" hidden="false" customHeight="false" outlineLevel="0" collapsed="false">
      <c r="A111" s="0" t="s">
        <v>46</v>
      </c>
      <c r="B111" s="4" t="n">
        <v>0.137972481933548</v>
      </c>
      <c r="C111" s="4" t="n">
        <f aca="false">(B111-B$344)/B$345</f>
        <v>-1.08870077543437</v>
      </c>
      <c r="D111" s="4" t="n">
        <v>0.182495294299266</v>
      </c>
      <c r="E111" s="4" t="n">
        <f aca="false">(D111-D$344)/D$345</f>
        <v>-1.00162592567244</v>
      </c>
      <c r="F111" s="4" t="n">
        <v>0.150987268242868</v>
      </c>
      <c r="G111" s="4" t="n">
        <f aca="false">(F111-F$344)/F$345</f>
        <v>-1.08382732647869</v>
      </c>
      <c r="H111" s="4" t="n">
        <v>0.146973606180786</v>
      </c>
      <c r="I111" s="4" t="n">
        <f aca="false">(H111-H$344)/H$345</f>
        <v>-0.996058269844917</v>
      </c>
      <c r="J111" s="4" t="n">
        <v>0.125101939762885</v>
      </c>
      <c r="K111" s="4" t="n">
        <f aca="false">(J111-J$344)/J$345</f>
        <v>-1.05351461766044</v>
      </c>
    </row>
    <row r="112" customFormat="false" ht="14.25" hidden="false" customHeight="false" outlineLevel="0" collapsed="false">
      <c r="B112" s="4" t="n">
        <v>0.1617829956565</v>
      </c>
      <c r="C112" s="4" t="n">
        <f aca="false">(B112-B$344)/B$345</f>
        <v>-0.886734664577734</v>
      </c>
      <c r="D112" s="4" t="n">
        <v>0.198056073163803</v>
      </c>
      <c r="E112" s="4" t="n">
        <f aca="false">(D112-D$344)/D$345</f>
        <v>-0.831299150217494</v>
      </c>
      <c r="F112" s="4" t="n">
        <v>0.173464756909523</v>
      </c>
      <c r="G112" s="4" t="n">
        <f aca="false">(F112-F$344)/F$345</f>
        <v>-0.882070651426583</v>
      </c>
      <c r="H112" s="4" t="n">
        <v>0.168834931629962</v>
      </c>
      <c r="I112" s="4" t="n">
        <f aca="false">(H112-H$344)/H$345</f>
        <v>-0.827461081540802</v>
      </c>
      <c r="J112" s="4" t="n">
        <v>0.145440348258667</v>
      </c>
      <c r="K112" s="4" t="n">
        <f aca="false">(J112-J$344)/J$345</f>
        <v>-0.867570878277054</v>
      </c>
    </row>
    <row r="113" customFormat="false" ht="14.25" hidden="false" customHeight="false" outlineLevel="0" collapsed="false">
      <c r="B113" s="4" t="n">
        <v>0.185675332450664</v>
      </c>
      <c r="C113" s="4" t="n">
        <f aca="false">(B113-B$344)/B$345</f>
        <v>-0.684074512103037</v>
      </c>
      <c r="D113" s="4" t="n">
        <v>0.213837980868549</v>
      </c>
      <c r="E113" s="4" t="n">
        <f aca="false">(D113-D$344)/D$345</f>
        <v>-0.658551919935643</v>
      </c>
      <c r="F113" s="4" t="n">
        <v>0.195661015918076</v>
      </c>
      <c r="G113" s="4" t="n">
        <f aca="false">(F113-F$344)/F$345</f>
        <v>-0.682838277980671</v>
      </c>
      <c r="H113" s="4" t="n">
        <v>0.191032462262697</v>
      </c>
      <c r="I113" s="4" t="n">
        <f aca="false">(H113-H$344)/H$345</f>
        <v>-0.656271038161488</v>
      </c>
      <c r="J113" s="4" t="n">
        <v>0.166250503888166</v>
      </c>
      <c r="K113" s="4" t="n">
        <f aca="false">(J113-J$344)/J$345</f>
        <v>-0.677314194441547</v>
      </c>
    </row>
    <row r="114" customFormat="false" ht="14.25" hidden="false" customHeight="false" outlineLevel="0" collapsed="false">
      <c r="B114" s="4" t="n">
        <v>0.209567669244829</v>
      </c>
      <c r="C114" s="4" t="n">
        <f aca="false">(B114-B$344)/B$345</f>
        <v>-0.481414359628341</v>
      </c>
      <c r="D114" s="4" t="n">
        <v>0.229762146668836</v>
      </c>
      <c r="E114" s="4" t="n">
        <f aca="false">(D114-D$344)/D$345</f>
        <v>-0.484247546344533</v>
      </c>
      <c r="F114" s="4" t="n">
        <v>0.217523053178486</v>
      </c>
      <c r="G114" s="4" t="n">
        <f aca="false">(F114-F$344)/F$345</f>
        <v>-0.486605860163061</v>
      </c>
      <c r="H114" s="4" t="n">
        <v>0.21349152107149</v>
      </c>
      <c r="I114" s="4" t="n">
        <f aca="false">(H114-H$344)/H$345</f>
        <v>-0.483064057828923</v>
      </c>
      <c r="J114" s="4" t="n">
        <v>0.187463204502612</v>
      </c>
      <c r="K114" s="4" t="n">
        <f aca="false">(J114-J$344)/J$345</f>
        <v>-0.483377246253674</v>
      </c>
    </row>
    <row r="115" customFormat="false" ht="14.25" hidden="false" customHeight="false" outlineLevel="0" collapsed="false">
      <c r="B115" s="4" t="n">
        <v>0.233460006038994</v>
      </c>
      <c r="C115" s="4" t="n">
        <f aca="false">(B115-B$344)/B$345</f>
        <v>-0.278754207153643</v>
      </c>
      <c r="D115" s="4" t="n">
        <v>0.245808095994327</v>
      </c>
      <c r="E115" s="4" t="n">
        <f aca="false">(D115-D$344)/D$345</f>
        <v>-0.308610142104251</v>
      </c>
      <c r="F115" s="4" t="n">
        <v>0.239074037894052</v>
      </c>
      <c r="G115" s="4" t="n">
        <f aca="false">(F115-F$344)/F$345</f>
        <v>-0.29316543250702</v>
      </c>
      <c r="H115" s="4" t="n">
        <v>0.236212108056339</v>
      </c>
      <c r="I115" s="4" t="n">
        <f aca="false">(H115-H$344)/H$345</f>
        <v>-0.307840140543104</v>
      </c>
      <c r="J115" s="4" t="n">
        <v>0.209078450102003</v>
      </c>
      <c r="K115" s="4" t="n">
        <f aca="false">(J115-J$344)/J$345</f>
        <v>-0.285760033713435</v>
      </c>
    </row>
    <row r="116" customFormat="false" ht="14.25" hidden="false" customHeight="false" outlineLevel="0" collapsed="false">
      <c r="A116" s="0" t="s">
        <v>47</v>
      </c>
      <c r="B116" s="4" t="n">
        <v>0.1617829956565</v>
      </c>
      <c r="C116" s="4" t="n">
        <f aca="false">(B116-B$344)/B$345</f>
        <v>-0.886734664577734</v>
      </c>
      <c r="D116" s="4" t="n">
        <v>0.198056073163803</v>
      </c>
      <c r="E116" s="4" t="n">
        <f aca="false">(D116-D$344)/D$345</f>
        <v>-0.831299150217494</v>
      </c>
      <c r="F116" s="4" t="n">
        <v>0.173464756909523</v>
      </c>
      <c r="G116" s="4" t="n">
        <f aca="false">(F116-F$344)/F$345</f>
        <v>-0.882070651426583</v>
      </c>
      <c r="H116" s="4" t="n">
        <v>0.168834931629962</v>
      </c>
      <c r="I116" s="4" t="n">
        <f aca="false">(H116-H$344)/H$345</f>
        <v>-0.827461081540802</v>
      </c>
      <c r="J116" s="4" t="n">
        <v>0.145440348258667</v>
      </c>
      <c r="K116" s="4" t="n">
        <f aca="false">(J116-J$344)/J$345</f>
        <v>-0.867570878277054</v>
      </c>
    </row>
    <row r="117" customFormat="false" ht="14.25" hidden="false" customHeight="false" outlineLevel="0" collapsed="false">
      <c r="B117" s="4" t="n">
        <v>0.185675332450664</v>
      </c>
      <c r="C117" s="4" t="n">
        <f aca="false">(B117-B$344)/B$345</f>
        <v>-0.684074512103037</v>
      </c>
      <c r="D117" s="4" t="n">
        <v>0.213837980868549</v>
      </c>
      <c r="E117" s="4" t="n">
        <f aca="false">(D117-D$344)/D$345</f>
        <v>-0.658551919935643</v>
      </c>
      <c r="F117" s="4" t="n">
        <v>0.195661015918076</v>
      </c>
      <c r="G117" s="4" t="n">
        <f aca="false">(F117-F$344)/F$345</f>
        <v>-0.682838277980671</v>
      </c>
      <c r="H117" s="4" t="n">
        <v>0.191032462262697</v>
      </c>
      <c r="I117" s="4" t="n">
        <f aca="false">(H117-H$344)/H$345</f>
        <v>-0.656271038161488</v>
      </c>
      <c r="J117" s="4" t="n">
        <v>0.166250503888166</v>
      </c>
      <c r="K117" s="4" t="n">
        <f aca="false">(J117-J$344)/J$345</f>
        <v>-0.677314194441547</v>
      </c>
    </row>
    <row r="118" customFormat="false" ht="14.25" hidden="false" customHeight="false" outlineLevel="0" collapsed="false">
      <c r="B118" s="4" t="n">
        <v>0.209567669244829</v>
      </c>
      <c r="C118" s="4" t="n">
        <f aca="false">(B118-B$344)/B$345</f>
        <v>-0.481414359628341</v>
      </c>
      <c r="D118" s="4" t="n">
        <v>0.229762146668836</v>
      </c>
      <c r="E118" s="4" t="n">
        <f aca="false">(D118-D$344)/D$345</f>
        <v>-0.484247546344533</v>
      </c>
      <c r="F118" s="4" t="n">
        <v>0.217523053178486</v>
      </c>
      <c r="G118" s="4" t="n">
        <f aca="false">(F118-F$344)/F$345</f>
        <v>-0.486605860163061</v>
      </c>
      <c r="H118" s="4" t="n">
        <v>0.21349152107149</v>
      </c>
      <c r="I118" s="4" t="n">
        <f aca="false">(H118-H$344)/H$345</f>
        <v>-0.483064057828923</v>
      </c>
      <c r="J118" s="4" t="n">
        <v>0.187463204502612</v>
      </c>
      <c r="K118" s="4" t="n">
        <f aca="false">(J118-J$344)/J$345</f>
        <v>-0.483377246253674</v>
      </c>
    </row>
    <row r="119" customFormat="false" ht="14.25" hidden="false" customHeight="false" outlineLevel="0" collapsed="false">
      <c r="B119" s="4" t="n">
        <v>0.233460006038994</v>
      </c>
      <c r="C119" s="4" t="n">
        <f aca="false">(B119-B$344)/B$345</f>
        <v>-0.278754207153643</v>
      </c>
      <c r="D119" s="4" t="n">
        <v>0.245808095994327</v>
      </c>
      <c r="E119" s="4" t="n">
        <f aca="false">(D119-D$344)/D$345</f>
        <v>-0.308610142104251</v>
      </c>
      <c r="F119" s="4" t="n">
        <v>0.239074037894052</v>
      </c>
      <c r="G119" s="4" t="n">
        <f aca="false">(F119-F$344)/F$345</f>
        <v>-0.29316543250702</v>
      </c>
      <c r="H119" s="4" t="n">
        <v>0.236212108056339</v>
      </c>
      <c r="I119" s="4" t="n">
        <f aca="false">(H119-H$344)/H$345</f>
        <v>-0.307840140543104</v>
      </c>
      <c r="J119" s="4" t="n">
        <v>0.209078450102003</v>
      </c>
      <c r="K119" s="4" t="n">
        <f aca="false">(J119-J$344)/J$345</f>
        <v>-0.285760033713435</v>
      </c>
    </row>
    <row r="120" customFormat="false" ht="14.25" hidden="false" customHeight="false" outlineLevel="0" collapsed="false">
      <c r="A120" s="0" t="s">
        <v>48</v>
      </c>
      <c r="B120" s="4" t="n">
        <v>0.0721486096686359</v>
      </c>
      <c r="C120" s="4" t="n">
        <f aca="false">(B120-B$344)/B$345</f>
        <v>-1.64703360426592</v>
      </c>
      <c r="D120" s="4" t="n">
        <v>0.12378021696302</v>
      </c>
      <c r="E120" s="4" t="n">
        <f aca="false">(D120-D$344)/D$345</f>
        <v>-1.64431546456581</v>
      </c>
      <c r="F120" s="4" t="n">
        <v>0.0821735995037909</v>
      </c>
      <c r="G120" s="4" t="n">
        <f aca="false">(F120-F$344)/F$345</f>
        <v>-1.70149494979863</v>
      </c>
      <c r="H120" s="4" t="n">
        <v>0.0716072732235699</v>
      </c>
      <c r="I120" s="4" t="n">
        <f aca="false">(H120-H$344)/H$345</f>
        <v>-1.57729255314212</v>
      </c>
      <c r="J120" s="4" t="n">
        <v>0.0578325526826302</v>
      </c>
      <c r="K120" s="4" t="n">
        <f aca="false">(J120-J$344)/J$345</f>
        <v>-1.66852445888401</v>
      </c>
    </row>
    <row r="121" customFormat="false" ht="14.25" hidden="false" customHeight="false" outlineLevel="0" collapsed="false">
      <c r="B121" s="4" t="n">
        <v>0.126495367577407</v>
      </c>
      <c r="C121" s="4" t="n">
        <f aca="false">(B121-B$344)/B$345</f>
        <v>-1.18605223023025</v>
      </c>
      <c r="D121" s="4" t="n">
        <v>0.175544712523049</v>
      </c>
      <c r="E121" s="4" t="n">
        <f aca="false">(D121-D$344)/D$345</f>
        <v>-1.07770631932016</v>
      </c>
      <c r="F121" s="4" t="n">
        <v>0.144314248491114</v>
      </c>
      <c r="G121" s="4" t="n">
        <f aca="false">(F121-F$344)/F$345</f>
        <v>-1.1437239767512</v>
      </c>
      <c r="H121" s="4" t="n">
        <v>0.105950221104868</v>
      </c>
      <c r="I121" s="4" t="n">
        <f aca="false">(H121-H$344)/H$345</f>
        <v>-1.31243558166878</v>
      </c>
      <c r="J121" s="4" t="n">
        <v>0.0864411644591865</v>
      </c>
      <c r="K121" s="4" t="n">
        <f aca="false">(J121-J$344)/J$345</f>
        <v>-1.40697045118455</v>
      </c>
    </row>
    <row r="122" customFormat="false" ht="14.25" hidden="false" customHeight="false" outlineLevel="0" collapsed="false">
      <c r="B122" s="4" t="n">
        <v>0.206764713452553</v>
      </c>
      <c r="C122" s="4" t="n">
        <f aca="false">(B122-B$344)/B$345</f>
        <v>-0.505189658509159</v>
      </c>
      <c r="D122" s="4" t="n">
        <v>0.232689328078165</v>
      </c>
      <c r="E122" s="4" t="n">
        <f aca="false">(D122-D$344)/D$345</f>
        <v>-0.452206902687622</v>
      </c>
      <c r="F122" s="4" t="n">
        <v>0.216027414567639</v>
      </c>
      <c r="G122" s="4" t="n">
        <f aca="false">(F122-F$344)/F$345</f>
        <v>-0.500030628280132</v>
      </c>
      <c r="H122" s="4" t="n">
        <v>0.145486005898154</v>
      </c>
      <c r="I122" s="4" t="n">
        <f aca="false">(H122-H$344)/H$345</f>
        <v>-1.00753082330721</v>
      </c>
      <c r="J122" s="4" t="n">
        <v>0.122096151661929</v>
      </c>
      <c r="K122" s="4" t="n">
        <f aca="false">(J122-J$344)/J$345</f>
        <v>-1.08099501168447</v>
      </c>
    </row>
    <row r="123" customFormat="false" ht="14.25" hidden="false" customHeight="false" outlineLevel="0" collapsed="false">
      <c r="A123" s="0" t="s">
        <v>49</v>
      </c>
      <c r="B123" s="4" t="n">
        <v>0.126495367577407</v>
      </c>
      <c r="C123" s="4" t="n">
        <f aca="false">(B123-B$344)/B$345</f>
        <v>-1.18605223023025</v>
      </c>
      <c r="D123" s="4" t="n">
        <v>0.175544712523049</v>
      </c>
      <c r="E123" s="4" t="n">
        <f aca="false">(D123-D$344)/D$345</f>
        <v>-1.07770631932016</v>
      </c>
      <c r="F123" s="4" t="n">
        <v>0.144314248491114</v>
      </c>
      <c r="G123" s="4" t="n">
        <f aca="false">(F123-F$344)/F$345</f>
        <v>-1.1437239767512</v>
      </c>
      <c r="H123" s="4" t="n">
        <v>0.105950221104868</v>
      </c>
      <c r="I123" s="4" t="n">
        <f aca="false">(H123-H$344)/H$345</f>
        <v>-1.31243558166878</v>
      </c>
      <c r="J123" s="4" t="n">
        <v>0.0864411644591865</v>
      </c>
      <c r="K123" s="4" t="n">
        <f aca="false">(J123-J$344)/J$345</f>
        <v>-1.40697045118455</v>
      </c>
    </row>
    <row r="124" customFormat="false" ht="14.25" hidden="false" customHeight="false" outlineLevel="0" collapsed="false">
      <c r="B124" s="4" t="n">
        <v>0.206764713452553</v>
      </c>
      <c r="C124" s="4" t="n">
        <f aca="false">(B124-B$344)/B$345</f>
        <v>-0.505189658509159</v>
      </c>
      <c r="D124" s="4" t="n">
        <v>0.232689328078165</v>
      </c>
      <c r="E124" s="4" t="n">
        <f aca="false">(D124-D$344)/D$345</f>
        <v>-0.452206902687622</v>
      </c>
      <c r="F124" s="4" t="n">
        <v>0.216027414567639</v>
      </c>
      <c r="G124" s="4" t="n">
        <f aca="false">(F124-F$344)/F$345</f>
        <v>-0.500030628280132</v>
      </c>
      <c r="H124" s="4" t="n">
        <v>0.145486005898154</v>
      </c>
      <c r="I124" s="4" t="n">
        <f aca="false">(H124-H$344)/H$345</f>
        <v>-1.00753082330721</v>
      </c>
      <c r="J124" s="4" t="n">
        <v>0.122096151661929</v>
      </c>
      <c r="K124" s="4" t="n">
        <f aca="false">(J124-J$344)/J$345</f>
        <v>-1.08099501168447</v>
      </c>
    </row>
    <row r="125" customFormat="false" ht="14.25" hidden="false" customHeight="false" outlineLevel="0" collapsed="false">
      <c r="A125" s="0" t="s">
        <v>50</v>
      </c>
      <c r="B125" s="4" t="n">
        <v>0.09465062146128</v>
      </c>
      <c r="C125" s="4" t="n">
        <f aca="false">(B125-B$344)/B$345</f>
        <v>-1.45616649988128</v>
      </c>
      <c r="D125" s="4" t="n">
        <v>0.149398452118627</v>
      </c>
      <c r="E125" s="4" t="n">
        <f aca="false">(D125-D$344)/D$345</f>
        <v>-1.36390074851032</v>
      </c>
      <c r="F125" s="4" t="n">
        <v>0.112408507985114</v>
      </c>
      <c r="G125" s="4" t="n">
        <f aca="false">(F125-F$344)/F$345</f>
        <v>-1.43010811045185</v>
      </c>
      <c r="H125" s="4" t="n">
        <v>0.0889591877995229</v>
      </c>
      <c r="I125" s="4" t="n">
        <f aca="false">(H125-H$344)/H$345</f>
        <v>-1.44347248738261</v>
      </c>
      <c r="J125" s="4" t="n">
        <v>0.0721322386933796</v>
      </c>
      <c r="K125" s="4" t="n">
        <f aca="false">(J125-J$344)/J$345</f>
        <v>-1.53778969222817</v>
      </c>
    </row>
    <row r="126" customFormat="false" ht="14.25" hidden="false" customHeight="false" outlineLevel="0" collapsed="false">
      <c r="B126" s="4" t="n">
        <v>0.139541279568162</v>
      </c>
      <c r="C126" s="4" t="n">
        <f aca="false">(B126-B$344)/B$345</f>
        <v>-1.07539388249326</v>
      </c>
      <c r="D126" s="4" t="n">
        <v>0.186445344817555</v>
      </c>
      <c r="E126" s="4" t="n">
        <f aca="false">(D126-D$344)/D$345</f>
        <v>-0.958389056006638</v>
      </c>
      <c r="F126" s="4" t="n">
        <v>0.156962897990093</v>
      </c>
      <c r="G126" s="4" t="n">
        <f aca="false">(F126-F$344)/F$345</f>
        <v>-1.03019040969398</v>
      </c>
      <c r="H126" s="4" t="n">
        <v>0.112789337104005</v>
      </c>
      <c r="I126" s="4" t="n">
        <f aca="false">(H126-H$344)/H$345</f>
        <v>-1.25969149116883</v>
      </c>
      <c r="J126" s="4" t="n">
        <v>0.0924949829746282</v>
      </c>
      <c r="K126" s="4" t="n">
        <f aca="false">(J126-J$344)/J$345</f>
        <v>-1.35162346311795</v>
      </c>
    </row>
    <row r="127" customFormat="false" ht="14.25" hidden="false" customHeight="false" outlineLevel="0" collapsed="false">
      <c r="B127" s="4" t="n">
        <v>0.193117250188814</v>
      </c>
      <c r="C127" s="4" t="n">
        <f aca="false">(B127-B$344)/B$345</f>
        <v>-0.620950498888646</v>
      </c>
      <c r="D127" s="4" t="n">
        <v>0.225496063558087</v>
      </c>
      <c r="E127" s="4" t="n">
        <f aca="false">(D127-D$344)/D$345</f>
        <v>-0.530943678100038</v>
      </c>
      <c r="F127" s="4" t="n">
        <v>0.204796274441462</v>
      </c>
      <c r="G127" s="4" t="n">
        <f aca="false">(F127-F$344)/F$345</f>
        <v>-0.600840710870157</v>
      </c>
      <c r="H127" s="4" t="n">
        <v>0.137503163587996</v>
      </c>
      <c r="I127" s="4" t="n">
        <f aca="false">(H127-H$344)/H$345</f>
        <v>-1.06909546957245</v>
      </c>
      <c r="J127" s="4" t="n">
        <v>0.114590841999102</v>
      </c>
      <c r="K127" s="4" t="n">
        <f aca="false">(J127-J$344)/J$345</f>
        <v>-1.14961224612667</v>
      </c>
    </row>
    <row r="128" customFormat="false" ht="14.25" hidden="false" customHeight="false" outlineLevel="0" collapsed="false">
      <c r="A128" s="0" t="s">
        <v>51</v>
      </c>
      <c r="B128" s="4" t="n">
        <v>0.09465062146128</v>
      </c>
      <c r="C128" s="4" t="n">
        <f aca="false">(B128-B$344)/B$345</f>
        <v>-1.45616649988128</v>
      </c>
      <c r="D128" s="4" t="n">
        <v>0.149398452118627</v>
      </c>
      <c r="E128" s="4" t="n">
        <f aca="false">(D128-D$344)/D$345</f>
        <v>-1.36390074851032</v>
      </c>
      <c r="F128" s="4" t="n">
        <v>0.112408507985114</v>
      </c>
      <c r="G128" s="4" t="n">
        <f aca="false">(F128-F$344)/F$345</f>
        <v>-1.43010811045185</v>
      </c>
      <c r="H128" s="4" t="n">
        <v>0.0889591877995229</v>
      </c>
      <c r="I128" s="4" t="n">
        <f aca="false">(H128-H$344)/H$345</f>
        <v>-1.44347248738261</v>
      </c>
      <c r="J128" s="4" t="n">
        <v>0.0721322386933796</v>
      </c>
      <c r="K128" s="4" t="n">
        <f aca="false">(J128-J$344)/J$345</f>
        <v>-1.53778969222817</v>
      </c>
    </row>
    <row r="129" customFormat="false" ht="14.25" hidden="false" customHeight="false" outlineLevel="0" collapsed="false">
      <c r="B129" s="4" t="n">
        <v>0.139541279568162</v>
      </c>
      <c r="C129" s="4" t="n">
        <f aca="false">(B129-B$344)/B$345</f>
        <v>-1.07539388249326</v>
      </c>
      <c r="D129" s="4" t="n">
        <v>0.186445344817555</v>
      </c>
      <c r="E129" s="4" t="n">
        <f aca="false">(D129-D$344)/D$345</f>
        <v>-0.958389056006638</v>
      </c>
      <c r="F129" s="4" t="n">
        <v>0.156962897990093</v>
      </c>
      <c r="G129" s="4" t="n">
        <f aca="false">(F129-F$344)/F$345</f>
        <v>-1.03019040969398</v>
      </c>
      <c r="H129" s="4" t="n">
        <v>0.112789337104005</v>
      </c>
      <c r="I129" s="4" t="n">
        <f aca="false">(H129-H$344)/H$345</f>
        <v>-1.25969149116883</v>
      </c>
      <c r="J129" s="4" t="n">
        <v>0.0924949829746282</v>
      </c>
      <c r="K129" s="4" t="n">
        <f aca="false">(J129-J$344)/J$345</f>
        <v>-1.35162346311795</v>
      </c>
    </row>
    <row r="130" customFormat="false" ht="14.25" hidden="false" customHeight="false" outlineLevel="0" collapsed="false">
      <c r="B130" s="4" t="n">
        <v>0.193117250188814</v>
      </c>
      <c r="C130" s="4" t="n">
        <f aca="false">(B130-B$344)/B$345</f>
        <v>-0.620950498888646</v>
      </c>
      <c r="D130" s="4" t="n">
        <v>0.225496063558087</v>
      </c>
      <c r="E130" s="4" t="n">
        <f aca="false">(D130-D$344)/D$345</f>
        <v>-0.530943678100038</v>
      </c>
      <c r="F130" s="4" t="n">
        <v>0.204796274441462</v>
      </c>
      <c r="G130" s="4" t="n">
        <f aca="false">(F130-F$344)/F$345</f>
        <v>-0.600840710870157</v>
      </c>
      <c r="H130" s="4" t="n">
        <v>0.137503163587996</v>
      </c>
      <c r="I130" s="4" t="n">
        <f aca="false">(H130-H$344)/H$345</f>
        <v>-1.06909546957245</v>
      </c>
      <c r="J130" s="4" t="n">
        <v>0.114590841999102</v>
      </c>
      <c r="K130" s="4" t="n">
        <f aca="false">(J130-J$344)/J$345</f>
        <v>-1.14961224612667</v>
      </c>
    </row>
    <row r="131" customFormat="false" ht="14.25" hidden="false" customHeight="false" outlineLevel="0" collapsed="false">
      <c r="A131" s="0" t="s">
        <v>52</v>
      </c>
      <c r="B131" s="4" t="n">
        <v>0.110097139750237</v>
      </c>
      <c r="C131" s="4" t="n">
        <f aca="false">(B131-B$344)/B$345</f>
        <v>-1.32514567179686</v>
      </c>
      <c r="D131" s="4" t="n">
        <v>0.163520073443616</v>
      </c>
      <c r="E131" s="4" t="n">
        <f aca="false">(D131-D$344)/D$345</f>
        <v>-1.20932685182943</v>
      </c>
      <c r="F131" s="4" t="n">
        <v>0.128084351470773</v>
      </c>
      <c r="G131" s="4" t="n">
        <f aca="false">(F131-F$344)/F$345</f>
        <v>-1.28940262029646</v>
      </c>
      <c r="H131" s="4" t="n">
        <v>0.0978158966346447</v>
      </c>
      <c r="I131" s="4" t="n">
        <f aca="false">(H131-H$344)/H$345</f>
        <v>-1.37516847669024</v>
      </c>
      <c r="J131" s="4" t="n">
        <v>0.079122886955511</v>
      </c>
      <c r="K131" s="4" t="n">
        <f aca="false">(J131-J$344)/J$345</f>
        <v>-1.47387774558573</v>
      </c>
    </row>
    <row r="132" customFormat="false" ht="14.25" hidden="false" customHeight="false" outlineLevel="0" collapsed="false">
      <c r="B132" s="4" t="n">
        <v>0.145592618189255</v>
      </c>
      <c r="C132" s="4" t="n">
        <f aca="false">(B132-B$344)/B$345</f>
        <v>-1.02406507283383</v>
      </c>
      <c r="D132" s="4" t="n">
        <v>0.192017406316629</v>
      </c>
      <c r="E132" s="4" t="n">
        <f aca="false">(D132-D$344)/D$345</f>
        <v>-0.897397811542845</v>
      </c>
      <c r="F132" s="4" t="n">
        <v>0.162317820802941</v>
      </c>
      <c r="G132" s="4" t="n">
        <f aca="false">(F132-F$344)/F$345</f>
        <v>-0.982124923468932</v>
      </c>
      <c r="H132" s="4" t="n">
        <v>0.116013000745613</v>
      </c>
      <c r="I132" s="4" t="n">
        <f aca="false">(H132-H$344)/H$345</f>
        <v>-1.23483020692159</v>
      </c>
      <c r="J132" s="4" t="n">
        <v>0.0950594340156868</v>
      </c>
      <c r="K132" s="4" t="n">
        <f aca="false">(J132-J$344)/J$345</f>
        <v>-1.3281779896858</v>
      </c>
    </row>
    <row r="133" customFormat="false" ht="14.25" hidden="false" customHeight="false" outlineLevel="0" collapsed="false">
      <c r="B133" s="4" t="n">
        <v>0.186039638060579</v>
      </c>
      <c r="C133" s="4" t="n">
        <f aca="false">(B133-B$344)/B$345</f>
        <v>-0.68098439031676</v>
      </c>
      <c r="D133" s="4" t="n">
        <v>0.221543371840981</v>
      </c>
      <c r="E133" s="4" t="n">
        <f aca="false">(D133-D$344)/D$345</f>
        <v>-0.574209458071797</v>
      </c>
      <c r="F133" s="4" t="n">
        <v>0.198312811931931</v>
      </c>
      <c r="G133" s="4" t="n">
        <f aca="false">(F133-F$344)/F$345</f>
        <v>-0.659035905989466</v>
      </c>
      <c r="H133" s="4" t="n">
        <v>0.134719651949211</v>
      </c>
      <c r="I133" s="4" t="n">
        <f aca="false">(H133-H$344)/H$345</f>
        <v>-1.09056224829096</v>
      </c>
      <c r="J133" s="4" t="n">
        <v>0.112057848743672</v>
      </c>
      <c r="K133" s="4" t="n">
        <f aca="false">(J133-J$344)/J$345</f>
        <v>-1.17277011700163</v>
      </c>
    </row>
    <row r="134" customFormat="false" ht="14.25" hidden="false" customHeight="false" outlineLevel="0" collapsed="false">
      <c r="A134" s="0" t="s">
        <v>53</v>
      </c>
      <c r="B134" s="4" t="n">
        <v>0.110097139750237</v>
      </c>
      <c r="C134" s="4" t="n">
        <f aca="false">(B134-B$344)/B$345</f>
        <v>-1.32514567179686</v>
      </c>
      <c r="D134" s="4" t="n">
        <v>0.163520073443616</v>
      </c>
      <c r="E134" s="4" t="n">
        <f aca="false">(D134-D$344)/D$345</f>
        <v>-1.20932685182943</v>
      </c>
      <c r="F134" s="4" t="n">
        <v>0.128084351470773</v>
      </c>
      <c r="G134" s="4" t="n">
        <f aca="false">(F134-F$344)/F$345</f>
        <v>-1.28940262029646</v>
      </c>
      <c r="H134" s="4" t="n">
        <v>0.0978158966346447</v>
      </c>
      <c r="I134" s="4" t="n">
        <f aca="false">(H134-H$344)/H$345</f>
        <v>-1.37516847669024</v>
      </c>
      <c r="J134" s="4" t="n">
        <v>0.079122886955511</v>
      </c>
      <c r="K134" s="4" t="n">
        <f aca="false">(J134-J$344)/J$345</f>
        <v>-1.47387774558573</v>
      </c>
    </row>
    <row r="135" customFormat="false" ht="14.25" hidden="false" customHeight="false" outlineLevel="0" collapsed="false">
      <c r="B135" s="4" t="n">
        <v>0.145592618189255</v>
      </c>
      <c r="C135" s="4" t="n">
        <f aca="false">(B135-B$344)/B$345</f>
        <v>-1.02406507283383</v>
      </c>
      <c r="D135" s="4" t="n">
        <v>0.192017406316629</v>
      </c>
      <c r="E135" s="4" t="n">
        <f aca="false">(D135-D$344)/D$345</f>
        <v>-0.897397811542845</v>
      </c>
      <c r="F135" s="4" t="n">
        <v>0.162317820802941</v>
      </c>
      <c r="G135" s="4" t="n">
        <f aca="false">(F135-F$344)/F$345</f>
        <v>-0.982124923468932</v>
      </c>
      <c r="H135" s="4" t="n">
        <v>0.116013000745613</v>
      </c>
      <c r="I135" s="4" t="n">
        <f aca="false">(H135-H$344)/H$345</f>
        <v>-1.23483020692159</v>
      </c>
      <c r="J135" s="4" t="n">
        <v>0.0950594340156868</v>
      </c>
      <c r="K135" s="4" t="n">
        <f aca="false">(J135-J$344)/J$345</f>
        <v>-1.3281779896858</v>
      </c>
    </row>
    <row r="136" customFormat="false" ht="14.25" hidden="false" customHeight="false" outlineLevel="0" collapsed="false">
      <c r="B136" s="4" t="n">
        <v>0.186039638060579</v>
      </c>
      <c r="C136" s="4" t="n">
        <f aca="false">(B136-B$344)/B$345</f>
        <v>-0.68098439031676</v>
      </c>
      <c r="D136" s="4" t="n">
        <v>0.221543371840981</v>
      </c>
      <c r="E136" s="4" t="n">
        <f aca="false">(D136-D$344)/D$345</f>
        <v>-0.574209458071797</v>
      </c>
      <c r="F136" s="4" t="n">
        <v>0.198312811931931</v>
      </c>
      <c r="G136" s="4" t="n">
        <f aca="false">(F136-F$344)/F$345</f>
        <v>-0.659035905989466</v>
      </c>
      <c r="H136" s="4" t="n">
        <v>0.134719651949211</v>
      </c>
      <c r="I136" s="4" t="n">
        <f aca="false">(H136-H$344)/H$345</f>
        <v>-1.09056224829096</v>
      </c>
      <c r="J136" s="4" t="n">
        <v>0.112057848743672</v>
      </c>
      <c r="K136" s="4" t="n">
        <f aca="false">(J136-J$344)/J$345</f>
        <v>-1.17277011700163</v>
      </c>
    </row>
    <row r="137" customFormat="false" ht="14.25" hidden="false" customHeight="false" outlineLevel="0" collapsed="false">
      <c r="A137" s="0" t="s">
        <v>54</v>
      </c>
      <c r="B137" s="4" t="n">
        <v>0.209770022133912</v>
      </c>
      <c r="C137" s="4" t="n">
        <f aca="false">(B137-B$344)/B$345</f>
        <v>-0.479697957096912</v>
      </c>
      <c r="D137" s="4" t="n">
        <v>0.266142811506806</v>
      </c>
      <c r="E137" s="4" t="n">
        <f aca="false">(D137-D$344)/D$345</f>
        <v>-0.0860283193570731</v>
      </c>
      <c r="F137" s="4" t="n">
        <v>0.24237273712832</v>
      </c>
      <c r="G137" s="4" t="n">
        <f aca="false">(F137-F$344)/F$345</f>
        <v>-0.26355649356491</v>
      </c>
      <c r="H137" s="4" t="n">
        <v>0.166899071698985</v>
      </c>
      <c r="I137" s="4" t="n">
        <f aca="false">(H137-H$344)/H$345</f>
        <v>-0.842390667675553</v>
      </c>
      <c r="J137" s="4" t="n">
        <v>0.147756877901692</v>
      </c>
      <c r="K137" s="4" t="n">
        <f aca="false">(J137-J$344)/J$345</f>
        <v>-0.84639202427253</v>
      </c>
    </row>
    <row r="138" customFormat="false" ht="14.25" hidden="false" customHeight="false" outlineLevel="0" collapsed="false">
      <c r="B138" s="4" t="n">
        <v>0.24159117361764</v>
      </c>
      <c r="C138" s="4" t="n">
        <f aca="false">(B138-B$344)/B$345</f>
        <v>-0.209783822402984</v>
      </c>
      <c r="D138" s="4" t="n">
        <v>0.29093276064167</v>
      </c>
      <c r="E138" s="4" t="n">
        <f aca="false">(D138-D$344)/D$345</f>
        <v>0.185320058291061</v>
      </c>
      <c r="F138" s="4" t="n">
        <v>0.272331023639504</v>
      </c>
      <c r="G138" s="4" t="n">
        <f aca="false">(F138-F$344)/F$345</f>
        <v>0.00534740252387531</v>
      </c>
      <c r="H138" s="4" t="n">
        <v>0.180357902641865</v>
      </c>
      <c r="I138" s="4" t="n">
        <f aca="false">(H138-H$344)/H$345</f>
        <v>-0.738594534174616</v>
      </c>
      <c r="J138" s="4" t="n">
        <v>0.160631647724234</v>
      </c>
      <c r="K138" s="4" t="n">
        <f aca="false">(J138-J$344)/J$345</f>
        <v>-0.728684542637457</v>
      </c>
    </row>
    <row r="139" customFormat="false" ht="14.25" hidden="false" customHeight="false" outlineLevel="0" collapsed="false">
      <c r="B139" s="4" t="n">
        <v>0.280370550225811</v>
      </c>
      <c r="C139" s="4" t="n">
        <f aca="false">(B139-B$344)/B$345</f>
        <v>0.119151536410682</v>
      </c>
      <c r="D139" s="4" t="n">
        <v>0.319575246367168</v>
      </c>
      <c r="E139" s="4" t="n">
        <f aca="false">(D139-D$344)/D$345</f>
        <v>0.498837927615514</v>
      </c>
      <c r="F139" s="4" t="n">
        <v>0.307201692963915</v>
      </c>
      <c r="G139" s="4" t="n">
        <f aca="false">(F139-F$344)/F$345</f>
        <v>0.318344570671564</v>
      </c>
      <c r="H139" s="4" t="n">
        <v>0.195704579187509</v>
      </c>
      <c r="I139" s="4" t="n">
        <f aca="false">(H139-H$344)/H$345</f>
        <v>-0.620239106850525</v>
      </c>
      <c r="J139" s="4" t="n">
        <v>0.175563183910302</v>
      </c>
      <c r="K139" s="4" t="n">
        <f aca="false">(J139-J$344)/J$345</f>
        <v>-0.592173090733457</v>
      </c>
    </row>
    <row r="140" customFormat="false" ht="14.25" hidden="false" customHeight="false" outlineLevel="0" collapsed="false">
      <c r="B140" s="4" t="n">
        <v>0.316983592756501</v>
      </c>
      <c r="C140" s="4" t="n">
        <f aca="false">(B140-B$344)/B$345</f>
        <v>0.429711564329106</v>
      </c>
      <c r="D140" s="4" t="n">
        <v>0.345257394061301</v>
      </c>
      <c r="E140" s="4" t="n">
        <f aca="false">(D140-D$344)/D$345</f>
        <v>0.779952224115708</v>
      </c>
      <c r="F140" s="4" t="n">
        <v>0.338662113309941</v>
      </c>
      <c r="G140" s="4" t="n">
        <f aca="false">(F140-F$344)/F$345</f>
        <v>0.600731535642972</v>
      </c>
      <c r="H140" s="4" t="n">
        <v>0.209328118619293</v>
      </c>
      <c r="I140" s="4" t="n">
        <f aca="false">(H140-H$344)/H$345</f>
        <v>-0.515172721544244</v>
      </c>
      <c r="J140" s="4" t="n">
        <v>0.18903818382788</v>
      </c>
      <c r="K140" s="4" t="n">
        <f aca="false">(J140-J$344)/J$345</f>
        <v>-0.468978010184998</v>
      </c>
    </row>
    <row r="141" customFormat="false" ht="14.25" hidden="false" customHeight="false" outlineLevel="0" collapsed="false">
      <c r="B141" s="4" t="n">
        <v>0.361212647008122</v>
      </c>
      <c r="C141" s="4" t="n">
        <f aca="false">(B141-B$344)/B$345</f>
        <v>0.804872309620228</v>
      </c>
      <c r="D141" s="4" t="n">
        <v>0.374758865433314</v>
      </c>
      <c r="E141" s="4" t="n">
        <f aca="false">(D141-D$344)/D$345</f>
        <v>1.10287246697214</v>
      </c>
      <c r="F141" s="4" t="n">
        <v>0.374995329550536</v>
      </c>
      <c r="G141" s="4" t="n">
        <f aca="false">(F141-F$344)/F$345</f>
        <v>0.926856442716184</v>
      </c>
      <c r="H141" s="4" t="n">
        <v>0.22489641587884</v>
      </c>
      <c r="I141" s="4" t="n">
        <f aca="false">(H141-H$344)/H$345</f>
        <v>-0.395108128446057</v>
      </c>
      <c r="J141" s="4" t="n">
        <v>0.204684931881469</v>
      </c>
      <c r="K141" s="4" t="n">
        <f aca="false">(J141-J$344)/J$345</f>
        <v>-0.325927739418858</v>
      </c>
    </row>
    <row r="142" customFormat="false" ht="14.25" hidden="false" customHeight="false" outlineLevel="0" collapsed="false">
      <c r="B142" s="4" t="n">
        <v>0.411141236142275</v>
      </c>
      <c r="C142" s="4" t="n">
        <f aca="false">(B142-B$344)/B$345</f>
        <v>1.22837778645769</v>
      </c>
      <c r="D142" s="4" t="n">
        <v>0.401091186082167</v>
      </c>
      <c r="E142" s="4" t="n">
        <f aca="false">(D142-D$344)/D$345</f>
        <v>1.39110349354283</v>
      </c>
      <c r="F142" s="4" t="n">
        <v>0.415793896748157</v>
      </c>
      <c r="G142" s="4" t="n">
        <f aca="false">(F142-F$344)/F$345</f>
        <v>1.29306208902992</v>
      </c>
      <c r="H142" s="4" t="n">
        <v>0.256558584727321</v>
      </c>
      <c r="I142" s="4" t="n">
        <f aca="false">(H142-H$344)/H$345</f>
        <v>-0.150925649397633</v>
      </c>
      <c r="J142" s="4" t="n">
        <v>0.236634082821876</v>
      </c>
      <c r="K142" s="4" t="n">
        <f aca="false">(J142-J$344)/J$345</f>
        <v>-0.0338328787410616</v>
      </c>
    </row>
    <row r="143" customFormat="false" ht="14.25" hidden="false" customHeight="false" outlineLevel="0" collapsed="false">
      <c r="B143" s="4" t="n">
        <v>0.471055543103258</v>
      </c>
      <c r="C143" s="4" t="n">
        <f aca="false">(B143-B$344)/B$345</f>
        <v>1.73658435866263</v>
      </c>
      <c r="D143" s="4" t="n">
        <v>0.433012908706374</v>
      </c>
      <c r="E143" s="4" t="n">
        <f aca="false">(D143-D$344)/D$345</f>
        <v>1.74051557174797</v>
      </c>
      <c r="F143" s="4" t="n">
        <v>0.463752248681288</v>
      </c>
      <c r="G143" s="4" t="n">
        <f aca="false">(F143-F$344)/F$345</f>
        <v>1.7235335607545</v>
      </c>
      <c r="H143" s="4" t="n">
        <v>0.294655100723008</v>
      </c>
      <c r="I143" s="4" t="n">
        <f aca="false">(H143-H$344)/H$345</f>
        <v>0.142879293765031</v>
      </c>
      <c r="J143" s="4" t="n">
        <v>0.275344456321669</v>
      </c>
      <c r="K143" s="4" t="n">
        <f aca="false">(J143-J$344)/J$345</f>
        <v>0.320076405899952</v>
      </c>
    </row>
    <row r="144" customFormat="false" ht="14.25" hidden="false" customHeight="false" outlineLevel="0" collapsed="false">
      <c r="A144" s="0" t="s">
        <v>55</v>
      </c>
      <c r="B144" s="4" t="n">
        <v>0.176421455378964</v>
      </c>
      <c r="C144" s="4" t="n">
        <f aca="false">(B144-B$344)/B$345</f>
        <v>-0.762567970256148</v>
      </c>
      <c r="D144" s="4" t="n">
        <v>0.238706068416615</v>
      </c>
      <c r="E144" s="4" t="n">
        <f aca="false">(D144-D$344)/D$345</f>
        <v>-0.386348246799037</v>
      </c>
      <c r="F144" s="4" t="n">
        <v>0.209494178149251</v>
      </c>
      <c r="G144" s="4" t="n">
        <f aca="false">(F144-F$344)/F$345</f>
        <v>-0.558672591208077</v>
      </c>
      <c r="H144" s="4" t="n">
        <v>0.151739064774099</v>
      </c>
      <c r="I144" s="4" t="n">
        <f aca="false">(H144-H$344)/H$345</f>
        <v>-0.959306476286922</v>
      </c>
      <c r="J144" s="4" t="n">
        <v>0.133505602489998</v>
      </c>
      <c r="K144" s="4" t="n">
        <f aca="false">(J144-J$344)/J$345</f>
        <v>-0.976684197408026</v>
      </c>
    </row>
    <row r="145" customFormat="false" ht="14.25" hidden="false" customHeight="false" outlineLevel="0" collapsed="false">
      <c r="B145" s="4" t="n">
        <v>0.209770022133912</v>
      </c>
      <c r="C145" s="4" t="n">
        <f aca="false">(B145-B$344)/B$345</f>
        <v>-0.479697957096912</v>
      </c>
      <c r="D145" s="4" t="n">
        <v>0.266142811506806</v>
      </c>
      <c r="E145" s="4" t="n">
        <f aca="false">(D145-D$344)/D$345</f>
        <v>-0.0860283193570731</v>
      </c>
      <c r="F145" s="4" t="n">
        <v>0.24237273712832</v>
      </c>
      <c r="G145" s="4" t="n">
        <f aca="false">(F145-F$344)/F$345</f>
        <v>-0.26355649356491</v>
      </c>
      <c r="H145" s="4" t="n">
        <v>0.166899071698985</v>
      </c>
      <c r="I145" s="4" t="n">
        <f aca="false">(H145-H$344)/H$345</f>
        <v>-0.842390667675553</v>
      </c>
      <c r="J145" s="4" t="n">
        <v>0.147756877901692</v>
      </c>
      <c r="K145" s="4" t="n">
        <f aca="false">(J145-J$344)/J$345</f>
        <v>-0.84639202427253</v>
      </c>
    </row>
    <row r="146" customFormat="false" ht="14.25" hidden="false" customHeight="false" outlineLevel="0" collapsed="false">
      <c r="B146" s="4" t="n">
        <v>0.243792448567338</v>
      </c>
      <c r="C146" s="4" t="n">
        <f aca="false">(B146-B$344)/B$345</f>
        <v>-0.191112115202982</v>
      </c>
      <c r="D146" s="4" t="n">
        <v>0.292602451039504</v>
      </c>
      <c r="E146" s="4" t="n">
        <f aca="false">(D146-D$344)/D$345</f>
        <v>0.203596327361331</v>
      </c>
      <c r="F146" s="4" t="n">
        <v>0.274356653552175</v>
      </c>
      <c r="G146" s="4" t="n">
        <f aca="false">(F146-F$344)/F$345</f>
        <v>0.0235293427809664</v>
      </c>
      <c r="H146" s="4" t="n">
        <v>0.181257903179539</v>
      </c>
      <c r="I146" s="4" t="n">
        <f aca="false">(H146-H$344)/H$345</f>
        <v>-0.731653621077798</v>
      </c>
      <c r="J146" s="4" t="n">
        <v>0.16149996954732</v>
      </c>
      <c r="K146" s="4" t="n">
        <f aca="false">(J146-J$344)/J$345</f>
        <v>-0.720745917213229</v>
      </c>
    </row>
    <row r="147" customFormat="false" ht="14.25" hidden="false" customHeight="false" outlineLevel="0" collapsed="false">
      <c r="B147" s="4" t="n">
        <v>0.276832786913796</v>
      </c>
      <c r="C147" s="4" t="n">
        <f aca="false">(B147-B$344)/B$345</f>
        <v>0.0891434355535345</v>
      </c>
      <c r="D147" s="4" t="n">
        <v>0.317027028364976</v>
      </c>
      <c r="E147" s="4" t="n">
        <f aca="false">(D147-D$344)/D$345</f>
        <v>0.470945380639042</v>
      </c>
      <c r="F147" s="4" t="n">
        <v>0.304089449063933</v>
      </c>
      <c r="G147" s="4" t="n">
        <f aca="false">(F147-F$344)/F$345</f>
        <v>0.290409244331348</v>
      </c>
      <c r="H147" s="4" t="n">
        <v>0.19434647163506</v>
      </c>
      <c r="I147" s="4" t="n">
        <f aca="false">(H147-H$344)/H$345</f>
        <v>-0.630712996701797</v>
      </c>
      <c r="J147" s="4" t="n">
        <v>0.174231158600682</v>
      </c>
      <c r="K147" s="4" t="n">
        <f aca="false">(J147-J$344)/J$345</f>
        <v>-0.604351121628816</v>
      </c>
    </row>
    <row r="148" customFormat="false" ht="14.25" hidden="false" customHeight="false" outlineLevel="0" collapsed="false">
      <c r="B148" s="4" t="n">
        <v>0.316983592756501</v>
      </c>
      <c r="C148" s="4" t="n">
        <f aca="false">(B148-B$344)/B$345</f>
        <v>0.429711564329106</v>
      </c>
      <c r="D148" s="4" t="n">
        <v>0.345257394061301</v>
      </c>
      <c r="E148" s="4" t="n">
        <f aca="false">(D148-D$344)/D$345</f>
        <v>0.779952224115708</v>
      </c>
      <c r="F148" s="4" t="n">
        <v>0.338662113309941</v>
      </c>
      <c r="G148" s="4" t="n">
        <f aca="false">(F148-F$344)/F$345</f>
        <v>0.600731535642972</v>
      </c>
      <c r="H148" s="4" t="n">
        <v>0.209328118619293</v>
      </c>
      <c r="I148" s="4" t="n">
        <f aca="false">(H148-H$344)/H$345</f>
        <v>-0.515172721544244</v>
      </c>
      <c r="J148" s="4" t="n">
        <v>0.18903818382788</v>
      </c>
      <c r="K148" s="4" t="n">
        <f aca="false">(J148-J$344)/J$345</f>
        <v>-0.468978010184998</v>
      </c>
    </row>
    <row r="149" customFormat="false" ht="14.25" hidden="false" customHeight="false" outlineLevel="0" collapsed="false">
      <c r="B149" s="4" t="n">
        <v>0.359852299302404</v>
      </c>
      <c r="C149" s="4" t="n">
        <f aca="false">(B149-B$344)/B$345</f>
        <v>0.79333353566795</v>
      </c>
      <c r="D149" s="4" t="n">
        <v>0.373885751678977</v>
      </c>
      <c r="E149" s="4" t="n">
        <f aca="false">(D149-D$344)/D$345</f>
        <v>1.09331544854291</v>
      </c>
      <c r="F149" s="4" t="n">
        <v>0.37390093350476</v>
      </c>
      <c r="G149" s="4" t="n">
        <f aca="false">(F149-F$344)/F$345</f>
        <v>0.917033205313619</v>
      </c>
      <c r="H149" s="4" t="n">
        <v>0.224403186199577</v>
      </c>
      <c r="I149" s="4" t="n">
        <f aca="false">(H149-H$344)/H$345</f>
        <v>-0.398911975440849</v>
      </c>
      <c r="J149" s="4" t="n">
        <v>0.204185652062107</v>
      </c>
      <c r="K149" s="4" t="n">
        <f aca="false">(J149-J$344)/J$345</f>
        <v>-0.330492401232492</v>
      </c>
    </row>
    <row r="150" customFormat="false" ht="14.25" hidden="false" customHeight="false" outlineLevel="0" collapsed="false">
      <c r="B150" s="4" t="n">
        <v>0.40614837722886</v>
      </c>
      <c r="C150" s="4" t="n">
        <f aca="false">(B150-B$344)/B$345</f>
        <v>1.18602723877394</v>
      </c>
      <c r="D150" s="4" t="n">
        <v>0.398446337494031</v>
      </c>
      <c r="E150" s="4" t="n">
        <f aca="false">(D150-D$344)/D$345</f>
        <v>1.36215323754951</v>
      </c>
      <c r="F150" s="4" t="n">
        <v>0.411749189700526</v>
      </c>
      <c r="G150" s="4" t="n">
        <f aca="false">(F150-F$344)/F$345</f>
        <v>1.25675702588021</v>
      </c>
      <c r="H150" s="4" t="n">
        <v>0.253388893522786</v>
      </c>
      <c r="I150" s="4" t="n">
        <f aca="false">(H150-H$344)/H$345</f>
        <v>-0.175370691676495</v>
      </c>
      <c r="J150" s="4" t="n">
        <v>0.233426506624268</v>
      </c>
      <c r="K150" s="4" t="n">
        <f aca="false">(J150-J$344)/J$345</f>
        <v>-0.0631581188484199</v>
      </c>
    </row>
    <row r="151" customFormat="false" ht="14.25" hidden="false" customHeight="false" outlineLevel="0" collapsed="false">
      <c r="B151" s="4" t="n">
        <v>0.451084107449597</v>
      </c>
      <c r="C151" s="4" t="n">
        <f aca="false">(B151-B$344)/B$345</f>
        <v>1.56718216792765</v>
      </c>
      <c r="D151" s="4" t="n">
        <v>0.42233606372639</v>
      </c>
      <c r="E151" s="4" t="n">
        <f aca="false">(D151-D$344)/D$345</f>
        <v>1.6236478626632</v>
      </c>
      <c r="F151" s="4" t="n">
        <v>0.447882193788179</v>
      </c>
      <c r="G151" s="4" t="n">
        <f aca="false">(F151-F$344)/F$345</f>
        <v>1.58108483992039</v>
      </c>
      <c r="H151" s="4" t="n">
        <v>0.281943908921111</v>
      </c>
      <c r="I151" s="4" t="n">
        <f aca="false">(H151-H$344)/H$345</f>
        <v>0.0448490438254079</v>
      </c>
      <c r="J151" s="4" t="n">
        <v>0.262395981231277</v>
      </c>
      <c r="K151" s="4" t="n">
        <f aca="false">(J151-J$344)/J$345</f>
        <v>0.201695074434442</v>
      </c>
    </row>
    <row r="152" customFormat="false" ht="14.25" hidden="false" customHeight="false" outlineLevel="0" collapsed="false">
      <c r="A152" s="0" t="s">
        <v>56</v>
      </c>
      <c r="B152" s="4" t="n">
        <v>0.124480015931012</v>
      </c>
      <c r="C152" s="4" t="n">
        <f aca="false">(B152-B$344)/B$345</f>
        <v>-1.20314689432557</v>
      </c>
      <c r="D152" s="4" t="n">
        <v>0.185182642216358</v>
      </c>
      <c r="E152" s="4" t="n">
        <f aca="false">(D152-D$344)/D$345</f>
        <v>-0.972210476148444</v>
      </c>
      <c r="F152" s="4" t="n">
        <v>0.139443554390652</v>
      </c>
      <c r="G152" s="4" t="n">
        <f aca="false">(F152-F$344)/F$345</f>
        <v>-1.1874430532672</v>
      </c>
      <c r="H152" s="4" t="n">
        <v>0.147475984552619</v>
      </c>
      <c r="I152" s="4" t="n">
        <f aca="false">(H152-H$344)/H$345</f>
        <v>-0.992183867025534</v>
      </c>
      <c r="J152" s="4" t="n">
        <v>0.126760798125866</v>
      </c>
      <c r="K152" s="4" t="n">
        <f aca="false">(J152-J$344)/J$345</f>
        <v>-1.03834851815053</v>
      </c>
    </row>
    <row r="153" customFormat="false" ht="14.25" hidden="false" customHeight="false" outlineLevel="0" collapsed="false">
      <c r="B153" s="4" t="n">
        <v>0.172715750643829</v>
      </c>
      <c r="C153" s="4" t="n">
        <f aca="false">(B153-B$344)/B$345</f>
        <v>-0.794000587882407</v>
      </c>
      <c r="D153" s="4" t="n">
        <v>0.220226040212679</v>
      </c>
      <c r="E153" s="4" t="n">
        <f aca="false">(D153-D$344)/D$345</f>
        <v>-0.58862884224317</v>
      </c>
      <c r="F153" s="4" t="n">
        <v>0.188712851201184</v>
      </c>
      <c r="G153" s="4" t="n">
        <f aca="false">(F153-F$344)/F$345</f>
        <v>-0.745204613997299</v>
      </c>
      <c r="H153" s="4" t="n">
        <v>0.195477275263339</v>
      </c>
      <c r="I153" s="4" t="n">
        <f aca="false">(H153-H$344)/H$345</f>
        <v>-0.62199210223018</v>
      </c>
      <c r="J153" s="4" t="n">
        <v>0.171180245340089</v>
      </c>
      <c r="K153" s="4" t="n">
        <f aca="false">(J153-J$344)/J$345</f>
        <v>-0.632244072069192</v>
      </c>
    </row>
    <row r="154" customFormat="false" ht="14.25" hidden="false" customHeight="false" outlineLevel="0" collapsed="false">
      <c r="B154" s="4" t="n">
        <v>0.221300621200698</v>
      </c>
      <c r="C154" s="4" t="n">
        <f aca="false">(B154-B$344)/B$345</f>
        <v>-0.381892833004985</v>
      </c>
      <c r="D154" s="4" t="n">
        <v>0.254789602489725</v>
      </c>
      <c r="E154" s="4" t="n">
        <f aca="false">(D154-D$344)/D$345</f>
        <v>-0.210299443558483</v>
      </c>
      <c r="F154" s="4" t="n">
        <v>0.23522198636617</v>
      </c>
      <c r="G154" s="4" t="n">
        <f aca="false">(F154-F$344)/F$345</f>
        <v>-0.327741230538577</v>
      </c>
      <c r="H154" s="4" t="n">
        <v>0.24290464135782</v>
      </c>
      <c r="I154" s="4" t="n">
        <f aca="false">(H154-H$344)/H$345</f>
        <v>-0.256226513552163</v>
      </c>
      <c r="J154" s="4" t="n">
        <v>0.21563755156995</v>
      </c>
      <c r="K154" s="4" t="n">
        <f aca="false">(J154-J$344)/J$345</f>
        <v>-0.225793500235753</v>
      </c>
    </row>
    <row r="155" customFormat="false" ht="14.25" hidden="false" customHeight="false" outlineLevel="0" collapsed="false">
      <c r="B155" s="4" t="n">
        <v>0.269617067058357</v>
      </c>
      <c r="C155" s="4" t="n">
        <f aca="false">(B155-B$344)/B$345</f>
        <v>0.0279380834476999</v>
      </c>
      <c r="D155" s="4" t="n">
        <v>0.289618540429169</v>
      </c>
      <c r="E155" s="4" t="n">
        <f aca="false">(D155-D$344)/D$345</f>
        <v>0.170934731375121</v>
      </c>
      <c r="F155" s="4" t="n">
        <v>0.280455536824902</v>
      </c>
      <c r="G155" s="4" t="n">
        <f aca="false">(F155-F$344)/F$345</f>
        <v>0.0782725762838129</v>
      </c>
      <c r="H155" s="4" t="n">
        <v>0.291012585588185</v>
      </c>
      <c r="I155" s="4" t="n">
        <f aca="false">(H155-H$344)/H$345</f>
        <v>0.114787776097716</v>
      </c>
      <c r="J155" s="4" t="n">
        <v>0.261276559315064</v>
      </c>
      <c r="K155" s="4" t="n">
        <f aca="false">(J155-J$344)/J$345</f>
        <v>0.191460768387763</v>
      </c>
    </row>
    <row r="156" customFormat="false" ht="14.25" hidden="false" customHeight="false" outlineLevel="0" collapsed="false">
      <c r="B156" s="4" t="n">
        <v>0.317396663517598</v>
      </c>
      <c r="C156" s="4" t="n">
        <f aca="false">(B156-B$344)/B$345</f>
        <v>0.433215323050912</v>
      </c>
      <c r="D156" s="4" t="n">
        <v>0.3243994554978</v>
      </c>
      <c r="E156" s="4" t="n">
        <f aca="false">(D156-D$344)/D$345</f>
        <v>0.55164325262489</v>
      </c>
      <c r="F156" s="4" t="n">
        <v>0.324300262044811</v>
      </c>
      <c r="G156" s="4" t="n">
        <f aca="false">(F156-F$344)/F$345</f>
        <v>0.471820365813579</v>
      </c>
      <c r="H156" s="4" t="n">
        <v>0.33951038519894</v>
      </c>
      <c r="I156" s="4" t="n">
        <f aca="false">(H156-H$344)/H$345</f>
        <v>0.488808677635419</v>
      </c>
      <c r="J156" s="4" t="n">
        <v>0.3078082002243</v>
      </c>
      <c r="K156" s="4" t="n">
        <f aca="false">(J156-J$344)/J$345</f>
        <v>0.61687592867932</v>
      </c>
    </row>
    <row r="157" customFormat="false" ht="14.25" hidden="false" customHeight="false" outlineLevel="0" collapsed="false">
      <c r="B157" s="4" t="n">
        <v>0.366518383472885</v>
      </c>
      <c r="C157" s="4" t="n">
        <f aca="false">(B157-B$344)/B$345</f>
        <v>0.849876754777807</v>
      </c>
      <c r="D157" s="4" t="n">
        <v>0.360431195859653</v>
      </c>
      <c r="E157" s="4" t="n">
        <f aca="false">(D157-D$344)/D$345</f>
        <v>0.946043186155909</v>
      </c>
      <c r="F157" s="4" t="n">
        <v>0.36856181324479</v>
      </c>
      <c r="G157" s="4" t="n">
        <f aca="false">(F157-F$344)/F$345</f>
        <v>0.869109561915102</v>
      </c>
      <c r="H157" s="4" t="n">
        <v>0.390328800464098</v>
      </c>
      <c r="I157" s="4" t="n">
        <f aca="false">(H157-H$344)/H$345</f>
        <v>0.880726448023843</v>
      </c>
      <c r="J157" s="4" t="n">
        <v>0.357098020389924</v>
      </c>
      <c r="K157" s="4" t="n">
        <f aca="false">(J157-J$344)/J$345</f>
        <v>1.06750772108488</v>
      </c>
    </row>
    <row r="158" customFormat="false" ht="14.25" hidden="false" customHeight="false" outlineLevel="0" collapsed="false">
      <c r="A158" s="0" t="s">
        <v>57</v>
      </c>
      <c r="B158" s="4" t="n">
        <v>0.0884597233908265</v>
      </c>
      <c r="C158" s="4" t="n">
        <f aca="false">(B158-B$344)/B$345</f>
        <v>-1.50867908405094</v>
      </c>
      <c r="D158" s="4" t="n">
        <v>0.153451057980211</v>
      </c>
      <c r="E158" s="4" t="n">
        <f aca="false">(D158-D$344)/D$345</f>
        <v>-1.31954131800865</v>
      </c>
      <c r="F158" s="4" t="n">
        <v>0.092345050099274</v>
      </c>
      <c r="G158" s="4" t="n">
        <f aca="false">(F158-F$344)/F$345</f>
        <v>-1.61019658088228</v>
      </c>
      <c r="H158" s="4" t="n">
        <v>0.103722869489561</v>
      </c>
      <c r="I158" s="4" t="n">
        <f aca="false">(H158-H$344)/H$345</f>
        <v>-1.32961318695985</v>
      </c>
      <c r="J158" s="4" t="n">
        <v>0.0868090784649983</v>
      </c>
      <c r="K158" s="4" t="n">
        <f aca="false">(J158-J$344)/J$345</f>
        <v>-1.40360680028599</v>
      </c>
    </row>
    <row r="159" customFormat="false" ht="14.25" hidden="false" customHeight="false" outlineLevel="0" collapsed="false">
      <c r="B159" s="4" t="n">
        <v>0.125101055457567</v>
      </c>
      <c r="C159" s="4" t="n">
        <f aca="false">(B159-B$344)/B$345</f>
        <v>-1.19787909795099</v>
      </c>
      <c r="D159" s="4" t="n">
        <v>0.185738122217456</v>
      </c>
      <c r="E159" s="4" t="n">
        <f aca="false">(D159-D$344)/D$345</f>
        <v>-0.966130245959429</v>
      </c>
      <c r="F159" s="4" t="n">
        <v>0.140244560752246</v>
      </c>
      <c r="G159" s="4" t="n">
        <f aca="false">(F159-F$344)/F$345</f>
        <v>-1.18025326518156</v>
      </c>
      <c r="H159" s="4" t="n">
        <v>0.14823805135601</v>
      </c>
      <c r="I159" s="4" t="n">
        <f aca="false">(H159-H$344)/H$345</f>
        <v>-0.986306715585181</v>
      </c>
      <c r="J159" s="4" t="n">
        <v>0.127461284590206</v>
      </c>
      <c r="K159" s="4" t="n">
        <f aca="false">(J159-J$344)/J$345</f>
        <v>-1.03194432617092</v>
      </c>
    </row>
    <row r="160" customFormat="false" ht="14.25" hidden="false" customHeight="false" outlineLevel="0" collapsed="false">
      <c r="B160" s="4" t="n">
        <v>0.171910476546201</v>
      </c>
      <c r="C160" s="4" t="n">
        <f aca="false">(B160-B$344)/B$345</f>
        <v>-0.800831103156619</v>
      </c>
      <c r="D160" s="4" t="n">
        <v>0.219657896194505</v>
      </c>
      <c r="E160" s="4" t="n">
        <f aca="false">(D160-D$344)/D$345</f>
        <v>-0.594847691534197</v>
      </c>
      <c r="F160" s="4" t="n">
        <v>0.187932607338742</v>
      </c>
      <c r="G160" s="4" t="n">
        <f aca="false">(F160-F$344)/F$345</f>
        <v>-0.752208039057399</v>
      </c>
      <c r="H160" s="4" t="n">
        <v>0.19469919370168</v>
      </c>
      <c r="I160" s="4" t="n">
        <f aca="false">(H160-H$344)/H$345</f>
        <v>-0.627992761424973</v>
      </c>
      <c r="J160" s="4" t="n">
        <v>0.17045550889916</v>
      </c>
      <c r="K160" s="4" t="n">
        <f aca="false">(J160-J$344)/J$345</f>
        <v>-0.63886996926866</v>
      </c>
    </row>
    <row r="161" customFormat="false" ht="14.25" hidden="false" customHeight="false" outlineLevel="0" collapsed="false">
      <c r="B161" s="4" t="n">
        <v>0.219958497704651</v>
      </c>
      <c r="C161" s="4" t="n">
        <f aca="false">(B161-B$344)/B$345</f>
        <v>-0.393277025128671</v>
      </c>
      <c r="D161" s="4" t="n">
        <v>0.253828006285111</v>
      </c>
      <c r="E161" s="4" t="n">
        <f aca="false">(D161-D$344)/D$345</f>
        <v>-0.22082498230223</v>
      </c>
      <c r="F161" s="4" t="n">
        <v>0.233951565438874</v>
      </c>
      <c r="G161" s="4" t="n">
        <f aca="false">(F161-F$344)/F$345</f>
        <v>-0.339144457385186</v>
      </c>
      <c r="H161" s="4" t="n">
        <v>0.241581727736141</v>
      </c>
      <c r="I161" s="4" t="n">
        <f aca="false">(H161-H$344)/H$345</f>
        <v>-0.266428983548908</v>
      </c>
      <c r="J161" s="4" t="n">
        <v>0.214390119496425</v>
      </c>
      <c r="K161" s="4" t="n">
        <f aca="false">(J161-J$344)/J$345</f>
        <v>-0.2371981381368</v>
      </c>
    </row>
    <row r="162" customFormat="false" ht="14.25" hidden="false" customHeight="false" outlineLevel="0" collapsed="false">
      <c r="B162" s="4" t="n">
        <v>0.269885491757566</v>
      </c>
      <c r="C162" s="4" t="n">
        <f aca="false">(B162-B$344)/B$345</f>
        <v>0.0302149218724372</v>
      </c>
      <c r="D162" s="4" t="n">
        <v>0.289813079621305</v>
      </c>
      <c r="E162" s="4" t="n">
        <f aca="false">(D162-D$344)/D$345</f>
        <v>0.173064138494431</v>
      </c>
      <c r="F162" s="4" t="n">
        <v>0.28070421823216</v>
      </c>
      <c r="G162" s="4" t="n">
        <f aca="false">(F162-F$344)/F$345</f>
        <v>0.0805047266196288</v>
      </c>
      <c r="H162" s="4" t="n">
        <v>0.291282477553033</v>
      </c>
      <c r="I162" s="4" t="n">
        <f aca="false">(H162-H$344)/H$345</f>
        <v>0.116869215602613</v>
      </c>
      <c r="J162" s="4" t="n">
        <v>0.261534085124182</v>
      </c>
      <c r="K162" s="4" t="n">
        <f aca="false">(J162-J$344)/J$345</f>
        <v>0.193815196068033</v>
      </c>
    </row>
    <row r="163" customFormat="false" ht="14.25" hidden="false" customHeight="false" outlineLevel="0" collapsed="false">
      <c r="B163" s="4" t="n">
        <v>0.317396663517598</v>
      </c>
      <c r="C163" s="4" t="n">
        <f aca="false">(B163-B$344)/B$345</f>
        <v>0.433215323050912</v>
      </c>
      <c r="D163" s="4" t="n">
        <v>0.3243994554978</v>
      </c>
      <c r="E163" s="4" t="n">
        <f aca="false">(D163-D$344)/D$345</f>
        <v>0.55164325262489</v>
      </c>
      <c r="F163" s="4" t="n">
        <v>0.324300262044811</v>
      </c>
      <c r="G163" s="4" t="n">
        <f aca="false">(F163-F$344)/F$345</f>
        <v>0.471820365813579</v>
      </c>
      <c r="H163" s="4" t="n">
        <v>0.33951038519894</v>
      </c>
      <c r="I163" s="4" t="n">
        <f aca="false">(H163-H$344)/H$345</f>
        <v>0.488808677635419</v>
      </c>
      <c r="J163" s="4" t="n">
        <v>0.3078082002243</v>
      </c>
      <c r="K163" s="4" t="n">
        <f aca="false">(J163-J$344)/J$345</f>
        <v>0.61687592867932</v>
      </c>
    </row>
    <row r="164" customFormat="false" ht="14.25" hidden="false" customHeight="false" outlineLevel="0" collapsed="false">
      <c r="B164" s="4" t="n">
        <v>0.340481187649591</v>
      </c>
      <c r="C164" s="4" t="n">
        <f aca="false">(B164-B$344)/B$345</f>
        <v>0.629023427578304</v>
      </c>
      <c r="D164" s="4" t="n">
        <v>0.341301656094765</v>
      </c>
      <c r="E164" s="4" t="n">
        <f aca="false">(D164-D$344)/D$345</f>
        <v>0.736653100193305</v>
      </c>
      <c r="F164" s="4" t="n">
        <v>0.345197710761264</v>
      </c>
      <c r="G164" s="4" t="n">
        <f aca="false">(F164-F$344)/F$345</f>
        <v>0.659394691069857</v>
      </c>
      <c r="H164" s="4" t="n">
        <v>0.363271253344434</v>
      </c>
      <c r="I164" s="4" t="n">
        <f aca="false">(H164-H$344)/H$345</f>
        <v>0.67205536916419</v>
      </c>
      <c r="J164" s="4" t="n">
        <v>0.330788485580298</v>
      </c>
      <c r="K164" s="4" t="n">
        <f aca="false">(J164-J$344)/J$345</f>
        <v>0.826973006436297</v>
      </c>
    </row>
    <row r="165" customFormat="false" ht="14.25" hidden="false" customHeight="false" outlineLevel="0" collapsed="false">
      <c r="A165" s="0" t="s">
        <v>58</v>
      </c>
      <c r="B165" s="4" t="n">
        <v>0.275013325800104</v>
      </c>
      <c r="C165" s="4" t="n">
        <f aca="false">(B165-B$344)/B$345</f>
        <v>0.0737103588352795</v>
      </c>
      <c r="D165" s="4" t="n">
        <v>0.31840171066059</v>
      </c>
      <c r="E165" s="4" t="n">
        <f aca="false">(D165-D$344)/D$345</f>
        <v>0.485992519649577</v>
      </c>
      <c r="F165" s="4" t="n">
        <v>0.303844491379414</v>
      </c>
      <c r="G165" s="4" t="n">
        <f aca="false">(F165-F$344)/F$345</f>
        <v>0.288210517921556</v>
      </c>
      <c r="H165" s="4" t="n">
        <v>0.195503858937085</v>
      </c>
      <c r="I165" s="4" t="n">
        <f aca="false">(H165-H$344)/H$345</f>
        <v>-0.621787085720139</v>
      </c>
      <c r="J165" s="4" t="n">
        <v>0.175456399351424</v>
      </c>
      <c r="K165" s="4" t="n">
        <f aca="false">(J165-J$344)/J$345</f>
        <v>-0.593149367721419</v>
      </c>
    </row>
    <row r="166" customFormat="false" ht="14.25" hidden="false" customHeight="false" outlineLevel="0" collapsed="false">
      <c r="B166" s="4" t="n">
        <v>0.311562555766538</v>
      </c>
      <c r="C166" s="4" t="n">
        <f aca="false">(B166-B$344)/B$345</f>
        <v>0.383729114289932</v>
      </c>
      <c r="D166" s="4" t="n">
        <v>0.344450240033985</v>
      </c>
      <c r="E166" s="4" t="n">
        <f aca="false">(D166-D$344)/D$345</f>
        <v>0.771117194457808</v>
      </c>
      <c r="F166" s="4" t="n">
        <v>0.335696801330515</v>
      </c>
      <c r="G166" s="4" t="n">
        <f aca="false">(F166-F$344)/F$345</f>
        <v>0.574115061964197</v>
      </c>
      <c r="H166" s="4" t="n">
        <v>0.209321704944742</v>
      </c>
      <c r="I166" s="4" t="n">
        <f aca="false">(H166-H$344)/H$345</f>
        <v>-0.515222184578792</v>
      </c>
      <c r="J166" s="4" t="n">
        <v>0.189058729982165</v>
      </c>
      <c r="K166" s="4" t="n">
        <f aca="false">(J166-J$344)/J$345</f>
        <v>-0.468790167131374</v>
      </c>
    </row>
    <row r="167" customFormat="false" ht="14.25" hidden="false" customHeight="false" outlineLevel="0" collapsed="false">
      <c r="B167" s="4" t="n">
        <v>0.319145951090135</v>
      </c>
      <c r="C167" s="4" t="n">
        <f aca="false">(B167-B$344)/B$345</f>
        <v>0.448053172074495</v>
      </c>
      <c r="D167" s="4" t="n">
        <v>0.349703575770485</v>
      </c>
      <c r="E167" s="4" t="n">
        <f aca="false">(D167-D$344)/D$345</f>
        <v>0.828619697653167</v>
      </c>
      <c r="F167" s="4" t="n">
        <v>0.342140942850737</v>
      </c>
      <c r="G167" s="4" t="n">
        <f aca="false">(F167-F$344)/F$345</f>
        <v>0.631957314093278</v>
      </c>
      <c r="H167" s="4" t="n">
        <v>0.212094463166285</v>
      </c>
      <c r="I167" s="4" t="n">
        <f aca="false">(H167-H$344)/H$345</f>
        <v>-0.493838337515815</v>
      </c>
      <c r="J167" s="4" t="n">
        <v>0.191812682702666</v>
      </c>
      <c r="K167" s="4" t="n">
        <f aca="false">(J167-J$344)/J$345</f>
        <v>-0.443612176088405</v>
      </c>
    </row>
    <row r="168" customFormat="false" ht="14.25" hidden="false" customHeight="false" outlineLevel="0" collapsed="false">
      <c r="B168" s="4" t="n">
        <v>0.352169996991277</v>
      </c>
      <c r="C168" s="4" t="n">
        <f aca="false">(B168-B$344)/B$345</f>
        <v>0.728170526660394</v>
      </c>
      <c r="D168" s="4" t="n">
        <v>0.372029570640074</v>
      </c>
      <c r="E168" s="4" t="n">
        <f aca="false">(D168-D$344)/D$345</f>
        <v>1.0729978710123</v>
      </c>
      <c r="F168" s="4" t="n">
        <v>0.369592482838785</v>
      </c>
      <c r="G168" s="4" t="n">
        <f aca="false">(F168-F$344)/F$345</f>
        <v>0.878360794267861</v>
      </c>
      <c r="H168" s="4" t="n">
        <v>0.223835433249297</v>
      </c>
      <c r="I168" s="4" t="n">
        <f aca="false">(H168-H$344)/H$345</f>
        <v>-0.403290554923186</v>
      </c>
      <c r="J168" s="4" t="n">
        <v>0.20356354286724</v>
      </c>
      <c r="K168" s="4" t="n">
        <f aca="false">(J168-J$344)/J$345</f>
        <v>-0.33618002964365</v>
      </c>
    </row>
    <row r="169" customFormat="false" ht="14.25" hidden="false" customHeight="false" outlineLevel="0" collapsed="false">
      <c r="B169" s="4" t="n">
        <v>0.377154812503042</v>
      </c>
      <c r="C169" s="4" t="n">
        <f aca="false">(B169-B$344)/B$345</f>
        <v>0.940097328328581</v>
      </c>
      <c r="D169" s="4" t="n">
        <v>0.387430801565146</v>
      </c>
      <c r="E169" s="4" t="n">
        <f aca="false">(D169-D$344)/D$345</f>
        <v>1.24157825020417</v>
      </c>
      <c r="F169" s="4" t="n">
        <v>0.389928502649649</v>
      </c>
      <c r="G169" s="4" t="n">
        <f aca="false">(F169-F$344)/F$345</f>
        <v>1.06089576521951</v>
      </c>
      <c r="H169" s="4" t="n">
        <v>0.234638521089243</v>
      </c>
      <c r="I169" s="4" t="n">
        <f aca="false">(H169-H$344)/H$345</f>
        <v>-0.319975833725164</v>
      </c>
      <c r="J169" s="4" t="n">
        <v>0.214456589299963</v>
      </c>
      <c r="K169" s="4" t="n">
        <f aca="false">(J169-J$344)/J$345</f>
        <v>-0.236590438481813</v>
      </c>
    </row>
    <row r="170" customFormat="false" ht="14.25" hidden="false" customHeight="false" outlineLevel="0" collapsed="false">
      <c r="B170" s="4" t="n">
        <v>0.409943620491564</v>
      </c>
      <c r="C170" s="4" t="n">
        <f aca="false">(B170-B$344)/B$345</f>
        <v>1.2182193422473</v>
      </c>
      <c r="D170" s="4" t="n">
        <v>0.404718743820774</v>
      </c>
      <c r="E170" s="4" t="n">
        <f aca="false">(D170-D$344)/D$345</f>
        <v>1.43081038853648</v>
      </c>
      <c r="F170" s="4" t="n">
        <v>0.41673683085262</v>
      </c>
      <c r="G170" s="4" t="n">
        <f aca="false">(F170-F$344)/F$345</f>
        <v>1.30152581255932</v>
      </c>
      <c r="H170" s="4" t="n">
        <v>0.255402040425536</v>
      </c>
      <c r="I170" s="4" t="n">
        <f aca="false">(H170-H$344)/H$345</f>
        <v>-0.159845059059391</v>
      </c>
      <c r="J170" s="4" t="n">
        <v>0.235400189105911</v>
      </c>
      <c r="K170" s="4" t="n">
        <f aca="false">(J170-J$344)/J$345</f>
        <v>-0.0451137423148177</v>
      </c>
    </row>
    <row r="171" customFormat="false" ht="14.25" hidden="false" customHeight="false" outlineLevel="0" collapsed="false">
      <c r="B171" s="4" t="n">
        <v>0.4393404828261</v>
      </c>
      <c r="C171" s="4" t="n">
        <f aca="false">(B171-B$344)/B$345</f>
        <v>1.46757011334684</v>
      </c>
      <c r="D171" s="4" t="n">
        <v>0.420309206858276</v>
      </c>
      <c r="E171" s="4" t="n">
        <f aca="false">(D171-D$344)/D$345</f>
        <v>1.6014620840682</v>
      </c>
      <c r="F171" s="4" t="n">
        <v>0.440494656464937</v>
      </c>
      <c r="G171" s="4" t="n">
        <f aca="false">(F171-F$344)/F$345</f>
        <v>1.51477472008162</v>
      </c>
      <c r="H171" s="4" t="n">
        <v>0.274044647137132</v>
      </c>
      <c r="I171" s="4" t="n">
        <f aca="false">(H171-H$344)/H$345</f>
        <v>-0.0160710193040325</v>
      </c>
      <c r="J171" s="4" t="n">
        <v>0.254275740135836</v>
      </c>
      <c r="K171" s="4" t="n">
        <f aca="false">(J171-J$344)/J$345</f>
        <v>0.127455834215919</v>
      </c>
    </row>
    <row r="172" customFormat="false" ht="14.25" hidden="false" customHeight="false" outlineLevel="0" collapsed="false">
      <c r="B172" s="4" t="n">
        <v>0.474390587917279</v>
      </c>
      <c r="C172" s="4" t="n">
        <f aca="false">(B172-B$344)/B$345</f>
        <v>1.76487295581168</v>
      </c>
      <c r="D172" s="4" t="n">
        <v>0.439001547720711</v>
      </c>
      <c r="E172" s="4" t="n">
        <f aca="false">(D172-D$344)/D$345</f>
        <v>1.80606663326973</v>
      </c>
      <c r="F172" s="4" t="n">
        <v>0.468493951929205</v>
      </c>
      <c r="G172" s="4" t="n">
        <f aca="false">(F172-F$344)/F$345</f>
        <v>1.76609482262726</v>
      </c>
      <c r="H172" s="4" t="n">
        <v>0.29630577998568</v>
      </c>
      <c r="I172" s="4" t="n">
        <f aca="false">(H172-H$344)/H$345</f>
        <v>0.155609532063044</v>
      </c>
      <c r="J172" s="4" t="n">
        <v>0.276902955467794</v>
      </c>
      <c r="K172" s="4" t="n">
        <f aca="false">(J172-J$344)/J$345</f>
        <v>0.334324972060696</v>
      </c>
    </row>
    <row r="173" customFormat="false" ht="14.25" hidden="false" customHeight="false" outlineLevel="0" collapsed="false">
      <c r="A173" s="0" t="s">
        <v>59</v>
      </c>
      <c r="B173" s="4" t="n">
        <v>0.272657762122433</v>
      </c>
      <c r="C173" s="4" t="n">
        <f aca="false">(B173-B$344)/B$345</f>
        <v>0.0537299400845645</v>
      </c>
      <c r="D173" s="4" t="n">
        <v>0.316678909995873</v>
      </c>
      <c r="E173" s="4" t="n">
        <f aca="false">(D173-D$344)/D$345</f>
        <v>0.467134910751755</v>
      </c>
      <c r="F173" s="4" t="n">
        <v>0.301744307776009</v>
      </c>
      <c r="G173" s="4" t="n">
        <f aca="false">(F173-F$344)/F$345</f>
        <v>0.269359387926307</v>
      </c>
      <c r="H173" s="4" t="n">
        <v>0.194585391875837</v>
      </c>
      <c r="I173" s="4" t="n">
        <f aca="false">(H173-H$344)/H$345</f>
        <v>-0.628870414882241</v>
      </c>
      <c r="J173" s="4" t="n">
        <v>0.174559499263257</v>
      </c>
      <c r="K173" s="4" t="n">
        <f aca="false">(J173-J$344)/J$345</f>
        <v>-0.601349269708916</v>
      </c>
    </row>
    <row r="174" customFormat="false" ht="14.25" hidden="false" customHeight="false" outlineLevel="0" collapsed="false">
      <c r="B174" s="4" t="n">
        <v>0.296669314449654</v>
      </c>
      <c r="C174" s="4" t="n">
        <f aca="false">(B174-B$344)/B$345</f>
        <v>0.25740130541444</v>
      </c>
      <c r="D174" s="4" t="n">
        <v>0.333985901808716</v>
      </c>
      <c r="E174" s="4" t="n">
        <f aca="false">(D174-D$344)/D$345</f>
        <v>0.656575563688799</v>
      </c>
      <c r="F174" s="4" t="n">
        <v>0.32287988638877</v>
      </c>
      <c r="G174" s="4" t="n">
        <f aca="false">(F174-F$344)/F$345</f>
        <v>0.459071153749109</v>
      </c>
      <c r="H174" s="4" t="n">
        <v>0.203785377521669</v>
      </c>
      <c r="I174" s="4" t="n">
        <f aca="false">(H174-H$344)/H$345</f>
        <v>-0.557919011870039</v>
      </c>
      <c r="J174" s="4" t="n">
        <v>0.183584311135516</v>
      </c>
      <c r="K174" s="4" t="n">
        <f aca="false">(J174-J$344)/J$345</f>
        <v>-0.518839998292352</v>
      </c>
    </row>
    <row r="175" customFormat="false" ht="14.25" hidden="false" customHeight="false" outlineLevel="0" collapsed="false">
      <c r="B175" s="4" t="n">
        <v>0.319994179157578</v>
      </c>
      <c r="C175" s="4" t="n">
        <f aca="false">(B175-B$344)/B$345</f>
        <v>0.455248032542196</v>
      </c>
      <c r="D175" s="4" t="n">
        <v>0.350288124850306</v>
      </c>
      <c r="E175" s="4" t="n">
        <f aca="false">(D175-D$344)/D$345</f>
        <v>0.835018115157062</v>
      </c>
      <c r="F175" s="4" t="n">
        <v>0.342858379375069</v>
      </c>
      <c r="G175" s="4" t="n">
        <f aca="false">(F175-F$344)/F$345</f>
        <v>0.638396984016227</v>
      </c>
      <c r="H175" s="4" t="n">
        <v>0.212402736487609</v>
      </c>
      <c r="I175" s="4" t="n">
        <f aca="false">(H175-H$344)/H$345</f>
        <v>-0.491460896343494</v>
      </c>
      <c r="J175" s="4" t="n">
        <v>0.192119366473964</v>
      </c>
      <c r="K175" s="4" t="n">
        <f aca="false">(J175-J$344)/J$345</f>
        <v>-0.440808322126326</v>
      </c>
    </row>
    <row r="176" customFormat="false" ht="14.25" hidden="false" customHeight="false" outlineLevel="0" collapsed="false">
      <c r="B176" s="4" t="n">
        <v>0.345082480186205</v>
      </c>
      <c r="C176" s="4" t="n">
        <f aca="false">(B176-B$344)/B$345</f>
        <v>0.66805262154474</v>
      </c>
      <c r="D176" s="4" t="n">
        <v>0.36731062435122</v>
      </c>
      <c r="E176" s="4" t="n">
        <f aca="false">(D176-D$344)/D$345</f>
        <v>1.02134474285446</v>
      </c>
      <c r="F176" s="4" t="n">
        <v>0.363782069361396</v>
      </c>
      <c r="G176" s="4" t="n">
        <f aca="false">(F176-F$344)/F$345</f>
        <v>0.826206849436158</v>
      </c>
      <c r="H176" s="4" t="n">
        <v>0.221359112286266</v>
      </c>
      <c r="I176" s="4" t="n">
        <f aca="false">(H176-H$344)/H$345</f>
        <v>-0.422388241963075</v>
      </c>
      <c r="J176" s="4" t="n">
        <v>0.201073140979631</v>
      </c>
      <c r="K176" s="4" t="n">
        <f aca="false">(J176-J$344)/J$345</f>
        <v>-0.358948509273975</v>
      </c>
    </row>
    <row r="177" customFormat="false" ht="14.25" hidden="false" customHeight="false" outlineLevel="0" collapsed="false">
      <c r="B177" s="4" t="n">
        <v>0.373762866849057</v>
      </c>
      <c r="C177" s="4" t="n">
        <f aca="false">(B177-B$344)/B$345</f>
        <v>0.911326085509405</v>
      </c>
      <c r="D177" s="4" t="n">
        <v>0.385648844064889</v>
      </c>
      <c r="E177" s="4" t="n">
        <f aca="false">(D177-D$344)/D$345</f>
        <v>1.22207311632503</v>
      </c>
      <c r="F177" s="4" t="n">
        <v>0.387136038738115</v>
      </c>
      <c r="G177" s="4" t="n">
        <f aca="false">(F177-F$344)/F$345</f>
        <v>1.03583076608418</v>
      </c>
      <c r="H177" s="4" t="n">
        <v>0.232492385928139</v>
      </c>
      <c r="I177" s="4" t="n">
        <f aca="false">(H177-H$344)/H$345</f>
        <v>-0.336527087889692</v>
      </c>
      <c r="J177" s="4" t="n">
        <v>0.212296624645614</v>
      </c>
      <c r="K177" s="4" t="n">
        <f aca="false">(J177-J$344)/J$345</f>
        <v>-0.25633789831127</v>
      </c>
    </row>
    <row r="178" customFormat="false" ht="14.25" hidden="false" customHeight="false" outlineLevel="0" collapsed="false">
      <c r="B178" s="4" t="n">
        <v>0.409943620491564</v>
      </c>
      <c r="C178" s="4" t="n">
        <f aca="false">(B178-B$344)/B$345</f>
        <v>1.2182193422473</v>
      </c>
      <c r="D178" s="4" t="n">
        <v>0.404718743820774</v>
      </c>
      <c r="E178" s="4" t="n">
        <f aca="false">(D178-D$344)/D$345</f>
        <v>1.43081038853648</v>
      </c>
      <c r="F178" s="4" t="n">
        <v>0.41673683085262</v>
      </c>
      <c r="G178" s="4" t="n">
        <f aca="false">(F178-F$344)/F$345</f>
        <v>1.30152581255932</v>
      </c>
      <c r="H178" s="4" t="n">
        <v>0.255402040425536</v>
      </c>
      <c r="I178" s="4" t="n">
        <f aca="false">(H178-H$344)/H$345</f>
        <v>-0.159845059059391</v>
      </c>
      <c r="J178" s="4" t="n">
        <v>0.235400189105911</v>
      </c>
      <c r="K178" s="4" t="n">
        <f aca="false">(J178-J$344)/J$345</f>
        <v>-0.0451137423148177</v>
      </c>
    </row>
    <row r="179" customFormat="false" ht="14.25" hidden="false" customHeight="false" outlineLevel="0" collapsed="false">
      <c r="B179" s="4" t="n">
        <v>0.442732428480085</v>
      </c>
      <c r="C179" s="4" t="n">
        <f aca="false">(B179-B$344)/B$345</f>
        <v>1.49634135616602</v>
      </c>
      <c r="D179" s="4" t="n">
        <v>0.42211334355785</v>
      </c>
      <c r="E179" s="4" t="n">
        <f aca="false">(D179-D$344)/D$345</f>
        <v>1.62120998931082</v>
      </c>
      <c r="F179" s="4" t="n">
        <v>0.443219588634818</v>
      </c>
      <c r="G179" s="4" t="n">
        <f aca="false">(F179-F$344)/F$345</f>
        <v>1.53923355809911</v>
      </c>
      <c r="H179" s="4" t="n">
        <v>0.276197362090343</v>
      </c>
      <c r="I179" s="4" t="n">
        <f aca="false">(H179-H$344)/H$345</f>
        <v>0.000530979013744282</v>
      </c>
      <c r="J179" s="4" t="n">
        <v>0.256459682845401</v>
      </c>
      <c r="K179" s="4" t="n">
        <f aca="false">(J179-J$344)/J$345</f>
        <v>0.147422513226214</v>
      </c>
    </row>
    <row r="180" customFormat="false" ht="14.25" hidden="false" customHeight="false" outlineLevel="0" collapsed="false">
      <c r="B180" s="4" t="n">
        <v>0.472129290814622</v>
      </c>
      <c r="C180" s="4" t="n">
        <f aca="false">(B180-B$344)/B$345</f>
        <v>1.74569212726556</v>
      </c>
      <c r="D180" s="4" t="n">
        <v>0.437792353028721</v>
      </c>
      <c r="E180" s="4" t="n">
        <f aca="false">(D180-D$344)/D$345</f>
        <v>1.79283090550977</v>
      </c>
      <c r="F180" s="4" t="n">
        <v>0.466697981525936</v>
      </c>
      <c r="G180" s="4" t="n">
        <f aca="false">(F180-F$344)/F$345</f>
        <v>1.74997429321985</v>
      </c>
      <c r="H180" s="4" t="n">
        <v>0.294868481234401</v>
      </c>
      <c r="I180" s="4" t="n">
        <f aca="false">(H180-H$344)/H$345</f>
        <v>0.144524910099843</v>
      </c>
      <c r="J180" s="4" t="n">
        <v>0.275439138781261</v>
      </c>
      <c r="K180" s="4" t="n">
        <f aca="false">(J180-J$344)/J$345</f>
        <v>0.320942039540572</v>
      </c>
    </row>
    <row r="181" customFormat="false" ht="14.25" hidden="false" customHeight="false" outlineLevel="0" collapsed="false">
      <c r="A181" s="0" t="s">
        <v>60</v>
      </c>
      <c r="B181" s="4" t="n">
        <v>0.299126192694106</v>
      </c>
      <c r="C181" s="4" t="n">
        <f aca="false">(B181-B$344)/B$345</f>
        <v>0.27824109701465</v>
      </c>
      <c r="D181" s="4" t="n">
        <v>0.335725935449475</v>
      </c>
      <c r="E181" s="4" t="n">
        <f aca="false">(D181-D$344)/D$345</f>
        <v>0.675621803070111</v>
      </c>
      <c r="F181" s="4" t="n">
        <v>0.325009243972816</v>
      </c>
      <c r="G181" s="4" t="n">
        <f aca="false">(F181-F$344)/F$345</f>
        <v>0.478184147755043</v>
      </c>
      <c r="H181" s="4" t="n">
        <v>0.204707247923662</v>
      </c>
      <c r="I181" s="4" t="n">
        <f aca="false">(H181-H$344)/H$345</f>
        <v>-0.550809435732118</v>
      </c>
      <c r="J181" s="4" t="n">
        <v>0.184493613666036</v>
      </c>
      <c r="K181" s="4" t="n">
        <f aca="false">(J181-J$344)/J$345</f>
        <v>-0.510526707073389</v>
      </c>
    </row>
    <row r="182" customFormat="false" ht="14.25" hidden="false" customHeight="false" outlineLevel="0" collapsed="false">
      <c r="B182" s="4" t="n">
        <v>0.323398348601437</v>
      </c>
      <c r="C182" s="4" t="n">
        <f aca="false">(B182-B$344)/B$345</f>
        <v>0.484122960285165</v>
      </c>
      <c r="D182" s="4" t="n">
        <v>0.352627986375484</v>
      </c>
      <c r="E182" s="4" t="n">
        <f aca="false">(D182-D$344)/D$345</f>
        <v>0.860630012354757</v>
      </c>
      <c r="F182" s="4" t="n">
        <v>0.345730920324092</v>
      </c>
      <c r="G182" s="4" t="n">
        <f aca="false">(F182-F$344)/F$345</f>
        <v>0.664180750139787</v>
      </c>
      <c r="H182" s="4" t="n">
        <v>0.213636207921876</v>
      </c>
      <c r="I182" s="4" t="n">
        <f aca="false">(H182-H$344)/H$345</f>
        <v>-0.481948215323565</v>
      </c>
      <c r="J182" s="4" t="n">
        <v>0.193347479608304</v>
      </c>
      <c r="K182" s="4" t="n">
        <f aca="false">(J182-J$344)/J$345</f>
        <v>-0.429580307474519</v>
      </c>
    </row>
    <row r="183" customFormat="false" ht="14.25" hidden="false" customHeight="false" outlineLevel="0" collapsed="false">
      <c r="B183" s="4" t="n">
        <v>0.359329559710504</v>
      </c>
      <c r="C183" s="4" t="n">
        <f aca="false">(B183-B$344)/B$345</f>
        <v>0.78889954135791</v>
      </c>
      <c r="D183" s="4" t="n">
        <v>0.376758047603113</v>
      </c>
      <c r="E183" s="4" t="n">
        <f aca="false">(D183-D$344)/D$345</f>
        <v>1.12475532100492</v>
      </c>
      <c r="F183" s="4" t="n">
        <v>0.375418590778779</v>
      </c>
      <c r="G183" s="4" t="n">
        <f aca="false">(F183-F$344)/F$345</f>
        <v>0.930655611713896</v>
      </c>
      <c r="H183" s="4" t="n">
        <v>0.226314174365746</v>
      </c>
      <c r="I183" s="4" t="n">
        <f aca="false">(H183-H$344)/H$345</f>
        <v>-0.38417420336716</v>
      </c>
      <c r="J183" s="4" t="n">
        <v>0.206062764269411</v>
      </c>
      <c r="K183" s="4" t="n">
        <f aca="false">(J183-J$344)/J$345</f>
        <v>-0.313330917670949</v>
      </c>
    </row>
    <row r="184" customFormat="false" ht="14.25" hidden="false" customHeight="false" outlineLevel="0" collapsed="false">
      <c r="B184" s="4" t="n">
        <v>0.383938703811012</v>
      </c>
      <c r="C184" s="4" t="n">
        <f aca="false">(B184-B$344)/B$345</f>
        <v>0.997639813966936</v>
      </c>
      <c r="D184" s="4" t="n">
        <v>0.390998425952224</v>
      </c>
      <c r="E184" s="4" t="n">
        <f aca="false">(D184-D$344)/D$345</f>
        <v>1.28062912054784</v>
      </c>
      <c r="F184" s="4" t="n">
        <v>0.395502505561457</v>
      </c>
      <c r="G184" s="4" t="n">
        <f aca="false">(F184-F$344)/F$345</f>
        <v>1.11092770210068</v>
      </c>
      <c r="H184" s="4" t="n">
        <v>0.238931812413675</v>
      </c>
      <c r="I184" s="4" t="n">
        <f aca="false">(H184-H$344)/H$345</f>
        <v>-0.286865451303361</v>
      </c>
      <c r="J184" s="4" t="n">
        <v>0.218780239341367</v>
      </c>
      <c r="K184" s="4" t="n">
        <f aca="false">(J184-J$344)/J$345</f>
        <v>-0.197061502053456</v>
      </c>
    </row>
    <row r="185" customFormat="false" ht="14.25" hidden="false" customHeight="false" outlineLevel="0" collapsed="false">
      <c r="B185" s="4" t="n">
        <v>0.409943620491564</v>
      </c>
      <c r="C185" s="4" t="n">
        <f aca="false">(B185-B$344)/B$345</f>
        <v>1.2182193422473</v>
      </c>
      <c r="D185" s="4" t="n">
        <v>0.404718743820774</v>
      </c>
      <c r="E185" s="4" t="n">
        <f aca="false">(D185-D$344)/D$345</f>
        <v>1.43081038853648</v>
      </c>
      <c r="F185" s="4" t="n">
        <v>0.41673683085262</v>
      </c>
      <c r="G185" s="4" t="n">
        <f aca="false">(F185-F$344)/F$345</f>
        <v>1.30152581255932</v>
      </c>
      <c r="H185" s="4" t="n">
        <v>0.255402040425536</v>
      </c>
      <c r="I185" s="4" t="n">
        <f aca="false">(H185-H$344)/H$345</f>
        <v>-0.159845059059391</v>
      </c>
      <c r="J185" s="4" t="n">
        <v>0.235400189105911</v>
      </c>
      <c r="K185" s="4" t="n">
        <f aca="false">(J185-J$344)/J$345</f>
        <v>-0.0451137423148177</v>
      </c>
    </row>
    <row r="186" customFormat="false" ht="14.25" hidden="false" customHeight="false" outlineLevel="0" collapsed="false">
      <c r="B186" s="4" t="n">
        <v>0.438209834274772</v>
      </c>
      <c r="C186" s="4" t="n">
        <f aca="false">(B186-B$344)/B$345</f>
        <v>1.45797969907379</v>
      </c>
      <c r="D186" s="4" t="n">
        <v>0.419708063209997</v>
      </c>
      <c r="E186" s="4" t="n">
        <f aca="false">(D186-D$344)/D$345</f>
        <v>1.59488202402827</v>
      </c>
      <c r="F186" s="4" t="n">
        <v>0.439585603678086</v>
      </c>
      <c r="G186" s="4" t="n">
        <f aca="false">(F186-F$344)/F$345</f>
        <v>1.506615113355</v>
      </c>
      <c r="H186" s="4" t="n">
        <v>0.273327151115857</v>
      </c>
      <c r="I186" s="4" t="n">
        <f aca="false">(H186-H$344)/H$345</f>
        <v>-0.0216044354771604</v>
      </c>
      <c r="J186" s="4" t="n">
        <v>0.253548034842478</v>
      </c>
      <c r="K186" s="4" t="n">
        <f aca="false">(J186-J$344)/J$345</f>
        <v>0.120802794306522</v>
      </c>
    </row>
    <row r="187" customFormat="false" ht="14.25" hidden="false" customHeight="false" outlineLevel="0" collapsed="false">
      <c r="B187" s="4" t="n">
        <v>0.475521236468607</v>
      </c>
      <c r="C187" s="4" t="n">
        <f aca="false">(B187-B$344)/B$345</f>
        <v>1.77446337008474</v>
      </c>
      <c r="D187" s="4" t="n">
        <v>0.439606307757633</v>
      </c>
      <c r="E187" s="4" t="n">
        <f aca="false">(D187-D$344)/D$345</f>
        <v>1.81268627794881</v>
      </c>
      <c r="F187" s="4" t="n">
        <v>0.469391406435531</v>
      </c>
      <c r="G187" s="4" t="n">
        <f aca="false">(F187-F$344)/F$345</f>
        <v>1.7741503238397</v>
      </c>
      <c r="H187" s="4" t="n">
        <v>0.297024486083666</v>
      </c>
      <c r="I187" s="4" t="n">
        <f aca="false">(H187-H$344)/H$345</f>
        <v>0.161152280494245</v>
      </c>
      <c r="J187" s="4" t="n">
        <v>0.277635070518433</v>
      </c>
      <c r="K187" s="4" t="n">
        <f aca="false">(J187-J$344)/J$345</f>
        <v>0.341018328141286</v>
      </c>
    </row>
    <row r="188" customFormat="false" ht="14.25" hidden="false" customHeight="false" outlineLevel="0" collapsed="false">
      <c r="A188" s="0" t="s">
        <v>61</v>
      </c>
      <c r="B188" s="4" t="n">
        <v>0.168972235980417</v>
      </c>
      <c r="C188" s="4" t="n">
        <f aca="false">(B188-B$344)/B$345</f>
        <v>-0.825753917789573</v>
      </c>
      <c r="D188" s="4" t="n">
        <v>0.22483633288707</v>
      </c>
      <c r="E188" s="4" t="n">
        <f aca="false">(D188-D$344)/D$345</f>
        <v>-0.538165026005646</v>
      </c>
      <c r="F188" s="4" t="n">
        <v>0.186594506410794</v>
      </c>
      <c r="G188" s="4" t="n">
        <f aca="false">(F188-F$344)/F$345</f>
        <v>-0.764218757786282</v>
      </c>
      <c r="H188" s="4" t="n">
        <v>0.191852759584552</v>
      </c>
      <c r="I188" s="4" t="n">
        <f aca="false">(H188-H$344)/H$345</f>
        <v>-0.649944805913602</v>
      </c>
      <c r="J188" s="4" t="n">
        <v>0.168591935645754</v>
      </c>
      <c r="K188" s="4" t="n">
        <f aca="false">(J188-J$344)/J$345</f>
        <v>-0.65590767305089</v>
      </c>
    </row>
    <row r="189" customFormat="false" ht="14.25" hidden="false" customHeight="false" outlineLevel="0" collapsed="false">
      <c r="B189" s="4" t="n">
        <v>0.224457901760169</v>
      </c>
      <c r="C189" s="4" t="n">
        <f aca="false">(B189-B$344)/B$345</f>
        <v>-0.355112072081505</v>
      </c>
      <c r="D189" s="4" t="n">
        <v>0.264127832282455</v>
      </c>
      <c r="E189" s="4" t="n">
        <f aca="false">(D189-D$344)/D$345</f>
        <v>-0.108084086416047</v>
      </c>
      <c r="F189" s="4" t="n">
        <v>0.240068647493707</v>
      </c>
      <c r="G189" s="4" t="n">
        <f aca="false">(F189-F$344)/F$345</f>
        <v>-0.284237872636912</v>
      </c>
      <c r="H189" s="4" t="n">
        <v>0.244952983036345</v>
      </c>
      <c r="I189" s="4" t="n">
        <f aca="false">(H189-H$344)/H$345</f>
        <v>-0.240429454563749</v>
      </c>
      <c r="J189" s="4" t="n">
        <v>0.218385056095954</v>
      </c>
      <c r="K189" s="4" t="n">
        <f aca="false">(J189-J$344)/J$345</f>
        <v>-0.200674461760155</v>
      </c>
    </row>
    <row r="190" customFormat="false" ht="14.25" hidden="false" customHeight="false" outlineLevel="0" collapsed="false">
      <c r="B190" s="4" t="n">
        <v>0.279755480537276</v>
      </c>
      <c r="C190" s="4" t="n">
        <f aca="false">(B190-B$344)/B$345</f>
        <v>0.113934377539417</v>
      </c>
      <c r="D190" s="4" t="n">
        <v>0.303886873241901</v>
      </c>
      <c r="E190" s="4" t="n">
        <f aca="false">(D190-D$344)/D$345</f>
        <v>0.32711451776418</v>
      </c>
      <c r="F190" s="4" t="n">
        <v>0.292081577662769</v>
      </c>
      <c r="G190" s="4" t="n">
        <f aca="false">(F190-F$344)/F$345</f>
        <v>0.182627265468809</v>
      </c>
      <c r="H190" s="4" t="n">
        <v>0.298943679102913</v>
      </c>
      <c r="I190" s="4" t="n">
        <f aca="false">(H190-H$344)/H$345</f>
        <v>0.175953329388114</v>
      </c>
      <c r="J190" s="4" t="n">
        <v>0.269630325804701</v>
      </c>
      <c r="K190" s="4" t="n">
        <f aca="false">(J190-J$344)/J$345</f>
        <v>0.267835012682282</v>
      </c>
    </row>
    <row r="191" customFormat="false" ht="14.25" hidden="false" customHeight="false" outlineLevel="0" collapsed="false">
      <c r="A191" s="0" t="s">
        <v>62</v>
      </c>
      <c r="B191" s="4" t="n">
        <v>0.168972235980417</v>
      </c>
      <c r="C191" s="4" t="n">
        <f aca="false">(B191-B$344)/B$345</f>
        <v>-0.825753917789573</v>
      </c>
      <c r="D191" s="4" t="n">
        <v>0.22483633288707</v>
      </c>
      <c r="E191" s="4" t="n">
        <f aca="false">(D191-D$344)/D$345</f>
        <v>-0.538165026005646</v>
      </c>
      <c r="F191" s="4" t="n">
        <v>0.186594506410794</v>
      </c>
      <c r="G191" s="4" t="n">
        <f aca="false">(F191-F$344)/F$345</f>
        <v>-0.764218757786282</v>
      </c>
      <c r="H191" s="4" t="n">
        <v>0.191852759584552</v>
      </c>
      <c r="I191" s="4" t="n">
        <f aca="false">(H191-H$344)/H$345</f>
        <v>-0.649944805913602</v>
      </c>
      <c r="J191" s="4" t="n">
        <v>0.168591935645754</v>
      </c>
      <c r="K191" s="4" t="n">
        <f aca="false">(J191-J$344)/J$345</f>
        <v>-0.65590767305089</v>
      </c>
    </row>
    <row r="192" customFormat="false" ht="14.25" hidden="false" customHeight="false" outlineLevel="0" collapsed="false">
      <c r="B192" s="4" t="n">
        <v>0.223705553749596</v>
      </c>
      <c r="C192" s="4" t="n">
        <f aca="false">(B192-B$344)/B$345</f>
        <v>-0.361493656430089</v>
      </c>
      <c r="D192" s="4" t="n">
        <v>0.263590587926138</v>
      </c>
      <c r="E192" s="4" t="n">
        <f aca="false">(D192-D$344)/D$345</f>
        <v>-0.113964711006852</v>
      </c>
      <c r="F192" s="4" t="n">
        <v>0.239352549635469</v>
      </c>
      <c r="G192" s="4" t="n">
        <f aca="false">(F192-F$344)/F$345</f>
        <v>-0.290665526768237</v>
      </c>
      <c r="H192" s="4" t="n">
        <v>0.244225784419567</v>
      </c>
      <c r="I192" s="4" t="n">
        <f aca="false">(H192-H$344)/H$345</f>
        <v>-0.246037698327952</v>
      </c>
      <c r="J192" s="4" t="n">
        <v>0.217698999389944</v>
      </c>
      <c r="K192" s="4" t="n">
        <f aca="false">(J192-J$344)/J$345</f>
        <v>-0.206946729787962</v>
      </c>
    </row>
    <row r="193" customFormat="false" ht="14.25" hidden="false" customHeight="false" outlineLevel="0" collapsed="false">
      <c r="B193" s="4" t="n">
        <v>0.27881504552406</v>
      </c>
      <c r="C193" s="4" t="n">
        <f aca="false">(B193-B$344)/B$345</f>
        <v>0.105957397103686</v>
      </c>
      <c r="D193" s="4" t="n">
        <v>0.303206648058924</v>
      </c>
      <c r="E193" s="4" t="n">
        <f aca="false">(D193-D$344)/D$345</f>
        <v>0.319668838919421</v>
      </c>
      <c r="F193" s="4" t="n">
        <v>0.291206808597032</v>
      </c>
      <c r="G193" s="4" t="n">
        <f aca="false">(F193-F$344)/F$345</f>
        <v>0.174775387496194</v>
      </c>
      <c r="H193" s="4" t="n">
        <v>0.298016537320237</v>
      </c>
      <c r="I193" s="4" t="n">
        <f aca="false">(H193-H$344)/H$345</f>
        <v>0.16880309972423</v>
      </c>
      <c r="J193" s="4" t="n">
        <v>0.268745281530039</v>
      </c>
      <c r="K193" s="4" t="n">
        <f aca="false">(J193-J$344)/J$345</f>
        <v>0.259743502376328</v>
      </c>
    </row>
    <row r="194" customFormat="false" ht="14.25" hidden="false" customHeight="false" outlineLevel="0" collapsed="false">
      <c r="A194" s="0" t="s">
        <v>63</v>
      </c>
      <c r="B194" s="4" t="n">
        <v>0.0760521663462533</v>
      </c>
      <c r="C194" s="4" t="n">
        <f aca="false">(B194-B$344)/B$345</f>
        <v>-1.61392276214549</v>
      </c>
      <c r="D194" s="4" t="n">
        <v>0.14852557129246</v>
      </c>
      <c r="E194" s="4" t="n">
        <f aca="false">(D194-D$344)/D$345</f>
        <v>-1.37345521733042</v>
      </c>
      <c r="F194" s="4" t="n">
        <v>0.0760521663462533</v>
      </c>
      <c r="G194" s="4" t="n">
        <f aca="false">(F194-F$344)/F$345</f>
        <v>-1.75644058980025</v>
      </c>
      <c r="H194" s="4" t="n">
        <v>0.087855053581016</v>
      </c>
      <c r="I194" s="4" t="n">
        <f aca="false">(H194-H$344)/H$345</f>
        <v>-1.45198770413757</v>
      </c>
      <c r="J194" s="4" t="n">
        <v>0.0729637745297971</v>
      </c>
      <c r="K194" s="4" t="n">
        <f aca="false">(J194-J$344)/J$345</f>
        <v>-1.53018738239716</v>
      </c>
    </row>
    <row r="195" customFormat="false" ht="14.25" hidden="false" customHeight="false" outlineLevel="0" collapsed="false">
      <c r="B195" s="4" t="n">
        <v>0.120149048238653</v>
      </c>
      <c r="C195" s="4" t="n">
        <f aca="false">(B195-B$344)/B$345</f>
        <v>-1.23988313241137</v>
      </c>
      <c r="D195" s="4" t="n">
        <v>0.186787491525151</v>
      </c>
      <c r="E195" s="4" t="n">
        <f aca="false">(D195-D$344)/D$345</f>
        <v>-0.954643951346731</v>
      </c>
      <c r="F195" s="4" t="n">
        <v>0.132224669266714</v>
      </c>
      <c r="G195" s="4" t="n">
        <f aca="false">(F195-F$344)/F$345</f>
        <v>-1.25223936044318</v>
      </c>
      <c r="H195" s="4" t="n">
        <v>0.140352119488591</v>
      </c>
      <c r="I195" s="4" t="n">
        <f aca="false">(H195-H$344)/H$345</f>
        <v>-1.04712397678445</v>
      </c>
      <c r="J195" s="4" t="n">
        <v>0.120909632013457</v>
      </c>
      <c r="K195" s="4" t="n">
        <f aca="false">(J195-J$344)/J$345</f>
        <v>-1.09184275821953</v>
      </c>
    </row>
    <row r="196" customFormat="false" ht="14.25" hidden="false" customHeight="false" outlineLevel="0" collapsed="false">
      <c r="B196" s="4" t="n">
        <v>0.168031800967201</v>
      </c>
      <c r="C196" s="4" t="n">
        <f aca="false">(B196-B$344)/B$345</f>
        <v>-0.833730898225303</v>
      </c>
      <c r="D196" s="4" t="n">
        <v>0.224176857388021</v>
      </c>
      <c r="E196" s="4" t="n">
        <f aca="false">(D196-D$344)/D$345</f>
        <v>-0.545383580823655</v>
      </c>
      <c r="F196" s="4" t="n">
        <v>0.185676091786764</v>
      </c>
      <c r="G196" s="4" t="n">
        <f aca="false">(F196-F$344)/F$345</f>
        <v>-0.772462395837288</v>
      </c>
      <c r="H196" s="4" t="n">
        <v>0.190962028460795</v>
      </c>
      <c r="I196" s="4" t="n">
        <f aca="false">(H196-H$344)/H$345</f>
        <v>-0.656814232168175</v>
      </c>
      <c r="J196" s="4" t="n">
        <v>0.167762025367602</v>
      </c>
      <c r="K196" s="4" t="n">
        <f aca="false">(J196-J$344)/J$345</f>
        <v>-0.663495121228279</v>
      </c>
    </row>
    <row r="197" customFormat="false" ht="14.25" hidden="false" customHeight="false" outlineLevel="0" collapsed="false">
      <c r="B197" s="4" t="n">
        <v>0.22220085772845</v>
      </c>
      <c r="C197" s="4" t="n">
        <f aca="false">(B197-B$344)/B$345</f>
        <v>-0.374256825127258</v>
      </c>
      <c r="D197" s="4" t="n">
        <v>0.262516429963517</v>
      </c>
      <c r="E197" s="4" t="n">
        <f aca="false">(D197-D$344)/D$345</f>
        <v>-0.125722339830918</v>
      </c>
      <c r="F197" s="4" t="n">
        <v>0.237919643768941</v>
      </c>
      <c r="G197" s="4" t="n">
        <f aca="false">(F197-F$344)/F$345</f>
        <v>-0.303527209297842</v>
      </c>
      <c r="H197" s="4" t="n">
        <v>0.242771980636477</v>
      </c>
      <c r="I197" s="4" t="n">
        <f aca="false">(H197-H$344)/H$345</f>
        <v>-0.25724960909451</v>
      </c>
      <c r="J197" s="4" t="n">
        <v>0.216327784596543</v>
      </c>
      <c r="K197" s="4" t="n">
        <f aca="false">(J197-J$344)/J$345</f>
        <v>-0.219483050229937</v>
      </c>
    </row>
    <row r="198" customFormat="false" ht="14.25" hidden="false" customHeight="false" outlineLevel="0" collapsed="false">
      <c r="B198" s="4" t="n">
        <v>0.298752267804242</v>
      </c>
      <c r="C198" s="4" t="n">
        <f aca="false">(B198-B$344)/B$345</f>
        <v>0.275069382341162</v>
      </c>
      <c r="D198" s="4" t="n">
        <v>0.317653726187751</v>
      </c>
      <c r="E198" s="4" t="n">
        <f aca="false">(D198-D$344)/D$345</f>
        <v>0.477805154193251</v>
      </c>
      <c r="F198" s="4" t="n">
        <v>0.309683340491087</v>
      </c>
      <c r="G198" s="4" t="n">
        <f aca="false">(F198-F$344)/F$345</f>
        <v>0.340619699408533</v>
      </c>
      <c r="H198" s="4" t="n">
        <v>0.317738125203704</v>
      </c>
      <c r="I198" s="4" t="n">
        <f aca="false">(H198-H$344)/H$345</f>
        <v>0.320898372893974</v>
      </c>
      <c r="J198" s="4" t="n">
        <v>0.287608434850072</v>
      </c>
      <c r="K198" s="4" t="n">
        <f aca="false">(J198-J$344)/J$345</f>
        <v>0.432199732942075</v>
      </c>
    </row>
    <row r="199" customFormat="false" ht="14.25" hidden="false" customHeight="false" outlineLevel="0" collapsed="false">
      <c r="A199" s="0" t="s">
        <v>64</v>
      </c>
      <c r="B199" s="4" t="n">
        <v>0.111129674723574</v>
      </c>
      <c r="C199" s="4" t="n">
        <f aca="false">(B199-B$344)/B$345</f>
        <v>-1.31638747886937</v>
      </c>
      <c r="D199" s="4" t="n">
        <v>0.20920701261145</v>
      </c>
      <c r="E199" s="4" t="n">
        <f aca="false">(D199-D$344)/D$345</f>
        <v>-0.709242049095158</v>
      </c>
      <c r="F199" s="4" t="n">
        <v>0.125813798183188</v>
      </c>
      <c r="G199" s="4" t="n">
        <f aca="false">(F199-F$344)/F$345</f>
        <v>-1.30978297900225</v>
      </c>
      <c r="H199" s="4" t="n">
        <v>0.120265049160711</v>
      </c>
      <c r="I199" s="4" t="n">
        <f aca="false">(H199-H$344)/H$345</f>
        <v>-1.20203789480927</v>
      </c>
      <c r="J199" s="4" t="n">
        <v>0.102380106993648</v>
      </c>
      <c r="K199" s="4" t="n">
        <f aca="false">(J199-J$344)/J$345</f>
        <v>-1.26124879467984</v>
      </c>
    </row>
    <row r="200" customFormat="false" ht="14.25" hidden="false" customHeight="false" outlineLevel="0" collapsed="false">
      <c r="B200" s="4" t="n">
        <v>0.174471933181406</v>
      </c>
      <c r="C200" s="4" t="n">
        <f aca="false">(B200-B$344)/B$345</f>
        <v>-0.779104254220907</v>
      </c>
      <c r="D200" s="4" t="n">
        <v>0.268901148196938</v>
      </c>
      <c r="E200" s="4" t="n">
        <f aca="false">(D200-D$344)/D$345</f>
        <v>-0.055835833612032</v>
      </c>
      <c r="F200" s="4" t="n">
        <v>0.202345757337866</v>
      </c>
      <c r="G200" s="4" t="n">
        <f aca="false">(F200-F$344)/F$345</f>
        <v>-0.622836414674619</v>
      </c>
      <c r="H200" s="4" t="n">
        <v>0.175758734838228</v>
      </c>
      <c r="I200" s="4" t="n">
        <f aca="false">(H200-H$344)/H$345</f>
        <v>-0.774063873032171</v>
      </c>
      <c r="J200" s="4" t="n">
        <v>0.15471417112529</v>
      </c>
      <c r="K200" s="4" t="n">
        <f aca="false">(J200-J$344)/J$345</f>
        <v>-0.782785025806997</v>
      </c>
    </row>
    <row r="201" customFormat="false" ht="14.25" hidden="false" customHeight="false" outlineLevel="0" collapsed="false">
      <c r="B201" s="4" t="n">
        <v>0.273403616699989</v>
      </c>
      <c r="C201" s="4" t="n">
        <f aca="false">(B201-B$344)/B$345</f>
        <v>0.0600564456797908</v>
      </c>
      <c r="D201" s="4" t="n">
        <v>0.331187203412481</v>
      </c>
      <c r="E201" s="4" t="n">
        <f aca="false">(D201-D$344)/D$345</f>
        <v>0.6259412826254</v>
      </c>
      <c r="F201" s="4" t="n">
        <v>0.295606091961965</v>
      </c>
      <c r="G201" s="4" t="n">
        <f aca="false">(F201-F$344)/F$345</f>
        <v>0.214263107743061</v>
      </c>
      <c r="H201" s="4" t="n">
        <v>0.255466222048711</v>
      </c>
      <c r="I201" s="4" t="n">
        <f aca="false">(H201-H$344)/H$345</f>
        <v>-0.159350082611905</v>
      </c>
      <c r="J201" s="4" t="n">
        <v>0.233224637584662</v>
      </c>
      <c r="K201" s="4" t="n">
        <f aca="false">(J201-J$344)/J$345</f>
        <v>-0.0650037049520721</v>
      </c>
    </row>
    <row r="202" customFormat="false" ht="14.25" hidden="false" customHeight="false" outlineLevel="0" collapsed="false">
      <c r="A202" s="0" t="s">
        <v>65</v>
      </c>
      <c r="B202" s="4" t="n">
        <v>0.117948216713536</v>
      </c>
      <c r="C202" s="4" t="n">
        <f aca="false">(B202-B$344)/B$345</f>
        <v>-1.25855107838475</v>
      </c>
      <c r="D202" s="4" t="n">
        <v>0.186546425242539</v>
      </c>
      <c r="E202" s="4" t="n">
        <f aca="false">(D202-D$344)/D$345</f>
        <v>-0.957282639483471</v>
      </c>
      <c r="F202" s="4" t="n">
        <v>0.12664621369554</v>
      </c>
      <c r="G202" s="4" t="n">
        <f aca="false">(F202-F$344)/F$345</f>
        <v>-1.30231126414457</v>
      </c>
      <c r="H202" s="4" t="n">
        <v>0.133268353972735</v>
      </c>
      <c r="I202" s="4" t="n">
        <f aca="false">(H202-H$344)/H$345</f>
        <v>-1.10175483397357</v>
      </c>
      <c r="J202" s="4" t="n">
        <v>0.118511858986488</v>
      </c>
      <c r="K202" s="4" t="n">
        <f aca="false">(J202-J$344)/J$345</f>
        <v>-1.11376437922147</v>
      </c>
    </row>
    <row r="203" customFormat="false" ht="14.25" hidden="false" customHeight="false" outlineLevel="0" collapsed="false">
      <c r="B203" s="4" t="n">
        <v>0.183096151984949</v>
      </c>
      <c r="C203" s="4" t="n">
        <f aca="false">(B203-B$344)/B$345</f>
        <v>-0.705951698539202</v>
      </c>
      <c r="D203" s="4" t="n">
        <v>0.237903729489362</v>
      </c>
      <c r="E203" s="4" t="n">
        <f aca="false">(D203-D$344)/D$345</f>
        <v>-0.395130570838896</v>
      </c>
      <c r="F203" s="4" t="n">
        <v>0.199790074582708</v>
      </c>
      <c r="G203" s="4" t="n">
        <f aca="false">(F203-F$344)/F$345</f>
        <v>-0.645776079457265</v>
      </c>
      <c r="H203" s="4" t="n">
        <v>0.199422674578089</v>
      </c>
      <c r="I203" s="4" t="n">
        <f aca="false">(H203-H$344)/H$345</f>
        <v>-0.59156470510139</v>
      </c>
      <c r="J203" s="4" t="n">
        <v>0.182983931593021</v>
      </c>
      <c r="K203" s="4" t="n">
        <f aca="false">(J203-J$344)/J$345</f>
        <v>-0.524328963527947</v>
      </c>
    </row>
    <row r="204" customFormat="false" ht="14.25" hidden="false" customHeight="false" outlineLevel="0" collapsed="false">
      <c r="B204" s="4" t="n">
        <v>0.256757858163567</v>
      </c>
      <c r="C204" s="4" t="n">
        <f aca="false">(B204-B$344)/B$345</f>
        <v>-0.0811366068085777</v>
      </c>
      <c r="D204" s="4" t="n">
        <v>0.290690744603481</v>
      </c>
      <c r="E204" s="4" t="n">
        <f aca="false">(D204-D$344)/D$345</f>
        <v>0.182670974221946</v>
      </c>
      <c r="F204" s="4" t="n">
        <v>0.270474975091209</v>
      </c>
      <c r="G204" s="4" t="n">
        <f aca="false">(F204-F$344)/F$345</f>
        <v>-0.0113123849369441</v>
      </c>
      <c r="H204" s="4" t="n">
        <v>0.26658652764767</v>
      </c>
      <c r="I204" s="4" t="n">
        <f aca="false">(H204-H$344)/H$345</f>
        <v>-0.0735889396553298</v>
      </c>
      <c r="J204" s="4" t="n">
        <v>0.250300996868603</v>
      </c>
      <c r="K204" s="4" t="n">
        <f aca="false">(J204-J$344)/J$345</f>
        <v>0.0911167752206389</v>
      </c>
    </row>
    <row r="205" customFormat="false" ht="14.25" hidden="false" customHeight="false" outlineLevel="0" collapsed="false">
      <c r="A205" s="0" t="s">
        <v>66</v>
      </c>
      <c r="B205" s="4" t="n">
        <v>0.131790213495005</v>
      </c>
      <c r="C205" s="4" t="n">
        <f aca="false">(B205-B$344)/B$345</f>
        <v>-1.14114016113316</v>
      </c>
      <c r="D205" s="4" t="n">
        <v>0.169804779513575</v>
      </c>
      <c r="E205" s="4" t="n">
        <f aca="false">(D205-D$344)/D$345</f>
        <v>-1.14053506904677</v>
      </c>
      <c r="F205" s="4" t="n">
        <v>0.143249451345174</v>
      </c>
      <c r="G205" s="4" t="n">
        <f aca="false">(F205-F$344)/F$345</f>
        <v>-1.15328153609227</v>
      </c>
      <c r="H205" s="4" t="n">
        <v>0.143024124602468</v>
      </c>
      <c r="I205" s="4" t="n">
        <f aca="false">(H205-H$344)/H$345</f>
        <v>-1.02651714988453</v>
      </c>
      <c r="J205" s="4" t="n">
        <v>0.120902138327171</v>
      </c>
      <c r="K205" s="4" t="n">
        <f aca="false">(J205-J$344)/J$345</f>
        <v>-1.09191126918734</v>
      </c>
    </row>
    <row r="206" customFormat="false" ht="14.25" hidden="false" customHeight="false" outlineLevel="0" collapsed="false">
      <c r="B206" s="4" t="n">
        <v>0.229504768951255</v>
      </c>
      <c r="C206" s="4" t="n">
        <f aca="false">(B206-B$344)/B$345</f>
        <v>-0.312303414088918</v>
      </c>
      <c r="D206" s="4" t="n">
        <v>0.235851240096342</v>
      </c>
      <c r="E206" s="4" t="n">
        <f aca="false">(D206-D$344)/D$345</f>
        <v>-0.417596920564184</v>
      </c>
      <c r="F206" s="4" t="n">
        <v>0.233178206680414</v>
      </c>
      <c r="G206" s="4" t="n">
        <f aca="false">(F206-F$344)/F$345</f>
        <v>-0.346086082138878</v>
      </c>
      <c r="H206" s="4" t="n">
        <v>0.236817207569647</v>
      </c>
      <c r="I206" s="4" t="n">
        <f aca="false">(H206-H$344)/H$345</f>
        <v>-0.303173539845671</v>
      </c>
      <c r="J206" s="4" t="n">
        <v>0.206228315373657</v>
      </c>
      <c r="K206" s="4" t="n">
        <f aca="false">(J206-J$344)/J$345</f>
        <v>-0.311817368005104</v>
      </c>
    </row>
    <row r="207" customFormat="false" ht="14.25" hidden="false" customHeight="false" outlineLevel="0" collapsed="false">
      <c r="B207" s="4" t="n">
        <v>0.288133502225005</v>
      </c>
      <c r="C207" s="4" t="n">
        <f aca="false">(B207-B$344)/B$345</f>
        <v>0.184998634137626</v>
      </c>
      <c r="D207" s="4" t="n">
        <v>0.276401102251505</v>
      </c>
      <c r="E207" s="4" t="n">
        <f aca="false">(D207-D$344)/D$345</f>
        <v>0.0262579356841737</v>
      </c>
      <c r="F207" s="4" t="n">
        <v>0.284642328815629</v>
      </c>
      <c r="G207" s="4" t="n">
        <f aca="false">(F207-F$344)/F$345</f>
        <v>0.115852985897674</v>
      </c>
      <c r="H207" s="4" t="n">
        <v>0.295391727913406</v>
      </c>
      <c r="I207" s="4" t="n">
        <f aca="false">(H207-H$344)/H$345</f>
        <v>0.148560251830366</v>
      </c>
      <c r="J207" s="4" t="n">
        <v>0.260445311932436</v>
      </c>
      <c r="K207" s="4" t="n">
        <f aca="false">(J207-J$344)/J$345</f>
        <v>0.183861095743241</v>
      </c>
    </row>
    <row r="208" customFormat="false" ht="14.25" hidden="false" customHeight="false" outlineLevel="0" collapsed="false">
      <c r="B208" s="4" t="n">
        <v>0.33699077995313</v>
      </c>
      <c r="C208" s="4" t="n">
        <f aca="false">(B208-B$344)/B$345</f>
        <v>0.599417007659747</v>
      </c>
      <c r="D208" s="4" t="n">
        <v>0.310535722690367</v>
      </c>
      <c r="E208" s="4" t="n">
        <f aca="false">(D208-D$344)/D$345</f>
        <v>0.399892178632016</v>
      </c>
      <c r="F208" s="4" t="n">
        <v>0.326393908257092</v>
      </c>
      <c r="G208" s="4" t="n">
        <f aca="false">(F208-F$344)/F$345</f>
        <v>0.490612816553496</v>
      </c>
      <c r="H208" s="4" t="n">
        <v>0.345520774876849</v>
      </c>
      <c r="I208" s="4" t="n">
        <f aca="false">(H208-H$344)/H$345</f>
        <v>0.535161530423936</v>
      </c>
      <c r="J208" s="4" t="n">
        <v>0.307357089983489</v>
      </c>
      <c r="K208" s="4" t="n">
        <f aca="false">(J208-J$344)/J$345</f>
        <v>0.612751656857957</v>
      </c>
    </row>
    <row r="209" customFormat="false" ht="14.25" hidden="false" customHeight="false" outlineLevel="0" collapsed="false">
      <c r="B209" s="4" t="n">
        <v>0.41516242431813</v>
      </c>
      <c r="C209" s="4" t="n">
        <f aca="false">(B209-B$344)/B$345</f>
        <v>1.26248640529514</v>
      </c>
      <c r="D209" s="4" t="n">
        <v>0.365623317923277</v>
      </c>
      <c r="E209" s="4" t="n">
        <f aca="false">(D209-D$344)/D$345</f>
        <v>1.00287565042807</v>
      </c>
      <c r="F209" s="4" t="n">
        <v>0.391445958304373</v>
      </c>
      <c r="G209" s="4" t="n">
        <f aca="false">(F209-F$344)/F$345</f>
        <v>1.07451636189632</v>
      </c>
      <c r="H209" s="4" t="n">
        <v>0.428217476462096</v>
      </c>
      <c r="I209" s="4" t="n">
        <f aca="false">(H209-H$344)/H$345</f>
        <v>1.1729285039641</v>
      </c>
      <c r="J209" s="4" t="n">
        <v>0.385688999390302</v>
      </c>
      <c r="K209" s="4" t="n">
        <f aca="false">(J209-J$344)/J$345</f>
        <v>1.32890052126709</v>
      </c>
    </row>
    <row r="210" customFormat="false" ht="14.25" hidden="false" customHeight="false" outlineLevel="0" collapsed="false">
      <c r="B210" s="4" t="n">
        <v>0.46727599043109</v>
      </c>
      <c r="C210" s="4" t="n">
        <f aca="false">(B210-B$344)/B$345</f>
        <v>1.70452534629283</v>
      </c>
      <c r="D210" s="4" t="n">
        <v>0.378012737989334</v>
      </c>
      <c r="E210" s="4" t="n">
        <f aca="false">(D210-D$344)/D$345</f>
        <v>1.13848904021908</v>
      </c>
      <c r="F210" s="4" t="n">
        <v>0.446940579430806</v>
      </c>
      <c r="G210" s="4" t="n">
        <f aca="false">(F210-F$344)/F$345</f>
        <v>1.57263296236671</v>
      </c>
      <c r="H210" s="4" t="n">
        <v>0.503091261277963</v>
      </c>
      <c r="I210" s="4" t="n">
        <f aca="false">(H210-H$344)/H$345</f>
        <v>1.75036419636941</v>
      </c>
      <c r="J210" s="4" t="n">
        <v>0.457533956420672</v>
      </c>
      <c r="K210" s="4" t="n">
        <f aca="false">(J210-J$344)/J$345</f>
        <v>1.985742474699</v>
      </c>
    </row>
    <row r="211" customFormat="false" ht="14.25" hidden="false" customHeight="false" outlineLevel="0" collapsed="false">
      <c r="A211" s="0" t="s">
        <v>67</v>
      </c>
      <c r="B211" s="4" t="n">
        <v>0.167526219095786</v>
      </c>
      <c r="C211" s="4" t="n">
        <f aca="false">(B211-B$344)/B$345</f>
        <v>-0.838019356906941</v>
      </c>
      <c r="D211" s="4" t="n">
        <v>0.180461464919836</v>
      </c>
      <c r="E211" s="4" t="n">
        <f aca="false">(D211-D$344)/D$345</f>
        <v>-1.02388802469972</v>
      </c>
      <c r="F211" s="4" t="n">
        <v>0.173008961021353</v>
      </c>
      <c r="G211" s="4" t="n">
        <f aca="false">(F211-F$344)/F$345</f>
        <v>-0.886161849703368</v>
      </c>
      <c r="H211" s="4" t="n">
        <v>0.167526219095786</v>
      </c>
      <c r="I211" s="4" t="n">
        <f aca="false">(H211-H$344)/H$345</f>
        <v>-0.837554031031602</v>
      </c>
      <c r="J211" s="4" t="n">
        <v>0.170458715681791</v>
      </c>
      <c r="K211" s="4" t="n">
        <f aca="false">(J211-J$344)/J$345</f>
        <v>-0.638840651283724</v>
      </c>
    </row>
    <row r="212" customFormat="false" ht="14.25" hidden="false" customHeight="false" outlineLevel="0" collapsed="false">
      <c r="B212" s="4" t="n">
        <v>0.20362194551252</v>
      </c>
      <c r="C212" s="4" t="n">
        <f aca="false">(B212-B$344)/B$345</f>
        <v>-0.531847320143796</v>
      </c>
      <c r="D212" s="4" t="n">
        <v>0.207623438265311</v>
      </c>
      <c r="E212" s="4" t="n">
        <f aca="false">(D212-D$344)/D$345</f>
        <v>-0.726575700220141</v>
      </c>
      <c r="F212" s="4" t="n">
        <v>0.206546135955055</v>
      </c>
      <c r="G212" s="4" t="n">
        <f aca="false">(F212-F$344)/F$345</f>
        <v>-0.585134052265194</v>
      </c>
      <c r="H212" s="4" t="n">
        <v>0.20362194551252</v>
      </c>
      <c r="I212" s="4" t="n">
        <f aca="false">(H212-H$344)/H$345</f>
        <v>-0.559179419308982</v>
      </c>
      <c r="J212" s="4" t="n">
        <v>0.208357252134503</v>
      </c>
      <c r="K212" s="4" t="n">
        <f aca="false">(J212-J$344)/J$345</f>
        <v>-0.292353580447465</v>
      </c>
    </row>
    <row r="213" customFormat="false" ht="14.25" hidden="false" customHeight="false" outlineLevel="0" collapsed="false">
      <c r="B213" s="4" t="n">
        <v>0.250030736619751</v>
      </c>
      <c r="C213" s="4" t="n">
        <f aca="false">(B213-B$344)/B$345</f>
        <v>-0.13819755859118</v>
      </c>
      <c r="D213" s="4" t="n">
        <v>0.242873323547314</v>
      </c>
      <c r="E213" s="4" t="n">
        <f aca="false">(D213-D$344)/D$345</f>
        <v>-0.340733876523034</v>
      </c>
      <c r="F213" s="4" t="n">
        <v>0.248681482475672</v>
      </c>
      <c r="G213" s="4" t="n">
        <f aca="false">(F213-F$344)/F$345</f>
        <v>-0.206929549874341</v>
      </c>
      <c r="H213" s="4" t="n">
        <v>0.250030736619751</v>
      </c>
      <c r="I213" s="4" t="n">
        <f aca="false">(H213-H$344)/H$345</f>
        <v>-0.201269204237042</v>
      </c>
      <c r="J213" s="4" t="n">
        <v>0.259439399926061</v>
      </c>
      <c r="K213" s="4" t="n">
        <f aca="false">(J213-J$344)/J$345</f>
        <v>0.174664553152662</v>
      </c>
    </row>
    <row r="214" customFormat="false" ht="14.25" hidden="false" customHeight="false" outlineLevel="0" collapsed="false">
      <c r="B214" s="4" t="n">
        <v>0.270656866000742</v>
      </c>
      <c r="C214" s="4" t="n">
        <f aca="false">(B214-B$344)/B$345</f>
        <v>0.0367578909877603</v>
      </c>
      <c r="D214" s="4" t="n">
        <v>0.258630742616514</v>
      </c>
      <c r="E214" s="4" t="n">
        <f aca="false">(D214-D$344)/D$345</f>
        <v>-0.168254696469527</v>
      </c>
      <c r="F214" s="4" t="n">
        <v>0.267100159147165</v>
      </c>
      <c r="G214" s="4" t="n">
        <f aca="false">(F214-F$344)/F$345</f>
        <v>-0.0416045431882856</v>
      </c>
      <c r="H214" s="4" t="n">
        <v>0.270656866000742</v>
      </c>
      <c r="I214" s="4" t="n">
        <f aca="false">(H214-H$344)/H$345</f>
        <v>-0.0421979975384014</v>
      </c>
      <c r="J214" s="4" t="n">
        <v>0.28299315880193</v>
      </c>
      <c r="K214" s="4" t="n">
        <f aca="false">(J214-J$344)/J$345</f>
        <v>0.390004608045451</v>
      </c>
    </row>
    <row r="215" customFormat="false" ht="14.25" hidden="false" customHeight="false" outlineLevel="0" collapsed="false">
      <c r="B215" s="4" t="n">
        <v>0.317065657107973</v>
      </c>
      <c r="C215" s="4" t="n">
        <f aca="false">(B215-B$344)/B$345</f>
        <v>0.430407652540376</v>
      </c>
      <c r="D215" s="4" t="n">
        <v>0.294242950474717</v>
      </c>
      <c r="E215" s="4" t="n">
        <f aca="false">(D215-D$344)/D$345</f>
        <v>0.2215530749874</v>
      </c>
      <c r="F215" s="4" t="n">
        <v>0.307948893194032</v>
      </c>
      <c r="G215" s="4" t="n">
        <f aca="false">(F215-F$344)/F$345</f>
        <v>0.325051397944942</v>
      </c>
      <c r="H215" s="4" t="n">
        <v>0.317065657107973</v>
      </c>
      <c r="I215" s="4" t="n">
        <f aca="false">(H215-H$344)/H$345</f>
        <v>0.315712217533539</v>
      </c>
      <c r="J215" s="4" t="n">
        <v>0.337902925951782</v>
      </c>
      <c r="K215" s="4" t="n">
        <f aca="false">(J215-J$344)/J$345</f>
        <v>0.892016721462881</v>
      </c>
    </row>
    <row r="216" customFormat="false" ht="14.25" hidden="false" customHeight="false" outlineLevel="0" collapsed="false">
      <c r="B216" s="4" t="n">
        <v>0.404842760198733</v>
      </c>
      <c r="C216" s="4" t="n">
        <f aca="false">(B216-B$344)/B$345</f>
        <v>1.17495270267148</v>
      </c>
      <c r="D216" s="4" t="n">
        <v>0.349257301725565</v>
      </c>
      <c r="E216" s="4" t="n">
        <f aca="false">(D216-D$344)/D$345</f>
        <v>0.823734825263281</v>
      </c>
      <c r="F216" s="4" t="n">
        <v>0.39202165688995</v>
      </c>
      <c r="G216" s="4" t="n">
        <f aca="false">(F216-F$344)/F$345</f>
        <v>1.07968380004659</v>
      </c>
      <c r="H216" s="4" t="n">
        <v>0.404842760198733</v>
      </c>
      <c r="I216" s="4" t="n">
        <f aca="false">(H216-H$344)/H$345</f>
        <v>0.992659862496242</v>
      </c>
      <c r="J216" s="4" t="n">
        <v>0.46367989947786</v>
      </c>
      <c r="K216" s="4" t="n">
        <f aca="false">(J216-J$344)/J$345</f>
        <v>2.04193171066247</v>
      </c>
    </row>
    <row r="217" customFormat="false" ht="14.25" hidden="false" customHeight="false" outlineLevel="0" collapsed="false">
      <c r="A217" s="0" t="s">
        <v>68</v>
      </c>
      <c r="B217" s="4" t="n">
        <v>0.134199665397668</v>
      </c>
      <c r="C217" s="4" t="n">
        <f aca="false">(B217-B$344)/B$345</f>
        <v>-1.12070265038732</v>
      </c>
      <c r="D217" s="4" t="n">
        <v>0.144337224109127</v>
      </c>
      <c r="E217" s="4" t="n">
        <f aca="false">(D217-D$344)/D$345</f>
        <v>-1.41930045916781</v>
      </c>
      <c r="F217" s="4" t="n">
        <v>0.138409641205145</v>
      </c>
      <c r="G217" s="4" t="n">
        <f aca="false">(F217-F$344)/F$345</f>
        <v>-1.1967233999151</v>
      </c>
      <c r="H217" s="4" t="n">
        <v>0.189176064075434</v>
      </c>
      <c r="I217" s="4" t="n">
        <f aca="false">(H217-H$344)/H$345</f>
        <v>-0.670587805709419</v>
      </c>
      <c r="J217" s="4" t="n">
        <v>0.146822696851558</v>
      </c>
      <c r="K217" s="4" t="n">
        <f aca="false">(J217-J$344)/J$345</f>
        <v>-0.854932767160992</v>
      </c>
    </row>
    <row r="218" customFormat="false" ht="14.25" hidden="false" customHeight="false" outlineLevel="0" collapsed="false">
      <c r="B218" s="4" t="n">
        <v>0.162727659499746</v>
      </c>
      <c r="C218" s="4" t="n">
        <f aca="false">(B218-B$344)/B$345</f>
        <v>-0.878721814258447</v>
      </c>
      <c r="D218" s="4" t="n">
        <v>0.167371224132586</v>
      </c>
      <c r="E218" s="4" t="n">
        <f aca="false">(D218-D$344)/D$345</f>
        <v>-1.16717253009825</v>
      </c>
      <c r="F218" s="4" t="n">
        <v>0.165680077833336</v>
      </c>
      <c r="G218" s="4" t="n">
        <f aca="false">(F218-F$344)/F$345</f>
        <v>-0.951945493320695</v>
      </c>
      <c r="H218" s="4" t="n">
        <v>0.230127024127194</v>
      </c>
      <c r="I218" s="4" t="n">
        <f aca="false">(H218-H$344)/H$345</f>
        <v>-0.354769044439325</v>
      </c>
      <c r="J218" s="4" t="n">
        <v>0.179653773901443</v>
      </c>
      <c r="K218" s="4" t="n">
        <f aca="false">(J218-J$344)/J$345</f>
        <v>-0.554774903977852</v>
      </c>
    </row>
    <row r="219" customFormat="false" ht="14.25" hidden="false" customHeight="false" outlineLevel="0" collapsed="false">
      <c r="B219" s="4" t="n">
        <v>0.188402854191617</v>
      </c>
      <c r="C219" s="4" t="n">
        <f aca="false">(B219-B$344)/B$345</f>
        <v>-0.660939061742466</v>
      </c>
      <c r="D219" s="4" t="n">
        <v>0.188233370369937</v>
      </c>
      <c r="E219" s="4" t="n">
        <f aca="false">(D219-D$344)/D$345</f>
        <v>-0.938817501817773</v>
      </c>
      <c r="F219" s="4" t="n">
        <v>0.189838769110518</v>
      </c>
      <c r="G219" s="4" t="n">
        <f aca="false">(F219-F$344)/F$345</f>
        <v>-0.73509843811895</v>
      </c>
      <c r="H219" s="4" t="n">
        <v>0.268414044153608</v>
      </c>
      <c r="I219" s="4" t="n">
        <f aca="false">(H219-H$344)/H$345</f>
        <v>-0.059494911130074</v>
      </c>
      <c r="J219" s="4" t="n">
        <v>0.210509203649178</v>
      </c>
      <c r="K219" s="4" t="n">
        <f aca="false">(J219-J$344)/J$345</f>
        <v>-0.272679380684324</v>
      </c>
    </row>
    <row r="220" customFormat="false" ht="14.25" hidden="false" customHeight="false" outlineLevel="0" collapsed="false">
      <c r="B220" s="4" t="n">
        <v>0.219783647703903</v>
      </c>
      <c r="C220" s="4" t="n">
        <f aca="false">(B220-B$344)/B$345</f>
        <v>-0.394760142000711</v>
      </c>
      <c r="D220" s="4" t="n">
        <v>0.21385792026699</v>
      </c>
      <c r="E220" s="4" t="n">
        <f aca="false">(D220-D$344)/D$345</f>
        <v>-0.6583336652152</v>
      </c>
      <c r="F220" s="4" t="n">
        <v>0.218937959302462</v>
      </c>
      <c r="G220" s="4" t="n">
        <f aca="false">(F220-F$344)/F$345</f>
        <v>-0.473905742311023</v>
      </c>
      <c r="H220" s="4" t="n">
        <v>0.317050544159942</v>
      </c>
      <c r="I220" s="4" t="n">
        <f aca="false">(H220-H$344)/H$345</f>
        <v>0.315595664648814</v>
      </c>
      <c r="J220" s="4" t="n">
        <v>0.249903508362049</v>
      </c>
      <c r="K220" s="4" t="n">
        <f aca="false">(J220-J$344)/J$345</f>
        <v>0.0874827396821207</v>
      </c>
    </row>
    <row r="221" customFormat="false" ht="14.25" hidden="false" customHeight="false" outlineLevel="0" collapsed="false">
      <c r="B221" s="4" t="n">
        <v>0.251164441216189</v>
      </c>
      <c r="C221" s="4" t="n">
        <f aca="false">(B221-B$344)/B$345</f>
        <v>-0.128581222258956</v>
      </c>
      <c r="D221" s="4" t="n">
        <v>0.239588833173333</v>
      </c>
      <c r="E221" s="4" t="n">
        <f aca="false">(D221-D$344)/D$345</f>
        <v>-0.376685589434263</v>
      </c>
      <c r="F221" s="4" t="n">
        <v>0.247631722100297</v>
      </c>
      <c r="G221" s="4" t="n">
        <f aca="false">(F221-F$344)/F$345</f>
        <v>-0.216352140007878</v>
      </c>
      <c r="H221" s="4" t="n">
        <v>0.367712422804397</v>
      </c>
      <c r="I221" s="4" t="n">
        <f aca="false">(H221-H$344)/H$345</f>
        <v>0.70630620566871</v>
      </c>
      <c r="J221" s="4" t="n">
        <v>0.29114813715379</v>
      </c>
      <c r="K221" s="4" t="n">
        <f aca="false">(J221-J$344)/J$345</f>
        <v>0.464561433357023</v>
      </c>
    </row>
    <row r="222" customFormat="false" ht="14.25" hidden="false" customHeight="false" outlineLevel="0" collapsed="false">
      <c r="B222" s="4" t="n">
        <v>0.279692435318268</v>
      </c>
      <c r="C222" s="4" t="n">
        <f aca="false">(B222-B$344)/B$345</f>
        <v>0.113399613869912</v>
      </c>
      <c r="D222" s="4" t="n">
        <v>0.263052441312592</v>
      </c>
      <c r="E222" s="4" t="n">
        <f aca="false">(D222-D$344)/D$345</f>
        <v>-0.119855211617737</v>
      </c>
      <c r="F222" s="4" t="n">
        <v>0.273415694694274</v>
      </c>
      <c r="G222" s="4" t="n">
        <f aca="false">(F222-F$344)/F$345</f>
        <v>0.0150833489537028</v>
      </c>
      <c r="H222" s="4" t="n">
        <v>0.415526236092767</v>
      </c>
      <c r="I222" s="4" t="n">
        <f aca="false">(H222-H$344)/H$345</f>
        <v>1.07505212188767</v>
      </c>
      <c r="J222" s="4" t="n">
        <v>0.330627166310421</v>
      </c>
      <c r="K222" s="4" t="n">
        <f aca="false">(J222-J$344)/J$345</f>
        <v>0.825498146282821</v>
      </c>
    </row>
    <row r="223" customFormat="false" ht="14.25" hidden="false" customHeight="false" outlineLevel="0" collapsed="false">
      <c r="B223" s="4" t="n">
        <v>0.308220429420346</v>
      </c>
      <c r="C223" s="4" t="n">
        <f aca="false">(B223-B$344)/B$345</f>
        <v>0.35538044999878</v>
      </c>
      <c r="D223" s="4" t="n">
        <v>0.286571001664041</v>
      </c>
      <c r="E223" s="4" t="n">
        <f aca="false">(D223-D$344)/D$345</f>
        <v>0.137576667780943</v>
      </c>
      <c r="F223" s="4" t="n">
        <v>0.298952780174246</v>
      </c>
      <c r="G223" s="4" t="n">
        <f aca="false">(F223-F$344)/F$345</f>
        <v>0.244302793054861</v>
      </c>
      <c r="H223" s="4" t="n">
        <v>0.465013916024212</v>
      </c>
      <c r="I223" s="4" t="n">
        <f aca="false">(H223-H$344)/H$345</f>
        <v>1.45670710028928</v>
      </c>
      <c r="J223" s="4" t="n">
        <v>0.372514017211665</v>
      </c>
      <c r="K223" s="4" t="n">
        <f aca="false">(J223-J$344)/J$345</f>
        <v>1.20844835053243</v>
      </c>
    </row>
    <row r="224" customFormat="false" ht="14.25" hidden="false" customHeight="false" outlineLevel="0" collapsed="false">
      <c r="B224" s="4" t="n">
        <v>0.330617382552647</v>
      </c>
      <c r="C224" s="4" t="n">
        <f aca="false">(B224-B$344)/B$345</f>
        <v>0.545356423293666</v>
      </c>
      <c r="D224" s="4" t="n">
        <v>0.307776616985238</v>
      </c>
      <c r="E224" s="4" t="n">
        <f aca="false">(D224-D$344)/D$345</f>
        <v>0.369691275323445</v>
      </c>
      <c r="F224" s="4" t="n">
        <v>0.321752751072368</v>
      </c>
      <c r="G224" s="4" t="n">
        <f aca="false">(F224-F$344)/F$345</f>
        <v>0.448954050493338</v>
      </c>
      <c r="H224" s="4" t="n">
        <v>0.510983983942342</v>
      </c>
      <c r="I224" s="4" t="n">
        <f aca="false">(H224-H$344)/H$345</f>
        <v>1.8112338290169</v>
      </c>
      <c r="J224" s="4" t="n">
        <v>0.410212183022785</v>
      </c>
      <c r="K224" s="4" t="n">
        <f aca="false">(J224-J$344)/J$345</f>
        <v>1.55310353435708</v>
      </c>
    </row>
    <row r="225" customFormat="false" ht="14.25" hidden="false" customHeight="false" outlineLevel="0" collapsed="false">
      <c r="A225" s="0" t="s">
        <v>69</v>
      </c>
      <c r="B225" s="4" t="n">
        <v>0.300183188322961</v>
      </c>
      <c r="C225" s="4" t="n">
        <f aca="false">(B225-B$344)/B$345</f>
        <v>0.287206770701334</v>
      </c>
      <c r="D225" s="4" t="n">
        <v>0.285256132730769</v>
      </c>
      <c r="E225" s="4" t="n">
        <f aca="false">(D225-D$344)/D$345</f>
        <v>0.123184240030401</v>
      </c>
      <c r="F225" s="4" t="n">
        <v>0.296859384123915</v>
      </c>
      <c r="G225" s="4" t="n">
        <f aca="false">(F225-F$344)/F$345</f>
        <v>0.22551258775454</v>
      </c>
      <c r="H225" s="4" t="n">
        <v>0.330047200783312</v>
      </c>
      <c r="I225" s="4" t="n">
        <f aca="false">(H225-H$344)/H$345</f>
        <v>0.415827453848812</v>
      </c>
      <c r="J225" s="4" t="n">
        <v>0.28447122782613</v>
      </c>
      <c r="K225" s="4" t="n">
        <f aca="false">(J225-J$344)/J$345</f>
        <v>0.403517842450369</v>
      </c>
    </row>
    <row r="226" customFormat="false" ht="14.25" hidden="false" customHeight="false" outlineLevel="0" collapsed="false">
      <c r="B226" s="4" t="n">
        <v>0.384433281881817</v>
      </c>
      <c r="C226" s="4" t="n">
        <f aca="false">(B226-B$344)/B$345</f>
        <v>1.00183493594699</v>
      </c>
      <c r="D226" s="4" t="n">
        <v>0.347197872881844</v>
      </c>
      <c r="E226" s="4" t="n">
        <f aca="false">(D226-D$344)/D$345</f>
        <v>0.801192516984012</v>
      </c>
      <c r="F226" s="4" t="n">
        <v>0.369243983314349</v>
      </c>
      <c r="G226" s="4" t="n">
        <f aca="false">(F226-F$344)/F$345</f>
        <v>0.875232682121965</v>
      </c>
      <c r="H226" s="4" t="n">
        <v>0.426354054790288</v>
      </c>
      <c r="I226" s="4" t="n">
        <f aca="false">(H226-H$344)/H$345</f>
        <v>1.15855757045313</v>
      </c>
      <c r="J226" s="4" t="n">
        <v>0.37057616402825</v>
      </c>
      <c r="K226" s="4" t="n">
        <f aca="false">(J226-J$344)/J$345</f>
        <v>1.1907315430755</v>
      </c>
    </row>
    <row r="227" customFormat="false" ht="14.25" hidden="false" customHeight="false" outlineLevel="0" collapsed="false">
      <c r="B227" s="4" t="n">
        <v>0.464640151456052</v>
      </c>
      <c r="C227" s="4" t="n">
        <f aca="false">(B227-B$344)/B$345</f>
        <v>1.68216756968931</v>
      </c>
      <c r="D227" s="4" t="n">
        <v>0.390035408998025</v>
      </c>
      <c r="E227" s="4" t="n">
        <f aca="false">(D227-D$344)/D$345</f>
        <v>1.27008803041699</v>
      </c>
      <c r="F227" s="4" t="n">
        <v>0.447317133381889</v>
      </c>
      <c r="G227" s="4" t="n">
        <f aca="false">(F227-F$344)/F$345</f>
        <v>1.57601288946955</v>
      </c>
      <c r="H227" s="4" t="n">
        <v>0.538903638676071</v>
      </c>
      <c r="I227" s="4" t="n">
        <f aca="false">(H227-H$344)/H$345</f>
        <v>2.02655358615934</v>
      </c>
      <c r="J227" s="4" t="n">
        <v>0.472058232071035</v>
      </c>
      <c r="K227" s="4" t="n">
        <f aca="false">(J227-J$344)/J$345</f>
        <v>2.11853055036499</v>
      </c>
    </row>
    <row r="228" customFormat="false" ht="14.25" hidden="false" customHeight="false" outlineLevel="0" collapsed="false">
      <c r="A228" s="0" t="s">
        <v>70</v>
      </c>
      <c r="B228" s="4" t="n">
        <v>0.166930001070024</v>
      </c>
      <c r="C228" s="4" t="n">
        <f aca="false">(B228-B$344)/B$345</f>
        <v>-0.843076611751872</v>
      </c>
      <c r="D228" s="4" t="n">
        <v>0.17762658125549</v>
      </c>
      <c r="E228" s="4" t="n">
        <f aca="false">(D228-D$344)/D$345</f>
        <v>-1.05491838619649</v>
      </c>
      <c r="F228" s="4" t="n">
        <v>0.172535274252896</v>
      </c>
      <c r="G228" s="4" t="n">
        <f aca="false">(F228-F$344)/F$345</f>
        <v>-0.890413635516165</v>
      </c>
      <c r="H228" s="4" t="n">
        <v>0.229107435615814</v>
      </c>
      <c r="I228" s="4" t="n">
        <f aca="false">(H228-H$344)/H$345</f>
        <v>-0.362632234466188</v>
      </c>
      <c r="J228" s="4" t="n">
        <v>0.174711153431222</v>
      </c>
      <c r="K228" s="4" t="n">
        <f aca="false">(J228-J$344)/J$345</f>
        <v>-0.599962772673492</v>
      </c>
    </row>
    <row r="229" customFormat="false" ht="14.25" hidden="false" customHeight="false" outlineLevel="0" collapsed="false">
      <c r="B229" s="4" t="n">
        <v>0.201752540208612</v>
      </c>
      <c r="C229" s="4" t="n">
        <f aca="false">(B229-B$344)/B$345</f>
        <v>-0.547704034670757</v>
      </c>
      <c r="D229" s="4" t="n">
        <v>0.204878992415925</v>
      </c>
      <c r="E229" s="4" t="n">
        <f aca="false">(D229-D$344)/D$345</f>
        <v>-0.756616138170331</v>
      </c>
      <c r="F229" s="4" t="n">
        <v>0.205208628495819</v>
      </c>
      <c r="G229" s="4" t="n">
        <f aca="false">(F229-F$344)/F$345</f>
        <v>-0.597139444052268</v>
      </c>
      <c r="H229" s="4" t="n">
        <v>0.278302553538447</v>
      </c>
      <c r="I229" s="4" t="n">
        <f aca="false">(H229-H$344)/H$345</f>
        <v>0.0167664703071424</v>
      </c>
      <c r="J229" s="4" t="n">
        <v>0.212391754815434</v>
      </c>
      <c r="K229" s="4" t="n">
        <f aca="false">(J229-J$344)/J$345</f>
        <v>-0.255468171483427</v>
      </c>
    </row>
    <row r="230" customFormat="false" ht="14.25" hidden="false" customHeight="false" outlineLevel="0" collapsed="false">
      <c r="B230" s="4" t="n">
        <v>0.246524376243939</v>
      </c>
      <c r="C230" s="4" t="n">
        <f aca="false">(B230-B$344)/B$345</f>
        <v>-0.167939292709324</v>
      </c>
      <c r="D230" s="4" t="n">
        <v>0.24019029576946</v>
      </c>
      <c r="E230" s="4" t="n">
        <f aca="false">(D230-D$344)/D$345</f>
        <v>-0.370102038222152</v>
      </c>
      <c r="F230" s="4" t="n">
        <v>0.246375297353694</v>
      </c>
      <c r="G230" s="4" t="n">
        <f aca="false">(F230-F$344)/F$345</f>
        <v>-0.22762973792316</v>
      </c>
      <c r="H230" s="4" t="n">
        <v>0.344716191586524</v>
      </c>
      <c r="I230" s="4" t="n">
        <f aca="false">(H230-H$344)/H$345</f>
        <v>0.528956486689485</v>
      </c>
      <c r="J230" s="4" t="n">
        <v>0.263129840448573</v>
      </c>
      <c r="K230" s="4" t="n">
        <f aca="false">(J230-J$344)/J$345</f>
        <v>0.208404376544945</v>
      </c>
    </row>
    <row r="231" customFormat="false" ht="14.25" hidden="false" customHeight="false" outlineLevel="0" collapsed="false">
      <c r="B231" s="4" t="n">
        <v>0.266422970037418</v>
      </c>
      <c r="C231" s="4" t="n">
        <f aca="false">(B231-B$344)/B$345</f>
        <v>0.000845037051313583</v>
      </c>
      <c r="D231" s="4" t="n">
        <v>0.255959458126156</v>
      </c>
      <c r="E231" s="4" t="n">
        <f aca="false">(D231-D$344)/D$345</f>
        <v>-0.197494317283265</v>
      </c>
      <c r="F231" s="4" t="n">
        <v>0.264407726310628</v>
      </c>
      <c r="G231" s="4" t="n">
        <f aca="false">(F231-F$344)/F$345</f>
        <v>-0.0657716690161279</v>
      </c>
      <c r="H231" s="4" t="n">
        <v>0.375375476216728</v>
      </c>
      <c r="I231" s="4" t="n">
        <f aca="false">(H231-H$344)/H$345</f>
        <v>0.765404601241611</v>
      </c>
      <c r="J231" s="4" t="n">
        <v>0.286507622280218</v>
      </c>
      <c r="K231" s="4" t="n">
        <f aca="false">(J231-J$344)/J$345</f>
        <v>0.422135562697811</v>
      </c>
    </row>
    <row r="232" customFormat="false" ht="14.25" hidden="false" customHeight="false" outlineLevel="0" collapsed="false">
      <c r="B232" s="4" t="n">
        <v>0.296270860727637</v>
      </c>
      <c r="C232" s="4" t="n">
        <f aca="false">(B232-B$344)/B$345</f>
        <v>0.254021531692269</v>
      </c>
      <c r="D232" s="4" t="n">
        <v>0.279682229881688</v>
      </c>
      <c r="E232" s="4" t="n">
        <f aca="false">(D232-D$344)/D$345</f>
        <v>0.0621728403281081</v>
      </c>
      <c r="F232" s="4" t="n">
        <v>0.291190254888203</v>
      </c>
      <c r="G232" s="4" t="n">
        <f aca="false">(F232-F$344)/F$345</f>
        <v>0.174626802336053</v>
      </c>
      <c r="H232" s="4" t="n">
        <v>0.422682224890179</v>
      </c>
      <c r="I232" s="4" t="n">
        <f aca="false">(H232-H$344)/H$345</f>
        <v>1.13023997376721</v>
      </c>
      <c r="J232" s="4" t="n">
        <v>0.322529127585665</v>
      </c>
      <c r="K232" s="4" t="n">
        <f aca="false">(J232-J$344)/J$345</f>
        <v>0.751461891063301</v>
      </c>
    </row>
    <row r="233" customFormat="false" ht="14.25" hidden="false" customHeight="false" outlineLevel="0" collapsed="false">
      <c r="B233" s="4" t="n">
        <v>0.316169454521116</v>
      </c>
      <c r="C233" s="4" t="n">
        <f aca="false">(B233-B$344)/B$345</f>
        <v>0.422805861452907</v>
      </c>
      <c r="D233" s="4" t="n">
        <v>0.295536867955422</v>
      </c>
      <c r="E233" s="4" t="n">
        <f aca="false">(D233-D$344)/D$345</f>
        <v>0.235716170171241</v>
      </c>
      <c r="F233" s="4" t="n">
        <v>0.308884531463313</v>
      </c>
      <c r="G233" s="4" t="n">
        <f aca="false">(F233-F$344)/F$345</f>
        <v>0.333449634467764</v>
      </c>
      <c r="H233" s="4" t="n">
        <v>0.455098605157909</v>
      </c>
      <c r="I233" s="4" t="n">
        <f aca="false">(H233-H$344)/H$345</f>
        <v>1.38023902258254</v>
      </c>
      <c r="J233" s="4" t="n">
        <v>0.347180019494617</v>
      </c>
      <c r="K233" s="4" t="n">
        <f aca="false">(J233-J$344)/J$345</f>
        <v>0.976832476064422</v>
      </c>
    </row>
    <row r="234" customFormat="false" ht="14.25" hidden="false" customHeight="false" outlineLevel="0" collapsed="false">
      <c r="B234" s="4" t="n">
        <v>0.364921009315139</v>
      </c>
      <c r="C234" s="4" t="n">
        <f aca="false">(B234-B$344)/B$345</f>
        <v>0.836327469366467</v>
      </c>
      <c r="D234" s="4" t="n">
        <v>0.334489996776769</v>
      </c>
      <c r="E234" s="4" t="n">
        <f aca="false">(D234-D$344)/D$345</f>
        <v>0.662093338292429</v>
      </c>
      <c r="F234" s="4" t="n">
        <v>0.351762387514523</v>
      </c>
      <c r="G234" s="4" t="n">
        <f aca="false">(F234-F$344)/F$345</f>
        <v>0.718318860676683</v>
      </c>
      <c r="H234" s="4" t="n">
        <v>0.537489106989087</v>
      </c>
      <c r="I234" s="4" t="n">
        <f aca="false">(H234-H$344)/H$345</f>
        <v>2.01564454655206</v>
      </c>
      <c r="J234" s="4" t="n">
        <v>0.409726897257237</v>
      </c>
      <c r="K234" s="4" t="n">
        <f aca="false">(J234-J$344)/J$345</f>
        <v>1.54866681307015</v>
      </c>
    </row>
    <row r="235" customFormat="false" ht="14.25" hidden="false" customHeight="false" outlineLevel="0" collapsed="false">
      <c r="B235" s="4" t="n">
        <v>0.404824100878162</v>
      </c>
      <c r="C235" s="4" t="n">
        <f aca="false">(B235-B$344)/B$345</f>
        <v>1.17479443013479</v>
      </c>
      <c r="D235" s="4" t="n">
        <v>0.356937676278601</v>
      </c>
      <c r="E235" s="4" t="n">
        <f aca="false">(D235-D$344)/D$345</f>
        <v>0.907803459827981</v>
      </c>
      <c r="F235" s="4" t="n">
        <v>0.394070260914076</v>
      </c>
      <c r="G235" s="4" t="n">
        <f aca="false">(F235-F$344)/F$345</f>
        <v>1.09807195463697</v>
      </c>
      <c r="H235" s="4" t="n">
        <v>0.624098395445965</v>
      </c>
      <c r="I235" s="4" t="n">
        <f aca="false">(H235-H$344)/H$345</f>
        <v>2.68358586368755</v>
      </c>
      <c r="J235" s="4" t="n">
        <v>0.475643252569382</v>
      </c>
      <c r="K235" s="4" t="n">
        <f aca="false">(J235-J$344)/J$345</f>
        <v>2.15130657201717</v>
      </c>
    </row>
    <row r="236" customFormat="false" ht="14.25" hidden="false" customHeight="false" outlineLevel="0" collapsed="false">
      <c r="A236" s="0" t="s">
        <v>71</v>
      </c>
      <c r="B236" s="4" t="n">
        <v>0.181348085922822</v>
      </c>
      <c r="C236" s="4" t="n">
        <f aca="false">(B236-B$344)/B$345</f>
        <v>-0.720779186437878</v>
      </c>
      <c r="D236" s="4" t="n">
        <v>0.181883365341923</v>
      </c>
      <c r="E236" s="4" t="n">
        <f aca="false">(D236-D$344)/D$345</f>
        <v>-1.00832404065878</v>
      </c>
      <c r="F236" s="4" t="n">
        <v>0.183410283609653</v>
      </c>
      <c r="G236" s="4" t="n">
        <f aca="false">(F236-F$344)/F$345</f>
        <v>-0.792800162698143</v>
      </c>
      <c r="H236" s="4" t="n">
        <v>0.276745431930631</v>
      </c>
      <c r="I236" s="4" t="n">
        <f aca="false">(H236-H$344)/H$345</f>
        <v>0.0047577599690736</v>
      </c>
      <c r="J236" s="4" t="n">
        <v>0.205601984930523</v>
      </c>
      <c r="K236" s="4" t="n">
        <f aca="false">(J236-J$344)/J$345</f>
        <v>-0.317543589145278</v>
      </c>
    </row>
    <row r="237" customFormat="false" ht="14.25" hidden="false" customHeight="false" outlineLevel="0" collapsed="false">
      <c r="B237" s="4" t="n">
        <v>0.192407433731655</v>
      </c>
      <c r="C237" s="4" t="n">
        <f aca="false">(B237-B$344)/B$345</f>
        <v>-0.626971321074273</v>
      </c>
      <c r="D237" s="4" t="n">
        <v>0.191160952444364</v>
      </c>
      <c r="E237" s="4" t="n">
        <f aca="false">(D237-D$344)/D$345</f>
        <v>-0.906772472519573</v>
      </c>
      <c r="F237" s="4" t="n">
        <v>0.193838621861645</v>
      </c>
      <c r="G237" s="4" t="n">
        <f aca="false">(F237-F$344)/F$345</f>
        <v>-0.699195984613876</v>
      </c>
      <c r="H237" s="4" t="n">
        <v>0.295385708834303</v>
      </c>
      <c r="I237" s="4" t="n">
        <f aca="false">(H237-H$344)/H$345</f>
        <v>0.148513831963681</v>
      </c>
      <c r="J237" s="4" t="n">
        <v>0.219462621358529</v>
      </c>
      <c r="K237" s="4" t="n">
        <f aca="false">(J237-J$344)/J$345</f>
        <v>-0.19082282983948</v>
      </c>
    </row>
    <row r="238" customFormat="false" ht="14.25" hidden="false" customHeight="false" outlineLevel="0" collapsed="false">
      <c r="B238" s="4" t="n">
        <v>0.220055803253739</v>
      </c>
      <c r="C238" s="4" t="n">
        <f aca="false">(B238-B$344)/B$345</f>
        <v>-0.392451657665259</v>
      </c>
      <c r="D238" s="4" t="n">
        <v>0.21441488506666</v>
      </c>
      <c r="E238" s="4" t="n">
        <f aca="false">(D238-D$344)/D$345</f>
        <v>-0.652237182565103</v>
      </c>
      <c r="F238" s="4" t="n">
        <v>0.219690486087923</v>
      </c>
      <c r="G238" s="4" t="n">
        <f aca="false">(F238-F$344)/F$345</f>
        <v>-0.46715110417623</v>
      </c>
      <c r="H238" s="4" t="n">
        <v>0.343422302050856</v>
      </c>
      <c r="I238" s="4" t="n">
        <f aca="false">(H238-H$344)/H$345</f>
        <v>0.518977853957592</v>
      </c>
      <c r="J238" s="4" t="n">
        <v>0.255154599724377</v>
      </c>
      <c r="K238" s="4" t="n">
        <f aca="false">(J238-J$344)/J$345</f>
        <v>0.135490801077764</v>
      </c>
    </row>
    <row r="239" customFormat="false" ht="14.25" hidden="false" customHeight="false" outlineLevel="0" collapsed="false">
      <c r="B239" s="4" t="n">
        <v>0.250469009728032</v>
      </c>
      <c r="C239" s="4" t="n">
        <f aca="false">(B239-B$344)/B$345</f>
        <v>-0.134480027915344</v>
      </c>
      <c r="D239" s="4" t="n">
        <v>0.240074487953088</v>
      </c>
      <c r="E239" s="4" t="n">
        <f aca="false">(D239-D$344)/D$345</f>
        <v>-0.371369659342323</v>
      </c>
      <c r="F239" s="4" t="n">
        <v>0.247806876650295</v>
      </c>
      <c r="G239" s="4" t="n">
        <f aca="false">(F239-F$344)/F$345</f>
        <v>-0.214779962610666</v>
      </c>
      <c r="H239" s="4" t="n">
        <v>0.39863179116873</v>
      </c>
      <c r="I239" s="4" t="n">
        <f aca="false">(H239-H$344)/H$345</f>
        <v>0.944760117463082</v>
      </c>
      <c r="J239" s="4" t="n">
        <v>0.296132414964935</v>
      </c>
      <c r="K239" s="4" t="n">
        <f aca="false">(J239-J$344)/J$345</f>
        <v>0.510130153963761</v>
      </c>
    </row>
    <row r="240" customFormat="false" ht="14.25" hidden="false" customHeight="false" outlineLevel="0" collapsed="false">
      <c r="B240" s="4" t="n">
        <v>0.278117379250116</v>
      </c>
      <c r="C240" s="4" t="n">
        <f aca="false">(B240-B$344)/B$345</f>
        <v>0.10003963549367</v>
      </c>
      <c r="D240" s="4" t="n">
        <v>0.263458738723444</v>
      </c>
      <c r="E240" s="4" t="n">
        <f aca="false">(D240-D$344)/D$345</f>
        <v>-0.11540791958508</v>
      </c>
      <c r="F240" s="4" t="n">
        <v>0.273116149143088</v>
      </c>
      <c r="G240" s="4" t="n">
        <f aca="false">(F240-F$344)/F$345</f>
        <v>0.0123946449205113</v>
      </c>
      <c r="H240" s="4" t="n">
        <v>0.450976087257401</v>
      </c>
      <c r="I240" s="4" t="n">
        <f aca="false">(H240-H$344)/H$345</f>
        <v>1.34844566547915</v>
      </c>
      <c r="J240" s="4" t="n">
        <v>0.334945555218283</v>
      </c>
      <c r="K240" s="4" t="n">
        <f aca="false">(J240-J$344)/J$345</f>
        <v>0.864978982839238</v>
      </c>
    </row>
    <row r="241" customFormat="false" ht="14.25" hidden="false" customHeight="false" outlineLevel="0" collapsed="false">
      <c r="B241" s="4" t="n">
        <v>0.303000911819991</v>
      </c>
      <c r="C241" s="4" t="n">
        <f aca="false">(B241-B$344)/B$345</f>
        <v>0.311107332561782</v>
      </c>
      <c r="D241" s="4" t="n">
        <v>0.284542286501358</v>
      </c>
      <c r="E241" s="4" t="n">
        <f aca="false">(D241-D$344)/D$345</f>
        <v>0.115370548473907</v>
      </c>
      <c r="F241" s="4" t="n">
        <v>0.295717607171152</v>
      </c>
      <c r="G241" s="4" t="n">
        <f aca="false">(F241-F$344)/F$345</f>
        <v>0.215264061993639</v>
      </c>
      <c r="H241" s="4" t="n">
        <v>0.499839804192283</v>
      </c>
      <c r="I241" s="4" t="n">
        <f aca="false">(H241-H$344)/H$345</f>
        <v>1.72528856571693</v>
      </c>
      <c r="J241" s="4" t="n">
        <v>0.372162527059158</v>
      </c>
      <c r="K241" s="4" t="n">
        <f aca="false">(J241-J$344)/J$345</f>
        <v>1.20523485458327</v>
      </c>
    </row>
    <row r="242" customFormat="false" ht="14.25" hidden="false" customHeight="false" outlineLevel="0" collapsed="false">
      <c r="B242" s="4" t="n">
        <v>0.330521357773791</v>
      </c>
      <c r="C242" s="4" t="n">
        <f aca="false">(B242-B$344)/B$345</f>
        <v>0.54454191961025</v>
      </c>
      <c r="D242" s="4" t="n">
        <v>0.310351022437742</v>
      </c>
      <c r="E242" s="4" t="n">
        <f aca="false">(D242-D$344)/D$345</f>
        <v>0.397870467589841</v>
      </c>
      <c r="F242" s="4" t="n">
        <v>0.323144618477974</v>
      </c>
      <c r="G242" s="4" t="n">
        <f aca="false">(F242-F$344)/F$345</f>
        <v>0.461447374104042</v>
      </c>
      <c r="H242" s="4" t="n">
        <v>0.561818540680628</v>
      </c>
      <c r="I242" s="4" t="n">
        <f aca="false">(H242-H$344)/H$345</f>
        <v>2.2032760844001</v>
      </c>
      <c r="J242" s="4" t="n">
        <v>0.418017760948381</v>
      </c>
      <c r="K242" s="4" t="n">
        <f aca="false">(J242-J$344)/J$345</f>
        <v>1.62446596902519</v>
      </c>
    </row>
    <row r="243" customFormat="false" ht="14.25" hidden="false" customHeight="false" outlineLevel="0" collapsed="false">
      <c r="A243" s="0" t="s">
        <v>72</v>
      </c>
      <c r="B243" s="4" t="n">
        <v>0.0676476530429682</v>
      </c>
      <c r="C243" s="4" t="n">
        <f aca="false">(B243-B$344)/B$345</f>
        <v>-1.68521172656087</v>
      </c>
      <c r="D243" s="4" t="n">
        <v>0.0935142366110093</v>
      </c>
      <c r="E243" s="4" t="n">
        <f aca="false">(D243-D$344)/D$345</f>
        <v>-1.9756039485304</v>
      </c>
      <c r="F243" s="4" t="n">
        <v>0.0676476530429682</v>
      </c>
      <c r="G243" s="4" t="n">
        <f aca="false">(F243-F$344)/F$345</f>
        <v>-1.83187902888253</v>
      </c>
      <c r="H243" s="4" t="n">
        <v>0.094967994331935</v>
      </c>
      <c r="I243" s="4" t="n">
        <f aca="false">(H243-H$344)/H$345</f>
        <v>-1.39713184400381</v>
      </c>
      <c r="J243" s="4" t="n">
        <v>0.0714542745059468</v>
      </c>
      <c r="K243" s="4" t="n">
        <f aca="false">(J243-J$344)/J$345</f>
        <v>-1.54398797446867</v>
      </c>
    </row>
    <row r="244" customFormat="false" ht="14.25" hidden="false" customHeight="false" outlineLevel="0" collapsed="false">
      <c r="B244" s="4" t="n">
        <v>0.106349723856842</v>
      </c>
      <c r="C244" s="4" t="n">
        <f aca="false">(B244-B$344)/B$345</f>
        <v>-1.35693209281061</v>
      </c>
      <c r="D244" s="4" t="n">
        <v>0.127640879756934</v>
      </c>
      <c r="E244" s="4" t="n">
        <f aca="false">(D244-D$344)/D$345</f>
        <v>-1.60205702425695</v>
      </c>
      <c r="F244" s="4" t="n">
        <v>0.111316262035637</v>
      </c>
      <c r="G244" s="4" t="n">
        <f aca="false">(F244-F$344)/F$345</f>
        <v>-1.43991204871086</v>
      </c>
      <c r="H244" s="4" t="n">
        <v>0.150840002115371</v>
      </c>
      <c r="I244" s="4" t="n">
        <f aca="false">(H244-H$344)/H$345</f>
        <v>-0.96624015634778</v>
      </c>
      <c r="J244" s="4" t="n">
        <v>0.117245309088525</v>
      </c>
      <c r="K244" s="4" t="n">
        <f aca="false">(J244-J$344)/J$345</f>
        <v>-1.12534380168177</v>
      </c>
    </row>
    <row r="245" customFormat="false" ht="14.25" hidden="false" customHeight="false" outlineLevel="0" collapsed="false">
      <c r="B245" s="4" t="n">
        <v>0.13185876427251</v>
      </c>
      <c r="C245" s="4" t="n">
        <f aca="false">(B245-B$344)/B$345</f>
        <v>-1.14055869808326</v>
      </c>
      <c r="D245" s="4" t="n">
        <v>0.147593909126845</v>
      </c>
      <c r="E245" s="4" t="n">
        <f aca="false">(D245-D$344)/D$345</f>
        <v>-1.38365310098804</v>
      </c>
      <c r="F245" s="4" t="n">
        <v>0.136423888414447</v>
      </c>
      <c r="G245" s="4" t="n">
        <f aca="false">(F245-F$344)/F$345</f>
        <v>-1.21454740536642</v>
      </c>
      <c r="H245" s="4" t="n">
        <v>0.184109571423236</v>
      </c>
      <c r="I245" s="4" t="n">
        <f aca="false">(H245-H$344)/H$345</f>
        <v>-0.709661210371452</v>
      </c>
      <c r="J245" s="4" t="n">
        <v>0.145176339065343</v>
      </c>
      <c r="K245" s="4" t="n">
        <f aca="false">(J245-J$344)/J$345</f>
        <v>-0.869984580246326</v>
      </c>
    </row>
    <row r="246" customFormat="false" ht="14.25" hidden="false" customHeight="false" outlineLevel="0" collapsed="false">
      <c r="B246" s="4" t="n">
        <v>0.161175124153204</v>
      </c>
      <c r="C246" s="4" t="n">
        <f aca="false">(B246-B$344)/B$345</f>
        <v>-0.891890766829438</v>
      </c>
      <c r="D246" s="4" t="n">
        <v>0.170762204166775</v>
      </c>
      <c r="E246" s="4" t="n">
        <f aca="false">(D246-D$344)/D$345</f>
        <v>-1.13005519169999</v>
      </c>
      <c r="F246" s="4" t="n">
        <v>0.164748506490624</v>
      </c>
      <c r="G246" s="4" t="n">
        <f aca="false">(F246-F$344)/F$345</f>
        <v>-0.960307225339188</v>
      </c>
      <c r="H246" s="4" t="n">
        <v>0.223491042878065</v>
      </c>
      <c r="I246" s="4" t="n">
        <f aca="false">(H246-H$344)/H$345</f>
        <v>-0.405946535156579</v>
      </c>
      <c r="J246" s="4" t="n">
        <v>0.178813113709956</v>
      </c>
      <c r="K246" s="4" t="n">
        <f aca="false">(J246-J$344)/J$345</f>
        <v>-0.562460633153184</v>
      </c>
    </row>
    <row r="247" customFormat="false" ht="14.25" hidden="false" customHeight="false" outlineLevel="0" collapsed="false">
      <c r="B247" s="4" t="n">
        <v>0.206862957733507</v>
      </c>
      <c r="C247" s="4" t="n">
        <f aca="false">(B247-B$344)/B$345</f>
        <v>-0.504356328511791</v>
      </c>
      <c r="D247" s="4" t="n">
        <v>0.20722172617714</v>
      </c>
      <c r="E247" s="4" t="n">
        <f aca="false">(D247-D$344)/D$345</f>
        <v>-0.730972801755685</v>
      </c>
      <c r="F247" s="4" t="n">
        <v>0.207918287582975</v>
      </c>
      <c r="G247" s="4" t="n">
        <f aca="false">(F247-F$344)/F$345</f>
        <v>-0.572817696366986</v>
      </c>
      <c r="H247" s="4" t="n">
        <v>0.287308704811495</v>
      </c>
      <c r="I247" s="4" t="n">
        <f aca="false">(H247-H$344)/H$345</f>
        <v>0.0862229991716659</v>
      </c>
      <c r="J247" s="4" t="n">
        <v>0.234510858199702</v>
      </c>
      <c r="K247" s="4" t="n">
        <f aca="false">(J247-J$344)/J$345</f>
        <v>-0.0532444431159105</v>
      </c>
    </row>
    <row r="248" customFormat="false" ht="14.25" hidden="false" customHeight="false" outlineLevel="0" collapsed="false">
      <c r="B248" s="4" t="n">
        <v>0.23008760647016</v>
      </c>
      <c r="C248" s="4" t="n">
        <f aca="false">(B248-B$344)/B$345</f>
        <v>-0.30735965570032</v>
      </c>
      <c r="D248" s="4" t="n">
        <v>0.225875726202777</v>
      </c>
      <c r="E248" s="4" t="n">
        <f aca="false">(D248-D$344)/D$345</f>
        <v>-0.526787927633197</v>
      </c>
      <c r="F248" s="4" t="n">
        <v>0.22947156593928</v>
      </c>
      <c r="G248" s="4" t="n">
        <f aca="false">(F248-F$344)/F$345</f>
        <v>-0.379356681120575</v>
      </c>
      <c r="H248" s="4" t="n">
        <v>0.320890785481704</v>
      </c>
      <c r="I248" s="4" t="n">
        <f aca="false">(H248-H$344)/H$345</f>
        <v>0.3452120706057</v>
      </c>
      <c r="J248" s="4" t="n">
        <v>0.264354297756305</v>
      </c>
      <c r="K248" s="4" t="n">
        <f aca="false">(J248-J$344)/J$345</f>
        <v>0.219598967830797</v>
      </c>
    </row>
    <row r="249" customFormat="false" ht="14.25" hidden="false" customHeight="false" outlineLevel="0" collapsed="false">
      <c r="B249" s="4" t="n">
        <v>0.263972749708884</v>
      </c>
      <c r="C249" s="4" t="n">
        <f aca="false">(B249-B$344)/B$345</f>
        <v>-0.0199382806147326</v>
      </c>
      <c r="D249" s="4" t="n">
        <v>0.249561024246595</v>
      </c>
      <c r="E249" s="4" t="n">
        <f aca="false">(D249-D$344)/D$345</f>
        <v>-0.267530953633843</v>
      </c>
      <c r="F249" s="4" t="n">
        <v>0.260513379365188</v>
      </c>
      <c r="G249" s="4" t="n">
        <f aca="false">(F249-F$344)/F$345</f>
        <v>-0.100727108338708</v>
      </c>
      <c r="H249" s="4" t="n">
        <v>0.371267735592014</v>
      </c>
      <c r="I249" s="4" t="n">
        <f aca="false">(H249-H$344)/H$345</f>
        <v>0.733725208278024</v>
      </c>
      <c r="J249" s="4" t="n">
        <v>0.311108050960636</v>
      </c>
      <c r="K249" s="4" t="n">
        <f aca="false">(J249-J$344)/J$345</f>
        <v>0.647044788029771</v>
      </c>
    </row>
    <row r="250" customFormat="false" ht="14.25" hidden="false" customHeight="false" outlineLevel="0" collapsed="false">
      <c r="A250" s="0" t="s">
        <v>73</v>
      </c>
      <c r="B250" s="4" t="n">
        <v>0.317739140930661</v>
      </c>
      <c r="C250" s="4" t="n">
        <f aca="false">(B250-B$344)/B$345</f>
        <v>0.43612029318206</v>
      </c>
      <c r="D250" s="4" t="n">
        <v>0.297021729415675</v>
      </c>
      <c r="E250" s="4" t="n">
        <f aca="false">(D250-D$344)/D$345</f>
        <v>0.251969319626295</v>
      </c>
      <c r="F250" s="4" t="n">
        <v>0.315687451448975</v>
      </c>
      <c r="G250" s="4" t="n">
        <f aca="false">(F250-F$344)/F$345</f>
        <v>0.394512261939525</v>
      </c>
      <c r="H250" s="4" t="n">
        <v>0.335354243632447</v>
      </c>
      <c r="I250" s="4" t="n">
        <f aca="false">(H250-H$344)/H$345</f>
        <v>0.456756010749619</v>
      </c>
      <c r="J250" s="4" t="n">
        <v>0.314395146270074</v>
      </c>
      <c r="K250" s="4" t="n">
        <f aca="false">(J250-J$344)/J$345</f>
        <v>0.677097030990338</v>
      </c>
    </row>
    <row r="251" customFormat="false" ht="14.25" hidden="false" customHeight="false" outlineLevel="0" collapsed="false">
      <c r="B251" s="4" t="n">
        <v>0.356474413156604</v>
      </c>
      <c r="C251" s="4" t="n">
        <f aca="false">(B251-B$344)/B$345</f>
        <v>0.764681548746472</v>
      </c>
      <c r="D251" s="4" t="n">
        <v>0.297021729415675</v>
      </c>
      <c r="E251" s="4" t="n">
        <f aca="false">(D251-D$344)/D$345</f>
        <v>0.251969319626295</v>
      </c>
      <c r="F251" s="4" t="n">
        <v>0.349499554091073</v>
      </c>
      <c r="G251" s="4" t="n">
        <f aca="false">(F251-F$344)/F$345</f>
        <v>0.698007795037512</v>
      </c>
      <c r="H251" s="4" t="n">
        <v>0.376327635683343</v>
      </c>
      <c r="I251" s="4" t="n">
        <f aca="false">(H251-H$344)/H$345</f>
        <v>0.772747770312562</v>
      </c>
      <c r="J251" s="4" t="n">
        <v>0.35639546092798</v>
      </c>
      <c r="K251" s="4" t="n">
        <f aca="false">(J251-J$344)/J$345</f>
        <v>1.061084576741</v>
      </c>
    </row>
    <row r="252" customFormat="false" ht="14.25" hidden="false" customHeight="false" outlineLevel="0" collapsed="false">
      <c r="A252" s="0" t="s">
        <v>74</v>
      </c>
      <c r="B252" s="4" t="n">
        <v>0.31942684488183</v>
      </c>
      <c r="C252" s="4" t="n">
        <f aca="false">(B252-B$344)/B$345</f>
        <v>0.450435776134723</v>
      </c>
      <c r="D252" s="4" t="n">
        <v>0.297021729415675</v>
      </c>
      <c r="E252" s="4" t="n">
        <f aca="false">(D252-D$344)/D$345</f>
        <v>0.251969319626295</v>
      </c>
      <c r="F252" s="4" t="n">
        <v>0.317171260212142</v>
      </c>
      <c r="G252" s="4" t="n">
        <f aca="false">(F252-F$344)/F$345</f>
        <v>0.407830846008654</v>
      </c>
      <c r="H252" s="4" t="n">
        <v>0.337124155337029</v>
      </c>
      <c r="I252" s="4" t="n">
        <f aca="false">(H252-H$344)/H$345</f>
        <v>0.470405784073415</v>
      </c>
      <c r="J252" s="4" t="n">
        <v>0.316198173352992</v>
      </c>
      <c r="K252" s="4" t="n">
        <f aca="false">(J252-J$344)/J$345</f>
        <v>0.693581191886051</v>
      </c>
    </row>
    <row r="253" customFormat="false" ht="14.25" hidden="false" customHeight="false" outlineLevel="0" collapsed="false">
      <c r="B253" s="4" t="n">
        <v>0.356474413156604</v>
      </c>
      <c r="C253" s="4" t="n">
        <f aca="false">(B253-B$344)/B$345</f>
        <v>0.764681548746472</v>
      </c>
      <c r="D253" s="4" t="n">
        <v>0.297021729415675</v>
      </c>
      <c r="E253" s="4" t="n">
        <f aca="false">(D253-D$344)/D$345</f>
        <v>0.251969319626295</v>
      </c>
      <c r="F253" s="4" t="n">
        <v>0.349499554091073</v>
      </c>
      <c r="G253" s="4" t="n">
        <f aca="false">(F253-F$344)/F$345</f>
        <v>0.698007795037512</v>
      </c>
      <c r="H253" s="4" t="n">
        <v>0.376327635683343</v>
      </c>
      <c r="I253" s="4" t="n">
        <f aca="false">(H253-H$344)/H$345</f>
        <v>0.772747770312562</v>
      </c>
      <c r="J253" s="4" t="n">
        <v>0.35639546092798</v>
      </c>
      <c r="K253" s="4" t="n">
        <f aca="false">(J253-J$344)/J$345</f>
        <v>1.061084576741</v>
      </c>
    </row>
    <row r="254" customFormat="false" ht="14.25" hidden="false" customHeight="false" outlineLevel="0" collapsed="false">
      <c r="A254" s="0" t="s">
        <v>75</v>
      </c>
      <c r="B254" s="4" t="n">
        <v>0.31942684488183</v>
      </c>
      <c r="C254" s="4" t="n">
        <f aca="false">(B254-B$344)/B$345</f>
        <v>0.450435776134723</v>
      </c>
      <c r="D254" s="4" t="n">
        <v>0.297021729415675</v>
      </c>
      <c r="E254" s="4" t="n">
        <f aca="false">(D254-D$344)/D$345</f>
        <v>0.251969319626295</v>
      </c>
      <c r="F254" s="4" t="n">
        <v>0.317171260212142</v>
      </c>
      <c r="G254" s="4" t="n">
        <f aca="false">(F254-F$344)/F$345</f>
        <v>0.407830846008654</v>
      </c>
      <c r="H254" s="4" t="n">
        <v>0.337124155337029</v>
      </c>
      <c r="I254" s="4" t="n">
        <f aca="false">(H254-H$344)/H$345</f>
        <v>0.470405784073415</v>
      </c>
      <c r="J254" s="4" t="n">
        <v>0.316198173352992</v>
      </c>
      <c r="K254" s="4" t="n">
        <f aca="false">(J254-J$344)/J$345</f>
        <v>0.693581191886051</v>
      </c>
    </row>
    <row r="255" customFormat="false" ht="14.25" hidden="false" customHeight="false" outlineLevel="0" collapsed="false">
      <c r="B255" s="4" t="n">
        <v>0.356474413156604</v>
      </c>
      <c r="C255" s="4" t="n">
        <f aca="false">(B255-B$344)/B$345</f>
        <v>0.764681548746472</v>
      </c>
      <c r="D255" s="4" t="n">
        <v>0.297021729415675</v>
      </c>
      <c r="E255" s="4" t="n">
        <f aca="false">(D255-D$344)/D$345</f>
        <v>0.251969319626295</v>
      </c>
      <c r="F255" s="4" t="n">
        <v>0.349499554091073</v>
      </c>
      <c r="G255" s="4" t="n">
        <f aca="false">(F255-F$344)/F$345</f>
        <v>0.698007795037512</v>
      </c>
      <c r="H255" s="4" t="n">
        <v>0.376327635683343</v>
      </c>
      <c r="I255" s="4" t="n">
        <f aca="false">(H255-H$344)/H$345</f>
        <v>0.772747770312562</v>
      </c>
      <c r="J255" s="4" t="n">
        <v>0.35639546092798</v>
      </c>
      <c r="K255" s="4" t="n">
        <f aca="false">(J255-J$344)/J$345</f>
        <v>1.061084576741</v>
      </c>
    </row>
    <row r="256" customFormat="false" ht="14.25" hidden="false" customHeight="false" outlineLevel="0" collapsed="false">
      <c r="A256" s="0" t="s">
        <v>76</v>
      </c>
      <c r="B256" s="4" t="n">
        <v>0.321114548833</v>
      </c>
      <c r="C256" s="4" t="n">
        <f aca="false">(B256-B$344)/B$345</f>
        <v>0.464751259087386</v>
      </c>
      <c r="D256" s="4" t="n">
        <v>0.297021729415675</v>
      </c>
      <c r="E256" s="4" t="n">
        <f aca="false">(D256-D$344)/D$345</f>
        <v>0.251969319626295</v>
      </c>
      <c r="F256" s="4" t="n">
        <v>0.318654066130218</v>
      </c>
      <c r="G256" s="4" t="n">
        <f aca="false">(F256-F$344)/F$345</f>
        <v>0.421140428596614</v>
      </c>
      <c r="H256" s="4" t="n">
        <v>0.338895461718472</v>
      </c>
      <c r="I256" s="4" t="n">
        <f aca="false">(H256-H$344)/H$345</f>
        <v>0.484066313314005</v>
      </c>
      <c r="J256" s="4" t="n">
        <v>0.318003654527924</v>
      </c>
      <c r="K256" s="4" t="n">
        <f aca="false">(J256-J$344)/J$345</f>
        <v>0.71008778929867</v>
      </c>
    </row>
    <row r="257" customFormat="false" ht="14.25" hidden="false" customHeight="false" outlineLevel="0" collapsed="false">
      <c r="B257" s="4" t="n">
        <v>0.356474413156604</v>
      </c>
      <c r="C257" s="4" t="n">
        <f aca="false">(B257-B$344)/B$345</f>
        <v>0.764681548746472</v>
      </c>
      <c r="D257" s="4" t="n">
        <v>0.297021729415675</v>
      </c>
      <c r="E257" s="4" t="n">
        <f aca="false">(D257-D$344)/D$345</f>
        <v>0.251969319626295</v>
      </c>
      <c r="F257" s="4" t="n">
        <v>0.349499554091073</v>
      </c>
      <c r="G257" s="4" t="n">
        <f aca="false">(F257-F$344)/F$345</f>
        <v>0.698007795037512</v>
      </c>
      <c r="H257" s="4" t="n">
        <v>0.376327635683343</v>
      </c>
      <c r="I257" s="4" t="n">
        <f aca="false">(H257-H$344)/H$345</f>
        <v>0.772747770312562</v>
      </c>
      <c r="J257" s="4" t="n">
        <v>0.35639546092798</v>
      </c>
      <c r="K257" s="4" t="n">
        <f aca="false">(J257-J$344)/J$345</f>
        <v>1.061084576741</v>
      </c>
    </row>
    <row r="258" customFormat="false" ht="14.25" hidden="false" customHeight="false" outlineLevel="0" collapsed="false">
      <c r="A258" s="0" t="s">
        <v>77</v>
      </c>
      <c r="B258" s="4" t="n">
        <v>0.267059220881841</v>
      </c>
      <c r="C258" s="4" t="n">
        <f aca="false">(B258-B$344)/B$345</f>
        <v>0.00624185923131466</v>
      </c>
      <c r="D258" s="4" t="n">
        <v>0.271831553673743</v>
      </c>
      <c r="E258" s="4" t="n">
        <f aca="false">(D258-D$344)/D$345</f>
        <v>-0.0237598996253895</v>
      </c>
      <c r="F258" s="4" t="n">
        <v>0.272978346548665</v>
      </c>
      <c r="G258" s="4" t="n">
        <f aca="false">(F258-F$344)/F$345</f>
        <v>0.011157736577389</v>
      </c>
      <c r="H258" s="4" t="n">
        <v>0.24327202135405</v>
      </c>
      <c r="I258" s="4" t="n">
        <f aca="false">(H258-H$344)/H$345</f>
        <v>-0.253393234547762</v>
      </c>
      <c r="J258" s="4" t="n">
        <v>0.228119075064356</v>
      </c>
      <c r="K258" s="4" t="n">
        <f aca="false">(J258-J$344)/J$345</f>
        <v>-0.111681270056452</v>
      </c>
    </row>
    <row r="259" customFormat="false" ht="14.25" hidden="false" customHeight="false" outlineLevel="0" collapsed="false">
      <c r="B259" s="4" t="n">
        <v>0.37829420906231</v>
      </c>
      <c r="C259" s="4" t="n">
        <f aca="false">(B259-B$344)/B$345</f>
        <v>0.949761945164505</v>
      </c>
      <c r="D259" s="4" t="n">
        <v>0.292279077421168</v>
      </c>
      <c r="E259" s="4" t="n">
        <f aca="false">(D259-D$344)/D$345</f>
        <v>0.20005671111475</v>
      </c>
      <c r="F259" s="4" t="n">
        <v>0.368147350086621</v>
      </c>
      <c r="G259" s="4" t="n">
        <f aca="false">(F259-F$344)/F$345</f>
        <v>0.865389363899929</v>
      </c>
      <c r="H259" s="4" t="n">
        <v>0.338637599473578</v>
      </c>
      <c r="I259" s="4" t="n">
        <f aca="false">(H259-H$344)/H$345</f>
        <v>0.482077648465664</v>
      </c>
      <c r="J259" s="4" t="n">
        <v>0.327082470158115</v>
      </c>
      <c r="K259" s="4" t="n">
        <f aca="false">(J259-J$344)/J$345</f>
        <v>0.793090789646515</v>
      </c>
    </row>
    <row r="260" customFormat="false" ht="14.25" hidden="false" customHeight="false" outlineLevel="0" collapsed="false">
      <c r="A260" s="0" t="s">
        <v>78</v>
      </c>
      <c r="B260" s="4" t="n">
        <v>0.270066089777154</v>
      </c>
      <c r="C260" s="4" t="n">
        <f aca="false">(B260-B$344)/B$345</f>
        <v>0.0317467947278062</v>
      </c>
      <c r="D260" s="4" t="n">
        <v>0.273823917478527</v>
      </c>
      <c r="E260" s="4" t="n">
        <f aca="false">(D260-D$344)/D$345</f>
        <v>-0.00195167875443136</v>
      </c>
      <c r="F260" s="4" t="n">
        <v>0.275616826795475</v>
      </c>
      <c r="G260" s="4" t="n">
        <f aca="false">(F260-F$344)/F$345</f>
        <v>0.0348405869919351</v>
      </c>
      <c r="H260" s="4" t="n">
        <v>0.245815311134391</v>
      </c>
      <c r="I260" s="4" t="n">
        <f aca="false">(H260-H$344)/H$345</f>
        <v>-0.233779075881809</v>
      </c>
      <c r="J260" s="4" t="n">
        <v>0.230712930779712</v>
      </c>
      <c r="K260" s="4" t="n">
        <f aca="false">(J260-J$344)/J$345</f>
        <v>-0.0879669646212756</v>
      </c>
    </row>
    <row r="261" customFormat="false" ht="14.25" hidden="false" customHeight="false" outlineLevel="0" collapsed="false">
      <c r="B261" s="4" t="n">
        <v>0.37829420906231</v>
      </c>
      <c r="C261" s="4" t="n">
        <f aca="false">(B261-B$344)/B$345</f>
        <v>0.949761945164505</v>
      </c>
      <c r="D261" s="4" t="n">
        <v>0.292279077421168</v>
      </c>
      <c r="E261" s="4" t="n">
        <f aca="false">(D261-D$344)/D$345</f>
        <v>0.20005671111475</v>
      </c>
      <c r="F261" s="4" t="n">
        <v>0.368147350086621</v>
      </c>
      <c r="G261" s="4" t="n">
        <f aca="false">(F261-F$344)/F$345</f>
        <v>0.865389363899929</v>
      </c>
      <c r="H261" s="4" t="n">
        <v>0.338637599473578</v>
      </c>
      <c r="I261" s="4" t="n">
        <f aca="false">(H261-H$344)/H$345</f>
        <v>0.482077648465664</v>
      </c>
      <c r="J261" s="4" t="n">
        <v>0.327082470158115</v>
      </c>
      <c r="K261" s="4" t="n">
        <f aca="false">(J261-J$344)/J$345</f>
        <v>0.793090789646515</v>
      </c>
    </row>
    <row r="262" customFormat="false" ht="14.25" hidden="false" customHeight="false" outlineLevel="0" collapsed="false">
      <c r="A262" s="0" t="s">
        <v>79</v>
      </c>
      <c r="B262" s="4" t="n">
        <v>0.187154071791108</v>
      </c>
      <c r="C262" s="4" t="n">
        <f aca="false">(B262-B$344)/B$345</f>
        <v>-0.671531513785776</v>
      </c>
      <c r="D262" s="4" t="n">
        <v>0.209877623809549</v>
      </c>
      <c r="E262" s="4" t="n">
        <f aca="false">(D262-D$344)/D$345</f>
        <v>-0.701901603995935</v>
      </c>
      <c r="F262" s="4" t="n">
        <v>0.197474466598235</v>
      </c>
      <c r="G262" s="4" t="n">
        <f aca="false">(F262-F$344)/F$345</f>
        <v>-0.66656084659028</v>
      </c>
      <c r="H262" s="4" t="n">
        <v>0.200578150883242</v>
      </c>
      <c r="I262" s="4" t="n">
        <f aca="false">(H262-H$344)/H$345</f>
        <v>-0.582653531958947</v>
      </c>
      <c r="J262" s="4" t="n">
        <v>0.180282019879628</v>
      </c>
      <c r="K262" s="4" t="n">
        <f aca="false">(J262-J$344)/J$345</f>
        <v>-0.549031170073577</v>
      </c>
    </row>
    <row r="263" customFormat="false" ht="14.25" hidden="false" customHeight="false" outlineLevel="0" collapsed="false">
      <c r="B263" s="4" t="n">
        <v>0.321301978608691</v>
      </c>
      <c r="C263" s="4" t="n">
        <f aca="false">(B263-B$344)/B$345</f>
        <v>0.466341080428309</v>
      </c>
      <c r="D263" s="4" t="n">
        <v>0.294288359201446</v>
      </c>
      <c r="E263" s="4" t="n">
        <f aca="false">(D263-D$344)/D$345</f>
        <v>0.222050114503769</v>
      </c>
      <c r="F263" s="4" t="n">
        <v>0.318556117403472</v>
      </c>
      <c r="G263" s="4" t="n">
        <f aca="false">(F263-F$344)/F$345</f>
        <v>0.420261246329989</v>
      </c>
      <c r="H263" s="4" t="n">
        <v>0.335081144296988</v>
      </c>
      <c r="I263" s="4" t="n">
        <f aca="false">(H263-H$344)/H$345</f>
        <v>0.454649835614301</v>
      </c>
      <c r="J263" s="4" t="n">
        <v>0.314212049095754</v>
      </c>
      <c r="K263" s="4" t="n">
        <f aca="false">(J263-J$344)/J$345</f>
        <v>0.675423066517127</v>
      </c>
    </row>
    <row r="264" customFormat="false" ht="14.25" hidden="false" customHeight="false" outlineLevel="0" collapsed="false">
      <c r="B264" s="4" t="n">
        <v>0.35558977789829</v>
      </c>
      <c r="C264" s="4" t="n">
        <f aca="false">(B264-B$344)/B$345</f>
        <v>0.757177874330747</v>
      </c>
      <c r="D264" s="4" t="n">
        <v>0.294288359201446</v>
      </c>
      <c r="E264" s="4" t="n">
        <f aca="false">(D264-D$344)/D$345</f>
        <v>0.222050114503769</v>
      </c>
      <c r="F264" s="4" t="n">
        <v>0.348358296196656</v>
      </c>
      <c r="G264" s="4" t="n">
        <f aca="false">(F264-F$344)/F$345</f>
        <v>0.687763928315161</v>
      </c>
      <c r="H264" s="4" t="n">
        <v>0.37079828558217</v>
      </c>
      <c r="I264" s="4" t="n">
        <f aca="false">(H264-H$344)/H$345</f>
        <v>0.730104752972459</v>
      </c>
      <c r="J264" s="4" t="n">
        <v>0.350840389158685</v>
      </c>
      <c r="K264" s="4" t="n">
        <f aca="false">(J264-J$344)/J$345</f>
        <v>1.01029737687038</v>
      </c>
    </row>
    <row r="265" customFormat="false" ht="14.25" hidden="false" customHeight="false" outlineLevel="0" collapsed="false">
      <c r="A265" s="0" t="s">
        <v>80</v>
      </c>
      <c r="B265" s="4" t="n">
        <v>0.188852146560951</v>
      </c>
      <c r="C265" s="4" t="n">
        <f aca="false">(B265-B$344)/B$345</f>
        <v>-0.657128063226103</v>
      </c>
      <c r="D265" s="4" t="n">
        <v>0.211081766776911</v>
      </c>
      <c r="E265" s="4" t="n">
        <f aca="false">(D265-D$344)/D$345</f>
        <v>-0.688721171923542</v>
      </c>
      <c r="F265" s="4" t="n">
        <v>0.199060186244431</v>
      </c>
      <c r="G265" s="4" t="n">
        <f aca="false">(F265-F$344)/F$345</f>
        <v>-0.6523275161624</v>
      </c>
      <c r="H265" s="4" t="n">
        <v>0.20222859137949</v>
      </c>
      <c r="I265" s="4" t="n">
        <f aca="false">(H265-H$344)/H$345</f>
        <v>-0.569925135056504</v>
      </c>
      <c r="J265" s="4" t="n">
        <v>0.181884019250988</v>
      </c>
      <c r="K265" s="4" t="n">
        <f aca="false">(J265-J$344)/J$345</f>
        <v>-0.534384903446455</v>
      </c>
    </row>
    <row r="266" customFormat="false" ht="14.25" hidden="false" customHeight="false" outlineLevel="0" collapsed="false">
      <c r="B266" s="4" t="n">
        <v>0.323000053378534</v>
      </c>
      <c r="C266" s="4" t="n">
        <f aca="false">(B266-B$344)/B$345</f>
        <v>0.480744530987982</v>
      </c>
      <c r="D266" s="4" t="n">
        <v>0.294288359201446</v>
      </c>
      <c r="E266" s="4" t="n">
        <f aca="false">(D266-D$344)/D$345</f>
        <v>0.222050114503769</v>
      </c>
      <c r="F266" s="4" t="n">
        <v>0.320041510118099</v>
      </c>
      <c r="G266" s="4" t="n">
        <f aca="false">(F266-F$344)/F$345</f>
        <v>0.433594047858412</v>
      </c>
      <c r="H266" s="4" t="n">
        <v>0.336837179516574</v>
      </c>
      <c r="I266" s="4" t="n">
        <f aca="false">(H266-H$344)/H$345</f>
        <v>0.468192591805982</v>
      </c>
      <c r="J266" s="4" t="n">
        <v>0.31600307613067</v>
      </c>
      <c r="K266" s="4" t="n">
        <f aca="false">(J266-J$344)/J$345</f>
        <v>0.69179751706856</v>
      </c>
    </row>
    <row r="267" customFormat="false" ht="14.25" hidden="false" customHeight="false" outlineLevel="0" collapsed="false">
      <c r="A267" s="0" t="s">
        <v>81</v>
      </c>
      <c r="B267" s="4" t="n">
        <v>0.102474345140568</v>
      </c>
      <c r="C267" s="4" t="n">
        <f aca="false">(B267-B$344)/B$345</f>
        <v>-1.38980392315117</v>
      </c>
      <c r="D267" s="4" t="n">
        <v>0.139513431589485</v>
      </c>
      <c r="E267" s="4" t="n">
        <f aca="false">(D267-D$344)/D$345</f>
        <v>-1.47210122399371</v>
      </c>
      <c r="F267" s="4" t="n">
        <v>0.112341503321914</v>
      </c>
      <c r="G267" s="4" t="n">
        <f aca="false">(F267-F$344)/F$345</f>
        <v>-1.43070954054311</v>
      </c>
      <c r="H267" s="4" t="n">
        <v>0.129793354244817</v>
      </c>
      <c r="I267" s="4" t="n">
        <f aca="false">(H267-H$344)/H$345</f>
        <v>-1.12855445254412</v>
      </c>
      <c r="J267" s="4" t="n">
        <v>0.108510124180053</v>
      </c>
      <c r="K267" s="4" t="n">
        <f aca="false">(J267-J$344)/J$345</f>
        <v>-1.2052051608645</v>
      </c>
    </row>
    <row r="268" customFormat="false" ht="14.25" hidden="false" customHeight="false" outlineLevel="0" collapsed="false">
      <c r="B268" s="4" t="n">
        <v>0.18555915799</v>
      </c>
      <c r="C268" s="4" t="n">
        <f aca="false">(B268-B$344)/B$345</f>
        <v>-0.685059929900999</v>
      </c>
      <c r="D268" s="4" t="n">
        <v>0.201547689128326</v>
      </c>
      <c r="E268" s="4" t="n">
        <f aca="false">(D268-D$344)/D$345</f>
        <v>-0.793080260691358</v>
      </c>
      <c r="F268" s="4" t="n">
        <v>0.193363664011726</v>
      </c>
      <c r="G268" s="4" t="n">
        <f aca="false">(F268-F$344)/F$345</f>
        <v>-0.703459179582436</v>
      </c>
      <c r="H268" s="4" t="n">
        <v>0.221935901055891</v>
      </c>
      <c r="I268" s="4" t="n">
        <f aca="false">(H268-H$344)/H$345</f>
        <v>-0.417939977148108</v>
      </c>
      <c r="J268" s="4" t="n">
        <v>0.192911687185233</v>
      </c>
      <c r="K268" s="4" t="n">
        <f aca="false">(J268-J$344)/J$345</f>
        <v>-0.433564536267917</v>
      </c>
    </row>
    <row r="269" customFormat="false" ht="14.25" hidden="false" customHeight="false" outlineLevel="0" collapsed="false">
      <c r="B269" s="4" t="n">
        <v>0.270411044845979</v>
      </c>
      <c r="C269" s="4" t="n">
        <f aca="false">(B269-B$344)/B$345</f>
        <v>0.0346727808901168</v>
      </c>
      <c r="D269" s="4" t="n">
        <v>0.265948991063238</v>
      </c>
      <c r="E269" s="4" t="n">
        <f aca="false">(D269-D$344)/D$345</f>
        <v>-0.0881498591243057</v>
      </c>
      <c r="F269" s="4" t="n">
        <v>0.271676124952277</v>
      </c>
      <c r="G269" s="4" t="n">
        <f aca="false">(F269-F$344)/F$345</f>
        <v>-0.00053093128781249</v>
      </c>
      <c r="H269" s="4" t="n">
        <v>0.321454943502162</v>
      </c>
      <c r="I269" s="4" t="n">
        <f aca="false">(H269-H$344)/H$345</f>
        <v>0.349562925554066</v>
      </c>
      <c r="J269" s="4" t="n">
        <v>0.287271708567422</v>
      </c>
      <c r="K269" s="4" t="n">
        <f aca="false">(J269-J$344)/J$345</f>
        <v>0.42912121555673</v>
      </c>
    </row>
    <row r="270" customFormat="false" ht="14.25" hidden="false" customHeight="false" outlineLevel="0" collapsed="false">
      <c r="B270" s="4" t="n">
        <v>0.334019599110452</v>
      </c>
      <c r="C270" s="4" t="n">
        <f aca="false">(B270-B$344)/B$345</f>
        <v>0.574214786219687</v>
      </c>
      <c r="D270" s="4" t="n">
        <v>0.287262866391582</v>
      </c>
      <c r="E270" s="4" t="n">
        <f aca="false">(D270-D$344)/D$345</f>
        <v>0.145149751951022</v>
      </c>
      <c r="F270" s="4" t="n">
        <v>0.328503895489353</v>
      </c>
      <c r="G270" s="4" t="n">
        <f aca="false">(F270-F$344)/F$345</f>
        <v>0.509551943370403</v>
      </c>
      <c r="H270" s="4" t="n">
        <v>0.400147311224865</v>
      </c>
      <c r="I270" s="4" t="n">
        <f aca="false">(H270-H$344)/H$345</f>
        <v>0.956447991598477</v>
      </c>
      <c r="J270" s="4" t="n">
        <v>0.363866198563088</v>
      </c>
      <c r="K270" s="4" t="n">
        <f aca="false">(J270-J$344)/J$345</f>
        <v>1.12938573669225</v>
      </c>
    </row>
    <row r="271" customFormat="false" ht="14.25" hidden="false" customHeight="false" outlineLevel="0" collapsed="false">
      <c r="A271" s="0" t="s">
        <v>82</v>
      </c>
      <c r="B271" s="4" t="n">
        <v>0.1016197200356</v>
      </c>
      <c r="C271" s="4" t="n">
        <f aca="false">(B271-B$344)/B$345</f>
        <v>-1.39705304472407</v>
      </c>
      <c r="D271" s="4" t="n">
        <v>0.138734281071711</v>
      </c>
      <c r="E271" s="4" t="n">
        <f aca="false">(D271-D$344)/D$345</f>
        <v>-1.48062972995358</v>
      </c>
      <c r="F271" s="4" t="n">
        <v>0.111273740480514</v>
      </c>
      <c r="G271" s="4" t="n">
        <f aca="false">(F271-F$344)/F$345</f>
        <v>-1.44029371979996</v>
      </c>
      <c r="H271" s="4" t="n">
        <v>0.128651499293273</v>
      </c>
      <c r="I271" s="4" t="n">
        <f aca="false">(H271-H$344)/H$345</f>
        <v>-1.13736057615858</v>
      </c>
      <c r="J271" s="4" t="n">
        <v>0.107484590356648</v>
      </c>
      <c r="K271" s="4" t="n">
        <f aca="false">(J271-J$344)/J$345</f>
        <v>-1.21458109576263</v>
      </c>
    </row>
    <row r="272" customFormat="false" ht="14.25" hidden="false" customHeight="false" outlineLevel="0" collapsed="false">
      <c r="B272" s="4" t="n">
        <v>0.183411008955672</v>
      </c>
      <c r="C272" s="4" t="n">
        <f aca="false">(B272-B$344)/B$345</f>
        <v>-0.70328101118685</v>
      </c>
      <c r="D272" s="4" t="n">
        <v>0.199933212915064</v>
      </c>
      <c r="E272" s="4" t="n">
        <f aca="false">(D272-D$344)/D$345</f>
        <v>-0.810752160655207</v>
      </c>
      <c r="F272" s="4" t="n">
        <v>0.191336816851378</v>
      </c>
      <c r="G272" s="4" t="n">
        <f aca="false">(F272-F$344)/F$345</f>
        <v>-0.721652045786267</v>
      </c>
      <c r="H272" s="4" t="n">
        <v>0.219497349091281</v>
      </c>
      <c r="I272" s="4" t="n">
        <f aca="false">(H272-H$344)/H$345</f>
        <v>-0.436746385100026</v>
      </c>
      <c r="J272" s="4" t="n">
        <v>0.190638763536853</v>
      </c>
      <c r="K272" s="4" t="n">
        <f aca="false">(J272-J$344)/J$345</f>
        <v>-0.454344722810068</v>
      </c>
    </row>
    <row r="273" customFormat="false" ht="14.25" hidden="false" customHeight="false" outlineLevel="0" collapsed="false">
      <c r="B273" s="4" t="n">
        <v>0.267188821294486</v>
      </c>
      <c r="C273" s="4" t="n">
        <f aca="false">(B273-B$344)/B$345</f>
        <v>0.00734115896134071</v>
      </c>
      <c r="D273" s="4" t="n">
        <v>0.26348502590433</v>
      </c>
      <c r="E273" s="4" t="n">
        <f aca="false">(D273-D$344)/D$345</f>
        <v>-0.11512018265397</v>
      </c>
      <c r="F273" s="4" t="n">
        <v>0.268758655659256</v>
      </c>
      <c r="G273" s="4" t="n">
        <f aca="false">(F273-F$344)/F$345</f>
        <v>-0.0267179717021516</v>
      </c>
      <c r="H273" s="4" t="n">
        <v>0.317561855519835</v>
      </c>
      <c r="I273" s="4" t="n">
        <f aca="false">(H273-H$344)/H$345</f>
        <v>0.319538959753511</v>
      </c>
      <c r="J273" s="4" t="n">
        <v>0.283525245105367</v>
      </c>
      <c r="K273" s="4" t="n">
        <f aca="false">(J273-J$344)/J$345</f>
        <v>0.394869202881189</v>
      </c>
    </row>
    <row r="274" customFormat="false" ht="14.25" hidden="false" customHeight="false" outlineLevel="0" collapsed="false">
      <c r="A274" s="0" t="s">
        <v>83</v>
      </c>
      <c r="B274" s="4" t="n">
        <v>0.316385652653594</v>
      </c>
      <c r="C274" s="4" t="n">
        <f aca="false">(B274-B$344)/B$345</f>
        <v>0.424639702440092</v>
      </c>
      <c r="D274" s="4" t="n">
        <v>0.281927699170355</v>
      </c>
      <c r="E274" s="4" t="n">
        <f aca="false">(D274-D$344)/D$345</f>
        <v>0.0867515292646578</v>
      </c>
      <c r="F274" s="4" t="n">
        <v>0.313025641215964</v>
      </c>
      <c r="G274" s="4" t="n">
        <f aca="false">(F274-F$344)/F$345</f>
        <v>0.370620002879968</v>
      </c>
      <c r="H274" s="4" t="n">
        <v>0.313310082980285</v>
      </c>
      <c r="I274" s="4" t="n">
        <f aca="false">(H274-H$344)/H$345</f>
        <v>0.286748775226812</v>
      </c>
      <c r="J274" s="4" t="n">
        <v>0.292176122160286</v>
      </c>
      <c r="K274" s="4" t="n">
        <f aca="false">(J274-J$344)/J$345</f>
        <v>0.473959778177249</v>
      </c>
    </row>
    <row r="275" customFormat="false" ht="14.25" hidden="false" customHeight="false" outlineLevel="0" collapsed="false">
      <c r="B275" s="4" t="n">
        <v>0.351625285606887</v>
      </c>
      <c r="C275" s="4" t="n">
        <f aca="false">(B275-B$344)/B$345</f>
        <v>0.723550162684862</v>
      </c>
      <c r="D275" s="4" t="n">
        <v>0.281927699170355</v>
      </c>
      <c r="E275" s="4" t="n">
        <f aca="false">(D275-D$344)/D$345</f>
        <v>0.0867515292646578</v>
      </c>
      <c r="F275" s="4" t="n">
        <v>0.3432055240523</v>
      </c>
      <c r="G275" s="4" t="n">
        <f aca="false">(F275-F$344)/F$345</f>
        <v>0.641512935129757</v>
      </c>
      <c r="H275" s="4" t="n">
        <v>0.3476036497713</v>
      </c>
      <c r="I275" s="4" t="n">
        <f aca="false">(H275-H$344)/H$345</f>
        <v>0.551224913754018</v>
      </c>
      <c r="J275" s="4" t="n">
        <v>0.327244920707776</v>
      </c>
      <c r="K275" s="4" t="n">
        <f aca="false">(J275-J$344)/J$345</f>
        <v>0.794575992516501</v>
      </c>
    </row>
    <row r="276" customFormat="false" ht="14.25" hidden="false" customHeight="false" outlineLevel="0" collapsed="false">
      <c r="A276" s="0" t="s">
        <v>84</v>
      </c>
      <c r="B276" s="4" t="n">
        <v>0.316385652653594</v>
      </c>
      <c r="C276" s="4" t="n">
        <f aca="false">(B276-B$344)/B$345</f>
        <v>0.424639702440092</v>
      </c>
      <c r="D276" s="4" t="n">
        <v>0.281927699170355</v>
      </c>
      <c r="E276" s="4" t="n">
        <f aca="false">(D276-D$344)/D$345</f>
        <v>0.0867515292646578</v>
      </c>
      <c r="F276" s="4" t="n">
        <v>0.313025641215964</v>
      </c>
      <c r="G276" s="4" t="n">
        <f aca="false">(F276-F$344)/F$345</f>
        <v>0.370620002879968</v>
      </c>
      <c r="H276" s="4" t="n">
        <v>0.313310082980285</v>
      </c>
      <c r="I276" s="4" t="n">
        <f aca="false">(H276-H$344)/H$345</f>
        <v>0.286748775226812</v>
      </c>
      <c r="J276" s="4" t="n">
        <v>0.292176122160286</v>
      </c>
      <c r="K276" s="4" t="n">
        <f aca="false">(J276-J$344)/J$345</f>
        <v>0.473959778177249</v>
      </c>
    </row>
    <row r="277" customFormat="false" ht="14.25" hidden="false" customHeight="false" outlineLevel="0" collapsed="false">
      <c r="B277" s="4" t="n">
        <v>0.351625285606887</v>
      </c>
      <c r="C277" s="4" t="n">
        <f aca="false">(B277-B$344)/B$345</f>
        <v>0.723550162684862</v>
      </c>
      <c r="D277" s="4" t="n">
        <v>0.281927699170355</v>
      </c>
      <c r="E277" s="4" t="n">
        <f aca="false">(D277-D$344)/D$345</f>
        <v>0.0867515292646578</v>
      </c>
      <c r="F277" s="4" t="n">
        <v>0.3432055240523</v>
      </c>
      <c r="G277" s="4" t="n">
        <f aca="false">(F277-F$344)/F$345</f>
        <v>0.641512935129757</v>
      </c>
      <c r="H277" s="4" t="n">
        <v>0.3476036497713</v>
      </c>
      <c r="I277" s="4" t="n">
        <f aca="false">(H277-H$344)/H$345</f>
        <v>0.551224913754018</v>
      </c>
      <c r="J277" s="4" t="n">
        <v>0.327244920707776</v>
      </c>
      <c r="K277" s="4" t="n">
        <f aca="false">(J277-J$344)/J$345</f>
        <v>0.794575992516501</v>
      </c>
    </row>
    <row r="278" customFormat="false" ht="14.25" hidden="false" customHeight="false" outlineLevel="0" collapsed="false">
      <c r="A278" s="0" t="s">
        <v>85</v>
      </c>
      <c r="B278" s="4" t="n">
        <v>0.132393769280633</v>
      </c>
      <c r="C278" s="4" t="n">
        <f aca="false">(B278-B$344)/B$345</f>
        <v>-1.13602066576542</v>
      </c>
      <c r="D278" s="4" t="n">
        <v>0.165008033992563</v>
      </c>
      <c r="E278" s="4" t="n">
        <f aca="false">(D278-D$344)/D$345</f>
        <v>-1.19303978005027</v>
      </c>
      <c r="F278" s="4" t="n">
        <v>0.143234097166082</v>
      </c>
      <c r="G278" s="4" t="n">
        <f aca="false">(F278-F$344)/F$345</f>
        <v>-1.15341935434091</v>
      </c>
      <c r="H278" s="4" t="n">
        <v>0.156615851331663</v>
      </c>
      <c r="I278" s="4" t="n">
        <f aca="false">(H278-H$344)/H$345</f>
        <v>-0.921696107991733</v>
      </c>
      <c r="J278" s="4" t="n">
        <v>0.132940303744433</v>
      </c>
      <c r="K278" s="4" t="n">
        <f aca="false">(J278-J$344)/J$345</f>
        <v>-0.981852436734164</v>
      </c>
    </row>
    <row r="279" customFormat="false" ht="14.25" hidden="false" customHeight="false" outlineLevel="0" collapsed="false">
      <c r="B279" s="4" t="n">
        <v>0.176330037217221</v>
      </c>
      <c r="C279" s="4" t="n">
        <f aca="false">(B279-B$344)/B$345</f>
        <v>-0.763343399581354</v>
      </c>
      <c r="D279" s="4" t="n">
        <v>0.19652209141028</v>
      </c>
      <c r="E279" s="4" t="n">
        <f aca="false">(D279-D$344)/D$345</f>
        <v>-0.848089965636098</v>
      </c>
      <c r="F279" s="4" t="n">
        <v>0.185071731483346</v>
      </c>
      <c r="G279" s="4" t="n">
        <f aca="false">(F279-F$344)/F$345</f>
        <v>-0.777887099956125</v>
      </c>
      <c r="H279" s="4" t="n">
        <v>0.202605707504941</v>
      </c>
      <c r="I279" s="4" t="n">
        <f aca="false">(H279-H$344)/H$345</f>
        <v>-0.567016769844931</v>
      </c>
      <c r="J279" s="4" t="n">
        <v>0.175505016818047</v>
      </c>
      <c r="K279" s="4" t="n">
        <f aca="false">(J279-J$344)/J$345</f>
        <v>-0.592704882915974</v>
      </c>
    </row>
    <row r="280" customFormat="false" ht="14.25" hidden="false" customHeight="false" outlineLevel="0" collapsed="false">
      <c r="B280" s="4" t="n">
        <v>0.219167898455395</v>
      </c>
      <c r="C280" s="4" t="n">
        <f aca="false">(B280-B$344)/B$345</f>
        <v>-0.399983065051895</v>
      </c>
      <c r="D280" s="4" t="n">
        <v>0.227696340357727</v>
      </c>
      <c r="E280" s="4" t="n">
        <f aca="false">(D280-D$344)/D$345</f>
        <v>-0.506859661762971</v>
      </c>
      <c r="F280" s="4" t="n">
        <v>0.224803948367044</v>
      </c>
      <c r="G280" s="4" t="n">
        <f aca="false">(F280-F$344)/F$345</f>
        <v>-0.421252954131987</v>
      </c>
      <c r="H280" s="4" t="n">
        <v>0.248727896776697</v>
      </c>
      <c r="I280" s="4" t="n">
        <f aca="false">(H280-H$344)/H$345</f>
        <v>-0.21131686282298</v>
      </c>
      <c r="J280" s="4" t="n">
        <v>0.218989416857355</v>
      </c>
      <c r="K280" s="4" t="n">
        <f aca="false">(J280-J$344)/J$345</f>
        <v>-0.195149098262088</v>
      </c>
    </row>
    <row r="281" customFormat="false" ht="14.25" hidden="false" customHeight="false" outlineLevel="0" collapsed="false">
      <c r="B281" s="4" t="n">
        <v>0.263104166391983</v>
      </c>
      <c r="C281" s="4" t="n">
        <f aca="false">(B281-B$344)/B$345</f>
        <v>-0.0273057988678345</v>
      </c>
      <c r="D281" s="4" t="n">
        <v>0.260000859463903</v>
      </c>
      <c r="E281" s="4" t="n">
        <f aca="false">(D281-D$344)/D$345</f>
        <v>-0.153257530412241</v>
      </c>
      <c r="F281" s="4" t="n">
        <v>0.264619717047743</v>
      </c>
      <c r="G281" s="4" t="n">
        <f aca="false">(F281-F$344)/F$345</f>
        <v>-0.0638688520735171</v>
      </c>
      <c r="H281" s="4" t="n">
        <v>0.297347659622406</v>
      </c>
      <c r="I281" s="4" t="n">
        <f aca="false">(H281-H$344)/H$345</f>
        <v>0.163644633947039</v>
      </c>
      <c r="J281" s="4" t="n">
        <v>0.265623473095141</v>
      </c>
      <c r="K281" s="4" t="n">
        <f aca="false">(J281-J$344)/J$345</f>
        <v>0.23120239336359</v>
      </c>
    </row>
    <row r="282" customFormat="false" ht="14.25" hidden="false" customHeight="false" outlineLevel="0" collapsed="false">
      <c r="B282" s="4" t="n">
        <v>0.304843620931742</v>
      </c>
      <c r="C282" s="4" t="n">
        <f aca="false">(B282-B$344)/B$345</f>
        <v>0.326737604007024</v>
      </c>
      <c r="D282" s="4" t="n">
        <v>0.277911691178883</v>
      </c>
      <c r="E282" s="4" t="n">
        <f aca="false">(D282-D$344)/D$345</f>
        <v>0.0427926954978099</v>
      </c>
      <c r="F282" s="4" t="n">
        <v>0.301687845482454</v>
      </c>
      <c r="G282" s="4" t="n">
        <f aca="false">(F282-F$344)/F$345</f>
        <v>0.268852585552497</v>
      </c>
      <c r="H282" s="4" t="n">
        <v>0.344769827265241</v>
      </c>
      <c r="I282" s="4" t="n">
        <f aca="false">(H282-H$344)/H$345</f>
        <v>0.529370131536661</v>
      </c>
      <c r="J282" s="4" t="n">
        <v>0.311834296954361</v>
      </c>
      <c r="K282" s="4" t="n">
        <f aca="false">(J282-J$344)/J$345</f>
        <v>0.653684486303777</v>
      </c>
    </row>
    <row r="283" customFormat="false" ht="14.25" hidden="false" customHeight="false" outlineLevel="0" collapsed="false">
      <c r="B283" s="4" t="n">
        <v>0.330979532726591</v>
      </c>
      <c r="C283" s="4" t="n">
        <f aca="false">(B283-B$344)/B$345</f>
        <v>0.548428262189233</v>
      </c>
      <c r="D283" s="4" t="n">
        <v>0.277911691178883</v>
      </c>
      <c r="E283" s="4" t="n">
        <f aca="false">(D283-D$344)/D$345</f>
        <v>0.0427926954978099</v>
      </c>
      <c r="F283" s="4" t="n">
        <v>0.324568714290931</v>
      </c>
      <c r="G283" s="4" t="n">
        <f aca="false">(F283-F$344)/F$345</f>
        <v>0.474229978087914</v>
      </c>
      <c r="H283" s="4" t="n">
        <v>0.37507592482149</v>
      </c>
      <c r="I283" s="4" t="n">
        <f aca="false">(H283-H$344)/H$345</f>
        <v>0.763094424619106</v>
      </c>
      <c r="J283" s="4" t="n">
        <v>0.341716777258682</v>
      </c>
      <c r="K283" s="4" t="n">
        <f aca="false">(J283-J$344)/J$345</f>
        <v>0.926884826978815</v>
      </c>
    </row>
    <row r="284" customFormat="false" ht="14.25" hidden="false" customHeight="false" outlineLevel="0" collapsed="false">
      <c r="A284" s="0" t="s">
        <v>86</v>
      </c>
      <c r="B284" s="4" t="n">
        <v>0.219167898455395</v>
      </c>
      <c r="C284" s="4" t="n">
        <f aca="false">(B284-B$344)/B$345</f>
        <v>-0.399983065051895</v>
      </c>
      <c r="D284" s="4" t="n">
        <v>0.227696340357727</v>
      </c>
      <c r="E284" s="4" t="n">
        <f aca="false">(D284-D$344)/D$345</f>
        <v>-0.506859661762971</v>
      </c>
      <c r="F284" s="4" t="n">
        <v>0.224803948367044</v>
      </c>
      <c r="G284" s="4" t="n">
        <f aca="false">(F284-F$344)/F$345</f>
        <v>-0.421252954131987</v>
      </c>
      <c r="H284" s="4" t="n">
        <v>0.248727896776697</v>
      </c>
      <c r="I284" s="4" t="n">
        <f aca="false">(H284-H$344)/H$345</f>
        <v>-0.21131686282298</v>
      </c>
      <c r="J284" s="4" t="n">
        <v>0.218989416857355</v>
      </c>
      <c r="K284" s="4" t="n">
        <f aca="false">(J284-J$344)/J$345</f>
        <v>-0.195149098262088</v>
      </c>
    </row>
    <row r="285" customFormat="false" ht="14.25" hidden="false" customHeight="false" outlineLevel="0" collapsed="false">
      <c r="B285" s="4" t="n">
        <v>0.260907352995153</v>
      </c>
      <c r="C285" s="4" t="n">
        <f aca="false">(B285-B$344)/B$345</f>
        <v>-0.0459396621770371</v>
      </c>
      <c r="D285" s="4" t="n">
        <v>0.258379095973851</v>
      </c>
      <c r="E285" s="4" t="n">
        <f aca="false">(D285-D$344)/D$345</f>
        <v>-0.171009196200674</v>
      </c>
      <c r="F285" s="4" t="n">
        <v>0.262649314476556</v>
      </c>
      <c r="G285" s="4" t="n">
        <f aca="false">(F285-F$344)/F$345</f>
        <v>-0.0815550748171878</v>
      </c>
      <c r="H285" s="4" t="n">
        <v>0.294885046020136</v>
      </c>
      <c r="I285" s="4" t="n">
        <f aca="false">(H285-H$344)/H$345</f>
        <v>0.144652659732689</v>
      </c>
      <c r="J285" s="4" t="n">
        <v>0.263242835143935</v>
      </c>
      <c r="K285" s="4" t="n">
        <f aca="false">(J285-J$344)/J$345</f>
        <v>0.209437429656774</v>
      </c>
    </row>
    <row r="286" customFormat="false" ht="14.25" hidden="false" customHeight="false" outlineLevel="0" collapsed="false">
      <c r="B286" s="4" t="n">
        <v>0.304843620931742</v>
      </c>
      <c r="C286" s="4" t="n">
        <f aca="false">(B286-B$344)/B$345</f>
        <v>0.326737604007024</v>
      </c>
      <c r="D286" s="4" t="n">
        <v>0.277911691178883</v>
      </c>
      <c r="E286" s="4" t="n">
        <f aca="false">(D286-D$344)/D$345</f>
        <v>0.0427926954978099</v>
      </c>
      <c r="F286" s="4" t="n">
        <v>0.301687845482454</v>
      </c>
      <c r="G286" s="4" t="n">
        <f aca="false">(F286-F$344)/F$345</f>
        <v>0.268852585552497</v>
      </c>
      <c r="H286" s="4" t="n">
        <v>0.344769827265241</v>
      </c>
      <c r="I286" s="4" t="n">
        <f aca="false">(H286-H$344)/H$345</f>
        <v>0.529370131536661</v>
      </c>
      <c r="J286" s="4" t="n">
        <v>0.311834296954361</v>
      </c>
      <c r="K286" s="4" t="n">
        <f aca="false">(J286-J$344)/J$345</f>
        <v>0.653684486303777</v>
      </c>
    </row>
    <row r="287" customFormat="false" ht="14.25" hidden="false" customHeight="false" outlineLevel="0" collapsed="false">
      <c r="B287" s="4" t="n">
        <v>0.330979532726591</v>
      </c>
      <c r="C287" s="4" t="n">
        <f aca="false">(B287-B$344)/B$345</f>
        <v>0.548428262189233</v>
      </c>
      <c r="D287" s="4" t="n">
        <v>0.277911691178883</v>
      </c>
      <c r="E287" s="4" t="n">
        <f aca="false">(D287-D$344)/D$345</f>
        <v>0.0427926954978099</v>
      </c>
      <c r="F287" s="4" t="n">
        <v>0.324568714290931</v>
      </c>
      <c r="G287" s="4" t="n">
        <f aca="false">(F287-F$344)/F$345</f>
        <v>0.474229978087914</v>
      </c>
      <c r="H287" s="4" t="n">
        <v>0.37507592482149</v>
      </c>
      <c r="I287" s="4" t="n">
        <f aca="false">(H287-H$344)/H$345</f>
        <v>0.763094424619106</v>
      </c>
      <c r="J287" s="4" t="n">
        <v>0.341716777258682</v>
      </c>
      <c r="K287" s="4" t="n">
        <f aca="false">(J287-J$344)/J$345</f>
        <v>0.926884826978815</v>
      </c>
    </row>
    <row r="288" customFormat="false" ht="14.25" hidden="false" customHeight="false" outlineLevel="0" collapsed="false">
      <c r="A288" s="0" t="s">
        <v>87</v>
      </c>
      <c r="B288" s="4" t="n">
        <v>0.134791556494489</v>
      </c>
      <c r="C288" s="4" t="n">
        <f aca="false">(B288-B$344)/B$345</f>
        <v>-1.11568209752287</v>
      </c>
      <c r="D288" s="4" t="n">
        <v>0.173396421842929</v>
      </c>
      <c r="E288" s="4" t="n">
        <f aca="false">(D288-D$344)/D$345</f>
        <v>-1.10122130063762</v>
      </c>
      <c r="F288" s="4" t="n">
        <v>0.14690574145696</v>
      </c>
      <c r="G288" s="4" t="n">
        <f aca="false">(F288-F$344)/F$345</f>
        <v>-1.12046288152993</v>
      </c>
      <c r="H288" s="4" t="n">
        <v>0.162054438532935</v>
      </c>
      <c r="I288" s="4" t="n">
        <f aca="false">(H288-H$344)/H$345</f>
        <v>-0.879753065123038</v>
      </c>
      <c r="J288" s="4" t="n">
        <v>0.139692515123061</v>
      </c>
      <c r="K288" s="4" t="n">
        <f aca="false">(J288-J$344)/J$345</f>
        <v>-0.920120397419999</v>
      </c>
    </row>
    <row r="289" customFormat="false" ht="14.25" hidden="false" customHeight="false" outlineLevel="0" collapsed="false">
      <c r="B289" s="4" t="n">
        <v>0.18859175010146</v>
      </c>
      <c r="C289" s="4" t="n">
        <f aca="false">(B289-B$344)/B$345</f>
        <v>-0.659336804323254</v>
      </c>
      <c r="D289" s="4" t="n">
        <v>0.205980118431288</v>
      </c>
      <c r="E289" s="4" t="n">
        <f aca="false">(D289-D$344)/D$345</f>
        <v>-0.744563319657895</v>
      </c>
      <c r="F289" s="4" t="n">
        <v>0.198883923836256</v>
      </c>
      <c r="G289" s="4" t="n">
        <f aca="false">(F289-F$344)/F$345</f>
        <v>-0.653909637632353</v>
      </c>
      <c r="H289" s="4" t="n">
        <v>0.218295638091697</v>
      </c>
      <c r="I289" s="4" t="n">
        <f aca="false">(H289-H$344)/H$345</f>
        <v>-0.446014125802893</v>
      </c>
      <c r="J289" s="4" t="n">
        <v>0.191961008789847</v>
      </c>
      <c r="K289" s="4" t="n">
        <f aca="false">(J289-J$344)/J$345</f>
        <v>-0.442256106005333</v>
      </c>
    </row>
    <row r="290" customFormat="false" ht="14.25" hidden="false" customHeight="false" outlineLevel="0" collapsed="false">
      <c r="B290" s="4" t="n">
        <v>0.229190297763555</v>
      </c>
      <c r="C290" s="4" t="n">
        <f aca="false">(B290-B$344)/B$345</f>
        <v>-0.31497082914326</v>
      </c>
      <c r="D290" s="4" t="n">
        <v>0.205980118431288</v>
      </c>
      <c r="E290" s="4" t="n">
        <f aca="false">(D290-D$344)/D$345</f>
        <v>-0.744563319657895</v>
      </c>
      <c r="F290" s="4" t="n">
        <v>0.237143521273427</v>
      </c>
      <c r="G290" s="4" t="n">
        <f aca="false">(F290-F$344)/F$345</f>
        <v>-0.310493641200013</v>
      </c>
      <c r="H290" s="4" t="n">
        <v>0.261929962853118</v>
      </c>
      <c r="I290" s="4" t="n">
        <f aca="false">(H290-H$344)/H$345</f>
        <v>-0.109500931055057</v>
      </c>
      <c r="J290" s="4" t="n">
        <v>0.233194337915143</v>
      </c>
      <c r="K290" s="4" t="n">
        <f aca="false">(J290-J$344)/J$345</f>
        <v>-0.065280719441849</v>
      </c>
    </row>
    <row r="291" customFormat="false" ht="14.25" hidden="false" customHeight="false" outlineLevel="0" collapsed="false">
      <c r="A291" s="0" t="s">
        <v>88</v>
      </c>
      <c r="B291" s="4" t="n">
        <v>0.230141305868568</v>
      </c>
      <c r="C291" s="4" t="n">
        <f aca="false">(B291-B$344)/B$345</f>
        <v>-0.306904165374581</v>
      </c>
      <c r="D291" s="4" t="n">
        <v>0.207325699886579</v>
      </c>
      <c r="E291" s="4" t="n">
        <f aca="false">(D291-D$344)/D$345</f>
        <v>-0.729834715621626</v>
      </c>
      <c r="F291" s="4" t="n">
        <v>0.237990700753243</v>
      </c>
      <c r="G291" s="4" t="n">
        <f aca="false">(F291-F$344)/F$345</f>
        <v>-0.3028894058001</v>
      </c>
      <c r="H291" s="4" t="n">
        <v>0.264438097949018</v>
      </c>
      <c r="I291" s="4" t="n">
        <f aca="false">(H291-H$344)/H$345</f>
        <v>-0.0901578895711915</v>
      </c>
      <c r="J291" s="4" t="n">
        <v>0.235467742735356</v>
      </c>
      <c r="K291" s="4" t="n">
        <f aca="false">(J291-J$344)/J$345</f>
        <v>-0.0444961337900177</v>
      </c>
    </row>
    <row r="292" customFormat="false" ht="14.25" hidden="false" customHeight="false" outlineLevel="0" collapsed="false">
      <c r="A292" s="0" t="s">
        <v>89</v>
      </c>
      <c r="B292" s="4" t="n">
        <v>0.223160977177881</v>
      </c>
      <c r="C292" s="4" t="n">
        <f aca="false">(B292-B$344)/B$345</f>
        <v>-0.36611287689432</v>
      </c>
      <c r="D292" s="4" t="n">
        <v>0.235595975449733</v>
      </c>
      <c r="E292" s="4" t="n">
        <f aca="false">(D292-D$344)/D$345</f>
        <v>-0.420391022615442</v>
      </c>
      <c r="F292" s="4" t="n">
        <v>0.234317418331468</v>
      </c>
      <c r="G292" s="4" t="n">
        <f aca="false">(F292-F$344)/F$345</f>
        <v>-0.335860582381942</v>
      </c>
      <c r="H292" s="4" t="n">
        <v>0.248917476081164</v>
      </c>
      <c r="I292" s="4" t="n">
        <f aca="false">(H292-H$344)/H$345</f>
        <v>-0.209854804277259</v>
      </c>
      <c r="J292" s="4" t="n">
        <v>0.226574609110631</v>
      </c>
      <c r="K292" s="4" t="n">
        <f aca="false">(J292-J$344)/J$345</f>
        <v>-0.125801537866269</v>
      </c>
    </row>
    <row r="293" customFormat="false" ht="14.25" hidden="false" customHeight="false" outlineLevel="0" collapsed="false">
      <c r="B293" s="4" t="n">
        <v>0.261283031119429</v>
      </c>
      <c r="C293" s="4" t="n">
        <f aca="false">(B293-B$344)/B$345</f>
        <v>-0.0427530761765584</v>
      </c>
      <c r="D293" s="4" t="n">
        <v>0.235595975449733</v>
      </c>
      <c r="E293" s="4" t="n">
        <f aca="false">(D293-D$344)/D$345</f>
        <v>-0.420391022615442</v>
      </c>
      <c r="F293" s="4" t="n">
        <v>0.270210860016378</v>
      </c>
      <c r="G293" s="4" t="n">
        <f aca="false">(F293-F$344)/F$345</f>
        <v>-0.013683067005539</v>
      </c>
      <c r="H293" s="4" t="n">
        <v>0.288126250139583</v>
      </c>
      <c r="I293" s="4" t="n">
        <f aca="false">(H293-H$344)/H$345</f>
        <v>0.0925280077104739</v>
      </c>
      <c r="J293" s="4" t="n">
        <v>0.265063054405459</v>
      </c>
      <c r="K293" s="4" t="n">
        <f aca="false">(J293-J$344)/J$345</f>
        <v>0.226078769909902</v>
      </c>
    </row>
    <row r="294" customFormat="false" ht="14.25" hidden="false" customHeight="false" outlineLevel="0" collapsed="false">
      <c r="A294" s="0" t="s">
        <v>90</v>
      </c>
      <c r="B294" s="4" t="n">
        <v>0.124331141033773</v>
      </c>
      <c r="C294" s="4" t="n">
        <f aca="false">(B294-B$344)/B$345</f>
        <v>-1.20440968455132</v>
      </c>
      <c r="D294" s="4" t="n">
        <v>0.121209098535111</v>
      </c>
      <c r="E294" s="4" t="n">
        <f aca="false">(D294-D$344)/D$345</f>
        <v>-1.67245867737995</v>
      </c>
      <c r="F294" s="4" t="n">
        <v>0.126416212264962</v>
      </c>
      <c r="G294" s="4" t="n">
        <f aca="false">(F294-F$344)/F$345</f>
        <v>-1.30437574405951</v>
      </c>
      <c r="H294" s="4" t="n">
        <v>0.29737272192085</v>
      </c>
      <c r="I294" s="4" t="n">
        <f aca="false">(H294-H$344)/H$345</f>
        <v>0.163837917426572</v>
      </c>
      <c r="J294" s="4" t="n">
        <v>0.167085578191363</v>
      </c>
      <c r="K294" s="4" t="n">
        <f aca="false">(J294-J$344)/J$345</f>
        <v>-0.669679534205881</v>
      </c>
    </row>
    <row r="295" customFormat="false" ht="14.25" hidden="false" customHeight="false" outlineLevel="0" collapsed="false">
      <c r="A295" s="0" t="s">
        <v>91</v>
      </c>
      <c r="B295" s="4" t="n">
        <v>0.15601234248965</v>
      </c>
      <c r="C295" s="4" t="n">
        <f aca="false">(B295-B$344)/B$345</f>
        <v>-0.935682637341869</v>
      </c>
      <c r="D295" s="4" t="n">
        <v>0.186257968638201</v>
      </c>
      <c r="E295" s="4" t="n">
        <f aca="false">(D295-D$344)/D$345</f>
        <v>-0.960440057483122</v>
      </c>
      <c r="F295" s="4" t="n">
        <v>0.166110023353157</v>
      </c>
      <c r="G295" s="4" t="n">
        <f aca="false">(F295-F$344)/F$345</f>
        <v>-0.948086326497427</v>
      </c>
      <c r="H295" s="4" t="n">
        <v>0.198880798347904</v>
      </c>
      <c r="I295" s="4" t="n">
        <f aca="false">(H295-H$344)/H$345</f>
        <v>-0.595743720185833</v>
      </c>
      <c r="J295" s="4" t="n">
        <v>0.172296335157632</v>
      </c>
      <c r="K295" s="4" t="n">
        <f aca="false">(J295-J$344)/J$345</f>
        <v>-0.622040229708338</v>
      </c>
    </row>
    <row r="296" customFormat="false" ht="14.25" hidden="false" customHeight="false" outlineLevel="0" collapsed="false">
      <c r="B296" s="4" t="n">
        <v>0.198117066913921</v>
      </c>
      <c r="C296" s="4" t="n">
        <f aca="false">(B296-B$344)/B$345</f>
        <v>-0.578540933487606</v>
      </c>
      <c r="D296" s="4" t="n">
        <v>0.219685568347004</v>
      </c>
      <c r="E296" s="4" t="n">
        <f aca="false">(D296-D$344)/D$345</f>
        <v>-0.594544794838203</v>
      </c>
      <c r="F296" s="4" t="n">
        <v>0.207359124652161</v>
      </c>
      <c r="G296" s="4" t="n">
        <f aca="false">(F296-F$344)/F$345</f>
        <v>-0.577836711409389</v>
      </c>
      <c r="H296" s="4" t="n">
        <v>0.248262643734915</v>
      </c>
      <c r="I296" s="4" t="n">
        <f aca="false">(H296-H$344)/H$345</f>
        <v>-0.21490495060278</v>
      </c>
      <c r="J296" s="4" t="n">
        <v>0.218006181576888</v>
      </c>
      <c r="K296" s="4" t="n">
        <f aca="false">(J296-J$344)/J$345</f>
        <v>-0.204138319064769</v>
      </c>
    </row>
    <row r="297" customFormat="false" ht="14.25" hidden="false" customHeight="false" outlineLevel="0" collapsed="false">
      <c r="B297" s="4" t="n">
        <v>0.243042203500584</v>
      </c>
      <c r="C297" s="4" t="n">
        <f aca="false">(B297-B$344)/B$345</f>
        <v>-0.197475861911047</v>
      </c>
      <c r="D297" s="4" t="n">
        <v>0.244305625755551</v>
      </c>
      <c r="E297" s="4" t="n">
        <f aca="false">(D297-D$344)/D$345</f>
        <v>-0.325056035540274</v>
      </c>
      <c r="F297" s="4" t="n">
        <v>0.250584672630157</v>
      </c>
      <c r="G297" s="4" t="n">
        <f aca="false">(F297-F$344)/F$345</f>
        <v>-0.189846622005688</v>
      </c>
      <c r="H297" s="4" t="n">
        <v>0.302632452829041</v>
      </c>
      <c r="I297" s="4" t="n">
        <f aca="false">(H297-H$344)/H$345</f>
        <v>0.204401598911437</v>
      </c>
      <c r="J297" s="4" t="n">
        <v>0.269131688789387</v>
      </c>
      <c r="K297" s="4" t="n">
        <f aca="false">(J297-J$344)/J$345</f>
        <v>0.263276227699591</v>
      </c>
    </row>
    <row r="298" customFormat="false" ht="14.25" hidden="false" customHeight="false" outlineLevel="0" collapsed="false">
      <c r="B298" s="4" t="n">
        <v>0.262732641374036</v>
      </c>
      <c r="C298" s="4" t="n">
        <f aca="false">(B298-B$344)/B$345</f>
        <v>-0.0304571572901568</v>
      </c>
      <c r="D298" s="4" t="n">
        <v>0.244305625755551</v>
      </c>
      <c r="E298" s="4" t="n">
        <f aca="false">(D298-D$344)/D$345</f>
        <v>-0.325056035540274</v>
      </c>
      <c r="F298" s="4" t="n">
        <v>0.269300452189637</v>
      </c>
      <c r="G298" s="4" t="n">
        <f aca="false">(F298-F$344)/F$345</f>
        <v>-0.0218548364940488</v>
      </c>
      <c r="H298" s="4" t="n">
        <v>0.32700916096557</v>
      </c>
      <c r="I298" s="4" t="n">
        <f aca="false">(H298-H$344)/H$345</f>
        <v>0.392397723002063</v>
      </c>
      <c r="J298" s="4" t="n">
        <v>0.292305657848304</v>
      </c>
      <c r="K298" s="4" t="n">
        <f aca="false">(J298-J$344)/J$345</f>
        <v>0.47514405718407</v>
      </c>
    </row>
    <row r="299" customFormat="false" ht="14.25" hidden="false" customHeight="false" outlineLevel="0" collapsed="false">
      <c r="A299" s="0" t="s">
        <v>92</v>
      </c>
      <c r="B299" s="4" t="n">
        <v>0.232509472706563</v>
      </c>
      <c r="C299" s="4" t="n">
        <f aca="false">(B299-B$344)/B$345</f>
        <v>-0.286816843794934</v>
      </c>
      <c r="D299" s="4" t="n">
        <v>0.232744711888717</v>
      </c>
      <c r="E299" s="4" t="n">
        <f aca="false">(D299-D$344)/D$345</f>
        <v>-0.451600676871688</v>
      </c>
      <c r="F299" s="4" t="n">
        <v>0.241202314544294</v>
      </c>
      <c r="G299" s="4" t="n">
        <f aca="false">(F299-F$344)/F$345</f>
        <v>-0.274062140902163</v>
      </c>
      <c r="H299" s="4" t="n">
        <v>0.27646892734004</v>
      </c>
      <c r="I299" s="4" t="n">
        <f aca="false">(H299-H$344)/H$345</f>
        <v>0.00262532309395413</v>
      </c>
      <c r="J299" s="4" t="n">
        <v>0.24587083584714</v>
      </c>
      <c r="K299" s="4" t="n">
        <f aca="false">(J299-J$344)/J$345</f>
        <v>0.0506140629965169</v>
      </c>
    </row>
    <row r="300" customFormat="false" ht="14.25" hidden="false" customHeight="false" outlineLevel="0" collapsed="false">
      <c r="B300" s="4" t="n">
        <v>0.254486890270819</v>
      </c>
      <c r="C300" s="4" t="n">
        <f aca="false">(B300-B$344)/B$345</f>
        <v>-0.100399465162469</v>
      </c>
      <c r="D300" s="4" t="n">
        <v>0.232744711888717</v>
      </c>
      <c r="E300" s="4" t="n">
        <f aca="false">(D300-D$344)/D$345</f>
        <v>-0.451600676871688</v>
      </c>
      <c r="F300" s="4" t="n">
        <v>0.2619568401911</v>
      </c>
      <c r="G300" s="4" t="n">
        <f aca="false">(F300-F$344)/F$345</f>
        <v>-0.087770685086856</v>
      </c>
      <c r="H300" s="4" t="n">
        <v>0.301514886572383</v>
      </c>
      <c r="I300" s="4" t="n">
        <f aca="false">(H300-H$344)/H$345</f>
        <v>0.195782792652221</v>
      </c>
      <c r="J300" s="4" t="n">
        <v>0.269809964397178</v>
      </c>
      <c r="K300" s="4" t="n">
        <f aca="false">(J300-J$344)/J$345</f>
        <v>0.269477357098256</v>
      </c>
    </row>
    <row r="301" customFormat="false" ht="14.25" hidden="false" customHeight="false" outlineLevel="0" collapsed="false">
      <c r="A301" s="0" t="s">
        <v>93</v>
      </c>
      <c r="B301" s="4" t="n">
        <v>0.144305241589494</v>
      </c>
      <c r="C301" s="4" t="n">
        <f aca="false">(B301-B$344)/B$345</f>
        <v>-1.03498488952014</v>
      </c>
      <c r="D301" s="4" t="n">
        <v>0.181809502350901</v>
      </c>
      <c r="E301" s="4" t="n">
        <f aca="false">(D301-D$344)/D$345</f>
        <v>-1.00913253779095</v>
      </c>
      <c r="F301" s="4" t="n">
        <v>0.155757773671312</v>
      </c>
      <c r="G301" s="4" t="n">
        <f aca="false">(F301-F$344)/F$345</f>
        <v>-1.04100753785218</v>
      </c>
      <c r="H301" s="4" t="n">
        <v>0.179498324343557</v>
      </c>
      <c r="I301" s="4" t="n">
        <f aca="false">(H301-H$344)/H$345</f>
        <v>-0.745223706068104</v>
      </c>
      <c r="J301" s="4" t="n">
        <v>0.155005636053725</v>
      </c>
      <c r="K301" s="4" t="n">
        <f aca="false">(J301-J$344)/J$345</f>
        <v>-0.780120309995853</v>
      </c>
    </row>
    <row r="302" customFormat="false" ht="14.25" hidden="false" customHeight="false" outlineLevel="0" collapsed="false">
      <c r="B302" s="4" t="n">
        <v>0.187302096936161</v>
      </c>
      <c r="C302" s="4" t="n">
        <f aca="false">(B302-B$344)/B$345</f>
        <v>-0.670275931348405</v>
      </c>
      <c r="D302" s="4" t="n">
        <v>0.214591920537922</v>
      </c>
      <c r="E302" s="4" t="n">
        <f aca="false">(D302-D$344)/D$345</f>
        <v>-0.650299369475944</v>
      </c>
      <c r="F302" s="4" t="n">
        <v>0.197829582798412</v>
      </c>
      <c r="G302" s="4" t="n">
        <f aca="false">(F302-F$344)/F$345</f>
        <v>-0.663373343534778</v>
      </c>
      <c r="H302" s="4" t="n">
        <v>0.226514264737841</v>
      </c>
      <c r="I302" s="4" t="n">
        <f aca="false">(H302-H$344)/H$345</f>
        <v>-0.382631082195468</v>
      </c>
      <c r="J302" s="4" t="n">
        <v>0.198646474361374</v>
      </c>
      <c r="K302" s="4" t="n">
        <f aca="false">(J302-J$344)/J$345</f>
        <v>-0.381134289706558</v>
      </c>
    </row>
    <row r="303" customFormat="false" ht="14.25" hidden="false" customHeight="false" outlineLevel="0" collapsed="false">
      <c r="B303" s="4" t="n">
        <v>0.233179124411313</v>
      </c>
      <c r="C303" s="4" t="n">
        <f aca="false">(B303-B$344)/B$345</f>
        <v>-0.281136708035979</v>
      </c>
      <c r="D303" s="4" t="n">
        <v>0.233487983765392</v>
      </c>
      <c r="E303" s="4" t="n">
        <f aca="false">(D303-D$344)/D$345</f>
        <v>-0.443464895035673</v>
      </c>
      <c r="F303" s="4" t="n">
        <v>0.241799603758316</v>
      </c>
      <c r="G303" s="4" t="n">
        <f aca="false">(F303-F$344)/F$345</f>
        <v>-0.268700906484361</v>
      </c>
      <c r="H303" s="4" t="n">
        <v>0.27802568617985</v>
      </c>
      <c r="I303" s="4" t="n">
        <f aca="false">(H303-H$344)/H$345</f>
        <v>0.0146312357212462</v>
      </c>
      <c r="J303" s="4" t="n">
        <v>0.247276903433327</v>
      </c>
      <c r="K303" s="4" t="n">
        <f aca="false">(J303-J$344)/J$345</f>
        <v>0.0634690248218519</v>
      </c>
    </row>
    <row r="304" customFormat="false" ht="14.25" hidden="false" customHeight="false" outlineLevel="0" collapsed="false">
      <c r="B304" s="4" t="n">
        <v>0.255016125089494</v>
      </c>
      <c r="C304" s="4" t="n">
        <f aca="false">(B304-B$344)/B$345</f>
        <v>-0.0959103768840132</v>
      </c>
      <c r="D304" s="4" t="n">
        <v>0.233487983765392</v>
      </c>
      <c r="E304" s="4" t="n">
        <f aca="false">(D304-D$344)/D$345</f>
        <v>-0.443464895035673</v>
      </c>
      <c r="F304" s="4" t="n">
        <v>0.262429799883568</v>
      </c>
      <c r="G304" s="4" t="n">
        <f aca="false">(F304-F$344)/F$345</f>
        <v>-0.0835254254672774</v>
      </c>
      <c r="H304" s="4" t="n">
        <v>0.3030327764646</v>
      </c>
      <c r="I304" s="4" t="n">
        <f aca="false">(H304-H$344)/H$345</f>
        <v>0.207488943250362</v>
      </c>
      <c r="J304" s="4" t="n">
        <v>0.271173857283129</v>
      </c>
      <c r="K304" s="4" t="n">
        <f aca="false">(J304-J$344)/J$345</f>
        <v>0.28194673705907</v>
      </c>
    </row>
    <row r="305" customFormat="false" ht="14.25" hidden="false" customHeight="false" outlineLevel="0" collapsed="false">
      <c r="A305" s="0" t="s">
        <v>94</v>
      </c>
      <c r="B305" s="4" t="n">
        <v>0.146296494914318</v>
      </c>
      <c r="C305" s="4" t="n">
        <f aca="false">(B305-B$344)/B$345</f>
        <v>-1.01809463278631</v>
      </c>
      <c r="D305" s="4" t="n">
        <v>0.182531852026825</v>
      </c>
      <c r="E305" s="4" t="n">
        <f aca="false">(D305-D$344)/D$345</f>
        <v>-1.00122576833409</v>
      </c>
      <c r="F305" s="4" t="n">
        <v>0.15752243337106</v>
      </c>
      <c r="G305" s="4" t="n">
        <f aca="false">(F305-F$344)/F$345</f>
        <v>-1.02516805155994</v>
      </c>
      <c r="H305" s="4" t="n">
        <v>0.182656648809463</v>
      </c>
      <c r="I305" s="4" t="n">
        <f aca="false">(H305-H$344)/H$345</f>
        <v>-0.720866325453564</v>
      </c>
      <c r="J305" s="4" t="n">
        <v>0.157851033438442</v>
      </c>
      <c r="K305" s="4" t="n">
        <f aca="false">(J305-J$344)/J$345</f>
        <v>-0.754106286830972</v>
      </c>
    </row>
    <row r="306" customFormat="false" ht="14.25" hidden="false" customHeight="false" outlineLevel="0" collapsed="false">
      <c r="B306" s="4" t="n">
        <v>0.18913767848312</v>
      </c>
      <c r="C306" s="4" t="n">
        <f aca="false">(B306-B$344)/B$345</f>
        <v>-0.654706117504272</v>
      </c>
      <c r="D306" s="4" t="n">
        <v>0.215423270492246</v>
      </c>
      <c r="E306" s="4" t="n">
        <f aca="false">(D306-D$344)/D$345</f>
        <v>-0.641199493548951</v>
      </c>
      <c r="F306" s="4" t="n">
        <v>0.199449577655009</v>
      </c>
      <c r="G306" s="4" t="n">
        <f aca="false">(F306-F$344)/F$345</f>
        <v>-0.64883236074459</v>
      </c>
      <c r="H306" s="4" t="n">
        <v>0.230025941288123</v>
      </c>
      <c r="I306" s="4" t="n">
        <f aca="false">(H306-H$344)/H$345</f>
        <v>-0.355548607530908</v>
      </c>
      <c r="J306" s="4" t="n">
        <v>0.201808927598923</v>
      </c>
      <c r="K306" s="4" t="n">
        <f aca="false">(J306-J$344)/J$345</f>
        <v>-0.352221585905922</v>
      </c>
    </row>
    <row r="307" customFormat="false" ht="14.25" hidden="false" customHeight="false" outlineLevel="0" collapsed="false">
      <c r="B307" s="4" t="n">
        <v>0.234848606405813</v>
      </c>
      <c r="C307" s="4" t="n">
        <f aca="false">(B307-B$344)/B$345</f>
        <v>-0.26697578780143</v>
      </c>
      <c r="D307" s="4" t="n">
        <v>0.235336494438405</v>
      </c>
      <c r="E307" s="4" t="n">
        <f aca="false">(D307-D$344)/D$345</f>
        <v>-0.423231276585769</v>
      </c>
      <c r="F307" s="4" t="n">
        <v>0.243288159089255</v>
      </c>
      <c r="G307" s="4" t="n">
        <f aca="false">(F307-F$344)/F$345</f>
        <v>-0.25533971748966</v>
      </c>
      <c r="H307" s="4" t="n">
        <v>0.281963502713212</v>
      </c>
      <c r="I307" s="4" t="n">
        <f aca="false">(H307-H$344)/H$345</f>
        <v>0.0450001535220293</v>
      </c>
      <c r="J307" s="4" t="n">
        <v>0.250821316025257</v>
      </c>
      <c r="K307" s="4" t="n">
        <f aca="false">(J307-J$344)/J$345</f>
        <v>0.0958737890096535</v>
      </c>
    </row>
    <row r="308" customFormat="false" ht="14.25" hidden="false" customHeight="false" outlineLevel="0" collapsed="false">
      <c r="B308" s="4" t="n">
        <v>0.25633281824084</v>
      </c>
      <c r="C308" s="4" t="n">
        <f aca="false">(B308-B$344)/B$345</f>
        <v>-0.0847418906403624</v>
      </c>
      <c r="D308" s="4" t="n">
        <v>0.235336494438405</v>
      </c>
      <c r="E308" s="4" t="n">
        <f aca="false">(D308-D$344)/D$345</f>
        <v>-0.423231276585769</v>
      </c>
      <c r="F308" s="4" t="n">
        <v>0.263605510766618</v>
      </c>
      <c r="G308" s="4" t="n">
        <f aca="false">(F308-F$344)/F$345</f>
        <v>-0.0729723106551848</v>
      </c>
      <c r="H308" s="4" t="n">
        <v>0.306871838463713</v>
      </c>
      <c r="I308" s="4" t="n">
        <f aca="false">(H308-H$344)/H$345</f>
        <v>0.237096254128211</v>
      </c>
      <c r="J308" s="4" t="n">
        <v>0.274609725367472</v>
      </c>
      <c r="K308" s="4" t="n">
        <f aca="false">(J308-J$344)/J$345</f>
        <v>0.313359133941706</v>
      </c>
    </row>
    <row r="309" customFormat="false" ht="14.25" hidden="false" customHeight="false" outlineLevel="0" collapsed="false">
      <c r="A309" s="0" t="s">
        <v>95</v>
      </c>
      <c r="B309" s="4" t="n">
        <v>0.138648828196445</v>
      </c>
      <c r="C309" s="4" t="n">
        <f aca="false">(B309-B$344)/B$345</f>
        <v>-1.08296385493366</v>
      </c>
      <c r="D309" s="4" t="n">
        <v>0.145153761160389</v>
      </c>
      <c r="E309" s="4" t="n">
        <f aca="false">(D309-D$344)/D$345</f>
        <v>-1.41036272384031</v>
      </c>
      <c r="F309" s="4" t="n">
        <v>0.14215650440598</v>
      </c>
      <c r="G309" s="4" t="n">
        <f aca="false">(F309-F$344)/F$345</f>
        <v>-1.16309176639559</v>
      </c>
      <c r="H309" s="4" t="n">
        <v>0.276856791561959</v>
      </c>
      <c r="I309" s="4" t="n">
        <f aca="false">(H309-H$344)/H$345</f>
        <v>0.00561657892660201</v>
      </c>
      <c r="J309" s="4" t="n">
        <v>0.176643111516139</v>
      </c>
      <c r="K309" s="4" t="n">
        <f aca="false">(J309-J$344)/J$345</f>
        <v>-0.582299861108126</v>
      </c>
    </row>
    <row r="310" customFormat="false" ht="14.25" hidden="false" customHeight="false" outlineLevel="0" collapsed="false">
      <c r="B310" s="4" t="n">
        <v>0.169914612673841</v>
      </c>
      <c r="C310" s="4" t="n">
        <f aca="false">(B310-B$344)/B$345</f>
        <v>-0.817760467587392</v>
      </c>
      <c r="D310" s="4" t="n">
        <v>0.163232124600602</v>
      </c>
      <c r="E310" s="4" t="n">
        <f aca="false">(D310-D$344)/D$345</f>
        <v>-1.2124787119229</v>
      </c>
      <c r="F310" s="4" t="n">
        <v>0.172505410000412</v>
      </c>
      <c r="G310" s="4" t="n">
        <f aca="false">(F310-F$344)/F$345</f>
        <v>-0.890681695368109</v>
      </c>
      <c r="H310" s="4" t="n">
        <v>0.351967434815879</v>
      </c>
      <c r="I310" s="4" t="n">
        <f aca="false">(H310-H$344)/H$345</f>
        <v>0.584878952279268</v>
      </c>
      <c r="J310" s="4" t="n">
        <v>0.224991419045061</v>
      </c>
      <c r="K310" s="4" t="n">
        <f aca="false">(J310-J$344)/J$345</f>
        <v>-0.140275840563442</v>
      </c>
    </row>
    <row r="311" customFormat="false" ht="14.25" hidden="false" customHeight="false" outlineLevel="0" collapsed="false">
      <c r="A311" s="0" t="s">
        <v>96</v>
      </c>
      <c r="B311" s="4" t="n">
        <v>0.135887459700604</v>
      </c>
      <c r="C311" s="4" t="n">
        <f aca="false">(B311-B$344)/B$345</f>
        <v>-1.10638640105072</v>
      </c>
      <c r="D311" s="4" t="n">
        <v>0.161051324853962</v>
      </c>
      <c r="E311" s="4" t="n">
        <f aca="false">(D311-D$344)/D$345</f>
        <v>-1.23634953432787</v>
      </c>
      <c r="F311" s="4" t="n">
        <v>0.142008452953511</v>
      </c>
      <c r="G311" s="4" t="n">
        <f aca="false">(F311-F$344)/F$345</f>
        <v>-1.16442066791257</v>
      </c>
      <c r="H311" s="4" t="n">
        <v>0.191843531714556</v>
      </c>
      <c r="I311" s="4" t="n">
        <f aca="false">(H311-H$344)/H$345</f>
        <v>-0.650015972364096</v>
      </c>
      <c r="J311" s="4" t="n">
        <v>0.153465222582826</v>
      </c>
      <c r="K311" s="4" t="n">
        <f aca="false">(J311-J$344)/J$345</f>
        <v>-0.794203528013368</v>
      </c>
    </row>
    <row r="312" customFormat="false" ht="14.25" hidden="false" customHeight="false" outlineLevel="0" collapsed="false">
      <c r="B312" s="4" t="n">
        <v>0.174018328179032</v>
      </c>
      <c r="C312" s="4" t="n">
        <f aca="false">(B312-B$344)/B$345</f>
        <v>-0.782951833456729</v>
      </c>
      <c r="D312" s="4" t="n">
        <v>0.193629138056578</v>
      </c>
      <c r="E312" s="4" t="n">
        <f aca="false">(D312-D$344)/D$345</f>
        <v>-0.879755952317566</v>
      </c>
      <c r="F312" s="4" t="n">
        <v>0.181569807498405</v>
      </c>
      <c r="G312" s="4" t="n">
        <f aca="false">(F312-F$344)/F$345</f>
        <v>-0.809320172839182</v>
      </c>
      <c r="H312" s="4" t="n">
        <v>0.245953968942818</v>
      </c>
      <c r="I312" s="4" t="n">
        <f aca="false">(H312-H$344)/H$345</f>
        <v>-0.232709730077893</v>
      </c>
      <c r="J312" s="4" t="n">
        <v>0.199153145595442</v>
      </c>
      <c r="K312" s="4" t="n">
        <f aca="false">(J312-J$344)/J$345</f>
        <v>-0.376502051942224</v>
      </c>
    </row>
    <row r="313" customFormat="false" ht="14.25" hidden="false" customHeight="false" outlineLevel="0" collapsed="false">
      <c r="B313" s="4" t="n">
        <v>0.213045974149526</v>
      </c>
      <c r="C313" s="4" t="n">
        <f aca="false">(B313-B$344)/B$345</f>
        <v>-0.451910598300504</v>
      </c>
      <c r="D313" s="4" t="n">
        <v>0.225781130273228</v>
      </c>
      <c r="E313" s="4" t="n">
        <f aca="false">(D313-D$344)/D$345</f>
        <v>-0.527823365498585</v>
      </c>
      <c r="F313" s="4" t="n">
        <v>0.219587666113182</v>
      </c>
      <c r="G313" s="4" t="n">
        <f aca="false">(F313-F$344)/F$345</f>
        <v>-0.468074010491085</v>
      </c>
      <c r="H313" s="4" t="n">
        <v>0.301079514274234</v>
      </c>
      <c r="I313" s="4" t="n">
        <f aca="false">(H313-H$344)/H$345</f>
        <v>0.192425148784561</v>
      </c>
      <c r="J313" s="4" t="n">
        <v>0.246275947385756</v>
      </c>
      <c r="K313" s="4" t="n">
        <f aca="false">(J313-J$344)/J$345</f>
        <v>0.0543177920455868</v>
      </c>
    </row>
    <row r="314" customFormat="false" ht="14.25" hidden="false" customHeight="false" outlineLevel="0" collapsed="false">
      <c r="B314" s="4" t="n">
        <v>0.249766141101002</v>
      </c>
      <c r="C314" s="4" t="n">
        <f aca="false">(B314-B$344)/B$345</f>
        <v>-0.14044191704953</v>
      </c>
      <c r="D314" s="4" t="n">
        <v>0.235043578025519</v>
      </c>
      <c r="E314" s="4" t="n">
        <f aca="false">(D314-D$344)/D$345</f>
        <v>-0.426437511217018</v>
      </c>
      <c r="F314" s="4" t="n">
        <v>0.25484835043312</v>
      </c>
      <c r="G314" s="4" t="n">
        <f aca="false">(F314-F$344)/F$345</f>
        <v>-0.151576089662129</v>
      </c>
      <c r="H314" s="4" t="n">
        <v>0.354975062483263</v>
      </c>
      <c r="I314" s="4" t="n">
        <f aca="false">(H314-H$344)/H$345</f>
        <v>0.608074140940882</v>
      </c>
      <c r="J314" s="4" t="n">
        <v>0.292847509868101</v>
      </c>
      <c r="K314" s="4" t="n">
        <f aca="false">(J314-J$344)/J$345</f>
        <v>0.480097935004662</v>
      </c>
    </row>
    <row r="315" customFormat="false" ht="14.25" hidden="false" customHeight="false" outlineLevel="0" collapsed="false">
      <c r="A315" s="0" t="s">
        <v>97</v>
      </c>
      <c r="B315" s="4" t="n">
        <v>0.17555386359827</v>
      </c>
      <c r="C315" s="4" t="n">
        <f aca="false">(B315-B$344)/B$345</f>
        <v>-0.769927078077042</v>
      </c>
      <c r="D315" s="4" t="n">
        <v>0.194367411224541</v>
      </c>
      <c r="E315" s="4" t="n">
        <f aca="false">(D315-D$344)/D$345</f>
        <v>-0.871674885862046</v>
      </c>
      <c r="F315" s="4" t="n">
        <v>0.182939080784792</v>
      </c>
      <c r="G315" s="4" t="n">
        <f aca="false">(F315-F$344)/F$345</f>
        <v>-0.797029652772814</v>
      </c>
      <c r="H315" s="4" t="n">
        <v>0.250093632706563</v>
      </c>
      <c r="I315" s="4" t="n">
        <f aca="false">(H315-H$344)/H$345</f>
        <v>-0.200784142001608</v>
      </c>
      <c r="J315" s="4" t="n">
        <v>0.202122567337096</v>
      </c>
      <c r="K315" s="4" t="n">
        <f aca="false">(J315-J$344)/J$345</f>
        <v>-0.349354137071505</v>
      </c>
    </row>
    <row r="316" customFormat="false" ht="14.25" hidden="false" customHeight="false" outlineLevel="0" collapsed="false">
      <c r="A316" s="0" t="s">
        <v>98</v>
      </c>
      <c r="B316" s="4" t="n">
        <v>0.135887459700604</v>
      </c>
      <c r="C316" s="4" t="n">
        <f aca="false">(B316-B$344)/B$345</f>
        <v>-1.10638640105072</v>
      </c>
      <c r="D316" s="4" t="n">
        <v>0.161051324853962</v>
      </c>
      <c r="E316" s="4" t="n">
        <f aca="false">(D316-D$344)/D$345</f>
        <v>-1.23634953432787</v>
      </c>
      <c r="F316" s="4" t="n">
        <v>0.142008452953511</v>
      </c>
      <c r="G316" s="4" t="n">
        <f aca="false">(F316-F$344)/F$345</f>
        <v>-1.16442066791257</v>
      </c>
      <c r="H316" s="4" t="n">
        <v>0.191843531714556</v>
      </c>
      <c r="I316" s="4" t="n">
        <f aca="false">(H316-H$344)/H$345</f>
        <v>-0.650015972364096</v>
      </c>
      <c r="J316" s="4" t="n">
        <v>0.153465222582826</v>
      </c>
      <c r="K316" s="4" t="n">
        <f aca="false">(J316-J$344)/J$345</f>
        <v>-0.794203528013368</v>
      </c>
    </row>
    <row r="317" customFormat="false" ht="14.25" hidden="false" customHeight="false" outlineLevel="0" collapsed="false">
      <c r="B317" s="4" t="n">
        <v>0.174018328179032</v>
      </c>
      <c r="C317" s="4" t="n">
        <f aca="false">(B317-B$344)/B$345</f>
        <v>-0.782951833456729</v>
      </c>
      <c r="D317" s="4" t="n">
        <v>0.193629138056578</v>
      </c>
      <c r="E317" s="4" t="n">
        <f aca="false">(D317-D$344)/D$345</f>
        <v>-0.879755952317566</v>
      </c>
      <c r="F317" s="4" t="n">
        <v>0.181569807498405</v>
      </c>
      <c r="G317" s="4" t="n">
        <f aca="false">(F317-F$344)/F$345</f>
        <v>-0.809320172839182</v>
      </c>
      <c r="H317" s="4" t="n">
        <v>0.245953968942818</v>
      </c>
      <c r="I317" s="4" t="n">
        <f aca="false">(H317-H$344)/H$345</f>
        <v>-0.232709730077893</v>
      </c>
      <c r="J317" s="4" t="n">
        <v>0.199153145595442</v>
      </c>
      <c r="K317" s="4" t="n">
        <f aca="false">(J317-J$344)/J$345</f>
        <v>-0.376502051942224</v>
      </c>
    </row>
    <row r="318" customFormat="false" ht="14.25" hidden="false" customHeight="false" outlineLevel="0" collapsed="false">
      <c r="B318" s="4" t="n">
        <v>0.213045974149526</v>
      </c>
      <c r="C318" s="4" t="n">
        <f aca="false">(B318-B$344)/B$345</f>
        <v>-0.451910598300504</v>
      </c>
      <c r="D318" s="4" t="n">
        <v>0.225781130273228</v>
      </c>
      <c r="E318" s="4" t="n">
        <f aca="false">(D318-D$344)/D$345</f>
        <v>-0.527823365498585</v>
      </c>
      <c r="F318" s="4" t="n">
        <v>0.219587666113182</v>
      </c>
      <c r="G318" s="4" t="n">
        <f aca="false">(F318-F$344)/F$345</f>
        <v>-0.468074010491085</v>
      </c>
      <c r="H318" s="4" t="n">
        <v>0.301079514274234</v>
      </c>
      <c r="I318" s="4" t="n">
        <f aca="false">(H318-H$344)/H$345</f>
        <v>0.192425148784561</v>
      </c>
      <c r="J318" s="4" t="n">
        <v>0.246275947385756</v>
      </c>
      <c r="K318" s="4" t="n">
        <f aca="false">(J318-J$344)/J$345</f>
        <v>0.0543177920455868</v>
      </c>
    </row>
    <row r="319" customFormat="false" ht="14.25" hidden="false" customHeight="false" outlineLevel="0" collapsed="false">
      <c r="B319" s="4" t="n">
        <v>0.249766141101002</v>
      </c>
      <c r="C319" s="4" t="n">
        <f aca="false">(B319-B$344)/B$345</f>
        <v>-0.14044191704953</v>
      </c>
      <c r="D319" s="4" t="n">
        <v>0.235043578025519</v>
      </c>
      <c r="E319" s="4" t="n">
        <f aca="false">(D319-D$344)/D$345</f>
        <v>-0.426437511217018</v>
      </c>
      <c r="F319" s="4" t="n">
        <v>0.25484835043312</v>
      </c>
      <c r="G319" s="4" t="n">
        <f aca="false">(F319-F$344)/F$345</f>
        <v>-0.151576089662129</v>
      </c>
      <c r="H319" s="4" t="n">
        <v>0.354975062483263</v>
      </c>
      <c r="I319" s="4" t="n">
        <f aca="false">(H319-H$344)/H$345</f>
        <v>0.608074140940882</v>
      </c>
      <c r="J319" s="4" t="n">
        <v>0.292847509868101</v>
      </c>
      <c r="K319" s="4" t="n">
        <f aca="false">(J319-J$344)/J$345</f>
        <v>0.480097935004662</v>
      </c>
    </row>
    <row r="320" customFormat="false" ht="14.25" hidden="false" customHeight="false" outlineLevel="0" collapsed="false">
      <c r="A320" s="0" t="s">
        <v>99</v>
      </c>
      <c r="B320" s="4" t="n">
        <v>0.178993380624955</v>
      </c>
      <c r="C320" s="4" t="n">
        <f aca="false">(B320-B$344)/B$345</f>
        <v>-0.740752324218828</v>
      </c>
      <c r="D320" s="4" t="n">
        <v>0.196068873329918</v>
      </c>
      <c r="E320" s="4" t="n">
        <f aca="false">(D320-D$344)/D$345</f>
        <v>-0.853050846764098</v>
      </c>
      <c r="F320" s="4" t="n">
        <v>0.186003415608665</v>
      </c>
      <c r="G320" s="4" t="n">
        <f aca="false">(F320-F$344)/F$345</f>
        <v>-0.76952435560729</v>
      </c>
      <c r="H320" s="4" t="n">
        <v>0.259854558654044</v>
      </c>
      <c r="I320" s="4" t="n">
        <f aca="false">(H320-H$344)/H$345</f>
        <v>-0.125506699478012</v>
      </c>
      <c r="J320" s="4" t="n">
        <v>0.208998869408213</v>
      </c>
      <c r="K320" s="4" t="n">
        <f aca="false">(J320-J$344)/J$345</f>
        <v>-0.286487599579227</v>
      </c>
    </row>
    <row r="321" customFormat="false" ht="14.25" hidden="false" customHeight="false" outlineLevel="0" collapsed="false">
      <c r="B321" s="4" t="n">
        <v>0.217701025622076</v>
      </c>
      <c r="C321" s="4" t="n">
        <f aca="false">(B321-B$344)/B$345</f>
        <v>-0.412425408997674</v>
      </c>
      <c r="D321" s="4" t="n">
        <v>0.228520854281357</v>
      </c>
      <c r="E321" s="4" t="n">
        <f aca="false">(D321-D$344)/D$345</f>
        <v>-0.497834612364599</v>
      </c>
      <c r="F321" s="4" t="n">
        <v>0.223758012441908</v>
      </c>
      <c r="G321" s="4" t="n">
        <f aca="false">(F321-F$344)/F$345</f>
        <v>-0.430641216215114</v>
      </c>
      <c r="H321" s="4" t="n">
        <v>0.317581422507338</v>
      </c>
      <c r="I321" s="4" t="n">
        <f aca="false">(H321-H$344)/H$345</f>
        <v>0.319689862729836</v>
      </c>
      <c r="J321" s="4" t="n">
        <v>0.257722582819404</v>
      </c>
      <c r="K321" s="4" t="n">
        <f aca="false">(J321-J$344)/J$345</f>
        <v>0.158968566285476</v>
      </c>
    </row>
    <row r="322" customFormat="false" ht="14.25" hidden="false" customHeight="false" outlineLevel="0" collapsed="false">
      <c r="B322" s="4" t="n">
        <v>0.253064623112181</v>
      </c>
      <c r="C322" s="4" t="n">
        <f aca="false">(B322-B$344)/B$345</f>
        <v>-0.112463453784116</v>
      </c>
      <c r="D322" s="4" t="n">
        <v>0.239618693852614</v>
      </c>
      <c r="E322" s="4" t="n">
        <f aca="false">(D322-D$344)/D$345</f>
        <v>-0.376358737336491</v>
      </c>
      <c r="F322" s="4" t="n">
        <v>0.257805185583811</v>
      </c>
      <c r="G322" s="4" t="n">
        <f aca="false">(F322-F$344)/F$345</f>
        <v>-0.125035703521679</v>
      </c>
      <c r="H322" s="4" t="n">
        <v>0.372550558723768</v>
      </c>
      <c r="I322" s="4" t="n">
        <f aca="false">(H322-H$344)/H$345</f>
        <v>0.743618495563279</v>
      </c>
      <c r="J322" s="4" t="n">
        <v>0.3045491339581</v>
      </c>
      <c r="K322" s="4" t="n">
        <f aca="false">(J322-J$344)/J$345</f>
        <v>0.587079941025656</v>
      </c>
    </row>
    <row r="323" customFormat="false" ht="14.25" hidden="false" customHeight="false" outlineLevel="0" collapsed="false">
      <c r="A323" s="0" t="s">
        <v>100</v>
      </c>
      <c r="B323" s="4" t="n">
        <v>0.143016253459017</v>
      </c>
      <c r="C323" s="4" t="n">
        <f aca="false">(B323-B$344)/B$345</f>
        <v>-1.04591837557096</v>
      </c>
      <c r="D323" s="4" t="n">
        <v>0.19161592366703</v>
      </c>
      <c r="E323" s="4" t="n">
        <f aca="false">(D323-D$344)/D$345</f>
        <v>-0.901792401666044</v>
      </c>
      <c r="F323" s="4" t="n">
        <v>0.151454438713882</v>
      </c>
      <c r="G323" s="4" t="n">
        <f aca="false">(F323-F$344)/F$345</f>
        <v>-1.07963403058554</v>
      </c>
      <c r="H323" s="4" t="n">
        <v>0.196762678184266</v>
      </c>
      <c r="I323" s="4" t="n">
        <f aca="false">(H323-H$344)/H$345</f>
        <v>-0.612078919298521</v>
      </c>
      <c r="J323" s="4" t="n">
        <v>0.152759361083718</v>
      </c>
      <c r="K323" s="4" t="n">
        <f aca="false">(J323-J$344)/J$345</f>
        <v>-0.800656861205993</v>
      </c>
    </row>
    <row r="324" customFormat="false" ht="14.25" hidden="false" customHeight="false" outlineLevel="0" collapsed="false">
      <c r="B324" s="4" t="n">
        <v>0.202198184958557</v>
      </c>
      <c r="C324" s="4" t="n">
        <f aca="false">(B324-B$344)/B$345</f>
        <v>-0.543923976079106</v>
      </c>
      <c r="D324" s="4" t="n">
        <v>0.240774974735015</v>
      </c>
      <c r="E324" s="4" t="n">
        <f aca="false">(D324-D$344)/D$345</f>
        <v>-0.36370219900161</v>
      </c>
      <c r="F324" s="4" t="n">
        <v>0.215905723621829</v>
      </c>
      <c r="G324" s="4" t="n">
        <f aca="false">(F324-F$344)/F$345</f>
        <v>-0.501122919370774</v>
      </c>
      <c r="H324" s="4" t="n">
        <v>0.278475158622063</v>
      </c>
      <c r="I324" s="4" t="n">
        <f aca="false">(H324-H$344)/H$345</f>
        <v>0.018097621606835</v>
      </c>
      <c r="J324" s="4" t="n">
        <v>0.21933091167458</v>
      </c>
      <c r="K324" s="4" t="n">
        <f aca="false">(J324-J$344)/J$345</f>
        <v>-0.192026984586961</v>
      </c>
    </row>
    <row r="325" customFormat="false" ht="14.25" hidden="false" customHeight="false" outlineLevel="0" collapsed="false">
      <c r="B325" s="4" t="n">
        <v>0.259730572527382</v>
      </c>
      <c r="C325" s="4" t="n">
        <f aca="false">(B325-B$344)/B$345</f>
        <v>-0.0559213776987294</v>
      </c>
      <c r="D325" s="4" t="n">
        <v>0.284208377885445</v>
      </c>
      <c r="E325" s="4" t="n">
        <f aca="false">(D325-D$344)/D$345</f>
        <v>0.111715617166149</v>
      </c>
      <c r="F325" s="4" t="n">
        <v>0.271532175156631</v>
      </c>
      <c r="G325" s="4" t="n">
        <f aca="false">(F325-F$344)/F$345</f>
        <v>-0.00182301656365227</v>
      </c>
      <c r="H325" s="4" t="n">
        <v>0.354716904882546</v>
      </c>
      <c r="I325" s="4" t="n">
        <f aca="false">(H325-H$344)/H$345</f>
        <v>0.606083198272677</v>
      </c>
      <c r="J325" s="4" t="n">
        <v>0.281761508554332</v>
      </c>
      <c r="K325" s="4" t="n">
        <f aca="false">(J325-J$344)/J$345</f>
        <v>0.378744255363566</v>
      </c>
    </row>
    <row r="326" customFormat="false" ht="14.25" hidden="false" customHeight="false" outlineLevel="0" collapsed="false">
      <c r="B326" s="4" t="n">
        <v>0.300825135076543</v>
      </c>
      <c r="C326" s="4" t="n">
        <f aca="false">(B326-B$344)/B$345</f>
        <v>0.292651906858684</v>
      </c>
      <c r="D326" s="4" t="n">
        <v>0.284208377885445</v>
      </c>
      <c r="E326" s="4" t="n">
        <f aca="false">(D326-D$344)/D$345</f>
        <v>0.111715617166149</v>
      </c>
      <c r="F326" s="4" t="n">
        <v>0.310562152878114</v>
      </c>
      <c r="G326" s="4" t="n">
        <f aca="false">(F326-F$344)/F$345</f>
        <v>0.34850787000582</v>
      </c>
      <c r="H326" s="4" t="n">
        <v>0.411443463363295</v>
      </c>
      <c r="I326" s="4" t="n">
        <f aca="false">(H326-H$344)/H$345</f>
        <v>1.0435652843547</v>
      </c>
      <c r="J326" s="4" t="n">
        <v>0.328384365374687</v>
      </c>
      <c r="K326" s="4" t="n">
        <f aca="false">(J326-J$344)/J$345</f>
        <v>0.804993356403646</v>
      </c>
    </row>
    <row r="327" customFormat="false" ht="14.25" hidden="false" customHeight="false" outlineLevel="0" collapsed="false">
      <c r="B327" s="4" t="n">
        <v>0.310289500119843</v>
      </c>
      <c r="C327" s="4" t="n">
        <f aca="false">(B327-B$344)/B$345</f>
        <v>0.372930771135365</v>
      </c>
      <c r="D327" s="4" t="n">
        <v>0.284208377885445</v>
      </c>
      <c r="E327" s="4" t="n">
        <f aca="false">(D327-D$344)/D$345</f>
        <v>0.111715617166149</v>
      </c>
      <c r="F327" s="4" t="n">
        <v>0.319475021846742</v>
      </c>
      <c r="G327" s="4" t="n">
        <f aca="false">(F327-F$344)/F$345</f>
        <v>0.42850928097097</v>
      </c>
      <c r="H327" s="4" t="n">
        <v>0.424775770365042</v>
      </c>
      <c r="I327" s="4" t="n">
        <f aca="false">(H327-H$344)/H$345</f>
        <v>1.14638564990516</v>
      </c>
      <c r="J327" s="4" t="n">
        <v>0.339361550301475</v>
      </c>
      <c r="K327" s="4" t="n">
        <f aca="false">(J327-J$344)/J$345</f>
        <v>0.905352183084364</v>
      </c>
    </row>
    <row r="328" customFormat="false" ht="14.25" hidden="false" customHeight="false" outlineLevel="0" collapsed="false">
      <c r="A328" s="0" t="s">
        <v>101</v>
      </c>
      <c r="B328" s="4" t="n">
        <v>0.133769063769031</v>
      </c>
      <c r="C328" s="4" t="n">
        <f aca="false">(B328-B$344)/B$345</f>
        <v>-1.12435510985443</v>
      </c>
      <c r="D328" s="4" t="n">
        <v>0.188729205409694</v>
      </c>
      <c r="E328" s="4" t="n">
        <f aca="false">(D328-D$344)/D$345</f>
        <v>-0.933390139587728</v>
      </c>
      <c r="F328" s="4" t="n">
        <v>0.142553640101421</v>
      </c>
      <c r="G328" s="4" t="n">
        <f aca="false">(F328-F$344)/F$345</f>
        <v>-1.15952709871207</v>
      </c>
      <c r="H328" s="4" t="n">
        <v>0.180272496497504</v>
      </c>
      <c r="I328" s="4" t="n">
        <f aca="false">(H328-H$344)/H$345</f>
        <v>-0.739253196698839</v>
      </c>
      <c r="J328" s="4" t="n">
        <v>0.139991827923453</v>
      </c>
      <c r="K328" s="4" t="n">
        <f aca="false">(J328-J$344)/J$345</f>
        <v>-0.917383932501335</v>
      </c>
    </row>
    <row r="329" customFormat="false" ht="14.25" hidden="false" customHeight="false" outlineLevel="0" collapsed="false">
      <c r="B329" s="4" t="n">
        <v>0.193179679982976</v>
      </c>
      <c r="C329" s="4" t="n">
        <f aca="false">(B329-B$344)/B$345</f>
        <v>-0.620420955390538</v>
      </c>
      <c r="D329" s="4" t="n">
        <v>0.2372037214349</v>
      </c>
      <c r="E329" s="4" t="n">
        <f aca="false">(D329-D$344)/D$345</f>
        <v>-0.402792791075233</v>
      </c>
      <c r="F329" s="4" t="n">
        <v>0.207982061009712</v>
      </c>
      <c r="G329" s="4" t="n">
        <f aca="false">(F329-F$344)/F$345</f>
        <v>-0.572245269672611</v>
      </c>
      <c r="H329" s="4" t="n">
        <v>0.25880299300729</v>
      </c>
      <c r="I329" s="4" t="n">
        <f aca="false">(H329-H$344)/H$345</f>
        <v>-0.133616501043893</v>
      </c>
      <c r="J329" s="4" t="n">
        <v>0.204768410737982</v>
      </c>
      <c r="K329" s="4" t="n">
        <f aca="false">(J329-J$344)/J$345</f>
        <v>-0.325164534631091</v>
      </c>
    </row>
    <row r="330" customFormat="false" ht="14.25" hidden="false" customHeight="false" outlineLevel="0" collapsed="false">
      <c r="B330" s="4" t="n">
        <v>0.251560722726978</v>
      </c>
      <c r="C330" s="4" t="n">
        <f aca="false">(B330-B$344)/B$345</f>
        <v>-0.125219873718996</v>
      </c>
      <c r="D330" s="4" t="n">
        <v>0.275521082842547</v>
      </c>
      <c r="E330" s="4" t="n">
        <f aca="false">(D330-D$344)/D$345</f>
        <v>0.0166253286295801</v>
      </c>
      <c r="F330" s="4" t="n">
        <v>0.264335719135993</v>
      </c>
      <c r="G330" s="4" t="n">
        <f aca="false">(F330-F$344)/F$345</f>
        <v>-0.0664180013688904</v>
      </c>
      <c r="H330" s="4" t="n">
        <v>0.331730427377573</v>
      </c>
      <c r="I330" s="4" t="n">
        <f aca="false">(H330-H$344)/H$345</f>
        <v>0.428808701108082</v>
      </c>
      <c r="J330" s="4" t="n">
        <v>0.265359155396423</v>
      </c>
      <c r="K330" s="4" t="n">
        <f aca="false">(J330-J$344)/J$345</f>
        <v>0.228785870886183</v>
      </c>
    </row>
    <row r="331" customFormat="false" ht="14.25" hidden="false" customHeight="false" outlineLevel="0" collapsed="false">
      <c r="B331" s="4" t="n">
        <v>0.293261467544122</v>
      </c>
      <c r="C331" s="4" t="n">
        <f aca="false">(B331-B$344)/B$345</f>
        <v>0.228495184617821</v>
      </c>
      <c r="D331" s="4" t="n">
        <v>0.275521082842547</v>
      </c>
      <c r="E331" s="4" t="n">
        <f aca="false">(D331-D$344)/D$345</f>
        <v>0.0166253286295801</v>
      </c>
      <c r="F331" s="4" t="n">
        <v>0.303815737138803</v>
      </c>
      <c r="G331" s="4" t="n">
        <f aca="false">(F331-F$344)/F$345</f>
        <v>0.287952421473804</v>
      </c>
      <c r="H331" s="4" t="n">
        <v>0.385802775762235</v>
      </c>
      <c r="I331" s="4" t="n">
        <f aca="false">(H331-H$344)/H$345</f>
        <v>0.845821197621572</v>
      </c>
      <c r="J331" s="4" t="n">
        <v>0.310523129744312</v>
      </c>
      <c r="K331" s="4" t="n">
        <f aca="false">(J331-J$344)/J$345</f>
        <v>0.641697150419356</v>
      </c>
    </row>
    <row r="332" customFormat="false" ht="14.25" hidden="false" customHeight="false" outlineLevel="0" collapsed="false">
      <c r="B332" s="4" t="n">
        <v>0.30415383429539</v>
      </c>
      <c r="C332" s="4" t="n">
        <f aca="false">(B332-B$344)/B$345</f>
        <v>0.320886679248074</v>
      </c>
      <c r="D332" s="4" t="n">
        <v>0.275521082842547</v>
      </c>
      <c r="E332" s="4" t="n">
        <f aca="false">(D332-D$344)/D$345</f>
        <v>0.0166253286295801</v>
      </c>
      <c r="F332" s="4" t="n">
        <v>0.314031027493412</v>
      </c>
      <c r="G332" s="4" t="n">
        <f aca="false">(F332-F$344)/F$345</f>
        <v>0.379644293604306</v>
      </c>
      <c r="H332" s="4" t="n">
        <v>0.400198606270228</v>
      </c>
      <c r="I332" s="4" t="n">
        <f aca="false">(H332-H$344)/H$345</f>
        <v>0.956843585197883</v>
      </c>
      <c r="J332" s="4" t="n">
        <v>0.322578825346337</v>
      </c>
      <c r="K332" s="4" t="n">
        <f aca="false">(J332-J$344)/J$345</f>
        <v>0.751916252448574</v>
      </c>
    </row>
    <row r="333" customFormat="false" ht="14.25" hidden="false" customHeight="false" outlineLevel="0" collapsed="false">
      <c r="A333" s="0" t="s">
        <v>102</v>
      </c>
      <c r="B333" s="4" t="n">
        <v>0.148598812442692</v>
      </c>
      <c r="C333" s="4" t="n">
        <f aca="false">(B333-B$344)/B$345</f>
        <v>-0.998565859800848</v>
      </c>
      <c r="D333" s="4" t="n">
        <v>0.171906856444097</v>
      </c>
      <c r="E333" s="4" t="n">
        <f aca="false">(D333-D$344)/D$345</f>
        <v>-1.11752593894789</v>
      </c>
      <c r="F333" s="4" t="n">
        <v>0.155206054129147</v>
      </c>
      <c r="G333" s="4" t="n">
        <f aca="false">(F333-F$344)/F$345</f>
        <v>-1.04595974145639</v>
      </c>
      <c r="H333" s="4" t="n">
        <v>0.212049544022596</v>
      </c>
      <c r="I333" s="4" t="n">
        <f aca="false">(H333-H$344)/H$345</f>
        <v>-0.494184759389667</v>
      </c>
      <c r="J333" s="4" t="n">
        <v>0.170008089642177</v>
      </c>
      <c r="K333" s="4" t="n">
        <f aca="false">(J333-J$344)/J$345</f>
        <v>-0.642960496299463</v>
      </c>
    </row>
    <row r="334" customFormat="false" ht="14.25" hidden="false" customHeight="false" outlineLevel="0" collapsed="false">
      <c r="B334" s="4" t="n">
        <v>0.192647878510865</v>
      </c>
      <c r="C334" s="4" t="n">
        <f aca="false">(B334-B$344)/B$345</f>
        <v>-0.624931814598365</v>
      </c>
      <c r="D334" s="4" t="n">
        <v>0.209394860671399</v>
      </c>
      <c r="E334" s="4" t="n">
        <f aca="false">(D334-D$344)/D$345</f>
        <v>-0.707185882459467</v>
      </c>
      <c r="F334" s="4" t="n">
        <v>0.199838677680373</v>
      </c>
      <c r="G334" s="4" t="n">
        <f aca="false">(F334-F$344)/F$345</f>
        <v>-0.645339820784086</v>
      </c>
      <c r="H334" s="4" t="n">
        <v>0.275472733880428</v>
      </c>
      <c r="I334" s="4" t="n">
        <f aca="false">(H334-H$344)/H$345</f>
        <v>-0.00505744146156128</v>
      </c>
      <c r="J334" s="4" t="n">
        <v>0.223310978008039</v>
      </c>
      <c r="K334" s="4" t="n">
        <f aca="false">(J334-J$344)/J$345</f>
        <v>-0.155639259500674</v>
      </c>
    </row>
    <row r="335" customFormat="false" ht="14.25" hidden="false" customHeight="false" outlineLevel="0" collapsed="false">
      <c r="B335" s="4" t="n">
        <v>0.227492103194791</v>
      </c>
      <c r="C335" s="4" t="n">
        <f aca="false">(B335-B$344)/B$345</f>
        <v>-0.329375295864214</v>
      </c>
      <c r="D335" s="4" t="n">
        <v>0.238555549406339</v>
      </c>
      <c r="E335" s="4" t="n">
        <f aca="false">(D335-D$344)/D$345</f>
        <v>-0.38799581327936</v>
      </c>
      <c r="F335" s="4" t="n">
        <v>0.233750979086753</v>
      </c>
      <c r="G335" s="4" t="n">
        <f aca="false">(F335-F$344)/F$345</f>
        <v>-0.340944909209003</v>
      </c>
      <c r="H335" s="4" t="n">
        <v>0.326560444320058</v>
      </c>
      <c r="I335" s="4" t="n">
        <f aca="false">(H335-H$344)/H$345</f>
        <v>0.38893716591213</v>
      </c>
      <c r="J335" s="4" t="n">
        <v>0.266683909971871</v>
      </c>
      <c r="K335" s="4" t="n">
        <f aca="false">(J335-J$344)/J$345</f>
        <v>0.240897429151672</v>
      </c>
    </row>
    <row r="336" customFormat="false" ht="14.25" hidden="false" customHeight="false" outlineLevel="0" collapsed="false">
      <c r="B336" s="4" t="n">
        <v>0.261533601103957</v>
      </c>
      <c r="C336" s="4" t="n">
        <f aca="false">(B336-B$344)/B$345</f>
        <v>-0.0406276854411279</v>
      </c>
      <c r="D336" s="4" t="n">
        <v>0.247400034312454</v>
      </c>
      <c r="E336" s="4" t="n">
        <f aca="false">(D336-D$344)/D$345</f>
        <v>-0.291184939753508</v>
      </c>
      <c r="F336" s="4" t="n">
        <v>0.266496635289188</v>
      </c>
      <c r="G336" s="4" t="n">
        <f aca="false">(F336-F$344)/F$345</f>
        <v>-0.0470217394198574</v>
      </c>
      <c r="H336" s="4" t="n">
        <v>0.378289047399027</v>
      </c>
      <c r="I336" s="4" t="n">
        <f aca="false">(H336-H$344)/H$345</f>
        <v>0.78787441490417</v>
      </c>
      <c r="J336" s="4" t="n">
        <v>0.310953107553618</v>
      </c>
      <c r="K336" s="4" t="n">
        <f aca="false">(J336-J$344)/J$345</f>
        <v>0.645628219152232</v>
      </c>
    </row>
    <row r="337" customFormat="false" ht="14.25" hidden="false" customHeight="false" outlineLevel="0" collapsed="false">
      <c r="A337" s="0" t="s">
        <v>103</v>
      </c>
      <c r="B337" s="4" t="n">
        <v>0.192647878510865</v>
      </c>
      <c r="C337" s="4" t="n">
        <f aca="false">(B337-B$344)/B$345</f>
        <v>-0.624931814598365</v>
      </c>
      <c r="D337" s="4" t="n">
        <v>0.209394860671399</v>
      </c>
      <c r="E337" s="4" t="n">
        <f aca="false">(D337-D$344)/D$345</f>
        <v>-0.707185882459467</v>
      </c>
      <c r="F337" s="4" t="n">
        <v>0.199838677680373</v>
      </c>
      <c r="G337" s="4" t="n">
        <f aca="false">(F337-F$344)/F$345</f>
        <v>-0.645339820784086</v>
      </c>
      <c r="H337" s="4" t="n">
        <v>0.275472733880428</v>
      </c>
      <c r="I337" s="4" t="n">
        <f aca="false">(H337-H$344)/H$345</f>
        <v>-0.00505744146156128</v>
      </c>
      <c r="J337" s="4" t="n">
        <v>0.223310978008039</v>
      </c>
      <c r="K337" s="4" t="n">
        <f aca="false">(J337-J$344)/J$345</f>
        <v>-0.155639259500674</v>
      </c>
    </row>
    <row r="338" customFormat="false" ht="14.25" hidden="false" customHeight="false" outlineLevel="0" collapsed="false">
      <c r="B338" s="4" t="n">
        <v>0.227492103194791</v>
      </c>
      <c r="C338" s="4" t="n">
        <f aca="false">(B338-B$344)/B$345</f>
        <v>-0.329375295864214</v>
      </c>
      <c r="D338" s="4" t="n">
        <v>0.238555549406339</v>
      </c>
      <c r="E338" s="4" t="n">
        <f aca="false">(D338-D$344)/D$345</f>
        <v>-0.38799581327936</v>
      </c>
      <c r="F338" s="4" t="n">
        <v>0.233750979086753</v>
      </c>
      <c r="G338" s="4" t="n">
        <f aca="false">(F338-F$344)/F$345</f>
        <v>-0.340944909209003</v>
      </c>
      <c r="H338" s="4" t="n">
        <v>0.326560444320058</v>
      </c>
      <c r="I338" s="4" t="n">
        <f aca="false">(H338-H$344)/H$345</f>
        <v>0.38893716591213</v>
      </c>
      <c r="J338" s="4" t="n">
        <v>0.266683909971871</v>
      </c>
      <c r="K338" s="4" t="n">
        <f aca="false">(J338-J$344)/J$345</f>
        <v>0.240897429151672</v>
      </c>
    </row>
    <row r="339" customFormat="false" ht="14.25" hidden="false" customHeight="false" outlineLevel="0" collapsed="false">
      <c r="B339" s="4" t="n">
        <v>0.261533601103957</v>
      </c>
      <c r="C339" s="4" t="n">
        <f aca="false">(B339-B$344)/B$345</f>
        <v>-0.0406276854411279</v>
      </c>
      <c r="D339" s="4" t="n">
        <v>0.247400034312454</v>
      </c>
      <c r="E339" s="4" t="n">
        <f aca="false">(D339-D$344)/D$345</f>
        <v>-0.291184939753508</v>
      </c>
      <c r="F339" s="4" t="n">
        <v>0.266496635289188</v>
      </c>
      <c r="G339" s="4" t="n">
        <f aca="false">(F339-F$344)/F$345</f>
        <v>-0.0470217394198574</v>
      </c>
      <c r="H339" s="4" t="n">
        <v>0.378289047399027</v>
      </c>
      <c r="I339" s="4" t="n">
        <f aca="false">(H339-H$344)/H$345</f>
        <v>0.78787441490417</v>
      </c>
      <c r="J339" s="4" t="n">
        <v>0.310953107553618</v>
      </c>
      <c r="K339" s="4" t="n">
        <f aca="false">(J339-J$344)/J$345</f>
        <v>0.645628219152232</v>
      </c>
    </row>
    <row r="340" customFormat="false" ht="14.25" hidden="false" customHeight="false" outlineLevel="0" collapsed="false">
      <c r="A340" s="0" t="s">
        <v>104</v>
      </c>
      <c r="B340" s="4" t="n">
        <v>0.150622088413142</v>
      </c>
      <c r="C340" s="4" t="n">
        <f aca="false">(B340-B$344)/B$345</f>
        <v>-0.981403979813879</v>
      </c>
      <c r="D340" s="4" t="n">
        <v>0.165330751827893</v>
      </c>
      <c r="E340" s="4" t="n">
        <f aca="false">(D340-D$344)/D$345</f>
        <v>-1.18950734194083</v>
      </c>
      <c r="F340" s="4" t="n">
        <v>0.155387407000178</v>
      </c>
      <c r="G340" s="4" t="n">
        <f aca="false">(F340-F$344)/F$345</f>
        <v>-1.04433192827793</v>
      </c>
      <c r="H340" s="4" t="n">
        <v>0.253458084206985</v>
      </c>
      <c r="I340" s="4" t="n">
        <f aca="false">(H340-H$344)/H$345</f>
        <v>-0.174837084744014</v>
      </c>
      <c r="J340" s="4" t="n">
        <v>0.18223313375248</v>
      </c>
      <c r="K340" s="4" t="n">
        <f aca="false">(J340-J$344)/J$345</f>
        <v>-0.531193126867977</v>
      </c>
    </row>
    <row r="341" customFormat="false" ht="14.25" hidden="false" customHeight="false" outlineLevel="0" collapsed="false">
      <c r="A341" s="0" t="s">
        <v>105</v>
      </c>
      <c r="B341" s="4" t="n">
        <v>0.108061002295251</v>
      </c>
      <c r="C341" s="4" t="n">
        <f aca="false">(B341-B$344)/B$345</f>
        <v>-1.34241664577659</v>
      </c>
      <c r="D341" s="4" t="n">
        <v>0.125892390167046</v>
      </c>
      <c r="E341" s="4" t="n">
        <f aca="false">(D341-D$344)/D$345</f>
        <v>-1.62119582163688</v>
      </c>
      <c r="F341" s="4" t="n">
        <v>0.108061002295251</v>
      </c>
      <c r="G341" s="4" t="n">
        <f aca="false">(F341-F$344)/F$345</f>
        <v>-1.46913107719715</v>
      </c>
      <c r="H341" s="4" t="n">
        <v>0.170127796558569</v>
      </c>
      <c r="I341" s="4" t="n">
        <f aca="false">(H341-H$344)/H$345</f>
        <v>-0.817490350702597</v>
      </c>
      <c r="J341" s="4" t="n">
        <v>0.122578511020668</v>
      </c>
      <c r="K341" s="4" t="n">
        <f aca="false">(J341-J$344)/J$345</f>
        <v>-1.07658504504873</v>
      </c>
    </row>
    <row r="342" customFormat="false" ht="14.25" hidden="false" customHeight="false" outlineLevel="0" collapsed="false">
      <c r="B342" s="4" t="n">
        <v>0.147805128211685</v>
      </c>
      <c r="C342" s="4" t="n">
        <f aca="false">(B342-B$344)/B$345</f>
        <v>-1.0052980672303</v>
      </c>
      <c r="D342" s="4" t="n">
        <v>0.163974396006474</v>
      </c>
      <c r="E342" s="4" t="n">
        <f aca="false">(D342-D$344)/D$345</f>
        <v>-1.20435388114322</v>
      </c>
      <c r="F342" s="4" t="n">
        <v>0.152754828445563</v>
      </c>
      <c r="G342" s="4" t="n">
        <f aca="false">(F342-F$344)/F$345</f>
        <v>-1.067961805435</v>
      </c>
      <c r="H342" s="4" t="n">
        <v>0.242783253449533</v>
      </c>
      <c r="I342" s="4" t="n">
        <f aca="false">(H342-H$344)/H$345</f>
        <v>-0.257162671795577</v>
      </c>
      <c r="J342" s="4" t="n">
        <v>0.176480365562128</v>
      </c>
      <c r="K342" s="4" t="n">
        <f aca="false">(J342-J$344)/J$345</f>
        <v>-0.583787764710049</v>
      </c>
    </row>
    <row r="344" customFormat="false" ht="14.25" hidden="false" customHeight="false" outlineLevel="0" collapsed="false">
      <c r="A344" s="42" t="s">
        <v>149</v>
      </c>
      <c r="B344" s="12" t="n">
        <f aca="false">AVERAGE(B2:B342)</f>
        <v>0.266323345569623</v>
      </c>
      <c r="C344" s="12"/>
      <c r="D344" s="12" t="n">
        <f aca="false">AVERAGE(D2:D342)</f>
        <v>0.274002219694553</v>
      </c>
      <c r="E344" s="12"/>
      <c r="F344" s="12" t="n">
        <f aca="false">AVERAGE(F2:F342)</f>
        <v>0.271735275421532</v>
      </c>
      <c r="G344" s="12"/>
      <c r="H344" s="12" t="n">
        <f aca="false">AVERAGE(H2:H342)</f>
        <v>0.276128512157892</v>
      </c>
      <c r="I344" s="12"/>
      <c r="J344" s="12" t="n">
        <f aca="false">AVERAGE(J2:J342)</f>
        <v>0.240334701679525</v>
      </c>
      <c r="K344" s="42"/>
    </row>
    <row r="345" customFormat="false" ht="14.25" hidden="false" customHeight="false" outlineLevel="0" collapsed="false">
      <c r="A345" s="42" t="s">
        <v>150</v>
      </c>
      <c r="B345" s="12" t="n">
        <f aca="false">_xlfn.STDEV.S(B2:B342)</f>
        <v>0.117893609090952</v>
      </c>
      <c r="C345" s="12"/>
      <c r="D345" s="12" t="n">
        <f aca="false">_xlfn.STDEV.S(D2:D342)</f>
        <v>0.0913583834542365</v>
      </c>
      <c r="E345" s="12"/>
      <c r="F345" s="12" t="n">
        <f aca="false">_xlfn.STDEV.S(F2:F342)</f>
        <v>0.11140889718196</v>
      </c>
      <c r="G345" s="12"/>
      <c r="H345" s="12" t="n">
        <f aca="false">_xlfn.STDEV.S(H2:H342)</f>
        <v>0.12966601441622</v>
      </c>
      <c r="I345" s="12"/>
      <c r="J345" s="12" t="n">
        <f aca="false">_xlfn.STDEV.S(J2:J342)</f>
        <v>0.109379366916181</v>
      </c>
      <c r="K345" s="4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6" activeCellId="0" sqref="E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2.89"/>
    <col collapsed="false" customWidth="true" hidden="false" outlineLevel="0" max="2" min="2" style="2" width="24.78"/>
    <col collapsed="false" customWidth="true" hidden="false" outlineLevel="0" max="3" min="3" style="3" width="24.78"/>
    <col collapsed="false" customWidth="true" hidden="false" outlineLevel="0" max="4" min="4" style="3" width="29.66"/>
    <col collapsed="false" customWidth="true" hidden="false" outlineLevel="0" max="5" min="5" style="2" width="29.33"/>
    <col collapsed="false" customWidth="true" hidden="false" outlineLevel="0" max="6" min="6" style="4" width="36.78"/>
    <col collapsed="false" customWidth="true" hidden="false" outlineLevel="0" max="7" min="7" style="2" width="16.45"/>
    <col collapsed="false" customWidth="true" hidden="false" outlineLevel="0" max="8" min="8" style="2" width="44.55"/>
    <col collapsed="false" customWidth="true" hidden="false" outlineLevel="0" max="9" min="9" style="2" width="20.45"/>
    <col collapsed="false" customWidth="true" hidden="false" outlineLevel="0" max="10" min="10" style="2" width="19.78"/>
    <col collapsed="false" customWidth="true" hidden="false" outlineLevel="0" max="11" min="11" style="3" width="29.78"/>
    <col collapsed="false" customWidth="true" hidden="false" outlineLevel="0" max="12" min="12" style="12" width="33.89"/>
    <col collapsed="false" customWidth="true" hidden="false" outlineLevel="0" max="13" min="13" style="12" width="22.67"/>
    <col collapsed="false" customWidth="true" hidden="false" outlineLevel="0" max="14" min="14" style="4" width="17.22"/>
  </cols>
  <sheetData>
    <row r="1" customFormat="false" ht="16.4" hidden="false" customHeight="false" outlineLevel="0" collapsed="false">
      <c r="A1" s="1" t="s">
        <v>8</v>
      </c>
      <c r="B1" s="2" t="s">
        <v>11</v>
      </c>
      <c r="C1" s="3" t="s">
        <v>12</v>
      </c>
      <c r="D1" s="3" t="s">
        <v>13</v>
      </c>
      <c r="E1" s="2" t="s">
        <v>14</v>
      </c>
      <c r="F1" s="4" t="s">
        <v>15</v>
      </c>
      <c r="G1" s="2" t="s">
        <v>16</v>
      </c>
      <c r="H1" s="2" t="s">
        <v>17</v>
      </c>
      <c r="I1" s="1" t="s">
        <v>119</v>
      </c>
      <c r="J1" s="18" t="s">
        <v>120</v>
      </c>
      <c r="K1" s="19" t="s">
        <v>121</v>
      </c>
      <c r="L1" s="12" t="s">
        <v>175</v>
      </c>
      <c r="M1" s="12" t="s">
        <v>124</v>
      </c>
      <c r="N1" s="4" t="s">
        <v>176</v>
      </c>
    </row>
    <row r="2" customFormat="false" ht="14.25" hidden="false" customHeight="false" outlineLevel="0" collapsed="false">
      <c r="A2" s="1" t="s">
        <v>22</v>
      </c>
      <c r="B2" s="2" t="n">
        <v>20</v>
      </c>
      <c r="C2" s="3" t="n">
        <v>500</v>
      </c>
      <c r="D2" s="3" t="n">
        <v>2</v>
      </c>
      <c r="E2" s="2" t="n">
        <v>126</v>
      </c>
      <c r="F2" s="4" t="n">
        <v>4.12034052390144</v>
      </c>
      <c r="G2" s="2" t="n">
        <v>25</v>
      </c>
      <c r="H2" s="2" t="n">
        <v>39</v>
      </c>
      <c r="I2" s="1" t="n">
        <v>216</v>
      </c>
      <c r="J2" s="2" t="n">
        <v>201</v>
      </c>
      <c r="K2" s="3" t="n">
        <v>628</v>
      </c>
      <c r="L2" s="12" t="n">
        <v>0.0212996879663546</v>
      </c>
      <c r="M2" s="4" t="n">
        <v>20.8</v>
      </c>
      <c r="N2" s="4" t="n">
        <v>0.16</v>
      </c>
    </row>
    <row r="3" customFormat="false" ht="14.25" hidden="false" customHeight="false" outlineLevel="0" collapsed="false">
      <c r="B3" s="2" t="n">
        <v>20</v>
      </c>
      <c r="C3" s="3" t="n">
        <v>500</v>
      </c>
      <c r="D3" s="3" t="n">
        <v>2</v>
      </c>
      <c r="E3" s="2" t="n">
        <v>126</v>
      </c>
      <c r="F3" s="4" t="n">
        <v>4.12034052390144</v>
      </c>
      <c r="G3" s="2" t="n">
        <v>25</v>
      </c>
      <c r="H3" s="2" t="n">
        <v>39</v>
      </c>
      <c r="I3" s="1" t="n">
        <v>216</v>
      </c>
      <c r="J3" s="2" t="n">
        <v>201</v>
      </c>
      <c r="K3" s="3" t="n">
        <v>628</v>
      </c>
      <c r="L3" s="12" t="n">
        <v>0.0212996879663546</v>
      </c>
      <c r="M3" s="4" t="n">
        <v>27.3</v>
      </c>
      <c r="N3" s="4" t="n">
        <v>0.23</v>
      </c>
    </row>
    <row r="4" customFormat="false" ht="14.25" hidden="false" customHeight="false" outlineLevel="0" collapsed="false">
      <c r="B4" s="2" t="n">
        <v>20</v>
      </c>
      <c r="C4" s="3" t="n">
        <v>500</v>
      </c>
      <c r="D4" s="3" t="n">
        <v>2</v>
      </c>
      <c r="E4" s="2" t="n">
        <v>126</v>
      </c>
      <c r="F4" s="4" t="n">
        <v>4.12034052390144</v>
      </c>
      <c r="G4" s="2" t="n">
        <v>25</v>
      </c>
      <c r="H4" s="2" t="n">
        <v>39</v>
      </c>
      <c r="I4" s="1" t="n">
        <v>216</v>
      </c>
      <c r="J4" s="2" t="n">
        <v>201</v>
      </c>
      <c r="K4" s="3" t="n">
        <v>628</v>
      </c>
      <c r="L4" s="12" t="n">
        <v>0.0212996879663546</v>
      </c>
      <c r="M4" s="4" t="n">
        <v>28.2</v>
      </c>
      <c r="N4" s="4" t="n">
        <v>0.24</v>
      </c>
    </row>
    <row r="5" customFormat="false" ht="14.25" hidden="false" customHeight="false" outlineLevel="0" collapsed="false">
      <c r="B5" s="2" t="n">
        <v>20</v>
      </c>
      <c r="C5" s="3" t="n">
        <v>500</v>
      </c>
      <c r="D5" s="3" t="n">
        <v>2</v>
      </c>
      <c r="E5" s="2" t="n">
        <v>126</v>
      </c>
      <c r="F5" s="4" t="n">
        <v>4.12034052390144</v>
      </c>
      <c r="G5" s="2" t="n">
        <v>25</v>
      </c>
      <c r="H5" s="2" t="n">
        <v>39</v>
      </c>
      <c r="I5" s="1" t="n">
        <v>216</v>
      </c>
      <c r="J5" s="2" t="n">
        <v>201</v>
      </c>
      <c r="K5" s="3" t="n">
        <v>628</v>
      </c>
      <c r="L5" s="12" t="n">
        <v>0.0212996879663546</v>
      </c>
      <c r="M5" s="4" t="n">
        <v>32.6</v>
      </c>
      <c r="N5" s="4" t="n">
        <v>0.27</v>
      </c>
    </row>
    <row r="6" customFormat="false" ht="14.25" hidden="false" customHeight="false" outlineLevel="0" collapsed="false">
      <c r="B6" s="2" t="n">
        <v>20</v>
      </c>
      <c r="C6" s="3" t="n">
        <v>500</v>
      </c>
      <c r="D6" s="3" t="n">
        <v>2</v>
      </c>
      <c r="E6" s="2" t="n">
        <v>126</v>
      </c>
      <c r="F6" s="4" t="n">
        <v>4.12034052390144</v>
      </c>
      <c r="G6" s="2" t="n">
        <v>25</v>
      </c>
      <c r="H6" s="2" t="n">
        <v>39</v>
      </c>
      <c r="I6" s="1" t="n">
        <v>216</v>
      </c>
      <c r="J6" s="2" t="n">
        <v>201</v>
      </c>
      <c r="K6" s="3" t="n">
        <v>628</v>
      </c>
      <c r="L6" s="12" t="n">
        <v>0.0212996879663546</v>
      </c>
      <c r="M6" s="4" t="n">
        <v>41.2</v>
      </c>
      <c r="N6" s="4" t="n">
        <v>0.35</v>
      </c>
    </row>
    <row r="7" customFormat="false" ht="14.25" hidden="false" customHeight="false" outlineLevel="0" collapsed="false">
      <c r="B7" s="2" t="n">
        <v>20</v>
      </c>
      <c r="C7" s="3" t="n">
        <v>500</v>
      </c>
      <c r="D7" s="3" t="n">
        <v>2</v>
      </c>
      <c r="E7" s="2" t="n">
        <v>126</v>
      </c>
      <c r="F7" s="4" t="n">
        <v>4.12034052390144</v>
      </c>
      <c r="G7" s="2" t="n">
        <v>25</v>
      </c>
      <c r="H7" s="2" t="n">
        <v>39</v>
      </c>
      <c r="I7" s="1" t="n">
        <v>216</v>
      </c>
      <c r="J7" s="2" t="n">
        <v>201</v>
      </c>
      <c r="K7" s="3" t="n">
        <v>628</v>
      </c>
      <c r="L7" s="12" t="n">
        <v>0.0212996879663546</v>
      </c>
      <c r="M7" s="4" t="n">
        <v>44.9</v>
      </c>
      <c r="N7" s="4" t="n">
        <v>0.4</v>
      </c>
    </row>
    <row r="8" customFormat="false" ht="14.25" hidden="false" customHeight="false" outlineLevel="0" collapsed="false">
      <c r="A8" s="1" t="s">
        <v>23</v>
      </c>
      <c r="B8" s="2" t="n">
        <v>10</v>
      </c>
      <c r="C8" s="3" t="n">
        <v>500</v>
      </c>
      <c r="D8" s="3" t="n">
        <v>8</v>
      </c>
      <c r="E8" s="2" t="n">
        <v>87.7</v>
      </c>
      <c r="F8" s="4" t="n">
        <v>4.13112676332901</v>
      </c>
      <c r="G8" s="2" t="n">
        <v>25</v>
      </c>
      <c r="H8" s="2" t="n">
        <v>53</v>
      </c>
      <c r="I8" s="1" t="n">
        <v>308</v>
      </c>
      <c r="J8" s="2" t="n">
        <v>604</v>
      </c>
      <c r="K8" s="3" t="n">
        <v>628</v>
      </c>
      <c r="L8" s="12" t="n">
        <v>0.0144607165883762</v>
      </c>
      <c r="M8" s="4" t="n">
        <v>105</v>
      </c>
      <c r="N8" s="4" t="n">
        <v>0.16</v>
      </c>
    </row>
    <row r="9" customFormat="false" ht="14.25" hidden="false" customHeight="false" outlineLevel="0" collapsed="false">
      <c r="B9" s="2" t="n">
        <v>10</v>
      </c>
      <c r="C9" s="3" t="n">
        <v>500</v>
      </c>
      <c r="D9" s="3" t="n">
        <v>8</v>
      </c>
      <c r="E9" s="2" t="n">
        <v>87.7</v>
      </c>
      <c r="F9" s="4" t="n">
        <v>4.13112676332901</v>
      </c>
      <c r="G9" s="2" t="n">
        <v>25</v>
      </c>
      <c r="H9" s="2" t="n">
        <v>53</v>
      </c>
      <c r="I9" s="1" t="n">
        <v>308</v>
      </c>
      <c r="J9" s="2" t="n">
        <v>604</v>
      </c>
      <c r="K9" s="3" t="n">
        <v>628</v>
      </c>
      <c r="L9" s="12" t="n">
        <v>0.0144607165883762</v>
      </c>
      <c r="M9" s="4" t="n">
        <v>119.6</v>
      </c>
      <c r="N9" s="4" t="n">
        <v>0.18</v>
      </c>
    </row>
    <row r="10" customFormat="false" ht="14.25" hidden="false" customHeight="false" outlineLevel="0" collapsed="false">
      <c r="B10" s="2" t="n">
        <v>10</v>
      </c>
      <c r="C10" s="3" t="n">
        <v>500</v>
      </c>
      <c r="D10" s="3" t="n">
        <v>8</v>
      </c>
      <c r="E10" s="2" t="n">
        <v>87.7</v>
      </c>
      <c r="F10" s="4" t="n">
        <v>4.13112676332901</v>
      </c>
      <c r="G10" s="2" t="n">
        <v>25</v>
      </c>
      <c r="H10" s="2" t="n">
        <v>53</v>
      </c>
      <c r="I10" s="1" t="n">
        <v>308</v>
      </c>
      <c r="J10" s="2" t="n">
        <v>604</v>
      </c>
      <c r="K10" s="3" t="n">
        <v>628</v>
      </c>
      <c r="L10" s="12" t="n">
        <v>0.0144607165883762</v>
      </c>
      <c r="M10" s="4" t="n">
        <v>174.3</v>
      </c>
      <c r="N10" s="4" t="n">
        <v>0.26</v>
      </c>
    </row>
    <row r="11" customFormat="false" ht="14.25" hidden="false" customHeight="false" outlineLevel="0" collapsed="false">
      <c r="A11" s="1" t="s">
        <v>24</v>
      </c>
      <c r="B11" s="2" t="n">
        <v>10</v>
      </c>
      <c r="C11" s="3" t="n">
        <v>628</v>
      </c>
      <c r="D11" s="3" t="n">
        <v>4</v>
      </c>
      <c r="E11" s="2" t="n">
        <v>32.4666666666667</v>
      </c>
      <c r="F11" s="4" t="n">
        <v>3.262</v>
      </c>
      <c r="G11" s="2" t="n">
        <v>25</v>
      </c>
      <c r="H11" s="2" t="n">
        <v>36</v>
      </c>
      <c r="I11" s="1" t="n">
        <v>200</v>
      </c>
      <c r="J11" s="2" t="n">
        <v>600</v>
      </c>
      <c r="K11" s="3" t="n">
        <v>314</v>
      </c>
      <c r="L11" s="12" t="n">
        <v>0.0182558139534884</v>
      </c>
      <c r="M11" s="4" t="n">
        <v>47.625</v>
      </c>
      <c r="N11" s="4" t="n">
        <v>0.16</v>
      </c>
    </row>
    <row r="12" customFormat="false" ht="14.25" hidden="false" customHeight="false" outlineLevel="0" collapsed="false">
      <c r="B12" s="2" t="n">
        <v>10</v>
      </c>
      <c r="C12" s="3" t="n">
        <v>628</v>
      </c>
      <c r="D12" s="3" t="n">
        <v>4</v>
      </c>
      <c r="E12" s="2" t="n">
        <v>32.4666666666667</v>
      </c>
      <c r="F12" s="4" t="n">
        <v>3.262</v>
      </c>
      <c r="G12" s="2" t="n">
        <v>25</v>
      </c>
      <c r="H12" s="2" t="n">
        <v>36</v>
      </c>
      <c r="I12" s="1" t="n">
        <v>200</v>
      </c>
      <c r="J12" s="2" t="n">
        <v>600</v>
      </c>
      <c r="K12" s="3" t="n">
        <v>314</v>
      </c>
      <c r="L12" s="12" t="n">
        <v>0.0182558139534884</v>
      </c>
      <c r="M12" s="4" t="n">
        <v>54.3</v>
      </c>
      <c r="N12" s="4" t="n">
        <v>0.2</v>
      </c>
    </row>
    <row r="13" customFormat="false" ht="14.25" hidden="false" customHeight="false" outlineLevel="0" collapsed="false">
      <c r="B13" s="2" t="n">
        <v>10</v>
      </c>
      <c r="C13" s="3" t="n">
        <v>628</v>
      </c>
      <c r="D13" s="3" t="n">
        <v>4</v>
      </c>
      <c r="E13" s="2" t="n">
        <v>32.4666666666667</v>
      </c>
      <c r="F13" s="4" t="n">
        <v>3.262</v>
      </c>
      <c r="G13" s="2" t="n">
        <v>25</v>
      </c>
      <c r="H13" s="2" t="n">
        <v>36</v>
      </c>
      <c r="I13" s="1" t="n">
        <v>200</v>
      </c>
      <c r="J13" s="2" t="n">
        <v>600</v>
      </c>
      <c r="K13" s="3" t="n">
        <v>314</v>
      </c>
      <c r="L13" s="12" t="n">
        <v>0.0182558139534884</v>
      </c>
      <c r="M13" s="4" t="n">
        <v>61.425</v>
      </c>
      <c r="N13" s="4" t="n">
        <v>0.2</v>
      </c>
    </row>
    <row r="14" customFormat="false" ht="14.25" hidden="false" customHeight="false" outlineLevel="0" collapsed="false">
      <c r="B14" s="2" t="n">
        <v>10</v>
      </c>
      <c r="C14" s="3" t="n">
        <v>628</v>
      </c>
      <c r="D14" s="3" t="n">
        <v>4</v>
      </c>
      <c r="E14" s="2" t="n">
        <v>32.4666666666667</v>
      </c>
      <c r="F14" s="4" t="n">
        <v>3.262</v>
      </c>
      <c r="G14" s="2" t="n">
        <v>25</v>
      </c>
      <c r="H14" s="2" t="n">
        <v>36</v>
      </c>
      <c r="I14" s="1" t="n">
        <v>200</v>
      </c>
      <c r="J14" s="2" t="n">
        <v>600</v>
      </c>
      <c r="K14" s="3" t="n">
        <v>314</v>
      </c>
      <c r="L14" s="12" t="n">
        <v>0.0182558139534884</v>
      </c>
      <c r="M14" s="4" t="n">
        <v>68.625</v>
      </c>
      <c r="N14" s="4" t="n">
        <v>0.24</v>
      </c>
    </row>
    <row r="15" customFormat="false" ht="14.25" hidden="false" customHeight="false" outlineLevel="0" collapsed="false">
      <c r="B15" s="2" t="n">
        <v>10</v>
      </c>
      <c r="C15" s="3" t="n">
        <v>628</v>
      </c>
      <c r="D15" s="3" t="n">
        <v>4</v>
      </c>
      <c r="E15" s="2" t="n">
        <v>32.4666666666667</v>
      </c>
      <c r="F15" s="4" t="n">
        <v>3.262</v>
      </c>
      <c r="G15" s="2" t="n">
        <v>25</v>
      </c>
      <c r="H15" s="2" t="n">
        <v>36</v>
      </c>
      <c r="I15" s="1" t="n">
        <v>200</v>
      </c>
      <c r="J15" s="2" t="n">
        <v>600</v>
      </c>
      <c r="K15" s="3" t="n">
        <v>314</v>
      </c>
      <c r="L15" s="12" t="n">
        <v>0.0182558139534884</v>
      </c>
      <c r="M15" s="4" t="n">
        <v>73.275</v>
      </c>
      <c r="N15" s="4" t="n">
        <v>0.3</v>
      </c>
    </row>
    <row r="16" customFormat="false" ht="14.25" hidden="false" customHeight="false" outlineLevel="0" collapsed="false">
      <c r="B16" s="2" t="n">
        <v>10</v>
      </c>
      <c r="C16" s="3" t="n">
        <v>628</v>
      </c>
      <c r="D16" s="3" t="n">
        <v>4</v>
      </c>
      <c r="E16" s="2" t="n">
        <v>32.4666666666667</v>
      </c>
      <c r="F16" s="4" t="n">
        <v>3.262</v>
      </c>
      <c r="G16" s="2" t="n">
        <v>25</v>
      </c>
      <c r="H16" s="2" t="n">
        <v>36</v>
      </c>
      <c r="I16" s="1" t="n">
        <v>200</v>
      </c>
      <c r="J16" s="2" t="n">
        <v>600</v>
      </c>
      <c r="K16" s="3" t="n">
        <v>314</v>
      </c>
      <c r="L16" s="12" t="n">
        <v>0.0182558139534884</v>
      </c>
      <c r="M16" s="4" t="n">
        <v>83.25</v>
      </c>
      <c r="N16" s="4" t="n">
        <v>0.32</v>
      </c>
    </row>
    <row r="17" customFormat="false" ht="14.25" hidden="false" customHeight="false" outlineLevel="0" collapsed="false">
      <c r="B17" s="2" t="n">
        <v>10</v>
      </c>
      <c r="C17" s="3" t="n">
        <v>628</v>
      </c>
      <c r="D17" s="3" t="n">
        <v>4</v>
      </c>
      <c r="E17" s="2" t="n">
        <v>32.4666666666667</v>
      </c>
      <c r="F17" s="4" t="n">
        <v>3.262</v>
      </c>
      <c r="G17" s="2" t="n">
        <v>25</v>
      </c>
      <c r="H17" s="2" t="n">
        <v>36</v>
      </c>
      <c r="I17" s="1" t="n">
        <v>200</v>
      </c>
      <c r="J17" s="2" t="n">
        <v>600</v>
      </c>
      <c r="K17" s="3" t="n">
        <v>314</v>
      </c>
      <c r="L17" s="12" t="n">
        <v>0.0182558139534884</v>
      </c>
      <c r="M17" s="4" t="n">
        <v>84</v>
      </c>
      <c r="N17" s="4" t="n">
        <v>0.38</v>
      </c>
    </row>
    <row r="18" customFormat="false" ht="14.25" hidden="false" customHeight="false" outlineLevel="0" collapsed="false">
      <c r="B18" s="2" t="n">
        <v>10</v>
      </c>
      <c r="C18" s="3" t="n">
        <v>628</v>
      </c>
      <c r="D18" s="3" t="n">
        <v>4</v>
      </c>
      <c r="E18" s="2" t="n">
        <v>32.4666666666667</v>
      </c>
      <c r="F18" s="4" t="n">
        <v>3.262</v>
      </c>
      <c r="G18" s="2" t="n">
        <v>25</v>
      </c>
      <c r="H18" s="2" t="n">
        <v>36</v>
      </c>
      <c r="I18" s="1" t="n">
        <v>200</v>
      </c>
      <c r="J18" s="2" t="n">
        <v>600</v>
      </c>
      <c r="K18" s="3" t="n">
        <v>314</v>
      </c>
      <c r="L18" s="12" t="n">
        <v>0.0182558139534884</v>
      </c>
      <c r="M18" s="4" t="n">
        <v>90</v>
      </c>
      <c r="N18" s="4" t="n">
        <v>0.42</v>
      </c>
    </row>
    <row r="19" customFormat="false" ht="14.25" hidden="false" customHeight="false" outlineLevel="0" collapsed="false">
      <c r="B19" s="2" t="n">
        <v>10</v>
      </c>
      <c r="C19" s="3" t="n">
        <v>628</v>
      </c>
      <c r="D19" s="3" t="n">
        <v>4</v>
      </c>
      <c r="E19" s="2" t="n">
        <v>32.4666666666667</v>
      </c>
      <c r="F19" s="4" t="n">
        <v>3.262</v>
      </c>
      <c r="G19" s="2" t="n">
        <v>25</v>
      </c>
      <c r="H19" s="2" t="n">
        <v>36</v>
      </c>
      <c r="I19" s="1" t="n">
        <v>200</v>
      </c>
      <c r="J19" s="2" t="n">
        <v>600</v>
      </c>
      <c r="K19" s="3" t="n">
        <v>314</v>
      </c>
      <c r="L19" s="12" t="n">
        <v>0.0182558139534884</v>
      </c>
      <c r="M19" s="4" t="n">
        <v>108</v>
      </c>
      <c r="N19" s="4" t="n">
        <v>0.44</v>
      </c>
    </row>
    <row r="20" customFormat="false" ht="14.25" hidden="false" customHeight="false" outlineLevel="0" collapsed="false">
      <c r="B20" s="2" t="n">
        <v>10</v>
      </c>
      <c r="C20" s="3" t="n">
        <v>628</v>
      </c>
      <c r="D20" s="3" t="n">
        <v>4</v>
      </c>
      <c r="E20" s="2" t="n">
        <v>32.4666666666667</v>
      </c>
      <c r="F20" s="4" t="n">
        <v>3.262</v>
      </c>
      <c r="G20" s="2" t="n">
        <v>25</v>
      </c>
      <c r="H20" s="2" t="n">
        <v>36</v>
      </c>
      <c r="I20" s="1" t="n">
        <v>200</v>
      </c>
      <c r="J20" s="2" t="n">
        <v>600</v>
      </c>
      <c r="K20" s="3" t="n">
        <v>314</v>
      </c>
      <c r="L20" s="12" t="n">
        <v>0.0182558139534884</v>
      </c>
      <c r="M20" s="4" t="n">
        <v>120</v>
      </c>
      <c r="N20" s="4" t="n">
        <v>0.5</v>
      </c>
    </row>
    <row r="21" customFormat="false" ht="14.25" hidden="false" customHeight="false" outlineLevel="0" collapsed="false">
      <c r="A21" s="1" t="s">
        <v>25</v>
      </c>
      <c r="B21" s="2" t="n">
        <v>10</v>
      </c>
      <c r="C21" s="3" t="n">
        <v>628</v>
      </c>
      <c r="D21" s="3" t="n">
        <v>4</v>
      </c>
      <c r="E21" s="2" t="n">
        <v>32.4666666666667</v>
      </c>
      <c r="F21" s="4" t="n">
        <v>3.514</v>
      </c>
      <c r="G21" s="2" t="n">
        <v>25</v>
      </c>
      <c r="H21" s="2" t="n">
        <v>36</v>
      </c>
      <c r="I21" s="1" t="n">
        <v>200</v>
      </c>
      <c r="J21" s="2" t="n">
        <v>600</v>
      </c>
      <c r="K21" s="3" t="n">
        <v>314</v>
      </c>
      <c r="L21" s="12" t="n">
        <v>0.0182558139534884</v>
      </c>
      <c r="M21" s="4" t="n">
        <v>54</v>
      </c>
      <c r="N21" s="4" t="n">
        <v>0.24</v>
      </c>
    </row>
    <row r="22" customFormat="false" ht="14.25" hidden="false" customHeight="false" outlineLevel="0" collapsed="false">
      <c r="B22" s="2" t="n">
        <v>10</v>
      </c>
      <c r="C22" s="3" t="n">
        <v>628</v>
      </c>
      <c r="D22" s="3" t="n">
        <v>4</v>
      </c>
      <c r="E22" s="2" t="n">
        <v>32.4666666666667</v>
      </c>
      <c r="F22" s="4" t="n">
        <v>3.514</v>
      </c>
      <c r="G22" s="2" t="n">
        <v>25</v>
      </c>
      <c r="H22" s="2" t="n">
        <v>36</v>
      </c>
      <c r="I22" s="1" t="n">
        <v>200</v>
      </c>
      <c r="J22" s="2" t="n">
        <v>600</v>
      </c>
      <c r="K22" s="3" t="n">
        <v>314</v>
      </c>
      <c r="L22" s="12" t="n">
        <v>0.0182558139534884</v>
      </c>
      <c r="M22" s="4" t="n">
        <v>60</v>
      </c>
      <c r="N22" s="4" t="n">
        <v>0.3</v>
      </c>
    </row>
    <row r="23" customFormat="false" ht="14.25" hidden="false" customHeight="false" outlineLevel="0" collapsed="false">
      <c r="B23" s="2" t="n">
        <v>10</v>
      </c>
      <c r="C23" s="3" t="n">
        <v>628</v>
      </c>
      <c r="D23" s="3" t="n">
        <v>4</v>
      </c>
      <c r="E23" s="2" t="n">
        <v>32.4666666666667</v>
      </c>
      <c r="F23" s="4" t="n">
        <v>3.514</v>
      </c>
      <c r="G23" s="2" t="n">
        <v>25</v>
      </c>
      <c r="H23" s="2" t="n">
        <v>36</v>
      </c>
      <c r="I23" s="1" t="n">
        <v>200</v>
      </c>
      <c r="J23" s="2" t="n">
        <v>600</v>
      </c>
      <c r="K23" s="3" t="n">
        <v>314</v>
      </c>
      <c r="L23" s="12" t="n">
        <v>0.0182558139534884</v>
      </c>
      <c r="M23" s="4" t="n">
        <v>62.25</v>
      </c>
      <c r="N23" s="4" t="n">
        <v>0.3</v>
      </c>
    </row>
    <row r="24" customFormat="false" ht="14.25" hidden="false" customHeight="false" outlineLevel="0" collapsed="false">
      <c r="B24" s="2" t="n">
        <v>10</v>
      </c>
      <c r="C24" s="3" t="n">
        <v>628</v>
      </c>
      <c r="D24" s="3" t="n">
        <v>4</v>
      </c>
      <c r="E24" s="2" t="n">
        <v>32.4666666666667</v>
      </c>
      <c r="F24" s="4" t="n">
        <v>3.514</v>
      </c>
      <c r="G24" s="2" t="n">
        <v>25</v>
      </c>
      <c r="H24" s="2" t="n">
        <v>36</v>
      </c>
      <c r="I24" s="1" t="n">
        <v>200</v>
      </c>
      <c r="J24" s="2" t="n">
        <v>600</v>
      </c>
      <c r="K24" s="3" t="n">
        <v>314</v>
      </c>
      <c r="L24" s="12" t="n">
        <v>0.0182558139534884</v>
      </c>
      <c r="M24" s="4" t="n">
        <v>66</v>
      </c>
      <c r="N24" s="4" t="n">
        <v>0.3</v>
      </c>
    </row>
    <row r="25" customFormat="false" ht="14.25" hidden="false" customHeight="false" outlineLevel="0" collapsed="false">
      <c r="B25" s="2" t="n">
        <v>10</v>
      </c>
      <c r="C25" s="3" t="n">
        <v>628</v>
      </c>
      <c r="D25" s="3" t="n">
        <v>4</v>
      </c>
      <c r="E25" s="2" t="n">
        <v>32.4666666666667</v>
      </c>
      <c r="F25" s="4" t="n">
        <v>3.514</v>
      </c>
      <c r="G25" s="2" t="n">
        <v>25</v>
      </c>
      <c r="H25" s="2" t="n">
        <v>36</v>
      </c>
      <c r="I25" s="1" t="n">
        <v>200</v>
      </c>
      <c r="J25" s="2" t="n">
        <v>600</v>
      </c>
      <c r="K25" s="3" t="n">
        <v>314</v>
      </c>
      <c r="L25" s="12" t="n">
        <v>0.0182558139534884</v>
      </c>
      <c r="M25" s="4" t="n">
        <v>71.25</v>
      </c>
      <c r="N25" s="4" t="n">
        <v>0.38</v>
      </c>
    </row>
    <row r="26" customFormat="false" ht="14.25" hidden="false" customHeight="false" outlineLevel="0" collapsed="false">
      <c r="B26" s="2" t="n">
        <v>10</v>
      </c>
      <c r="C26" s="3" t="n">
        <v>628</v>
      </c>
      <c r="D26" s="3" t="n">
        <v>4</v>
      </c>
      <c r="E26" s="2" t="n">
        <v>32.4666666666667</v>
      </c>
      <c r="F26" s="4" t="n">
        <v>3.514</v>
      </c>
      <c r="G26" s="2" t="n">
        <v>25</v>
      </c>
      <c r="H26" s="2" t="n">
        <v>36</v>
      </c>
      <c r="I26" s="1" t="n">
        <v>200</v>
      </c>
      <c r="J26" s="2" t="n">
        <v>600</v>
      </c>
      <c r="K26" s="3" t="n">
        <v>314</v>
      </c>
      <c r="L26" s="12" t="n">
        <v>0.0182558139534884</v>
      </c>
      <c r="M26" s="4" t="n">
        <v>82.5</v>
      </c>
      <c r="N26" s="4" t="n">
        <v>0.44</v>
      </c>
    </row>
    <row r="27" customFormat="false" ht="14.25" hidden="false" customHeight="false" outlineLevel="0" collapsed="false">
      <c r="A27" s="1" t="s">
        <v>26</v>
      </c>
      <c r="B27" s="2" t="n">
        <v>16</v>
      </c>
      <c r="C27" s="3" t="n">
        <v>571</v>
      </c>
      <c r="D27" s="3" t="n">
        <v>4</v>
      </c>
      <c r="E27" s="2" t="n">
        <v>37</v>
      </c>
      <c r="F27" s="4" t="n">
        <v>4.2588</v>
      </c>
      <c r="G27" s="2" t="n">
        <v>33</v>
      </c>
      <c r="H27" s="2" t="n">
        <v>59</v>
      </c>
      <c r="I27" s="1" t="n">
        <v>125</v>
      </c>
      <c r="J27" s="2" t="n">
        <v>250</v>
      </c>
      <c r="K27" s="3" t="n">
        <v>800</v>
      </c>
      <c r="L27" s="12" t="n">
        <v>0.0408</v>
      </c>
      <c r="M27" s="4" t="n">
        <v>18.2</v>
      </c>
      <c r="N27" s="4" t="n">
        <v>0.18</v>
      </c>
    </row>
    <row r="28" customFormat="false" ht="14.25" hidden="false" customHeight="false" outlineLevel="0" collapsed="false">
      <c r="B28" s="2" t="n">
        <v>16</v>
      </c>
      <c r="C28" s="3" t="n">
        <v>571</v>
      </c>
      <c r="D28" s="3" t="n">
        <v>4</v>
      </c>
      <c r="E28" s="2" t="n">
        <v>37</v>
      </c>
      <c r="F28" s="4" t="n">
        <v>4.2588</v>
      </c>
      <c r="G28" s="2" t="n">
        <v>33</v>
      </c>
      <c r="H28" s="2" t="n">
        <v>59</v>
      </c>
      <c r="I28" s="1" t="n">
        <v>125</v>
      </c>
      <c r="J28" s="2" t="n">
        <v>250</v>
      </c>
      <c r="K28" s="3" t="n">
        <v>800</v>
      </c>
      <c r="L28" s="12" t="n">
        <v>0.0408</v>
      </c>
      <c r="M28" s="4" t="n">
        <v>26.2</v>
      </c>
      <c r="N28" s="4" t="n">
        <v>0.2</v>
      </c>
    </row>
    <row r="29" customFormat="false" ht="14.25" hidden="false" customHeight="false" outlineLevel="0" collapsed="false">
      <c r="B29" s="2" t="n">
        <v>16</v>
      </c>
      <c r="C29" s="3" t="n">
        <v>571</v>
      </c>
      <c r="D29" s="3" t="n">
        <v>4</v>
      </c>
      <c r="E29" s="2" t="n">
        <v>37</v>
      </c>
      <c r="F29" s="4" t="n">
        <v>4.2588</v>
      </c>
      <c r="G29" s="2" t="n">
        <v>33</v>
      </c>
      <c r="H29" s="2" t="n">
        <v>59</v>
      </c>
      <c r="I29" s="1" t="n">
        <v>125</v>
      </c>
      <c r="J29" s="2" t="n">
        <v>250</v>
      </c>
      <c r="K29" s="3" t="n">
        <v>800</v>
      </c>
      <c r="L29" s="12" t="n">
        <v>0.0408</v>
      </c>
      <c r="M29" s="4" t="n">
        <v>31.7</v>
      </c>
      <c r="N29" s="4" t="n">
        <v>0.26</v>
      </c>
    </row>
    <row r="30" customFormat="false" ht="14.25" hidden="false" customHeight="false" outlineLevel="0" collapsed="false">
      <c r="B30" s="2" t="n">
        <v>16</v>
      </c>
      <c r="C30" s="3" t="n">
        <v>571</v>
      </c>
      <c r="D30" s="3" t="n">
        <v>4</v>
      </c>
      <c r="E30" s="2" t="n">
        <v>37</v>
      </c>
      <c r="F30" s="4" t="n">
        <v>4.2588</v>
      </c>
      <c r="G30" s="2" t="n">
        <v>33</v>
      </c>
      <c r="H30" s="2" t="n">
        <v>59</v>
      </c>
      <c r="I30" s="1" t="n">
        <v>125</v>
      </c>
      <c r="J30" s="2" t="n">
        <v>250</v>
      </c>
      <c r="K30" s="3" t="n">
        <v>800</v>
      </c>
      <c r="L30" s="12" t="n">
        <v>0.0408</v>
      </c>
      <c r="M30" s="4" t="n">
        <v>40.8</v>
      </c>
      <c r="N30" s="4" t="n">
        <v>0.44</v>
      </c>
    </row>
    <row r="31" customFormat="false" ht="14.25" hidden="false" customHeight="false" outlineLevel="0" collapsed="false">
      <c r="B31" s="2" t="n">
        <v>16</v>
      </c>
      <c r="C31" s="3" t="n">
        <v>571</v>
      </c>
      <c r="D31" s="3" t="n">
        <v>4</v>
      </c>
      <c r="E31" s="2" t="n">
        <v>37</v>
      </c>
      <c r="F31" s="4" t="n">
        <v>4.2588</v>
      </c>
      <c r="G31" s="2" t="n">
        <v>33</v>
      </c>
      <c r="H31" s="2" t="n">
        <v>59</v>
      </c>
      <c r="I31" s="1" t="n">
        <v>125</v>
      </c>
      <c r="J31" s="2" t="n">
        <v>250</v>
      </c>
      <c r="K31" s="3" t="n">
        <v>800</v>
      </c>
      <c r="L31" s="12" t="n">
        <v>0.0408</v>
      </c>
      <c r="M31" s="4" t="n">
        <v>54.1</v>
      </c>
      <c r="N31" s="4" t="n">
        <v>0.6</v>
      </c>
    </row>
    <row r="32" customFormat="false" ht="14.25" hidden="false" customHeight="false" outlineLevel="0" collapsed="false">
      <c r="A32" s="1" t="s">
        <v>27</v>
      </c>
      <c r="B32" s="2" t="n">
        <v>12</v>
      </c>
      <c r="C32" s="3" t="n">
        <v>500</v>
      </c>
      <c r="D32" s="3" t="n">
        <v>4</v>
      </c>
      <c r="E32" s="2" t="n">
        <v>79.3</v>
      </c>
      <c r="F32" s="4" t="n">
        <v>2.69332921131829</v>
      </c>
      <c r="G32" s="2" t="n">
        <v>20</v>
      </c>
      <c r="H32" s="2" t="n">
        <v>38</v>
      </c>
      <c r="I32" s="1" t="n">
        <v>350</v>
      </c>
      <c r="J32" s="2" t="n">
        <v>450</v>
      </c>
      <c r="K32" s="3" t="n">
        <v>452</v>
      </c>
      <c r="L32" s="12" t="n">
        <v>0.0131778425655977</v>
      </c>
      <c r="M32" s="4" t="n">
        <v>52.5</v>
      </c>
      <c r="N32" s="4" t="n">
        <v>0.36</v>
      </c>
    </row>
    <row r="33" customFormat="false" ht="14.25" hidden="false" customHeight="false" outlineLevel="0" collapsed="false">
      <c r="B33" s="2" t="n">
        <v>12</v>
      </c>
      <c r="C33" s="3" t="n">
        <v>500</v>
      </c>
      <c r="D33" s="3" t="n">
        <v>4</v>
      </c>
      <c r="E33" s="2" t="n">
        <v>79.3</v>
      </c>
      <c r="F33" s="4" t="n">
        <v>2.69332921131829</v>
      </c>
      <c r="G33" s="2" t="n">
        <v>20</v>
      </c>
      <c r="H33" s="2" t="n">
        <v>38</v>
      </c>
      <c r="I33" s="1" t="n">
        <v>350</v>
      </c>
      <c r="J33" s="2" t="n">
        <v>450</v>
      </c>
      <c r="K33" s="3" t="n">
        <v>452</v>
      </c>
      <c r="L33" s="12" t="n">
        <v>0.0131778425655977</v>
      </c>
      <c r="M33" s="4" t="n">
        <v>67.5</v>
      </c>
      <c r="N33" s="4" t="n">
        <v>0.43</v>
      </c>
    </row>
    <row r="34" customFormat="false" ht="14.25" hidden="false" customHeight="false" outlineLevel="0" collapsed="false">
      <c r="B34" s="2" t="n">
        <v>12</v>
      </c>
      <c r="C34" s="3" t="n">
        <v>500</v>
      </c>
      <c r="D34" s="3" t="n">
        <v>4</v>
      </c>
      <c r="E34" s="2" t="n">
        <v>79.3</v>
      </c>
      <c r="F34" s="4" t="n">
        <v>2.69332921131829</v>
      </c>
      <c r="G34" s="2" t="n">
        <v>20</v>
      </c>
      <c r="H34" s="2" t="n">
        <v>38</v>
      </c>
      <c r="I34" s="1" t="n">
        <v>350</v>
      </c>
      <c r="J34" s="2" t="n">
        <v>450</v>
      </c>
      <c r="K34" s="3" t="n">
        <v>452</v>
      </c>
      <c r="L34" s="12" t="n">
        <v>0.0131778425655977</v>
      </c>
      <c r="M34" s="4" t="n">
        <v>90</v>
      </c>
      <c r="N34" s="4" t="n">
        <v>0.56</v>
      </c>
    </row>
    <row r="35" customFormat="false" ht="14.25" hidden="false" customHeight="false" outlineLevel="0" collapsed="false">
      <c r="B35" s="2" t="n">
        <v>12</v>
      </c>
      <c r="C35" s="3" t="n">
        <v>500</v>
      </c>
      <c r="D35" s="3" t="n">
        <v>4</v>
      </c>
      <c r="E35" s="2" t="n">
        <v>79.3</v>
      </c>
      <c r="F35" s="4" t="n">
        <v>2.69332921131829</v>
      </c>
      <c r="G35" s="2" t="n">
        <v>20</v>
      </c>
      <c r="H35" s="2" t="n">
        <v>38</v>
      </c>
      <c r="I35" s="1" t="n">
        <v>350</v>
      </c>
      <c r="J35" s="2" t="n">
        <v>450</v>
      </c>
      <c r="K35" s="3" t="n">
        <v>452</v>
      </c>
      <c r="L35" s="12" t="n">
        <v>0.0131778425655977</v>
      </c>
      <c r="M35" s="4" t="n">
        <v>112.5</v>
      </c>
      <c r="N35" s="4" t="n">
        <v>0.71</v>
      </c>
    </row>
    <row r="36" customFormat="false" ht="14.25" hidden="false" customHeight="false" outlineLevel="0" collapsed="false">
      <c r="B36" s="2" t="n">
        <v>12</v>
      </c>
      <c r="C36" s="3" t="n">
        <v>500</v>
      </c>
      <c r="D36" s="3" t="n">
        <v>4</v>
      </c>
      <c r="E36" s="2" t="n">
        <v>79.3</v>
      </c>
      <c r="F36" s="4" t="n">
        <v>2.69332921131829</v>
      </c>
      <c r="G36" s="2" t="n">
        <v>20</v>
      </c>
      <c r="H36" s="2" t="n">
        <v>38</v>
      </c>
      <c r="I36" s="1" t="n">
        <v>350</v>
      </c>
      <c r="J36" s="2" t="n">
        <v>450</v>
      </c>
      <c r="K36" s="3" t="n">
        <v>452</v>
      </c>
      <c r="L36" s="12" t="n">
        <v>0.0131778425655977</v>
      </c>
      <c r="M36" s="4" t="n">
        <v>120</v>
      </c>
      <c r="N36" s="4" t="n">
        <v>0.79</v>
      </c>
    </row>
    <row r="37" customFormat="false" ht="14.25" hidden="false" customHeight="false" outlineLevel="0" collapsed="false">
      <c r="A37" s="1" t="s">
        <v>28</v>
      </c>
      <c r="B37" s="2" t="n">
        <v>25</v>
      </c>
      <c r="C37" s="3" t="n">
        <v>500</v>
      </c>
      <c r="D37" s="3" t="n">
        <v>4</v>
      </c>
      <c r="E37" s="2" t="n">
        <v>62</v>
      </c>
      <c r="F37" s="4" t="n">
        <v>2.69332921131829</v>
      </c>
      <c r="G37" s="2" t="n">
        <v>20</v>
      </c>
      <c r="H37" s="2" t="n">
        <v>44.5</v>
      </c>
      <c r="I37" s="1" t="n">
        <v>350</v>
      </c>
      <c r="J37" s="2" t="n">
        <v>450</v>
      </c>
      <c r="K37" s="3" t="n">
        <v>1964</v>
      </c>
      <c r="L37" s="12" t="n">
        <v>0.0360284338454483</v>
      </c>
      <c r="M37" s="4" t="n">
        <v>75</v>
      </c>
      <c r="N37" s="4" t="n">
        <v>0.2</v>
      </c>
    </row>
    <row r="38" customFormat="false" ht="14.25" hidden="false" customHeight="false" outlineLevel="0" collapsed="false">
      <c r="B38" s="2" t="n">
        <v>25</v>
      </c>
      <c r="C38" s="3" t="n">
        <v>500</v>
      </c>
      <c r="D38" s="3" t="n">
        <v>4</v>
      </c>
      <c r="E38" s="2" t="n">
        <v>62</v>
      </c>
      <c r="F38" s="4" t="n">
        <v>2.69332921131829</v>
      </c>
      <c r="G38" s="2" t="n">
        <v>20</v>
      </c>
      <c r="H38" s="2" t="n">
        <v>44.5</v>
      </c>
      <c r="I38" s="1" t="n">
        <v>350</v>
      </c>
      <c r="J38" s="2" t="n">
        <v>450</v>
      </c>
      <c r="K38" s="3" t="n">
        <v>1964</v>
      </c>
      <c r="L38" s="12" t="n">
        <v>0.0360284338454483</v>
      </c>
      <c r="M38" s="4" t="n">
        <v>135</v>
      </c>
      <c r="N38" s="4" t="n">
        <v>0.25</v>
      </c>
    </row>
    <row r="39" customFormat="false" ht="14.25" hidden="false" customHeight="false" outlineLevel="0" collapsed="false">
      <c r="B39" s="2" t="n">
        <v>25</v>
      </c>
      <c r="C39" s="3" t="n">
        <v>500</v>
      </c>
      <c r="D39" s="3" t="n">
        <v>4</v>
      </c>
      <c r="E39" s="2" t="n">
        <v>62</v>
      </c>
      <c r="F39" s="4" t="n">
        <v>2.69332921131829</v>
      </c>
      <c r="G39" s="2" t="n">
        <v>20</v>
      </c>
      <c r="H39" s="2" t="n">
        <v>44.5</v>
      </c>
      <c r="I39" s="1" t="n">
        <v>350</v>
      </c>
      <c r="J39" s="2" t="n">
        <v>450</v>
      </c>
      <c r="K39" s="3" t="n">
        <v>1964</v>
      </c>
      <c r="L39" s="12" t="n">
        <v>0.0360284338454483</v>
      </c>
      <c r="M39" s="4" t="n">
        <v>195</v>
      </c>
      <c r="N39" s="4" t="n">
        <v>0.36</v>
      </c>
    </row>
    <row r="40" customFormat="false" ht="14.25" hidden="false" customHeight="false" outlineLevel="0" collapsed="false">
      <c r="B40" s="2" t="n">
        <v>25</v>
      </c>
      <c r="C40" s="3" t="n">
        <v>500</v>
      </c>
      <c r="D40" s="3" t="n">
        <v>4</v>
      </c>
      <c r="E40" s="2" t="n">
        <v>62</v>
      </c>
      <c r="F40" s="4" t="n">
        <v>2.69332921131829</v>
      </c>
      <c r="G40" s="2" t="n">
        <v>20</v>
      </c>
      <c r="H40" s="2" t="n">
        <v>44.5</v>
      </c>
      <c r="I40" s="1" t="n">
        <v>350</v>
      </c>
      <c r="J40" s="2" t="n">
        <v>450</v>
      </c>
      <c r="K40" s="3" t="n">
        <v>1964</v>
      </c>
      <c r="L40" s="12" t="n">
        <v>0.0360284338454483</v>
      </c>
      <c r="M40" s="4" t="n">
        <v>255</v>
      </c>
      <c r="N40" s="4" t="n">
        <v>0.47</v>
      </c>
    </row>
    <row r="41" customFormat="false" ht="14.25" hidden="false" customHeight="false" outlineLevel="0" collapsed="false">
      <c r="B41" s="2" t="n">
        <v>25</v>
      </c>
      <c r="C41" s="3" t="n">
        <v>500</v>
      </c>
      <c r="D41" s="3" t="n">
        <v>4</v>
      </c>
      <c r="E41" s="2" t="n">
        <v>62</v>
      </c>
      <c r="F41" s="4" t="n">
        <v>2.69332921131829</v>
      </c>
      <c r="G41" s="2" t="n">
        <v>20</v>
      </c>
      <c r="H41" s="2" t="n">
        <v>44.5</v>
      </c>
      <c r="I41" s="1" t="n">
        <v>350</v>
      </c>
      <c r="J41" s="2" t="n">
        <v>450</v>
      </c>
      <c r="K41" s="3" t="n">
        <v>1964</v>
      </c>
      <c r="L41" s="12" t="n">
        <v>0.0360284338454483</v>
      </c>
      <c r="M41" s="4" t="n">
        <v>300</v>
      </c>
      <c r="N41" s="4" t="n">
        <v>0.57</v>
      </c>
    </row>
    <row r="42" customFormat="false" ht="14.25" hidden="false" customHeight="false" outlineLevel="0" collapsed="false">
      <c r="B42" s="2" t="n">
        <v>25</v>
      </c>
      <c r="C42" s="3" t="n">
        <v>500</v>
      </c>
      <c r="D42" s="3" t="n">
        <v>4</v>
      </c>
      <c r="E42" s="2" t="n">
        <v>62</v>
      </c>
      <c r="F42" s="4" t="n">
        <v>2.69332921131829</v>
      </c>
      <c r="G42" s="2" t="n">
        <v>20</v>
      </c>
      <c r="H42" s="2" t="n">
        <v>44.5</v>
      </c>
      <c r="I42" s="1" t="n">
        <v>350</v>
      </c>
      <c r="J42" s="2" t="n">
        <v>450</v>
      </c>
      <c r="K42" s="3" t="n">
        <v>1964</v>
      </c>
      <c r="L42" s="12" t="n">
        <v>0.0360284338454483</v>
      </c>
      <c r="M42" s="4" t="n">
        <v>360</v>
      </c>
      <c r="N42" s="4" t="n">
        <v>0.78</v>
      </c>
    </row>
    <row r="43" customFormat="false" ht="14.25" hidden="false" customHeight="false" outlineLevel="0" collapsed="false">
      <c r="A43" s="1" t="s">
        <v>29</v>
      </c>
      <c r="B43" s="2" t="n">
        <v>12</v>
      </c>
      <c r="C43" s="3" t="n">
        <v>500</v>
      </c>
      <c r="D43" s="3" t="n">
        <v>4</v>
      </c>
      <c r="E43" s="2" t="n">
        <v>79.3</v>
      </c>
      <c r="F43" s="4" t="n">
        <v>2.69332921131829</v>
      </c>
      <c r="G43" s="2" t="n">
        <v>20</v>
      </c>
      <c r="H43" s="2" t="n">
        <v>34</v>
      </c>
      <c r="I43" s="1" t="n">
        <v>350</v>
      </c>
      <c r="J43" s="2" t="n">
        <v>450</v>
      </c>
      <c r="K43" s="3" t="n">
        <v>452</v>
      </c>
      <c r="L43" s="12" t="n">
        <v>0.0137386018237082</v>
      </c>
      <c r="M43" s="4" t="n">
        <v>37.5</v>
      </c>
      <c r="N43" s="4" t="n">
        <v>0.21</v>
      </c>
    </row>
    <row r="44" customFormat="false" ht="14.25" hidden="false" customHeight="false" outlineLevel="0" collapsed="false">
      <c r="B44" s="2" t="n">
        <v>12</v>
      </c>
      <c r="C44" s="3" t="n">
        <v>500</v>
      </c>
      <c r="D44" s="3" t="n">
        <v>4</v>
      </c>
      <c r="E44" s="2" t="n">
        <v>79.3</v>
      </c>
      <c r="F44" s="4" t="n">
        <v>2.69332921131829</v>
      </c>
      <c r="G44" s="2" t="n">
        <v>20</v>
      </c>
      <c r="H44" s="2" t="n">
        <v>34</v>
      </c>
      <c r="I44" s="1" t="n">
        <v>350</v>
      </c>
      <c r="J44" s="2" t="n">
        <v>450</v>
      </c>
      <c r="K44" s="3" t="n">
        <v>452</v>
      </c>
      <c r="L44" s="12" t="n">
        <v>0.0137386018237082</v>
      </c>
      <c r="M44" s="4" t="n">
        <v>45</v>
      </c>
      <c r="N44" s="4" t="n">
        <v>0.31</v>
      </c>
    </row>
    <row r="45" customFormat="false" ht="14.25" hidden="false" customHeight="false" outlineLevel="0" collapsed="false">
      <c r="B45" s="2" t="n">
        <v>12</v>
      </c>
      <c r="C45" s="3" t="n">
        <v>500</v>
      </c>
      <c r="D45" s="3" t="n">
        <v>4</v>
      </c>
      <c r="E45" s="2" t="n">
        <v>79.3</v>
      </c>
      <c r="F45" s="4" t="n">
        <v>2.69332921131829</v>
      </c>
      <c r="G45" s="2" t="n">
        <v>20</v>
      </c>
      <c r="H45" s="2" t="n">
        <v>34</v>
      </c>
      <c r="I45" s="1" t="n">
        <v>350</v>
      </c>
      <c r="J45" s="2" t="n">
        <v>450</v>
      </c>
      <c r="K45" s="3" t="n">
        <v>452</v>
      </c>
      <c r="L45" s="12" t="n">
        <v>0.0137386018237082</v>
      </c>
      <c r="M45" s="4" t="n">
        <v>52.5</v>
      </c>
      <c r="N45" s="4" t="n">
        <v>0.38</v>
      </c>
    </row>
    <row r="46" customFormat="false" ht="14.25" hidden="false" customHeight="false" outlineLevel="0" collapsed="false">
      <c r="B46" s="2" t="n">
        <v>12</v>
      </c>
      <c r="C46" s="3" t="n">
        <v>500</v>
      </c>
      <c r="D46" s="3" t="n">
        <v>4</v>
      </c>
      <c r="E46" s="2" t="n">
        <v>79.3</v>
      </c>
      <c r="F46" s="4" t="n">
        <v>2.69332921131829</v>
      </c>
      <c r="G46" s="2" t="n">
        <v>20</v>
      </c>
      <c r="H46" s="2" t="n">
        <v>34</v>
      </c>
      <c r="I46" s="1" t="n">
        <v>350</v>
      </c>
      <c r="J46" s="2" t="n">
        <v>450</v>
      </c>
      <c r="K46" s="3" t="n">
        <v>452</v>
      </c>
      <c r="L46" s="12" t="n">
        <v>0.0137386018237082</v>
      </c>
      <c r="M46" s="4" t="n">
        <v>67.5</v>
      </c>
      <c r="N46" s="4" t="n">
        <v>0.52</v>
      </c>
    </row>
    <row r="47" customFormat="false" ht="14.25" hidden="false" customHeight="false" outlineLevel="0" collapsed="false">
      <c r="B47" s="2" t="n">
        <v>12</v>
      </c>
      <c r="C47" s="3" t="n">
        <v>500</v>
      </c>
      <c r="D47" s="3" t="n">
        <v>4</v>
      </c>
      <c r="E47" s="2" t="n">
        <v>79.3</v>
      </c>
      <c r="F47" s="4" t="n">
        <v>2.69332921131829</v>
      </c>
      <c r="G47" s="2" t="n">
        <v>20</v>
      </c>
      <c r="H47" s="2" t="n">
        <v>34</v>
      </c>
      <c r="I47" s="1" t="n">
        <v>350</v>
      </c>
      <c r="J47" s="2" t="n">
        <v>450</v>
      </c>
      <c r="K47" s="3" t="n">
        <v>452</v>
      </c>
      <c r="L47" s="12" t="n">
        <v>0.0137386018237082</v>
      </c>
      <c r="M47" s="4" t="n">
        <v>90</v>
      </c>
      <c r="N47" s="4" t="n">
        <v>0.74</v>
      </c>
    </row>
    <row r="48" customFormat="false" ht="14.25" hidden="false" customHeight="false" outlineLevel="0" collapsed="false">
      <c r="A48" s="1" t="s">
        <v>30</v>
      </c>
      <c r="B48" s="2" t="n">
        <v>12</v>
      </c>
      <c r="C48" s="3" t="n">
        <v>500</v>
      </c>
      <c r="D48" s="3" t="n">
        <v>4</v>
      </c>
      <c r="E48" s="2" t="n">
        <v>79.3</v>
      </c>
      <c r="F48" s="4" t="n">
        <v>2.69332921131829</v>
      </c>
      <c r="G48" s="2" t="n">
        <v>20</v>
      </c>
      <c r="H48" s="2" t="n">
        <v>34</v>
      </c>
      <c r="I48" s="1" t="n">
        <v>350</v>
      </c>
      <c r="J48" s="2" t="n">
        <v>450</v>
      </c>
      <c r="K48" s="3" t="n">
        <v>452</v>
      </c>
      <c r="L48" s="12" t="n">
        <v>0.0137386018237082</v>
      </c>
      <c r="M48" s="4" t="n">
        <v>37.5</v>
      </c>
      <c r="N48" s="4" t="n">
        <v>0.17</v>
      </c>
    </row>
    <row r="49" customFormat="false" ht="14.25" hidden="false" customHeight="false" outlineLevel="0" collapsed="false">
      <c r="B49" s="2" t="n">
        <v>12</v>
      </c>
      <c r="C49" s="3" t="n">
        <v>500</v>
      </c>
      <c r="D49" s="3" t="n">
        <v>4</v>
      </c>
      <c r="E49" s="2" t="n">
        <v>79.3</v>
      </c>
      <c r="F49" s="4" t="n">
        <v>2.69332921131829</v>
      </c>
      <c r="G49" s="2" t="n">
        <v>20</v>
      </c>
      <c r="H49" s="2" t="n">
        <v>34</v>
      </c>
      <c r="I49" s="1" t="n">
        <v>350</v>
      </c>
      <c r="J49" s="2" t="n">
        <v>450</v>
      </c>
      <c r="K49" s="3" t="n">
        <v>452</v>
      </c>
      <c r="L49" s="12" t="n">
        <v>0.0137386018237082</v>
      </c>
      <c r="M49" s="4" t="n">
        <v>52.5</v>
      </c>
      <c r="N49" s="4" t="n">
        <v>0.36</v>
      </c>
    </row>
    <row r="50" customFormat="false" ht="14.25" hidden="false" customHeight="false" outlineLevel="0" collapsed="false">
      <c r="B50" s="2" t="n">
        <v>12</v>
      </c>
      <c r="C50" s="3" t="n">
        <v>500</v>
      </c>
      <c r="D50" s="3" t="n">
        <v>4</v>
      </c>
      <c r="E50" s="2" t="n">
        <v>79.3</v>
      </c>
      <c r="F50" s="4" t="n">
        <v>2.69332921131829</v>
      </c>
      <c r="G50" s="2" t="n">
        <v>20</v>
      </c>
      <c r="H50" s="2" t="n">
        <v>34</v>
      </c>
      <c r="I50" s="1" t="n">
        <v>350</v>
      </c>
      <c r="J50" s="2" t="n">
        <v>450</v>
      </c>
      <c r="K50" s="3" t="n">
        <v>452</v>
      </c>
      <c r="L50" s="12" t="n">
        <v>0.0137386018237082</v>
      </c>
      <c r="M50" s="4" t="n">
        <v>67.5</v>
      </c>
      <c r="N50" s="4" t="n">
        <v>0.56</v>
      </c>
    </row>
    <row r="51" customFormat="false" ht="14.25" hidden="false" customHeight="false" outlineLevel="0" collapsed="false">
      <c r="B51" s="2" t="n">
        <v>12</v>
      </c>
      <c r="C51" s="3" t="n">
        <v>500</v>
      </c>
      <c r="D51" s="3" t="n">
        <v>4</v>
      </c>
      <c r="E51" s="2" t="n">
        <v>79.3</v>
      </c>
      <c r="F51" s="4" t="n">
        <v>2.69332921131829</v>
      </c>
      <c r="G51" s="2" t="n">
        <v>20</v>
      </c>
      <c r="H51" s="2" t="n">
        <v>34</v>
      </c>
      <c r="I51" s="1" t="n">
        <v>350</v>
      </c>
      <c r="J51" s="2" t="n">
        <v>450</v>
      </c>
      <c r="K51" s="3" t="n">
        <v>452</v>
      </c>
      <c r="L51" s="12" t="n">
        <v>0.0137386018237082</v>
      </c>
      <c r="M51" s="4" t="n">
        <v>90</v>
      </c>
      <c r="N51" s="4" t="n">
        <v>0.78</v>
      </c>
    </row>
    <row r="52" customFormat="false" ht="14.25" hidden="false" customHeight="false" outlineLevel="0" collapsed="false">
      <c r="A52" s="1" t="s">
        <v>31</v>
      </c>
      <c r="B52" s="2" t="n">
        <v>12</v>
      </c>
      <c r="C52" s="3" t="n">
        <v>500</v>
      </c>
      <c r="D52" s="3" t="n">
        <v>4</v>
      </c>
      <c r="E52" s="2" t="n">
        <v>46</v>
      </c>
      <c r="F52" s="4" t="n">
        <v>2.69332921131829</v>
      </c>
      <c r="G52" s="2" t="n">
        <v>70</v>
      </c>
      <c r="H52" s="2" t="n">
        <v>88</v>
      </c>
      <c r="I52" s="1" t="n">
        <v>350</v>
      </c>
      <c r="J52" s="2" t="n">
        <v>450</v>
      </c>
      <c r="K52" s="3" t="n">
        <v>452</v>
      </c>
      <c r="L52" s="12" t="n">
        <v>0.0107619047619048</v>
      </c>
      <c r="M52" s="4" t="n">
        <v>37.5</v>
      </c>
      <c r="N52" s="4" t="n">
        <v>0.31</v>
      </c>
    </row>
    <row r="53" customFormat="false" ht="14.25" hidden="false" customHeight="false" outlineLevel="0" collapsed="false">
      <c r="B53" s="2" t="n">
        <v>12</v>
      </c>
      <c r="C53" s="3" t="n">
        <v>500</v>
      </c>
      <c r="D53" s="3" t="n">
        <v>4</v>
      </c>
      <c r="E53" s="2" t="n">
        <v>46</v>
      </c>
      <c r="F53" s="4" t="n">
        <v>2.69332921131829</v>
      </c>
      <c r="G53" s="2" t="n">
        <v>70</v>
      </c>
      <c r="H53" s="2" t="n">
        <v>88</v>
      </c>
      <c r="I53" s="1" t="n">
        <v>350</v>
      </c>
      <c r="J53" s="2" t="n">
        <v>450</v>
      </c>
      <c r="K53" s="3" t="n">
        <v>452</v>
      </c>
      <c r="L53" s="12" t="n">
        <v>0.0107619047619048</v>
      </c>
      <c r="M53" s="4" t="n">
        <v>45</v>
      </c>
      <c r="N53" s="4" t="n">
        <v>0.44</v>
      </c>
    </row>
    <row r="54" customFormat="false" ht="14.25" hidden="false" customHeight="false" outlineLevel="0" collapsed="false">
      <c r="A54" s="1" t="s">
        <v>32</v>
      </c>
      <c r="B54" s="2" t="n">
        <v>12</v>
      </c>
      <c r="C54" s="3" t="n">
        <v>500</v>
      </c>
      <c r="D54" s="3" t="n">
        <v>4</v>
      </c>
      <c r="E54" s="2" t="n">
        <v>46</v>
      </c>
      <c r="F54" s="4" t="n">
        <v>2.69332921131829</v>
      </c>
      <c r="G54" s="2" t="n">
        <v>70</v>
      </c>
      <c r="H54" s="2" t="n">
        <v>84</v>
      </c>
      <c r="I54" s="1" t="n">
        <v>350</v>
      </c>
      <c r="J54" s="2" t="n">
        <v>450</v>
      </c>
      <c r="K54" s="3" t="n">
        <v>452</v>
      </c>
      <c r="L54" s="12" t="n">
        <v>0.0107619047619048</v>
      </c>
      <c r="M54" s="4" t="n">
        <v>30</v>
      </c>
      <c r="N54" s="4" t="n">
        <v>0.14</v>
      </c>
    </row>
    <row r="55" customFormat="false" ht="14.25" hidden="false" customHeight="false" outlineLevel="0" collapsed="false">
      <c r="B55" s="2" t="n">
        <v>12</v>
      </c>
      <c r="C55" s="3" t="n">
        <v>500</v>
      </c>
      <c r="D55" s="3" t="n">
        <v>4</v>
      </c>
      <c r="E55" s="2" t="n">
        <v>46</v>
      </c>
      <c r="F55" s="4" t="n">
        <v>2.69332921131829</v>
      </c>
      <c r="G55" s="2" t="n">
        <v>70</v>
      </c>
      <c r="H55" s="2" t="n">
        <v>84</v>
      </c>
      <c r="I55" s="1" t="n">
        <v>350</v>
      </c>
      <c r="J55" s="2" t="n">
        <v>450</v>
      </c>
      <c r="K55" s="3" t="n">
        <v>452</v>
      </c>
      <c r="L55" s="12" t="n">
        <v>0.0107619047619048</v>
      </c>
      <c r="M55" s="4" t="n">
        <v>37.5</v>
      </c>
      <c r="N55" s="4" t="n">
        <v>0.31</v>
      </c>
    </row>
    <row r="56" customFormat="false" ht="14.25" hidden="false" customHeight="false" outlineLevel="0" collapsed="false">
      <c r="B56" s="2" t="n">
        <v>12</v>
      </c>
      <c r="C56" s="3" t="n">
        <v>500</v>
      </c>
      <c r="D56" s="3" t="n">
        <v>4</v>
      </c>
      <c r="E56" s="2" t="n">
        <v>46</v>
      </c>
      <c r="F56" s="4" t="n">
        <v>2.69332921131829</v>
      </c>
      <c r="G56" s="2" t="n">
        <v>70</v>
      </c>
      <c r="H56" s="2" t="n">
        <v>84</v>
      </c>
      <c r="I56" s="1" t="n">
        <v>350</v>
      </c>
      <c r="J56" s="2" t="n">
        <v>450</v>
      </c>
      <c r="K56" s="3" t="n">
        <v>452</v>
      </c>
      <c r="L56" s="12" t="n">
        <v>0.0107619047619048</v>
      </c>
      <c r="M56" s="4" t="n">
        <v>45</v>
      </c>
      <c r="N56" s="4" t="n">
        <v>0.4</v>
      </c>
    </row>
    <row r="57" customFormat="false" ht="14.25" hidden="false" customHeight="false" outlineLevel="0" collapsed="false">
      <c r="A57" s="1" t="s">
        <v>33</v>
      </c>
      <c r="B57" s="2" t="n">
        <v>12</v>
      </c>
      <c r="C57" s="3" t="n">
        <v>500</v>
      </c>
      <c r="D57" s="3" t="n">
        <v>4</v>
      </c>
      <c r="E57" s="2" t="n">
        <v>46</v>
      </c>
      <c r="F57" s="4" t="n">
        <v>2.69332921131829</v>
      </c>
      <c r="G57" s="2" t="n">
        <v>70</v>
      </c>
      <c r="H57" s="2" t="n">
        <v>84</v>
      </c>
      <c r="I57" s="1" t="n">
        <v>350</v>
      </c>
      <c r="J57" s="2" t="n">
        <v>450</v>
      </c>
      <c r="K57" s="3" t="n">
        <v>452</v>
      </c>
      <c r="L57" s="12" t="n">
        <v>0.0107619047619048</v>
      </c>
      <c r="M57" s="4" t="n">
        <v>30</v>
      </c>
      <c r="N57" s="4" t="n">
        <v>0.25</v>
      </c>
    </row>
    <row r="58" customFormat="false" ht="14.25" hidden="false" customHeight="false" outlineLevel="0" collapsed="false">
      <c r="B58" s="2" t="n">
        <v>12</v>
      </c>
      <c r="C58" s="3" t="n">
        <v>500</v>
      </c>
      <c r="D58" s="3" t="n">
        <v>4</v>
      </c>
      <c r="E58" s="2" t="n">
        <v>46</v>
      </c>
      <c r="F58" s="4" t="n">
        <v>2.69332921131829</v>
      </c>
      <c r="G58" s="2" t="n">
        <v>70</v>
      </c>
      <c r="H58" s="2" t="n">
        <v>84</v>
      </c>
      <c r="I58" s="1" t="n">
        <v>350</v>
      </c>
      <c r="J58" s="2" t="n">
        <v>450</v>
      </c>
      <c r="K58" s="3" t="n">
        <v>452</v>
      </c>
      <c r="L58" s="12" t="n">
        <v>0.0107619047619048</v>
      </c>
      <c r="M58" s="4" t="n">
        <v>37.5</v>
      </c>
      <c r="N58" s="4" t="n">
        <v>0.44</v>
      </c>
    </row>
    <row r="59" customFormat="false" ht="14.25" hidden="false" customHeight="false" outlineLevel="0" collapsed="false">
      <c r="B59" s="2" t="n">
        <v>12</v>
      </c>
      <c r="C59" s="3" t="n">
        <v>500</v>
      </c>
      <c r="D59" s="3" t="n">
        <v>4</v>
      </c>
      <c r="E59" s="2" t="n">
        <v>46</v>
      </c>
      <c r="F59" s="4" t="n">
        <v>2.69332921131829</v>
      </c>
      <c r="G59" s="2" t="n">
        <v>70</v>
      </c>
      <c r="H59" s="2" t="n">
        <v>84</v>
      </c>
      <c r="I59" s="1" t="n">
        <v>350</v>
      </c>
      <c r="J59" s="2" t="n">
        <v>450</v>
      </c>
      <c r="K59" s="3" t="n">
        <v>452</v>
      </c>
      <c r="L59" s="12" t="n">
        <v>0.0107619047619048</v>
      </c>
      <c r="M59" s="4" t="n">
        <v>45</v>
      </c>
      <c r="N59" s="4" t="n">
        <v>0.56</v>
      </c>
    </row>
    <row r="60" customFormat="false" ht="14.25" hidden="false" customHeight="false" outlineLevel="0" collapsed="false">
      <c r="A60" s="1" t="s">
        <v>34</v>
      </c>
      <c r="B60" s="2" t="n">
        <v>25</v>
      </c>
      <c r="C60" s="3" t="n">
        <v>500</v>
      </c>
      <c r="D60" s="3" t="n">
        <v>4</v>
      </c>
      <c r="E60" s="2" t="n">
        <v>62</v>
      </c>
      <c r="F60" s="4" t="n">
        <v>2.69332921131829</v>
      </c>
      <c r="G60" s="2" t="n">
        <v>20</v>
      </c>
      <c r="H60" s="2" t="n">
        <v>40.5</v>
      </c>
      <c r="I60" s="1" t="n">
        <v>350</v>
      </c>
      <c r="J60" s="2" t="n">
        <v>450</v>
      </c>
      <c r="K60" s="3" t="n">
        <v>1964</v>
      </c>
      <c r="L60" s="12" t="n">
        <v>0.0395867976820358</v>
      </c>
      <c r="M60" s="4" t="n">
        <v>150</v>
      </c>
      <c r="N60" s="4" t="n">
        <v>0.23</v>
      </c>
    </row>
    <row r="61" customFormat="false" ht="14.25" hidden="false" customHeight="false" outlineLevel="0" collapsed="false">
      <c r="B61" s="2" t="n">
        <v>25</v>
      </c>
      <c r="C61" s="3" t="n">
        <v>500</v>
      </c>
      <c r="D61" s="3" t="n">
        <v>4</v>
      </c>
      <c r="E61" s="2" t="n">
        <v>62</v>
      </c>
      <c r="F61" s="4" t="n">
        <v>2.69332921131829</v>
      </c>
      <c r="G61" s="2" t="n">
        <v>20</v>
      </c>
      <c r="H61" s="2" t="n">
        <v>40.5</v>
      </c>
      <c r="I61" s="1" t="n">
        <v>350</v>
      </c>
      <c r="J61" s="2" t="n">
        <v>450</v>
      </c>
      <c r="K61" s="3" t="n">
        <v>1964</v>
      </c>
      <c r="L61" s="12" t="n">
        <v>0.0395867976820358</v>
      </c>
      <c r="M61" s="4" t="n">
        <v>225</v>
      </c>
      <c r="N61" s="4" t="n">
        <v>0.35</v>
      </c>
    </row>
    <row r="62" customFormat="false" ht="14.25" hidden="false" customHeight="false" outlineLevel="0" collapsed="false">
      <c r="B62" s="2" t="n">
        <v>25</v>
      </c>
      <c r="C62" s="3" t="n">
        <v>500</v>
      </c>
      <c r="D62" s="3" t="n">
        <v>4</v>
      </c>
      <c r="E62" s="2" t="n">
        <v>62</v>
      </c>
      <c r="F62" s="4" t="n">
        <v>2.69332921131829</v>
      </c>
      <c r="G62" s="2" t="n">
        <v>20</v>
      </c>
      <c r="H62" s="2" t="n">
        <v>40.5</v>
      </c>
      <c r="I62" s="1" t="n">
        <v>350</v>
      </c>
      <c r="J62" s="2" t="n">
        <v>450</v>
      </c>
      <c r="K62" s="3" t="n">
        <v>1964</v>
      </c>
      <c r="L62" s="12" t="n">
        <v>0.0395867976820358</v>
      </c>
      <c r="M62" s="4" t="n">
        <v>300</v>
      </c>
      <c r="N62" s="4" t="n">
        <v>0.49</v>
      </c>
    </row>
    <row r="63" customFormat="false" ht="14.25" hidden="false" customHeight="false" outlineLevel="0" collapsed="false">
      <c r="B63" s="2" t="n">
        <v>25</v>
      </c>
      <c r="C63" s="3" t="n">
        <v>500</v>
      </c>
      <c r="D63" s="3" t="n">
        <v>4</v>
      </c>
      <c r="E63" s="2" t="n">
        <v>62</v>
      </c>
      <c r="F63" s="4" t="n">
        <v>2.69332921131829</v>
      </c>
      <c r="G63" s="2" t="n">
        <v>20</v>
      </c>
      <c r="H63" s="2" t="n">
        <v>40.5</v>
      </c>
      <c r="I63" s="1" t="n">
        <v>350</v>
      </c>
      <c r="J63" s="2" t="n">
        <v>450</v>
      </c>
      <c r="K63" s="3" t="n">
        <v>1964</v>
      </c>
      <c r="L63" s="12" t="n">
        <v>0.0395867976820358</v>
      </c>
      <c r="M63" s="4" t="n">
        <v>375</v>
      </c>
      <c r="N63" s="4" t="n">
        <v>0.67</v>
      </c>
    </row>
    <row r="64" customFormat="false" ht="14.25" hidden="false" customHeight="false" outlineLevel="0" collapsed="false">
      <c r="A64" s="1" t="s">
        <v>35</v>
      </c>
      <c r="B64" s="2" t="n">
        <v>25</v>
      </c>
      <c r="C64" s="3" t="n">
        <v>500</v>
      </c>
      <c r="D64" s="3" t="n">
        <v>4</v>
      </c>
      <c r="E64" s="2" t="n">
        <v>62</v>
      </c>
      <c r="F64" s="4" t="n">
        <v>2.69332921131829</v>
      </c>
      <c r="G64" s="2" t="n">
        <v>20</v>
      </c>
      <c r="H64" s="2" t="n">
        <v>40.5</v>
      </c>
      <c r="I64" s="1" t="n">
        <v>350</v>
      </c>
      <c r="J64" s="2" t="n">
        <v>450</v>
      </c>
      <c r="K64" s="3" t="n">
        <v>1964</v>
      </c>
      <c r="L64" s="12" t="n">
        <v>0.0395867976820358</v>
      </c>
      <c r="M64" s="4" t="n">
        <v>150</v>
      </c>
      <c r="N64" s="4" t="n">
        <v>0.27</v>
      </c>
    </row>
    <row r="65" customFormat="false" ht="14.25" hidden="false" customHeight="false" outlineLevel="0" collapsed="false">
      <c r="B65" s="2" t="n">
        <v>25</v>
      </c>
      <c r="C65" s="3" t="n">
        <v>500</v>
      </c>
      <c r="D65" s="3" t="n">
        <v>4</v>
      </c>
      <c r="E65" s="2" t="n">
        <v>62</v>
      </c>
      <c r="F65" s="4" t="n">
        <v>2.69332921131829</v>
      </c>
      <c r="G65" s="2" t="n">
        <v>20</v>
      </c>
      <c r="H65" s="2" t="n">
        <v>40.5</v>
      </c>
      <c r="I65" s="1" t="n">
        <v>350</v>
      </c>
      <c r="J65" s="2" t="n">
        <v>450</v>
      </c>
      <c r="K65" s="3" t="n">
        <v>1964</v>
      </c>
      <c r="L65" s="12" t="n">
        <v>0.0395867976820358</v>
      </c>
      <c r="M65" s="4" t="n">
        <v>225</v>
      </c>
      <c r="N65" s="4" t="n">
        <v>0.4</v>
      </c>
    </row>
    <row r="66" customFormat="false" ht="14.25" hidden="false" customHeight="false" outlineLevel="0" collapsed="false">
      <c r="B66" s="2" t="n">
        <v>25</v>
      </c>
      <c r="C66" s="3" t="n">
        <v>500</v>
      </c>
      <c r="D66" s="3" t="n">
        <v>4</v>
      </c>
      <c r="E66" s="2" t="n">
        <v>62</v>
      </c>
      <c r="F66" s="4" t="n">
        <v>2.69332921131829</v>
      </c>
      <c r="G66" s="2" t="n">
        <v>20</v>
      </c>
      <c r="H66" s="2" t="n">
        <v>40.5</v>
      </c>
      <c r="I66" s="1" t="n">
        <v>350</v>
      </c>
      <c r="J66" s="2" t="n">
        <v>450</v>
      </c>
      <c r="K66" s="3" t="n">
        <v>1964</v>
      </c>
      <c r="L66" s="12" t="n">
        <v>0.0395867976820358</v>
      </c>
      <c r="M66" s="4" t="n">
        <v>300</v>
      </c>
      <c r="N66" s="4" t="n">
        <v>0.53</v>
      </c>
    </row>
    <row r="67" customFormat="false" ht="14.25" hidden="false" customHeight="false" outlineLevel="0" collapsed="false">
      <c r="B67" s="2" t="n">
        <v>25</v>
      </c>
      <c r="C67" s="3" t="n">
        <v>500</v>
      </c>
      <c r="D67" s="3" t="n">
        <v>4</v>
      </c>
      <c r="E67" s="2" t="n">
        <v>62</v>
      </c>
      <c r="F67" s="4" t="n">
        <v>2.69332921131829</v>
      </c>
      <c r="G67" s="2" t="n">
        <v>20</v>
      </c>
      <c r="H67" s="2" t="n">
        <v>40.5</v>
      </c>
      <c r="I67" s="1" t="n">
        <v>350</v>
      </c>
      <c r="J67" s="2" t="n">
        <v>450</v>
      </c>
      <c r="K67" s="3" t="n">
        <v>1964</v>
      </c>
      <c r="L67" s="12" t="n">
        <v>0.0395867976820358</v>
      </c>
      <c r="M67" s="4" t="n">
        <v>375</v>
      </c>
      <c r="N67" s="4" t="n">
        <v>0.72</v>
      </c>
    </row>
    <row r="68" customFormat="false" ht="14.25" hidden="false" customHeight="false" outlineLevel="0" collapsed="false">
      <c r="A68" s="1" t="s">
        <v>36</v>
      </c>
      <c r="B68" s="2" t="n">
        <v>25</v>
      </c>
      <c r="C68" s="3" t="n">
        <v>500</v>
      </c>
      <c r="D68" s="3" t="n">
        <v>4</v>
      </c>
      <c r="E68" s="2" t="n">
        <v>28.7</v>
      </c>
      <c r="F68" s="4" t="n">
        <v>2.69332921131829</v>
      </c>
      <c r="G68" s="2" t="n">
        <v>70</v>
      </c>
      <c r="H68" s="2" t="n">
        <v>94.5</v>
      </c>
      <c r="I68" s="1" t="n">
        <v>350</v>
      </c>
      <c r="J68" s="2" t="n">
        <v>450</v>
      </c>
      <c r="K68" s="3" t="n">
        <v>1964</v>
      </c>
      <c r="L68" s="12" t="n">
        <v>0.0255645948584445</v>
      </c>
      <c r="M68" s="4" t="n">
        <v>75</v>
      </c>
      <c r="N68" s="4" t="n">
        <v>0.3</v>
      </c>
    </row>
    <row r="69" customFormat="false" ht="14.25" hidden="false" customHeight="false" outlineLevel="0" collapsed="false">
      <c r="B69" s="2" t="n">
        <v>25</v>
      </c>
      <c r="C69" s="3" t="n">
        <v>500</v>
      </c>
      <c r="D69" s="3" t="n">
        <v>4</v>
      </c>
      <c r="E69" s="2" t="n">
        <v>28.7</v>
      </c>
      <c r="F69" s="4" t="n">
        <v>2.69332921131829</v>
      </c>
      <c r="G69" s="2" t="n">
        <v>70</v>
      </c>
      <c r="H69" s="2" t="n">
        <v>94.5</v>
      </c>
      <c r="I69" s="1" t="n">
        <v>350</v>
      </c>
      <c r="J69" s="2" t="n">
        <v>450</v>
      </c>
      <c r="K69" s="3" t="n">
        <v>1964</v>
      </c>
      <c r="L69" s="12" t="n">
        <v>0.0255645948584445</v>
      </c>
      <c r="M69" s="4" t="n">
        <v>150</v>
      </c>
      <c r="N69" s="4" t="n">
        <v>0.57</v>
      </c>
    </row>
    <row r="70" customFormat="false" ht="14.25" hidden="false" customHeight="false" outlineLevel="0" collapsed="false">
      <c r="A70" s="1" t="s">
        <v>37</v>
      </c>
      <c r="B70" s="2" t="n">
        <v>25</v>
      </c>
      <c r="C70" s="3" t="n">
        <v>500</v>
      </c>
      <c r="D70" s="3" t="n">
        <v>4</v>
      </c>
      <c r="E70" s="2" t="n">
        <v>28.7</v>
      </c>
      <c r="F70" s="4" t="n">
        <v>2.69332921131829</v>
      </c>
      <c r="G70" s="2" t="n">
        <v>70</v>
      </c>
      <c r="H70" s="2" t="n">
        <v>90.5</v>
      </c>
      <c r="I70" s="1" t="n">
        <v>350</v>
      </c>
      <c r="J70" s="2" t="n">
        <v>450</v>
      </c>
      <c r="K70" s="3" t="n">
        <v>1964</v>
      </c>
      <c r="L70" s="12" t="n">
        <v>0.0260391117003646</v>
      </c>
      <c r="M70" s="4" t="n">
        <v>75</v>
      </c>
      <c r="N70" s="4" t="n">
        <v>0.26</v>
      </c>
    </row>
    <row r="71" customFormat="false" ht="14.25" hidden="false" customHeight="false" outlineLevel="0" collapsed="false">
      <c r="B71" s="2" t="n">
        <v>25</v>
      </c>
      <c r="C71" s="3" t="n">
        <v>500</v>
      </c>
      <c r="D71" s="3" t="n">
        <v>4</v>
      </c>
      <c r="E71" s="2" t="n">
        <v>28.7</v>
      </c>
      <c r="F71" s="4" t="n">
        <v>2.69332921131829</v>
      </c>
      <c r="G71" s="2" t="n">
        <v>70</v>
      </c>
      <c r="H71" s="2" t="n">
        <v>90.5</v>
      </c>
      <c r="I71" s="1" t="n">
        <v>350</v>
      </c>
      <c r="J71" s="2" t="n">
        <v>450</v>
      </c>
      <c r="K71" s="3" t="n">
        <v>1964</v>
      </c>
      <c r="L71" s="12" t="n">
        <v>0.0260391117003646</v>
      </c>
      <c r="M71" s="4" t="n">
        <v>150</v>
      </c>
      <c r="N71" s="4" t="n">
        <v>0.6</v>
      </c>
    </row>
    <row r="72" customFormat="false" ht="14.25" hidden="false" customHeight="false" outlineLevel="0" collapsed="false">
      <c r="A72" s="1" t="s">
        <v>38</v>
      </c>
      <c r="B72" s="2" t="n">
        <v>25</v>
      </c>
      <c r="C72" s="3" t="n">
        <v>500</v>
      </c>
      <c r="D72" s="3" t="n">
        <v>4</v>
      </c>
      <c r="E72" s="2" t="n">
        <v>28.7</v>
      </c>
      <c r="F72" s="4" t="n">
        <v>2.69332921131829</v>
      </c>
      <c r="G72" s="2" t="n">
        <v>70</v>
      </c>
      <c r="H72" s="2" t="n">
        <v>90.5</v>
      </c>
      <c r="I72" s="1" t="n">
        <v>350</v>
      </c>
      <c r="J72" s="2" t="n">
        <v>450</v>
      </c>
      <c r="K72" s="3" t="n">
        <v>1964</v>
      </c>
      <c r="L72" s="12" t="n">
        <v>0.0260391117003646</v>
      </c>
      <c r="M72" s="4" t="n">
        <v>75</v>
      </c>
      <c r="N72" s="4" t="n">
        <v>0.27</v>
      </c>
    </row>
    <row r="73" customFormat="false" ht="14.25" hidden="false" customHeight="false" outlineLevel="0" collapsed="false">
      <c r="B73" s="2" t="n">
        <v>25</v>
      </c>
      <c r="C73" s="3" t="n">
        <v>500</v>
      </c>
      <c r="D73" s="3" t="n">
        <v>4</v>
      </c>
      <c r="E73" s="2" t="n">
        <v>28.7</v>
      </c>
      <c r="F73" s="4" t="n">
        <v>2.69332921131829</v>
      </c>
      <c r="G73" s="2" t="n">
        <v>70</v>
      </c>
      <c r="H73" s="2" t="n">
        <v>90.5</v>
      </c>
      <c r="I73" s="1" t="n">
        <v>350</v>
      </c>
      <c r="J73" s="2" t="n">
        <v>450</v>
      </c>
      <c r="K73" s="3" t="n">
        <v>1964</v>
      </c>
      <c r="L73" s="12" t="n">
        <v>0.0260391117003646</v>
      </c>
      <c r="M73" s="4" t="n">
        <v>150</v>
      </c>
      <c r="N73" s="4" t="n">
        <v>0.59</v>
      </c>
    </row>
    <row r="74" customFormat="false" ht="14.25" hidden="false" customHeight="false" outlineLevel="0" collapsed="false">
      <c r="A74" s="1" t="s">
        <v>39</v>
      </c>
      <c r="B74" s="2" t="n">
        <v>9.52</v>
      </c>
      <c r="C74" s="3" t="n">
        <v>434</v>
      </c>
      <c r="D74" s="3" t="n">
        <v>3</v>
      </c>
      <c r="E74" s="2" t="n">
        <v>22.2</v>
      </c>
      <c r="F74" s="4" t="n">
        <v>3.56416000199951</v>
      </c>
      <c r="G74" s="2" t="n">
        <v>20.64</v>
      </c>
      <c r="H74" s="2" t="n">
        <v>25.4</v>
      </c>
      <c r="I74" s="1" t="n">
        <v>114.3</v>
      </c>
      <c r="J74" s="2" t="n">
        <v>228.6</v>
      </c>
      <c r="K74" s="3" t="n">
        <v>212.9</v>
      </c>
      <c r="L74" s="12" t="n">
        <v>0.0255156461606683</v>
      </c>
      <c r="M74" s="4" t="n">
        <v>11.6</v>
      </c>
      <c r="N74" s="4" t="n">
        <v>0.15</v>
      </c>
    </row>
    <row r="75" customFormat="false" ht="14.25" hidden="false" customHeight="false" outlineLevel="0" collapsed="false">
      <c r="B75" s="2" t="n">
        <v>9.52</v>
      </c>
      <c r="C75" s="3" t="n">
        <v>434</v>
      </c>
      <c r="D75" s="3" t="n">
        <v>3</v>
      </c>
      <c r="E75" s="2" t="n">
        <v>22.2</v>
      </c>
      <c r="F75" s="4" t="n">
        <v>3.56416000199951</v>
      </c>
      <c r="G75" s="2" t="n">
        <v>20.64</v>
      </c>
      <c r="H75" s="2" t="n">
        <v>25.4</v>
      </c>
      <c r="I75" s="1" t="n">
        <v>114.3</v>
      </c>
      <c r="J75" s="2" t="n">
        <v>228.6</v>
      </c>
      <c r="K75" s="3" t="n">
        <v>212.9</v>
      </c>
      <c r="L75" s="12" t="n">
        <v>0.0255156461606683</v>
      </c>
      <c r="M75" s="4" t="n">
        <v>13.5</v>
      </c>
      <c r="N75" s="4" t="n">
        <v>0.17</v>
      </c>
    </row>
    <row r="76" customFormat="false" ht="14.25" hidden="false" customHeight="false" outlineLevel="0" collapsed="false">
      <c r="A76" s="1" t="s">
        <v>40</v>
      </c>
      <c r="B76" s="2" t="n">
        <v>12.7</v>
      </c>
      <c r="C76" s="3" t="n">
        <v>434</v>
      </c>
      <c r="D76" s="3" t="n">
        <v>3</v>
      </c>
      <c r="E76" s="2" t="n">
        <v>19.05</v>
      </c>
      <c r="F76" s="4" t="n">
        <v>3.97660816382294</v>
      </c>
      <c r="G76" s="2" t="n">
        <v>19.05</v>
      </c>
      <c r="H76" s="2" t="n">
        <v>25.4</v>
      </c>
      <c r="I76" s="1" t="n">
        <v>114.3</v>
      </c>
      <c r="J76" s="2" t="n">
        <v>228.6</v>
      </c>
      <c r="K76" s="3" t="n">
        <v>387.1</v>
      </c>
      <c r="L76" s="12" t="n">
        <v>0.0380956317468191</v>
      </c>
      <c r="M76" s="4" t="n">
        <v>21.1</v>
      </c>
      <c r="N76" s="4" t="n">
        <v>0.15</v>
      </c>
    </row>
    <row r="77" customFormat="false" ht="14.25" hidden="false" customHeight="false" outlineLevel="0" collapsed="false">
      <c r="B77" s="2" t="n">
        <v>12.7</v>
      </c>
      <c r="C77" s="3" t="n">
        <v>434</v>
      </c>
      <c r="D77" s="3" t="n">
        <v>3</v>
      </c>
      <c r="E77" s="2" t="n">
        <v>19.05</v>
      </c>
      <c r="F77" s="4" t="n">
        <v>3.97660816382294</v>
      </c>
      <c r="G77" s="2" t="n">
        <v>19.05</v>
      </c>
      <c r="H77" s="2" t="n">
        <v>25.4</v>
      </c>
      <c r="I77" s="1" t="n">
        <v>114.3</v>
      </c>
      <c r="J77" s="2" t="n">
        <v>228.6</v>
      </c>
      <c r="K77" s="3" t="n">
        <v>387.1</v>
      </c>
      <c r="L77" s="12" t="n">
        <v>0.0380956317468191</v>
      </c>
      <c r="M77" s="4" t="n">
        <v>24.2</v>
      </c>
      <c r="N77" s="4" t="n">
        <v>0.17</v>
      </c>
    </row>
    <row r="78" customFormat="false" ht="14.25" hidden="false" customHeight="false" outlineLevel="0" collapsed="false">
      <c r="B78" s="2" t="n">
        <v>12.7</v>
      </c>
      <c r="C78" s="3" t="n">
        <v>434</v>
      </c>
      <c r="D78" s="3" t="n">
        <v>3</v>
      </c>
      <c r="E78" s="2" t="n">
        <v>19.05</v>
      </c>
      <c r="F78" s="4" t="n">
        <v>3.97660816382294</v>
      </c>
      <c r="G78" s="2" t="n">
        <v>19.05</v>
      </c>
      <c r="H78" s="2" t="n">
        <v>25.4</v>
      </c>
      <c r="I78" s="1" t="n">
        <v>114.3</v>
      </c>
      <c r="J78" s="2" t="n">
        <v>228.6</v>
      </c>
      <c r="K78" s="3" t="n">
        <v>387.1</v>
      </c>
      <c r="L78" s="12" t="n">
        <v>0.0380956317468191</v>
      </c>
      <c r="M78" s="4" t="n">
        <v>28.6</v>
      </c>
      <c r="N78" s="4" t="n">
        <v>0.2</v>
      </c>
    </row>
    <row r="79" customFormat="false" ht="14.25" hidden="false" customHeight="false" outlineLevel="0" collapsed="false">
      <c r="A79" s="1" t="s">
        <v>41</v>
      </c>
      <c r="B79" s="2" t="n">
        <v>15.9</v>
      </c>
      <c r="C79" s="3" t="n">
        <v>540</v>
      </c>
      <c r="D79" s="3" t="n">
        <v>3</v>
      </c>
      <c r="E79" s="2" t="n">
        <v>15.9</v>
      </c>
      <c r="F79" s="4" t="n">
        <v>3.97660816382294</v>
      </c>
      <c r="G79" s="2" t="n">
        <v>17.46</v>
      </c>
      <c r="H79" s="2" t="n">
        <v>25.4</v>
      </c>
      <c r="I79" s="1" t="n">
        <v>114.3</v>
      </c>
      <c r="J79" s="2" t="n">
        <v>228.6</v>
      </c>
      <c r="K79" s="3" t="n">
        <v>600</v>
      </c>
      <c r="L79" s="12" t="n">
        <v>0.0590477371430933</v>
      </c>
      <c r="M79" s="4" t="n">
        <v>30.5</v>
      </c>
      <c r="N79" s="4" t="n">
        <v>0.16</v>
      </c>
    </row>
    <row r="80" customFormat="false" ht="14.25" hidden="false" customHeight="false" outlineLevel="0" collapsed="false">
      <c r="B80" s="2" t="n">
        <v>15.9</v>
      </c>
      <c r="C80" s="3" t="n">
        <v>540</v>
      </c>
      <c r="D80" s="3" t="n">
        <v>3</v>
      </c>
      <c r="E80" s="2" t="n">
        <v>15.9</v>
      </c>
      <c r="F80" s="4" t="n">
        <v>3.97660816382294</v>
      </c>
      <c r="G80" s="2" t="n">
        <v>17.46</v>
      </c>
      <c r="H80" s="2" t="n">
        <v>25.4</v>
      </c>
      <c r="I80" s="1" t="n">
        <v>114.3</v>
      </c>
      <c r="J80" s="2" t="n">
        <v>228.6</v>
      </c>
      <c r="K80" s="3" t="n">
        <v>600</v>
      </c>
      <c r="L80" s="12" t="n">
        <v>0.0590477371430933</v>
      </c>
      <c r="M80" s="4" t="n">
        <v>40</v>
      </c>
      <c r="N80" s="4" t="n">
        <v>0.21</v>
      </c>
    </row>
    <row r="81" customFormat="false" ht="14.25" hidden="false" customHeight="false" outlineLevel="0" collapsed="false">
      <c r="A81" s="1" t="s">
        <v>42</v>
      </c>
      <c r="B81" s="2" t="n">
        <v>16</v>
      </c>
      <c r="C81" s="3" t="n">
        <v>500</v>
      </c>
      <c r="D81" s="3" t="n">
        <v>2</v>
      </c>
      <c r="E81" s="2" t="n">
        <v>138</v>
      </c>
      <c r="F81" s="4" t="n">
        <v>3.269</v>
      </c>
      <c r="G81" s="2" t="n">
        <v>40</v>
      </c>
      <c r="H81" s="2" t="n">
        <v>48</v>
      </c>
      <c r="I81" s="1" t="n">
        <v>250</v>
      </c>
      <c r="J81" s="2" t="n">
        <v>348</v>
      </c>
      <c r="K81" s="3" t="n">
        <v>400</v>
      </c>
      <c r="L81" s="12" t="n">
        <v>0.0125</v>
      </c>
      <c r="M81" s="4" t="n">
        <v>20.42</v>
      </c>
      <c r="N81" s="4" t="n">
        <v>0.15</v>
      </c>
    </row>
    <row r="82" customFormat="false" ht="14.25" hidden="false" customHeight="false" outlineLevel="0" collapsed="false">
      <c r="B82" s="2" t="n">
        <v>16</v>
      </c>
      <c r="C82" s="3" t="n">
        <v>500</v>
      </c>
      <c r="D82" s="3" t="n">
        <v>2</v>
      </c>
      <c r="E82" s="2" t="n">
        <v>138</v>
      </c>
      <c r="F82" s="4" t="n">
        <v>3.269</v>
      </c>
      <c r="G82" s="2" t="n">
        <v>40</v>
      </c>
      <c r="H82" s="2" t="n">
        <v>48</v>
      </c>
      <c r="I82" s="1" t="n">
        <v>250</v>
      </c>
      <c r="J82" s="2" t="n">
        <v>348</v>
      </c>
      <c r="K82" s="3" t="n">
        <v>400</v>
      </c>
      <c r="L82" s="12" t="n">
        <v>0.0125</v>
      </c>
      <c r="M82" s="4" t="n">
        <v>23.34</v>
      </c>
      <c r="N82" s="4" t="n">
        <v>0.2</v>
      </c>
    </row>
    <row r="83" customFormat="false" ht="14.25" hidden="false" customHeight="false" outlineLevel="0" collapsed="false">
      <c r="B83" s="2" t="n">
        <v>16</v>
      </c>
      <c r="C83" s="3" t="n">
        <v>500</v>
      </c>
      <c r="D83" s="3" t="n">
        <v>2</v>
      </c>
      <c r="E83" s="2" t="n">
        <v>138</v>
      </c>
      <c r="F83" s="4" t="n">
        <v>3.269</v>
      </c>
      <c r="G83" s="2" t="n">
        <v>40</v>
      </c>
      <c r="H83" s="2" t="n">
        <v>48</v>
      </c>
      <c r="I83" s="1" t="n">
        <v>250</v>
      </c>
      <c r="J83" s="2" t="n">
        <v>348</v>
      </c>
      <c r="K83" s="3" t="n">
        <v>400</v>
      </c>
      <c r="L83" s="12" t="n">
        <v>0.0125</v>
      </c>
      <c r="M83" s="4" t="n">
        <v>26.26</v>
      </c>
      <c r="N83" s="4" t="n">
        <v>0.25</v>
      </c>
    </row>
    <row r="84" customFormat="false" ht="14.25" hidden="false" customHeight="false" outlineLevel="0" collapsed="false">
      <c r="B84" s="2" t="n">
        <v>16</v>
      </c>
      <c r="C84" s="3" t="n">
        <v>500</v>
      </c>
      <c r="D84" s="3" t="n">
        <v>2</v>
      </c>
      <c r="E84" s="2" t="n">
        <v>138</v>
      </c>
      <c r="F84" s="4" t="n">
        <v>3.269</v>
      </c>
      <c r="G84" s="2" t="n">
        <v>40</v>
      </c>
      <c r="H84" s="2" t="n">
        <v>48</v>
      </c>
      <c r="I84" s="1" t="n">
        <v>250</v>
      </c>
      <c r="J84" s="2" t="n">
        <v>348</v>
      </c>
      <c r="K84" s="3" t="n">
        <v>400</v>
      </c>
      <c r="L84" s="12" t="n">
        <v>0.0125</v>
      </c>
      <c r="M84" s="4" t="n">
        <v>29.175</v>
      </c>
      <c r="N84" s="4" t="n">
        <v>0.28</v>
      </c>
    </row>
    <row r="85" customFormat="false" ht="14.25" hidden="false" customHeight="false" outlineLevel="0" collapsed="false">
      <c r="B85" s="2" t="n">
        <v>16</v>
      </c>
      <c r="C85" s="3" t="n">
        <v>500</v>
      </c>
      <c r="D85" s="3" t="n">
        <v>2</v>
      </c>
      <c r="E85" s="2" t="n">
        <v>138</v>
      </c>
      <c r="F85" s="4" t="n">
        <v>3.269</v>
      </c>
      <c r="G85" s="2" t="n">
        <v>40</v>
      </c>
      <c r="H85" s="2" t="n">
        <v>48</v>
      </c>
      <c r="I85" s="1" t="n">
        <v>250</v>
      </c>
      <c r="J85" s="2" t="n">
        <v>348</v>
      </c>
      <c r="K85" s="3" t="n">
        <v>400</v>
      </c>
      <c r="L85" s="12" t="n">
        <v>0.0125</v>
      </c>
      <c r="M85" s="4" t="n">
        <v>32.09</v>
      </c>
      <c r="N85" s="4" t="n">
        <v>0.28</v>
      </c>
    </row>
    <row r="86" customFormat="false" ht="14.25" hidden="false" customHeight="false" outlineLevel="0" collapsed="false">
      <c r="B86" s="2" t="n">
        <v>16</v>
      </c>
      <c r="C86" s="3" t="n">
        <v>500</v>
      </c>
      <c r="D86" s="3" t="n">
        <v>2</v>
      </c>
      <c r="E86" s="2" t="n">
        <v>138</v>
      </c>
      <c r="F86" s="4" t="n">
        <v>3.269</v>
      </c>
      <c r="G86" s="2" t="n">
        <v>40</v>
      </c>
      <c r="H86" s="2" t="n">
        <v>48</v>
      </c>
      <c r="I86" s="1" t="n">
        <v>250</v>
      </c>
      <c r="J86" s="2" t="n">
        <v>348</v>
      </c>
      <c r="K86" s="3" t="n">
        <v>400</v>
      </c>
      <c r="L86" s="12" t="n">
        <v>0.0125</v>
      </c>
      <c r="M86" s="4" t="n">
        <v>35.01</v>
      </c>
      <c r="N86" s="4" t="n">
        <v>0.3</v>
      </c>
    </row>
    <row r="87" customFormat="false" ht="14.25" hidden="false" customHeight="false" outlineLevel="0" collapsed="false">
      <c r="B87" s="2" t="n">
        <v>16</v>
      </c>
      <c r="C87" s="3" t="n">
        <v>500</v>
      </c>
      <c r="D87" s="3" t="n">
        <v>2</v>
      </c>
      <c r="E87" s="2" t="n">
        <v>138</v>
      </c>
      <c r="F87" s="4" t="n">
        <v>3.269</v>
      </c>
      <c r="G87" s="2" t="n">
        <v>40</v>
      </c>
      <c r="H87" s="2" t="n">
        <v>48</v>
      </c>
      <c r="I87" s="1" t="n">
        <v>250</v>
      </c>
      <c r="J87" s="2" t="n">
        <v>348</v>
      </c>
      <c r="K87" s="3" t="n">
        <v>400</v>
      </c>
      <c r="L87" s="12" t="n">
        <v>0.0125</v>
      </c>
      <c r="M87" s="4" t="n">
        <v>37.93</v>
      </c>
      <c r="N87" s="4" t="n">
        <v>0.33</v>
      </c>
    </row>
    <row r="88" customFormat="false" ht="14.25" hidden="false" customHeight="false" outlineLevel="0" collapsed="false">
      <c r="B88" s="2" t="n">
        <v>16</v>
      </c>
      <c r="C88" s="3" t="n">
        <v>500</v>
      </c>
      <c r="D88" s="3" t="n">
        <v>2</v>
      </c>
      <c r="E88" s="2" t="n">
        <v>138</v>
      </c>
      <c r="F88" s="4" t="n">
        <v>3.269</v>
      </c>
      <c r="G88" s="2" t="n">
        <v>40</v>
      </c>
      <c r="H88" s="2" t="n">
        <v>48</v>
      </c>
      <c r="I88" s="1" t="n">
        <v>250</v>
      </c>
      <c r="J88" s="2" t="n">
        <v>348</v>
      </c>
      <c r="K88" s="3" t="n">
        <v>400</v>
      </c>
      <c r="L88" s="12" t="n">
        <v>0.0125</v>
      </c>
      <c r="M88" s="4" t="n">
        <v>40.84</v>
      </c>
      <c r="N88" s="4" t="n">
        <v>0.33</v>
      </c>
    </row>
    <row r="89" customFormat="false" ht="14.25" hidden="false" customHeight="false" outlineLevel="0" collapsed="false">
      <c r="A89" s="1" t="s">
        <v>43</v>
      </c>
      <c r="B89" s="2" t="n">
        <v>16</v>
      </c>
      <c r="C89" s="3" t="n">
        <v>500</v>
      </c>
      <c r="D89" s="3" t="n">
        <v>2</v>
      </c>
      <c r="E89" s="2" t="n">
        <v>138</v>
      </c>
      <c r="F89" s="4" t="n">
        <v>3.269</v>
      </c>
      <c r="G89" s="2" t="n">
        <v>40</v>
      </c>
      <c r="H89" s="2" t="n">
        <v>48</v>
      </c>
      <c r="I89" s="1" t="n">
        <v>250</v>
      </c>
      <c r="J89" s="2" t="n">
        <v>348</v>
      </c>
      <c r="K89" s="3" t="n">
        <v>400</v>
      </c>
      <c r="L89" s="12" t="n">
        <v>0.0125</v>
      </c>
      <c r="M89" s="4" t="n">
        <v>23.34</v>
      </c>
      <c r="N89" s="4" t="n">
        <v>0.15</v>
      </c>
    </row>
    <row r="90" customFormat="false" ht="14.25" hidden="false" customHeight="false" outlineLevel="0" collapsed="false">
      <c r="B90" s="2" t="n">
        <v>16</v>
      </c>
      <c r="C90" s="3" t="n">
        <v>500</v>
      </c>
      <c r="D90" s="3" t="n">
        <v>2</v>
      </c>
      <c r="E90" s="2" t="n">
        <v>138</v>
      </c>
      <c r="F90" s="4" t="n">
        <v>3.269</v>
      </c>
      <c r="G90" s="2" t="n">
        <v>40</v>
      </c>
      <c r="H90" s="2" t="n">
        <v>48</v>
      </c>
      <c r="I90" s="1" t="n">
        <v>250</v>
      </c>
      <c r="J90" s="2" t="n">
        <v>348</v>
      </c>
      <c r="K90" s="3" t="n">
        <v>400</v>
      </c>
      <c r="L90" s="12" t="n">
        <v>0.0125</v>
      </c>
      <c r="M90" s="4" t="n">
        <v>26.26</v>
      </c>
      <c r="N90" s="4" t="n">
        <v>0.18</v>
      </c>
    </row>
    <row r="91" customFormat="false" ht="14.25" hidden="false" customHeight="false" outlineLevel="0" collapsed="false">
      <c r="B91" s="2" t="n">
        <v>16</v>
      </c>
      <c r="C91" s="3" t="n">
        <v>500</v>
      </c>
      <c r="D91" s="3" t="n">
        <v>2</v>
      </c>
      <c r="E91" s="2" t="n">
        <v>138</v>
      </c>
      <c r="F91" s="4" t="n">
        <v>3.269</v>
      </c>
      <c r="G91" s="2" t="n">
        <v>40</v>
      </c>
      <c r="H91" s="2" t="n">
        <v>48</v>
      </c>
      <c r="I91" s="1" t="n">
        <v>250</v>
      </c>
      <c r="J91" s="2" t="n">
        <v>348</v>
      </c>
      <c r="K91" s="3" t="n">
        <v>400</v>
      </c>
      <c r="L91" s="12" t="n">
        <v>0.0125</v>
      </c>
      <c r="M91" s="4" t="n">
        <v>29.175</v>
      </c>
      <c r="N91" s="4" t="n">
        <v>0.2</v>
      </c>
    </row>
    <row r="92" customFormat="false" ht="14.25" hidden="false" customHeight="false" outlineLevel="0" collapsed="false">
      <c r="B92" s="2" t="n">
        <v>16</v>
      </c>
      <c r="C92" s="3" t="n">
        <v>500</v>
      </c>
      <c r="D92" s="3" t="n">
        <v>2</v>
      </c>
      <c r="E92" s="2" t="n">
        <v>138</v>
      </c>
      <c r="F92" s="4" t="n">
        <v>3.269</v>
      </c>
      <c r="G92" s="2" t="n">
        <v>40</v>
      </c>
      <c r="H92" s="2" t="n">
        <v>48</v>
      </c>
      <c r="I92" s="1" t="n">
        <v>250</v>
      </c>
      <c r="J92" s="2" t="n">
        <v>348</v>
      </c>
      <c r="K92" s="3" t="n">
        <v>400</v>
      </c>
      <c r="L92" s="12" t="n">
        <v>0.0125</v>
      </c>
      <c r="M92" s="4" t="n">
        <v>32.09</v>
      </c>
      <c r="N92" s="4" t="n">
        <v>0.25</v>
      </c>
    </row>
    <row r="93" customFormat="false" ht="14.25" hidden="false" customHeight="false" outlineLevel="0" collapsed="false">
      <c r="B93" s="2" t="n">
        <v>16</v>
      </c>
      <c r="C93" s="3" t="n">
        <v>500</v>
      </c>
      <c r="D93" s="3" t="n">
        <v>2</v>
      </c>
      <c r="E93" s="2" t="n">
        <v>138</v>
      </c>
      <c r="F93" s="4" t="n">
        <v>3.269</v>
      </c>
      <c r="G93" s="2" t="n">
        <v>40</v>
      </c>
      <c r="H93" s="2" t="n">
        <v>48</v>
      </c>
      <c r="I93" s="1" t="n">
        <v>250</v>
      </c>
      <c r="J93" s="2" t="n">
        <v>348</v>
      </c>
      <c r="K93" s="3" t="n">
        <v>400</v>
      </c>
      <c r="L93" s="12" t="n">
        <v>0.0125</v>
      </c>
      <c r="M93" s="4" t="n">
        <v>35.01</v>
      </c>
      <c r="N93" s="4" t="n">
        <v>0.3</v>
      </c>
    </row>
    <row r="94" customFormat="false" ht="14.25" hidden="false" customHeight="false" outlineLevel="0" collapsed="false">
      <c r="B94" s="2" t="n">
        <v>16</v>
      </c>
      <c r="C94" s="3" t="n">
        <v>500</v>
      </c>
      <c r="D94" s="3" t="n">
        <v>2</v>
      </c>
      <c r="E94" s="2" t="n">
        <v>138</v>
      </c>
      <c r="F94" s="4" t="n">
        <v>3.269</v>
      </c>
      <c r="G94" s="2" t="n">
        <v>40</v>
      </c>
      <c r="H94" s="2" t="n">
        <v>48</v>
      </c>
      <c r="I94" s="1" t="n">
        <v>250</v>
      </c>
      <c r="J94" s="2" t="n">
        <v>348</v>
      </c>
      <c r="K94" s="3" t="n">
        <v>400</v>
      </c>
      <c r="L94" s="12" t="n">
        <v>0.0125</v>
      </c>
      <c r="M94" s="4" t="n">
        <v>37.93</v>
      </c>
      <c r="N94" s="4" t="n">
        <v>0.33</v>
      </c>
    </row>
    <row r="95" customFormat="false" ht="14.25" hidden="false" customHeight="false" outlineLevel="0" collapsed="false">
      <c r="B95" s="2" t="n">
        <v>16</v>
      </c>
      <c r="C95" s="3" t="n">
        <v>500</v>
      </c>
      <c r="D95" s="3" t="n">
        <v>2</v>
      </c>
      <c r="E95" s="2" t="n">
        <v>138</v>
      </c>
      <c r="F95" s="4" t="n">
        <v>3.269</v>
      </c>
      <c r="G95" s="2" t="n">
        <v>40</v>
      </c>
      <c r="H95" s="2" t="n">
        <v>48</v>
      </c>
      <c r="I95" s="1" t="n">
        <v>250</v>
      </c>
      <c r="J95" s="2" t="n">
        <v>348</v>
      </c>
      <c r="K95" s="3" t="n">
        <v>400</v>
      </c>
      <c r="L95" s="12" t="n">
        <v>0.0125</v>
      </c>
      <c r="M95" s="4" t="n">
        <v>40.84</v>
      </c>
      <c r="N95" s="4" t="n">
        <v>0.38</v>
      </c>
    </row>
    <row r="96" customFormat="false" ht="14.25" hidden="false" customHeight="false" outlineLevel="0" collapsed="false">
      <c r="A96" s="1" t="s">
        <v>44</v>
      </c>
      <c r="B96" s="2" t="n">
        <v>16</v>
      </c>
      <c r="C96" s="3" t="n">
        <v>500</v>
      </c>
      <c r="D96" s="3" t="n">
        <v>2</v>
      </c>
      <c r="E96" s="2" t="n">
        <v>168</v>
      </c>
      <c r="F96" s="4" t="n">
        <v>3.269</v>
      </c>
      <c r="G96" s="2" t="n">
        <v>25</v>
      </c>
      <c r="H96" s="2" t="n">
        <v>33</v>
      </c>
      <c r="I96" s="1" t="n">
        <v>250</v>
      </c>
      <c r="J96" s="2" t="n">
        <v>333</v>
      </c>
      <c r="K96" s="3" t="n">
        <v>400</v>
      </c>
      <c r="L96" s="12" t="n">
        <v>0.0157460983498901</v>
      </c>
      <c r="M96" s="4" t="n">
        <v>23.34</v>
      </c>
      <c r="N96" s="4" t="n">
        <v>0.15</v>
      </c>
    </row>
    <row r="97" customFormat="false" ht="14.25" hidden="false" customHeight="false" outlineLevel="0" collapsed="false">
      <c r="B97" s="2" t="n">
        <v>16</v>
      </c>
      <c r="C97" s="3" t="n">
        <v>500</v>
      </c>
      <c r="D97" s="3" t="n">
        <v>2</v>
      </c>
      <c r="E97" s="2" t="n">
        <v>168</v>
      </c>
      <c r="F97" s="4" t="n">
        <v>3.269</v>
      </c>
      <c r="G97" s="2" t="n">
        <v>25</v>
      </c>
      <c r="H97" s="2" t="n">
        <v>33</v>
      </c>
      <c r="I97" s="1" t="n">
        <v>250</v>
      </c>
      <c r="J97" s="2" t="n">
        <v>333</v>
      </c>
      <c r="K97" s="3" t="n">
        <v>400</v>
      </c>
      <c r="L97" s="12" t="n">
        <v>0.0157460983498901</v>
      </c>
      <c r="M97" s="4" t="n">
        <v>26.26</v>
      </c>
      <c r="N97" s="4" t="n">
        <v>0.18</v>
      </c>
    </row>
    <row r="98" customFormat="false" ht="14.25" hidden="false" customHeight="false" outlineLevel="0" collapsed="false">
      <c r="B98" s="2" t="n">
        <v>16</v>
      </c>
      <c r="C98" s="3" t="n">
        <v>500</v>
      </c>
      <c r="D98" s="3" t="n">
        <v>2</v>
      </c>
      <c r="E98" s="2" t="n">
        <v>168</v>
      </c>
      <c r="F98" s="4" t="n">
        <v>3.269</v>
      </c>
      <c r="G98" s="2" t="n">
        <v>25</v>
      </c>
      <c r="H98" s="2" t="n">
        <v>33</v>
      </c>
      <c r="I98" s="1" t="n">
        <v>250</v>
      </c>
      <c r="J98" s="2" t="n">
        <v>333</v>
      </c>
      <c r="K98" s="3" t="n">
        <v>400</v>
      </c>
      <c r="L98" s="12" t="n">
        <v>0.0157460983498901</v>
      </c>
      <c r="M98" s="4" t="n">
        <v>29.175</v>
      </c>
      <c r="N98" s="4" t="n">
        <v>0.2</v>
      </c>
    </row>
    <row r="99" customFormat="false" ht="14.25" hidden="false" customHeight="false" outlineLevel="0" collapsed="false">
      <c r="B99" s="2" t="n">
        <v>16</v>
      </c>
      <c r="C99" s="3" t="n">
        <v>500</v>
      </c>
      <c r="D99" s="3" t="n">
        <v>2</v>
      </c>
      <c r="E99" s="2" t="n">
        <v>168</v>
      </c>
      <c r="F99" s="4" t="n">
        <v>3.269</v>
      </c>
      <c r="G99" s="2" t="n">
        <v>25</v>
      </c>
      <c r="H99" s="2" t="n">
        <v>33</v>
      </c>
      <c r="I99" s="1" t="n">
        <v>250</v>
      </c>
      <c r="J99" s="2" t="n">
        <v>333</v>
      </c>
      <c r="K99" s="3" t="n">
        <v>400</v>
      </c>
      <c r="L99" s="12" t="n">
        <v>0.0157460983498901</v>
      </c>
      <c r="M99" s="4" t="n">
        <v>32.09</v>
      </c>
      <c r="N99" s="4" t="n">
        <v>0.23</v>
      </c>
    </row>
    <row r="100" customFormat="false" ht="14.25" hidden="false" customHeight="false" outlineLevel="0" collapsed="false">
      <c r="B100" s="2" t="n">
        <v>16</v>
      </c>
      <c r="C100" s="3" t="n">
        <v>500</v>
      </c>
      <c r="D100" s="3" t="n">
        <v>2</v>
      </c>
      <c r="E100" s="2" t="n">
        <v>168</v>
      </c>
      <c r="F100" s="4" t="n">
        <v>3.269</v>
      </c>
      <c r="G100" s="2" t="n">
        <v>25</v>
      </c>
      <c r="H100" s="2" t="n">
        <v>33</v>
      </c>
      <c r="I100" s="1" t="n">
        <v>250</v>
      </c>
      <c r="J100" s="2" t="n">
        <v>333</v>
      </c>
      <c r="K100" s="3" t="n">
        <v>400</v>
      </c>
      <c r="L100" s="12" t="n">
        <v>0.0157460983498901</v>
      </c>
      <c r="M100" s="4" t="n">
        <v>35.01</v>
      </c>
      <c r="N100" s="4" t="n">
        <v>0.25</v>
      </c>
    </row>
    <row r="101" customFormat="false" ht="14.25" hidden="false" customHeight="false" outlineLevel="0" collapsed="false">
      <c r="B101" s="2" t="n">
        <v>16</v>
      </c>
      <c r="C101" s="3" t="n">
        <v>500</v>
      </c>
      <c r="D101" s="3" t="n">
        <v>2</v>
      </c>
      <c r="E101" s="2" t="n">
        <v>168</v>
      </c>
      <c r="F101" s="4" t="n">
        <v>3.269</v>
      </c>
      <c r="G101" s="2" t="n">
        <v>25</v>
      </c>
      <c r="H101" s="2" t="n">
        <v>33</v>
      </c>
      <c r="I101" s="1" t="n">
        <v>250</v>
      </c>
      <c r="J101" s="2" t="n">
        <v>333</v>
      </c>
      <c r="K101" s="3" t="n">
        <v>400</v>
      </c>
      <c r="L101" s="12" t="n">
        <v>0.0157460983498901</v>
      </c>
      <c r="M101" s="4" t="n">
        <v>37.93</v>
      </c>
      <c r="N101" s="4" t="n">
        <v>0.3</v>
      </c>
    </row>
    <row r="102" customFormat="false" ht="14.25" hidden="false" customHeight="false" outlineLevel="0" collapsed="false">
      <c r="B102" s="2" t="n">
        <v>16</v>
      </c>
      <c r="C102" s="3" t="n">
        <v>500</v>
      </c>
      <c r="D102" s="3" t="n">
        <v>2</v>
      </c>
      <c r="E102" s="2" t="n">
        <v>168</v>
      </c>
      <c r="F102" s="4" t="n">
        <v>3.269</v>
      </c>
      <c r="G102" s="2" t="n">
        <v>25</v>
      </c>
      <c r="H102" s="2" t="n">
        <v>33</v>
      </c>
      <c r="I102" s="1" t="n">
        <v>250</v>
      </c>
      <c r="J102" s="2" t="n">
        <v>333</v>
      </c>
      <c r="K102" s="3" t="n">
        <v>400</v>
      </c>
      <c r="L102" s="12" t="n">
        <v>0.0157460983498901</v>
      </c>
      <c r="M102" s="4" t="n">
        <v>40.84</v>
      </c>
      <c r="N102" s="4" t="n">
        <v>0.3</v>
      </c>
    </row>
    <row r="103" customFormat="false" ht="14.25" hidden="false" customHeight="false" outlineLevel="0" collapsed="false">
      <c r="A103" s="1" t="s">
        <v>45</v>
      </c>
      <c r="B103" s="2" t="n">
        <v>16</v>
      </c>
      <c r="C103" s="3" t="n">
        <v>500</v>
      </c>
      <c r="D103" s="3" t="n">
        <v>2</v>
      </c>
      <c r="E103" s="2" t="n">
        <v>168</v>
      </c>
      <c r="F103" s="4" t="n">
        <v>3.269</v>
      </c>
      <c r="G103" s="2" t="n">
        <v>25</v>
      </c>
      <c r="H103" s="2" t="n">
        <v>33</v>
      </c>
      <c r="I103" s="1" t="n">
        <v>250</v>
      </c>
      <c r="J103" s="2" t="n">
        <v>333</v>
      </c>
      <c r="K103" s="3" t="n">
        <v>400</v>
      </c>
      <c r="L103" s="12" t="n">
        <v>0.0157460983498901</v>
      </c>
      <c r="M103" s="4" t="n">
        <v>20.42</v>
      </c>
      <c r="N103" s="4" t="n">
        <v>0.15</v>
      </c>
    </row>
    <row r="104" customFormat="false" ht="14.25" hidden="false" customHeight="false" outlineLevel="0" collapsed="false">
      <c r="B104" s="2" t="n">
        <v>16</v>
      </c>
      <c r="C104" s="3" t="n">
        <v>500</v>
      </c>
      <c r="D104" s="3" t="n">
        <v>2</v>
      </c>
      <c r="E104" s="2" t="n">
        <v>168</v>
      </c>
      <c r="F104" s="4" t="n">
        <v>3.269</v>
      </c>
      <c r="G104" s="2" t="n">
        <v>25</v>
      </c>
      <c r="H104" s="2" t="n">
        <v>33</v>
      </c>
      <c r="I104" s="1" t="n">
        <v>250</v>
      </c>
      <c r="J104" s="2" t="n">
        <v>333</v>
      </c>
      <c r="K104" s="3" t="n">
        <v>400</v>
      </c>
      <c r="L104" s="12" t="n">
        <v>0.0157460983498901</v>
      </c>
      <c r="M104" s="4" t="n">
        <v>23.34</v>
      </c>
      <c r="N104" s="4" t="n">
        <v>0.18</v>
      </c>
    </row>
    <row r="105" customFormat="false" ht="14.25" hidden="false" customHeight="false" outlineLevel="0" collapsed="false">
      <c r="B105" s="2" t="n">
        <v>16</v>
      </c>
      <c r="C105" s="3" t="n">
        <v>500</v>
      </c>
      <c r="D105" s="3" t="n">
        <v>2</v>
      </c>
      <c r="E105" s="2" t="n">
        <v>168</v>
      </c>
      <c r="F105" s="4" t="n">
        <v>3.269</v>
      </c>
      <c r="G105" s="2" t="n">
        <v>25</v>
      </c>
      <c r="H105" s="2" t="n">
        <v>33</v>
      </c>
      <c r="I105" s="1" t="n">
        <v>250</v>
      </c>
      <c r="J105" s="2" t="n">
        <v>333</v>
      </c>
      <c r="K105" s="3" t="n">
        <v>400</v>
      </c>
      <c r="L105" s="12" t="n">
        <v>0.0157460983498901</v>
      </c>
      <c r="M105" s="4" t="n">
        <v>26.26</v>
      </c>
      <c r="N105" s="4" t="n">
        <v>0.18</v>
      </c>
    </row>
    <row r="106" customFormat="false" ht="14.25" hidden="false" customHeight="false" outlineLevel="0" collapsed="false">
      <c r="B106" s="2" t="n">
        <v>16</v>
      </c>
      <c r="C106" s="3" t="n">
        <v>500</v>
      </c>
      <c r="D106" s="3" t="n">
        <v>2</v>
      </c>
      <c r="E106" s="2" t="n">
        <v>168</v>
      </c>
      <c r="F106" s="4" t="n">
        <v>3.269</v>
      </c>
      <c r="G106" s="2" t="n">
        <v>25</v>
      </c>
      <c r="H106" s="2" t="n">
        <v>33</v>
      </c>
      <c r="I106" s="1" t="n">
        <v>250</v>
      </c>
      <c r="J106" s="2" t="n">
        <v>333</v>
      </c>
      <c r="K106" s="3" t="n">
        <v>400</v>
      </c>
      <c r="L106" s="12" t="n">
        <v>0.0157460983498901</v>
      </c>
      <c r="M106" s="4" t="n">
        <v>29.175</v>
      </c>
      <c r="N106" s="4" t="n">
        <v>0.25</v>
      </c>
    </row>
    <row r="107" customFormat="false" ht="14.25" hidden="false" customHeight="false" outlineLevel="0" collapsed="false">
      <c r="B107" s="2" t="n">
        <v>16</v>
      </c>
      <c r="C107" s="3" t="n">
        <v>500</v>
      </c>
      <c r="D107" s="3" t="n">
        <v>2</v>
      </c>
      <c r="E107" s="2" t="n">
        <v>168</v>
      </c>
      <c r="F107" s="4" t="n">
        <v>3.269</v>
      </c>
      <c r="G107" s="2" t="n">
        <v>25</v>
      </c>
      <c r="H107" s="2" t="n">
        <v>33</v>
      </c>
      <c r="I107" s="1" t="n">
        <v>250</v>
      </c>
      <c r="J107" s="2" t="n">
        <v>333</v>
      </c>
      <c r="K107" s="3" t="n">
        <v>400</v>
      </c>
      <c r="L107" s="12" t="n">
        <v>0.0157460983498901</v>
      </c>
      <c r="M107" s="4" t="n">
        <v>32.09</v>
      </c>
      <c r="N107" s="4" t="n">
        <v>0.28</v>
      </c>
    </row>
    <row r="108" customFormat="false" ht="14.25" hidden="false" customHeight="false" outlineLevel="0" collapsed="false">
      <c r="B108" s="2" t="n">
        <v>16</v>
      </c>
      <c r="C108" s="3" t="n">
        <v>500</v>
      </c>
      <c r="D108" s="3" t="n">
        <v>2</v>
      </c>
      <c r="E108" s="2" t="n">
        <v>168</v>
      </c>
      <c r="F108" s="4" t="n">
        <v>3.269</v>
      </c>
      <c r="G108" s="2" t="n">
        <v>25</v>
      </c>
      <c r="H108" s="2" t="n">
        <v>33</v>
      </c>
      <c r="I108" s="1" t="n">
        <v>250</v>
      </c>
      <c r="J108" s="2" t="n">
        <v>333</v>
      </c>
      <c r="K108" s="3" t="n">
        <v>400</v>
      </c>
      <c r="L108" s="12" t="n">
        <v>0.0157460983498901</v>
      </c>
      <c r="M108" s="4" t="n">
        <v>35.01</v>
      </c>
      <c r="N108" s="4" t="n">
        <v>0.33</v>
      </c>
    </row>
    <row r="109" customFormat="false" ht="14.25" hidden="false" customHeight="false" outlineLevel="0" collapsed="false">
      <c r="B109" s="2" t="n">
        <v>16</v>
      </c>
      <c r="C109" s="3" t="n">
        <v>500</v>
      </c>
      <c r="D109" s="3" t="n">
        <v>2</v>
      </c>
      <c r="E109" s="2" t="n">
        <v>168</v>
      </c>
      <c r="F109" s="4" t="n">
        <v>3.269</v>
      </c>
      <c r="G109" s="2" t="n">
        <v>25</v>
      </c>
      <c r="H109" s="2" t="n">
        <v>33</v>
      </c>
      <c r="I109" s="1" t="n">
        <v>250</v>
      </c>
      <c r="J109" s="2" t="n">
        <v>333</v>
      </c>
      <c r="K109" s="3" t="n">
        <v>400</v>
      </c>
      <c r="L109" s="12" t="n">
        <v>0.0157460983498901</v>
      </c>
      <c r="M109" s="4" t="n">
        <v>37.93</v>
      </c>
      <c r="N109" s="4" t="n">
        <v>0.38</v>
      </c>
    </row>
    <row r="110" customFormat="false" ht="14.25" hidden="false" customHeight="false" outlineLevel="0" collapsed="false">
      <c r="B110" s="2" t="n">
        <v>16</v>
      </c>
      <c r="C110" s="3" t="n">
        <v>500</v>
      </c>
      <c r="D110" s="3" t="n">
        <v>2</v>
      </c>
      <c r="E110" s="2" t="n">
        <v>168</v>
      </c>
      <c r="F110" s="4" t="n">
        <v>3.269</v>
      </c>
      <c r="G110" s="2" t="n">
        <v>25</v>
      </c>
      <c r="H110" s="2" t="n">
        <v>33</v>
      </c>
      <c r="I110" s="1" t="n">
        <v>250</v>
      </c>
      <c r="J110" s="2" t="n">
        <v>333</v>
      </c>
      <c r="K110" s="3" t="n">
        <v>400</v>
      </c>
      <c r="L110" s="12" t="n">
        <v>0.0157460983498901</v>
      </c>
      <c r="M110" s="4" t="n">
        <v>40.84</v>
      </c>
      <c r="N110" s="4" t="n">
        <v>0.43</v>
      </c>
    </row>
    <row r="111" customFormat="false" ht="14.25" hidden="false" customHeight="false" outlineLevel="0" collapsed="false">
      <c r="A111" s="1" t="s">
        <v>46</v>
      </c>
      <c r="B111" s="2" t="n">
        <v>16</v>
      </c>
      <c r="C111" s="3" t="n">
        <v>500</v>
      </c>
      <c r="D111" s="3" t="n">
        <v>3</v>
      </c>
      <c r="E111" s="2" t="n">
        <v>76</v>
      </c>
      <c r="F111" s="4" t="n">
        <v>3.269</v>
      </c>
      <c r="G111" s="2" t="n">
        <v>25</v>
      </c>
      <c r="H111" s="2" t="n">
        <v>33</v>
      </c>
      <c r="I111" s="1" t="n">
        <v>250</v>
      </c>
      <c r="J111" s="2" t="n">
        <v>333</v>
      </c>
      <c r="K111" s="3" t="n">
        <v>600</v>
      </c>
      <c r="L111" s="12" t="n">
        <v>0.0212389380530973</v>
      </c>
      <c r="M111" s="4" t="n">
        <v>37.93</v>
      </c>
      <c r="N111" s="4" t="n">
        <v>0.15</v>
      </c>
    </row>
    <row r="112" customFormat="false" ht="14.25" hidden="false" customHeight="false" outlineLevel="0" collapsed="false">
      <c r="B112" s="2" t="n">
        <v>16</v>
      </c>
      <c r="C112" s="3" t="n">
        <v>500</v>
      </c>
      <c r="D112" s="3" t="n">
        <v>3</v>
      </c>
      <c r="E112" s="2" t="n">
        <v>76</v>
      </c>
      <c r="F112" s="4" t="n">
        <v>3.269</v>
      </c>
      <c r="G112" s="2" t="n">
        <v>25</v>
      </c>
      <c r="H112" s="2" t="n">
        <v>33</v>
      </c>
      <c r="I112" s="1" t="n">
        <v>250</v>
      </c>
      <c r="J112" s="2" t="n">
        <v>333</v>
      </c>
      <c r="K112" s="3" t="n">
        <v>600</v>
      </c>
      <c r="L112" s="12" t="n">
        <v>0.0212389380530973</v>
      </c>
      <c r="M112" s="4" t="n">
        <v>40.84</v>
      </c>
      <c r="N112" s="4" t="n">
        <v>0.18</v>
      </c>
    </row>
    <row r="113" customFormat="false" ht="14.25" hidden="false" customHeight="false" outlineLevel="0" collapsed="false">
      <c r="B113" s="2" t="n">
        <v>16</v>
      </c>
      <c r="C113" s="3" t="n">
        <v>500</v>
      </c>
      <c r="D113" s="3" t="n">
        <v>3</v>
      </c>
      <c r="E113" s="2" t="n">
        <v>76</v>
      </c>
      <c r="F113" s="4" t="n">
        <v>3.269</v>
      </c>
      <c r="G113" s="2" t="n">
        <v>25</v>
      </c>
      <c r="H113" s="2" t="n">
        <v>33</v>
      </c>
      <c r="I113" s="1" t="n">
        <v>250</v>
      </c>
      <c r="J113" s="2" t="n">
        <v>333</v>
      </c>
      <c r="K113" s="3" t="n">
        <v>600</v>
      </c>
      <c r="L113" s="12" t="n">
        <v>0.0212389380530973</v>
      </c>
      <c r="M113" s="4" t="n">
        <v>43.76</v>
      </c>
      <c r="N113" s="4" t="n">
        <v>0.18</v>
      </c>
    </row>
    <row r="114" customFormat="false" ht="14.25" hidden="false" customHeight="false" outlineLevel="0" collapsed="false">
      <c r="B114" s="2" t="n">
        <v>16</v>
      </c>
      <c r="C114" s="3" t="n">
        <v>500</v>
      </c>
      <c r="D114" s="3" t="n">
        <v>3</v>
      </c>
      <c r="E114" s="2" t="n">
        <v>76</v>
      </c>
      <c r="F114" s="4" t="n">
        <v>3.269</v>
      </c>
      <c r="G114" s="2" t="n">
        <v>25</v>
      </c>
      <c r="H114" s="2" t="n">
        <v>33</v>
      </c>
      <c r="I114" s="1" t="n">
        <v>250</v>
      </c>
      <c r="J114" s="2" t="n">
        <v>333</v>
      </c>
      <c r="K114" s="3" t="n">
        <v>600</v>
      </c>
      <c r="L114" s="12" t="n">
        <v>0.0212389380530973</v>
      </c>
      <c r="M114" s="4" t="n">
        <v>46.68</v>
      </c>
      <c r="N114" s="4" t="n">
        <v>0.2</v>
      </c>
    </row>
    <row r="115" customFormat="false" ht="14.25" hidden="false" customHeight="false" outlineLevel="0" collapsed="false">
      <c r="B115" s="2" t="n">
        <v>16</v>
      </c>
      <c r="C115" s="3" t="n">
        <v>500</v>
      </c>
      <c r="D115" s="3" t="n">
        <v>3</v>
      </c>
      <c r="E115" s="2" t="n">
        <v>76</v>
      </c>
      <c r="F115" s="4" t="n">
        <v>3.269</v>
      </c>
      <c r="G115" s="2" t="n">
        <v>25</v>
      </c>
      <c r="H115" s="2" t="n">
        <v>33</v>
      </c>
      <c r="I115" s="1" t="n">
        <v>250</v>
      </c>
      <c r="J115" s="2" t="n">
        <v>333</v>
      </c>
      <c r="K115" s="3" t="n">
        <v>600</v>
      </c>
      <c r="L115" s="12" t="n">
        <v>0.0212389380530973</v>
      </c>
      <c r="M115" s="4" t="n">
        <v>49.6</v>
      </c>
      <c r="N115" s="4" t="n">
        <v>0.2</v>
      </c>
    </row>
    <row r="116" customFormat="false" ht="14.25" hidden="false" customHeight="false" outlineLevel="0" collapsed="false">
      <c r="A116" s="1" t="s">
        <v>47</v>
      </c>
      <c r="B116" s="2" t="n">
        <v>16</v>
      </c>
      <c r="C116" s="3" t="n">
        <v>500</v>
      </c>
      <c r="D116" s="3" t="n">
        <v>3</v>
      </c>
      <c r="E116" s="2" t="n">
        <v>76</v>
      </c>
      <c r="F116" s="4" t="n">
        <v>3.269</v>
      </c>
      <c r="G116" s="2" t="n">
        <v>25</v>
      </c>
      <c r="H116" s="2" t="n">
        <v>33</v>
      </c>
      <c r="I116" s="1" t="n">
        <v>250</v>
      </c>
      <c r="J116" s="2" t="n">
        <v>333</v>
      </c>
      <c r="K116" s="3" t="n">
        <v>600</v>
      </c>
      <c r="L116" s="12" t="n">
        <v>0.0212389380530973</v>
      </c>
      <c r="M116" s="4" t="n">
        <v>40.84</v>
      </c>
      <c r="N116" s="4" t="n">
        <v>0.15</v>
      </c>
    </row>
    <row r="117" customFormat="false" ht="14.25" hidden="false" customHeight="false" outlineLevel="0" collapsed="false">
      <c r="B117" s="2" t="n">
        <v>16</v>
      </c>
      <c r="C117" s="3" t="n">
        <v>500</v>
      </c>
      <c r="D117" s="3" t="n">
        <v>3</v>
      </c>
      <c r="E117" s="2" t="n">
        <v>76</v>
      </c>
      <c r="F117" s="4" t="n">
        <v>3.269</v>
      </c>
      <c r="G117" s="2" t="n">
        <v>25</v>
      </c>
      <c r="H117" s="2" t="n">
        <v>33</v>
      </c>
      <c r="I117" s="1" t="n">
        <v>250</v>
      </c>
      <c r="J117" s="2" t="n">
        <v>333</v>
      </c>
      <c r="K117" s="3" t="n">
        <v>600</v>
      </c>
      <c r="L117" s="12" t="n">
        <v>0.0212389380530973</v>
      </c>
      <c r="M117" s="4" t="n">
        <v>43.76</v>
      </c>
      <c r="N117" s="4" t="n">
        <v>0.18</v>
      </c>
    </row>
    <row r="118" customFormat="false" ht="14.25" hidden="false" customHeight="false" outlineLevel="0" collapsed="false">
      <c r="B118" s="2" t="n">
        <v>16</v>
      </c>
      <c r="C118" s="3" t="n">
        <v>500</v>
      </c>
      <c r="D118" s="3" t="n">
        <v>3</v>
      </c>
      <c r="E118" s="2" t="n">
        <v>76</v>
      </c>
      <c r="F118" s="4" t="n">
        <v>3.269</v>
      </c>
      <c r="G118" s="2" t="n">
        <v>25</v>
      </c>
      <c r="H118" s="2" t="n">
        <v>33</v>
      </c>
      <c r="I118" s="1" t="n">
        <v>250</v>
      </c>
      <c r="J118" s="2" t="n">
        <v>333</v>
      </c>
      <c r="K118" s="3" t="n">
        <v>600</v>
      </c>
      <c r="L118" s="12" t="n">
        <v>0.0212389380530973</v>
      </c>
      <c r="M118" s="4" t="n">
        <v>46.68</v>
      </c>
      <c r="N118" s="4" t="n">
        <v>0.2</v>
      </c>
    </row>
    <row r="119" customFormat="false" ht="14.25" hidden="false" customHeight="false" outlineLevel="0" collapsed="false">
      <c r="B119" s="2" t="n">
        <v>16</v>
      </c>
      <c r="C119" s="3" t="n">
        <v>500</v>
      </c>
      <c r="D119" s="3" t="n">
        <v>3</v>
      </c>
      <c r="E119" s="2" t="n">
        <v>76</v>
      </c>
      <c r="F119" s="4" t="n">
        <v>3.269</v>
      </c>
      <c r="G119" s="2" t="n">
        <v>25</v>
      </c>
      <c r="H119" s="2" t="n">
        <v>33</v>
      </c>
      <c r="I119" s="1" t="n">
        <v>250</v>
      </c>
      <c r="J119" s="2" t="n">
        <v>333</v>
      </c>
      <c r="K119" s="3" t="n">
        <v>600</v>
      </c>
      <c r="L119" s="12" t="n">
        <v>0.0212389380530973</v>
      </c>
      <c r="M119" s="4" t="n">
        <v>49.6</v>
      </c>
      <c r="N119" s="4" t="n">
        <v>0.2</v>
      </c>
    </row>
    <row r="120" customFormat="false" ht="14.25" hidden="false" customHeight="false" outlineLevel="0" collapsed="false">
      <c r="A120" s="1" t="s">
        <v>48</v>
      </c>
      <c r="B120" s="2" t="n">
        <v>12</v>
      </c>
      <c r="C120" s="3" t="n">
        <v>500</v>
      </c>
      <c r="D120" s="3" t="n">
        <v>2</v>
      </c>
      <c r="E120" s="2" t="n">
        <v>296</v>
      </c>
      <c r="F120" s="4" t="n">
        <v>3.269</v>
      </c>
      <c r="G120" s="2" t="n">
        <v>25</v>
      </c>
      <c r="H120" s="2" t="n">
        <v>31</v>
      </c>
      <c r="I120" s="1" t="n">
        <v>400</v>
      </c>
      <c r="J120" s="2" t="n">
        <v>161</v>
      </c>
      <c r="K120" s="3" t="n">
        <v>220</v>
      </c>
      <c r="L120" s="12" t="n">
        <v>0.0117247911599868</v>
      </c>
      <c r="M120" s="4" t="n">
        <v>4.67</v>
      </c>
      <c r="N120" s="4" t="n">
        <v>0.2</v>
      </c>
    </row>
    <row r="121" customFormat="false" ht="14.25" hidden="false" customHeight="false" outlineLevel="0" collapsed="false">
      <c r="B121" s="2" t="n">
        <v>12</v>
      </c>
      <c r="C121" s="3" t="n">
        <v>500</v>
      </c>
      <c r="D121" s="3" t="n">
        <v>2</v>
      </c>
      <c r="E121" s="2" t="n">
        <v>296</v>
      </c>
      <c r="F121" s="4" t="n">
        <v>3.269</v>
      </c>
      <c r="G121" s="2" t="n">
        <v>25</v>
      </c>
      <c r="H121" s="2" t="n">
        <v>31</v>
      </c>
      <c r="I121" s="1" t="n">
        <v>400</v>
      </c>
      <c r="J121" s="2" t="n">
        <v>161</v>
      </c>
      <c r="K121" s="3" t="n">
        <v>220</v>
      </c>
      <c r="L121" s="12" t="n">
        <v>0.0117247911599868</v>
      </c>
      <c r="M121" s="4" t="n">
        <v>6.42</v>
      </c>
      <c r="N121" s="4" t="n">
        <v>0.25</v>
      </c>
    </row>
    <row r="122" customFormat="false" ht="14.25" hidden="false" customHeight="false" outlineLevel="0" collapsed="false">
      <c r="B122" s="2" t="n">
        <v>12</v>
      </c>
      <c r="C122" s="3" t="n">
        <v>500</v>
      </c>
      <c r="D122" s="3" t="n">
        <v>2</v>
      </c>
      <c r="E122" s="2" t="n">
        <v>296</v>
      </c>
      <c r="F122" s="4" t="n">
        <v>3.269</v>
      </c>
      <c r="G122" s="2" t="n">
        <v>25</v>
      </c>
      <c r="H122" s="2" t="n">
        <v>31</v>
      </c>
      <c r="I122" s="1" t="n">
        <v>400</v>
      </c>
      <c r="J122" s="2" t="n">
        <v>161</v>
      </c>
      <c r="K122" s="3" t="n">
        <v>220</v>
      </c>
      <c r="L122" s="12" t="n">
        <v>0.0117247911599868</v>
      </c>
      <c r="M122" s="4" t="n">
        <v>8.17</v>
      </c>
      <c r="N122" s="4" t="n">
        <v>0.33</v>
      </c>
    </row>
    <row r="123" customFormat="false" ht="14.25" hidden="false" customHeight="false" outlineLevel="0" collapsed="false">
      <c r="A123" s="1" t="s">
        <v>49</v>
      </c>
      <c r="B123" s="2" t="n">
        <v>12</v>
      </c>
      <c r="C123" s="3" t="n">
        <v>500</v>
      </c>
      <c r="D123" s="3" t="n">
        <v>2</v>
      </c>
      <c r="E123" s="2" t="n">
        <v>296</v>
      </c>
      <c r="F123" s="4" t="n">
        <v>3.269</v>
      </c>
      <c r="G123" s="2" t="n">
        <v>25</v>
      </c>
      <c r="H123" s="2" t="n">
        <v>31</v>
      </c>
      <c r="I123" s="1" t="n">
        <v>400</v>
      </c>
      <c r="J123" s="2" t="n">
        <v>161</v>
      </c>
      <c r="K123" s="3" t="n">
        <v>220</v>
      </c>
      <c r="L123" s="12" t="n">
        <v>0.0117247911599868</v>
      </c>
      <c r="M123" s="4" t="n">
        <v>6.42</v>
      </c>
      <c r="N123" s="4" t="n">
        <v>0.23</v>
      </c>
    </row>
    <row r="124" customFormat="false" ht="14.25" hidden="false" customHeight="false" outlineLevel="0" collapsed="false">
      <c r="B124" s="2" t="n">
        <v>12</v>
      </c>
      <c r="C124" s="3" t="n">
        <v>500</v>
      </c>
      <c r="D124" s="3" t="n">
        <v>2</v>
      </c>
      <c r="E124" s="2" t="n">
        <v>296</v>
      </c>
      <c r="F124" s="4" t="n">
        <v>3.269</v>
      </c>
      <c r="G124" s="2" t="n">
        <v>25</v>
      </c>
      <c r="H124" s="2" t="n">
        <v>31</v>
      </c>
      <c r="I124" s="1" t="n">
        <v>400</v>
      </c>
      <c r="J124" s="2" t="n">
        <v>161</v>
      </c>
      <c r="K124" s="3" t="n">
        <v>220</v>
      </c>
      <c r="L124" s="12" t="n">
        <v>0.0117247911599868</v>
      </c>
      <c r="M124" s="4" t="n">
        <v>8.17</v>
      </c>
      <c r="N124" s="4" t="n">
        <v>0.28</v>
      </c>
    </row>
    <row r="125" customFormat="false" ht="14.25" hidden="false" customHeight="false" outlineLevel="0" collapsed="false">
      <c r="A125" s="1" t="s">
        <v>50</v>
      </c>
      <c r="B125" s="2" t="n">
        <v>12</v>
      </c>
      <c r="C125" s="3" t="n">
        <v>500</v>
      </c>
      <c r="D125" s="3" t="n">
        <v>3</v>
      </c>
      <c r="E125" s="2" t="n">
        <v>142</v>
      </c>
      <c r="F125" s="4" t="n">
        <v>3.269</v>
      </c>
      <c r="G125" s="2" t="n">
        <v>25</v>
      </c>
      <c r="H125" s="2" t="n">
        <v>31</v>
      </c>
      <c r="I125" s="1" t="n">
        <v>400</v>
      </c>
      <c r="J125" s="2" t="n">
        <v>161</v>
      </c>
      <c r="K125" s="3" t="n">
        <v>330</v>
      </c>
      <c r="L125" s="12" t="n">
        <v>0.0117247911599868</v>
      </c>
      <c r="M125" s="4" t="n">
        <v>8.17</v>
      </c>
      <c r="N125" s="4" t="n">
        <v>0.18</v>
      </c>
    </row>
    <row r="126" customFormat="false" ht="14.25" hidden="false" customHeight="false" outlineLevel="0" collapsed="false">
      <c r="B126" s="2" t="n">
        <v>12</v>
      </c>
      <c r="C126" s="3" t="n">
        <v>500</v>
      </c>
      <c r="D126" s="3" t="n">
        <v>3</v>
      </c>
      <c r="E126" s="2" t="n">
        <v>142</v>
      </c>
      <c r="F126" s="4" t="n">
        <v>3.269</v>
      </c>
      <c r="G126" s="2" t="n">
        <v>25</v>
      </c>
      <c r="H126" s="2" t="n">
        <v>31</v>
      </c>
      <c r="I126" s="1" t="n">
        <v>400</v>
      </c>
      <c r="J126" s="2" t="n">
        <v>161</v>
      </c>
      <c r="K126" s="3" t="n">
        <v>330</v>
      </c>
      <c r="L126" s="12" t="n">
        <v>0.0117247911599868</v>
      </c>
      <c r="M126" s="4" t="n">
        <v>9.92</v>
      </c>
      <c r="N126" s="4" t="n">
        <v>0.23</v>
      </c>
    </row>
    <row r="127" customFormat="false" ht="14.25" hidden="false" customHeight="false" outlineLevel="0" collapsed="false">
      <c r="B127" s="2" t="n">
        <v>12</v>
      </c>
      <c r="C127" s="3" t="n">
        <v>500</v>
      </c>
      <c r="D127" s="3" t="n">
        <v>3</v>
      </c>
      <c r="E127" s="2" t="n">
        <v>142</v>
      </c>
      <c r="F127" s="4" t="n">
        <v>3.269</v>
      </c>
      <c r="G127" s="2" t="n">
        <v>25</v>
      </c>
      <c r="H127" s="2" t="n">
        <v>31</v>
      </c>
      <c r="I127" s="1" t="n">
        <v>400</v>
      </c>
      <c r="J127" s="2" t="n">
        <v>161</v>
      </c>
      <c r="K127" s="3" t="n">
        <v>330</v>
      </c>
      <c r="L127" s="12" t="n">
        <v>0.0117247911599868</v>
      </c>
      <c r="M127" s="4" t="n">
        <v>11.67</v>
      </c>
      <c r="N127" s="4" t="n">
        <v>0.25</v>
      </c>
    </row>
    <row r="128" customFormat="false" ht="14.25" hidden="false" customHeight="false" outlineLevel="0" collapsed="false">
      <c r="A128" s="1" t="s">
        <v>51</v>
      </c>
      <c r="B128" s="2" t="n">
        <v>12</v>
      </c>
      <c r="C128" s="3" t="n">
        <v>500</v>
      </c>
      <c r="D128" s="3" t="n">
        <v>3</v>
      </c>
      <c r="E128" s="2" t="n">
        <v>142</v>
      </c>
      <c r="F128" s="4" t="n">
        <v>3.269</v>
      </c>
      <c r="G128" s="2" t="n">
        <v>25</v>
      </c>
      <c r="H128" s="2" t="n">
        <v>31</v>
      </c>
      <c r="I128" s="1" t="n">
        <v>400</v>
      </c>
      <c r="J128" s="2" t="n">
        <v>161</v>
      </c>
      <c r="K128" s="3" t="n">
        <v>330</v>
      </c>
      <c r="L128" s="12" t="n">
        <v>0.0117247911599868</v>
      </c>
      <c r="M128" s="4" t="n">
        <v>8.17</v>
      </c>
      <c r="N128" s="4" t="n">
        <v>0.18</v>
      </c>
    </row>
    <row r="129" customFormat="false" ht="14.25" hidden="false" customHeight="false" outlineLevel="0" collapsed="false">
      <c r="B129" s="2" t="n">
        <v>12</v>
      </c>
      <c r="C129" s="3" t="n">
        <v>500</v>
      </c>
      <c r="D129" s="3" t="n">
        <v>3</v>
      </c>
      <c r="E129" s="2" t="n">
        <v>142</v>
      </c>
      <c r="F129" s="4" t="n">
        <v>3.269</v>
      </c>
      <c r="G129" s="2" t="n">
        <v>25</v>
      </c>
      <c r="H129" s="2" t="n">
        <v>31</v>
      </c>
      <c r="I129" s="1" t="n">
        <v>400</v>
      </c>
      <c r="J129" s="2" t="n">
        <v>161</v>
      </c>
      <c r="K129" s="3" t="n">
        <v>330</v>
      </c>
      <c r="L129" s="12" t="n">
        <v>0.0117247911599868</v>
      </c>
      <c r="M129" s="4" t="n">
        <v>9.92</v>
      </c>
      <c r="N129" s="4" t="n">
        <v>0.23</v>
      </c>
    </row>
    <row r="130" customFormat="false" ht="14.25" hidden="false" customHeight="false" outlineLevel="0" collapsed="false">
      <c r="B130" s="2" t="n">
        <v>12</v>
      </c>
      <c r="C130" s="3" t="n">
        <v>500</v>
      </c>
      <c r="D130" s="3" t="n">
        <v>3</v>
      </c>
      <c r="E130" s="2" t="n">
        <v>142</v>
      </c>
      <c r="F130" s="4" t="n">
        <v>3.269</v>
      </c>
      <c r="G130" s="2" t="n">
        <v>25</v>
      </c>
      <c r="H130" s="2" t="n">
        <v>31</v>
      </c>
      <c r="I130" s="1" t="n">
        <v>400</v>
      </c>
      <c r="J130" s="2" t="n">
        <v>161</v>
      </c>
      <c r="K130" s="3" t="n">
        <v>330</v>
      </c>
      <c r="L130" s="12" t="n">
        <v>0.0117247911599868</v>
      </c>
      <c r="M130" s="4" t="n">
        <v>11.67</v>
      </c>
      <c r="N130" s="4" t="n">
        <v>0.25</v>
      </c>
    </row>
    <row r="131" customFormat="false" ht="14.25" hidden="false" customHeight="false" outlineLevel="0" collapsed="false">
      <c r="A131" s="1" t="s">
        <v>52</v>
      </c>
      <c r="B131" s="2" t="n">
        <v>12</v>
      </c>
      <c r="C131" s="3" t="n">
        <v>500</v>
      </c>
      <c r="D131" s="3" t="n">
        <v>4</v>
      </c>
      <c r="E131" s="2" t="n">
        <v>90.67</v>
      </c>
      <c r="F131" s="4" t="n">
        <v>3.269</v>
      </c>
      <c r="G131" s="2" t="n">
        <v>25</v>
      </c>
      <c r="H131" s="2" t="n">
        <v>31</v>
      </c>
      <c r="I131" s="1" t="n">
        <v>400</v>
      </c>
      <c r="J131" s="2" t="n">
        <v>161</v>
      </c>
      <c r="K131" s="3" t="n">
        <v>440</v>
      </c>
      <c r="L131" s="12" t="n">
        <v>0.0120879120879121</v>
      </c>
      <c r="M131" s="4" t="n">
        <v>11.67</v>
      </c>
      <c r="N131" s="4" t="n">
        <v>0.15</v>
      </c>
    </row>
    <row r="132" customFormat="false" ht="14.25" hidden="false" customHeight="false" outlineLevel="0" collapsed="false">
      <c r="B132" s="2" t="n">
        <v>12</v>
      </c>
      <c r="C132" s="3" t="n">
        <v>500</v>
      </c>
      <c r="D132" s="3" t="n">
        <v>4</v>
      </c>
      <c r="E132" s="2" t="n">
        <v>90.67</v>
      </c>
      <c r="F132" s="4" t="n">
        <v>3.269</v>
      </c>
      <c r="G132" s="2" t="n">
        <v>25</v>
      </c>
      <c r="H132" s="2" t="n">
        <v>31</v>
      </c>
      <c r="I132" s="1" t="n">
        <v>400</v>
      </c>
      <c r="J132" s="2" t="n">
        <v>161</v>
      </c>
      <c r="K132" s="3" t="n">
        <v>440</v>
      </c>
      <c r="L132" s="12" t="n">
        <v>0.0120879120879121</v>
      </c>
      <c r="M132" s="4" t="n">
        <v>13.42</v>
      </c>
      <c r="N132" s="4" t="n">
        <v>0.15</v>
      </c>
    </row>
    <row r="133" customFormat="false" ht="14.25" hidden="false" customHeight="false" outlineLevel="0" collapsed="false">
      <c r="B133" s="2" t="n">
        <v>12</v>
      </c>
      <c r="C133" s="3" t="n">
        <v>500</v>
      </c>
      <c r="D133" s="3" t="n">
        <v>4</v>
      </c>
      <c r="E133" s="2" t="n">
        <v>90.67</v>
      </c>
      <c r="F133" s="4" t="n">
        <v>3.269</v>
      </c>
      <c r="G133" s="2" t="n">
        <v>25</v>
      </c>
      <c r="H133" s="2" t="n">
        <v>31</v>
      </c>
      <c r="I133" s="1" t="n">
        <v>400</v>
      </c>
      <c r="J133" s="2" t="n">
        <v>161</v>
      </c>
      <c r="K133" s="3" t="n">
        <v>440</v>
      </c>
      <c r="L133" s="12" t="n">
        <v>0.0120879120879121</v>
      </c>
      <c r="M133" s="4" t="n">
        <v>15.17</v>
      </c>
      <c r="N133" s="4" t="n">
        <v>0.18</v>
      </c>
    </row>
    <row r="134" customFormat="false" ht="14.25" hidden="false" customHeight="false" outlineLevel="0" collapsed="false">
      <c r="A134" s="1" t="s">
        <v>53</v>
      </c>
      <c r="B134" s="2" t="n">
        <v>12</v>
      </c>
      <c r="C134" s="3" t="n">
        <v>500</v>
      </c>
      <c r="D134" s="3" t="n">
        <v>4</v>
      </c>
      <c r="E134" s="2" t="n">
        <v>90.67</v>
      </c>
      <c r="F134" s="4" t="n">
        <v>3.269</v>
      </c>
      <c r="G134" s="2" t="n">
        <v>25</v>
      </c>
      <c r="H134" s="2" t="n">
        <v>31</v>
      </c>
      <c r="I134" s="1" t="n">
        <v>400</v>
      </c>
      <c r="J134" s="2" t="n">
        <v>161</v>
      </c>
      <c r="K134" s="3" t="n">
        <v>440</v>
      </c>
      <c r="L134" s="12" t="n">
        <v>0.0120879120879121</v>
      </c>
      <c r="M134" s="4" t="n">
        <v>11.67</v>
      </c>
      <c r="N134" s="4" t="n">
        <v>0.18</v>
      </c>
    </row>
    <row r="135" customFormat="false" ht="14.25" hidden="false" customHeight="false" outlineLevel="0" collapsed="false">
      <c r="B135" s="2" t="n">
        <v>12</v>
      </c>
      <c r="C135" s="3" t="n">
        <v>500</v>
      </c>
      <c r="D135" s="3" t="n">
        <v>4</v>
      </c>
      <c r="E135" s="2" t="n">
        <v>90.67</v>
      </c>
      <c r="F135" s="4" t="n">
        <v>3.269</v>
      </c>
      <c r="G135" s="2" t="n">
        <v>25</v>
      </c>
      <c r="H135" s="2" t="n">
        <v>31</v>
      </c>
      <c r="I135" s="1" t="n">
        <v>400</v>
      </c>
      <c r="J135" s="2" t="n">
        <v>161</v>
      </c>
      <c r="K135" s="3" t="n">
        <v>440</v>
      </c>
      <c r="L135" s="12" t="n">
        <v>0.0120879120879121</v>
      </c>
      <c r="M135" s="4" t="n">
        <v>13.42</v>
      </c>
      <c r="N135" s="4" t="n">
        <v>0.2</v>
      </c>
    </row>
    <row r="136" customFormat="false" ht="14.25" hidden="false" customHeight="false" outlineLevel="0" collapsed="false">
      <c r="B136" s="2" t="n">
        <v>12</v>
      </c>
      <c r="C136" s="3" t="n">
        <v>500</v>
      </c>
      <c r="D136" s="3" t="n">
        <v>4</v>
      </c>
      <c r="E136" s="2" t="n">
        <v>90.67</v>
      </c>
      <c r="F136" s="4" t="n">
        <v>3.269</v>
      </c>
      <c r="G136" s="2" t="n">
        <v>25</v>
      </c>
      <c r="H136" s="2" t="n">
        <v>31</v>
      </c>
      <c r="I136" s="1" t="n">
        <v>400</v>
      </c>
      <c r="J136" s="2" t="n">
        <v>161</v>
      </c>
      <c r="K136" s="3" t="n">
        <v>440</v>
      </c>
      <c r="L136" s="12" t="n">
        <v>0.0120879120879121</v>
      </c>
      <c r="M136" s="4" t="n">
        <v>15.17</v>
      </c>
      <c r="N136" s="4" t="n">
        <v>0.23</v>
      </c>
    </row>
    <row r="137" customFormat="false" ht="14.25" hidden="false" customHeight="false" outlineLevel="0" collapsed="false">
      <c r="A137" s="1" t="s">
        <v>54</v>
      </c>
      <c r="B137" s="2" t="n">
        <v>10</v>
      </c>
      <c r="C137" s="3" t="n">
        <v>528</v>
      </c>
      <c r="D137" s="3" t="n">
        <v>1</v>
      </c>
      <c r="E137" s="2" t="n">
        <v>45</v>
      </c>
      <c r="F137" s="4" t="n">
        <v>2.8</v>
      </c>
      <c r="G137" s="2" t="n">
        <v>40</v>
      </c>
      <c r="H137" s="2" t="n">
        <v>45</v>
      </c>
      <c r="I137" s="1" t="n">
        <v>100</v>
      </c>
      <c r="J137" s="2" t="n">
        <v>250</v>
      </c>
      <c r="K137" s="3" t="n">
        <v>78.5</v>
      </c>
      <c r="L137" s="12" t="n">
        <v>0.00826315789473684</v>
      </c>
      <c r="M137" s="4" t="n">
        <v>4.1</v>
      </c>
      <c r="N137" s="4" t="n">
        <v>0.16</v>
      </c>
    </row>
    <row r="138" customFormat="false" ht="14.25" hidden="false" customHeight="false" outlineLevel="0" collapsed="false">
      <c r="B138" s="2" t="n">
        <v>10</v>
      </c>
      <c r="C138" s="3" t="n">
        <v>528</v>
      </c>
      <c r="D138" s="3" t="n">
        <v>1</v>
      </c>
      <c r="E138" s="2" t="n">
        <v>45</v>
      </c>
      <c r="F138" s="4" t="n">
        <v>2.8</v>
      </c>
      <c r="G138" s="2" t="n">
        <v>40</v>
      </c>
      <c r="H138" s="2" t="n">
        <v>45</v>
      </c>
      <c r="I138" s="1" t="n">
        <v>100</v>
      </c>
      <c r="J138" s="2" t="n">
        <v>250</v>
      </c>
      <c r="K138" s="3" t="n">
        <v>78.5</v>
      </c>
      <c r="L138" s="12" t="n">
        <v>0.00826315789473684</v>
      </c>
      <c r="M138" s="4" t="n">
        <v>4.4</v>
      </c>
      <c r="N138" s="4" t="n">
        <v>0.18</v>
      </c>
    </row>
    <row r="139" customFormat="false" ht="14.25" hidden="false" customHeight="false" outlineLevel="0" collapsed="false">
      <c r="B139" s="2" t="n">
        <v>10</v>
      </c>
      <c r="C139" s="3" t="n">
        <v>528</v>
      </c>
      <c r="D139" s="3" t="n">
        <v>1</v>
      </c>
      <c r="E139" s="2" t="n">
        <v>45</v>
      </c>
      <c r="F139" s="4" t="n">
        <v>2.8</v>
      </c>
      <c r="G139" s="2" t="n">
        <v>40</v>
      </c>
      <c r="H139" s="2" t="n">
        <v>45</v>
      </c>
      <c r="I139" s="1" t="n">
        <v>100</v>
      </c>
      <c r="J139" s="2" t="n">
        <v>250</v>
      </c>
      <c r="K139" s="3" t="n">
        <v>78.5</v>
      </c>
      <c r="L139" s="12" t="n">
        <v>0.00826315789473684</v>
      </c>
      <c r="M139" s="4" t="n">
        <v>4.74</v>
      </c>
      <c r="N139" s="4" t="n">
        <v>0.2</v>
      </c>
    </row>
    <row r="140" customFormat="false" ht="14.25" hidden="false" customHeight="false" outlineLevel="0" collapsed="false">
      <c r="B140" s="2" t="n">
        <v>10</v>
      </c>
      <c r="C140" s="3" t="n">
        <v>528</v>
      </c>
      <c r="D140" s="3" t="n">
        <v>1</v>
      </c>
      <c r="E140" s="2" t="n">
        <v>45</v>
      </c>
      <c r="F140" s="4" t="n">
        <v>2.8</v>
      </c>
      <c r="G140" s="2" t="n">
        <v>40</v>
      </c>
      <c r="H140" s="2" t="n">
        <v>45</v>
      </c>
      <c r="I140" s="1" t="n">
        <v>100</v>
      </c>
      <c r="J140" s="2" t="n">
        <v>250</v>
      </c>
      <c r="K140" s="3" t="n">
        <v>78.5</v>
      </c>
      <c r="L140" s="12" t="n">
        <v>0.00826315789473684</v>
      </c>
      <c r="M140" s="4" t="n">
        <v>5.04</v>
      </c>
      <c r="N140" s="4" t="n">
        <v>0.22</v>
      </c>
    </row>
    <row r="141" customFormat="false" ht="14.25" hidden="false" customHeight="false" outlineLevel="0" collapsed="false">
      <c r="B141" s="2" t="n">
        <v>10</v>
      </c>
      <c r="C141" s="3" t="n">
        <v>528</v>
      </c>
      <c r="D141" s="3" t="n">
        <v>1</v>
      </c>
      <c r="E141" s="2" t="n">
        <v>45</v>
      </c>
      <c r="F141" s="4" t="n">
        <v>2.8</v>
      </c>
      <c r="G141" s="2" t="n">
        <v>40</v>
      </c>
      <c r="H141" s="2" t="n">
        <v>45</v>
      </c>
      <c r="I141" s="1" t="n">
        <v>100</v>
      </c>
      <c r="J141" s="2" t="n">
        <v>250</v>
      </c>
      <c r="K141" s="3" t="n">
        <v>78.5</v>
      </c>
      <c r="L141" s="12" t="n">
        <v>0.00826315789473684</v>
      </c>
      <c r="M141" s="4" t="n">
        <v>5.38</v>
      </c>
      <c r="N141" s="4" t="n">
        <v>0.24</v>
      </c>
    </row>
    <row r="142" customFormat="false" ht="14.25" hidden="false" customHeight="false" outlineLevel="0" collapsed="false">
      <c r="B142" s="2" t="n">
        <v>10</v>
      </c>
      <c r="C142" s="3" t="n">
        <v>528</v>
      </c>
      <c r="D142" s="3" t="n">
        <v>1</v>
      </c>
      <c r="E142" s="2" t="n">
        <v>45</v>
      </c>
      <c r="F142" s="4" t="n">
        <v>2.8</v>
      </c>
      <c r="G142" s="2" t="n">
        <v>40</v>
      </c>
      <c r="H142" s="2" t="n">
        <v>45</v>
      </c>
      <c r="I142" s="1" t="n">
        <v>100</v>
      </c>
      <c r="J142" s="2" t="n">
        <v>250</v>
      </c>
      <c r="K142" s="3" t="n">
        <v>78.5</v>
      </c>
      <c r="L142" s="12" t="n">
        <v>0.00826315789473684</v>
      </c>
      <c r="M142" s="4" t="n">
        <v>5.68</v>
      </c>
      <c r="N142" s="4" t="n">
        <v>0.26</v>
      </c>
    </row>
    <row r="143" customFormat="false" ht="14.25" hidden="false" customHeight="false" outlineLevel="0" collapsed="false">
      <c r="B143" s="2" t="n">
        <v>10</v>
      </c>
      <c r="C143" s="3" t="n">
        <v>528</v>
      </c>
      <c r="D143" s="3" t="n">
        <v>1</v>
      </c>
      <c r="E143" s="2" t="n">
        <v>45</v>
      </c>
      <c r="F143" s="4" t="n">
        <v>2.8</v>
      </c>
      <c r="G143" s="2" t="n">
        <v>40</v>
      </c>
      <c r="H143" s="2" t="n">
        <v>45</v>
      </c>
      <c r="I143" s="1" t="n">
        <v>100</v>
      </c>
      <c r="J143" s="2" t="n">
        <v>250</v>
      </c>
      <c r="K143" s="3" t="n">
        <v>78.5</v>
      </c>
      <c r="L143" s="12" t="n">
        <v>0.00826315789473684</v>
      </c>
      <c r="M143" s="4" t="n">
        <v>6.04</v>
      </c>
      <c r="N143" s="4" t="n">
        <v>0.28</v>
      </c>
    </row>
    <row r="144" customFormat="false" ht="14.25" hidden="false" customHeight="false" outlineLevel="0" collapsed="false">
      <c r="A144" s="1" t="s">
        <v>55</v>
      </c>
      <c r="B144" s="2" t="n">
        <v>10</v>
      </c>
      <c r="C144" s="3" t="n">
        <v>528</v>
      </c>
      <c r="D144" s="3" t="n">
        <v>1</v>
      </c>
      <c r="E144" s="2" t="n">
        <v>45</v>
      </c>
      <c r="F144" s="4" t="n">
        <v>2.8</v>
      </c>
      <c r="G144" s="2" t="n">
        <v>40</v>
      </c>
      <c r="H144" s="2" t="n">
        <v>45</v>
      </c>
      <c r="I144" s="1" t="n">
        <v>100</v>
      </c>
      <c r="J144" s="2" t="n">
        <v>250</v>
      </c>
      <c r="K144" s="3" t="n">
        <v>78.5</v>
      </c>
      <c r="L144" s="12" t="n">
        <v>0.00826315789473684</v>
      </c>
      <c r="M144" s="4" t="n">
        <v>3.76</v>
      </c>
      <c r="N144" s="4" t="n">
        <v>0.15</v>
      </c>
    </row>
    <row r="145" customFormat="false" ht="14.25" hidden="false" customHeight="false" outlineLevel="0" collapsed="false">
      <c r="B145" s="2" t="n">
        <v>10</v>
      </c>
      <c r="C145" s="3" t="n">
        <v>528</v>
      </c>
      <c r="D145" s="3" t="n">
        <v>1</v>
      </c>
      <c r="E145" s="2" t="n">
        <v>45</v>
      </c>
      <c r="F145" s="4" t="n">
        <v>2.8</v>
      </c>
      <c r="G145" s="2" t="n">
        <v>40</v>
      </c>
      <c r="H145" s="2" t="n">
        <v>45</v>
      </c>
      <c r="I145" s="1" t="n">
        <v>100</v>
      </c>
      <c r="J145" s="2" t="n">
        <v>250</v>
      </c>
      <c r="K145" s="3" t="n">
        <v>78.5</v>
      </c>
      <c r="L145" s="12" t="n">
        <v>0.00826315789473684</v>
      </c>
      <c r="M145" s="4" t="n">
        <v>4.1</v>
      </c>
      <c r="N145" s="4" t="n">
        <v>0.17</v>
      </c>
    </row>
    <row r="146" customFormat="false" ht="14.25" hidden="false" customHeight="false" outlineLevel="0" collapsed="false">
      <c r="B146" s="2" t="n">
        <v>10</v>
      </c>
      <c r="C146" s="3" t="n">
        <v>528</v>
      </c>
      <c r="D146" s="3" t="n">
        <v>1</v>
      </c>
      <c r="E146" s="2" t="n">
        <v>45</v>
      </c>
      <c r="F146" s="4" t="n">
        <v>2.8</v>
      </c>
      <c r="G146" s="2" t="n">
        <v>40</v>
      </c>
      <c r="H146" s="2" t="n">
        <v>45</v>
      </c>
      <c r="I146" s="1" t="n">
        <v>100</v>
      </c>
      <c r="J146" s="2" t="n">
        <v>250</v>
      </c>
      <c r="K146" s="3" t="n">
        <v>78.5</v>
      </c>
      <c r="L146" s="12" t="n">
        <v>0.00826315789473684</v>
      </c>
      <c r="M146" s="4" t="n">
        <v>4.42</v>
      </c>
      <c r="N146" s="4" t="n">
        <v>0.19</v>
      </c>
    </row>
    <row r="147" customFormat="false" ht="14.25" hidden="false" customHeight="false" outlineLevel="0" collapsed="false">
      <c r="B147" s="2" t="n">
        <v>10</v>
      </c>
      <c r="C147" s="3" t="n">
        <v>528</v>
      </c>
      <c r="D147" s="3" t="n">
        <v>1</v>
      </c>
      <c r="E147" s="2" t="n">
        <v>45</v>
      </c>
      <c r="F147" s="4" t="n">
        <v>2.8</v>
      </c>
      <c r="G147" s="2" t="n">
        <v>40</v>
      </c>
      <c r="H147" s="2" t="n">
        <v>45</v>
      </c>
      <c r="I147" s="1" t="n">
        <v>100</v>
      </c>
      <c r="J147" s="2" t="n">
        <v>250</v>
      </c>
      <c r="K147" s="3" t="n">
        <v>78.5</v>
      </c>
      <c r="L147" s="12" t="n">
        <v>0.00826315789473684</v>
      </c>
      <c r="M147" s="4" t="n">
        <v>4.71</v>
      </c>
      <c r="N147" s="4" t="n">
        <v>0.2</v>
      </c>
    </row>
    <row r="148" customFormat="false" ht="14.25" hidden="false" customHeight="false" outlineLevel="0" collapsed="false">
      <c r="B148" s="2" t="n">
        <v>10</v>
      </c>
      <c r="C148" s="3" t="n">
        <v>528</v>
      </c>
      <c r="D148" s="3" t="n">
        <v>1</v>
      </c>
      <c r="E148" s="2" t="n">
        <v>45</v>
      </c>
      <c r="F148" s="4" t="n">
        <v>2.8</v>
      </c>
      <c r="G148" s="2" t="n">
        <v>40</v>
      </c>
      <c r="H148" s="2" t="n">
        <v>45</v>
      </c>
      <c r="I148" s="1" t="n">
        <v>100</v>
      </c>
      <c r="J148" s="2" t="n">
        <v>250</v>
      </c>
      <c r="K148" s="3" t="n">
        <v>78.5</v>
      </c>
      <c r="L148" s="12" t="n">
        <v>0.00826315789473684</v>
      </c>
      <c r="M148" s="4" t="n">
        <v>5.04</v>
      </c>
      <c r="N148" s="4" t="n">
        <v>0.22</v>
      </c>
    </row>
    <row r="149" customFormat="false" ht="14.25" hidden="false" customHeight="false" outlineLevel="0" collapsed="false">
      <c r="B149" s="2" t="n">
        <v>10</v>
      </c>
      <c r="C149" s="3" t="n">
        <v>528</v>
      </c>
      <c r="D149" s="3" t="n">
        <v>1</v>
      </c>
      <c r="E149" s="2" t="n">
        <v>45</v>
      </c>
      <c r="F149" s="4" t="n">
        <v>2.8</v>
      </c>
      <c r="G149" s="2" t="n">
        <v>40</v>
      </c>
      <c r="H149" s="2" t="n">
        <v>45</v>
      </c>
      <c r="I149" s="1" t="n">
        <v>100</v>
      </c>
      <c r="J149" s="2" t="n">
        <v>250</v>
      </c>
      <c r="K149" s="3" t="n">
        <v>78.5</v>
      </c>
      <c r="L149" s="12" t="n">
        <v>0.00826315789473684</v>
      </c>
      <c r="M149" s="4" t="n">
        <v>5.37</v>
      </c>
      <c r="N149" s="4" t="n">
        <v>0.24</v>
      </c>
    </row>
    <row r="150" customFormat="false" ht="14.25" hidden="false" customHeight="false" outlineLevel="0" collapsed="false">
      <c r="B150" s="2" t="n">
        <v>10</v>
      </c>
      <c r="C150" s="3" t="n">
        <v>528</v>
      </c>
      <c r="D150" s="3" t="n">
        <v>1</v>
      </c>
      <c r="E150" s="2" t="n">
        <v>45</v>
      </c>
      <c r="F150" s="4" t="n">
        <v>2.8</v>
      </c>
      <c r="G150" s="2" t="n">
        <v>40</v>
      </c>
      <c r="H150" s="2" t="n">
        <v>45</v>
      </c>
      <c r="I150" s="1" t="n">
        <v>100</v>
      </c>
      <c r="J150" s="2" t="n">
        <v>250</v>
      </c>
      <c r="K150" s="3" t="n">
        <v>78.5</v>
      </c>
      <c r="L150" s="12" t="n">
        <v>0.00826315789473684</v>
      </c>
      <c r="M150" s="4" t="n">
        <v>5.65</v>
      </c>
      <c r="N150" s="4" t="n">
        <v>0.26</v>
      </c>
    </row>
    <row r="151" customFormat="false" ht="14.25" hidden="false" customHeight="false" outlineLevel="0" collapsed="false">
      <c r="B151" s="2" t="n">
        <v>10</v>
      </c>
      <c r="C151" s="3" t="n">
        <v>528</v>
      </c>
      <c r="D151" s="3" t="n">
        <v>1</v>
      </c>
      <c r="E151" s="2" t="n">
        <v>45</v>
      </c>
      <c r="F151" s="4" t="n">
        <v>2.8</v>
      </c>
      <c r="G151" s="2" t="n">
        <v>40</v>
      </c>
      <c r="H151" s="2" t="n">
        <v>45</v>
      </c>
      <c r="I151" s="1" t="n">
        <v>100</v>
      </c>
      <c r="J151" s="2" t="n">
        <v>250</v>
      </c>
      <c r="K151" s="3" t="n">
        <v>78.5</v>
      </c>
      <c r="L151" s="12" t="n">
        <v>0.00826315789473684</v>
      </c>
      <c r="M151" s="4" t="n">
        <v>5.92</v>
      </c>
      <c r="N151" s="4" t="n">
        <v>0.29</v>
      </c>
    </row>
    <row r="152" customFormat="false" ht="14.25" hidden="false" customHeight="false" outlineLevel="0" collapsed="false">
      <c r="A152" s="1" t="s">
        <v>56</v>
      </c>
      <c r="B152" s="2" t="n">
        <v>20</v>
      </c>
      <c r="C152" s="3" t="n">
        <v>598</v>
      </c>
      <c r="D152" s="3" t="n">
        <v>1</v>
      </c>
      <c r="E152" s="2" t="n">
        <v>40</v>
      </c>
      <c r="F152" s="4" t="n">
        <v>2.8</v>
      </c>
      <c r="G152" s="2" t="n">
        <v>40</v>
      </c>
      <c r="H152" s="2" t="n">
        <v>50</v>
      </c>
      <c r="I152" s="1" t="n">
        <v>100</v>
      </c>
      <c r="J152" s="2" t="n">
        <v>250</v>
      </c>
      <c r="K152" s="3" t="n">
        <v>315</v>
      </c>
      <c r="L152" s="12" t="n">
        <v>0.021</v>
      </c>
      <c r="M152" s="4" t="n">
        <v>11.09</v>
      </c>
      <c r="N152" s="4" t="n">
        <v>0.17</v>
      </c>
    </row>
    <row r="153" customFormat="false" ht="14.25" hidden="false" customHeight="false" outlineLevel="0" collapsed="false">
      <c r="B153" s="2" t="n">
        <v>20</v>
      </c>
      <c r="C153" s="3" t="n">
        <v>598</v>
      </c>
      <c r="D153" s="3" t="n">
        <v>1</v>
      </c>
      <c r="E153" s="2" t="n">
        <v>40</v>
      </c>
      <c r="F153" s="4" t="n">
        <v>2.8</v>
      </c>
      <c r="G153" s="2" t="n">
        <v>40</v>
      </c>
      <c r="H153" s="2" t="n">
        <v>50</v>
      </c>
      <c r="I153" s="1" t="n">
        <v>100</v>
      </c>
      <c r="J153" s="2" t="n">
        <v>250</v>
      </c>
      <c r="K153" s="3" t="n">
        <v>315</v>
      </c>
      <c r="L153" s="12" t="n">
        <v>0.021</v>
      </c>
      <c r="M153" s="4" t="n">
        <v>12.96</v>
      </c>
      <c r="N153" s="4" t="n">
        <v>0.2</v>
      </c>
    </row>
    <row r="154" customFormat="false" ht="14.25" hidden="false" customHeight="false" outlineLevel="0" collapsed="false">
      <c r="B154" s="2" t="n">
        <v>20</v>
      </c>
      <c r="C154" s="3" t="n">
        <v>598</v>
      </c>
      <c r="D154" s="3" t="n">
        <v>1</v>
      </c>
      <c r="E154" s="2" t="n">
        <v>40</v>
      </c>
      <c r="F154" s="4" t="n">
        <v>2.8</v>
      </c>
      <c r="G154" s="2" t="n">
        <v>40</v>
      </c>
      <c r="H154" s="2" t="n">
        <v>50</v>
      </c>
      <c r="I154" s="1" t="n">
        <v>100</v>
      </c>
      <c r="J154" s="2" t="n">
        <v>250</v>
      </c>
      <c r="K154" s="3" t="n">
        <v>315</v>
      </c>
      <c r="L154" s="12" t="n">
        <v>0.021</v>
      </c>
      <c r="M154" s="4" t="n">
        <v>14.77</v>
      </c>
      <c r="N154" s="4" t="n">
        <v>0.24</v>
      </c>
    </row>
    <row r="155" customFormat="false" ht="14.25" hidden="false" customHeight="false" outlineLevel="0" collapsed="false">
      <c r="B155" s="2" t="n">
        <v>20</v>
      </c>
      <c r="C155" s="3" t="n">
        <v>598</v>
      </c>
      <c r="D155" s="3" t="n">
        <v>1</v>
      </c>
      <c r="E155" s="2" t="n">
        <v>40</v>
      </c>
      <c r="F155" s="4" t="n">
        <v>2.8</v>
      </c>
      <c r="G155" s="2" t="n">
        <v>40</v>
      </c>
      <c r="H155" s="2" t="n">
        <v>50</v>
      </c>
      <c r="I155" s="1" t="n">
        <v>100</v>
      </c>
      <c r="J155" s="2" t="n">
        <v>250</v>
      </c>
      <c r="K155" s="3" t="n">
        <v>315</v>
      </c>
      <c r="L155" s="12" t="n">
        <v>0.021</v>
      </c>
      <c r="M155" s="4" t="n">
        <v>16.57</v>
      </c>
      <c r="N155" s="4" t="n">
        <v>0.27</v>
      </c>
    </row>
    <row r="156" customFormat="false" ht="14.25" hidden="false" customHeight="false" outlineLevel="0" collapsed="false">
      <c r="B156" s="2" t="n">
        <v>20</v>
      </c>
      <c r="C156" s="3" t="n">
        <v>598</v>
      </c>
      <c r="D156" s="3" t="n">
        <v>1</v>
      </c>
      <c r="E156" s="2" t="n">
        <v>40</v>
      </c>
      <c r="F156" s="4" t="n">
        <v>2.8</v>
      </c>
      <c r="G156" s="2" t="n">
        <v>40</v>
      </c>
      <c r="H156" s="2" t="n">
        <v>50</v>
      </c>
      <c r="I156" s="1" t="n">
        <v>100</v>
      </c>
      <c r="J156" s="2" t="n">
        <v>250</v>
      </c>
      <c r="K156" s="3" t="n">
        <v>315</v>
      </c>
      <c r="L156" s="12" t="n">
        <v>0.021</v>
      </c>
      <c r="M156" s="4" t="n">
        <v>18.35</v>
      </c>
      <c r="N156" s="4" t="n">
        <v>0.32</v>
      </c>
    </row>
    <row r="157" customFormat="false" ht="14.25" hidden="false" customHeight="false" outlineLevel="0" collapsed="false">
      <c r="B157" s="2" t="n">
        <v>20</v>
      </c>
      <c r="C157" s="3" t="n">
        <v>598</v>
      </c>
      <c r="D157" s="3" t="n">
        <v>1</v>
      </c>
      <c r="E157" s="2" t="n">
        <v>40</v>
      </c>
      <c r="F157" s="4" t="n">
        <v>2.8</v>
      </c>
      <c r="G157" s="2" t="n">
        <v>40</v>
      </c>
      <c r="H157" s="2" t="n">
        <v>50</v>
      </c>
      <c r="I157" s="1" t="n">
        <v>100</v>
      </c>
      <c r="J157" s="2" t="n">
        <v>250</v>
      </c>
      <c r="K157" s="3" t="n">
        <v>315</v>
      </c>
      <c r="L157" s="12" t="n">
        <v>0.021</v>
      </c>
      <c r="M157" s="4" t="n">
        <v>20.18</v>
      </c>
      <c r="N157" s="4" t="n">
        <v>0.34</v>
      </c>
    </row>
    <row r="158" customFormat="false" ht="14.25" hidden="false" customHeight="false" outlineLevel="0" collapsed="false">
      <c r="A158" s="1" t="s">
        <v>57</v>
      </c>
      <c r="B158" s="2" t="n">
        <v>20</v>
      </c>
      <c r="C158" s="3" t="n">
        <v>598</v>
      </c>
      <c r="D158" s="3" t="n">
        <v>1</v>
      </c>
      <c r="E158" s="2" t="n">
        <v>40</v>
      </c>
      <c r="F158" s="4" t="n">
        <v>2.8</v>
      </c>
      <c r="G158" s="2" t="n">
        <v>40</v>
      </c>
      <c r="H158" s="2" t="n">
        <v>50</v>
      </c>
      <c r="I158" s="1" t="n">
        <v>100</v>
      </c>
      <c r="J158" s="2" t="n">
        <v>250</v>
      </c>
      <c r="K158" s="3" t="n">
        <v>315</v>
      </c>
      <c r="L158" s="12" t="n">
        <v>0.021</v>
      </c>
      <c r="M158" s="4" t="n">
        <v>9.35</v>
      </c>
      <c r="N158" s="4" t="n">
        <v>0.16</v>
      </c>
    </row>
    <row r="159" customFormat="false" ht="14.25" hidden="false" customHeight="false" outlineLevel="0" collapsed="false">
      <c r="B159" s="2" t="n">
        <v>20</v>
      </c>
      <c r="C159" s="3" t="n">
        <v>598</v>
      </c>
      <c r="D159" s="3" t="n">
        <v>1</v>
      </c>
      <c r="E159" s="2" t="n">
        <v>40</v>
      </c>
      <c r="F159" s="4" t="n">
        <v>2.8</v>
      </c>
      <c r="G159" s="2" t="n">
        <v>40</v>
      </c>
      <c r="H159" s="2" t="n">
        <v>50</v>
      </c>
      <c r="I159" s="1" t="n">
        <v>100</v>
      </c>
      <c r="J159" s="2" t="n">
        <v>250</v>
      </c>
      <c r="K159" s="3" t="n">
        <v>315</v>
      </c>
      <c r="L159" s="12" t="n">
        <v>0.021</v>
      </c>
      <c r="M159" s="4" t="n">
        <v>11.12</v>
      </c>
      <c r="N159" s="4" t="n">
        <v>0.2</v>
      </c>
    </row>
    <row r="160" customFormat="false" ht="14.25" hidden="false" customHeight="false" outlineLevel="0" collapsed="false">
      <c r="B160" s="2" t="n">
        <v>20</v>
      </c>
      <c r="C160" s="3" t="n">
        <v>598</v>
      </c>
      <c r="D160" s="3" t="n">
        <v>1</v>
      </c>
      <c r="E160" s="2" t="n">
        <v>40</v>
      </c>
      <c r="F160" s="4" t="n">
        <v>2.8</v>
      </c>
      <c r="G160" s="2" t="n">
        <v>40</v>
      </c>
      <c r="H160" s="2" t="n">
        <v>50</v>
      </c>
      <c r="I160" s="1" t="n">
        <v>100</v>
      </c>
      <c r="J160" s="2" t="n">
        <v>250</v>
      </c>
      <c r="K160" s="3" t="n">
        <v>315</v>
      </c>
      <c r="L160" s="12" t="n">
        <v>0.021</v>
      </c>
      <c r="M160" s="4" t="n">
        <v>12.93</v>
      </c>
      <c r="N160" s="4" t="n">
        <v>0.24</v>
      </c>
    </row>
    <row r="161" customFormat="false" ht="14.25" hidden="false" customHeight="false" outlineLevel="0" collapsed="false">
      <c r="B161" s="2" t="n">
        <v>20</v>
      </c>
      <c r="C161" s="3" t="n">
        <v>598</v>
      </c>
      <c r="D161" s="3" t="n">
        <v>1</v>
      </c>
      <c r="E161" s="2" t="n">
        <v>40</v>
      </c>
      <c r="F161" s="4" t="n">
        <v>2.8</v>
      </c>
      <c r="G161" s="2" t="n">
        <v>40</v>
      </c>
      <c r="H161" s="2" t="n">
        <v>50</v>
      </c>
      <c r="I161" s="1" t="n">
        <v>100</v>
      </c>
      <c r="J161" s="2" t="n">
        <v>250</v>
      </c>
      <c r="K161" s="3" t="n">
        <v>315</v>
      </c>
      <c r="L161" s="12" t="n">
        <v>0.021</v>
      </c>
      <c r="M161" s="4" t="n">
        <v>14.72</v>
      </c>
      <c r="N161" s="4" t="n">
        <v>0.27</v>
      </c>
    </row>
    <row r="162" customFormat="false" ht="14.25" hidden="false" customHeight="false" outlineLevel="0" collapsed="false">
      <c r="B162" s="2" t="n">
        <v>20</v>
      </c>
      <c r="C162" s="3" t="n">
        <v>598</v>
      </c>
      <c r="D162" s="3" t="n">
        <v>1</v>
      </c>
      <c r="E162" s="2" t="n">
        <v>40</v>
      </c>
      <c r="F162" s="4" t="n">
        <v>2.8</v>
      </c>
      <c r="G162" s="2" t="n">
        <v>40</v>
      </c>
      <c r="H162" s="2" t="n">
        <v>50</v>
      </c>
      <c r="I162" s="1" t="n">
        <v>100</v>
      </c>
      <c r="J162" s="2" t="n">
        <v>250</v>
      </c>
      <c r="K162" s="3" t="n">
        <v>315</v>
      </c>
      <c r="L162" s="12" t="n">
        <v>0.021</v>
      </c>
      <c r="M162" s="4" t="n">
        <v>16.58</v>
      </c>
      <c r="N162" s="4" t="n">
        <v>0.29</v>
      </c>
    </row>
    <row r="163" customFormat="false" ht="14.25" hidden="false" customHeight="false" outlineLevel="0" collapsed="false">
      <c r="B163" s="2" t="n">
        <v>20</v>
      </c>
      <c r="C163" s="3" t="n">
        <v>598</v>
      </c>
      <c r="D163" s="3" t="n">
        <v>1</v>
      </c>
      <c r="E163" s="2" t="n">
        <v>40</v>
      </c>
      <c r="F163" s="4" t="n">
        <v>2.8</v>
      </c>
      <c r="G163" s="2" t="n">
        <v>40</v>
      </c>
      <c r="H163" s="2" t="n">
        <v>50</v>
      </c>
      <c r="I163" s="1" t="n">
        <v>100</v>
      </c>
      <c r="J163" s="2" t="n">
        <v>250</v>
      </c>
      <c r="K163" s="3" t="n">
        <v>315</v>
      </c>
      <c r="L163" s="12" t="n">
        <v>0.021</v>
      </c>
      <c r="M163" s="4" t="n">
        <v>18.35</v>
      </c>
      <c r="N163" s="4" t="n">
        <v>0.32</v>
      </c>
    </row>
    <row r="164" customFormat="false" ht="14.25" hidden="false" customHeight="false" outlineLevel="0" collapsed="false">
      <c r="B164" s="2" t="n">
        <v>20</v>
      </c>
      <c r="C164" s="3" t="n">
        <v>598</v>
      </c>
      <c r="D164" s="3" t="n">
        <v>1</v>
      </c>
      <c r="E164" s="2" t="n">
        <v>40</v>
      </c>
      <c r="F164" s="4" t="n">
        <v>2.8</v>
      </c>
      <c r="G164" s="2" t="n">
        <v>40</v>
      </c>
      <c r="H164" s="2" t="n">
        <v>50</v>
      </c>
      <c r="I164" s="1" t="n">
        <v>100</v>
      </c>
      <c r="J164" s="2" t="n">
        <v>250</v>
      </c>
      <c r="K164" s="3" t="n">
        <v>315</v>
      </c>
      <c r="L164" s="12" t="n">
        <v>0.021</v>
      </c>
      <c r="M164" s="4" t="n">
        <v>19.21</v>
      </c>
      <c r="N164" s="4" t="n">
        <v>0.33</v>
      </c>
    </row>
    <row r="165" customFormat="false" ht="14.25" hidden="false" customHeight="false" outlineLevel="0" collapsed="false">
      <c r="A165" s="1" t="s">
        <v>58</v>
      </c>
      <c r="B165" s="2" t="n">
        <v>10</v>
      </c>
      <c r="C165" s="3" t="n">
        <v>528</v>
      </c>
      <c r="D165" s="3" t="n">
        <v>1</v>
      </c>
      <c r="E165" s="2" t="n">
        <v>45</v>
      </c>
      <c r="F165" s="4" t="n">
        <v>2.8</v>
      </c>
      <c r="G165" s="2" t="n">
        <v>40</v>
      </c>
      <c r="H165" s="2" t="n">
        <v>45</v>
      </c>
      <c r="I165" s="1" t="n">
        <v>100</v>
      </c>
      <c r="J165" s="2" t="n">
        <v>350</v>
      </c>
      <c r="K165" s="3" t="n">
        <v>78.5</v>
      </c>
      <c r="L165" s="12" t="n">
        <v>0.00826315789473684</v>
      </c>
      <c r="M165" s="4" t="n">
        <v>6.99</v>
      </c>
      <c r="N165" s="4" t="n">
        <v>0.15</v>
      </c>
    </row>
    <row r="166" customFormat="false" ht="14.25" hidden="false" customHeight="false" outlineLevel="0" collapsed="false">
      <c r="B166" s="2" t="n">
        <v>10</v>
      </c>
      <c r="C166" s="3" t="n">
        <v>528</v>
      </c>
      <c r="D166" s="3" t="n">
        <v>1</v>
      </c>
      <c r="E166" s="2" t="n">
        <v>45</v>
      </c>
      <c r="F166" s="4" t="n">
        <v>2.8</v>
      </c>
      <c r="G166" s="2" t="n">
        <v>40</v>
      </c>
      <c r="H166" s="2" t="n">
        <v>45</v>
      </c>
      <c r="I166" s="1" t="n">
        <v>100</v>
      </c>
      <c r="J166" s="2" t="n">
        <v>350</v>
      </c>
      <c r="K166" s="3" t="n">
        <v>78.5</v>
      </c>
      <c r="L166" s="12" t="n">
        <v>0.00826315789473684</v>
      </c>
      <c r="M166" s="4" t="n">
        <v>7.44</v>
      </c>
      <c r="N166" s="4" t="n">
        <v>0.19</v>
      </c>
    </row>
    <row r="167" customFormat="false" ht="14.25" hidden="false" customHeight="false" outlineLevel="0" collapsed="false">
      <c r="B167" s="2" t="n">
        <v>10</v>
      </c>
      <c r="C167" s="3" t="n">
        <v>528</v>
      </c>
      <c r="D167" s="3" t="n">
        <v>1</v>
      </c>
      <c r="E167" s="2" t="n">
        <v>45</v>
      </c>
      <c r="F167" s="4" t="n">
        <v>2.8</v>
      </c>
      <c r="G167" s="2" t="n">
        <v>40</v>
      </c>
      <c r="H167" s="2" t="n">
        <v>45</v>
      </c>
      <c r="I167" s="1" t="n">
        <v>100</v>
      </c>
      <c r="J167" s="2" t="n">
        <v>350</v>
      </c>
      <c r="K167" s="3" t="n">
        <v>78.5</v>
      </c>
      <c r="L167" s="12" t="n">
        <v>0.00826315789473684</v>
      </c>
      <c r="M167" s="4" t="n">
        <v>7.53</v>
      </c>
      <c r="N167" s="4" t="n">
        <v>0.2</v>
      </c>
    </row>
    <row r="168" customFormat="false" ht="14.25" hidden="false" customHeight="false" outlineLevel="0" collapsed="false">
      <c r="B168" s="2" t="n">
        <v>10</v>
      </c>
      <c r="C168" s="3" t="n">
        <v>528</v>
      </c>
      <c r="D168" s="3" t="n">
        <v>1</v>
      </c>
      <c r="E168" s="2" t="n">
        <v>45</v>
      </c>
      <c r="F168" s="4" t="n">
        <v>2.8</v>
      </c>
      <c r="G168" s="2" t="n">
        <v>40</v>
      </c>
      <c r="H168" s="2" t="n">
        <v>45</v>
      </c>
      <c r="I168" s="1" t="n">
        <v>100</v>
      </c>
      <c r="J168" s="2" t="n">
        <v>350</v>
      </c>
      <c r="K168" s="3" t="n">
        <v>78.5</v>
      </c>
      <c r="L168" s="12" t="n">
        <v>0.00826315789473684</v>
      </c>
      <c r="M168" s="4" t="n">
        <v>7.91</v>
      </c>
      <c r="N168" s="4" t="n">
        <v>0.23</v>
      </c>
    </row>
    <row r="169" customFormat="false" ht="14.25" hidden="false" customHeight="false" outlineLevel="0" collapsed="false">
      <c r="B169" s="2" t="n">
        <v>10</v>
      </c>
      <c r="C169" s="3" t="n">
        <v>528</v>
      </c>
      <c r="D169" s="3" t="n">
        <v>1</v>
      </c>
      <c r="E169" s="2" t="n">
        <v>45</v>
      </c>
      <c r="F169" s="4" t="n">
        <v>2.8</v>
      </c>
      <c r="G169" s="2" t="n">
        <v>40</v>
      </c>
      <c r="H169" s="2" t="n">
        <v>45</v>
      </c>
      <c r="I169" s="1" t="n">
        <v>100</v>
      </c>
      <c r="J169" s="2" t="n">
        <v>350</v>
      </c>
      <c r="K169" s="3" t="n">
        <v>78.5</v>
      </c>
      <c r="L169" s="12" t="n">
        <v>0.00826315789473684</v>
      </c>
      <c r="M169" s="4" t="n">
        <v>8.17</v>
      </c>
      <c r="N169" s="4" t="n">
        <v>0.25</v>
      </c>
    </row>
    <row r="170" customFormat="false" ht="14.25" hidden="false" customHeight="false" outlineLevel="0" collapsed="false">
      <c r="B170" s="2" t="n">
        <v>10</v>
      </c>
      <c r="C170" s="3" t="n">
        <v>528</v>
      </c>
      <c r="D170" s="3" t="n">
        <v>1</v>
      </c>
      <c r="E170" s="2" t="n">
        <v>45</v>
      </c>
      <c r="F170" s="4" t="n">
        <v>2.8</v>
      </c>
      <c r="G170" s="2" t="n">
        <v>40</v>
      </c>
      <c r="H170" s="2" t="n">
        <v>45</v>
      </c>
      <c r="I170" s="1" t="n">
        <v>100</v>
      </c>
      <c r="J170" s="2" t="n">
        <v>350</v>
      </c>
      <c r="K170" s="3" t="n">
        <v>78.5</v>
      </c>
      <c r="L170" s="12" t="n">
        <v>0.00826315789473684</v>
      </c>
      <c r="M170" s="4" t="n">
        <v>8.46</v>
      </c>
      <c r="N170" s="4" t="n">
        <v>0.28</v>
      </c>
    </row>
    <row r="171" customFormat="false" ht="14.25" hidden="false" customHeight="false" outlineLevel="0" collapsed="false">
      <c r="B171" s="2" t="n">
        <v>10</v>
      </c>
      <c r="C171" s="3" t="n">
        <v>528</v>
      </c>
      <c r="D171" s="3" t="n">
        <v>1</v>
      </c>
      <c r="E171" s="2" t="n">
        <v>45</v>
      </c>
      <c r="F171" s="4" t="n">
        <v>2.8</v>
      </c>
      <c r="G171" s="2" t="n">
        <v>40</v>
      </c>
      <c r="H171" s="2" t="n">
        <v>45</v>
      </c>
      <c r="I171" s="1" t="n">
        <v>100</v>
      </c>
      <c r="J171" s="2" t="n">
        <v>350</v>
      </c>
      <c r="K171" s="3" t="n">
        <v>78.5</v>
      </c>
      <c r="L171" s="12" t="n">
        <v>0.00826315789473684</v>
      </c>
      <c r="M171" s="4" t="n">
        <v>8.72</v>
      </c>
      <c r="N171" s="4" t="n">
        <v>0.31</v>
      </c>
    </row>
    <row r="172" customFormat="false" ht="14.25" hidden="false" customHeight="false" outlineLevel="0" collapsed="false">
      <c r="B172" s="2" t="n">
        <v>10</v>
      </c>
      <c r="C172" s="3" t="n">
        <v>528</v>
      </c>
      <c r="D172" s="3" t="n">
        <v>1</v>
      </c>
      <c r="E172" s="2" t="n">
        <v>45</v>
      </c>
      <c r="F172" s="4" t="n">
        <v>2.8</v>
      </c>
      <c r="G172" s="2" t="n">
        <v>40</v>
      </c>
      <c r="H172" s="2" t="n">
        <v>45</v>
      </c>
      <c r="I172" s="1" t="n">
        <v>100</v>
      </c>
      <c r="J172" s="2" t="n">
        <v>350</v>
      </c>
      <c r="K172" s="3" t="n">
        <v>78.5</v>
      </c>
      <c r="L172" s="12" t="n">
        <v>0.00826315789473684</v>
      </c>
      <c r="M172" s="4" t="n">
        <v>9.03</v>
      </c>
      <c r="N172" s="4" t="n">
        <v>0.36</v>
      </c>
    </row>
    <row r="173" customFormat="false" ht="14.25" hidden="false" customHeight="false" outlineLevel="0" collapsed="false">
      <c r="A173" s="1" t="s">
        <v>59</v>
      </c>
      <c r="B173" s="2" t="n">
        <v>10</v>
      </c>
      <c r="C173" s="3" t="n">
        <v>528</v>
      </c>
      <c r="D173" s="3" t="n">
        <v>1</v>
      </c>
      <c r="E173" s="2" t="n">
        <v>45</v>
      </c>
      <c r="F173" s="4" t="n">
        <v>2.8</v>
      </c>
      <c r="G173" s="2" t="n">
        <v>40</v>
      </c>
      <c r="H173" s="2" t="n">
        <v>45</v>
      </c>
      <c r="I173" s="1" t="n">
        <v>100</v>
      </c>
      <c r="J173" s="2" t="n">
        <v>350</v>
      </c>
      <c r="K173" s="3" t="n">
        <v>78.5</v>
      </c>
      <c r="L173" s="12" t="n">
        <v>0.00826315789473684</v>
      </c>
      <c r="M173" s="4" t="n">
        <v>6.96</v>
      </c>
      <c r="N173" s="4" t="n">
        <v>0.16</v>
      </c>
    </row>
    <row r="174" customFormat="false" ht="14.25" hidden="false" customHeight="false" outlineLevel="0" collapsed="false">
      <c r="B174" s="2" t="n">
        <v>10</v>
      </c>
      <c r="C174" s="3" t="n">
        <v>528</v>
      </c>
      <c r="D174" s="3" t="n">
        <v>1</v>
      </c>
      <c r="E174" s="2" t="n">
        <v>45</v>
      </c>
      <c r="F174" s="4" t="n">
        <v>2.8</v>
      </c>
      <c r="G174" s="2" t="n">
        <v>40</v>
      </c>
      <c r="H174" s="2" t="n">
        <v>45</v>
      </c>
      <c r="I174" s="1" t="n">
        <v>100</v>
      </c>
      <c r="J174" s="2" t="n">
        <v>350</v>
      </c>
      <c r="K174" s="3" t="n">
        <v>78.5</v>
      </c>
      <c r="L174" s="12" t="n">
        <v>0.00826315789473684</v>
      </c>
      <c r="M174" s="4" t="n">
        <v>7.26</v>
      </c>
      <c r="N174" s="4" t="n">
        <v>0.18</v>
      </c>
    </row>
    <row r="175" customFormat="false" ht="14.25" hidden="false" customHeight="false" outlineLevel="0" collapsed="false">
      <c r="B175" s="2" t="n">
        <v>10</v>
      </c>
      <c r="C175" s="3" t="n">
        <v>528</v>
      </c>
      <c r="D175" s="3" t="n">
        <v>1</v>
      </c>
      <c r="E175" s="2" t="n">
        <v>45</v>
      </c>
      <c r="F175" s="4" t="n">
        <v>2.8</v>
      </c>
      <c r="G175" s="2" t="n">
        <v>40</v>
      </c>
      <c r="H175" s="2" t="n">
        <v>45</v>
      </c>
      <c r="I175" s="1" t="n">
        <v>100</v>
      </c>
      <c r="J175" s="2" t="n">
        <v>350</v>
      </c>
      <c r="K175" s="3" t="n">
        <v>78.5</v>
      </c>
      <c r="L175" s="12" t="n">
        <v>0.00826315789473684</v>
      </c>
      <c r="M175" s="4" t="n">
        <v>7.54</v>
      </c>
      <c r="N175" s="4" t="n">
        <v>0.2</v>
      </c>
    </row>
    <row r="176" customFormat="false" ht="14.25" hidden="false" customHeight="false" outlineLevel="0" collapsed="false">
      <c r="B176" s="2" t="n">
        <v>10</v>
      </c>
      <c r="C176" s="3" t="n">
        <v>528</v>
      </c>
      <c r="D176" s="3" t="n">
        <v>1</v>
      </c>
      <c r="E176" s="2" t="n">
        <v>45</v>
      </c>
      <c r="F176" s="4" t="n">
        <v>2.8</v>
      </c>
      <c r="G176" s="2" t="n">
        <v>40</v>
      </c>
      <c r="H176" s="2" t="n">
        <v>45</v>
      </c>
      <c r="I176" s="1" t="n">
        <v>100</v>
      </c>
      <c r="J176" s="2" t="n">
        <v>350</v>
      </c>
      <c r="K176" s="3" t="n">
        <v>78.5</v>
      </c>
      <c r="L176" s="12" t="n">
        <v>0.00826315789473684</v>
      </c>
      <c r="M176" s="4" t="n">
        <v>7.83</v>
      </c>
      <c r="N176" s="4" t="n">
        <v>0.23</v>
      </c>
    </row>
    <row r="177" customFormat="false" ht="14.25" hidden="false" customHeight="false" outlineLevel="0" collapsed="false">
      <c r="B177" s="2" t="n">
        <v>10</v>
      </c>
      <c r="C177" s="3" t="n">
        <v>528</v>
      </c>
      <c r="D177" s="3" t="n">
        <v>1</v>
      </c>
      <c r="E177" s="2" t="n">
        <v>45</v>
      </c>
      <c r="F177" s="4" t="n">
        <v>2.8</v>
      </c>
      <c r="G177" s="2" t="n">
        <v>40</v>
      </c>
      <c r="H177" s="2" t="n">
        <v>45</v>
      </c>
      <c r="I177" s="1" t="n">
        <v>100</v>
      </c>
      <c r="J177" s="2" t="n">
        <v>350</v>
      </c>
      <c r="K177" s="3" t="n">
        <v>78.5</v>
      </c>
      <c r="L177" s="12" t="n">
        <v>0.00826315789473684</v>
      </c>
      <c r="M177" s="4" t="n">
        <v>8.14</v>
      </c>
      <c r="N177" s="4" t="n">
        <v>0.24</v>
      </c>
    </row>
    <row r="178" customFormat="false" ht="14.25" hidden="false" customHeight="false" outlineLevel="0" collapsed="false">
      <c r="B178" s="2" t="n">
        <v>10</v>
      </c>
      <c r="C178" s="3" t="n">
        <v>528</v>
      </c>
      <c r="D178" s="3" t="n">
        <v>1</v>
      </c>
      <c r="E178" s="2" t="n">
        <v>45</v>
      </c>
      <c r="F178" s="4" t="n">
        <v>2.8</v>
      </c>
      <c r="G178" s="2" t="n">
        <v>40</v>
      </c>
      <c r="H178" s="2" t="n">
        <v>45</v>
      </c>
      <c r="I178" s="1" t="n">
        <v>100</v>
      </c>
      <c r="J178" s="2" t="n">
        <v>350</v>
      </c>
      <c r="K178" s="3" t="n">
        <v>78.5</v>
      </c>
      <c r="L178" s="12" t="n">
        <v>0.00826315789473684</v>
      </c>
      <c r="M178" s="4" t="n">
        <v>8.46</v>
      </c>
      <c r="N178" s="4" t="n">
        <v>0.25</v>
      </c>
    </row>
    <row r="179" customFormat="false" ht="14.25" hidden="false" customHeight="false" outlineLevel="0" collapsed="false">
      <c r="B179" s="2" t="n">
        <v>10</v>
      </c>
      <c r="C179" s="3" t="n">
        <v>528</v>
      </c>
      <c r="D179" s="3" t="n">
        <v>1</v>
      </c>
      <c r="E179" s="2" t="n">
        <v>45</v>
      </c>
      <c r="F179" s="4" t="n">
        <v>2.8</v>
      </c>
      <c r="G179" s="2" t="n">
        <v>40</v>
      </c>
      <c r="H179" s="2" t="n">
        <v>45</v>
      </c>
      <c r="I179" s="1" t="n">
        <v>100</v>
      </c>
      <c r="J179" s="2" t="n">
        <v>350</v>
      </c>
      <c r="K179" s="3" t="n">
        <v>78.5</v>
      </c>
      <c r="L179" s="12" t="n">
        <v>0.00826315789473684</v>
      </c>
      <c r="M179" s="4" t="n">
        <v>8.75</v>
      </c>
      <c r="N179" s="4" t="n">
        <v>0.27</v>
      </c>
    </row>
    <row r="180" customFormat="false" ht="14.25" hidden="false" customHeight="false" outlineLevel="0" collapsed="false">
      <c r="B180" s="2" t="n">
        <v>10</v>
      </c>
      <c r="C180" s="3" t="n">
        <v>528</v>
      </c>
      <c r="D180" s="3" t="n">
        <v>1</v>
      </c>
      <c r="E180" s="2" t="n">
        <v>45</v>
      </c>
      <c r="F180" s="4" t="n">
        <v>2.8</v>
      </c>
      <c r="G180" s="2" t="n">
        <v>40</v>
      </c>
      <c r="H180" s="2" t="n">
        <v>45</v>
      </c>
      <c r="I180" s="1" t="n">
        <v>100</v>
      </c>
      <c r="J180" s="2" t="n">
        <v>350</v>
      </c>
      <c r="K180" s="3" t="n">
        <v>78.5</v>
      </c>
      <c r="L180" s="12" t="n">
        <v>0.00826315789473684</v>
      </c>
      <c r="M180" s="4" t="n">
        <v>9.01</v>
      </c>
      <c r="N180" s="4" t="n">
        <v>0.29</v>
      </c>
    </row>
    <row r="181" customFormat="false" ht="14.25" hidden="false" customHeight="false" outlineLevel="0" collapsed="false">
      <c r="A181" s="1" t="s">
        <v>60</v>
      </c>
      <c r="B181" s="2" t="n">
        <v>10</v>
      </c>
      <c r="C181" s="3" t="n">
        <v>528</v>
      </c>
      <c r="D181" s="3" t="n">
        <v>1</v>
      </c>
      <c r="E181" s="2" t="n">
        <v>45</v>
      </c>
      <c r="F181" s="4" t="n">
        <v>2.8</v>
      </c>
      <c r="G181" s="2" t="n">
        <v>40</v>
      </c>
      <c r="H181" s="2" t="n">
        <v>45</v>
      </c>
      <c r="I181" s="1" t="n">
        <v>100</v>
      </c>
      <c r="J181" s="2" t="n">
        <v>350</v>
      </c>
      <c r="K181" s="3" t="n">
        <v>78.5</v>
      </c>
      <c r="L181" s="12" t="n">
        <v>0.00826315789473684</v>
      </c>
      <c r="M181" s="4" t="n">
        <v>7.29</v>
      </c>
      <c r="N181" s="4" t="n">
        <v>0.15</v>
      </c>
    </row>
    <row r="182" customFormat="false" ht="14.25" hidden="false" customHeight="false" outlineLevel="0" collapsed="false">
      <c r="B182" s="2" t="n">
        <v>10</v>
      </c>
      <c r="C182" s="3" t="n">
        <v>528</v>
      </c>
      <c r="D182" s="3" t="n">
        <v>1</v>
      </c>
      <c r="E182" s="2" t="n">
        <v>45</v>
      </c>
      <c r="F182" s="4" t="n">
        <v>2.8</v>
      </c>
      <c r="G182" s="2" t="n">
        <v>40</v>
      </c>
      <c r="H182" s="2" t="n">
        <v>45</v>
      </c>
      <c r="I182" s="1" t="n">
        <v>100</v>
      </c>
      <c r="J182" s="2" t="n">
        <v>350</v>
      </c>
      <c r="K182" s="3" t="n">
        <v>78.5</v>
      </c>
      <c r="L182" s="12" t="n">
        <v>0.00826315789473684</v>
      </c>
      <c r="M182" s="4" t="n">
        <v>7.58</v>
      </c>
      <c r="N182" s="4" t="n">
        <v>0.16</v>
      </c>
    </row>
    <row r="183" customFormat="false" ht="14.25" hidden="false" customHeight="false" outlineLevel="0" collapsed="false">
      <c r="B183" s="2" t="n">
        <v>10</v>
      </c>
      <c r="C183" s="3" t="n">
        <v>528</v>
      </c>
      <c r="D183" s="3" t="n">
        <v>1</v>
      </c>
      <c r="E183" s="2" t="n">
        <v>45</v>
      </c>
      <c r="F183" s="4" t="n">
        <v>2.8</v>
      </c>
      <c r="G183" s="2" t="n">
        <v>40</v>
      </c>
      <c r="H183" s="2" t="n">
        <v>45</v>
      </c>
      <c r="I183" s="1" t="n">
        <v>100</v>
      </c>
      <c r="J183" s="2" t="n">
        <v>350</v>
      </c>
      <c r="K183" s="3" t="n">
        <v>78.5</v>
      </c>
      <c r="L183" s="12" t="n">
        <v>0.00826315789473684</v>
      </c>
      <c r="M183" s="4" t="n">
        <v>7.99</v>
      </c>
      <c r="N183" s="4" t="n">
        <v>0.18</v>
      </c>
    </row>
    <row r="184" customFormat="false" ht="14.25" hidden="false" customHeight="false" outlineLevel="0" collapsed="false">
      <c r="B184" s="2" t="n">
        <v>10</v>
      </c>
      <c r="C184" s="3" t="n">
        <v>528</v>
      </c>
      <c r="D184" s="3" t="n">
        <v>1</v>
      </c>
      <c r="E184" s="2" t="n">
        <v>45</v>
      </c>
      <c r="F184" s="4" t="n">
        <v>2.8</v>
      </c>
      <c r="G184" s="2" t="n">
        <v>40</v>
      </c>
      <c r="H184" s="2" t="n">
        <v>45</v>
      </c>
      <c r="I184" s="1" t="n">
        <v>100</v>
      </c>
      <c r="J184" s="2" t="n">
        <v>350</v>
      </c>
      <c r="K184" s="3" t="n">
        <v>78.5</v>
      </c>
      <c r="L184" s="12" t="n">
        <v>0.00826315789473684</v>
      </c>
      <c r="M184" s="4" t="n">
        <v>8.23</v>
      </c>
      <c r="N184" s="4" t="n">
        <v>0.18</v>
      </c>
    </row>
    <row r="185" customFormat="false" ht="14.25" hidden="false" customHeight="false" outlineLevel="0" collapsed="false">
      <c r="B185" s="2" t="n">
        <v>10</v>
      </c>
      <c r="C185" s="3" t="n">
        <v>528</v>
      </c>
      <c r="D185" s="3" t="n">
        <v>1</v>
      </c>
      <c r="E185" s="2" t="n">
        <v>45</v>
      </c>
      <c r="F185" s="4" t="n">
        <v>2.8</v>
      </c>
      <c r="G185" s="2" t="n">
        <v>40</v>
      </c>
      <c r="H185" s="2" t="n">
        <v>45</v>
      </c>
      <c r="I185" s="1" t="n">
        <v>100</v>
      </c>
      <c r="J185" s="2" t="n">
        <v>350</v>
      </c>
      <c r="K185" s="3" t="n">
        <v>78.5</v>
      </c>
      <c r="L185" s="12" t="n">
        <v>0.00826315789473684</v>
      </c>
      <c r="M185" s="4" t="n">
        <v>8.46</v>
      </c>
      <c r="N185" s="4" t="n">
        <v>0.19</v>
      </c>
    </row>
    <row r="186" customFormat="false" ht="14.25" hidden="false" customHeight="false" outlineLevel="0" collapsed="false">
      <c r="B186" s="2" t="n">
        <v>10</v>
      </c>
      <c r="C186" s="3" t="n">
        <v>528</v>
      </c>
      <c r="D186" s="3" t="n">
        <v>1</v>
      </c>
      <c r="E186" s="2" t="n">
        <v>45</v>
      </c>
      <c r="F186" s="4" t="n">
        <v>2.8</v>
      </c>
      <c r="G186" s="2" t="n">
        <v>40</v>
      </c>
      <c r="H186" s="2" t="n">
        <v>45</v>
      </c>
      <c r="I186" s="1" t="n">
        <v>100</v>
      </c>
      <c r="J186" s="2" t="n">
        <v>350</v>
      </c>
      <c r="K186" s="3" t="n">
        <v>78.5</v>
      </c>
      <c r="L186" s="12" t="n">
        <v>0.00826315789473684</v>
      </c>
      <c r="M186" s="4" t="n">
        <v>8.71</v>
      </c>
      <c r="N186" s="4" t="n">
        <v>0.2</v>
      </c>
    </row>
    <row r="187" customFormat="false" ht="14.25" hidden="false" customHeight="false" outlineLevel="0" collapsed="false">
      <c r="B187" s="2" t="n">
        <v>10</v>
      </c>
      <c r="C187" s="3" t="n">
        <v>528</v>
      </c>
      <c r="D187" s="3" t="n">
        <v>1</v>
      </c>
      <c r="E187" s="2" t="n">
        <v>45</v>
      </c>
      <c r="F187" s="4" t="n">
        <v>2.8</v>
      </c>
      <c r="G187" s="2" t="n">
        <v>40</v>
      </c>
      <c r="H187" s="2" t="n">
        <v>45</v>
      </c>
      <c r="I187" s="1" t="n">
        <v>100</v>
      </c>
      <c r="J187" s="2" t="n">
        <v>350</v>
      </c>
      <c r="K187" s="3" t="n">
        <v>78.5</v>
      </c>
      <c r="L187" s="12" t="n">
        <v>0.00826315789473684</v>
      </c>
      <c r="M187" s="4" t="n">
        <v>9.04</v>
      </c>
      <c r="N187" s="4" t="n">
        <v>0.22</v>
      </c>
    </row>
    <row r="188" customFormat="false" ht="14.25" hidden="false" customHeight="false" outlineLevel="0" collapsed="false">
      <c r="A188" s="1" t="s">
        <v>61</v>
      </c>
      <c r="B188" s="2" t="n">
        <v>20</v>
      </c>
      <c r="C188" s="3" t="n">
        <v>598</v>
      </c>
      <c r="D188" s="3" t="n">
        <v>1</v>
      </c>
      <c r="E188" s="2" t="n">
        <v>40</v>
      </c>
      <c r="F188" s="4" t="n">
        <v>2.8</v>
      </c>
      <c r="G188" s="2" t="n">
        <v>40</v>
      </c>
      <c r="H188" s="2" t="n">
        <v>50</v>
      </c>
      <c r="I188" s="1" t="n">
        <v>100</v>
      </c>
      <c r="J188" s="2" t="n">
        <v>350</v>
      </c>
      <c r="K188" s="3" t="n">
        <v>315</v>
      </c>
      <c r="L188" s="12" t="n">
        <v>0.021</v>
      </c>
      <c r="M188" s="4" t="n">
        <v>18.98</v>
      </c>
      <c r="N188" s="4" t="n">
        <v>0.16</v>
      </c>
    </row>
    <row r="189" customFormat="false" ht="14.25" hidden="false" customHeight="false" outlineLevel="0" collapsed="false">
      <c r="B189" s="2" t="n">
        <v>20</v>
      </c>
      <c r="C189" s="3" t="n">
        <v>598</v>
      </c>
      <c r="D189" s="3" t="n">
        <v>1</v>
      </c>
      <c r="E189" s="2" t="n">
        <v>40</v>
      </c>
      <c r="F189" s="4" t="n">
        <v>2.8</v>
      </c>
      <c r="G189" s="2" t="n">
        <v>40</v>
      </c>
      <c r="H189" s="2" t="n">
        <v>50</v>
      </c>
      <c r="I189" s="1" t="n">
        <v>100</v>
      </c>
      <c r="J189" s="2" t="n">
        <v>350</v>
      </c>
      <c r="K189" s="3" t="n">
        <v>315</v>
      </c>
      <c r="L189" s="12" t="n">
        <v>0.021</v>
      </c>
      <c r="M189" s="4" t="n">
        <v>21.93</v>
      </c>
      <c r="N189" s="4" t="n">
        <v>0.2</v>
      </c>
    </row>
    <row r="190" customFormat="false" ht="14.25" hidden="false" customHeight="false" outlineLevel="0" collapsed="false">
      <c r="B190" s="2" t="n">
        <v>20</v>
      </c>
      <c r="C190" s="3" t="n">
        <v>598</v>
      </c>
      <c r="D190" s="3" t="n">
        <v>1</v>
      </c>
      <c r="E190" s="2" t="n">
        <v>40</v>
      </c>
      <c r="F190" s="4" t="n">
        <v>2.8</v>
      </c>
      <c r="G190" s="2" t="n">
        <v>40</v>
      </c>
      <c r="H190" s="2" t="n">
        <v>50</v>
      </c>
      <c r="I190" s="1" t="n">
        <v>100</v>
      </c>
      <c r="J190" s="2" t="n">
        <v>350</v>
      </c>
      <c r="K190" s="3" t="n">
        <v>315</v>
      </c>
      <c r="L190" s="12" t="n">
        <v>0.021</v>
      </c>
      <c r="M190" s="4" t="n">
        <v>24.87</v>
      </c>
      <c r="N190" s="4" t="n">
        <v>0.23</v>
      </c>
    </row>
    <row r="191" customFormat="false" ht="14.25" hidden="false" customHeight="false" outlineLevel="0" collapsed="false">
      <c r="A191" s="1" t="s">
        <v>62</v>
      </c>
      <c r="B191" s="2" t="n">
        <v>20</v>
      </c>
      <c r="C191" s="3" t="n">
        <v>598</v>
      </c>
      <c r="D191" s="3" t="n">
        <v>1</v>
      </c>
      <c r="E191" s="2" t="n">
        <v>40</v>
      </c>
      <c r="F191" s="4" t="n">
        <v>2.8</v>
      </c>
      <c r="G191" s="2" t="n">
        <v>40</v>
      </c>
      <c r="H191" s="2" t="n">
        <v>50</v>
      </c>
      <c r="I191" s="1" t="n">
        <v>100</v>
      </c>
      <c r="J191" s="2" t="n">
        <v>350</v>
      </c>
      <c r="K191" s="3" t="n">
        <v>315</v>
      </c>
      <c r="L191" s="12" t="n">
        <v>0.021</v>
      </c>
      <c r="M191" s="4" t="n">
        <v>18.98</v>
      </c>
      <c r="N191" s="4" t="n">
        <v>0.14</v>
      </c>
    </row>
    <row r="192" customFormat="false" ht="14.25" hidden="false" customHeight="false" outlineLevel="0" collapsed="false">
      <c r="B192" s="2" t="n">
        <v>20</v>
      </c>
      <c r="C192" s="3" t="n">
        <v>598</v>
      </c>
      <c r="D192" s="3" t="n">
        <v>1</v>
      </c>
      <c r="E192" s="2" t="n">
        <v>40</v>
      </c>
      <c r="F192" s="4" t="n">
        <v>2.8</v>
      </c>
      <c r="G192" s="2" t="n">
        <v>40</v>
      </c>
      <c r="H192" s="2" t="n">
        <v>50</v>
      </c>
      <c r="I192" s="1" t="n">
        <v>100</v>
      </c>
      <c r="J192" s="2" t="n">
        <v>350</v>
      </c>
      <c r="K192" s="3" t="n">
        <v>315</v>
      </c>
      <c r="L192" s="12" t="n">
        <v>0.021</v>
      </c>
      <c r="M192" s="4" t="n">
        <v>21.89</v>
      </c>
      <c r="N192" s="4" t="n">
        <v>0.17</v>
      </c>
    </row>
    <row r="193" customFormat="false" ht="14.25" hidden="false" customHeight="false" outlineLevel="0" collapsed="false">
      <c r="B193" s="2" t="n">
        <v>20</v>
      </c>
      <c r="C193" s="3" t="n">
        <v>598</v>
      </c>
      <c r="D193" s="3" t="n">
        <v>1</v>
      </c>
      <c r="E193" s="2" t="n">
        <v>40</v>
      </c>
      <c r="F193" s="4" t="n">
        <v>2.8</v>
      </c>
      <c r="G193" s="2" t="n">
        <v>40</v>
      </c>
      <c r="H193" s="2" t="n">
        <v>50</v>
      </c>
      <c r="I193" s="1" t="n">
        <v>100</v>
      </c>
      <c r="J193" s="2" t="n">
        <v>350</v>
      </c>
      <c r="K193" s="3" t="n">
        <v>315</v>
      </c>
      <c r="L193" s="12" t="n">
        <v>0.021</v>
      </c>
      <c r="M193" s="4" t="n">
        <v>24.82</v>
      </c>
      <c r="N193" s="4" t="n">
        <v>0.21</v>
      </c>
    </row>
    <row r="194" customFormat="false" ht="14.25" hidden="false" customHeight="false" outlineLevel="0" collapsed="false">
      <c r="A194" s="1" t="s">
        <v>63</v>
      </c>
      <c r="B194" s="2" t="n">
        <v>20</v>
      </c>
      <c r="C194" s="3" t="n">
        <v>598</v>
      </c>
      <c r="D194" s="3" t="n">
        <v>1</v>
      </c>
      <c r="E194" s="2" t="n">
        <v>40</v>
      </c>
      <c r="F194" s="4" t="n">
        <v>2.8</v>
      </c>
      <c r="G194" s="2" t="n">
        <v>40</v>
      </c>
      <c r="H194" s="2" t="n">
        <v>50</v>
      </c>
      <c r="I194" s="1" t="n">
        <v>100</v>
      </c>
      <c r="J194" s="2" t="n">
        <v>350</v>
      </c>
      <c r="K194" s="3" t="n">
        <v>315</v>
      </c>
      <c r="L194" s="12" t="n">
        <v>0.021</v>
      </c>
      <c r="M194" s="4" t="n">
        <v>13.02</v>
      </c>
      <c r="N194" s="4" t="n">
        <v>0.21</v>
      </c>
    </row>
    <row r="195" customFormat="false" ht="14.25" hidden="false" customHeight="false" outlineLevel="0" collapsed="false">
      <c r="B195" s="2" t="n">
        <v>20</v>
      </c>
      <c r="C195" s="3" t="n">
        <v>598</v>
      </c>
      <c r="D195" s="3" t="n">
        <v>1</v>
      </c>
      <c r="E195" s="2" t="n">
        <v>40</v>
      </c>
      <c r="F195" s="4" t="n">
        <v>2.8</v>
      </c>
      <c r="G195" s="2" t="n">
        <v>40</v>
      </c>
      <c r="H195" s="2" t="n">
        <v>50</v>
      </c>
      <c r="I195" s="1" t="n">
        <v>100</v>
      </c>
      <c r="J195" s="2" t="n">
        <v>350</v>
      </c>
      <c r="K195" s="3" t="n">
        <v>315</v>
      </c>
      <c r="L195" s="12" t="n">
        <v>0.021</v>
      </c>
      <c r="M195" s="4" t="n">
        <v>16.06</v>
      </c>
      <c r="N195" s="4" t="n">
        <v>0.25</v>
      </c>
    </row>
    <row r="196" customFormat="false" ht="14.25" hidden="false" customHeight="false" outlineLevel="0" collapsed="false">
      <c r="B196" s="2" t="n">
        <v>20</v>
      </c>
      <c r="C196" s="3" t="n">
        <v>598</v>
      </c>
      <c r="D196" s="3" t="n">
        <v>1</v>
      </c>
      <c r="E196" s="2" t="n">
        <v>40</v>
      </c>
      <c r="F196" s="4" t="n">
        <v>2.8</v>
      </c>
      <c r="G196" s="2" t="n">
        <v>40</v>
      </c>
      <c r="H196" s="2" t="n">
        <v>50</v>
      </c>
      <c r="I196" s="1" t="n">
        <v>100</v>
      </c>
      <c r="J196" s="2" t="n">
        <v>350</v>
      </c>
      <c r="K196" s="3" t="n">
        <v>315</v>
      </c>
      <c r="L196" s="12" t="n">
        <v>0.021</v>
      </c>
      <c r="M196" s="4" t="n">
        <v>18.93</v>
      </c>
      <c r="N196" s="4" t="n">
        <v>0.29</v>
      </c>
    </row>
    <row r="197" customFormat="false" ht="14.25" hidden="false" customHeight="false" outlineLevel="0" collapsed="false">
      <c r="B197" s="2" t="n">
        <v>20</v>
      </c>
      <c r="C197" s="3" t="n">
        <v>598</v>
      </c>
      <c r="D197" s="3" t="n">
        <v>1</v>
      </c>
      <c r="E197" s="2" t="n">
        <v>40</v>
      </c>
      <c r="F197" s="4" t="n">
        <v>2.8</v>
      </c>
      <c r="G197" s="2" t="n">
        <v>40</v>
      </c>
      <c r="H197" s="2" t="n">
        <v>50</v>
      </c>
      <c r="I197" s="1" t="n">
        <v>100</v>
      </c>
      <c r="J197" s="2" t="n">
        <v>350</v>
      </c>
      <c r="K197" s="3" t="n">
        <v>315</v>
      </c>
      <c r="L197" s="12" t="n">
        <v>0.021</v>
      </c>
      <c r="M197" s="4" t="n">
        <v>21.81</v>
      </c>
      <c r="N197" s="4" t="n">
        <v>0.33</v>
      </c>
    </row>
    <row r="198" customFormat="false" ht="14.25" hidden="false" customHeight="false" outlineLevel="0" collapsed="false">
      <c r="B198" s="2" t="n">
        <v>20</v>
      </c>
      <c r="C198" s="3" t="n">
        <v>598</v>
      </c>
      <c r="D198" s="3" t="n">
        <v>1</v>
      </c>
      <c r="E198" s="2" t="n">
        <v>40</v>
      </c>
      <c r="F198" s="4" t="n">
        <v>2.8</v>
      </c>
      <c r="G198" s="2" t="n">
        <v>40</v>
      </c>
      <c r="H198" s="2" t="n">
        <v>50</v>
      </c>
      <c r="I198" s="1" t="n">
        <v>100</v>
      </c>
      <c r="J198" s="2" t="n">
        <v>350</v>
      </c>
      <c r="K198" s="3" t="n">
        <v>315</v>
      </c>
      <c r="L198" s="12" t="n">
        <v>0.021</v>
      </c>
      <c r="M198" s="4" t="n">
        <v>25.88</v>
      </c>
      <c r="N198" s="4" t="n">
        <v>0.37</v>
      </c>
    </row>
    <row r="199" customFormat="false" ht="14.25" hidden="false" customHeight="false" outlineLevel="0" collapsed="false">
      <c r="A199" s="1" t="s">
        <v>64</v>
      </c>
      <c r="B199" s="2" t="n">
        <v>20</v>
      </c>
      <c r="C199" s="3" t="n">
        <v>430</v>
      </c>
      <c r="D199" s="3" t="n">
        <v>6</v>
      </c>
      <c r="E199" s="2" t="n">
        <v>84</v>
      </c>
      <c r="F199" s="4" t="n">
        <v>3.50882128585544</v>
      </c>
      <c r="G199" s="2" t="n">
        <v>50</v>
      </c>
      <c r="H199" s="2" t="n">
        <v>64</v>
      </c>
      <c r="I199" s="1" t="n">
        <v>600</v>
      </c>
      <c r="J199" s="2" t="n">
        <v>400</v>
      </c>
      <c r="K199" s="3" t="n">
        <v>1884</v>
      </c>
      <c r="L199" s="12" t="n">
        <v>0.0191463414634146</v>
      </c>
      <c r="M199" s="4" t="n">
        <v>103</v>
      </c>
      <c r="N199" s="4" t="n">
        <v>0.15</v>
      </c>
    </row>
    <row r="200" customFormat="false" ht="14.25" hidden="false" customHeight="false" outlineLevel="0" collapsed="false">
      <c r="B200" s="2" t="n">
        <v>20</v>
      </c>
      <c r="C200" s="3" t="n">
        <v>430</v>
      </c>
      <c r="D200" s="3" t="n">
        <v>6</v>
      </c>
      <c r="E200" s="2" t="n">
        <v>84</v>
      </c>
      <c r="F200" s="4" t="n">
        <v>3.50882128585544</v>
      </c>
      <c r="G200" s="2" t="n">
        <v>50</v>
      </c>
      <c r="H200" s="2" t="n">
        <v>64</v>
      </c>
      <c r="I200" s="1" t="n">
        <v>600</v>
      </c>
      <c r="J200" s="2" t="n">
        <v>400</v>
      </c>
      <c r="K200" s="3" t="n">
        <v>1884</v>
      </c>
      <c r="L200" s="12" t="n">
        <v>0.0191463414634146</v>
      </c>
      <c r="M200" s="4" t="n">
        <v>129</v>
      </c>
      <c r="N200" s="4" t="n">
        <v>0.23</v>
      </c>
    </row>
    <row r="201" customFormat="false" ht="14.25" hidden="false" customHeight="false" outlineLevel="0" collapsed="false">
      <c r="B201" s="2" t="n">
        <v>20</v>
      </c>
      <c r="C201" s="3" t="n">
        <v>430</v>
      </c>
      <c r="D201" s="3" t="n">
        <v>6</v>
      </c>
      <c r="E201" s="2" t="n">
        <v>84</v>
      </c>
      <c r="F201" s="4" t="n">
        <v>3.50882128585544</v>
      </c>
      <c r="G201" s="2" t="n">
        <v>50</v>
      </c>
      <c r="H201" s="2" t="n">
        <v>64</v>
      </c>
      <c r="I201" s="1" t="n">
        <v>600</v>
      </c>
      <c r="J201" s="2" t="n">
        <v>400</v>
      </c>
      <c r="K201" s="3" t="n">
        <v>1884</v>
      </c>
      <c r="L201" s="12" t="n">
        <v>0.0191463414634146</v>
      </c>
      <c r="M201" s="4" t="n">
        <v>155</v>
      </c>
      <c r="N201" s="4" t="n">
        <v>0.28</v>
      </c>
    </row>
    <row r="202" customFormat="false" ht="14.25" hidden="false" customHeight="false" outlineLevel="0" collapsed="false">
      <c r="A202" s="1" t="s">
        <v>65</v>
      </c>
      <c r="B202" s="2" t="n">
        <v>20</v>
      </c>
      <c r="C202" s="3" t="n">
        <v>430</v>
      </c>
      <c r="D202" s="3" t="n">
        <v>9</v>
      </c>
      <c r="E202" s="2" t="n">
        <v>45</v>
      </c>
      <c r="F202" s="4" t="n">
        <v>3.50882128585544</v>
      </c>
      <c r="G202" s="2" t="n">
        <v>50</v>
      </c>
      <c r="H202" s="2" t="n">
        <v>64</v>
      </c>
      <c r="I202" s="1" t="n">
        <v>600</v>
      </c>
      <c r="J202" s="2" t="n">
        <v>400</v>
      </c>
      <c r="K202" s="3" t="n">
        <v>2826</v>
      </c>
      <c r="L202" s="12" t="n">
        <v>0.028719512195122</v>
      </c>
      <c r="M202" s="4" t="n">
        <v>149</v>
      </c>
      <c r="N202" s="4" t="n">
        <v>0.18</v>
      </c>
    </row>
    <row r="203" customFormat="false" ht="14.25" hidden="false" customHeight="false" outlineLevel="0" collapsed="false">
      <c r="B203" s="2" t="n">
        <v>20</v>
      </c>
      <c r="C203" s="3" t="n">
        <v>430</v>
      </c>
      <c r="D203" s="3" t="n">
        <v>9</v>
      </c>
      <c r="E203" s="2" t="n">
        <v>45</v>
      </c>
      <c r="F203" s="4" t="n">
        <v>3.50882128585544</v>
      </c>
      <c r="G203" s="2" t="n">
        <v>50</v>
      </c>
      <c r="H203" s="2" t="n">
        <v>64</v>
      </c>
      <c r="I203" s="1" t="n">
        <v>600</v>
      </c>
      <c r="J203" s="2" t="n">
        <v>400</v>
      </c>
      <c r="K203" s="3" t="n">
        <v>2826</v>
      </c>
      <c r="L203" s="12" t="n">
        <v>0.028719512195122</v>
      </c>
      <c r="M203" s="4" t="n">
        <v>186</v>
      </c>
      <c r="N203" s="4" t="n">
        <v>0.26</v>
      </c>
    </row>
    <row r="204" customFormat="false" ht="14.25" hidden="false" customHeight="false" outlineLevel="0" collapsed="false">
      <c r="B204" s="2" t="n">
        <v>20</v>
      </c>
      <c r="C204" s="3" t="n">
        <v>430</v>
      </c>
      <c r="D204" s="3" t="n">
        <v>9</v>
      </c>
      <c r="E204" s="2" t="n">
        <v>45</v>
      </c>
      <c r="F204" s="4" t="n">
        <v>3.50882128585544</v>
      </c>
      <c r="G204" s="2" t="n">
        <v>50</v>
      </c>
      <c r="H204" s="2" t="n">
        <v>64</v>
      </c>
      <c r="I204" s="1" t="n">
        <v>600</v>
      </c>
      <c r="J204" s="2" t="n">
        <v>400</v>
      </c>
      <c r="K204" s="3" t="n">
        <v>2826</v>
      </c>
      <c r="L204" s="12" t="n">
        <v>0.028719512195122</v>
      </c>
      <c r="M204" s="4" t="n">
        <v>223</v>
      </c>
      <c r="N204" s="4" t="n">
        <v>0.34</v>
      </c>
    </row>
    <row r="205" customFormat="false" ht="14.25" hidden="false" customHeight="false" outlineLevel="0" collapsed="false">
      <c r="A205" s="1" t="s">
        <v>66</v>
      </c>
      <c r="B205" s="2" t="n">
        <v>16</v>
      </c>
      <c r="C205" s="3" t="n">
        <v>528</v>
      </c>
      <c r="D205" s="3" t="n">
        <v>2</v>
      </c>
      <c r="E205" s="2" t="n">
        <v>52</v>
      </c>
      <c r="F205" s="4" t="n">
        <v>3.42</v>
      </c>
      <c r="G205" s="2" t="n">
        <v>27</v>
      </c>
      <c r="H205" s="2" t="n">
        <v>35</v>
      </c>
      <c r="I205" s="1" t="n">
        <v>150</v>
      </c>
      <c r="J205" s="2" t="n">
        <v>235</v>
      </c>
      <c r="K205" s="3" t="n">
        <v>402</v>
      </c>
      <c r="L205" s="12" t="n">
        <v>0.023304347826087</v>
      </c>
      <c r="M205" s="4" t="n">
        <v>16.675</v>
      </c>
      <c r="N205" s="4" t="n">
        <v>0.15</v>
      </c>
    </row>
    <row r="206" customFormat="false" ht="14.25" hidden="false" customHeight="false" outlineLevel="0" collapsed="false">
      <c r="B206" s="2" t="n">
        <v>16</v>
      </c>
      <c r="C206" s="3" t="n">
        <v>528</v>
      </c>
      <c r="D206" s="3" t="n">
        <v>2</v>
      </c>
      <c r="E206" s="2" t="n">
        <v>52</v>
      </c>
      <c r="F206" s="4" t="n">
        <v>3.42</v>
      </c>
      <c r="G206" s="2" t="n">
        <v>27</v>
      </c>
      <c r="H206" s="2" t="n">
        <v>35</v>
      </c>
      <c r="I206" s="1" t="n">
        <v>150</v>
      </c>
      <c r="J206" s="2" t="n">
        <v>235</v>
      </c>
      <c r="K206" s="3" t="n">
        <v>402</v>
      </c>
      <c r="L206" s="12" t="n">
        <v>0.023304347826087</v>
      </c>
      <c r="M206" s="4" t="n">
        <v>22.425</v>
      </c>
      <c r="N206" s="4" t="n">
        <v>0.19</v>
      </c>
    </row>
    <row r="207" customFormat="false" ht="14.25" hidden="false" customHeight="false" outlineLevel="0" collapsed="false">
      <c r="B207" s="2" t="n">
        <v>16</v>
      </c>
      <c r="C207" s="3" t="n">
        <v>528</v>
      </c>
      <c r="D207" s="3" t="n">
        <v>2</v>
      </c>
      <c r="E207" s="2" t="n">
        <v>52</v>
      </c>
      <c r="F207" s="4" t="n">
        <v>3.42</v>
      </c>
      <c r="G207" s="2" t="n">
        <v>27</v>
      </c>
      <c r="H207" s="2" t="n">
        <v>35</v>
      </c>
      <c r="I207" s="1" t="n">
        <v>150</v>
      </c>
      <c r="J207" s="2" t="n">
        <v>235</v>
      </c>
      <c r="K207" s="3" t="n">
        <v>402</v>
      </c>
      <c r="L207" s="12" t="n">
        <v>0.023304347826087</v>
      </c>
      <c r="M207" s="4" t="n">
        <v>25.875</v>
      </c>
      <c r="N207" s="4" t="n">
        <v>0.22</v>
      </c>
    </row>
    <row r="208" customFormat="false" ht="14.25" hidden="false" customHeight="false" outlineLevel="0" collapsed="false">
      <c r="B208" s="2" t="n">
        <v>16</v>
      </c>
      <c r="C208" s="3" t="n">
        <v>528</v>
      </c>
      <c r="D208" s="3" t="n">
        <v>2</v>
      </c>
      <c r="E208" s="2" t="n">
        <v>52</v>
      </c>
      <c r="F208" s="4" t="n">
        <v>3.42</v>
      </c>
      <c r="G208" s="2" t="n">
        <v>27</v>
      </c>
      <c r="H208" s="2" t="n">
        <v>35</v>
      </c>
      <c r="I208" s="1" t="n">
        <v>150</v>
      </c>
      <c r="J208" s="2" t="n">
        <v>235</v>
      </c>
      <c r="K208" s="3" t="n">
        <v>402</v>
      </c>
      <c r="L208" s="12" t="n">
        <v>0.023304347826087</v>
      </c>
      <c r="M208" s="4" t="n">
        <v>28.75</v>
      </c>
      <c r="N208" s="4" t="n">
        <v>0.22</v>
      </c>
    </row>
    <row r="209" customFormat="false" ht="14.25" hidden="false" customHeight="false" outlineLevel="0" collapsed="false">
      <c r="B209" s="2" t="n">
        <v>16</v>
      </c>
      <c r="C209" s="3" t="n">
        <v>528</v>
      </c>
      <c r="D209" s="3" t="n">
        <v>2</v>
      </c>
      <c r="E209" s="2" t="n">
        <v>52</v>
      </c>
      <c r="F209" s="4" t="n">
        <v>3.42</v>
      </c>
      <c r="G209" s="2" t="n">
        <v>27</v>
      </c>
      <c r="H209" s="2" t="n">
        <v>35</v>
      </c>
      <c r="I209" s="1" t="n">
        <v>150</v>
      </c>
      <c r="J209" s="2" t="n">
        <v>235</v>
      </c>
      <c r="K209" s="3" t="n">
        <v>402</v>
      </c>
      <c r="L209" s="12" t="n">
        <v>0.023304347826087</v>
      </c>
      <c r="M209" s="4" t="n">
        <v>33.35</v>
      </c>
      <c r="N209" s="4" t="n">
        <v>0.25</v>
      </c>
    </row>
    <row r="210" customFormat="false" ht="14.25" hidden="false" customHeight="false" outlineLevel="0" collapsed="false">
      <c r="B210" s="2" t="n">
        <v>16</v>
      </c>
      <c r="C210" s="3" t="n">
        <v>528</v>
      </c>
      <c r="D210" s="3" t="n">
        <v>2</v>
      </c>
      <c r="E210" s="2" t="n">
        <v>52</v>
      </c>
      <c r="F210" s="4" t="n">
        <v>3.42</v>
      </c>
      <c r="G210" s="2" t="n">
        <v>27</v>
      </c>
      <c r="H210" s="2" t="n">
        <v>35</v>
      </c>
      <c r="I210" s="1" t="n">
        <v>150</v>
      </c>
      <c r="J210" s="2" t="n">
        <v>235</v>
      </c>
      <c r="K210" s="3" t="n">
        <v>402</v>
      </c>
      <c r="L210" s="12" t="n">
        <v>0.023304347826087</v>
      </c>
      <c r="M210" s="4" t="n">
        <v>37.375</v>
      </c>
      <c r="N210" s="4" t="n">
        <v>0.29</v>
      </c>
    </row>
    <row r="211" customFormat="false" ht="14.25" hidden="false" customHeight="false" outlineLevel="0" collapsed="false">
      <c r="A211" s="1" t="s">
        <v>67</v>
      </c>
      <c r="B211" s="2" t="n">
        <v>20</v>
      </c>
      <c r="C211" s="3" t="n">
        <v>528</v>
      </c>
      <c r="D211" s="3" t="n">
        <v>2</v>
      </c>
      <c r="E211" s="2" t="n">
        <v>44</v>
      </c>
      <c r="F211" s="4" t="n">
        <v>3.42</v>
      </c>
      <c r="G211" s="2" t="n">
        <v>25</v>
      </c>
      <c r="H211" s="2" t="n">
        <v>35</v>
      </c>
      <c r="I211" s="1" t="n">
        <v>150</v>
      </c>
      <c r="J211" s="2" t="n">
        <v>235</v>
      </c>
      <c r="K211" s="3" t="n">
        <v>628</v>
      </c>
      <c r="L211" s="12" t="n">
        <v>0.0341768707482993</v>
      </c>
      <c r="M211" s="4" t="n">
        <v>29.325</v>
      </c>
      <c r="N211" s="4" t="n">
        <v>0.17</v>
      </c>
    </row>
    <row r="212" customFormat="false" ht="14.25" hidden="false" customHeight="false" outlineLevel="0" collapsed="false">
      <c r="B212" s="2" t="n">
        <v>20</v>
      </c>
      <c r="C212" s="3" t="n">
        <v>528</v>
      </c>
      <c r="D212" s="3" t="n">
        <v>2</v>
      </c>
      <c r="E212" s="2" t="n">
        <v>44</v>
      </c>
      <c r="F212" s="4" t="n">
        <v>3.42</v>
      </c>
      <c r="G212" s="2" t="n">
        <v>25</v>
      </c>
      <c r="H212" s="2" t="n">
        <v>35</v>
      </c>
      <c r="I212" s="1" t="n">
        <v>150</v>
      </c>
      <c r="J212" s="2" t="n">
        <v>235</v>
      </c>
      <c r="K212" s="3" t="n">
        <v>628</v>
      </c>
      <c r="L212" s="12" t="n">
        <v>0.0341768707482993</v>
      </c>
      <c r="M212" s="4" t="n">
        <v>33.35</v>
      </c>
      <c r="N212" s="4" t="n">
        <v>0.19</v>
      </c>
    </row>
    <row r="213" customFormat="false" ht="14.25" hidden="false" customHeight="false" outlineLevel="0" collapsed="false">
      <c r="B213" s="2" t="n">
        <v>20</v>
      </c>
      <c r="C213" s="3" t="n">
        <v>528</v>
      </c>
      <c r="D213" s="3" t="n">
        <v>2</v>
      </c>
      <c r="E213" s="2" t="n">
        <v>44</v>
      </c>
      <c r="F213" s="4" t="n">
        <v>3.42</v>
      </c>
      <c r="G213" s="2" t="n">
        <v>25</v>
      </c>
      <c r="H213" s="2" t="n">
        <v>35</v>
      </c>
      <c r="I213" s="1" t="n">
        <v>150</v>
      </c>
      <c r="J213" s="2" t="n">
        <v>235</v>
      </c>
      <c r="K213" s="3" t="n">
        <v>628</v>
      </c>
      <c r="L213" s="12" t="n">
        <v>0.0341768707482993</v>
      </c>
      <c r="M213" s="4" t="n">
        <v>38.525</v>
      </c>
      <c r="N213" s="4" t="n">
        <v>0.21</v>
      </c>
    </row>
    <row r="214" customFormat="false" ht="14.25" hidden="false" customHeight="false" outlineLevel="0" collapsed="false">
      <c r="B214" s="2" t="n">
        <v>20</v>
      </c>
      <c r="C214" s="3" t="n">
        <v>528</v>
      </c>
      <c r="D214" s="3" t="n">
        <v>2</v>
      </c>
      <c r="E214" s="2" t="n">
        <v>44</v>
      </c>
      <c r="F214" s="4" t="n">
        <v>3.42</v>
      </c>
      <c r="G214" s="2" t="n">
        <v>25</v>
      </c>
      <c r="H214" s="2" t="n">
        <v>35</v>
      </c>
      <c r="I214" s="1" t="n">
        <v>150</v>
      </c>
      <c r="J214" s="2" t="n">
        <v>235</v>
      </c>
      <c r="K214" s="3" t="n">
        <v>628</v>
      </c>
      <c r="L214" s="12" t="n">
        <v>0.0341768707482993</v>
      </c>
      <c r="M214" s="4" t="n">
        <v>40.825</v>
      </c>
      <c r="N214" s="4" t="n">
        <v>0.23</v>
      </c>
    </row>
    <row r="215" customFormat="false" ht="14.25" hidden="false" customHeight="false" outlineLevel="0" collapsed="false">
      <c r="B215" s="2" t="n">
        <v>20</v>
      </c>
      <c r="C215" s="3" t="n">
        <v>528</v>
      </c>
      <c r="D215" s="3" t="n">
        <v>2</v>
      </c>
      <c r="E215" s="2" t="n">
        <v>44</v>
      </c>
      <c r="F215" s="4" t="n">
        <v>3.42</v>
      </c>
      <c r="G215" s="2" t="n">
        <v>25</v>
      </c>
      <c r="H215" s="2" t="n">
        <v>35</v>
      </c>
      <c r="I215" s="1" t="n">
        <v>150</v>
      </c>
      <c r="J215" s="2" t="n">
        <v>235</v>
      </c>
      <c r="K215" s="3" t="n">
        <v>628</v>
      </c>
      <c r="L215" s="12" t="n">
        <v>0.0341768707482993</v>
      </c>
      <c r="M215" s="4" t="n">
        <v>46</v>
      </c>
      <c r="N215" s="4" t="n">
        <v>0.25</v>
      </c>
    </row>
    <row r="216" customFormat="false" ht="14.25" hidden="false" customHeight="false" outlineLevel="0" collapsed="false">
      <c r="B216" s="2" t="n">
        <v>20</v>
      </c>
      <c r="C216" s="3" t="n">
        <v>528</v>
      </c>
      <c r="D216" s="3" t="n">
        <v>2</v>
      </c>
      <c r="E216" s="2" t="n">
        <v>44</v>
      </c>
      <c r="F216" s="4" t="n">
        <v>3.42</v>
      </c>
      <c r="G216" s="2" t="n">
        <v>25</v>
      </c>
      <c r="H216" s="2" t="n">
        <v>35</v>
      </c>
      <c r="I216" s="1" t="n">
        <v>150</v>
      </c>
      <c r="J216" s="2" t="n">
        <v>235</v>
      </c>
      <c r="K216" s="3" t="n">
        <v>628</v>
      </c>
      <c r="L216" s="12" t="n">
        <v>0.0341768707482993</v>
      </c>
      <c r="M216" s="4" t="n">
        <v>56.925</v>
      </c>
      <c r="N216" s="4" t="n">
        <v>0.25</v>
      </c>
    </row>
    <row r="217" customFormat="false" ht="14.25" hidden="false" customHeight="false" outlineLevel="0" collapsed="false">
      <c r="A217" s="1" t="s">
        <v>68</v>
      </c>
      <c r="B217" s="2" t="n">
        <v>20</v>
      </c>
      <c r="C217" s="3" t="n">
        <v>528</v>
      </c>
      <c r="D217" s="3" t="n">
        <v>3</v>
      </c>
      <c r="E217" s="2" t="n">
        <v>12</v>
      </c>
      <c r="F217" s="4" t="n">
        <v>3.42</v>
      </c>
      <c r="G217" s="2" t="n">
        <v>25</v>
      </c>
      <c r="H217" s="2" t="n">
        <v>35</v>
      </c>
      <c r="I217" s="1" t="n">
        <v>150</v>
      </c>
      <c r="J217" s="2" t="n">
        <v>235</v>
      </c>
      <c r="K217" s="3" t="n">
        <v>942</v>
      </c>
      <c r="L217" s="12" t="n">
        <v>0.051265306122449</v>
      </c>
      <c r="M217" s="4" t="n">
        <v>39.1</v>
      </c>
      <c r="N217" s="4" t="n">
        <v>0.18</v>
      </c>
    </row>
    <row r="218" customFormat="false" ht="14.25" hidden="false" customHeight="false" outlineLevel="0" collapsed="false">
      <c r="B218" s="2" t="n">
        <v>20</v>
      </c>
      <c r="C218" s="3" t="n">
        <v>528</v>
      </c>
      <c r="D218" s="3" t="n">
        <v>3</v>
      </c>
      <c r="E218" s="2" t="n">
        <v>12</v>
      </c>
      <c r="F218" s="4" t="n">
        <v>3.42</v>
      </c>
      <c r="G218" s="2" t="n">
        <v>25</v>
      </c>
      <c r="H218" s="2" t="n">
        <v>35</v>
      </c>
      <c r="I218" s="1" t="n">
        <v>150</v>
      </c>
      <c r="J218" s="2" t="n">
        <v>235</v>
      </c>
      <c r="K218" s="3" t="n">
        <v>942</v>
      </c>
      <c r="L218" s="12" t="n">
        <v>0.051265306122449</v>
      </c>
      <c r="M218" s="4" t="n">
        <v>44.85</v>
      </c>
      <c r="N218" s="4" t="n">
        <v>0.19</v>
      </c>
    </row>
    <row r="219" customFormat="false" ht="14.25" hidden="false" customHeight="false" outlineLevel="0" collapsed="false">
      <c r="B219" s="2" t="n">
        <v>20</v>
      </c>
      <c r="C219" s="3" t="n">
        <v>528</v>
      </c>
      <c r="D219" s="3" t="n">
        <v>3</v>
      </c>
      <c r="E219" s="2" t="n">
        <v>12</v>
      </c>
      <c r="F219" s="4" t="n">
        <v>3.42</v>
      </c>
      <c r="G219" s="2" t="n">
        <v>25</v>
      </c>
      <c r="H219" s="2" t="n">
        <v>35</v>
      </c>
      <c r="I219" s="1" t="n">
        <v>150</v>
      </c>
      <c r="J219" s="2" t="n">
        <v>235</v>
      </c>
      <c r="K219" s="3" t="n">
        <v>942</v>
      </c>
      <c r="L219" s="12" t="n">
        <v>0.051265306122449</v>
      </c>
      <c r="M219" s="4" t="n">
        <v>50.025</v>
      </c>
      <c r="N219" s="4" t="n">
        <v>0.21</v>
      </c>
    </row>
    <row r="220" customFormat="false" ht="14.25" hidden="false" customHeight="false" outlineLevel="0" collapsed="false">
      <c r="B220" s="2" t="n">
        <v>20</v>
      </c>
      <c r="C220" s="3" t="n">
        <v>528</v>
      </c>
      <c r="D220" s="3" t="n">
        <v>3</v>
      </c>
      <c r="E220" s="2" t="n">
        <v>12</v>
      </c>
      <c r="F220" s="4" t="n">
        <v>3.42</v>
      </c>
      <c r="G220" s="2" t="n">
        <v>25</v>
      </c>
      <c r="H220" s="2" t="n">
        <v>35</v>
      </c>
      <c r="I220" s="1" t="n">
        <v>150</v>
      </c>
      <c r="J220" s="2" t="n">
        <v>235</v>
      </c>
      <c r="K220" s="3" t="n">
        <v>942</v>
      </c>
      <c r="L220" s="12" t="n">
        <v>0.051265306122449</v>
      </c>
      <c r="M220" s="4" t="n">
        <v>56.35</v>
      </c>
      <c r="N220" s="4" t="n">
        <v>0.23</v>
      </c>
    </row>
    <row r="221" customFormat="false" ht="14.25" hidden="false" customHeight="false" outlineLevel="0" collapsed="false">
      <c r="B221" s="2" t="n">
        <v>20</v>
      </c>
      <c r="C221" s="3" t="n">
        <v>528</v>
      </c>
      <c r="D221" s="3" t="n">
        <v>3</v>
      </c>
      <c r="E221" s="2" t="n">
        <v>12</v>
      </c>
      <c r="F221" s="4" t="n">
        <v>3.42</v>
      </c>
      <c r="G221" s="2" t="n">
        <v>25</v>
      </c>
      <c r="H221" s="2" t="n">
        <v>35</v>
      </c>
      <c r="I221" s="1" t="n">
        <v>150</v>
      </c>
      <c r="J221" s="2" t="n">
        <v>235</v>
      </c>
      <c r="K221" s="3" t="n">
        <v>942</v>
      </c>
      <c r="L221" s="12" t="n">
        <v>0.051265306122449</v>
      </c>
      <c r="M221" s="4" t="n">
        <v>62.675</v>
      </c>
      <c r="N221" s="4" t="n">
        <v>0.25</v>
      </c>
    </row>
    <row r="222" customFormat="false" ht="14.25" hidden="false" customHeight="false" outlineLevel="0" collapsed="false">
      <c r="B222" s="2" t="n">
        <v>20</v>
      </c>
      <c r="C222" s="3" t="n">
        <v>528</v>
      </c>
      <c r="D222" s="3" t="n">
        <v>3</v>
      </c>
      <c r="E222" s="2" t="n">
        <v>12</v>
      </c>
      <c r="F222" s="4" t="n">
        <v>3.42</v>
      </c>
      <c r="G222" s="2" t="n">
        <v>25</v>
      </c>
      <c r="H222" s="2" t="n">
        <v>35</v>
      </c>
      <c r="I222" s="1" t="n">
        <v>150</v>
      </c>
      <c r="J222" s="2" t="n">
        <v>235</v>
      </c>
      <c r="K222" s="3" t="n">
        <v>942</v>
      </c>
      <c r="L222" s="12" t="n">
        <v>0.051265306122449</v>
      </c>
      <c r="M222" s="4" t="n">
        <v>68.425</v>
      </c>
      <c r="N222" s="4" t="n">
        <v>0.29</v>
      </c>
    </row>
    <row r="223" customFormat="false" ht="14.25" hidden="false" customHeight="false" outlineLevel="0" collapsed="false">
      <c r="B223" s="2" t="n">
        <v>20</v>
      </c>
      <c r="C223" s="3" t="n">
        <v>528</v>
      </c>
      <c r="D223" s="3" t="n">
        <v>3</v>
      </c>
      <c r="E223" s="2" t="n">
        <v>12</v>
      </c>
      <c r="F223" s="4" t="n">
        <v>3.42</v>
      </c>
      <c r="G223" s="2" t="n">
        <v>25</v>
      </c>
      <c r="H223" s="2" t="n">
        <v>35</v>
      </c>
      <c r="I223" s="1" t="n">
        <v>150</v>
      </c>
      <c r="J223" s="2" t="n">
        <v>235</v>
      </c>
      <c r="K223" s="3" t="n">
        <v>942</v>
      </c>
      <c r="L223" s="12" t="n">
        <v>0.051265306122449</v>
      </c>
      <c r="M223" s="4" t="n">
        <v>74.175</v>
      </c>
      <c r="N223" s="4" t="n">
        <v>0.31</v>
      </c>
    </row>
    <row r="224" customFormat="false" ht="14.25" hidden="false" customHeight="false" outlineLevel="0" collapsed="false">
      <c r="B224" s="2" t="n">
        <v>20</v>
      </c>
      <c r="C224" s="3" t="n">
        <v>528</v>
      </c>
      <c r="D224" s="3" t="n">
        <v>3</v>
      </c>
      <c r="E224" s="2" t="n">
        <v>12</v>
      </c>
      <c r="F224" s="4" t="n">
        <v>3.42</v>
      </c>
      <c r="G224" s="2" t="n">
        <v>25</v>
      </c>
      <c r="H224" s="2" t="n">
        <v>35</v>
      </c>
      <c r="I224" s="1" t="n">
        <v>150</v>
      </c>
      <c r="J224" s="2" t="n">
        <v>235</v>
      </c>
      <c r="K224" s="3" t="n">
        <v>942</v>
      </c>
      <c r="L224" s="12" t="n">
        <v>0.051265306122449</v>
      </c>
      <c r="M224" s="4" t="n">
        <v>79.35</v>
      </c>
      <c r="N224" s="4" t="n">
        <v>0.37</v>
      </c>
    </row>
    <row r="225" customFormat="false" ht="14.25" hidden="false" customHeight="false" outlineLevel="0" collapsed="false">
      <c r="A225" s="1" t="s">
        <v>69</v>
      </c>
      <c r="B225" s="2" t="n">
        <v>16</v>
      </c>
      <c r="C225" s="3" t="n">
        <v>528</v>
      </c>
      <c r="D225" s="3" t="n">
        <v>2</v>
      </c>
      <c r="E225" s="2" t="n">
        <v>52</v>
      </c>
      <c r="F225" s="4" t="n">
        <v>2.98</v>
      </c>
      <c r="G225" s="2" t="n">
        <v>27</v>
      </c>
      <c r="H225" s="2" t="n">
        <v>35</v>
      </c>
      <c r="I225" s="1" t="n">
        <v>150</v>
      </c>
      <c r="J225" s="2" t="n">
        <v>235</v>
      </c>
      <c r="K225" s="3" t="n">
        <v>402</v>
      </c>
      <c r="L225" s="12" t="n">
        <v>0.023304347826087</v>
      </c>
      <c r="M225" s="4" t="n">
        <v>26.45</v>
      </c>
      <c r="N225" s="4" t="n">
        <v>0.16</v>
      </c>
    </row>
    <row r="226" customFormat="false" ht="14.25" hidden="false" customHeight="false" outlineLevel="0" collapsed="false">
      <c r="B226" s="2" t="n">
        <v>16</v>
      </c>
      <c r="C226" s="3" t="n">
        <v>528</v>
      </c>
      <c r="D226" s="3" t="n">
        <v>2</v>
      </c>
      <c r="E226" s="2" t="n">
        <v>52</v>
      </c>
      <c r="F226" s="4" t="n">
        <v>2.98</v>
      </c>
      <c r="G226" s="2" t="n">
        <v>27</v>
      </c>
      <c r="H226" s="2" t="n">
        <v>35</v>
      </c>
      <c r="I226" s="1" t="n">
        <v>150</v>
      </c>
      <c r="J226" s="2" t="n">
        <v>235</v>
      </c>
      <c r="K226" s="3" t="n">
        <v>402</v>
      </c>
      <c r="L226" s="12" t="n">
        <v>0.023304347826087</v>
      </c>
      <c r="M226" s="4" t="n">
        <v>31.625</v>
      </c>
      <c r="N226" s="4" t="n">
        <v>0.2</v>
      </c>
    </row>
    <row r="227" customFormat="false" ht="14.25" hidden="false" customHeight="false" outlineLevel="0" collapsed="false">
      <c r="B227" s="2" t="n">
        <v>16</v>
      </c>
      <c r="C227" s="3" t="n">
        <v>528</v>
      </c>
      <c r="D227" s="3" t="n">
        <v>2</v>
      </c>
      <c r="E227" s="2" t="n">
        <v>52</v>
      </c>
      <c r="F227" s="4" t="n">
        <v>2.98</v>
      </c>
      <c r="G227" s="2" t="n">
        <v>27</v>
      </c>
      <c r="H227" s="2" t="n">
        <v>35</v>
      </c>
      <c r="I227" s="1" t="n">
        <v>150</v>
      </c>
      <c r="J227" s="2" t="n">
        <v>235</v>
      </c>
      <c r="K227" s="3" t="n">
        <v>402</v>
      </c>
      <c r="L227" s="12" t="n">
        <v>0.023304347826087</v>
      </c>
      <c r="M227" s="4" t="n">
        <v>37.375</v>
      </c>
      <c r="N227" s="4" t="n">
        <v>0.26</v>
      </c>
    </row>
    <row r="228" customFormat="false" ht="14.25" hidden="false" customHeight="false" outlineLevel="0" collapsed="false">
      <c r="A228" s="1" t="s">
        <v>70</v>
      </c>
      <c r="B228" s="2" t="n">
        <v>20</v>
      </c>
      <c r="C228" s="3" t="n">
        <v>528</v>
      </c>
      <c r="D228" s="3" t="n">
        <v>2</v>
      </c>
      <c r="E228" s="2" t="n">
        <v>44</v>
      </c>
      <c r="F228" s="4" t="n">
        <v>2.98</v>
      </c>
      <c r="G228" s="2" t="n">
        <v>25</v>
      </c>
      <c r="H228" s="2" t="n">
        <v>35</v>
      </c>
      <c r="I228" s="1" t="n">
        <v>150</v>
      </c>
      <c r="J228" s="2" t="n">
        <v>235</v>
      </c>
      <c r="K228" s="3" t="n">
        <v>628</v>
      </c>
      <c r="L228" s="12" t="n">
        <v>0.0341768707482993</v>
      </c>
      <c r="M228" s="4" t="n">
        <v>28.75</v>
      </c>
      <c r="N228" s="4" t="n">
        <v>0.17</v>
      </c>
    </row>
    <row r="229" customFormat="false" ht="14.25" hidden="false" customHeight="false" outlineLevel="0" collapsed="false">
      <c r="B229" s="2" t="n">
        <v>20</v>
      </c>
      <c r="C229" s="3" t="n">
        <v>528</v>
      </c>
      <c r="D229" s="3" t="n">
        <v>2</v>
      </c>
      <c r="E229" s="2" t="n">
        <v>44</v>
      </c>
      <c r="F229" s="4" t="n">
        <v>2.98</v>
      </c>
      <c r="G229" s="2" t="n">
        <v>25</v>
      </c>
      <c r="H229" s="2" t="n">
        <v>35</v>
      </c>
      <c r="I229" s="1" t="n">
        <v>150</v>
      </c>
      <c r="J229" s="2" t="n">
        <v>235</v>
      </c>
      <c r="K229" s="3" t="n">
        <v>628</v>
      </c>
      <c r="L229" s="12" t="n">
        <v>0.0341768707482993</v>
      </c>
      <c r="M229" s="4" t="n">
        <v>32.775</v>
      </c>
      <c r="N229" s="4" t="n">
        <v>0.19</v>
      </c>
    </row>
    <row r="230" customFormat="false" ht="14.25" hidden="false" customHeight="false" outlineLevel="0" collapsed="false">
      <c r="B230" s="2" t="n">
        <v>20</v>
      </c>
      <c r="C230" s="3" t="n">
        <v>528</v>
      </c>
      <c r="D230" s="3" t="n">
        <v>2</v>
      </c>
      <c r="E230" s="2" t="n">
        <v>44</v>
      </c>
      <c r="F230" s="4" t="n">
        <v>2.98</v>
      </c>
      <c r="G230" s="2" t="n">
        <v>25</v>
      </c>
      <c r="H230" s="2" t="n">
        <v>35</v>
      </c>
      <c r="I230" s="1" t="n">
        <v>150</v>
      </c>
      <c r="J230" s="2" t="n">
        <v>235</v>
      </c>
      <c r="K230" s="3" t="n">
        <v>628</v>
      </c>
      <c r="L230" s="12" t="n">
        <v>0.0341768707482993</v>
      </c>
      <c r="M230" s="4" t="n">
        <v>37.95</v>
      </c>
      <c r="N230" s="4" t="n">
        <v>0.23</v>
      </c>
    </row>
    <row r="231" customFormat="false" ht="14.25" hidden="false" customHeight="false" outlineLevel="0" collapsed="false">
      <c r="B231" s="2" t="n">
        <v>20</v>
      </c>
      <c r="C231" s="3" t="n">
        <v>528</v>
      </c>
      <c r="D231" s="3" t="n">
        <v>2</v>
      </c>
      <c r="E231" s="2" t="n">
        <v>44</v>
      </c>
      <c r="F231" s="4" t="n">
        <v>2.98</v>
      </c>
      <c r="G231" s="2" t="n">
        <v>25</v>
      </c>
      <c r="H231" s="2" t="n">
        <v>35</v>
      </c>
      <c r="I231" s="1" t="n">
        <v>150</v>
      </c>
      <c r="J231" s="2" t="n">
        <v>235</v>
      </c>
      <c r="K231" s="3" t="n">
        <v>628</v>
      </c>
      <c r="L231" s="12" t="n">
        <v>0.0341768707482993</v>
      </c>
      <c r="M231" s="4" t="n">
        <v>40.25</v>
      </c>
      <c r="N231" s="4" t="n">
        <v>0.25</v>
      </c>
    </row>
    <row r="232" customFormat="false" ht="14.25" hidden="false" customHeight="false" outlineLevel="0" collapsed="false">
      <c r="B232" s="2" t="n">
        <v>20</v>
      </c>
      <c r="C232" s="3" t="n">
        <v>528</v>
      </c>
      <c r="D232" s="3" t="n">
        <v>2</v>
      </c>
      <c r="E232" s="2" t="n">
        <v>44</v>
      </c>
      <c r="F232" s="4" t="n">
        <v>2.98</v>
      </c>
      <c r="G232" s="2" t="n">
        <v>25</v>
      </c>
      <c r="H232" s="2" t="n">
        <v>35</v>
      </c>
      <c r="I232" s="1" t="n">
        <v>150</v>
      </c>
      <c r="J232" s="2" t="n">
        <v>235</v>
      </c>
      <c r="K232" s="3" t="n">
        <v>628</v>
      </c>
      <c r="L232" s="12" t="n">
        <v>0.0341768707482993</v>
      </c>
      <c r="M232" s="4" t="n">
        <v>43.7</v>
      </c>
      <c r="N232" s="4" t="n">
        <v>0.3</v>
      </c>
    </row>
    <row r="233" customFormat="false" ht="14.25" hidden="false" customHeight="false" outlineLevel="0" collapsed="false">
      <c r="B233" s="2" t="n">
        <v>20</v>
      </c>
      <c r="C233" s="3" t="n">
        <v>528</v>
      </c>
      <c r="D233" s="3" t="n">
        <v>2</v>
      </c>
      <c r="E233" s="2" t="n">
        <v>44</v>
      </c>
      <c r="F233" s="4" t="n">
        <v>2.98</v>
      </c>
      <c r="G233" s="2" t="n">
        <v>25</v>
      </c>
      <c r="H233" s="2" t="n">
        <v>35</v>
      </c>
      <c r="I233" s="1" t="n">
        <v>150</v>
      </c>
      <c r="J233" s="2" t="n">
        <v>235</v>
      </c>
      <c r="K233" s="3" t="n">
        <v>628</v>
      </c>
      <c r="L233" s="12" t="n">
        <v>0.0341768707482993</v>
      </c>
      <c r="M233" s="4" t="n">
        <v>46</v>
      </c>
      <c r="N233" s="4" t="n">
        <v>0.32</v>
      </c>
    </row>
    <row r="234" customFormat="false" ht="14.25" hidden="false" customHeight="false" outlineLevel="0" collapsed="false">
      <c r="B234" s="2" t="n">
        <v>20</v>
      </c>
      <c r="C234" s="3" t="n">
        <v>528</v>
      </c>
      <c r="D234" s="3" t="n">
        <v>2</v>
      </c>
      <c r="E234" s="2" t="n">
        <v>44</v>
      </c>
      <c r="F234" s="4" t="n">
        <v>2.98</v>
      </c>
      <c r="G234" s="2" t="n">
        <v>25</v>
      </c>
      <c r="H234" s="2" t="n">
        <v>35</v>
      </c>
      <c r="I234" s="1" t="n">
        <v>150</v>
      </c>
      <c r="J234" s="2" t="n">
        <v>235</v>
      </c>
      <c r="K234" s="3" t="n">
        <v>628</v>
      </c>
      <c r="L234" s="12" t="n">
        <v>0.0341768707482993</v>
      </c>
      <c r="M234" s="4" t="n">
        <v>51.635</v>
      </c>
      <c r="N234" s="4" t="n">
        <v>0.36</v>
      </c>
    </row>
    <row r="235" customFormat="false" ht="14.25" hidden="false" customHeight="false" outlineLevel="0" collapsed="false">
      <c r="B235" s="2" t="n">
        <v>20</v>
      </c>
      <c r="C235" s="3" t="n">
        <v>528</v>
      </c>
      <c r="D235" s="3" t="n">
        <v>2</v>
      </c>
      <c r="E235" s="2" t="n">
        <v>44</v>
      </c>
      <c r="F235" s="4" t="n">
        <v>2.98</v>
      </c>
      <c r="G235" s="2" t="n">
        <v>25</v>
      </c>
      <c r="H235" s="2" t="n">
        <v>35</v>
      </c>
      <c r="I235" s="1" t="n">
        <v>150</v>
      </c>
      <c r="J235" s="2" t="n">
        <v>235</v>
      </c>
      <c r="K235" s="3" t="n">
        <v>628</v>
      </c>
      <c r="L235" s="12" t="n">
        <v>0.0341768707482993</v>
      </c>
      <c r="M235" s="4" t="n">
        <v>57.27</v>
      </c>
      <c r="N235" s="4" t="n">
        <v>0.47</v>
      </c>
    </row>
    <row r="236" customFormat="false" ht="14.25" hidden="false" customHeight="false" outlineLevel="0" collapsed="false">
      <c r="A236" s="1" t="s">
        <v>71</v>
      </c>
      <c r="B236" s="2" t="n">
        <v>20</v>
      </c>
      <c r="C236" s="3" t="n">
        <v>528</v>
      </c>
      <c r="D236" s="3" t="n">
        <v>3</v>
      </c>
      <c r="E236" s="2" t="n">
        <v>12</v>
      </c>
      <c r="F236" s="4" t="n">
        <v>2.98</v>
      </c>
      <c r="G236" s="2" t="n">
        <v>25</v>
      </c>
      <c r="H236" s="2" t="n">
        <v>35</v>
      </c>
      <c r="I236" s="1" t="n">
        <v>150</v>
      </c>
      <c r="J236" s="2" t="n">
        <v>235</v>
      </c>
      <c r="K236" s="3" t="n">
        <v>942</v>
      </c>
      <c r="L236" s="12" t="n">
        <v>0.051265306122449</v>
      </c>
      <c r="M236" s="4" t="n">
        <v>48.3</v>
      </c>
      <c r="N236" s="4" t="n">
        <v>0.16</v>
      </c>
    </row>
    <row r="237" customFormat="false" ht="14.25" hidden="false" customHeight="false" outlineLevel="0" collapsed="false">
      <c r="B237" s="2" t="n">
        <v>20</v>
      </c>
      <c r="C237" s="3" t="n">
        <v>528</v>
      </c>
      <c r="D237" s="3" t="n">
        <v>3</v>
      </c>
      <c r="E237" s="2" t="n">
        <v>12</v>
      </c>
      <c r="F237" s="4" t="n">
        <v>2.98</v>
      </c>
      <c r="G237" s="2" t="n">
        <v>25</v>
      </c>
      <c r="H237" s="2" t="n">
        <v>35</v>
      </c>
      <c r="I237" s="1" t="n">
        <v>150</v>
      </c>
      <c r="J237" s="2" t="n">
        <v>235</v>
      </c>
      <c r="K237" s="3" t="n">
        <v>942</v>
      </c>
      <c r="L237" s="12" t="n">
        <v>0.051265306122449</v>
      </c>
      <c r="M237" s="4" t="n">
        <v>50.6</v>
      </c>
      <c r="N237" s="4" t="n">
        <v>0.18</v>
      </c>
    </row>
    <row r="238" customFormat="false" ht="14.25" hidden="false" customHeight="false" outlineLevel="0" collapsed="false">
      <c r="B238" s="2" t="n">
        <v>20</v>
      </c>
      <c r="C238" s="3" t="n">
        <v>528</v>
      </c>
      <c r="D238" s="3" t="n">
        <v>3</v>
      </c>
      <c r="E238" s="2" t="n">
        <v>12</v>
      </c>
      <c r="F238" s="4" t="n">
        <v>2.98</v>
      </c>
      <c r="G238" s="2" t="n">
        <v>25</v>
      </c>
      <c r="H238" s="2" t="n">
        <v>35</v>
      </c>
      <c r="I238" s="1" t="n">
        <v>150</v>
      </c>
      <c r="J238" s="2" t="n">
        <v>235</v>
      </c>
      <c r="K238" s="3" t="n">
        <v>942</v>
      </c>
      <c r="L238" s="12" t="n">
        <v>0.051265306122449</v>
      </c>
      <c r="M238" s="4" t="n">
        <v>56.35</v>
      </c>
      <c r="N238" s="4" t="n">
        <v>0.18</v>
      </c>
    </row>
    <row r="239" customFormat="false" ht="14.25" hidden="false" customHeight="false" outlineLevel="0" collapsed="false">
      <c r="B239" s="2" t="n">
        <v>20</v>
      </c>
      <c r="C239" s="3" t="n">
        <v>528</v>
      </c>
      <c r="D239" s="3" t="n">
        <v>3</v>
      </c>
      <c r="E239" s="2" t="n">
        <v>12</v>
      </c>
      <c r="F239" s="4" t="n">
        <v>2.98</v>
      </c>
      <c r="G239" s="2" t="n">
        <v>25</v>
      </c>
      <c r="H239" s="2" t="n">
        <v>35</v>
      </c>
      <c r="I239" s="1" t="n">
        <v>150</v>
      </c>
      <c r="J239" s="2" t="n">
        <v>235</v>
      </c>
      <c r="K239" s="3" t="n">
        <v>942</v>
      </c>
      <c r="L239" s="12" t="n">
        <v>0.051265306122449</v>
      </c>
      <c r="M239" s="4" t="n">
        <v>62.675</v>
      </c>
      <c r="N239" s="4" t="n">
        <v>0.2</v>
      </c>
    </row>
    <row r="240" customFormat="false" ht="14.25" hidden="false" customHeight="false" outlineLevel="0" collapsed="false">
      <c r="B240" s="2" t="n">
        <v>20</v>
      </c>
      <c r="C240" s="3" t="n">
        <v>528</v>
      </c>
      <c r="D240" s="3" t="n">
        <v>3</v>
      </c>
      <c r="E240" s="2" t="n">
        <v>12</v>
      </c>
      <c r="F240" s="4" t="n">
        <v>2.98</v>
      </c>
      <c r="G240" s="2" t="n">
        <v>25</v>
      </c>
      <c r="H240" s="2" t="n">
        <v>35</v>
      </c>
      <c r="I240" s="1" t="n">
        <v>150</v>
      </c>
      <c r="J240" s="2" t="n">
        <v>235</v>
      </c>
      <c r="K240" s="3" t="n">
        <v>942</v>
      </c>
      <c r="L240" s="12" t="n">
        <v>0.051265306122449</v>
      </c>
      <c r="M240" s="4" t="n">
        <v>68.425</v>
      </c>
      <c r="N240" s="4" t="n">
        <v>0.2</v>
      </c>
    </row>
    <row r="241" customFormat="false" ht="14.25" hidden="false" customHeight="false" outlineLevel="0" collapsed="false">
      <c r="B241" s="2" t="n">
        <v>20</v>
      </c>
      <c r="C241" s="3" t="n">
        <v>528</v>
      </c>
      <c r="D241" s="3" t="n">
        <v>3</v>
      </c>
      <c r="E241" s="2" t="n">
        <v>12</v>
      </c>
      <c r="F241" s="4" t="n">
        <v>2.98</v>
      </c>
      <c r="G241" s="2" t="n">
        <v>25</v>
      </c>
      <c r="H241" s="2" t="n">
        <v>35</v>
      </c>
      <c r="I241" s="1" t="n">
        <v>150</v>
      </c>
      <c r="J241" s="2" t="n">
        <v>235</v>
      </c>
      <c r="K241" s="3" t="n">
        <v>942</v>
      </c>
      <c r="L241" s="12" t="n">
        <v>0.051265306122449</v>
      </c>
      <c r="M241" s="4" t="n">
        <v>73.6</v>
      </c>
      <c r="N241" s="4" t="n">
        <v>0.2</v>
      </c>
    </row>
    <row r="242" customFormat="false" ht="14.25" hidden="false" customHeight="false" outlineLevel="0" collapsed="false">
      <c r="B242" s="2" t="n">
        <v>20</v>
      </c>
      <c r="C242" s="3" t="n">
        <v>528</v>
      </c>
      <c r="D242" s="3" t="n">
        <v>3</v>
      </c>
      <c r="E242" s="2" t="n">
        <v>12</v>
      </c>
      <c r="F242" s="4" t="n">
        <v>2.98</v>
      </c>
      <c r="G242" s="2" t="n">
        <v>25</v>
      </c>
      <c r="H242" s="2" t="n">
        <v>35</v>
      </c>
      <c r="I242" s="1" t="n">
        <v>150</v>
      </c>
      <c r="J242" s="2" t="n">
        <v>235</v>
      </c>
      <c r="K242" s="3" t="n">
        <v>942</v>
      </c>
      <c r="L242" s="12" t="n">
        <v>0.051265306122449</v>
      </c>
      <c r="M242" s="4" t="n">
        <v>79.925</v>
      </c>
      <c r="N242" s="4" t="n">
        <v>0.22</v>
      </c>
    </row>
    <row r="243" customFormat="false" ht="14.25" hidden="false" customHeight="false" outlineLevel="0" collapsed="false">
      <c r="A243" s="1" t="s">
        <v>72</v>
      </c>
      <c r="B243" s="2" t="n">
        <v>28</v>
      </c>
      <c r="C243" s="3" t="n">
        <v>400</v>
      </c>
      <c r="D243" s="3" t="n">
        <v>4</v>
      </c>
      <c r="E243" s="2" t="n">
        <v>16</v>
      </c>
      <c r="F243" s="4" t="n">
        <v>5.30847435710111</v>
      </c>
      <c r="G243" s="2" t="n">
        <v>30</v>
      </c>
      <c r="H243" s="2" t="n">
        <v>44</v>
      </c>
      <c r="I243" s="1" t="n">
        <v>200</v>
      </c>
      <c r="J243" s="2" t="n">
        <v>300</v>
      </c>
      <c r="K243" s="3" t="n">
        <v>2463</v>
      </c>
      <c r="L243" s="12" t="n">
        <v>0.0799675324675325</v>
      </c>
      <c r="M243" s="4" t="n">
        <v>78.75</v>
      </c>
      <c r="N243" s="4" t="n">
        <v>0.22</v>
      </c>
    </row>
    <row r="244" customFormat="false" ht="14.25" hidden="false" customHeight="false" outlineLevel="0" collapsed="false">
      <c r="B244" s="2" t="n">
        <v>28</v>
      </c>
      <c r="C244" s="3" t="n">
        <v>400</v>
      </c>
      <c r="D244" s="3" t="n">
        <v>4</v>
      </c>
      <c r="E244" s="2" t="n">
        <v>16</v>
      </c>
      <c r="F244" s="4" t="n">
        <v>5.30847435710111</v>
      </c>
      <c r="G244" s="2" t="n">
        <v>30</v>
      </c>
      <c r="H244" s="2" t="n">
        <v>44</v>
      </c>
      <c r="I244" s="1" t="n">
        <v>200</v>
      </c>
      <c r="J244" s="2" t="n">
        <v>300</v>
      </c>
      <c r="K244" s="3" t="n">
        <v>2463</v>
      </c>
      <c r="L244" s="12" t="n">
        <v>0.0799675324675325</v>
      </c>
      <c r="M244" s="4" t="n">
        <v>105.075</v>
      </c>
      <c r="N244" s="4" t="n">
        <v>0.25</v>
      </c>
    </row>
    <row r="245" customFormat="false" ht="14.25" hidden="false" customHeight="false" outlineLevel="0" collapsed="false">
      <c r="B245" s="2" t="n">
        <v>28</v>
      </c>
      <c r="C245" s="3" t="n">
        <v>400</v>
      </c>
      <c r="D245" s="3" t="n">
        <v>4</v>
      </c>
      <c r="E245" s="2" t="n">
        <v>16</v>
      </c>
      <c r="F245" s="4" t="n">
        <v>5.30847435710111</v>
      </c>
      <c r="G245" s="2" t="n">
        <v>30</v>
      </c>
      <c r="H245" s="2" t="n">
        <v>44</v>
      </c>
      <c r="I245" s="1" t="n">
        <v>200</v>
      </c>
      <c r="J245" s="2" t="n">
        <v>300</v>
      </c>
      <c r="K245" s="3" t="n">
        <v>2463</v>
      </c>
      <c r="L245" s="12" t="n">
        <v>0.0799675324675325</v>
      </c>
      <c r="M245" s="4" t="n">
        <v>120.15</v>
      </c>
      <c r="N245" s="4" t="n">
        <v>0.29</v>
      </c>
    </row>
    <row r="246" customFormat="false" ht="14.25" hidden="false" customHeight="false" outlineLevel="0" collapsed="false">
      <c r="B246" s="2" t="n">
        <v>28</v>
      </c>
      <c r="C246" s="3" t="n">
        <v>400</v>
      </c>
      <c r="D246" s="3" t="n">
        <v>4</v>
      </c>
      <c r="E246" s="2" t="n">
        <v>16</v>
      </c>
      <c r="F246" s="4" t="n">
        <v>5.30847435710111</v>
      </c>
      <c r="G246" s="2" t="n">
        <v>30</v>
      </c>
      <c r="H246" s="2" t="n">
        <v>44</v>
      </c>
      <c r="I246" s="1" t="n">
        <v>200</v>
      </c>
      <c r="J246" s="2" t="n">
        <v>300</v>
      </c>
      <c r="K246" s="3" t="n">
        <v>2463</v>
      </c>
      <c r="L246" s="12" t="n">
        <v>0.0799675324675325</v>
      </c>
      <c r="M246" s="4" t="n">
        <v>137.475</v>
      </c>
      <c r="N246" s="4" t="n">
        <v>0.31</v>
      </c>
    </row>
    <row r="247" customFormat="false" ht="14.25" hidden="false" customHeight="false" outlineLevel="0" collapsed="false">
      <c r="B247" s="2" t="n">
        <v>28</v>
      </c>
      <c r="C247" s="3" t="n">
        <v>400</v>
      </c>
      <c r="D247" s="3" t="n">
        <v>4</v>
      </c>
      <c r="E247" s="2" t="n">
        <v>16</v>
      </c>
      <c r="F247" s="4" t="n">
        <v>5.30847435710111</v>
      </c>
      <c r="G247" s="2" t="n">
        <v>30</v>
      </c>
      <c r="H247" s="2" t="n">
        <v>44</v>
      </c>
      <c r="I247" s="1" t="n">
        <v>200</v>
      </c>
      <c r="J247" s="2" t="n">
        <v>300</v>
      </c>
      <c r="K247" s="3" t="n">
        <v>2463</v>
      </c>
      <c r="L247" s="12" t="n">
        <v>0.0799675324675325</v>
      </c>
      <c r="M247" s="4" t="n">
        <v>164.475</v>
      </c>
      <c r="N247" s="4" t="n">
        <v>0.33</v>
      </c>
    </row>
    <row r="248" customFormat="false" ht="14.25" hidden="false" customHeight="false" outlineLevel="0" collapsed="false">
      <c r="B248" s="2" t="n">
        <v>28</v>
      </c>
      <c r="C248" s="3" t="n">
        <v>400</v>
      </c>
      <c r="D248" s="3" t="n">
        <v>4</v>
      </c>
      <c r="E248" s="2" t="n">
        <v>16</v>
      </c>
      <c r="F248" s="4" t="n">
        <v>5.30847435710111</v>
      </c>
      <c r="G248" s="2" t="n">
        <v>30</v>
      </c>
      <c r="H248" s="2" t="n">
        <v>44</v>
      </c>
      <c r="I248" s="1" t="n">
        <v>200</v>
      </c>
      <c r="J248" s="2" t="n">
        <v>300</v>
      </c>
      <c r="K248" s="3" t="n">
        <v>2463</v>
      </c>
      <c r="L248" s="12" t="n">
        <v>0.0799675324675325</v>
      </c>
      <c r="M248" s="4" t="n">
        <v>178.2</v>
      </c>
      <c r="N248" s="4" t="n">
        <v>0.34</v>
      </c>
    </row>
    <row r="249" customFormat="false" ht="14.25" hidden="false" customHeight="false" outlineLevel="0" collapsed="false">
      <c r="B249" s="2" t="n">
        <v>28</v>
      </c>
      <c r="C249" s="3" t="n">
        <v>400</v>
      </c>
      <c r="D249" s="3" t="n">
        <v>4</v>
      </c>
      <c r="E249" s="2" t="n">
        <v>16</v>
      </c>
      <c r="F249" s="4" t="n">
        <v>5.30847435710111</v>
      </c>
      <c r="G249" s="2" t="n">
        <v>30</v>
      </c>
      <c r="H249" s="2" t="n">
        <v>44</v>
      </c>
      <c r="I249" s="1" t="n">
        <v>200</v>
      </c>
      <c r="J249" s="2" t="n">
        <v>300</v>
      </c>
      <c r="K249" s="3" t="n">
        <v>2463</v>
      </c>
      <c r="L249" s="12" t="n">
        <v>0.0799675324675325</v>
      </c>
      <c r="M249" s="4" t="n">
        <v>198.225</v>
      </c>
      <c r="N249" s="4" t="n">
        <v>0.37</v>
      </c>
    </row>
    <row r="250" customFormat="false" ht="14.25" hidden="false" customHeight="false" outlineLevel="0" collapsed="false">
      <c r="A250" s="1" t="s">
        <v>73</v>
      </c>
      <c r="B250" s="2" t="n">
        <v>15.9</v>
      </c>
      <c r="C250" s="3" t="n">
        <v>392</v>
      </c>
      <c r="D250" s="3" t="n">
        <v>2</v>
      </c>
      <c r="E250" s="2" t="n">
        <v>46</v>
      </c>
      <c r="F250" s="4" t="n">
        <v>2.82587739786632</v>
      </c>
      <c r="G250" s="2" t="n">
        <v>30</v>
      </c>
      <c r="H250" s="2" t="n">
        <v>38</v>
      </c>
      <c r="I250" s="1" t="n">
        <v>150</v>
      </c>
      <c r="J250" s="2" t="n">
        <v>250</v>
      </c>
      <c r="K250" s="3" t="n">
        <v>397.2</v>
      </c>
      <c r="L250" s="12" t="n">
        <v>0.022536170212766</v>
      </c>
      <c r="M250" s="4" t="n">
        <v>27.1</v>
      </c>
      <c r="N250" s="4" t="n">
        <v>0.2</v>
      </c>
    </row>
    <row r="251" customFormat="false" ht="14.25" hidden="false" customHeight="false" outlineLevel="0" collapsed="false">
      <c r="B251" s="2" t="n">
        <v>15.9</v>
      </c>
      <c r="C251" s="3" t="n">
        <v>392</v>
      </c>
      <c r="D251" s="3" t="n">
        <v>2</v>
      </c>
      <c r="E251" s="2" t="n">
        <v>46</v>
      </c>
      <c r="F251" s="4" t="n">
        <v>2.82587739786632</v>
      </c>
      <c r="G251" s="2" t="n">
        <v>30</v>
      </c>
      <c r="H251" s="2" t="n">
        <v>38</v>
      </c>
      <c r="I251" s="1" t="n">
        <v>150</v>
      </c>
      <c r="J251" s="2" t="n">
        <v>250</v>
      </c>
      <c r="K251" s="3" t="n">
        <v>397.2</v>
      </c>
      <c r="L251" s="12" t="n">
        <v>0.022536170212766</v>
      </c>
      <c r="M251" s="4" t="n">
        <v>35.6</v>
      </c>
      <c r="N251" s="4" t="n">
        <v>0.35</v>
      </c>
    </row>
    <row r="252" customFormat="false" ht="14.25" hidden="false" customHeight="false" outlineLevel="0" collapsed="false">
      <c r="A252" s="1" t="s">
        <v>74</v>
      </c>
      <c r="B252" s="2" t="n">
        <v>15.9</v>
      </c>
      <c r="C252" s="3" t="n">
        <v>392</v>
      </c>
      <c r="D252" s="3" t="n">
        <v>2</v>
      </c>
      <c r="E252" s="2" t="n">
        <v>46</v>
      </c>
      <c r="F252" s="4" t="n">
        <v>2.82587739786632</v>
      </c>
      <c r="G252" s="2" t="n">
        <v>30</v>
      </c>
      <c r="H252" s="2" t="n">
        <v>38</v>
      </c>
      <c r="I252" s="1" t="n">
        <v>150</v>
      </c>
      <c r="J252" s="2" t="n">
        <v>250</v>
      </c>
      <c r="K252" s="3" t="n">
        <v>397.2</v>
      </c>
      <c r="L252" s="12" t="n">
        <v>0.022536170212766</v>
      </c>
      <c r="M252" s="4" t="n">
        <v>27.2</v>
      </c>
      <c r="N252" s="4" t="n">
        <v>0.2</v>
      </c>
    </row>
    <row r="253" customFormat="false" ht="14.25" hidden="false" customHeight="false" outlineLevel="0" collapsed="false">
      <c r="B253" s="2" t="n">
        <v>15.9</v>
      </c>
      <c r="C253" s="3" t="n">
        <v>392</v>
      </c>
      <c r="D253" s="3" t="n">
        <v>2</v>
      </c>
      <c r="E253" s="2" t="n">
        <v>46</v>
      </c>
      <c r="F253" s="4" t="n">
        <v>2.82587739786632</v>
      </c>
      <c r="G253" s="2" t="n">
        <v>30</v>
      </c>
      <c r="H253" s="2" t="n">
        <v>38</v>
      </c>
      <c r="I253" s="1" t="n">
        <v>150</v>
      </c>
      <c r="J253" s="2" t="n">
        <v>250</v>
      </c>
      <c r="K253" s="3" t="n">
        <v>397.2</v>
      </c>
      <c r="L253" s="12" t="n">
        <v>0.022536170212766</v>
      </c>
      <c r="M253" s="4" t="n">
        <v>35.6</v>
      </c>
      <c r="N253" s="4" t="n">
        <v>0.25</v>
      </c>
    </row>
    <row r="254" customFormat="false" ht="14.25" hidden="false" customHeight="false" outlineLevel="0" collapsed="false">
      <c r="A254" s="1" t="s">
        <v>75</v>
      </c>
      <c r="B254" s="2" t="n">
        <v>15.9</v>
      </c>
      <c r="C254" s="3" t="n">
        <v>392</v>
      </c>
      <c r="D254" s="3" t="n">
        <v>2</v>
      </c>
      <c r="E254" s="2" t="n">
        <v>46</v>
      </c>
      <c r="F254" s="4" t="n">
        <v>2.82587739786632</v>
      </c>
      <c r="G254" s="2" t="n">
        <v>30</v>
      </c>
      <c r="H254" s="2" t="n">
        <v>38</v>
      </c>
      <c r="I254" s="1" t="n">
        <v>150</v>
      </c>
      <c r="J254" s="2" t="n">
        <v>250</v>
      </c>
      <c r="K254" s="3" t="n">
        <v>397.2</v>
      </c>
      <c r="L254" s="12" t="n">
        <v>0.022536170212766</v>
      </c>
      <c r="M254" s="4" t="n">
        <v>27.2</v>
      </c>
      <c r="N254" s="4" t="n">
        <v>0.2</v>
      </c>
    </row>
    <row r="255" customFormat="false" ht="14.25" hidden="false" customHeight="false" outlineLevel="0" collapsed="false">
      <c r="B255" s="2" t="n">
        <v>15.9</v>
      </c>
      <c r="C255" s="3" t="n">
        <v>392</v>
      </c>
      <c r="D255" s="3" t="n">
        <v>2</v>
      </c>
      <c r="E255" s="2" t="n">
        <v>46</v>
      </c>
      <c r="F255" s="4" t="n">
        <v>2.82587739786632</v>
      </c>
      <c r="G255" s="2" t="n">
        <v>30</v>
      </c>
      <c r="H255" s="2" t="n">
        <v>38</v>
      </c>
      <c r="I255" s="1" t="n">
        <v>150</v>
      </c>
      <c r="J255" s="2" t="n">
        <v>250</v>
      </c>
      <c r="K255" s="3" t="n">
        <v>397.2</v>
      </c>
      <c r="L255" s="12" t="n">
        <v>0.022536170212766</v>
      </c>
      <c r="M255" s="4" t="n">
        <v>35.6</v>
      </c>
      <c r="N255" s="4" t="n">
        <v>0.25</v>
      </c>
    </row>
    <row r="256" customFormat="false" ht="14.25" hidden="false" customHeight="false" outlineLevel="0" collapsed="false">
      <c r="A256" s="1" t="s">
        <v>76</v>
      </c>
      <c r="B256" s="2" t="n">
        <v>15.9</v>
      </c>
      <c r="C256" s="3" t="n">
        <v>392</v>
      </c>
      <c r="D256" s="3" t="n">
        <v>2</v>
      </c>
      <c r="E256" s="2" t="n">
        <v>46</v>
      </c>
      <c r="F256" s="4" t="n">
        <v>2.82587739786632</v>
      </c>
      <c r="G256" s="2" t="n">
        <v>30</v>
      </c>
      <c r="H256" s="2" t="n">
        <v>38</v>
      </c>
      <c r="I256" s="1" t="n">
        <v>150</v>
      </c>
      <c r="J256" s="2" t="n">
        <v>250</v>
      </c>
      <c r="K256" s="3" t="n">
        <v>397.2</v>
      </c>
      <c r="L256" s="12" t="n">
        <v>0.022536170212766</v>
      </c>
      <c r="M256" s="4" t="n">
        <v>27.3</v>
      </c>
      <c r="N256" s="4" t="n">
        <v>0.2</v>
      </c>
    </row>
    <row r="257" customFormat="false" ht="14.25" hidden="false" customHeight="false" outlineLevel="0" collapsed="false">
      <c r="B257" s="2" t="n">
        <v>15.9</v>
      </c>
      <c r="C257" s="3" t="n">
        <v>392</v>
      </c>
      <c r="D257" s="3" t="n">
        <v>2</v>
      </c>
      <c r="E257" s="2" t="n">
        <v>46</v>
      </c>
      <c r="F257" s="4" t="n">
        <v>2.82587739786632</v>
      </c>
      <c r="G257" s="2" t="n">
        <v>30</v>
      </c>
      <c r="H257" s="2" t="n">
        <v>38</v>
      </c>
      <c r="I257" s="1" t="n">
        <v>150</v>
      </c>
      <c r="J257" s="2" t="n">
        <v>250</v>
      </c>
      <c r="K257" s="3" t="n">
        <v>397.2</v>
      </c>
      <c r="L257" s="12" t="n">
        <v>0.022536170212766</v>
      </c>
      <c r="M257" s="4" t="n">
        <v>35.7</v>
      </c>
      <c r="N257" s="4" t="n">
        <v>0.3</v>
      </c>
    </row>
    <row r="258" customFormat="false" ht="14.25" hidden="false" customHeight="false" outlineLevel="0" collapsed="false">
      <c r="A258" s="1" t="s">
        <v>77</v>
      </c>
      <c r="B258" s="2" t="n">
        <v>12.7</v>
      </c>
      <c r="C258" s="3" t="n">
        <v>392</v>
      </c>
      <c r="D258" s="3" t="n">
        <v>2</v>
      </c>
      <c r="E258" s="2" t="n">
        <v>52</v>
      </c>
      <c r="F258" s="4" t="n">
        <v>2.92087587098479</v>
      </c>
      <c r="G258" s="2" t="n">
        <v>30</v>
      </c>
      <c r="H258" s="2" t="n">
        <v>36.5</v>
      </c>
      <c r="I258" s="1" t="n">
        <v>150</v>
      </c>
      <c r="J258" s="2" t="n">
        <v>250</v>
      </c>
      <c r="K258" s="3" t="n">
        <v>253.4</v>
      </c>
      <c r="L258" s="12" t="n">
        <v>0.0168933333333333</v>
      </c>
      <c r="M258" s="4" t="n">
        <v>15.6</v>
      </c>
      <c r="N258" s="4" t="n">
        <v>0.15</v>
      </c>
    </row>
    <row r="259" customFormat="false" ht="14.25" hidden="false" customHeight="false" outlineLevel="0" collapsed="false">
      <c r="B259" s="2" t="n">
        <v>12.7</v>
      </c>
      <c r="C259" s="3" t="n">
        <v>392</v>
      </c>
      <c r="D259" s="3" t="n">
        <v>2</v>
      </c>
      <c r="E259" s="2" t="n">
        <v>52</v>
      </c>
      <c r="F259" s="4" t="n">
        <v>2.92087587098479</v>
      </c>
      <c r="G259" s="2" t="n">
        <v>30</v>
      </c>
      <c r="H259" s="2" t="n">
        <v>36.5</v>
      </c>
      <c r="I259" s="1" t="n">
        <v>150</v>
      </c>
      <c r="J259" s="2" t="n">
        <v>250</v>
      </c>
      <c r="K259" s="3" t="n">
        <v>253.4</v>
      </c>
      <c r="L259" s="12" t="n">
        <v>0.0168933333333333</v>
      </c>
      <c r="M259" s="4" t="n">
        <v>19.6</v>
      </c>
      <c r="N259" s="4" t="n">
        <v>0.2</v>
      </c>
    </row>
    <row r="260" customFormat="false" ht="14.25" hidden="false" customHeight="false" outlineLevel="0" collapsed="false">
      <c r="A260" s="1" t="s">
        <v>78</v>
      </c>
      <c r="B260" s="2" t="n">
        <v>12.7</v>
      </c>
      <c r="C260" s="3" t="n">
        <v>392</v>
      </c>
      <c r="D260" s="3" t="n">
        <v>2</v>
      </c>
      <c r="E260" s="2" t="n">
        <v>52</v>
      </c>
      <c r="F260" s="4" t="n">
        <v>2.92087587098479</v>
      </c>
      <c r="G260" s="2" t="n">
        <v>30</v>
      </c>
      <c r="H260" s="2" t="n">
        <v>36.5</v>
      </c>
      <c r="I260" s="1" t="n">
        <v>150</v>
      </c>
      <c r="J260" s="2" t="n">
        <v>250</v>
      </c>
      <c r="K260" s="3" t="n">
        <v>253.4</v>
      </c>
      <c r="L260" s="12" t="n">
        <v>0.0168933333333333</v>
      </c>
      <c r="M260" s="4" t="n">
        <v>15.7</v>
      </c>
      <c r="N260" s="4" t="n">
        <v>0.15</v>
      </c>
    </row>
    <row r="261" customFormat="false" ht="14.25" hidden="false" customHeight="false" outlineLevel="0" collapsed="false">
      <c r="B261" s="2" t="n">
        <v>12.7</v>
      </c>
      <c r="C261" s="3" t="n">
        <v>392</v>
      </c>
      <c r="D261" s="3" t="n">
        <v>2</v>
      </c>
      <c r="E261" s="2" t="n">
        <v>52</v>
      </c>
      <c r="F261" s="4" t="n">
        <v>2.92087587098479</v>
      </c>
      <c r="G261" s="2" t="n">
        <v>30</v>
      </c>
      <c r="H261" s="2" t="n">
        <v>36.5</v>
      </c>
      <c r="I261" s="1" t="n">
        <v>150</v>
      </c>
      <c r="J261" s="2" t="n">
        <v>250</v>
      </c>
      <c r="K261" s="3" t="n">
        <v>253.4</v>
      </c>
      <c r="L261" s="12" t="n">
        <v>0.0168933333333333</v>
      </c>
      <c r="M261" s="4" t="n">
        <v>19.6</v>
      </c>
      <c r="N261" s="4" t="n">
        <v>0.2</v>
      </c>
    </row>
    <row r="262" customFormat="false" ht="14.25" hidden="false" customHeight="false" outlineLevel="0" collapsed="false">
      <c r="A262" s="1" t="s">
        <v>79</v>
      </c>
      <c r="B262" s="2" t="n">
        <v>15.9</v>
      </c>
      <c r="C262" s="3" t="n">
        <v>392</v>
      </c>
      <c r="D262" s="3" t="n">
        <v>2</v>
      </c>
      <c r="E262" s="2" t="n">
        <v>46</v>
      </c>
      <c r="F262" s="4" t="n">
        <v>2.92087587098479</v>
      </c>
      <c r="G262" s="2" t="n">
        <v>30</v>
      </c>
      <c r="H262" s="2" t="n">
        <v>38</v>
      </c>
      <c r="I262" s="1" t="n">
        <v>150</v>
      </c>
      <c r="J262" s="2" t="n">
        <v>250</v>
      </c>
      <c r="K262" s="3" t="n">
        <v>397.2</v>
      </c>
      <c r="L262" s="12" t="n">
        <v>0.022536170212766</v>
      </c>
      <c r="M262" s="4" t="n">
        <v>19.5</v>
      </c>
      <c r="N262" s="4" t="n">
        <v>0.15</v>
      </c>
    </row>
    <row r="263" customFormat="false" ht="14.25" hidden="false" customHeight="false" outlineLevel="0" collapsed="false">
      <c r="B263" s="2" t="n">
        <v>15.9</v>
      </c>
      <c r="C263" s="3" t="n">
        <v>392</v>
      </c>
      <c r="D263" s="3" t="n">
        <v>2</v>
      </c>
      <c r="E263" s="2" t="n">
        <v>46</v>
      </c>
      <c r="F263" s="4" t="n">
        <v>2.92087587098479</v>
      </c>
      <c r="G263" s="2" t="n">
        <v>30</v>
      </c>
      <c r="H263" s="2" t="n">
        <v>38</v>
      </c>
      <c r="I263" s="1" t="n">
        <v>150</v>
      </c>
      <c r="J263" s="2" t="n">
        <v>250</v>
      </c>
      <c r="K263" s="3" t="n">
        <v>397.2</v>
      </c>
      <c r="L263" s="12" t="n">
        <v>0.022536170212766</v>
      </c>
      <c r="M263" s="4" t="n">
        <v>27.4</v>
      </c>
      <c r="N263" s="4" t="n">
        <v>0.25</v>
      </c>
    </row>
    <row r="264" customFormat="false" ht="14.25" hidden="false" customHeight="false" outlineLevel="0" collapsed="false">
      <c r="B264" s="2" t="n">
        <v>15.9</v>
      </c>
      <c r="C264" s="3" t="n">
        <v>392</v>
      </c>
      <c r="D264" s="3" t="n">
        <v>2</v>
      </c>
      <c r="E264" s="2" t="n">
        <v>46</v>
      </c>
      <c r="F264" s="4" t="n">
        <v>2.92087587098479</v>
      </c>
      <c r="G264" s="2" t="n">
        <v>30</v>
      </c>
      <c r="H264" s="2" t="n">
        <v>38</v>
      </c>
      <c r="I264" s="1" t="n">
        <v>150</v>
      </c>
      <c r="J264" s="2" t="n">
        <v>250</v>
      </c>
      <c r="K264" s="3" t="n">
        <v>397.2</v>
      </c>
      <c r="L264" s="12" t="n">
        <v>0.022536170212766</v>
      </c>
      <c r="M264" s="4" t="n">
        <v>31.3</v>
      </c>
      <c r="N264" s="4" t="n">
        <v>0.3</v>
      </c>
    </row>
    <row r="265" customFormat="false" ht="14.25" hidden="false" customHeight="false" outlineLevel="0" collapsed="false">
      <c r="A265" s="1" t="s">
        <v>80</v>
      </c>
      <c r="B265" s="2" t="n">
        <v>15.9</v>
      </c>
      <c r="C265" s="3" t="n">
        <v>392</v>
      </c>
      <c r="D265" s="3" t="n">
        <v>2</v>
      </c>
      <c r="E265" s="2" t="n">
        <v>46</v>
      </c>
      <c r="F265" s="4" t="n">
        <v>2.92087587098479</v>
      </c>
      <c r="G265" s="2" t="n">
        <v>30</v>
      </c>
      <c r="H265" s="2" t="n">
        <v>38</v>
      </c>
      <c r="I265" s="1" t="n">
        <v>150</v>
      </c>
      <c r="J265" s="2" t="n">
        <v>250</v>
      </c>
      <c r="K265" s="3" t="n">
        <v>397.2</v>
      </c>
      <c r="L265" s="12" t="n">
        <v>0.022536170212766</v>
      </c>
      <c r="M265" s="4" t="n">
        <v>19.6</v>
      </c>
      <c r="N265" s="4" t="n">
        <v>0.15</v>
      </c>
    </row>
    <row r="266" customFormat="false" ht="14.25" hidden="false" customHeight="false" outlineLevel="0" collapsed="false">
      <c r="B266" s="2" t="n">
        <v>15.9</v>
      </c>
      <c r="C266" s="3" t="n">
        <v>392</v>
      </c>
      <c r="D266" s="3" t="n">
        <v>2</v>
      </c>
      <c r="E266" s="2" t="n">
        <v>46</v>
      </c>
      <c r="F266" s="4" t="n">
        <v>2.92087587098479</v>
      </c>
      <c r="G266" s="2" t="n">
        <v>30</v>
      </c>
      <c r="H266" s="2" t="n">
        <v>38</v>
      </c>
      <c r="I266" s="1" t="n">
        <v>150</v>
      </c>
      <c r="J266" s="2" t="n">
        <v>250</v>
      </c>
      <c r="K266" s="3" t="n">
        <v>397.2</v>
      </c>
      <c r="L266" s="12" t="n">
        <v>0.022536170212766</v>
      </c>
      <c r="M266" s="4" t="n">
        <v>27.5</v>
      </c>
      <c r="N266" s="4" t="n">
        <v>0.25</v>
      </c>
    </row>
    <row r="267" customFormat="false" ht="14.25" hidden="false" customHeight="false" outlineLevel="0" collapsed="false">
      <c r="A267" s="1" t="s">
        <v>81</v>
      </c>
      <c r="B267" s="2" t="n">
        <v>19.1</v>
      </c>
      <c r="C267" s="3" t="n">
        <v>392</v>
      </c>
      <c r="D267" s="3" t="n">
        <v>2</v>
      </c>
      <c r="E267" s="2" t="n">
        <v>40</v>
      </c>
      <c r="F267" s="4" t="n">
        <v>2.92087587098479</v>
      </c>
      <c r="G267" s="2" t="n">
        <v>30</v>
      </c>
      <c r="H267" s="2" t="n">
        <v>39.5</v>
      </c>
      <c r="I267" s="1" t="n">
        <v>150</v>
      </c>
      <c r="J267" s="2" t="n">
        <v>250</v>
      </c>
      <c r="K267" s="3" t="n">
        <v>573</v>
      </c>
      <c r="L267" s="12" t="n">
        <v>0.0282962962962963</v>
      </c>
      <c r="M267" s="4" t="n">
        <v>19.7</v>
      </c>
      <c r="N267" s="4" t="n">
        <v>0.15</v>
      </c>
    </row>
    <row r="268" customFormat="false" ht="14.25" hidden="false" customHeight="false" outlineLevel="0" collapsed="false">
      <c r="B268" s="2" t="n">
        <v>19.1</v>
      </c>
      <c r="C268" s="3" t="n">
        <v>392</v>
      </c>
      <c r="D268" s="3" t="n">
        <v>2</v>
      </c>
      <c r="E268" s="2" t="n">
        <v>40</v>
      </c>
      <c r="F268" s="4" t="n">
        <v>2.92087587098479</v>
      </c>
      <c r="G268" s="2" t="n">
        <v>30</v>
      </c>
      <c r="H268" s="2" t="n">
        <v>39.5</v>
      </c>
      <c r="I268" s="1" t="n">
        <v>150</v>
      </c>
      <c r="J268" s="2" t="n">
        <v>250</v>
      </c>
      <c r="K268" s="3" t="n">
        <v>573</v>
      </c>
      <c r="L268" s="12" t="n">
        <v>0.0282962962962963</v>
      </c>
      <c r="M268" s="4" t="n">
        <v>27.5</v>
      </c>
      <c r="N268" s="4" t="n">
        <v>0.2</v>
      </c>
    </row>
    <row r="269" customFormat="false" ht="14.25" hidden="false" customHeight="false" outlineLevel="0" collapsed="false">
      <c r="B269" s="2" t="n">
        <v>19.1</v>
      </c>
      <c r="C269" s="3" t="n">
        <v>392</v>
      </c>
      <c r="D269" s="3" t="n">
        <v>2</v>
      </c>
      <c r="E269" s="2" t="n">
        <v>40</v>
      </c>
      <c r="F269" s="4" t="n">
        <v>2.92087587098479</v>
      </c>
      <c r="G269" s="2" t="n">
        <v>30</v>
      </c>
      <c r="H269" s="2" t="n">
        <v>39.5</v>
      </c>
      <c r="I269" s="1" t="n">
        <v>150</v>
      </c>
      <c r="J269" s="2" t="n">
        <v>250</v>
      </c>
      <c r="K269" s="3" t="n">
        <v>573</v>
      </c>
      <c r="L269" s="12" t="n">
        <v>0.0282962962962963</v>
      </c>
      <c r="M269" s="4" t="n">
        <v>35.4</v>
      </c>
      <c r="N269" s="4" t="n">
        <v>0.3</v>
      </c>
    </row>
    <row r="270" customFormat="false" ht="14.25" hidden="false" customHeight="false" outlineLevel="0" collapsed="false">
      <c r="B270" s="2" t="n">
        <v>19.1</v>
      </c>
      <c r="C270" s="3" t="n">
        <v>392</v>
      </c>
      <c r="D270" s="3" t="n">
        <v>2</v>
      </c>
      <c r="E270" s="2" t="n">
        <v>40</v>
      </c>
      <c r="F270" s="4" t="n">
        <v>2.92087587098479</v>
      </c>
      <c r="G270" s="2" t="n">
        <v>30</v>
      </c>
      <c r="H270" s="2" t="n">
        <v>39.5</v>
      </c>
      <c r="I270" s="1" t="n">
        <v>150</v>
      </c>
      <c r="J270" s="2" t="n">
        <v>250</v>
      </c>
      <c r="K270" s="3" t="n">
        <v>573</v>
      </c>
      <c r="L270" s="12" t="n">
        <v>0.0282962962962963</v>
      </c>
      <c r="M270" s="4" t="n">
        <v>43.3</v>
      </c>
      <c r="N270" s="4" t="n">
        <v>0.33</v>
      </c>
    </row>
    <row r="271" customFormat="false" ht="14.25" hidden="false" customHeight="false" outlineLevel="0" collapsed="false">
      <c r="A271" s="1" t="s">
        <v>82</v>
      </c>
      <c r="B271" s="2" t="n">
        <v>19.1</v>
      </c>
      <c r="C271" s="3" t="n">
        <v>392</v>
      </c>
      <c r="D271" s="3" t="n">
        <v>2</v>
      </c>
      <c r="E271" s="2" t="n">
        <v>40</v>
      </c>
      <c r="F271" s="4" t="n">
        <v>2.92087587098479</v>
      </c>
      <c r="G271" s="2" t="n">
        <v>30</v>
      </c>
      <c r="H271" s="2" t="n">
        <v>39.5</v>
      </c>
      <c r="I271" s="1" t="n">
        <v>150</v>
      </c>
      <c r="J271" s="2" t="n">
        <v>250</v>
      </c>
      <c r="K271" s="3" t="n">
        <v>573</v>
      </c>
      <c r="L271" s="12" t="n">
        <v>0.0282962962962963</v>
      </c>
      <c r="M271" s="4" t="n">
        <v>19.6</v>
      </c>
      <c r="N271" s="4" t="n">
        <v>0.15</v>
      </c>
    </row>
    <row r="272" customFormat="false" ht="14.25" hidden="false" customHeight="false" outlineLevel="0" collapsed="false">
      <c r="B272" s="2" t="n">
        <v>19.1</v>
      </c>
      <c r="C272" s="3" t="n">
        <v>392</v>
      </c>
      <c r="D272" s="3" t="n">
        <v>2</v>
      </c>
      <c r="E272" s="2" t="n">
        <v>40</v>
      </c>
      <c r="F272" s="4" t="n">
        <v>2.92087587098479</v>
      </c>
      <c r="G272" s="2" t="n">
        <v>30</v>
      </c>
      <c r="H272" s="2" t="n">
        <v>39.5</v>
      </c>
      <c r="I272" s="1" t="n">
        <v>150</v>
      </c>
      <c r="J272" s="2" t="n">
        <v>250</v>
      </c>
      <c r="K272" s="3" t="n">
        <v>573</v>
      </c>
      <c r="L272" s="12" t="n">
        <v>0.0282962962962963</v>
      </c>
      <c r="M272" s="4" t="n">
        <v>27.3</v>
      </c>
      <c r="N272" s="4" t="n">
        <v>0.25</v>
      </c>
    </row>
    <row r="273" customFormat="false" ht="14.25" hidden="false" customHeight="false" outlineLevel="0" collapsed="false">
      <c r="B273" s="2" t="n">
        <v>19.1</v>
      </c>
      <c r="C273" s="3" t="n">
        <v>392</v>
      </c>
      <c r="D273" s="3" t="n">
        <v>2</v>
      </c>
      <c r="E273" s="2" t="n">
        <v>40</v>
      </c>
      <c r="F273" s="4" t="n">
        <v>2.92087587098479</v>
      </c>
      <c r="G273" s="2" t="n">
        <v>30</v>
      </c>
      <c r="H273" s="2" t="n">
        <v>39.5</v>
      </c>
      <c r="I273" s="1" t="n">
        <v>150</v>
      </c>
      <c r="J273" s="2" t="n">
        <v>250</v>
      </c>
      <c r="K273" s="3" t="n">
        <v>573</v>
      </c>
      <c r="L273" s="12" t="n">
        <v>0.0282962962962963</v>
      </c>
      <c r="M273" s="4" t="n">
        <v>35.1</v>
      </c>
      <c r="N273" s="4" t="n">
        <v>0.28</v>
      </c>
    </row>
    <row r="274" customFormat="false" ht="14.25" hidden="false" customHeight="false" outlineLevel="0" collapsed="false">
      <c r="A274" s="1" t="s">
        <v>83</v>
      </c>
      <c r="B274" s="2" t="n">
        <v>15.9</v>
      </c>
      <c r="C274" s="3" t="n">
        <v>392</v>
      </c>
      <c r="D274" s="3" t="n">
        <v>2</v>
      </c>
      <c r="E274" s="2" t="n">
        <v>46</v>
      </c>
      <c r="F274" s="4" t="n">
        <v>3.35387948274239</v>
      </c>
      <c r="G274" s="2" t="n">
        <v>30</v>
      </c>
      <c r="H274" s="2" t="n">
        <v>38</v>
      </c>
      <c r="I274" s="1" t="n">
        <v>150</v>
      </c>
      <c r="J274" s="2" t="n">
        <v>250</v>
      </c>
      <c r="K274" s="3" t="n">
        <v>397.2</v>
      </c>
      <c r="L274" s="12" t="n">
        <v>0.022536170212766</v>
      </c>
      <c r="M274" s="4" t="n">
        <v>27.5</v>
      </c>
      <c r="N274" s="4" t="n">
        <v>0.2</v>
      </c>
    </row>
    <row r="275" customFormat="false" ht="14.25" hidden="false" customHeight="false" outlineLevel="0" collapsed="false">
      <c r="B275" s="2" t="n">
        <v>15.9</v>
      </c>
      <c r="C275" s="3" t="n">
        <v>392</v>
      </c>
      <c r="D275" s="3" t="n">
        <v>2</v>
      </c>
      <c r="E275" s="2" t="n">
        <v>46</v>
      </c>
      <c r="F275" s="4" t="n">
        <v>3.35387948274239</v>
      </c>
      <c r="G275" s="2" t="n">
        <v>30</v>
      </c>
      <c r="H275" s="2" t="n">
        <v>38</v>
      </c>
      <c r="I275" s="1" t="n">
        <v>150</v>
      </c>
      <c r="J275" s="2" t="n">
        <v>250</v>
      </c>
      <c r="K275" s="3" t="n">
        <v>397.2</v>
      </c>
      <c r="L275" s="12" t="n">
        <v>0.022536170212766</v>
      </c>
      <c r="M275" s="4" t="n">
        <v>31.4</v>
      </c>
      <c r="N275" s="4" t="n">
        <v>0.22</v>
      </c>
    </row>
    <row r="276" customFormat="false" ht="14.25" hidden="false" customHeight="false" outlineLevel="0" collapsed="false">
      <c r="A276" s="1" t="s">
        <v>84</v>
      </c>
      <c r="B276" s="2" t="n">
        <v>15.9</v>
      </c>
      <c r="C276" s="3" t="n">
        <v>392</v>
      </c>
      <c r="D276" s="3" t="n">
        <v>2</v>
      </c>
      <c r="E276" s="2" t="n">
        <v>46</v>
      </c>
      <c r="F276" s="4" t="n">
        <v>3.35387948274239</v>
      </c>
      <c r="G276" s="2" t="n">
        <v>30</v>
      </c>
      <c r="H276" s="2" t="n">
        <v>38</v>
      </c>
      <c r="I276" s="1" t="n">
        <v>150</v>
      </c>
      <c r="J276" s="2" t="n">
        <v>250</v>
      </c>
      <c r="K276" s="3" t="n">
        <v>397.2</v>
      </c>
      <c r="L276" s="12" t="n">
        <v>0.022536170212766</v>
      </c>
      <c r="M276" s="4" t="n">
        <v>27.5</v>
      </c>
      <c r="N276" s="4" t="n">
        <v>0.17</v>
      </c>
    </row>
    <row r="277" customFormat="false" ht="14.25" hidden="false" customHeight="false" outlineLevel="0" collapsed="false">
      <c r="B277" s="2" t="n">
        <v>15.9</v>
      </c>
      <c r="C277" s="3" t="n">
        <v>392</v>
      </c>
      <c r="D277" s="3" t="n">
        <v>2</v>
      </c>
      <c r="E277" s="2" t="n">
        <v>46</v>
      </c>
      <c r="F277" s="4" t="n">
        <v>3.35387948274239</v>
      </c>
      <c r="G277" s="2" t="n">
        <v>30</v>
      </c>
      <c r="H277" s="2" t="n">
        <v>38</v>
      </c>
      <c r="I277" s="1" t="n">
        <v>150</v>
      </c>
      <c r="J277" s="2" t="n">
        <v>250</v>
      </c>
      <c r="K277" s="3" t="n">
        <v>397.2</v>
      </c>
      <c r="L277" s="12" t="n">
        <v>0.022536170212766</v>
      </c>
      <c r="M277" s="4" t="n">
        <v>31.4</v>
      </c>
      <c r="N277" s="4" t="n">
        <v>0.21</v>
      </c>
    </row>
    <row r="278" customFormat="false" ht="14.25" hidden="false" customHeight="false" outlineLevel="0" collapsed="false">
      <c r="A278" s="1" t="s">
        <v>85</v>
      </c>
      <c r="B278" s="2" t="n">
        <v>19.1</v>
      </c>
      <c r="C278" s="3" t="n">
        <v>392</v>
      </c>
      <c r="D278" s="3" t="n">
        <v>2</v>
      </c>
      <c r="E278" s="2" t="n">
        <v>40</v>
      </c>
      <c r="F278" s="4" t="n">
        <v>3.35387948274239</v>
      </c>
      <c r="G278" s="2" t="n">
        <v>30</v>
      </c>
      <c r="H278" s="2" t="n">
        <v>39.5</v>
      </c>
      <c r="I278" s="1" t="n">
        <v>150</v>
      </c>
      <c r="J278" s="2" t="n">
        <v>250</v>
      </c>
      <c r="K278" s="3" t="n">
        <v>573</v>
      </c>
      <c r="L278" s="12" t="n">
        <v>0.0282962962962963</v>
      </c>
      <c r="M278" s="4" t="n">
        <v>23.4</v>
      </c>
      <c r="N278" s="4" t="n">
        <v>0.17</v>
      </c>
    </row>
    <row r="279" customFormat="false" ht="14.25" hidden="false" customHeight="false" outlineLevel="0" collapsed="false">
      <c r="B279" s="2" t="n">
        <v>19.1</v>
      </c>
      <c r="C279" s="3" t="n">
        <v>392</v>
      </c>
      <c r="D279" s="3" t="n">
        <v>2</v>
      </c>
      <c r="E279" s="2" t="n">
        <v>40</v>
      </c>
      <c r="F279" s="4" t="n">
        <v>3.35387948274239</v>
      </c>
      <c r="G279" s="2" t="n">
        <v>30</v>
      </c>
      <c r="H279" s="2" t="n">
        <v>39.5</v>
      </c>
      <c r="I279" s="1" t="n">
        <v>150</v>
      </c>
      <c r="J279" s="2" t="n">
        <v>250</v>
      </c>
      <c r="K279" s="3" t="n">
        <v>573</v>
      </c>
      <c r="L279" s="12" t="n">
        <v>0.0282962962962963</v>
      </c>
      <c r="M279" s="4" t="n">
        <v>27.4</v>
      </c>
      <c r="N279" s="4" t="n">
        <v>0.18</v>
      </c>
    </row>
    <row r="280" customFormat="false" ht="14.25" hidden="false" customHeight="false" outlineLevel="0" collapsed="false">
      <c r="B280" s="2" t="n">
        <v>19.1</v>
      </c>
      <c r="C280" s="3" t="n">
        <v>392</v>
      </c>
      <c r="D280" s="3" t="n">
        <v>2</v>
      </c>
      <c r="E280" s="2" t="n">
        <v>40</v>
      </c>
      <c r="F280" s="4" t="n">
        <v>3.35387948274239</v>
      </c>
      <c r="G280" s="2" t="n">
        <v>30</v>
      </c>
      <c r="H280" s="2" t="n">
        <v>39.5</v>
      </c>
      <c r="I280" s="1" t="n">
        <v>150</v>
      </c>
      <c r="J280" s="2" t="n">
        <v>250</v>
      </c>
      <c r="K280" s="3" t="n">
        <v>573</v>
      </c>
      <c r="L280" s="12" t="n">
        <v>0.0282962962962963</v>
      </c>
      <c r="M280" s="4" t="n">
        <v>31.3</v>
      </c>
      <c r="N280" s="4" t="n">
        <v>0.2</v>
      </c>
    </row>
    <row r="281" customFormat="false" ht="14.25" hidden="false" customHeight="false" outlineLevel="0" collapsed="false">
      <c r="B281" s="2" t="n">
        <v>19.1</v>
      </c>
      <c r="C281" s="3" t="n">
        <v>392</v>
      </c>
      <c r="D281" s="3" t="n">
        <v>2</v>
      </c>
      <c r="E281" s="2" t="n">
        <v>40</v>
      </c>
      <c r="F281" s="4" t="n">
        <v>3.35387948274239</v>
      </c>
      <c r="G281" s="2" t="n">
        <v>30</v>
      </c>
      <c r="H281" s="2" t="n">
        <v>39.5</v>
      </c>
      <c r="I281" s="1" t="n">
        <v>150</v>
      </c>
      <c r="J281" s="2" t="n">
        <v>250</v>
      </c>
      <c r="K281" s="3" t="n">
        <v>573</v>
      </c>
      <c r="L281" s="12" t="n">
        <v>0.0282962962962963</v>
      </c>
      <c r="M281" s="4" t="n">
        <v>35.3</v>
      </c>
      <c r="N281" s="4" t="n">
        <v>0.2</v>
      </c>
    </row>
    <row r="282" customFormat="false" ht="14.25" hidden="false" customHeight="false" outlineLevel="0" collapsed="false">
      <c r="B282" s="2" t="n">
        <v>19.1</v>
      </c>
      <c r="C282" s="3" t="n">
        <v>392</v>
      </c>
      <c r="D282" s="3" t="n">
        <v>2</v>
      </c>
      <c r="E282" s="2" t="n">
        <v>40</v>
      </c>
      <c r="F282" s="4" t="n">
        <v>3.35387948274239</v>
      </c>
      <c r="G282" s="2" t="n">
        <v>30</v>
      </c>
      <c r="H282" s="2" t="n">
        <v>39.5</v>
      </c>
      <c r="I282" s="1" t="n">
        <v>150</v>
      </c>
      <c r="J282" s="2" t="n">
        <v>250</v>
      </c>
      <c r="K282" s="3" t="n">
        <v>573</v>
      </c>
      <c r="L282" s="12" t="n">
        <v>0.0282962962962963</v>
      </c>
      <c r="M282" s="4" t="n">
        <v>39.1</v>
      </c>
      <c r="N282" s="4" t="n">
        <v>0.25</v>
      </c>
    </row>
    <row r="283" customFormat="false" ht="14.25" hidden="false" customHeight="false" outlineLevel="0" collapsed="false">
      <c r="B283" s="2" t="n">
        <v>19.1</v>
      </c>
      <c r="C283" s="3" t="n">
        <v>392</v>
      </c>
      <c r="D283" s="3" t="n">
        <v>2</v>
      </c>
      <c r="E283" s="2" t="n">
        <v>40</v>
      </c>
      <c r="F283" s="4" t="n">
        <v>3.35387948274239</v>
      </c>
      <c r="G283" s="2" t="n">
        <v>30</v>
      </c>
      <c r="H283" s="2" t="n">
        <v>39.5</v>
      </c>
      <c r="I283" s="1" t="n">
        <v>150</v>
      </c>
      <c r="J283" s="2" t="n">
        <v>250</v>
      </c>
      <c r="K283" s="3" t="n">
        <v>573</v>
      </c>
      <c r="L283" s="12" t="n">
        <v>0.0282962962962963</v>
      </c>
      <c r="M283" s="4" t="n">
        <v>43.1</v>
      </c>
      <c r="N283" s="4" t="n">
        <v>0.27</v>
      </c>
    </row>
    <row r="284" customFormat="false" ht="14.25" hidden="false" customHeight="false" outlineLevel="0" collapsed="false">
      <c r="A284" s="1" t="s">
        <v>86</v>
      </c>
      <c r="B284" s="2" t="n">
        <v>19.1</v>
      </c>
      <c r="C284" s="3" t="n">
        <v>392</v>
      </c>
      <c r="D284" s="3" t="n">
        <v>2</v>
      </c>
      <c r="E284" s="2" t="n">
        <v>40</v>
      </c>
      <c r="F284" s="4" t="n">
        <v>3.35387948274239</v>
      </c>
      <c r="G284" s="2" t="n">
        <v>30</v>
      </c>
      <c r="H284" s="2" t="n">
        <v>39.5</v>
      </c>
      <c r="I284" s="1" t="n">
        <v>150</v>
      </c>
      <c r="J284" s="2" t="n">
        <v>250</v>
      </c>
      <c r="K284" s="3" t="n">
        <v>573</v>
      </c>
      <c r="L284" s="12" t="n">
        <v>0.0282962962962963</v>
      </c>
      <c r="M284" s="4" t="n">
        <v>31.3</v>
      </c>
      <c r="N284" s="4" t="n">
        <v>0.18</v>
      </c>
    </row>
    <row r="285" customFormat="false" ht="14.25" hidden="false" customHeight="false" outlineLevel="0" collapsed="false">
      <c r="B285" s="2" t="n">
        <v>19.1</v>
      </c>
      <c r="C285" s="3" t="n">
        <v>392</v>
      </c>
      <c r="D285" s="3" t="n">
        <v>2</v>
      </c>
      <c r="E285" s="2" t="n">
        <v>40</v>
      </c>
      <c r="F285" s="4" t="n">
        <v>3.35387948274239</v>
      </c>
      <c r="G285" s="2" t="n">
        <v>30</v>
      </c>
      <c r="H285" s="2" t="n">
        <v>39.5</v>
      </c>
      <c r="I285" s="1" t="n">
        <v>150</v>
      </c>
      <c r="J285" s="2" t="n">
        <v>250</v>
      </c>
      <c r="K285" s="3" t="n">
        <v>573</v>
      </c>
      <c r="L285" s="12" t="n">
        <v>0.0282962962962963</v>
      </c>
      <c r="M285" s="4" t="n">
        <v>35.1</v>
      </c>
      <c r="N285" s="4" t="n">
        <v>0.19</v>
      </c>
    </row>
    <row r="286" customFormat="false" ht="14.25" hidden="false" customHeight="false" outlineLevel="0" collapsed="false">
      <c r="B286" s="2" t="n">
        <v>19.1</v>
      </c>
      <c r="C286" s="3" t="n">
        <v>392</v>
      </c>
      <c r="D286" s="3" t="n">
        <v>2</v>
      </c>
      <c r="E286" s="2" t="n">
        <v>40</v>
      </c>
      <c r="F286" s="4" t="n">
        <v>3.35387948274239</v>
      </c>
      <c r="G286" s="2" t="n">
        <v>30</v>
      </c>
      <c r="H286" s="2" t="n">
        <v>39.5</v>
      </c>
      <c r="I286" s="1" t="n">
        <v>150</v>
      </c>
      <c r="J286" s="2" t="n">
        <v>250</v>
      </c>
      <c r="K286" s="3" t="n">
        <v>573</v>
      </c>
      <c r="L286" s="12" t="n">
        <v>0.0282962962962963</v>
      </c>
      <c r="M286" s="4" t="n">
        <v>39.1</v>
      </c>
      <c r="N286" s="4" t="n">
        <v>0.21</v>
      </c>
    </row>
    <row r="287" customFormat="false" ht="14.25" hidden="false" customHeight="false" outlineLevel="0" collapsed="false">
      <c r="B287" s="2" t="n">
        <v>19.1</v>
      </c>
      <c r="C287" s="3" t="n">
        <v>392</v>
      </c>
      <c r="D287" s="3" t="n">
        <v>2</v>
      </c>
      <c r="E287" s="2" t="n">
        <v>40</v>
      </c>
      <c r="F287" s="4" t="n">
        <v>3.35387948274239</v>
      </c>
      <c r="G287" s="2" t="n">
        <v>30</v>
      </c>
      <c r="H287" s="2" t="n">
        <v>39.5</v>
      </c>
      <c r="I287" s="1" t="n">
        <v>150</v>
      </c>
      <c r="J287" s="2" t="n">
        <v>250</v>
      </c>
      <c r="K287" s="3" t="n">
        <v>573</v>
      </c>
      <c r="L287" s="12" t="n">
        <v>0.0282962962962963</v>
      </c>
      <c r="M287" s="4" t="n">
        <v>43.1</v>
      </c>
      <c r="N287" s="4" t="n">
        <v>0.26</v>
      </c>
    </row>
    <row r="288" customFormat="false" ht="14.25" hidden="false" customHeight="false" outlineLevel="0" collapsed="false">
      <c r="A288" s="1" t="s">
        <v>87</v>
      </c>
      <c r="B288" s="2" t="n">
        <v>19.1</v>
      </c>
      <c r="C288" s="3" t="n">
        <v>276</v>
      </c>
      <c r="D288" s="3" t="n">
        <v>2</v>
      </c>
      <c r="E288" s="2" t="n">
        <v>69.8</v>
      </c>
      <c r="F288" s="4" t="n">
        <v>2.90032882517908</v>
      </c>
      <c r="G288" s="2" t="n">
        <v>31.8</v>
      </c>
      <c r="H288" s="2" t="n">
        <v>41.4</v>
      </c>
      <c r="I288" s="1" t="n">
        <v>152.4</v>
      </c>
      <c r="J288" s="2" t="n">
        <v>381</v>
      </c>
      <c r="K288" s="3" t="n">
        <v>568</v>
      </c>
      <c r="L288" s="12" t="n">
        <v>0.0272245005166903</v>
      </c>
      <c r="M288" s="4" t="n">
        <v>35.0889</v>
      </c>
      <c r="N288" s="4" t="n">
        <v>0.17</v>
      </c>
    </row>
    <row r="289" customFormat="false" ht="14.25" hidden="false" customHeight="false" outlineLevel="0" collapsed="false">
      <c r="B289" s="2" t="n">
        <v>19.1</v>
      </c>
      <c r="C289" s="3" t="n">
        <v>276</v>
      </c>
      <c r="D289" s="3" t="n">
        <v>2</v>
      </c>
      <c r="E289" s="2" t="n">
        <v>69.8</v>
      </c>
      <c r="F289" s="4" t="n">
        <v>2.90032882517908</v>
      </c>
      <c r="G289" s="2" t="n">
        <v>31.8</v>
      </c>
      <c r="H289" s="2" t="n">
        <v>41.4</v>
      </c>
      <c r="I289" s="1" t="n">
        <v>152.4</v>
      </c>
      <c r="J289" s="2" t="n">
        <v>381</v>
      </c>
      <c r="K289" s="3" t="n">
        <v>568</v>
      </c>
      <c r="L289" s="12" t="n">
        <v>0.0272245005166903</v>
      </c>
      <c r="M289" s="4" t="n">
        <v>42.2576</v>
      </c>
      <c r="N289" s="4" t="n">
        <v>0.23</v>
      </c>
    </row>
    <row r="290" customFormat="false" ht="14.25" hidden="false" customHeight="false" outlineLevel="0" collapsed="false">
      <c r="B290" s="2" t="n">
        <v>19.1</v>
      </c>
      <c r="C290" s="3" t="n">
        <v>276</v>
      </c>
      <c r="D290" s="3" t="n">
        <v>2</v>
      </c>
      <c r="E290" s="2" t="n">
        <v>69.8</v>
      </c>
      <c r="F290" s="4" t="n">
        <v>2.90032882517908</v>
      </c>
      <c r="G290" s="2" t="n">
        <v>31.8</v>
      </c>
      <c r="H290" s="2" t="n">
        <v>41.4</v>
      </c>
      <c r="I290" s="1" t="n">
        <v>152.4</v>
      </c>
      <c r="J290" s="2" t="n">
        <v>381</v>
      </c>
      <c r="K290" s="3" t="n">
        <v>568</v>
      </c>
      <c r="L290" s="12" t="n">
        <v>0.0272245005166903</v>
      </c>
      <c r="M290" s="4" t="n">
        <v>48.8089</v>
      </c>
      <c r="N290" s="4" t="n">
        <v>0.27</v>
      </c>
    </row>
    <row r="291" customFormat="false" ht="14.25" hidden="false" customHeight="false" outlineLevel="0" collapsed="false">
      <c r="A291" s="1" t="s">
        <v>88</v>
      </c>
      <c r="B291" s="2" t="n">
        <v>19.1</v>
      </c>
      <c r="C291" s="3" t="n">
        <v>276</v>
      </c>
      <c r="D291" s="3" t="n">
        <v>2</v>
      </c>
      <c r="E291" s="2" t="n">
        <v>69.8</v>
      </c>
      <c r="F291" s="4" t="n">
        <v>2.84669189571421</v>
      </c>
      <c r="G291" s="2" t="n">
        <v>31.8</v>
      </c>
      <c r="H291" s="2" t="n">
        <v>41.4</v>
      </c>
      <c r="I291" s="1" t="n">
        <v>152.4</v>
      </c>
      <c r="J291" s="2" t="n">
        <v>381</v>
      </c>
      <c r="K291" s="3" t="n">
        <v>568</v>
      </c>
      <c r="L291" s="12" t="n">
        <v>0.0272245005166903</v>
      </c>
      <c r="M291" s="4" t="n">
        <v>48.8089</v>
      </c>
      <c r="N291" s="4" t="n">
        <v>0.16</v>
      </c>
    </row>
    <row r="292" customFormat="false" ht="14.25" hidden="false" customHeight="false" outlineLevel="0" collapsed="false">
      <c r="A292" s="1" t="s">
        <v>89</v>
      </c>
      <c r="B292" s="2" t="n">
        <v>19.1</v>
      </c>
      <c r="C292" s="3" t="n">
        <v>276</v>
      </c>
      <c r="D292" s="3" t="n">
        <v>2</v>
      </c>
      <c r="E292" s="2" t="n">
        <v>69.8</v>
      </c>
      <c r="F292" s="4" t="n">
        <v>2.71132147348833</v>
      </c>
      <c r="G292" s="2" t="n">
        <v>38.2</v>
      </c>
      <c r="H292" s="2" t="n">
        <v>47.7</v>
      </c>
      <c r="I292" s="1" t="n">
        <v>152.4</v>
      </c>
      <c r="J292" s="2" t="n">
        <v>381</v>
      </c>
      <c r="K292" s="3" t="n">
        <v>568</v>
      </c>
      <c r="L292" s="12" t="n">
        <v>0.0260267745861376</v>
      </c>
      <c r="M292" s="4" t="n">
        <v>42.2576</v>
      </c>
      <c r="N292" s="4" t="n">
        <v>0.16</v>
      </c>
    </row>
    <row r="293" customFormat="false" ht="14.25" hidden="false" customHeight="false" outlineLevel="0" collapsed="false">
      <c r="B293" s="2" t="n">
        <v>19.1</v>
      </c>
      <c r="C293" s="3" t="n">
        <v>276</v>
      </c>
      <c r="D293" s="3" t="n">
        <v>2</v>
      </c>
      <c r="E293" s="2" t="n">
        <v>69.8</v>
      </c>
      <c r="F293" s="4" t="n">
        <v>2.71132147348833</v>
      </c>
      <c r="G293" s="2" t="n">
        <v>38.2</v>
      </c>
      <c r="H293" s="2" t="n">
        <v>47.7</v>
      </c>
      <c r="I293" s="1" t="n">
        <v>152.4</v>
      </c>
      <c r="J293" s="2" t="n">
        <v>381</v>
      </c>
      <c r="K293" s="3" t="n">
        <v>568</v>
      </c>
      <c r="L293" s="12" t="n">
        <v>0.0260267745861376</v>
      </c>
      <c r="M293" s="4" t="n">
        <v>48.8089</v>
      </c>
      <c r="N293" s="4" t="n">
        <v>0.2</v>
      </c>
    </row>
    <row r="294" customFormat="false" ht="14.25" hidden="false" customHeight="false" outlineLevel="0" collapsed="false">
      <c r="A294" s="1" t="s">
        <v>90</v>
      </c>
      <c r="B294" s="2" t="n">
        <v>22.2</v>
      </c>
      <c r="C294" s="3" t="n">
        <v>276</v>
      </c>
      <c r="D294" s="3" t="n">
        <v>2</v>
      </c>
      <c r="E294" s="2" t="n">
        <v>63.6</v>
      </c>
      <c r="F294" s="4" t="n">
        <v>2.68798662700617</v>
      </c>
      <c r="G294" s="2" t="n">
        <v>12.8</v>
      </c>
      <c r="H294" s="2" t="n">
        <v>23.9</v>
      </c>
      <c r="I294" s="1" t="n">
        <v>152.4</v>
      </c>
      <c r="J294" s="2" t="n">
        <v>381</v>
      </c>
      <c r="K294" s="3" t="n">
        <v>774</v>
      </c>
      <c r="L294" s="12" t="n">
        <v>0.0607141680511693</v>
      </c>
      <c r="M294" s="4" t="n">
        <v>66.199</v>
      </c>
      <c r="N294" s="4" t="n">
        <v>0.17</v>
      </c>
    </row>
    <row r="295" customFormat="false" ht="14.25" hidden="false" customHeight="false" outlineLevel="0" collapsed="false">
      <c r="A295" s="1" t="s">
        <v>91</v>
      </c>
      <c r="B295" s="2" t="n">
        <v>22.2</v>
      </c>
      <c r="C295" s="3" t="n">
        <v>276</v>
      </c>
      <c r="D295" s="3" t="n">
        <v>2</v>
      </c>
      <c r="E295" s="2" t="n">
        <v>63.6</v>
      </c>
      <c r="F295" s="4" t="n">
        <v>2.38460157103714</v>
      </c>
      <c r="G295" s="2" t="n">
        <v>38</v>
      </c>
      <c r="H295" s="2" t="n">
        <v>49.1</v>
      </c>
      <c r="I295" s="1" t="n">
        <v>152.4</v>
      </c>
      <c r="J295" s="2" t="n">
        <v>381</v>
      </c>
      <c r="K295" s="3" t="n">
        <v>774</v>
      </c>
      <c r="L295" s="12" t="n">
        <v>0.0317222995470351</v>
      </c>
      <c r="M295" s="4" t="n">
        <v>43.9383</v>
      </c>
      <c r="N295" s="4" t="n">
        <v>0.15</v>
      </c>
    </row>
    <row r="296" customFormat="false" ht="14.25" hidden="false" customHeight="false" outlineLevel="0" collapsed="false">
      <c r="B296" s="2" t="n">
        <v>22.2</v>
      </c>
      <c r="C296" s="3" t="n">
        <v>276</v>
      </c>
      <c r="D296" s="3" t="n">
        <v>2</v>
      </c>
      <c r="E296" s="2" t="n">
        <v>63.6</v>
      </c>
      <c r="F296" s="4" t="n">
        <v>2.38460157103714</v>
      </c>
      <c r="G296" s="2" t="n">
        <v>38</v>
      </c>
      <c r="H296" s="2" t="n">
        <v>49.1</v>
      </c>
      <c r="I296" s="1" t="n">
        <v>152.4</v>
      </c>
      <c r="J296" s="2" t="n">
        <v>381</v>
      </c>
      <c r="K296" s="3" t="n">
        <v>774</v>
      </c>
      <c r="L296" s="12" t="n">
        <v>0.0317222995470351</v>
      </c>
      <c r="M296" s="4" t="n">
        <v>51.107</v>
      </c>
      <c r="N296" s="4" t="n">
        <v>0.19</v>
      </c>
    </row>
    <row r="297" customFormat="false" ht="14.25" hidden="false" customHeight="false" outlineLevel="0" collapsed="false">
      <c r="B297" s="2" t="n">
        <v>22.2</v>
      </c>
      <c r="C297" s="3" t="n">
        <v>276</v>
      </c>
      <c r="D297" s="3" t="n">
        <v>2</v>
      </c>
      <c r="E297" s="2" t="n">
        <v>63.6</v>
      </c>
      <c r="F297" s="4" t="n">
        <v>2.38460157103714</v>
      </c>
      <c r="G297" s="2" t="n">
        <v>38</v>
      </c>
      <c r="H297" s="2" t="n">
        <v>49.1</v>
      </c>
      <c r="I297" s="1" t="n">
        <v>152.4</v>
      </c>
      <c r="J297" s="2" t="n">
        <v>381</v>
      </c>
      <c r="K297" s="3" t="n">
        <v>774</v>
      </c>
      <c r="L297" s="12" t="n">
        <v>0.0317222995470351</v>
      </c>
      <c r="M297" s="4" t="n">
        <v>58.7559</v>
      </c>
      <c r="N297" s="4" t="n">
        <v>0.22</v>
      </c>
    </row>
    <row r="298" customFormat="false" ht="14.25" hidden="false" customHeight="false" outlineLevel="0" collapsed="false">
      <c r="B298" s="2" t="n">
        <v>22.2</v>
      </c>
      <c r="C298" s="3" t="n">
        <v>276</v>
      </c>
      <c r="D298" s="3" t="n">
        <v>2</v>
      </c>
      <c r="E298" s="2" t="n">
        <v>63.6</v>
      </c>
      <c r="F298" s="4" t="n">
        <v>2.38460157103714</v>
      </c>
      <c r="G298" s="2" t="n">
        <v>38</v>
      </c>
      <c r="H298" s="2" t="n">
        <v>49.1</v>
      </c>
      <c r="I298" s="1" t="n">
        <v>152.4</v>
      </c>
      <c r="J298" s="2" t="n">
        <v>381</v>
      </c>
      <c r="K298" s="3" t="n">
        <v>774</v>
      </c>
      <c r="L298" s="12" t="n">
        <v>0.0317222995470351</v>
      </c>
      <c r="M298" s="4" t="n">
        <v>66.199</v>
      </c>
      <c r="N298" s="4" t="n">
        <v>0.27</v>
      </c>
    </row>
    <row r="299" customFormat="false" ht="14.25" hidden="false" customHeight="false" outlineLevel="0" collapsed="false">
      <c r="A299" s="1" t="s">
        <v>92</v>
      </c>
      <c r="B299" s="2" t="n">
        <v>22.2</v>
      </c>
      <c r="C299" s="3" t="n">
        <v>276</v>
      </c>
      <c r="D299" s="3" t="n">
        <v>2</v>
      </c>
      <c r="E299" s="2" t="n">
        <v>63.6</v>
      </c>
      <c r="F299" s="4" t="n">
        <v>2.86484234762008</v>
      </c>
      <c r="G299" s="2" t="n">
        <v>38</v>
      </c>
      <c r="H299" s="2" t="n">
        <v>49.1</v>
      </c>
      <c r="I299" s="1" t="n">
        <v>152.4</v>
      </c>
      <c r="J299" s="2" t="n">
        <v>381</v>
      </c>
      <c r="K299" s="3" t="n">
        <v>774</v>
      </c>
      <c r="L299" s="12" t="n">
        <v>0.0317222995470351</v>
      </c>
      <c r="M299" s="4" t="n">
        <v>58.7559</v>
      </c>
      <c r="N299" s="4" t="n">
        <v>0.17</v>
      </c>
    </row>
    <row r="300" customFormat="false" ht="14.25" hidden="false" customHeight="false" outlineLevel="0" collapsed="false">
      <c r="B300" s="2" t="n">
        <v>22.2</v>
      </c>
      <c r="C300" s="3" t="n">
        <v>276</v>
      </c>
      <c r="D300" s="3" t="n">
        <v>2</v>
      </c>
      <c r="E300" s="2" t="n">
        <v>63.6</v>
      </c>
      <c r="F300" s="4" t="n">
        <v>2.86484234762008</v>
      </c>
      <c r="G300" s="2" t="n">
        <v>38</v>
      </c>
      <c r="H300" s="2" t="n">
        <v>49.1</v>
      </c>
      <c r="I300" s="1" t="n">
        <v>152.4</v>
      </c>
      <c r="J300" s="2" t="n">
        <v>381</v>
      </c>
      <c r="K300" s="3" t="n">
        <v>774</v>
      </c>
      <c r="L300" s="12" t="n">
        <v>0.0317222995470351</v>
      </c>
      <c r="M300" s="4" t="n">
        <v>66.199</v>
      </c>
      <c r="N300" s="4" t="n">
        <v>0.2</v>
      </c>
    </row>
    <row r="301" customFormat="false" ht="14.25" hidden="false" customHeight="false" outlineLevel="0" collapsed="false">
      <c r="A301" s="1" t="s">
        <v>93</v>
      </c>
      <c r="B301" s="2" t="n">
        <v>22.2</v>
      </c>
      <c r="C301" s="3" t="n">
        <v>276</v>
      </c>
      <c r="D301" s="3" t="n">
        <v>2</v>
      </c>
      <c r="E301" s="2" t="n">
        <v>63.6</v>
      </c>
      <c r="F301" s="4" t="n">
        <v>2.83369179024989</v>
      </c>
      <c r="G301" s="2" t="n">
        <v>38</v>
      </c>
      <c r="H301" s="2" t="n">
        <v>49.1</v>
      </c>
      <c r="I301" s="1" t="n">
        <v>152.4</v>
      </c>
      <c r="J301" s="2" t="n">
        <v>381</v>
      </c>
      <c r="K301" s="3" t="n">
        <v>774</v>
      </c>
      <c r="L301" s="12" t="n">
        <v>0.0317222995470351</v>
      </c>
      <c r="M301" s="4" t="n">
        <v>43.9383</v>
      </c>
      <c r="N301" s="4" t="n">
        <v>0.15</v>
      </c>
    </row>
    <row r="302" customFormat="false" ht="14.25" hidden="false" customHeight="false" outlineLevel="0" collapsed="false">
      <c r="B302" s="2" t="n">
        <v>22.2</v>
      </c>
      <c r="C302" s="3" t="n">
        <v>276</v>
      </c>
      <c r="D302" s="3" t="n">
        <v>2</v>
      </c>
      <c r="E302" s="2" t="n">
        <v>63.6</v>
      </c>
      <c r="F302" s="4" t="n">
        <v>2.83369179024989</v>
      </c>
      <c r="G302" s="2" t="n">
        <v>38</v>
      </c>
      <c r="H302" s="2" t="n">
        <v>49.1</v>
      </c>
      <c r="I302" s="1" t="n">
        <v>152.4</v>
      </c>
      <c r="J302" s="2" t="n">
        <v>381</v>
      </c>
      <c r="K302" s="3" t="n">
        <v>774</v>
      </c>
      <c r="L302" s="12" t="n">
        <v>0.0317222995470351</v>
      </c>
      <c r="M302" s="4" t="n">
        <v>51.107</v>
      </c>
      <c r="N302" s="4" t="n">
        <v>0.18</v>
      </c>
    </row>
    <row r="303" customFormat="false" ht="14.25" hidden="false" customHeight="false" outlineLevel="0" collapsed="false">
      <c r="B303" s="2" t="n">
        <v>22.2</v>
      </c>
      <c r="C303" s="3" t="n">
        <v>276</v>
      </c>
      <c r="D303" s="3" t="n">
        <v>2</v>
      </c>
      <c r="E303" s="2" t="n">
        <v>63.6</v>
      </c>
      <c r="F303" s="4" t="n">
        <v>2.83369179024989</v>
      </c>
      <c r="G303" s="2" t="n">
        <v>38</v>
      </c>
      <c r="H303" s="2" t="n">
        <v>49.1</v>
      </c>
      <c r="I303" s="1" t="n">
        <v>152.4</v>
      </c>
      <c r="J303" s="2" t="n">
        <v>381</v>
      </c>
      <c r="K303" s="3" t="n">
        <v>774</v>
      </c>
      <c r="L303" s="12" t="n">
        <v>0.0317222995470351</v>
      </c>
      <c r="M303" s="4" t="n">
        <v>58.7559</v>
      </c>
      <c r="N303" s="4" t="n">
        <v>0.22</v>
      </c>
    </row>
    <row r="304" customFormat="false" ht="14.25" hidden="false" customHeight="false" outlineLevel="0" collapsed="false">
      <c r="B304" s="2" t="n">
        <v>22.2</v>
      </c>
      <c r="C304" s="3" t="n">
        <v>276</v>
      </c>
      <c r="D304" s="3" t="n">
        <v>2</v>
      </c>
      <c r="E304" s="2" t="n">
        <v>63.6</v>
      </c>
      <c r="F304" s="4" t="n">
        <v>2.83369179024989</v>
      </c>
      <c r="G304" s="2" t="n">
        <v>38</v>
      </c>
      <c r="H304" s="2" t="n">
        <v>49.1</v>
      </c>
      <c r="I304" s="1" t="n">
        <v>152.4</v>
      </c>
      <c r="J304" s="2" t="n">
        <v>381</v>
      </c>
      <c r="K304" s="3" t="n">
        <v>774</v>
      </c>
      <c r="L304" s="12" t="n">
        <v>0.0317222995470351</v>
      </c>
      <c r="M304" s="4" t="n">
        <v>66.199</v>
      </c>
      <c r="N304" s="4" t="n">
        <v>0.25</v>
      </c>
    </row>
    <row r="305" customFormat="false" ht="14.25" hidden="false" customHeight="false" outlineLevel="0" collapsed="false">
      <c r="A305" s="1" t="s">
        <v>94</v>
      </c>
      <c r="B305" s="2" t="n">
        <v>22.2</v>
      </c>
      <c r="C305" s="3" t="n">
        <v>276</v>
      </c>
      <c r="D305" s="3" t="n">
        <v>2</v>
      </c>
      <c r="E305" s="2" t="n">
        <v>63.6</v>
      </c>
      <c r="F305" s="4" t="n">
        <v>2.75637342683892</v>
      </c>
      <c r="G305" s="2" t="n">
        <v>38</v>
      </c>
      <c r="H305" s="2" t="n">
        <v>49.1</v>
      </c>
      <c r="I305" s="1" t="n">
        <v>152.4</v>
      </c>
      <c r="J305" s="2" t="n">
        <v>381</v>
      </c>
      <c r="K305" s="3" t="n">
        <v>774</v>
      </c>
      <c r="L305" s="12" t="n">
        <v>0.0317222995470351</v>
      </c>
      <c r="M305" s="4" t="n">
        <v>43.9383</v>
      </c>
      <c r="N305" s="4" t="n">
        <v>0.2</v>
      </c>
    </row>
    <row r="306" customFormat="false" ht="14.25" hidden="false" customHeight="false" outlineLevel="0" collapsed="false">
      <c r="B306" s="2" t="n">
        <v>22.2</v>
      </c>
      <c r="C306" s="3" t="n">
        <v>276</v>
      </c>
      <c r="D306" s="3" t="n">
        <v>2</v>
      </c>
      <c r="E306" s="2" t="n">
        <v>63.6</v>
      </c>
      <c r="F306" s="4" t="n">
        <v>2.75637342683892</v>
      </c>
      <c r="G306" s="2" t="n">
        <v>38</v>
      </c>
      <c r="H306" s="2" t="n">
        <v>49.1</v>
      </c>
      <c r="I306" s="1" t="n">
        <v>152.4</v>
      </c>
      <c r="J306" s="2" t="n">
        <v>381</v>
      </c>
      <c r="K306" s="3" t="n">
        <v>774</v>
      </c>
      <c r="L306" s="12" t="n">
        <v>0.0317222995470351</v>
      </c>
      <c r="M306" s="4" t="n">
        <v>51.107</v>
      </c>
      <c r="N306" s="4" t="n">
        <v>0.25</v>
      </c>
    </row>
    <row r="307" customFormat="false" ht="14.25" hidden="false" customHeight="false" outlineLevel="0" collapsed="false">
      <c r="B307" s="2" t="n">
        <v>22.2</v>
      </c>
      <c r="C307" s="3" t="n">
        <v>276</v>
      </c>
      <c r="D307" s="3" t="n">
        <v>2</v>
      </c>
      <c r="E307" s="2" t="n">
        <v>63.6</v>
      </c>
      <c r="F307" s="4" t="n">
        <v>2.75637342683892</v>
      </c>
      <c r="G307" s="2" t="n">
        <v>38</v>
      </c>
      <c r="H307" s="2" t="n">
        <v>49.1</v>
      </c>
      <c r="I307" s="1" t="n">
        <v>152.4</v>
      </c>
      <c r="J307" s="2" t="n">
        <v>381</v>
      </c>
      <c r="K307" s="3" t="n">
        <v>774</v>
      </c>
      <c r="L307" s="12" t="n">
        <v>0.0317222995470351</v>
      </c>
      <c r="M307" s="4" t="n">
        <v>58.7559</v>
      </c>
      <c r="N307" s="4" t="n">
        <v>0.3</v>
      </c>
    </row>
    <row r="308" customFormat="false" ht="14.25" hidden="false" customHeight="false" outlineLevel="0" collapsed="false">
      <c r="B308" s="2" t="n">
        <v>22.2</v>
      </c>
      <c r="C308" s="3" t="n">
        <v>276</v>
      </c>
      <c r="D308" s="3" t="n">
        <v>2</v>
      </c>
      <c r="E308" s="2" t="n">
        <v>63.6</v>
      </c>
      <c r="F308" s="4" t="n">
        <v>2.75637342683892</v>
      </c>
      <c r="G308" s="2" t="n">
        <v>38</v>
      </c>
      <c r="H308" s="2" t="n">
        <v>49.1</v>
      </c>
      <c r="I308" s="1" t="n">
        <v>152.4</v>
      </c>
      <c r="J308" s="2" t="n">
        <v>381</v>
      </c>
      <c r="K308" s="3" t="n">
        <v>774</v>
      </c>
      <c r="L308" s="12" t="n">
        <v>0.0317222995470351</v>
      </c>
      <c r="M308" s="4" t="n">
        <v>66.199</v>
      </c>
      <c r="N308" s="4" t="n">
        <v>0.35</v>
      </c>
    </row>
    <row r="309" customFormat="false" ht="14.25" hidden="false" customHeight="false" outlineLevel="0" collapsed="false">
      <c r="A309" s="1" t="s">
        <v>95</v>
      </c>
      <c r="B309" s="2" t="n">
        <v>28.7</v>
      </c>
      <c r="C309" s="3" t="n">
        <v>276</v>
      </c>
      <c r="D309" s="3" t="n">
        <v>2</v>
      </c>
      <c r="E309" s="2" t="n">
        <v>50.6</v>
      </c>
      <c r="F309" s="4" t="n">
        <v>2.77481740215607</v>
      </c>
      <c r="G309" s="2" t="n">
        <v>22.2</v>
      </c>
      <c r="H309" s="2" t="n">
        <v>36.6</v>
      </c>
      <c r="I309" s="1" t="n">
        <v>152.4</v>
      </c>
      <c r="J309" s="2" t="n">
        <v>381</v>
      </c>
      <c r="K309" s="3" t="n">
        <v>1290</v>
      </c>
      <c r="L309" s="12" t="n">
        <v>0.0660778058480395</v>
      </c>
      <c r="M309" s="4" t="n">
        <v>89.1114</v>
      </c>
      <c r="N309" s="4" t="n">
        <v>0.17</v>
      </c>
    </row>
    <row r="310" customFormat="false" ht="14.25" hidden="false" customHeight="false" outlineLevel="0" collapsed="false">
      <c r="B310" s="2" t="n">
        <v>28.7</v>
      </c>
      <c r="C310" s="3" t="n">
        <v>276</v>
      </c>
      <c r="D310" s="3" t="n">
        <v>2</v>
      </c>
      <c r="E310" s="2" t="n">
        <v>50.6</v>
      </c>
      <c r="F310" s="4" t="n">
        <v>2.77481740215607</v>
      </c>
      <c r="G310" s="2" t="n">
        <v>22.2</v>
      </c>
      <c r="H310" s="2" t="n">
        <v>36.6</v>
      </c>
      <c r="I310" s="1" t="n">
        <v>152.4</v>
      </c>
      <c r="J310" s="2" t="n">
        <v>381</v>
      </c>
      <c r="K310" s="3" t="n">
        <v>1290</v>
      </c>
      <c r="L310" s="12" t="n">
        <v>0.0660778058480395</v>
      </c>
      <c r="M310" s="4" t="n">
        <v>104.615</v>
      </c>
      <c r="N310" s="4" t="n">
        <v>0.2</v>
      </c>
    </row>
    <row r="311" customFormat="false" ht="14.25" hidden="false" customHeight="false" outlineLevel="0" collapsed="false">
      <c r="A311" s="1" t="s">
        <v>96</v>
      </c>
      <c r="B311" s="2" t="n">
        <v>28.7</v>
      </c>
      <c r="C311" s="3" t="n">
        <v>276</v>
      </c>
      <c r="D311" s="3" t="n">
        <v>2</v>
      </c>
      <c r="E311" s="2" t="n">
        <v>50.6</v>
      </c>
      <c r="F311" s="4" t="n">
        <v>2.80171464705939</v>
      </c>
      <c r="G311" s="2" t="n">
        <v>38.2</v>
      </c>
      <c r="H311" s="2" t="n">
        <v>52.5</v>
      </c>
      <c r="I311" s="1" t="n">
        <v>152.4</v>
      </c>
      <c r="J311" s="2" t="n">
        <v>381</v>
      </c>
      <c r="K311" s="3" t="n">
        <v>1290</v>
      </c>
      <c r="L311" s="12" t="n">
        <v>0.0460656703626332</v>
      </c>
      <c r="M311" s="4" t="n">
        <v>64.9985</v>
      </c>
      <c r="N311" s="4" t="n">
        <v>0.17</v>
      </c>
    </row>
    <row r="312" customFormat="false" ht="14.25" hidden="false" customHeight="false" outlineLevel="0" collapsed="false">
      <c r="B312" s="2" t="n">
        <v>28.7</v>
      </c>
      <c r="C312" s="3" t="n">
        <v>276</v>
      </c>
      <c r="D312" s="3" t="n">
        <v>2</v>
      </c>
      <c r="E312" s="2" t="n">
        <v>50.6</v>
      </c>
      <c r="F312" s="4" t="n">
        <v>2.80171464705939</v>
      </c>
      <c r="G312" s="2" t="n">
        <v>38.2</v>
      </c>
      <c r="H312" s="2" t="n">
        <v>52.5</v>
      </c>
      <c r="I312" s="1" t="n">
        <v>152.4</v>
      </c>
      <c r="J312" s="2" t="n">
        <v>381</v>
      </c>
      <c r="K312" s="3" t="n">
        <v>1290</v>
      </c>
      <c r="L312" s="12" t="n">
        <v>0.0460656703626332</v>
      </c>
      <c r="M312" s="4" t="n">
        <v>77.0378</v>
      </c>
      <c r="N312" s="4" t="n">
        <v>0.2</v>
      </c>
    </row>
    <row r="313" customFormat="false" ht="14.25" hidden="false" customHeight="false" outlineLevel="0" collapsed="false">
      <c r="B313" s="2" t="n">
        <v>28.7</v>
      </c>
      <c r="C313" s="3" t="n">
        <v>276</v>
      </c>
      <c r="D313" s="3" t="n">
        <v>2</v>
      </c>
      <c r="E313" s="2" t="n">
        <v>50.6</v>
      </c>
      <c r="F313" s="4" t="n">
        <v>2.80171464705939</v>
      </c>
      <c r="G313" s="2" t="n">
        <v>38.2</v>
      </c>
      <c r="H313" s="2" t="n">
        <v>52.5</v>
      </c>
      <c r="I313" s="1" t="n">
        <v>152.4</v>
      </c>
      <c r="J313" s="2" t="n">
        <v>381</v>
      </c>
      <c r="K313" s="3" t="n">
        <v>1290</v>
      </c>
      <c r="L313" s="12" t="n">
        <v>0.0460656703626332</v>
      </c>
      <c r="M313" s="4" t="n">
        <v>88.8027</v>
      </c>
      <c r="N313" s="4" t="n">
        <v>0.25</v>
      </c>
    </row>
    <row r="314" customFormat="false" ht="14.25" hidden="false" customHeight="false" outlineLevel="0" collapsed="false">
      <c r="B314" s="2" t="n">
        <v>28.7</v>
      </c>
      <c r="C314" s="3" t="n">
        <v>276</v>
      </c>
      <c r="D314" s="3" t="n">
        <v>2</v>
      </c>
      <c r="E314" s="2" t="n">
        <v>50.6</v>
      </c>
      <c r="F314" s="4" t="n">
        <v>2.80171464705939</v>
      </c>
      <c r="G314" s="2" t="n">
        <v>38.2</v>
      </c>
      <c r="H314" s="2" t="n">
        <v>52.5</v>
      </c>
      <c r="I314" s="1" t="n">
        <v>152.4</v>
      </c>
      <c r="J314" s="2" t="n">
        <v>381</v>
      </c>
      <c r="K314" s="3" t="n">
        <v>1290</v>
      </c>
      <c r="L314" s="12" t="n">
        <v>0.0460656703626332</v>
      </c>
      <c r="M314" s="4" t="n">
        <v>104.615</v>
      </c>
      <c r="N314" s="4" t="n">
        <v>0.29</v>
      </c>
    </row>
    <row r="315" customFormat="false" ht="14.25" hidden="false" customHeight="false" outlineLevel="0" collapsed="false">
      <c r="A315" s="1" t="s">
        <v>97</v>
      </c>
      <c r="B315" s="2" t="n">
        <v>28.7</v>
      </c>
      <c r="C315" s="3" t="n">
        <v>276</v>
      </c>
      <c r="D315" s="3" t="n">
        <v>2</v>
      </c>
      <c r="E315" s="2" t="n">
        <v>50.6</v>
      </c>
      <c r="F315" s="4" t="n">
        <v>2.71531164579845</v>
      </c>
      <c r="G315" s="2" t="n">
        <v>38.2</v>
      </c>
      <c r="H315" s="2" t="n">
        <v>52.5</v>
      </c>
      <c r="I315" s="1" t="n">
        <v>152.4</v>
      </c>
      <c r="J315" s="2" t="n">
        <v>381</v>
      </c>
      <c r="K315" s="3" t="n">
        <v>1290</v>
      </c>
      <c r="L315" s="12" t="n">
        <v>0.0460656703626332</v>
      </c>
      <c r="M315" s="4" t="n">
        <v>77.0378</v>
      </c>
      <c r="N315" s="4" t="n">
        <v>0.17</v>
      </c>
    </row>
    <row r="316" customFormat="false" ht="14.25" hidden="false" customHeight="false" outlineLevel="0" collapsed="false">
      <c r="A316" s="1" t="s">
        <v>98</v>
      </c>
      <c r="B316" s="2" t="n">
        <v>28.7</v>
      </c>
      <c r="C316" s="3" t="n">
        <v>276</v>
      </c>
      <c r="D316" s="3" t="n">
        <v>2</v>
      </c>
      <c r="E316" s="2" t="n">
        <v>50.6</v>
      </c>
      <c r="F316" s="4" t="n">
        <v>2.80171464705939</v>
      </c>
      <c r="G316" s="2" t="n">
        <v>38.2</v>
      </c>
      <c r="H316" s="2" t="n">
        <v>52.5</v>
      </c>
      <c r="I316" s="1" t="n">
        <v>152.4</v>
      </c>
      <c r="J316" s="2" t="n">
        <v>381</v>
      </c>
      <c r="K316" s="3" t="n">
        <v>1290</v>
      </c>
      <c r="L316" s="12" t="n">
        <v>0.0460656703626332</v>
      </c>
      <c r="M316" s="4" t="n">
        <v>64.9985</v>
      </c>
      <c r="N316" s="4" t="n">
        <v>0.15</v>
      </c>
    </row>
    <row r="317" customFormat="false" ht="14.25" hidden="false" customHeight="false" outlineLevel="0" collapsed="false">
      <c r="B317" s="2" t="n">
        <v>28.7</v>
      </c>
      <c r="C317" s="3" t="n">
        <v>276</v>
      </c>
      <c r="D317" s="3" t="n">
        <v>2</v>
      </c>
      <c r="E317" s="2" t="n">
        <v>50.6</v>
      </c>
      <c r="F317" s="4" t="n">
        <v>2.80171464705939</v>
      </c>
      <c r="G317" s="2" t="n">
        <v>38.2</v>
      </c>
      <c r="H317" s="2" t="n">
        <v>52.5</v>
      </c>
      <c r="I317" s="1" t="n">
        <v>152.4</v>
      </c>
      <c r="J317" s="2" t="n">
        <v>381</v>
      </c>
      <c r="K317" s="3" t="n">
        <v>1290</v>
      </c>
      <c r="L317" s="12" t="n">
        <v>0.0460656703626332</v>
      </c>
      <c r="M317" s="4" t="n">
        <v>77.0378</v>
      </c>
      <c r="N317" s="4" t="n">
        <v>0.16</v>
      </c>
    </row>
    <row r="318" customFormat="false" ht="14.25" hidden="false" customHeight="false" outlineLevel="0" collapsed="false">
      <c r="B318" s="2" t="n">
        <v>28.7</v>
      </c>
      <c r="C318" s="3" t="n">
        <v>276</v>
      </c>
      <c r="D318" s="3" t="n">
        <v>2</v>
      </c>
      <c r="E318" s="2" t="n">
        <v>50.6</v>
      </c>
      <c r="F318" s="4" t="n">
        <v>2.80171464705939</v>
      </c>
      <c r="G318" s="2" t="n">
        <v>38.2</v>
      </c>
      <c r="H318" s="2" t="n">
        <v>52.5</v>
      </c>
      <c r="I318" s="1" t="n">
        <v>152.4</v>
      </c>
      <c r="J318" s="2" t="n">
        <v>381</v>
      </c>
      <c r="K318" s="3" t="n">
        <v>1290</v>
      </c>
      <c r="L318" s="12" t="n">
        <v>0.0460656703626332</v>
      </c>
      <c r="M318" s="4" t="n">
        <v>88.8027</v>
      </c>
      <c r="N318" s="4" t="n">
        <v>0.22</v>
      </c>
    </row>
    <row r="319" customFormat="false" ht="14.25" hidden="false" customHeight="false" outlineLevel="0" collapsed="false">
      <c r="B319" s="2" t="n">
        <v>28.7</v>
      </c>
      <c r="C319" s="3" t="n">
        <v>276</v>
      </c>
      <c r="D319" s="3" t="n">
        <v>2</v>
      </c>
      <c r="E319" s="2" t="n">
        <v>50.6</v>
      </c>
      <c r="F319" s="4" t="n">
        <v>2.80171464705939</v>
      </c>
      <c r="G319" s="2" t="n">
        <v>38.2</v>
      </c>
      <c r="H319" s="2" t="n">
        <v>52.5</v>
      </c>
      <c r="I319" s="1" t="n">
        <v>152.4</v>
      </c>
      <c r="J319" s="2" t="n">
        <v>381</v>
      </c>
      <c r="K319" s="3" t="n">
        <v>1290</v>
      </c>
      <c r="L319" s="12" t="n">
        <v>0.0460656703626332</v>
      </c>
      <c r="M319" s="4" t="n">
        <v>104.615</v>
      </c>
      <c r="N319" s="4" t="n">
        <v>0.26</v>
      </c>
    </row>
    <row r="320" customFormat="false" ht="14.25" hidden="false" customHeight="false" outlineLevel="0" collapsed="false">
      <c r="A320" s="1" t="s">
        <v>99</v>
      </c>
      <c r="B320" s="2" t="n">
        <v>28.7</v>
      </c>
      <c r="C320" s="3" t="n">
        <v>276</v>
      </c>
      <c r="D320" s="3" t="n">
        <v>2</v>
      </c>
      <c r="E320" s="2" t="n">
        <v>50.6</v>
      </c>
      <c r="F320" s="4" t="n">
        <v>2.52444806810338</v>
      </c>
      <c r="G320" s="2" t="n">
        <v>38.2</v>
      </c>
      <c r="H320" s="2" t="n">
        <v>52.5</v>
      </c>
      <c r="I320" s="1" t="n">
        <v>152.4</v>
      </c>
      <c r="J320" s="2" t="n">
        <v>381</v>
      </c>
      <c r="K320" s="3" t="n">
        <v>1290</v>
      </c>
      <c r="L320" s="12" t="n">
        <v>0.0460656703626332</v>
      </c>
      <c r="M320" s="4" t="n">
        <v>77.0378</v>
      </c>
      <c r="N320" s="4" t="n">
        <v>0.17</v>
      </c>
    </row>
    <row r="321" customFormat="false" ht="14.25" hidden="false" customHeight="false" outlineLevel="0" collapsed="false">
      <c r="B321" s="2" t="n">
        <v>28.7</v>
      </c>
      <c r="C321" s="3" t="n">
        <v>276</v>
      </c>
      <c r="D321" s="3" t="n">
        <v>2</v>
      </c>
      <c r="E321" s="2" t="n">
        <v>50.6</v>
      </c>
      <c r="F321" s="4" t="n">
        <v>2.52444806810338</v>
      </c>
      <c r="G321" s="2" t="n">
        <v>38.2</v>
      </c>
      <c r="H321" s="2" t="n">
        <v>52.5</v>
      </c>
      <c r="I321" s="1" t="n">
        <v>152.4</v>
      </c>
      <c r="J321" s="2" t="n">
        <v>381</v>
      </c>
      <c r="K321" s="3" t="n">
        <v>1290</v>
      </c>
      <c r="L321" s="12" t="n">
        <v>0.0460656703626332</v>
      </c>
      <c r="M321" s="4" t="n">
        <v>88.8027</v>
      </c>
      <c r="N321" s="4" t="n">
        <v>0.2</v>
      </c>
    </row>
    <row r="322" customFormat="false" ht="14.25" hidden="false" customHeight="false" outlineLevel="0" collapsed="false">
      <c r="B322" s="2" t="n">
        <v>28.7</v>
      </c>
      <c r="C322" s="3" t="n">
        <v>276</v>
      </c>
      <c r="D322" s="3" t="n">
        <v>2</v>
      </c>
      <c r="E322" s="2" t="n">
        <v>50.6</v>
      </c>
      <c r="F322" s="4" t="n">
        <v>2.52444806810338</v>
      </c>
      <c r="G322" s="2" t="n">
        <v>38.2</v>
      </c>
      <c r="H322" s="2" t="n">
        <v>52.5</v>
      </c>
      <c r="I322" s="1" t="n">
        <v>152.4</v>
      </c>
      <c r="J322" s="2" t="n">
        <v>381</v>
      </c>
      <c r="K322" s="3" t="n">
        <v>1290</v>
      </c>
      <c r="L322" s="12" t="n">
        <v>0.0460656703626332</v>
      </c>
      <c r="M322" s="4" t="n">
        <v>104.615</v>
      </c>
      <c r="N322" s="4" t="n">
        <v>0.24</v>
      </c>
    </row>
    <row r="323" customFormat="false" ht="14.25" hidden="false" customHeight="false" outlineLevel="0" collapsed="false">
      <c r="A323" s="1" t="s">
        <v>100</v>
      </c>
      <c r="B323" s="2" t="n">
        <v>32.3</v>
      </c>
      <c r="C323" s="3" t="n">
        <v>276</v>
      </c>
      <c r="D323" s="3" t="n">
        <v>1</v>
      </c>
      <c r="E323" s="2" t="n">
        <v>60</v>
      </c>
      <c r="F323" s="4" t="n">
        <v>2.53821845332793</v>
      </c>
      <c r="G323" s="2" t="n">
        <v>38.3</v>
      </c>
      <c r="H323" s="2" t="n">
        <v>54.4</v>
      </c>
      <c r="I323" s="1" t="n">
        <v>152.4</v>
      </c>
      <c r="J323" s="2" t="n">
        <v>381</v>
      </c>
      <c r="K323" s="3" t="n">
        <v>819</v>
      </c>
      <c r="L323" s="12" t="n">
        <v>0.0282248726262158</v>
      </c>
      <c r="M323" s="4" t="n">
        <v>39.9595</v>
      </c>
      <c r="N323" s="4" t="n">
        <v>0.17</v>
      </c>
    </row>
    <row r="324" customFormat="false" ht="14.25" hidden="false" customHeight="false" outlineLevel="0" collapsed="false">
      <c r="B324" s="2" t="n">
        <v>32.3</v>
      </c>
      <c r="C324" s="3" t="n">
        <v>276</v>
      </c>
      <c r="D324" s="3" t="n">
        <v>1</v>
      </c>
      <c r="E324" s="2" t="n">
        <v>60</v>
      </c>
      <c r="F324" s="4" t="n">
        <v>2.53821845332793</v>
      </c>
      <c r="G324" s="2" t="n">
        <v>38.3</v>
      </c>
      <c r="H324" s="2" t="n">
        <v>54.4</v>
      </c>
      <c r="I324" s="1" t="n">
        <v>152.4</v>
      </c>
      <c r="J324" s="2" t="n">
        <v>381</v>
      </c>
      <c r="K324" s="3" t="n">
        <v>819</v>
      </c>
      <c r="L324" s="12" t="n">
        <v>0.0282248726262158</v>
      </c>
      <c r="M324" s="4" t="n">
        <v>49.1862</v>
      </c>
      <c r="N324" s="4" t="n">
        <v>0.23</v>
      </c>
    </row>
    <row r="325" customFormat="false" ht="14.25" hidden="false" customHeight="false" outlineLevel="0" collapsed="false">
      <c r="B325" s="2" t="n">
        <v>32.3</v>
      </c>
      <c r="C325" s="3" t="n">
        <v>276</v>
      </c>
      <c r="D325" s="3" t="n">
        <v>1</v>
      </c>
      <c r="E325" s="2" t="n">
        <v>60</v>
      </c>
      <c r="F325" s="4" t="n">
        <v>2.53821845332793</v>
      </c>
      <c r="G325" s="2" t="n">
        <v>38.3</v>
      </c>
      <c r="H325" s="2" t="n">
        <v>54.4</v>
      </c>
      <c r="I325" s="1" t="n">
        <v>152.4</v>
      </c>
      <c r="J325" s="2" t="n">
        <v>381</v>
      </c>
      <c r="K325" s="3" t="n">
        <v>819</v>
      </c>
      <c r="L325" s="12" t="n">
        <v>0.0282248726262158</v>
      </c>
      <c r="M325" s="4" t="n">
        <v>57.3496</v>
      </c>
      <c r="N325" s="4" t="n">
        <v>0.27</v>
      </c>
    </row>
    <row r="326" customFormat="false" ht="14.25" hidden="false" customHeight="false" outlineLevel="0" collapsed="false">
      <c r="B326" s="2" t="n">
        <v>32.3</v>
      </c>
      <c r="C326" s="3" t="n">
        <v>276</v>
      </c>
      <c r="D326" s="3" t="n">
        <v>1</v>
      </c>
      <c r="E326" s="2" t="n">
        <v>60</v>
      </c>
      <c r="F326" s="4" t="n">
        <v>2.53821845332793</v>
      </c>
      <c r="G326" s="2" t="n">
        <v>38.3</v>
      </c>
      <c r="H326" s="2" t="n">
        <v>54.4</v>
      </c>
      <c r="I326" s="1" t="n">
        <v>152.4</v>
      </c>
      <c r="J326" s="2" t="n">
        <v>381</v>
      </c>
      <c r="K326" s="3" t="n">
        <v>819</v>
      </c>
      <c r="L326" s="12" t="n">
        <v>0.0282248726262158</v>
      </c>
      <c r="M326" s="4" t="n">
        <v>63.1806</v>
      </c>
      <c r="N326" s="4" t="n">
        <v>0.31</v>
      </c>
    </row>
    <row r="327" customFormat="false" ht="14.25" hidden="false" customHeight="false" outlineLevel="0" collapsed="false">
      <c r="B327" s="2" t="n">
        <v>32.3</v>
      </c>
      <c r="C327" s="3" t="n">
        <v>276</v>
      </c>
      <c r="D327" s="3" t="n">
        <v>1</v>
      </c>
      <c r="E327" s="2" t="n">
        <v>60</v>
      </c>
      <c r="F327" s="4" t="n">
        <v>2.53821845332793</v>
      </c>
      <c r="G327" s="2" t="n">
        <v>38.3</v>
      </c>
      <c r="H327" s="2" t="n">
        <v>54.4</v>
      </c>
      <c r="I327" s="1" t="n">
        <v>152.4</v>
      </c>
      <c r="J327" s="2" t="n">
        <v>381</v>
      </c>
      <c r="K327" s="3" t="n">
        <v>819</v>
      </c>
      <c r="L327" s="12" t="n">
        <v>0.0282248726262158</v>
      </c>
      <c r="M327" s="4" t="n">
        <v>67.1251</v>
      </c>
      <c r="N327" s="4" t="n">
        <v>0.35</v>
      </c>
    </row>
    <row r="328" customFormat="false" ht="14.25" hidden="false" customHeight="false" outlineLevel="0" collapsed="false">
      <c r="A328" s="1" t="s">
        <v>101</v>
      </c>
      <c r="B328" s="2" t="n">
        <v>32.3</v>
      </c>
      <c r="C328" s="3" t="n">
        <v>276</v>
      </c>
      <c r="D328" s="3" t="n">
        <v>1</v>
      </c>
      <c r="E328" s="2" t="n">
        <v>60</v>
      </c>
      <c r="F328" s="4" t="n">
        <v>2.81086951894943</v>
      </c>
      <c r="G328" s="2" t="n">
        <v>38.3</v>
      </c>
      <c r="H328" s="2" t="n">
        <v>54.4</v>
      </c>
      <c r="I328" s="1" t="n">
        <v>152.4</v>
      </c>
      <c r="J328" s="2" t="n">
        <v>381</v>
      </c>
      <c r="K328" s="3" t="n">
        <v>819</v>
      </c>
      <c r="L328" s="12" t="n">
        <v>0.0282248726262158</v>
      </c>
      <c r="M328" s="4" t="n">
        <v>39.9595</v>
      </c>
      <c r="N328" s="4" t="n">
        <v>0.19</v>
      </c>
    </row>
    <row r="329" customFormat="false" ht="14.25" hidden="false" customHeight="false" outlineLevel="0" collapsed="false">
      <c r="B329" s="2" t="n">
        <v>32.3</v>
      </c>
      <c r="C329" s="3" t="n">
        <v>276</v>
      </c>
      <c r="D329" s="3" t="n">
        <v>1</v>
      </c>
      <c r="E329" s="2" t="n">
        <v>60</v>
      </c>
      <c r="F329" s="4" t="n">
        <v>2.81086951894943</v>
      </c>
      <c r="G329" s="2" t="n">
        <v>38.3</v>
      </c>
      <c r="H329" s="2" t="n">
        <v>54.4</v>
      </c>
      <c r="I329" s="1" t="n">
        <v>152.4</v>
      </c>
      <c r="J329" s="2" t="n">
        <v>381</v>
      </c>
      <c r="K329" s="3" t="n">
        <v>819</v>
      </c>
      <c r="L329" s="12" t="n">
        <v>0.0282248726262158</v>
      </c>
      <c r="M329" s="4" t="n">
        <v>49.1862</v>
      </c>
      <c r="N329" s="4" t="n">
        <v>0.24</v>
      </c>
    </row>
    <row r="330" customFormat="false" ht="14.25" hidden="false" customHeight="false" outlineLevel="0" collapsed="false">
      <c r="B330" s="2" t="n">
        <v>32.3</v>
      </c>
      <c r="C330" s="3" t="n">
        <v>276</v>
      </c>
      <c r="D330" s="3" t="n">
        <v>1</v>
      </c>
      <c r="E330" s="2" t="n">
        <v>60</v>
      </c>
      <c r="F330" s="4" t="n">
        <v>2.81086951894943</v>
      </c>
      <c r="G330" s="2" t="n">
        <v>38.3</v>
      </c>
      <c r="H330" s="2" t="n">
        <v>54.4</v>
      </c>
      <c r="I330" s="1" t="n">
        <v>152.4</v>
      </c>
      <c r="J330" s="2" t="n">
        <v>381</v>
      </c>
      <c r="K330" s="3" t="n">
        <v>819</v>
      </c>
      <c r="L330" s="12" t="n">
        <v>0.0282248726262158</v>
      </c>
      <c r="M330" s="4" t="n">
        <v>57.3496</v>
      </c>
      <c r="N330" s="4" t="n">
        <v>0.29</v>
      </c>
    </row>
    <row r="331" customFormat="false" ht="14.25" hidden="false" customHeight="false" outlineLevel="0" collapsed="false">
      <c r="B331" s="2" t="n">
        <v>32.3</v>
      </c>
      <c r="C331" s="3" t="n">
        <v>276</v>
      </c>
      <c r="D331" s="3" t="n">
        <v>1</v>
      </c>
      <c r="E331" s="2" t="n">
        <v>60</v>
      </c>
      <c r="F331" s="4" t="n">
        <v>2.81086951894943</v>
      </c>
      <c r="G331" s="2" t="n">
        <v>38.3</v>
      </c>
      <c r="H331" s="2" t="n">
        <v>54.4</v>
      </c>
      <c r="I331" s="1" t="n">
        <v>152.4</v>
      </c>
      <c r="J331" s="2" t="n">
        <v>381</v>
      </c>
      <c r="K331" s="3" t="n">
        <v>819</v>
      </c>
      <c r="L331" s="12" t="n">
        <v>0.0282248726262158</v>
      </c>
      <c r="M331" s="4" t="n">
        <v>63.1806</v>
      </c>
      <c r="N331" s="4" t="n">
        <v>0.36</v>
      </c>
    </row>
    <row r="332" customFormat="false" ht="14.25" hidden="false" customHeight="false" outlineLevel="0" collapsed="false">
      <c r="B332" s="2" t="n">
        <v>32.3</v>
      </c>
      <c r="C332" s="3" t="n">
        <v>276</v>
      </c>
      <c r="D332" s="3" t="n">
        <v>1</v>
      </c>
      <c r="E332" s="2" t="n">
        <v>60</v>
      </c>
      <c r="F332" s="4" t="n">
        <v>2.81086951894943</v>
      </c>
      <c r="G332" s="2" t="n">
        <v>38.3</v>
      </c>
      <c r="H332" s="2" t="n">
        <v>54.4</v>
      </c>
      <c r="I332" s="1" t="n">
        <v>152.4</v>
      </c>
      <c r="J332" s="2" t="n">
        <v>381</v>
      </c>
      <c r="K332" s="3" t="n">
        <v>819</v>
      </c>
      <c r="L332" s="12" t="n">
        <v>0.0282248726262158</v>
      </c>
      <c r="M332" s="4" t="n">
        <v>67.1251</v>
      </c>
      <c r="N332" s="4" t="n">
        <v>0.42</v>
      </c>
    </row>
    <row r="333" customFormat="false" ht="14.25" hidden="false" customHeight="false" outlineLevel="0" collapsed="false">
      <c r="A333" s="1" t="s">
        <v>102</v>
      </c>
      <c r="B333" s="2" t="n">
        <v>28.7</v>
      </c>
      <c r="C333" s="3" t="n">
        <v>276</v>
      </c>
      <c r="D333" s="3" t="n">
        <v>2</v>
      </c>
      <c r="E333" s="2" t="n">
        <v>50.6</v>
      </c>
      <c r="F333" s="4" t="n">
        <v>2.57657861790804</v>
      </c>
      <c r="G333" s="2" t="n">
        <v>38</v>
      </c>
      <c r="H333" s="2" t="n">
        <v>52.3</v>
      </c>
      <c r="I333" s="1" t="n">
        <v>152.4</v>
      </c>
      <c r="J333" s="2" t="n">
        <v>584.2</v>
      </c>
      <c r="K333" s="3" t="n">
        <v>1290</v>
      </c>
      <c r="L333" s="12" t="n">
        <v>0.0462418297139244</v>
      </c>
      <c r="M333" s="4" t="n">
        <v>110.208</v>
      </c>
      <c r="N333" s="4" t="n">
        <v>0.18</v>
      </c>
    </row>
    <row r="334" customFormat="false" ht="14.25" hidden="false" customHeight="false" outlineLevel="0" collapsed="false">
      <c r="B334" s="2" t="n">
        <v>28.7</v>
      </c>
      <c r="C334" s="3" t="n">
        <v>276</v>
      </c>
      <c r="D334" s="3" t="n">
        <v>2</v>
      </c>
      <c r="E334" s="2" t="n">
        <v>50.6</v>
      </c>
      <c r="F334" s="4" t="n">
        <v>2.57657861790804</v>
      </c>
      <c r="G334" s="2" t="n">
        <v>38</v>
      </c>
      <c r="H334" s="2" t="n">
        <v>52.3</v>
      </c>
      <c r="I334" s="1" t="n">
        <v>152.4</v>
      </c>
      <c r="J334" s="2" t="n">
        <v>584.2</v>
      </c>
      <c r="K334" s="3" t="n">
        <v>1290</v>
      </c>
      <c r="L334" s="12" t="n">
        <v>0.0462418297139244</v>
      </c>
      <c r="M334" s="4" t="n">
        <v>132.258</v>
      </c>
      <c r="N334" s="4" t="n">
        <v>0.22</v>
      </c>
    </row>
    <row r="335" customFormat="false" ht="14.25" hidden="false" customHeight="false" outlineLevel="0" collapsed="false">
      <c r="B335" s="2" t="n">
        <v>28.7</v>
      </c>
      <c r="C335" s="3" t="n">
        <v>276</v>
      </c>
      <c r="D335" s="3" t="n">
        <v>2</v>
      </c>
      <c r="E335" s="2" t="n">
        <v>50.6</v>
      </c>
      <c r="F335" s="4" t="n">
        <v>2.57657861790804</v>
      </c>
      <c r="G335" s="2" t="n">
        <v>38</v>
      </c>
      <c r="H335" s="2" t="n">
        <v>52.3</v>
      </c>
      <c r="I335" s="1" t="n">
        <v>152.4</v>
      </c>
      <c r="J335" s="2" t="n">
        <v>584.2</v>
      </c>
      <c r="K335" s="3" t="n">
        <v>1290</v>
      </c>
      <c r="L335" s="12" t="n">
        <v>0.0462418297139244</v>
      </c>
      <c r="M335" s="4" t="n">
        <v>149.268</v>
      </c>
      <c r="N335" s="4" t="n">
        <v>0.27</v>
      </c>
    </row>
    <row r="336" customFormat="false" ht="14.25" hidden="false" customHeight="false" outlineLevel="0" collapsed="false">
      <c r="B336" s="2" t="n">
        <v>28.7</v>
      </c>
      <c r="C336" s="3" t="n">
        <v>276</v>
      </c>
      <c r="D336" s="3" t="n">
        <v>2</v>
      </c>
      <c r="E336" s="2" t="n">
        <v>50.6</v>
      </c>
      <c r="F336" s="4" t="n">
        <v>2.57657861790804</v>
      </c>
      <c r="G336" s="2" t="n">
        <v>38</v>
      </c>
      <c r="H336" s="2" t="n">
        <v>52.3</v>
      </c>
      <c r="I336" s="1" t="n">
        <v>152.4</v>
      </c>
      <c r="J336" s="2" t="n">
        <v>584.2</v>
      </c>
      <c r="K336" s="3" t="n">
        <v>1290</v>
      </c>
      <c r="L336" s="12" t="n">
        <v>0.0462418297139244</v>
      </c>
      <c r="M336" s="4" t="n">
        <v>168.882</v>
      </c>
      <c r="N336" s="4" t="n">
        <v>0.32</v>
      </c>
    </row>
    <row r="337" customFormat="false" ht="14.25" hidden="false" customHeight="false" outlineLevel="0" collapsed="false">
      <c r="A337" s="1" t="s">
        <v>103</v>
      </c>
      <c r="B337" s="2" t="n">
        <v>28.7</v>
      </c>
      <c r="C337" s="3" t="n">
        <v>276</v>
      </c>
      <c r="D337" s="3" t="n">
        <v>2</v>
      </c>
      <c r="E337" s="2" t="n">
        <v>50.6</v>
      </c>
      <c r="F337" s="4" t="n">
        <v>2.57657861790804</v>
      </c>
      <c r="G337" s="2" t="n">
        <v>38</v>
      </c>
      <c r="H337" s="2" t="n">
        <v>52.3</v>
      </c>
      <c r="I337" s="1" t="n">
        <v>152.4</v>
      </c>
      <c r="J337" s="2" t="n">
        <v>584.2</v>
      </c>
      <c r="K337" s="3" t="n">
        <v>1290</v>
      </c>
      <c r="L337" s="12" t="n">
        <v>0.0462418297139244</v>
      </c>
      <c r="M337" s="4" t="n">
        <v>132.258</v>
      </c>
      <c r="N337" s="4" t="n">
        <v>0.16</v>
      </c>
    </row>
    <row r="338" customFormat="false" ht="14.25" hidden="false" customHeight="false" outlineLevel="0" collapsed="false">
      <c r="B338" s="2" t="n">
        <v>28.7</v>
      </c>
      <c r="C338" s="3" t="n">
        <v>276</v>
      </c>
      <c r="D338" s="3" t="n">
        <v>2</v>
      </c>
      <c r="E338" s="2" t="n">
        <v>50.6</v>
      </c>
      <c r="F338" s="4" t="n">
        <v>2.57657861790804</v>
      </c>
      <c r="G338" s="2" t="n">
        <v>38</v>
      </c>
      <c r="H338" s="2" t="n">
        <v>52.3</v>
      </c>
      <c r="I338" s="1" t="n">
        <v>152.4</v>
      </c>
      <c r="J338" s="2" t="n">
        <v>584.2</v>
      </c>
      <c r="K338" s="3" t="n">
        <v>1290</v>
      </c>
      <c r="L338" s="12" t="n">
        <v>0.0462418297139244</v>
      </c>
      <c r="M338" s="4" t="n">
        <v>149.268</v>
      </c>
      <c r="N338" s="4" t="n">
        <v>0.19</v>
      </c>
    </row>
    <row r="339" customFormat="false" ht="14.25" hidden="false" customHeight="false" outlineLevel="0" collapsed="false">
      <c r="B339" s="2" t="n">
        <v>28.7</v>
      </c>
      <c r="C339" s="3" t="n">
        <v>276</v>
      </c>
      <c r="D339" s="3" t="n">
        <v>2</v>
      </c>
      <c r="E339" s="2" t="n">
        <v>50.6</v>
      </c>
      <c r="F339" s="4" t="n">
        <v>2.57657861790804</v>
      </c>
      <c r="G339" s="2" t="n">
        <v>38</v>
      </c>
      <c r="H339" s="2" t="n">
        <v>52.3</v>
      </c>
      <c r="I339" s="1" t="n">
        <v>152.4</v>
      </c>
      <c r="J339" s="2" t="n">
        <v>584.2</v>
      </c>
      <c r="K339" s="3" t="n">
        <v>1290</v>
      </c>
      <c r="L339" s="12" t="n">
        <v>0.0462418297139244</v>
      </c>
      <c r="M339" s="4" t="n">
        <v>168.882</v>
      </c>
      <c r="N339" s="4" t="n">
        <v>0.22</v>
      </c>
    </row>
    <row r="340" customFormat="false" ht="14.25" hidden="false" customHeight="false" outlineLevel="0" collapsed="false">
      <c r="A340" s="1" t="s">
        <v>104</v>
      </c>
      <c r="B340" s="2" t="n">
        <v>35.8</v>
      </c>
      <c r="C340" s="3" t="n">
        <v>276</v>
      </c>
      <c r="D340" s="3" t="n">
        <v>2</v>
      </c>
      <c r="E340" s="2" t="n">
        <v>36.4</v>
      </c>
      <c r="F340" s="4" t="n">
        <v>2.54783553354044</v>
      </c>
      <c r="G340" s="2" t="n">
        <v>38</v>
      </c>
      <c r="H340" s="2" t="n">
        <v>55.9</v>
      </c>
      <c r="I340" s="1" t="n">
        <v>152.4</v>
      </c>
      <c r="J340" s="2" t="n">
        <v>584.2</v>
      </c>
      <c r="K340" s="3" t="n">
        <v>2012</v>
      </c>
      <c r="L340" s="12" t="n">
        <v>0.0674781484157056</v>
      </c>
      <c r="M340" s="4" t="n">
        <v>167.034</v>
      </c>
      <c r="N340" s="4" t="n">
        <v>0.17</v>
      </c>
    </row>
    <row r="341" customFormat="false" ht="14.25" hidden="false" customHeight="false" outlineLevel="0" collapsed="false">
      <c r="A341" s="1" t="s">
        <v>105</v>
      </c>
      <c r="B341" s="2" t="n">
        <v>35.8</v>
      </c>
      <c r="C341" s="3" t="n">
        <v>276</v>
      </c>
      <c r="D341" s="3" t="n">
        <v>2</v>
      </c>
      <c r="E341" s="2" t="n">
        <v>36.4</v>
      </c>
      <c r="F341" s="4" t="n">
        <v>2.75637342683892</v>
      </c>
      <c r="G341" s="2" t="n">
        <v>38</v>
      </c>
      <c r="H341" s="2" t="n">
        <v>55.9</v>
      </c>
      <c r="I341" s="1" t="n">
        <v>152.4</v>
      </c>
      <c r="J341" s="2" t="n">
        <v>584.2</v>
      </c>
      <c r="K341" s="3" t="n">
        <v>2012</v>
      </c>
      <c r="L341" s="12" t="n">
        <v>0.0674781484157056</v>
      </c>
      <c r="M341" s="4" t="n">
        <v>130.788</v>
      </c>
      <c r="N341" s="4" t="n">
        <v>0.19</v>
      </c>
    </row>
    <row r="342" customFormat="false" ht="14.25" hidden="false" customHeight="false" outlineLevel="0" collapsed="false">
      <c r="B342" s="2" t="n">
        <v>35.8</v>
      </c>
      <c r="C342" s="3" t="n">
        <v>276</v>
      </c>
      <c r="D342" s="3" t="n">
        <v>2</v>
      </c>
      <c r="E342" s="2" t="n">
        <v>36.4</v>
      </c>
      <c r="F342" s="4" t="n">
        <v>2.75637342683892</v>
      </c>
      <c r="G342" s="2" t="n">
        <v>38</v>
      </c>
      <c r="H342" s="2" t="n">
        <v>55.9</v>
      </c>
      <c r="I342" s="1" t="n">
        <v>152.4</v>
      </c>
      <c r="J342" s="2" t="n">
        <v>584.2</v>
      </c>
      <c r="K342" s="3" t="n">
        <v>2012</v>
      </c>
      <c r="L342" s="12" t="n">
        <v>0.0674781484157056</v>
      </c>
      <c r="M342" s="4" t="n">
        <v>167.034</v>
      </c>
      <c r="N342" s="4" t="n">
        <v>0.25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2"/>
  <sheetViews>
    <sheetView showFormulas="false" showGridLines="true" showRowColHeaders="true" showZeros="true" rightToLeft="false" tabSelected="false" showOutlineSymbols="true" defaultGridColor="true" view="normal" topLeftCell="H1" colorId="64" zoomScale="120" zoomScaleNormal="120" zoomScalePageLayoutView="100" workbookViewId="0">
      <selection pane="topLeft" activeCell="L10" activeCellId="0" sqref="L1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2.89"/>
    <col collapsed="false" customWidth="true" hidden="false" outlineLevel="0" max="2" min="2" style="2" width="24.78"/>
    <col collapsed="false" customWidth="true" hidden="false" outlineLevel="0" max="3" min="3" style="3" width="24.78"/>
    <col collapsed="false" customWidth="true" hidden="false" outlineLevel="0" max="4" min="4" style="4" width="36.78"/>
    <col collapsed="false" customWidth="true" hidden="false" outlineLevel="0" max="5" min="5" style="2" width="16.45"/>
    <col collapsed="false" customWidth="true" hidden="false" outlineLevel="0" max="6" min="6" style="2" width="44.55"/>
    <col collapsed="false" customWidth="true" hidden="false" outlineLevel="0" max="7" min="7" style="3" width="29.78"/>
    <col collapsed="false" customWidth="true" hidden="false" outlineLevel="0" max="8" min="8" style="12" width="32.67"/>
    <col collapsed="false" customWidth="true" hidden="false" outlineLevel="0" max="9" min="9" style="3" width="50.78"/>
    <col collapsed="false" customWidth="true" hidden="false" outlineLevel="0" max="10" min="10" style="4" width="16.78"/>
  </cols>
  <sheetData>
    <row r="1" customFormat="false" ht="16.4" hidden="false" customHeight="false" outlineLevel="0" collapsed="false">
      <c r="A1" s="1" t="s">
        <v>8</v>
      </c>
      <c r="B1" s="2" t="s">
        <v>11</v>
      </c>
      <c r="C1" s="3" t="s">
        <v>12</v>
      </c>
      <c r="D1" s="4" t="s">
        <v>15</v>
      </c>
      <c r="E1" s="2" t="s">
        <v>16</v>
      </c>
      <c r="F1" s="2" t="s">
        <v>17</v>
      </c>
      <c r="G1" s="19" t="s">
        <v>121</v>
      </c>
      <c r="H1" s="12" t="s">
        <v>175</v>
      </c>
      <c r="I1" s="3" t="s">
        <v>177</v>
      </c>
      <c r="J1" s="4" t="s">
        <v>176</v>
      </c>
    </row>
    <row r="2" customFormat="false" ht="14.25" hidden="false" customHeight="false" outlineLevel="0" collapsed="false">
      <c r="A2" s="1" t="s">
        <v>22</v>
      </c>
      <c r="B2" s="2" t="n">
        <v>20</v>
      </c>
      <c r="C2" s="3" t="n">
        <v>500</v>
      </c>
      <c r="D2" s="4" t="n">
        <v>4.12034052390144</v>
      </c>
      <c r="E2" s="2" t="n">
        <v>25</v>
      </c>
      <c r="F2" s="2" t="n">
        <v>39</v>
      </c>
      <c r="G2" s="3" t="n">
        <v>628</v>
      </c>
      <c r="H2" s="12" t="n">
        <v>0.0212996879663546</v>
      </c>
      <c r="I2" s="3" t="n">
        <v>120.527745920491</v>
      </c>
      <c r="J2" s="4" t="n">
        <v>0.16</v>
      </c>
    </row>
    <row r="3" customFormat="false" ht="14.25" hidden="false" customHeight="false" outlineLevel="0" collapsed="false">
      <c r="B3" s="2" t="n">
        <v>20</v>
      </c>
      <c r="C3" s="3" t="n">
        <v>500</v>
      </c>
      <c r="D3" s="4" t="n">
        <v>4.12034052390144</v>
      </c>
      <c r="E3" s="2" t="n">
        <v>25</v>
      </c>
      <c r="F3" s="2" t="n">
        <v>39</v>
      </c>
      <c r="G3" s="3" t="n">
        <v>628</v>
      </c>
      <c r="H3" s="12" t="n">
        <v>0.0212996879663546</v>
      </c>
      <c r="I3" s="3" t="n">
        <v>223.847982619891</v>
      </c>
      <c r="J3" s="4" t="n">
        <v>0.23</v>
      </c>
    </row>
    <row r="4" customFormat="false" ht="14.25" hidden="false" customHeight="false" outlineLevel="0" collapsed="false">
      <c r="B4" s="2" t="n">
        <v>20</v>
      </c>
      <c r="C4" s="3" t="n">
        <v>500</v>
      </c>
      <c r="D4" s="4" t="n">
        <v>4.12034052390144</v>
      </c>
      <c r="E4" s="2" t="n">
        <v>25</v>
      </c>
      <c r="F4" s="2" t="n">
        <v>39</v>
      </c>
      <c r="G4" s="3" t="n">
        <v>628</v>
      </c>
      <c r="H4" s="12" t="n">
        <v>0.0212996879663546</v>
      </c>
      <c r="I4" s="3" t="n">
        <v>242.052198219915</v>
      </c>
      <c r="J4" s="4" t="n">
        <v>0.24</v>
      </c>
    </row>
    <row r="5" customFormat="false" ht="14.25" hidden="false" customHeight="false" outlineLevel="0" collapsed="false">
      <c r="B5" s="2" t="n">
        <v>20</v>
      </c>
      <c r="C5" s="3" t="n">
        <v>500</v>
      </c>
      <c r="D5" s="4" t="n">
        <v>4.12034052390144</v>
      </c>
      <c r="E5" s="2" t="n">
        <v>25</v>
      </c>
      <c r="F5" s="2" t="n">
        <v>39</v>
      </c>
      <c r="G5" s="3" t="n">
        <v>628</v>
      </c>
      <c r="H5" s="12" t="n">
        <v>0.0212996879663546</v>
      </c>
      <c r="I5" s="3" t="n">
        <v>325.147190457684</v>
      </c>
      <c r="J5" s="4" t="n">
        <v>0.27</v>
      </c>
    </row>
    <row r="6" customFormat="false" ht="14.25" hidden="false" customHeight="false" outlineLevel="0" collapsed="false">
      <c r="B6" s="2" t="n">
        <v>20</v>
      </c>
      <c r="C6" s="3" t="n">
        <v>500</v>
      </c>
      <c r="D6" s="4" t="n">
        <v>4.12034052390144</v>
      </c>
      <c r="E6" s="2" t="n">
        <v>25</v>
      </c>
      <c r="F6" s="2" t="n">
        <v>39</v>
      </c>
      <c r="G6" s="3" t="n">
        <v>628</v>
      </c>
      <c r="H6" s="12" t="n">
        <v>0.0212996879663546</v>
      </c>
      <c r="I6" s="3" t="n">
        <v>447.784456981773</v>
      </c>
      <c r="J6" s="4" t="n">
        <v>0.35</v>
      </c>
    </row>
    <row r="7" customFormat="false" ht="14.25" hidden="false" customHeight="false" outlineLevel="0" collapsed="false">
      <c r="B7" s="2" t="n">
        <v>20</v>
      </c>
      <c r="C7" s="3" t="n">
        <v>500</v>
      </c>
      <c r="D7" s="4" t="n">
        <v>4.12034052390144</v>
      </c>
      <c r="E7" s="2" t="n">
        <v>25</v>
      </c>
      <c r="F7" s="2" t="n">
        <v>39</v>
      </c>
      <c r="G7" s="3" t="n">
        <v>628</v>
      </c>
      <c r="H7" s="12" t="n">
        <v>0.0212996879663546</v>
      </c>
      <c r="I7" s="3" t="n">
        <v>500</v>
      </c>
      <c r="J7" s="4" t="n">
        <v>0.4</v>
      </c>
    </row>
    <row r="8" customFormat="false" ht="14.25" hidden="false" customHeight="false" outlineLevel="0" collapsed="false">
      <c r="A8" s="1" t="s">
        <v>23</v>
      </c>
      <c r="B8" s="2" t="n">
        <v>10</v>
      </c>
      <c r="C8" s="3" t="n">
        <v>500</v>
      </c>
      <c r="D8" s="4" t="n">
        <v>4.13112676332901</v>
      </c>
      <c r="E8" s="2" t="n">
        <v>25</v>
      </c>
      <c r="F8" s="2" t="n">
        <v>53</v>
      </c>
      <c r="G8" s="3" t="n">
        <v>628</v>
      </c>
      <c r="H8" s="12" t="n">
        <v>0.0144607165883762</v>
      </c>
      <c r="I8" s="3" t="n">
        <v>224.984962100529</v>
      </c>
      <c r="J8" s="4" t="n">
        <v>0.16</v>
      </c>
    </row>
    <row r="9" customFormat="false" ht="14.25" hidden="false" customHeight="false" outlineLevel="0" collapsed="false">
      <c r="B9" s="2" t="n">
        <v>10</v>
      </c>
      <c r="C9" s="3" t="n">
        <v>500</v>
      </c>
      <c r="D9" s="4" t="n">
        <v>4.13112676332901</v>
      </c>
      <c r="E9" s="2" t="n">
        <v>25</v>
      </c>
      <c r="F9" s="2" t="n">
        <v>53</v>
      </c>
      <c r="G9" s="3" t="n">
        <v>628</v>
      </c>
      <c r="H9" s="12" t="n">
        <v>0.0144607165883762</v>
      </c>
      <c r="I9" s="3" t="n">
        <v>301.653838529852</v>
      </c>
      <c r="J9" s="4" t="n">
        <v>0.18</v>
      </c>
    </row>
    <row r="10" customFormat="false" ht="14.25" hidden="false" customHeight="false" outlineLevel="0" collapsed="false">
      <c r="B10" s="2" t="n">
        <v>10</v>
      </c>
      <c r="C10" s="3" t="n">
        <v>500</v>
      </c>
      <c r="D10" s="4" t="n">
        <v>4.13112676332901</v>
      </c>
      <c r="E10" s="2" t="n">
        <v>25</v>
      </c>
      <c r="F10" s="2" t="n">
        <v>53</v>
      </c>
      <c r="G10" s="3" t="n">
        <v>628</v>
      </c>
      <c r="H10" s="12" t="n">
        <v>0.0144607165883762</v>
      </c>
      <c r="I10" s="3" t="n">
        <v>497.36822294177</v>
      </c>
      <c r="J10" s="4" t="n">
        <v>0.26</v>
      </c>
    </row>
    <row r="11" customFormat="false" ht="14.25" hidden="false" customHeight="false" outlineLevel="0" collapsed="false">
      <c r="A11" s="1" t="s">
        <v>24</v>
      </c>
      <c r="B11" s="2" t="n">
        <v>10</v>
      </c>
      <c r="C11" s="3" t="n">
        <v>628</v>
      </c>
      <c r="D11" s="4" t="n">
        <v>3.262</v>
      </c>
      <c r="E11" s="2" t="n">
        <v>25</v>
      </c>
      <c r="F11" s="2" t="n">
        <v>36</v>
      </c>
      <c r="G11" s="3" t="n">
        <v>314</v>
      </c>
      <c r="H11" s="12" t="n">
        <v>0.0182558139534884</v>
      </c>
      <c r="I11" s="3" t="n">
        <v>178.115884475521</v>
      </c>
      <c r="J11" s="4" t="n">
        <v>0.16</v>
      </c>
    </row>
    <row r="12" customFormat="false" ht="14.25" hidden="false" customHeight="false" outlineLevel="0" collapsed="false">
      <c r="B12" s="2" t="n">
        <v>10</v>
      </c>
      <c r="C12" s="3" t="n">
        <v>628</v>
      </c>
      <c r="D12" s="4" t="n">
        <v>3.262</v>
      </c>
      <c r="E12" s="2" t="n">
        <v>25</v>
      </c>
      <c r="F12" s="2" t="n">
        <v>36</v>
      </c>
      <c r="G12" s="3" t="n">
        <v>314</v>
      </c>
      <c r="H12" s="12" t="n">
        <v>0.0182558139534884</v>
      </c>
      <c r="I12" s="3" t="n">
        <v>242.197039334368</v>
      </c>
      <c r="J12" s="4" t="n">
        <v>0.2</v>
      </c>
    </row>
    <row r="13" customFormat="false" ht="14.25" hidden="false" customHeight="false" outlineLevel="0" collapsed="false">
      <c r="B13" s="2" t="n">
        <v>10</v>
      </c>
      <c r="C13" s="3" t="n">
        <v>628</v>
      </c>
      <c r="D13" s="4" t="n">
        <v>3.262</v>
      </c>
      <c r="E13" s="2" t="n">
        <v>25</v>
      </c>
      <c r="F13" s="2" t="n">
        <v>36</v>
      </c>
      <c r="G13" s="3" t="n">
        <v>314</v>
      </c>
      <c r="H13" s="12" t="n">
        <v>0.0182558139534884</v>
      </c>
      <c r="I13" s="3" t="n">
        <v>308.133730145237</v>
      </c>
      <c r="J13" s="4" t="n">
        <v>0.2</v>
      </c>
    </row>
    <row r="14" customFormat="false" ht="14.25" hidden="false" customHeight="false" outlineLevel="0" collapsed="false">
      <c r="B14" s="2" t="n">
        <v>10</v>
      </c>
      <c r="C14" s="3" t="n">
        <v>628</v>
      </c>
      <c r="D14" s="4" t="n">
        <v>3.262</v>
      </c>
      <c r="E14" s="2" t="n">
        <v>25</v>
      </c>
      <c r="F14" s="2" t="n">
        <v>36</v>
      </c>
      <c r="G14" s="3" t="n">
        <v>314</v>
      </c>
      <c r="H14" s="12" t="n">
        <v>0.0182558139534884</v>
      </c>
      <c r="I14" s="3" t="n">
        <v>368.31936401396</v>
      </c>
      <c r="J14" s="4" t="n">
        <v>0.24</v>
      </c>
    </row>
    <row r="15" customFormat="false" ht="14.25" hidden="false" customHeight="false" outlineLevel="0" collapsed="false">
      <c r="B15" s="2" t="n">
        <v>10</v>
      </c>
      <c r="C15" s="3" t="n">
        <v>628</v>
      </c>
      <c r="D15" s="4" t="n">
        <v>3.262</v>
      </c>
      <c r="E15" s="2" t="n">
        <v>25</v>
      </c>
      <c r="F15" s="2" t="n">
        <v>36</v>
      </c>
      <c r="G15" s="3" t="n">
        <v>314</v>
      </c>
      <c r="H15" s="12" t="n">
        <v>0.0182558139534884</v>
      </c>
      <c r="I15" s="3" t="n">
        <v>401.01024685519</v>
      </c>
      <c r="J15" s="4" t="n">
        <v>0.3</v>
      </c>
    </row>
    <row r="16" customFormat="false" ht="14.25" hidden="false" customHeight="false" outlineLevel="0" collapsed="false">
      <c r="B16" s="2" t="n">
        <v>10</v>
      </c>
      <c r="C16" s="3" t="n">
        <v>628</v>
      </c>
      <c r="D16" s="4" t="n">
        <v>3.262</v>
      </c>
      <c r="E16" s="2" t="n">
        <v>25</v>
      </c>
      <c r="F16" s="2" t="n">
        <v>36</v>
      </c>
      <c r="G16" s="3" t="n">
        <v>314</v>
      </c>
      <c r="H16" s="12" t="n">
        <v>0.0182558139534884</v>
      </c>
      <c r="I16" s="3" t="n">
        <v>498.057729856692</v>
      </c>
      <c r="J16" s="4" t="n">
        <v>0.32</v>
      </c>
    </row>
    <row r="17" customFormat="false" ht="14.25" hidden="false" customHeight="false" outlineLevel="0" collapsed="false">
      <c r="B17" s="2" t="n">
        <v>10</v>
      </c>
      <c r="C17" s="3" t="n">
        <v>628</v>
      </c>
      <c r="D17" s="4" t="n">
        <v>3.262</v>
      </c>
      <c r="E17" s="2" t="n">
        <v>25</v>
      </c>
      <c r="F17" s="2" t="n">
        <v>36</v>
      </c>
      <c r="G17" s="3" t="n">
        <v>314</v>
      </c>
      <c r="H17" s="12" t="n">
        <v>0.0182558139534884</v>
      </c>
      <c r="I17" s="3" t="n">
        <v>502.761883538398</v>
      </c>
      <c r="J17" s="4" t="n">
        <v>0.38</v>
      </c>
    </row>
    <row r="18" customFormat="false" ht="14.25" hidden="false" customHeight="false" outlineLevel="0" collapsed="false">
      <c r="B18" s="2" t="n">
        <v>10</v>
      </c>
      <c r="C18" s="3" t="n">
        <v>628</v>
      </c>
      <c r="D18" s="4" t="n">
        <v>3.262</v>
      </c>
      <c r="E18" s="2" t="n">
        <v>25</v>
      </c>
      <c r="F18" s="2" t="n">
        <v>36</v>
      </c>
      <c r="G18" s="3" t="n">
        <v>314</v>
      </c>
      <c r="H18" s="12" t="n">
        <v>0.0182558139534884</v>
      </c>
      <c r="I18" s="3" t="n">
        <v>538.673446648283</v>
      </c>
      <c r="J18" s="4" t="n">
        <v>0.42</v>
      </c>
    </row>
    <row r="19" customFormat="false" ht="14.25" hidden="false" customHeight="false" outlineLevel="0" collapsed="false">
      <c r="B19" s="2" t="n">
        <v>10</v>
      </c>
      <c r="C19" s="3" t="n">
        <v>628</v>
      </c>
      <c r="D19" s="4" t="n">
        <v>3.262</v>
      </c>
      <c r="E19" s="2" t="n">
        <v>25</v>
      </c>
      <c r="F19" s="2" t="n">
        <v>36</v>
      </c>
      <c r="G19" s="3" t="n">
        <v>314</v>
      </c>
      <c r="H19" s="12" t="n">
        <v>0.0182558139534884</v>
      </c>
      <c r="I19" s="3" t="n">
        <v>628</v>
      </c>
      <c r="J19" s="4" t="n">
        <v>0.44</v>
      </c>
    </row>
    <row r="20" customFormat="false" ht="14.25" hidden="false" customHeight="false" outlineLevel="0" collapsed="false">
      <c r="B20" s="2" t="n">
        <v>10</v>
      </c>
      <c r="C20" s="3" t="n">
        <v>628</v>
      </c>
      <c r="D20" s="4" t="n">
        <v>3.262</v>
      </c>
      <c r="E20" s="2" t="n">
        <v>25</v>
      </c>
      <c r="F20" s="2" t="n">
        <v>36</v>
      </c>
      <c r="G20" s="3" t="n">
        <v>314</v>
      </c>
      <c r="H20" s="12" t="n">
        <v>0.0182558139534884</v>
      </c>
      <c r="I20" s="3" t="n">
        <v>628</v>
      </c>
      <c r="J20" s="4" t="n">
        <v>0.5</v>
      </c>
    </row>
    <row r="21" customFormat="false" ht="14.25" hidden="false" customHeight="false" outlineLevel="0" collapsed="false">
      <c r="A21" s="1" t="s">
        <v>25</v>
      </c>
      <c r="B21" s="2" t="n">
        <v>10</v>
      </c>
      <c r="C21" s="3" t="n">
        <v>628</v>
      </c>
      <c r="D21" s="4" t="n">
        <v>3.514</v>
      </c>
      <c r="E21" s="2" t="n">
        <v>25</v>
      </c>
      <c r="F21" s="2" t="n">
        <v>36</v>
      </c>
      <c r="G21" s="3" t="n">
        <v>314</v>
      </c>
      <c r="H21" s="12" t="n">
        <v>0.0182558139534884</v>
      </c>
      <c r="I21" s="3" t="n">
        <v>249.685784085099</v>
      </c>
      <c r="J21" s="4" t="n">
        <v>0.24</v>
      </c>
    </row>
    <row r="22" customFormat="false" ht="14.25" hidden="false" customHeight="false" outlineLevel="0" collapsed="false">
      <c r="B22" s="2" t="n">
        <v>10</v>
      </c>
      <c r="C22" s="3" t="n">
        <v>628</v>
      </c>
      <c r="D22" s="4" t="n">
        <v>3.514</v>
      </c>
      <c r="E22" s="2" t="n">
        <v>25</v>
      </c>
      <c r="F22" s="2" t="n">
        <v>36</v>
      </c>
      <c r="G22" s="3" t="n">
        <v>314</v>
      </c>
      <c r="H22" s="12" t="n">
        <v>0.0182558139534884</v>
      </c>
      <c r="I22" s="3" t="n">
        <v>336.5737959867</v>
      </c>
      <c r="J22" s="4" t="n">
        <v>0.3</v>
      </c>
    </row>
    <row r="23" customFormat="false" ht="14.25" hidden="false" customHeight="false" outlineLevel="0" collapsed="false">
      <c r="B23" s="2" t="n">
        <v>10</v>
      </c>
      <c r="C23" s="3" t="n">
        <v>628</v>
      </c>
      <c r="D23" s="4" t="n">
        <v>3.514</v>
      </c>
      <c r="E23" s="2" t="n">
        <v>25</v>
      </c>
      <c r="F23" s="2" t="n">
        <v>36</v>
      </c>
      <c r="G23" s="3" t="n">
        <v>314</v>
      </c>
      <c r="H23" s="12" t="n">
        <v>0.0182558139534884</v>
      </c>
      <c r="I23" s="3" t="n">
        <v>361.879363377413</v>
      </c>
      <c r="J23" s="4" t="n">
        <v>0.3</v>
      </c>
    </row>
    <row r="24" customFormat="false" ht="14.25" hidden="false" customHeight="false" outlineLevel="0" collapsed="false">
      <c r="B24" s="2" t="n">
        <v>10</v>
      </c>
      <c r="C24" s="3" t="n">
        <v>628</v>
      </c>
      <c r="D24" s="4" t="n">
        <v>3.514</v>
      </c>
      <c r="E24" s="2" t="n">
        <v>25</v>
      </c>
      <c r="F24" s="2" t="n">
        <v>36</v>
      </c>
      <c r="G24" s="3" t="n">
        <v>314</v>
      </c>
      <c r="H24" s="12" t="n">
        <v>0.0182558139534884</v>
      </c>
      <c r="I24" s="3" t="n">
        <v>392.910071207614</v>
      </c>
      <c r="J24" s="4" t="n">
        <v>0.3</v>
      </c>
    </row>
    <row r="25" customFormat="false" ht="14.25" hidden="false" customHeight="false" outlineLevel="0" collapsed="false">
      <c r="B25" s="2" t="n">
        <v>10</v>
      </c>
      <c r="C25" s="3" t="n">
        <v>628</v>
      </c>
      <c r="D25" s="4" t="n">
        <v>3.514</v>
      </c>
      <c r="E25" s="2" t="n">
        <v>25</v>
      </c>
      <c r="F25" s="2" t="n">
        <v>36</v>
      </c>
      <c r="G25" s="3" t="n">
        <v>314</v>
      </c>
      <c r="H25" s="12" t="n">
        <v>0.0182558139534884</v>
      </c>
      <c r="I25" s="3" t="n">
        <v>424.164281417311</v>
      </c>
      <c r="J25" s="4" t="n">
        <v>0.38</v>
      </c>
    </row>
    <row r="26" customFormat="false" ht="14.25" hidden="false" customHeight="false" outlineLevel="0" collapsed="false">
      <c r="B26" s="2" t="n">
        <v>10</v>
      </c>
      <c r="C26" s="3" t="n">
        <v>628</v>
      </c>
      <c r="D26" s="4" t="n">
        <v>3.514</v>
      </c>
      <c r="E26" s="2" t="n">
        <v>25</v>
      </c>
      <c r="F26" s="2" t="n">
        <v>36</v>
      </c>
      <c r="G26" s="3" t="n">
        <v>314</v>
      </c>
      <c r="H26" s="12" t="n">
        <v>0.0182558139534884</v>
      </c>
      <c r="I26" s="3" t="n">
        <v>491.137589009518</v>
      </c>
      <c r="J26" s="4" t="n">
        <v>0.44</v>
      </c>
    </row>
    <row r="27" customFormat="false" ht="14.25" hidden="false" customHeight="false" outlineLevel="0" collapsed="false">
      <c r="A27" s="1" t="s">
        <v>26</v>
      </c>
      <c r="B27" s="2" t="n">
        <v>16</v>
      </c>
      <c r="C27" s="3" t="n">
        <v>571</v>
      </c>
      <c r="D27" s="4" t="n">
        <v>4.2588</v>
      </c>
      <c r="E27" s="2" t="n">
        <v>33</v>
      </c>
      <c r="F27" s="2" t="n">
        <v>59</v>
      </c>
      <c r="G27" s="3" t="n">
        <v>800</v>
      </c>
      <c r="H27" s="12" t="n">
        <v>0.0408</v>
      </c>
      <c r="I27" s="3" t="n">
        <v>63.4584540622213</v>
      </c>
      <c r="J27" s="4" t="n">
        <v>0.18</v>
      </c>
    </row>
    <row r="28" customFormat="false" ht="14.25" hidden="false" customHeight="false" outlineLevel="0" collapsed="false">
      <c r="B28" s="2" t="n">
        <v>16</v>
      </c>
      <c r="C28" s="3" t="n">
        <v>571</v>
      </c>
      <c r="D28" s="4" t="n">
        <v>4.2588</v>
      </c>
      <c r="E28" s="2" t="n">
        <v>33</v>
      </c>
      <c r="F28" s="2" t="n">
        <v>59</v>
      </c>
      <c r="G28" s="3" t="n">
        <v>800</v>
      </c>
      <c r="H28" s="12" t="n">
        <v>0.0408</v>
      </c>
      <c r="I28" s="3" t="n">
        <v>132.585769771664</v>
      </c>
      <c r="J28" s="4" t="n">
        <v>0.2</v>
      </c>
    </row>
    <row r="29" customFormat="false" ht="14.25" hidden="false" customHeight="false" outlineLevel="0" collapsed="false">
      <c r="B29" s="2" t="n">
        <v>16</v>
      </c>
      <c r="C29" s="3" t="n">
        <v>571</v>
      </c>
      <c r="D29" s="4" t="n">
        <v>4.2588</v>
      </c>
      <c r="E29" s="2" t="n">
        <v>33</v>
      </c>
      <c r="F29" s="2" t="n">
        <v>59</v>
      </c>
      <c r="G29" s="3" t="n">
        <v>800</v>
      </c>
      <c r="H29" s="12" t="n">
        <v>0.0408</v>
      </c>
      <c r="I29" s="3" t="n">
        <v>182.106781023643</v>
      </c>
      <c r="J29" s="4" t="n">
        <v>0.26</v>
      </c>
    </row>
    <row r="30" customFormat="false" ht="14.25" hidden="false" customHeight="false" outlineLevel="0" collapsed="false">
      <c r="B30" s="2" t="n">
        <v>16</v>
      </c>
      <c r="C30" s="3" t="n">
        <v>571</v>
      </c>
      <c r="D30" s="4" t="n">
        <v>4.2588</v>
      </c>
      <c r="E30" s="2" t="n">
        <v>33</v>
      </c>
      <c r="F30" s="2" t="n">
        <v>59</v>
      </c>
      <c r="G30" s="3" t="n">
        <v>800</v>
      </c>
      <c r="H30" s="12" t="n">
        <v>0.0408</v>
      </c>
      <c r="I30" s="3" t="n">
        <v>276.470215881514</v>
      </c>
      <c r="J30" s="4" t="n">
        <v>0.44</v>
      </c>
    </row>
    <row r="31" customFormat="false" ht="14.25" hidden="false" customHeight="false" outlineLevel="0" collapsed="false">
      <c r="B31" s="2" t="n">
        <v>16</v>
      </c>
      <c r="C31" s="3" t="n">
        <v>571</v>
      </c>
      <c r="D31" s="4" t="n">
        <v>4.2588</v>
      </c>
      <c r="E31" s="2" t="n">
        <v>33</v>
      </c>
      <c r="F31" s="2" t="n">
        <v>59</v>
      </c>
      <c r="G31" s="3" t="n">
        <v>800</v>
      </c>
      <c r="H31" s="12" t="n">
        <v>0.0408</v>
      </c>
      <c r="I31" s="3" t="n">
        <v>412.877261019929</v>
      </c>
      <c r="J31" s="4" t="n">
        <v>0.6</v>
      </c>
    </row>
    <row r="32" customFormat="false" ht="14.25" hidden="false" customHeight="false" outlineLevel="0" collapsed="false">
      <c r="A32" s="1" t="s">
        <v>27</v>
      </c>
      <c r="B32" s="2" t="n">
        <v>12</v>
      </c>
      <c r="C32" s="3" t="n">
        <v>500</v>
      </c>
      <c r="D32" s="4" t="n">
        <v>2.69332921131829</v>
      </c>
      <c r="E32" s="2" t="n">
        <v>20</v>
      </c>
      <c r="F32" s="2" t="n">
        <v>38</v>
      </c>
      <c r="G32" s="3" t="n">
        <v>452</v>
      </c>
      <c r="H32" s="12" t="n">
        <v>0.0131778425655977</v>
      </c>
      <c r="I32" s="3" t="n">
        <v>218.681980739333</v>
      </c>
      <c r="J32" s="4" t="n">
        <v>0.36</v>
      </c>
    </row>
    <row r="33" customFormat="false" ht="14.25" hidden="false" customHeight="false" outlineLevel="0" collapsed="false">
      <c r="B33" s="2" t="n">
        <v>12</v>
      </c>
      <c r="C33" s="3" t="n">
        <v>500</v>
      </c>
      <c r="D33" s="4" t="n">
        <v>2.69332921131829</v>
      </c>
      <c r="E33" s="2" t="n">
        <v>20</v>
      </c>
      <c r="F33" s="2" t="n">
        <v>38</v>
      </c>
      <c r="G33" s="3" t="n">
        <v>452</v>
      </c>
      <c r="H33" s="12" t="n">
        <v>0.0131778425655977</v>
      </c>
      <c r="I33" s="3" t="n">
        <v>344.704832395587</v>
      </c>
      <c r="J33" s="4" t="n">
        <v>0.43</v>
      </c>
    </row>
    <row r="34" customFormat="false" ht="14.25" hidden="false" customHeight="false" outlineLevel="0" collapsed="false">
      <c r="B34" s="2" t="n">
        <v>12</v>
      </c>
      <c r="C34" s="3" t="n">
        <v>500</v>
      </c>
      <c r="D34" s="4" t="n">
        <v>2.69332921131829</v>
      </c>
      <c r="E34" s="2" t="n">
        <v>20</v>
      </c>
      <c r="F34" s="2" t="n">
        <v>38</v>
      </c>
      <c r="G34" s="3" t="n">
        <v>452</v>
      </c>
      <c r="H34" s="12" t="n">
        <v>0.0131778425655977</v>
      </c>
      <c r="I34" s="3" t="n">
        <v>500</v>
      </c>
      <c r="J34" s="4" t="n">
        <v>0.56</v>
      </c>
    </row>
    <row r="35" customFormat="false" ht="14.25" hidden="false" customHeight="false" outlineLevel="0" collapsed="false">
      <c r="B35" s="2" t="n">
        <v>12</v>
      </c>
      <c r="C35" s="3" t="n">
        <v>500</v>
      </c>
      <c r="D35" s="4" t="n">
        <v>2.69332921131829</v>
      </c>
      <c r="E35" s="2" t="n">
        <v>20</v>
      </c>
      <c r="F35" s="2" t="n">
        <v>38</v>
      </c>
      <c r="G35" s="3" t="n">
        <v>452</v>
      </c>
      <c r="H35" s="12" t="n">
        <v>0.0131778425655977</v>
      </c>
      <c r="I35" s="3" t="n">
        <v>500</v>
      </c>
      <c r="J35" s="4" t="n">
        <v>0.71</v>
      </c>
    </row>
    <row r="36" customFormat="false" ht="14.25" hidden="false" customHeight="false" outlineLevel="0" collapsed="false">
      <c r="B36" s="2" t="n">
        <v>12</v>
      </c>
      <c r="C36" s="3" t="n">
        <v>500</v>
      </c>
      <c r="D36" s="4" t="n">
        <v>2.69332921131829</v>
      </c>
      <c r="E36" s="2" t="n">
        <v>20</v>
      </c>
      <c r="F36" s="2" t="n">
        <v>38</v>
      </c>
      <c r="G36" s="3" t="n">
        <v>452</v>
      </c>
      <c r="H36" s="12" t="n">
        <v>0.0131778425655977</v>
      </c>
      <c r="I36" s="3" t="n">
        <v>500</v>
      </c>
      <c r="J36" s="4" t="n">
        <v>0.79</v>
      </c>
    </row>
    <row r="37" customFormat="false" ht="14.25" hidden="false" customHeight="false" outlineLevel="0" collapsed="false">
      <c r="A37" s="1" t="s">
        <v>28</v>
      </c>
      <c r="B37" s="2" t="n">
        <v>25</v>
      </c>
      <c r="C37" s="3" t="n">
        <v>500</v>
      </c>
      <c r="D37" s="4" t="n">
        <v>2.69332921131829</v>
      </c>
      <c r="E37" s="2" t="n">
        <v>20</v>
      </c>
      <c r="F37" s="2" t="n">
        <v>44.5</v>
      </c>
      <c r="G37" s="3" t="n">
        <v>1964</v>
      </c>
      <c r="H37" s="12" t="n">
        <v>0.0360284338454483</v>
      </c>
      <c r="I37" s="3" t="n">
        <v>50.8503623319182</v>
      </c>
      <c r="J37" s="4" t="n">
        <v>0.2</v>
      </c>
    </row>
    <row r="38" customFormat="false" ht="14.25" hidden="false" customHeight="false" outlineLevel="0" collapsed="false">
      <c r="B38" s="2" t="n">
        <v>25</v>
      </c>
      <c r="C38" s="3" t="n">
        <v>500</v>
      </c>
      <c r="D38" s="4" t="n">
        <v>2.69332921131829</v>
      </c>
      <c r="E38" s="2" t="n">
        <v>20</v>
      </c>
      <c r="F38" s="2" t="n">
        <v>44.5</v>
      </c>
      <c r="G38" s="3" t="n">
        <v>1964</v>
      </c>
      <c r="H38" s="12" t="n">
        <v>0.0360284338454483</v>
      </c>
      <c r="I38" s="3" t="n">
        <v>136.392275585503</v>
      </c>
      <c r="J38" s="4" t="n">
        <v>0.25</v>
      </c>
    </row>
    <row r="39" customFormat="false" ht="14.25" hidden="false" customHeight="false" outlineLevel="0" collapsed="false">
      <c r="B39" s="2" t="n">
        <v>25</v>
      </c>
      <c r="C39" s="3" t="n">
        <v>500</v>
      </c>
      <c r="D39" s="4" t="n">
        <v>2.69332921131829</v>
      </c>
      <c r="E39" s="2" t="n">
        <v>20</v>
      </c>
      <c r="F39" s="2" t="n">
        <v>44.5</v>
      </c>
      <c r="G39" s="3" t="n">
        <v>1964</v>
      </c>
      <c r="H39" s="12" t="n">
        <v>0.0360284338454483</v>
      </c>
      <c r="I39" s="3" t="n">
        <v>238.242392804302</v>
      </c>
      <c r="J39" s="4" t="n">
        <v>0.36</v>
      </c>
    </row>
    <row r="40" customFormat="false" ht="14.25" hidden="false" customHeight="false" outlineLevel="0" collapsed="false">
      <c r="B40" s="2" t="n">
        <v>25</v>
      </c>
      <c r="C40" s="3" t="n">
        <v>500</v>
      </c>
      <c r="D40" s="4" t="n">
        <v>2.69332921131829</v>
      </c>
      <c r="E40" s="2" t="n">
        <v>20</v>
      </c>
      <c r="F40" s="2" t="n">
        <v>44.5</v>
      </c>
      <c r="G40" s="3" t="n">
        <v>1964</v>
      </c>
      <c r="H40" s="12" t="n">
        <v>0.0360284338454483</v>
      </c>
      <c r="I40" s="3" t="n">
        <v>340.0925100231</v>
      </c>
      <c r="J40" s="4" t="n">
        <v>0.47</v>
      </c>
    </row>
    <row r="41" customFormat="false" ht="14.25" hidden="false" customHeight="false" outlineLevel="0" collapsed="false">
      <c r="B41" s="2" t="n">
        <v>25</v>
      </c>
      <c r="C41" s="3" t="n">
        <v>500</v>
      </c>
      <c r="D41" s="4" t="n">
        <v>2.69332921131829</v>
      </c>
      <c r="E41" s="2" t="n">
        <v>20</v>
      </c>
      <c r="F41" s="2" t="n">
        <v>44.5</v>
      </c>
      <c r="G41" s="3" t="n">
        <v>1964</v>
      </c>
      <c r="H41" s="12" t="n">
        <v>0.0360284338454483</v>
      </c>
      <c r="I41" s="3" t="n">
        <v>416.4800979372</v>
      </c>
      <c r="J41" s="4" t="n">
        <v>0.57</v>
      </c>
    </row>
    <row r="42" customFormat="false" ht="14.25" hidden="false" customHeight="false" outlineLevel="0" collapsed="false">
      <c r="B42" s="2" t="n">
        <v>25</v>
      </c>
      <c r="C42" s="3" t="n">
        <v>500</v>
      </c>
      <c r="D42" s="4" t="n">
        <v>2.69332921131829</v>
      </c>
      <c r="E42" s="2" t="n">
        <v>20</v>
      </c>
      <c r="F42" s="2" t="n">
        <v>44.5</v>
      </c>
      <c r="G42" s="3" t="n">
        <v>1964</v>
      </c>
      <c r="H42" s="12" t="n">
        <v>0.0360284338454483</v>
      </c>
      <c r="I42" s="3" t="n">
        <v>500</v>
      </c>
      <c r="J42" s="4" t="n">
        <v>0.78</v>
      </c>
    </row>
    <row r="43" customFormat="false" ht="14.25" hidden="false" customHeight="false" outlineLevel="0" collapsed="false">
      <c r="A43" s="1" t="s">
        <v>29</v>
      </c>
      <c r="B43" s="2" t="n">
        <v>12</v>
      </c>
      <c r="C43" s="3" t="n">
        <v>500</v>
      </c>
      <c r="D43" s="4" t="n">
        <v>2.69332921131829</v>
      </c>
      <c r="E43" s="2" t="n">
        <v>20</v>
      </c>
      <c r="F43" s="2" t="n">
        <v>34</v>
      </c>
      <c r="G43" s="3" t="n">
        <v>452</v>
      </c>
      <c r="H43" s="12" t="n">
        <v>0.0137386018237082</v>
      </c>
      <c r="I43" s="3" t="n">
        <v>94.1521358627311</v>
      </c>
      <c r="J43" s="4" t="n">
        <v>0.21</v>
      </c>
    </row>
    <row r="44" customFormat="false" ht="14.25" hidden="false" customHeight="false" outlineLevel="0" collapsed="false">
      <c r="B44" s="2" t="n">
        <v>12</v>
      </c>
      <c r="C44" s="3" t="n">
        <v>500</v>
      </c>
      <c r="D44" s="4" t="n">
        <v>2.69332921131829</v>
      </c>
      <c r="E44" s="2" t="n">
        <v>20</v>
      </c>
      <c r="F44" s="2" t="n">
        <v>34</v>
      </c>
      <c r="G44" s="3" t="n">
        <v>452</v>
      </c>
      <c r="H44" s="12" t="n">
        <v>0.0137386018237082</v>
      </c>
      <c r="I44" s="3" t="n">
        <v>155.793729022078</v>
      </c>
      <c r="J44" s="4" t="n">
        <v>0.31</v>
      </c>
    </row>
    <row r="45" customFormat="false" ht="14.25" hidden="false" customHeight="false" outlineLevel="0" collapsed="false">
      <c r="B45" s="2" t="n">
        <v>12</v>
      </c>
      <c r="C45" s="3" t="n">
        <v>500</v>
      </c>
      <c r="D45" s="4" t="n">
        <v>2.69332921131829</v>
      </c>
      <c r="E45" s="2" t="n">
        <v>20</v>
      </c>
      <c r="F45" s="2" t="n">
        <v>34</v>
      </c>
      <c r="G45" s="3" t="n">
        <v>452</v>
      </c>
      <c r="H45" s="12" t="n">
        <v>0.0137386018237082</v>
      </c>
      <c r="I45" s="3" t="n">
        <v>217.435322181425</v>
      </c>
      <c r="J45" s="4" t="n">
        <v>0.38</v>
      </c>
    </row>
    <row r="46" customFormat="false" ht="14.25" hidden="false" customHeight="false" outlineLevel="0" collapsed="false">
      <c r="B46" s="2" t="n">
        <v>12</v>
      </c>
      <c r="C46" s="3" t="n">
        <v>500</v>
      </c>
      <c r="D46" s="4" t="n">
        <v>2.69332921131829</v>
      </c>
      <c r="E46" s="2" t="n">
        <v>20</v>
      </c>
      <c r="F46" s="2" t="n">
        <v>34</v>
      </c>
      <c r="G46" s="3" t="n">
        <v>452</v>
      </c>
      <c r="H46" s="12" t="n">
        <v>0.0137386018237082</v>
      </c>
      <c r="I46" s="3" t="n">
        <v>340.718508500119</v>
      </c>
      <c r="J46" s="4" t="n">
        <v>0.52</v>
      </c>
    </row>
    <row r="47" customFormat="false" ht="14.25" hidden="false" customHeight="false" outlineLevel="0" collapsed="false">
      <c r="B47" s="2" t="n">
        <v>12</v>
      </c>
      <c r="C47" s="3" t="n">
        <v>500</v>
      </c>
      <c r="D47" s="4" t="n">
        <v>2.69332921131829</v>
      </c>
      <c r="E47" s="2" t="n">
        <v>20</v>
      </c>
      <c r="F47" s="2" t="n">
        <v>34</v>
      </c>
      <c r="G47" s="3" t="n">
        <v>452</v>
      </c>
      <c r="H47" s="12" t="n">
        <v>0.0137386018237082</v>
      </c>
      <c r="I47" s="3" t="n">
        <v>500</v>
      </c>
      <c r="J47" s="4" t="n">
        <v>0.74</v>
      </c>
    </row>
    <row r="48" customFormat="false" ht="14.25" hidden="false" customHeight="false" outlineLevel="0" collapsed="false">
      <c r="A48" s="1" t="s">
        <v>30</v>
      </c>
      <c r="B48" s="2" t="n">
        <v>12</v>
      </c>
      <c r="C48" s="3" t="n">
        <v>500</v>
      </c>
      <c r="D48" s="4" t="n">
        <v>2.69332921131829</v>
      </c>
      <c r="E48" s="2" t="n">
        <v>20</v>
      </c>
      <c r="F48" s="2" t="n">
        <v>34</v>
      </c>
      <c r="G48" s="3" t="n">
        <v>452</v>
      </c>
      <c r="H48" s="12" t="n">
        <v>0.0137386018237082</v>
      </c>
      <c r="I48" s="3" t="n">
        <v>94.1521358627311</v>
      </c>
      <c r="J48" s="4" t="n">
        <v>0.17</v>
      </c>
    </row>
    <row r="49" customFormat="false" ht="14.25" hidden="false" customHeight="false" outlineLevel="0" collapsed="false">
      <c r="B49" s="2" t="n">
        <v>12</v>
      </c>
      <c r="C49" s="3" t="n">
        <v>500</v>
      </c>
      <c r="D49" s="4" t="n">
        <v>2.69332921131829</v>
      </c>
      <c r="E49" s="2" t="n">
        <v>20</v>
      </c>
      <c r="F49" s="2" t="n">
        <v>34</v>
      </c>
      <c r="G49" s="3" t="n">
        <v>452</v>
      </c>
      <c r="H49" s="12" t="n">
        <v>0.0137386018237082</v>
      </c>
      <c r="I49" s="3" t="n">
        <v>217.435322181425</v>
      </c>
      <c r="J49" s="4" t="n">
        <v>0.36</v>
      </c>
    </row>
    <row r="50" customFormat="false" ht="14.25" hidden="false" customHeight="false" outlineLevel="0" collapsed="false">
      <c r="B50" s="2" t="n">
        <v>12</v>
      </c>
      <c r="C50" s="3" t="n">
        <v>500</v>
      </c>
      <c r="D50" s="4" t="n">
        <v>2.69332921131829</v>
      </c>
      <c r="E50" s="2" t="n">
        <v>20</v>
      </c>
      <c r="F50" s="2" t="n">
        <v>34</v>
      </c>
      <c r="G50" s="3" t="n">
        <v>452</v>
      </c>
      <c r="H50" s="12" t="n">
        <v>0.0137386018237082</v>
      </c>
      <c r="I50" s="3" t="n">
        <v>340.718508500119</v>
      </c>
      <c r="J50" s="4" t="n">
        <v>0.56</v>
      </c>
    </row>
    <row r="51" customFormat="false" ht="14.25" hidden="false" customHeight="false" outlineLevel="0" collapsed="false">
      <c r="B51" s="2" t="n">
        <v>12</v>
      </c>
      <c r="C51" s="3" t="n">
        <v>500</v>
      </c>
      <c r="D51" s="4" t="n">
        <v>2.69332921131829</v>
      </c>
      <c r="E51" s="2" t="n">
        <v>20</v>
      </c>
      <c r="F51" s="2" t="n">
        <v>34</v>
      </c>
      <c r="G51" s="3" t="n">
        <v>452</v>
      </c>
      <c r="H51" s="12" t="n">
        <v>0.0137386018237082</v>
      </c>
      <c r="I51" s="3" t="n">
        <v>500</v>
      </c>
      <c r="J51" s="4" t="n">
        <v>0.78</v>
      </c>
    </row>
    <row r="52" customFormat="false" ht="14.25" hidden="false" customHeight="false" outlineLevel="0" collapsed="false">
      <c r="A52" s="1" t="s">
        <v>31</v>
      </c>
      <c r="B52" s="2" t="n">
        <v>12</v>
      </c>
      <c r="C52" s="3" t="n">
        <v>500</v>
      </c>
      <c r="D52" s="4" t="n">
        <v>2.69332921131829</v>
      </c>
      <c r="E52" s="2" t="n">
        <v>70</v>
      </c>
      <c r="F52" s="2" t="n">
        <v>88</v>
      </c>
      <c r="G52" s="3" t="n">
        <v>452</v>
      </c>
      <c r="H52" s="12" t="n">
        <v>0.0107619047619048</v>
      </c>
      <c r="I52" s="3" t="n">
        <v>115.383497199433</v>
      </c>
      <c r="J52" s="4" t="n">
        <v>0.31</v>
      </c>
    </row>
    <row r="53" customFormat="false" ht="14.25" hidden="false" customHeight="false" outlineLevel="0" collapsed="false">
      <c r="B53" s="2" t="n">
        <v>12</v>
      </c>
      <c r="C53" s="3" t="n">
        <v>500</v>
      </c>
      <c r="D53" s="4" t="n">
        <v>2.69332921131829</v>
      </c>
      <c r="E53" s="2" t="n">
        <v>70</v>
      </c>
      <c r="F53" s="2" t="n">
        <v>88</v>
      </c>
      <c r="G53" s="3" t="n">
        <v>452</v>
      </c>
      <c r="H53" s="12" t="n">
        <v>0.0107619047619048</v>
      </c>
      <c r="I53" s="3" t="n">
        <v>192.116183786739</v>
      </c>
      <c r="J53" s="4" t="n">
        <v>0.44</v>
      </c>
    </row>
    <row r="54" customFormat="false" ht="14.25" hidden="false" customHeight="false" outlineLevel="0" collapsed="false">
      <c r="A54" s="1" t="s">
        <v>32</v>
      </c>
      <c r="B54" s="2" t="n">
        <v>12</v>
      </c>
      <c r="C54" s="3" t="n">
        <v>500</v>
      </c>
      <c r="D54" s="4" t="n">
        <v>2.69332921131829</v>
      </c>
      <c r="E54" s="2" t="n">
        <v>70</v>
      </c>
      <c r="F54" s="2" t="n">
        <v>84</v>
      </c>
      <c r="G54" s="3" t="n">
        <v>452</v>
      </c>
      <c r="H54" s="12" t="n">
        <v>0.0107619047619048</v>
      </c>
      <c r="I54" s="3" t="n">
        <v>35.1927566244768</v>
      </c>
      <c r="J54" s="4" t="n">
        <v>0.14</v>
      </c>
    </row>
    <row r="55" customFormat="false" ht="14.25" hidden="false" customHeight="false" outlineLevel="0" collapsed="false">
      <c r="B55" s="2" t="n">
        <v>12</v>
      </c>
      <c r="C55" s="3" t="n">
        <v>500</v>
      </c>
      <c r="D55" s="4" t="n">
        <v>2.69332921131829</v>
      </c>
      <c r="E55" s="2" t="n">
        <v>70</v>
      </c>
      <c r="F55" s="2" t="n">
        <v>84</v>
      </c>
      <c r="G55" s="3" t="n">
        <v>452</v>
      </c>
      <c r="H55" s="12" t="n">
        <v>0.0107619047619048</v>
      </c>
      <c r="I55" s="3" t="n">
        <v>111.060929714869</v>
      </c>
      <c r="J55" s="4" t="n">
        <v>0.31</v>
      </c>
    </row>
    <row r="56" customFormat="false" ht="14.25" hidden="false" customHeight="false" outlineLevel="0" collapsed="false">
      <c r="B56" s="2" t="n">
        <v>12</v>
      </c>
      <c r="C56" s="3" t="n">
        <v>500</v>
      </c>
      <c r="D56" s="4" t="n">
        <v>2.69332921131829</v>
      </c>
      <c r="E56" s="2" t="n">
        <v>70</v>
      </c>
      <c r="F56" s="2" t="n">
        <v>84</v>
      </c>
      <c r="G56" s="3" t="n">
        <v>452</v>
      </c>
      <c r="H56" s="12" t="n">
        <v>0.0107619047619048</v>
      </c>
      <c r="I56" s="3" t="n">
        <v>186.929102805262</v>
      </c>
      <c r="J56" s="4" t="n">
        <v>0.4</v>
      </c>
    </row>
    <row r="57" customFormat="false" ht="14.25" hidden="false" customHeight="false" outlineLevel="0" collapsed="false">
      <c r="A57" s="1" t="s">
        <v>33</v>
      </c>
      <c r="B57" s="2" t="n">
        <v>12</v>
      </c>
      <c r="C57" s="3" t="n">
        <v>500</v>
      </c>
      <c r="D57" s="4" t="n">
        <v>2.69332921131829</v>
      </c>
      <c r="E57" s="2" t="n">
        <v>70</v>
      </c>
      <c r="F57" s="2" t="n">
        <v>84</v>
      </c>
      <c r="G57" s="3" t="n">
        <v>452</v>
      </c>
      <c r="H57" s="12" t="n">
        <v>0.0107619047619048</v>
      </c>
      <c r="I57" s="3" t="n">
        <v>35.1927566244768</v>
      </c>
      <c r="J57" s="4" t="n">
        <v>0.25</v>
      </c>
    </row>
    <row r="58" customFormat="false" ht="14.25" hidden="false" customHeight="false" outlineLevel="0" collapsed="false">
      <c r="B58" s="2" t="n">
        <v>12</v>
      </c>
      <c r="C58" s="3" t="n">
        <v>500</v>
      </c>
      <c r="D58" s="4" t="n">
        <v>2.69332921131829</v>
      </c>
      <c r="E58" s="2" t="n">
        <v>70</v>
      </c>
      <c r="F58" s="2" t="n">
        <v>84</v>
      </c>
      <c r="G58" s="3" t="n">
        <v>452</v>
      </c>
      <c r="H58" s="12" t="n">
        <v>0.0107619047619048</v>
      </c>
      <c r="I58" s="3" t="n">
        <v>111.060929714869</v>
      </c>
      <c r="J58" s="4" t="n">
        <v>0.44</v>
      </c>
    </row>
    <row r="59" customFormat="false" ht="14.25" hidden="false" customHeight="false" outlineLevel="0" collapsed="false">
      <c r="B59" s="2" t="n">
        <v>12</v>
      </c>
      <c r="C59" s="3" t="n">
        <v>500</v>
      </c>
      <c r="D59" s="4" t="n">
        <v>2.69332921131829</v>
      </c>
      <c r="E59" s="2" t="n">
        <v>70</v>
      </c>
      <c r="F59" s="2" t="n">
        <v>84</v>
      </c>
      <c r="G59" s="3" t="n">
        <v>452</v>
      </c>
      <c r="H59" s="12" t="n">
        <v>0.0107619047619048</v>
      </c>
      <c r="I59" s="3" t="n">
        <v>186.929102805262</v>
      </c>
      <c r="J59" s="4" t="n">
        <v>0.56</v>
      </c>
    </row>
    <row r="60" customFormat="false" ht="14.25" hidden="false" customHeight="false" outlineLevel="0" collapsed="false">
      <c r="A60" s="1" t="s">
        <v>34</v>
      </c>
      <c r="B60" s="2" t="n">
        <v>25</v>
      </c>
      <c r="C60" s="3" t="n">
        <v>500</v>
      </c>
      <c r="D60" s="4" t="n">
        <v>2.69332921131829</v>
      </c>
      <c r="E60" s="2" t="n">
        <v>20</v>
      </c>
      <c r="F60" s="2" t="n">
        <v>40.5</v>
      </c>
      <c r="G60" s="3" t="n">
        <v>1964</v>
      </c>
      <c r="H60" s="12" t="n">
        <v>0.0395867976820358</v>
      </c>
      <c r="I60" s="3" t="n">
        <v>162.977172789228</v>
      </c>
      <c r="J60" s="4" t="n">
        <v>0.23</v>
      </c>
    </row>
    <row r="61" customFormat="false" ht="14.25" hidden="false" customHeight="false" outlineLevel="0" collapsed="false">
      <c r="B61" s="2" t="n">
        <v>25</v>
      </c>
      <c r="C61" s="3" t="n">
        <v>500</v>
      </c>
      <c r="D61" s="4" t="n">
        <v>2.69332921131829</v>
      </c>
      <c r="E61" s="2" t="n">
        <v>20</v>
      </c>
      <c r="F61" s="2" t="n">
        <v>40.5</v>
      </c>
      <c r="G61" s="3" t="n">
        <v>1964</v>
      </c>
      <c r="H61" s="12" t="n">
        <v>0.0395867976820358</v>
      </c>
      <c r="I61" s="3" t="n">
        <v>287.49119849252</v>
      </c>
      <c r="J61" s="4" t="n">
        <v>0.35</v>
      </c>
    </row>
    <row r="62" customFormat="false" ht="14.25" hidden="false" customHeight="false" outlineLevel="0" collapsed="false">
      <c r="B62" s="2" t="n">
        <v>25</v>
      </c>
      <c r="C62" s="3" t="n">
        <v>500</v>
      </c>
      <c r="D62" s="4" t="n">
        <v>2.69332921131829</v>
      </c>
      <c r="E62" s="2" t="n">
        <v>20</v>
      </c>
      <c r="F62" s="2" t="n">
        <v>40.5</v>
      </c>
      <c r="G62" s="3" t="n">
        <v>1964</v>
      </c>
      <c r="H62" s="12" t="n">
        <v>0.0395867976820358</v>
      </c>
      <c r="I62" s="3" t="n">
        <v>412.005224195811</v>
      </c>
      <c r="J62" s="4" t="n">
        <v>0.49</v>
      </c>
    </row>
    <row r="63" customFormat="false" ht="14.25" hidden="false" customHeight="false" outlineLevel="0" collapsed="false">
      <c r="B63" s="2" t="n">
        <v>25</v>
      </c>
      <c r="C63" s="3" t="n">
        <v>500</v>
      </c>
      <c r="D63" s="4" t="n">
        <v>2.69332921131829</v>
      </c>
      <c r="E63" s="2" t="n">
        <v>20</v>
      </c>
      <c r="F63" s="2" t="n">
        <v>40.5</v>
      </c>
      <c r="G63" s="3" t="n">
        <v>1964</v>
      </c>
      <c r="H63" s="12" t="n">
        <v>0.0395867976820358</v>
      </c>
      <c r="I63" s="3" t="n">
        <v>500</v>
      </c>
      <c r="J63" s="4" t="n">
        <v>0.67</v>
      </c>
    </row>
    <row r="64" customFormat="false" ht="14.25" hidden="false" customHeight="false" outlineLevel="0" collapsed="false">
      <c r="A64" s="1" t="s">
        <v>35</v>
      </c>
      <c r="B64" s="2" t="n">
        <v>25</v>
      </c>
      <c r="C64" s="3" t="n">
        <v>500</v>
      </c>
      <c r="D64" s="4" t="n">
        <v>2.69332921131829</v>
      </c>
      <c r="E64" s="2" t="n">
        <v>20</v>
      </c>
      <c r="F64" s="2" t="n">
        <v>40.5</v>
      </c>
      <c r="G64" s="3" t="n">
        <v>1964</v>
      </c>
      <c r="H64" s="12" t="n">
        <v>0.0395867976820358</v>
      </c>
      <c r="I64" s="3" t="n">
        <v>162.977172789228</v>
      </c>
      <c r="J64" s="4" t="n">
        <v>0.27</v>
      </c>
    </row>
    <row r="65" customFormat="false" ht="14.25" hidden="false" customHeight="false" outlineLevel="0" collapsed="false">
      <c r="B65" s="2" t="n">
        <v>25</v>
      </c>
      <c r="C65" s="3" t="n">
        <v>500</v>
      </c>
      <c r="D65" s="4" t="n">
        <v>2.69332921131829</v>
      </c>
      <c r="E65" s="2" t="n">
        <v>20</v>
      </c>
      <c r="F65" s="2" t="n">
        <v>40.5</v>
      </c>
      <c r="G65" s="3" t="n">
        <v>1964</v>
      </c>
      <c r="H65" s="12" t="n">
        <v>0.0395867976820358</v>
      </c>
      <c r="I65" s="3" t="n">
        <v>287.49119849252</v>
      </c>
      <c r="J65" s="4" t="n">
        <v>0.4</v>
      </c>
    </row>
    <row r="66" customFormat="false" ht="14.25" hidden="false" customHeight="false" outlineLevel="0" collapsed="false">
      <c r="B66" s="2" t="n">
        <v>25</v>
      </c>
      <c r="C66" s="3" t="n">
        <v>500</v>
      </c>
      <c r="D66" s="4" t="n">
        <v>2.69332921131829</v>
      </c>
      <c r="E66" s="2" t="n">
        <v>20</v>
      </c>
      <c r="F66" s="2" t="n">
        <v>40.5</v>
      </c>
      <c r="G66" s="3" t="n">
        <v>1964</v>
      </c>
      <c r="H66" s="12" t="n">
        <v>0.0395867976820358</v>
      </c>
      <c r="I66" s="3" t="n">
        <v>412.005224195811</v>
      </c>
      <c r="J66" s="4" t="n">
        <v>0.53</v>
      </c>
    </row>
    <row r="67" customFormat="false" ht="14.25" hidden="false" customHeight="false" outlineLevel="0" collapsed="false">
      <c r="B67" s="2" t="n">
        <v>25</v>
      </c>
      <c r="C67" s="3" t="n">
        <v>500</v>
      </c>
      <c r="D67" s="4" t="n">
        <v>2.69332921131829</v>
      </c>
      <c r="E67" s="2" t="n">
        <v>20</v>
      </c>
      <c r="F67" s="2" t="n">
        <v>40.5</v>
      </c>
      <c r="G67" s="3" t="n">
        <v>1964</v>
      </c>
      <c r="H67" s="12" t="n">
        <v>0.0395867976820358</v>
      </c>
      <c r="I67" s="3" t="n">
        <v>500</v>
      </c>
      <c r="J67" s="4" t="n">
        <v>0.72</v>
      </c>
    </row>
    <row r="68" customFormat="false" ht="14.25" hidden="false" customHeight="false" outlineLevel="0" collapsed="false">
      <c r="A68" s="1" t="s">
        <v>36</v>
      </c>
      <c r="B68" s="2" t="n">
        <v>25</v>
      </c>
      <c r="C68" s="3" t="n">
        <v>500</v>
      </c>
      <c r="D68" s="4" t="n">
        <v>2.69332921131829</v>
      </c>
      <c r="E68" s="2" t="n">
        <v>70</v>
      </c>
      <c r="F68" s="2" t="n">
        <v>94.5</v>
      </c>
      <c r="G68" s="3" t="n">
        <v>1964</v>
      </c>
      <c r="H68" s="12" t="n">
        <v>0.0255645948584445</v>
      </c>
      <c r="I68" s="3" t="n">
        <v>48.3195397296772</v>
      </c>
      <c r="J68" s="4" t="n">
        <v>0.3</v>
      </c>
    </row>
    <row r="69" customFormat="false" ht="14.25" hidden="false" customHeight="false" outlineLevel="0" collapsed="false">
      <c r="B69" s="2" t="n">
        <v>25</v>
      </c>
      <c r="C69" s="3" t="n">
        <v>500</v>
      </c>
      <c r="D69" s="4" t="n">
        <v>2.69332921131829</v>
      </c>
      <c r="E69" s="2" t="n">
        <v>70</v>
      </c>
      <c r="F69" s="2" t="n">
        <v>94.5</v>
      </c>
      <c r="G69" s="3" t="n">
        <v>1964</v>
      </c>
      <c r="H69" s="12" t="n">
        <v>0.0255645948584445</v>
      </c>
      <c r="I69" s="3" t="n">
        <v>184.854446138658</v>
      </c>
      <c r="J69" s="4" t="n">
        <v>0.57</v>
      </c>
    </row>
    <row r="70" customFormat="false" ht="14.25" hidden="false" customHeight="false" outlineLevel="0" collapsed="false">
      <c r="A70" s="1" t="s">
        <v>37</v>
      </c>
      <c r="B70" s="2" t="n">
        <v>25</v>
      </c>
      <c r="C70" s="3" t="n">
        <v>500</v>
      </c>
      <c r="D70" s="4" t="n">
        <v>2.69332921131829</v>
      </c>
      <c r="E70" s="2" t="n">
        <v>70</v>
      </c>
      <c r="F70" s="2" t="n">
        <v>90.5</v>
      </c>
      <c r="G70" s="3" t="n">
        <v>1964</v>
      </c>
      <c r="H70" s="12" t="n">
        <v>0.0260391117003646</v>
      </c>
      <c r="I70" s="3" t="n">
        <v>48.0374206768183</v>
      </c>
      <c r="J70" s="4" t="n">
        <v>0.26</v>
      </c>
    </row>
    <row r="71" customFormat="false" ht="14.25" hidden="false" customHeight="false" outlineLevel="0" collapsed="false">
      <c r="B71" s="2" t="n">
        <v>25</v>
      </c>
      <c r="C71" s="3" t="n">
        <v>500</v>
      </c>
      <c r="D71" s="4" t="n">
        <v>2.69332921131829</v>
      </c>
      <c r="E71" s="2" t="n">
        <v>70</v>
      </c>
      <c r="F71" s="2" t="n">
        <v>90.5</v>
      </c>
      <c r="G71" s="3" t="n">
        <v>1964</v>
      </c>
      <c r="H71" s="12" t="n">
        <v>0.0260391117003646</v>
      </c>
      <c r="I71" s="3" t="n">
        <v>182.184152739316</v>
      </c>
      <c r="J71" s="4" t="n">
        <v>0.6</v>
      </c>
    </row>
    <row r="72" customFormat="false" ht="14.25" hidden="false" customHeight="false" outlineLevel="0" collapsed="false">
      <c r="A72" s="1" t="s">
        <v>38</v>
      </c>
      <c r="B72" s="2" t="n">
        <v>25</v>
      </c>
      <c r="C72" s="3" t="n">
        <v>500</v>
      </c>
      <c r="D72" s="4" t="n">
        <v>2.69332921131829</v>
      </c>
      <c r="E72" s="2" t="n">
        <v>70</v>
      </c>
      <c r="F72" s="2" t="n">
        <v>90.5</v>
      </c>
      <c r="G72" s="3" t="n">
        <v>1964</v>
      </c>
      <c r="H72" s="12" t="n">
        <v>0.0260391117003646</v>
      </c>
      <c r="I72" s="3" t="n">
        <v>48.0374206768183</v>
      </c>
      <c r="J72" s="4" t="n">
        <v>0.27</v>
      </c>
    </row>
    <row r="73" customFormat="false" ht="14.25" hidden="false" customHeight="false" outlineLevel="0" collapsed="false">
      <c r="B73" s="2" t="n">
        <v>25</v>
      </c>
      <c r="C73" s="3" t="n">
        <v>500</v>
      </c>
      <c r="D73" s="4" t="n">
        <v>2.69332921131829</v>
      </c>
      <c r="E73" s="2" t="n">
        <v>70</v>
      </c>
      <c r="F73" s="2" t="n">
        <v>90.5</v>
      </c>
      <c r="G73" s="3" t="n">
        <v>1964</v>
      </c>
      <c r="H73" s="12" t="n">
        <v>0.0260391117003646</v>
      </c>
      <c r="I73" s="3" t="n">
        <v>182.184152739316</v>
      </c>
      <c r="J73" s="4" t="n">
        <v>0.59</v>
      </c>
    </row>
    <row r="74" customFormat="false" ht="14.25" hidden="false" customHeight="false" outlineLevel="0" collapsed="false">
      <c r="A74" s="1" t="s">
        <v>39</v>
      </c>
      <c r="B74" s="2" t="n">
        <v>9.52</v>
      </c>
      <c r="C74" s="3" t="n">
        <v>434</v>
      </c>
      <c r="D74" s="4" t="n">
        <v>3.56416000199951</v>
      </c>
      <c r="E74" s="2" t="n">
        <v>20.64</v>
      </c>
      <c r="F74" s="2" t="n">
        <v>25.4</v>
      </c>
      <c r="G74" s="3" t="n">
        <v>212.9</v>
      </c>
      <c r="H74" s="12" t="n">
        <v>0.0255156461606683</v>
      </c>
      <c r="I74" s="3" t="n">
        <v>234.83059233149</v>
      </c>
      <c r="J74" s="4" t="n">
        <v>0.15</v>
      </c>
    </row>
    <row r="75" customFormat="false" ht="14.25" hidden="false" customHeight="false" outlineLevel="0" collapsed="false">
      <c r="B75" s="2" t="n">
        <v>9.52</v>
      </c>
      <c r="C75" s="3" t="n">
        <v>434</v>
      </c>
      <c r="D75" s="4" t="n">
        <v>3.56416000199951</v>
      </c>
      <c r="E75" s="2" t="n">
        <v>20.64</v>
      </c>
      <c r="F75" s="2" t="n">
        <v>25.4</v>
      </c>
      <c r="G75" s="3" t="n">
        <v>212.9</v>
      </c>
      <c r="H75" s="12" t="n">
        <v>0.0255156461606683</v>
      </c>
      <c r="I75" s="3" t="n">
        <v>299.568082313418</v>
      </c>
      <c r="J75" s="4" t="n">
        <v>0.17</v>
      </c>
    </row>
    <row r="76" customFormat="false" ht="14.25" hidden="false" customHeight="false" outlineLevel="0" collapsed="false">
      <c r="A76" s="1" t="s">
        <v>40</v>
      </c>
      <c r="B76" s="2" t="n">
        <v>12.7</v>
      </c>
      <c r="C76" s="3" t="n">
        <v>434</v>
      </c>
      <c r="D76" s="4" t="n">
        <v>3.97660816382294</v>
      </c>
      <c r="E76" s="2" t="n">
        <v>19.05</v>
      </c>
      <c r="F76" s="2" t="n">
        <v>25.4</v>
      </c>
      <c r="G76" s="3" t="n">
        <v>387.1</v>
      </c>
      <c r="H76" s="12" t="n">
        <v>0.0380956317468191</v>
      </c>
      <c r="I76" s="3" t="n">
        <v>257.58927994397</v>
      </c>
      <c r="J76" s="4" t="n">
        <v>0.15</v>
      </c>
    </row>
    <row r="77" customFormat="false" ht="14.25" hidden="false" customHeight="false" outlineLevel="0" collapsed="false">
      <c r="B77" s="2" t="n">
        <v>12.7</v>
      </c>
      <c r="C77" s="3" t="n">
        <v>434</v>
      </c>
      <c r="D77" s="4" t="n">
        <v>3.97660816382294</v>
      </c>
      <c r="E77" s="2" t="n">
        <v>19.05</v>
      </c>
      <c r="F77" s="2" t="n">
        <v>25.4</v>
      </c>
      <c r="G77" s="3" t="n">
        <v>387.1</v>
      </c>
      <c r="H77" s="12" t="n">
        <v>0.0380956317468191</v>
      </c>
      <c r="I77" s="3" t="n">
        <v>313.986356219284</v>
      </c>
      <c r="J77" s="4" t="n">
        <v>0.17</v>
      </c>
    </row>
    <row r="78" customFormat="false" ht="14.25" hidden="false" customHeight="false" outlineLevel="0" collapsed="false">
      <c r="B78" s="2" t="n">
        <v>12.7</v>
      </c>
      <c r="C78" s="3" t="n">
        <v>434</v>
      </c>
      <c r="D78" s="4" t="n">
        <v>3.97660816382294</v>
      </c>
      <c r="E78" s="2" t="n">
        <v>19.05</v>
      </c>
      <c r="F78" s="2" t="n">
        <v>25.4</v>
      </c>
      <c r="G78" s="3" t="n">
        <v>387.1</v>
      </c>
      <c r="H78" s="12" t="n">
        <v>0.0380956317468191</v>
      </c>
      <c r="I78" s="3" t="n">
        <v>394.033819319729</v>
      </c>
      <c r="J78" s="4" t="n">
        <v>0.2</v>
      </c>
    </row>
    <row r="79" customFormat="false" ht="14.25" hidden="false" customHeight="false" outlineLevel="0" collapsed="false">
      <c r="A79" s="1" t="s">
        <v>41</v>
      </c>
      <c r="B79" s="2" t="n">
        <v>15.9</v>
      </c>
      <c r="C79" s="3" t="n">
        <v>540</v>
      </c>
      <c r="D79" s="4" t="n">
        <v>3.97660816382294</v>
      </c>
      <c r="E79" s="2" t="n">
        <v>17.46</v>
      </c>
      <c r="F79" s="2" t="n">
        <v>25.4</v>
      </c>
      <c r="G79" s="3" t="n">
        <v>600</v>
      </c>
      <c r="H79" s="12" t="n">
        <v>0.0590477371430933</v>
      </c>
      <c r="I79" s="3" t="n">
        <v>254.923459599612</v>
      </c>
      <c r="J79" s="4" t="n">
        <v>0.16</v>
      </c>
    </row>
    <row r="80" customFormat="false" ht="14.25" hidden="false" customHeight="false" outlineLevel="0" collapsed="false">
      <c r="B80" s="2" t="n">
        <v>15.9</v>
      </c>
      <c r="C80" s="3" t="n">
        <v>540</v>
      </c>
      <c r="D80" s="4" t="n">
        <v>3.97660816382294</v>
      </c>
      <c r="E80" s="2" t="n">
        <v>17.46</v>
      </c>
      <c r="F80" s="2" t="n">
        <v>25.4</v>
      </c>
      <c r="G80" s="3" t="n">
        <v>600</v>
      </c>
      <c r="H80" s="12" t="n">
        <v>0.0590477371430933</v>
      </c>
      <c r="I80" s="3" t="n">
        <v>362.120498232757</v>
      </c>
      <c r="J80" s="4" t="n">
        <v>0.21</v>
      </c>
    </row>
    <row r="81" customFormat="false" ht="14.25" hidden="false" customHeight="false" outlineLevel="0" collapsed="false">
      <c r="A81" s="1" t="s">
        <v>42</v>
      </c>
      <c r="B81" s="2" t="n">
        <v>16</v>
      </c>
      <c r="C81" s="3" t="n">
        <v>500</v>
      </c>
      <c r="D81" s="4" t="n">
        <v>3.269</v>
      </c>
      <c r="E81" s="2" t="n">
        <v>40</v>
      </c>
      <c r="F81" s="2" t="n">
        <v>48</v>
      </c>
      <c r="G81" s="3" t="n">
        <v>400</v>
      </c>
      <c r="H81" s="12" t="n">
        <v>0.0125</v>
      </c>
      <c r="I81" s="3" t="n">
        <v>13.7953101812687</v>
      </c>
      <c r="J81" s="4" t="n">
        <v>0.15</v>
      </c>
    </row>
    <row r="82" customFormat="false" ht="14.25" hidden="false" customHeight="false" outlineLevel="0" collapsed="false">
      <c r="B82" s="2" t="n">
        <v>16</v>
      </c>
      <c r="C82" s="3" t="n">
        <v>500</v>
      </c>
      <c r="D82" s="4" t="n">
        <v>3.269</v>
      </c>
      <c r="E82" s="2" t="n">
        <v>40</v>
      </c>
      <c r="F82" s="2" t="n">
        <v>48</v>
      </c>
      <c r="G82" s="3" t="n">
        <v>400</v>
      </c>
      <c r="H82" s="12" t="n">
        <v>0.0125</v>
      </c>
      <c r="I82" s="3" t="n">
        <v>53.370132317075</v>
      </c>
      <c r="J82" s="4" t="n">
        <v>0.2</v>
      </c>
    </row>
    <row r="83" customFormat="false" ht="14.25" hidden="false" customHeight="false" outlineLevel="0" collapsed="false">
      <c r="B83" s="2" t="n">
        <v>16</v>
      </c>
      <c r="C83" s="3" t="n">
        <v>500</v>
      </c>
      <c r="D83" s="4" t="n">
        <v>3.269</v>
      </c>
      <c r="E83" s="2" t="n">
        <v>40</v>
      </c>
      <c r="F83" s="2" t="n">
        <v>48</v>
      </c>
      <c r="G83" s="3" t="n">
        <v>400</v>
      </c>
      <c r="H83" s="12" t="n">
        <v>0.0125</v>
      </c>
      <c r="I83" s="3" t="n">
        <v>95.8024475372333</v>
      </c>
      <c r="J83" s="4" t="n">
        <v>0.25</v>
      </c>
    </row>
    <row r="84" customFormat="false" ht="14.25" hidden="false" customHeight="false" outlineLevel="0" collapsed="false">
      <c r="B84" s="2" t="n">
        <v>16</v>
      </c>
      <c r="C84" s="3" t="n">
        <v>500</v>
      </c>
      <c r="D84" s="4" t="n">
        <v>3.269</v>
      </c>
      <c r="E84" s="2" t="n">
        <v>40</v>
      </c>
      <c r="F84" s="2" t="n">
        <v>48</v>
      </c>
      <c r="G84" s="3" t="n">
        <v>400</v>
      </c>
      <c r="H84" s="12" t="n">
        <v>0.0125</v>
      </c>
      <c r="I84" s="3" t="n">
        <v>138.162104683384</v>
      </c>
      <c r="J84" s="4" t="n">
        <v>0.28</v>
      </c>
    </row>
    <row r="85" customFormat="false" ht="14.25" hidden="false" customHeight="false" outlineLevel="0" collapsed="false">
      <c r="B85" s="2" t="n">
        <v>16</v>
      </c>
      <c r="C85" s="3" t="n">
        <v>500</v>
      </c>
      <c r="D85" s="4" t="n">
        <v>3.269</v>
      </c>
      <c r="E85" s="2" t="n">
        <v>40</v>
      </c>
      <c r="F85" s="2" t="n">
        <v>48</v>
      </c>
      <c r="G85" s="3" t="n">
        <v>400</v>
      </c>
      <c r="H85" s="12" t="n">
        <v>0.0125</v>
      </c>
      <c r="I85" s="3" t="n">
        <v>180.521761829535</v>
      </c>
      <c r="J85" s="4" t="n">
        <v>0.28</v>
      </c>
    </row>
    <row r="86" customFormat="false" ht="14.25" hidden="false" customHeight="false" outlineLevel="0" collapsed="false">
      <c r="B86" s="2" t="n">
        <v>16</v>
      </c>
      <c r="C86" s="3" t="n">
        <v>500</v>
      </c>
      <c r="D86" s="4" t="n">
        <v>3.269</v>
      </c>
      <c r="E86" s="2" t="n">
        <v>40</v>
      </c>
      <c r="F86" s="2" t="n">
        <v>48</v>
      </c>
      <c r="G86" s="3" t="n">
        <v>400</v>
      </c>
      <c r="H86" s="12" t="n">
        <v>0.0125</v>
      </c>
      <c r="I86" s="3" t="n">
        <v>222.954077049693</v>
      </c>
      <c r="J86" s="4" t="n">
        <v>0.3</v>
      </c>
    </row>
    <row r="87" customFormat="false" ht="14.25" hidden="false" customHeight="false" outlineLevel="0" collapsed="false">
      <c r="B87" s="2" t="n">
        <v>16</v>
      </c>
      <c r="C87" s="3" t="n">
        <v>500</v>
      </c>
      <c r="D87" s="4" t="n">
        <v>3.269</v>
      </c>
      <c r="E87" s="2" t="n">
        <v>40</v>
      </c>
      <c r="F87" s="2" t="n">
        <v>48</v>
      </c>
      <c r="G87" s="3" t="n">
        <v>400</v>
      </c>
      <c r="H87" s="12" t="n">
        <v>0.0125</v>
      </c>
      <c r="I87" s="3" t="n">
        <v>265.386392269852</v>
      </c>
      <c r="J87" s="4" t="n">
        <v>0.33</v>
      </c>
    </row>
    <row r="88" customFormat="false" ht="14.25" hidden="false" customHeight="false" outlineLevel="0" collapsed="false">
      <c r="B88" s="2" t="n">
        <v>16</v>
      </c>
      <c r="C88" s="3" t="n">
        <v>500</v>
      </c>
      <c r="D88" s="4" t="n">
        <v>3.269</v>
      </c>
      <c r="E88" s="2" t="n">
        <v>40</v>
      </c>
      <c r="F88" s="2" t="n">
        <v>48</v>
      </c>
      <c r="G88" s="3" t="n">
        <v>400</v>
      </c>
      <c r="H88" s="12" t="n">
        <v>0.0125</v>
      </c>
      <c r="I88" s="3" t="n">
        <v>307.673391341996</v>
      </c>
      <c r="J88" s="4" t="n">
        <v>0.33</v>
      </c>
    </row>
    <row r="89" customFormat="false" ht="14.25" hidden="false" customHeight="false" outlineLevel="0" collapsed="false">
      <c r="A89" s="1" t="s">
        <v>43</v>
      </c>
      <c r="B89" s="2" t="n">
        <v>16</v>
      </c>
      <c r="C89" s="3" t="n">
        <v>500</v>
      </c>
      <c r="D89" s="4" t="n">
        <v>3.269</v>
      </c>
      <c r="E89" s="2" t="n">
        <v>40</v>
      </c>
      <c r="F89" s="2" t="n">
        <v>48</v>
      </c>
      <c r="G89" s="3" t="n">
        <v>400</v>
      </c>
      <c r="H89" s="12" t="n">
        <v>0.0125</v>
      </c>
      <c r="I89" s="3" t="n">
        <v>53.370132317075</v>
      </c>
      <c r="J89" s="4" t="n">
        <v>0.15</v>
      </c>
    </row>
    <row r="90" customFormat="false" ht="14.25" hidden="false" customHeight="false" outlineLevel="0" collapsed="false">
      <c r="B90" s="2" t="n">
        <v>16</v>
      </c>
      <c r="C90" s="3" t="n">
        <v>500</v>
      </c>
      <c r="D90" s="4" t="n">
        <v>3.269</v>
      </c>
      <c r="E90" s="2" t="n">
        <v>40</v>
      </c>
      <c r="F90" s="2" t="n">
        <v>48</v>
      </c>
      <c r="G90" s="3" t="n">
        <v>400</v>
      </c>
      <c r="H90" s="12" t="n">
        <v>0.0125</v>
      </c>
      <c r="I90" s="3" t="n">
        <v>95.8024475372333</v>
      </c>
      <c r="J90" s="4" t="n">
        <v>0.18</v>
      </c>
    </row>
    <row r="91" customFormat="false" ht="14.25" hidden="false" customHeight="false" outlineLevel="0" collapsed="false">
      <c r="B91" s="2" t="n">
        <v>16</v>
      </c>
      <c r="C91" s="3" t="n">
        <v>500</v>
      </c>
      <c r="D91" s="4" t="n">
        <v>3.269</v>
      </c>
      <c r="E91" s="2" t="n">
        <v>40</v>
      </c>
      <c r="F91" s="2" t="n">
        <v>48</v>
      </c>
      <c r="G91" s="3" t="n">
        <v>400</v>
      </c>
      <c r="H91" s="12" t="n">
        <v>0.0125</v>
      </c>
      <c r="I91" s="3" t="n">
        <v>138.162104683384</v>
      </c>
      <c r="J91" s="4" t="n">
        <v>0.2</v>
      </c>
    </row>
    <row r="92" customFormat="false" ht="14.25" hidden="false" customHeight="false" outlineLevel="0" collapsed="false">
      <c r="B92" s="2" t="n">
        <v>16</v>
      </c>
      <c r="C92" s="3" t="n">
        <v>500</v>
      </c>
      <c r="D92" s="4" t="n">
        <v>3.269</v>
      </c>
      <c r="E92" s="2" t="n">
        <v>40</v>
      </c>
      <c r="F92" s="2" t="n">
        <v>48</v>
      </c>
      <c r="G92" s="3" t="n">
        <v>400</v>
      </c>
      <c r="H92" s="12" t="n">
        <v>0.0125</v>
      </c>
      <c r="I92" s="3" t="n">
        <v>180.521761829535</v>
      </c>
      <c r="J92" s="4" t="n">
        <v>0.25</v>
      </c>
    </row>
    <row r="93" customFormat="false" ht="14.25" hidden="false" customHeight="false" outlineLevel="0" collapsed="false">
      <c r="B93" s="2" t="n">
        <v>16</v>
      </c>
      <c r="C93" s="3" t="n">
        <v>500</v>
      </c>
      <c r="D93" s="4" t="n">
        <v>3.269</v>
      </c>
      <c r="E93" s="2" t="n">
        <v>40</v>
      </c>
      <c r="F93" s="2" t="n">
        <v>48</v>
      </c>
      <c r="G93" s="3" t="n">
        <v>400</v>
      </c>
      <c r="H93" s="12" t="n">
        <v>0.0125</v>
      </c>
      <c r="I93" s="3" t="n">
        <v>222.954077049693</v>
      </c>
      <c r="J93" s="4" t="n">
        <v>0.3</v>
      </c>
    </row>
    <row r="94" customFormat="false" ht="14.25" hidden="false" customHeight="false" outlineLevel="0" collapsed="false">
      <c r="B94" s="2" t="n">
        <v>16</v>
      </c>
      <c r="C94" s="3" t="n">
        <v>500</v>
      </c>
      <c r="D94" s="4" t="n">
        <v>3.269</v>
      </c>
      <c r="E94" s="2" t="n">
        <v>40</v>
      </c>
      <c r="F94" s="2" t="n">
        <v>48</v>
      </c>
      <c r="G94" s="3" t="n">
        <v>400</v>
      </c>
      <c r="H94" s="12" t="n">
        <v>0.0125</v>
      </c>
      <c r="I94" s="3" t="n">
        <v>265.386392269852</v>
      </c>
      <c r="J94" s="4" t="n">
        <v>0.33</v>
      </c>
    </row>
    <row r="95" customFormat="false" ht="14.25" hidden="false" customHeight="false" outlineLevel="0" collapsed="false">
      <c r="B95" s="2" t="n">
        <v>16</v>
      </c>
      <c r="C95" s="3" t="n">
        <v>500</v>
      </c>
      <c r="D95" s="4" t="n">
        <v>3.269</v>
      </c>
      <c r="E95" s="2" t="n">
        <v>40</v>
      </c>
      <c r="F95" s="2" t="n">
        <v>48</v>
      </c>
      <c r="G95" s="3" t="n">
        <v>400</v>
      </c>
      <c r="H95" s="12" t="n">
        <v>0.0125</v>
      </c>
      <c r="I95" s="3" t="n">
        <v>307.673391341996</v>
      </c>
      <c r="J95" s="4" t="n">
        <v>0.38</v>
      </c>
    </row>
    <row r="96" customFormat="false" ht="14.25" hidden="false" customHeight="false" outlineLevel="0" collapsed="false">
      <c r="A96" s="1" t="s">
        <v>44</v>
      </c>
      <c r="B96" s="2" t="n">
        <v>16</v>
      </c>
      <c r="C96" s="3" t="n">
        <v>500</v>
      </c>
      <c r="D96" s="4" t="n">
        <v>3.269</v>
      </c>
      <c r="E96" s="2" t="n">
        <v>25</v>
      </c>
      <c r="F96" s="2" t="n">
        <v>33</v>
      </c>
      <c r="G96" s="3" t="n">
        <v>400</v>
      </c>
      <c r="H96" s="12" t="n">
        <v>0.0157460983498901</v>
      </c>
      <c r="I96" s="3" t="n">
        <v>83.250300076909</v>
      </c>
      <c r="J96" s="4" t="n">
        <v>0.15</v>
      </c>
    </row>
    <row r="97" customFormat="false" ht="14.25" hidden="false" customHeight="false" outlineLevel="0" collapsed="false">
      <c r="B97" s="2" t="n">
        <v>16</v>
      </c>
      <c r="C97" s="3" t="n">
        <v>500</v>
      </c>
      <c r="D97" s="4" t="n">
        <v>3.269</v>
      </c>
      <c r="E97" s="2" t="n">
        <v>25</v>
      </c>
      <c r="F97" s="2" t="n">
        <v>33</v>
      </c>
      <c r="G97" s="3" t="n">
        <v>400</v>
      </c>
      <c r="H97" s="12" t="n">
        <v>0.0157460983498901</v>
      </c>
      <c r="I97" s="3" t="n">
        <v>122.675935148359</v>
      </c>
      <c r="J97" s="4" t="n">
        <v>0.18</v>
      </c>
    </row>
    <row r="98" customFormat="false" ht="14.25" hidden="false" customHeight="false" outlineLevel="0" collapsed="false">
      <c r="B98" s="2" t="n">
        <v>16</v>
      </c>
      <c r="C98" s="3" t="n">
        <v>500</v>
      </c>
      <c r="D98" s="4" t="n">
        <v>3.269</v>
      </c>
      <c r="E98" s="2" t="n">
        <v>25</v>
      </c>
      <c r="F98" s="2" t="n">
        <v>33</v>
      </c>
      <c r="G98" s="3" t="n">
        <v>400</v>
      </c>
      <c r="H98" s="12" t="n">
        <v>0.0157460983498901</v>
      </c>
      <c r="I98" s="3" t="n">
        <v>162.034060570714</v>
      </c>
      <c r="J98" s="4" t="n">
        <v>0.2</v>
      </c>
    </row>
    <row r="99" customFormat="false" ht="14.25" hidden="false" customHeight="false" outlineLevel="0" collapsed="false">
      <c r="B99" s="2" t="n">
        <v>16</v>
      </c>
      <c r="C99" s="3" t="n">
        <v>500</v>
      </c>
      <c r="D99" s="4" t="n">
        <v>3.269</v>
      </c>
      <c r="E99" s="2" t="n">
        <v>25</v>
      </c>
      <c r="F99" s="2" t="n">
        <v>33</v>
      </c>
      <c r="G99" s="3" t="n">
        <v>400</v>
      </c>
      <c r="H99" s="12" t="n">
        <v>0.0157460983498901</v>
      </c>
      <c r="I99" s="3" t="n">
        <v>201.392185993069</v>
      </c>
      <c r="J99" s="4" t="n">
        <v>0.23</v>
      </c>
    </row>
    <row r="100" customFormat="false" ht="14.25" hidden="false" customHeight="false" outlineLevel="0" collapsed="false">
      <c r="B100" s="2" t="n">
        <v>16</v>
      </c>
      <c r="C100" s="3" t="n">
        <v>500</v>
      </c>
      <c r="D100" s="4" t="n">
        <v>3.269</v>
      </c>
      <c r="E100" s="2" t="n">
        <v>25</v>
      </c>
      <c r="F100" s="2" t="n">
        <v>33</v>
      </c>
      <c r="G100" s="3" t="n">
        <v>400</v>
      </c>
      <c r="H100" s="12" t="n">
        <v>0.0157460983498901</v>
      </c>
      <c r="I100" s="3" t="n">
        <v>240.817821064519</v>
      </c>
      <c r="J100" s="4" t="n">
        <v>0.25</v>
      </c>
    </row>
    <row r="101" customFormat="false" ht="14.25" hidden="false" customHeight="false" outlineLevel="0" collapsed="false">
      <c r="B101" s="2" t="n">
        <v>16</v>
      </c>
      <c r="C101" s="3" t="n">
        <v>500</v>
      </c>
      <c r="D101" s="4" t="n">
        <v>3.269</v>
      </c>
      <c r="E101" s="2" t="n">
        <v>25</v>
      </c>
      <c r="F101" s="2" t="n">
        <v>33</v>
      </c>
      <c r="G101" s="3" t="n">
        <v>400</v>
      </c>
      <c r="H101" s="12" t="n">
        <v>0.0157460983498901</v>
      </c>
      <c r="I101" s="3" t="n">
        <v>280.24345613597</v>
      </c>
      <c r="J101" s="4" t="n">
        <v>0.3</v>
      </c>
    </row>
    <row r="102" customFormat="false" ht="14.25" hidden="false" customHeight="false" outlineLevel="0" collapsed="false">
      <c r="B102" s="2" t="n">
        <v>16</v>
      </c>
      <c r="C102" s="3" t="n">
        <v>500</v>
      </c>
      <c r="D102" s="4" t="n">
        <v>3.269</v>
      </c>
      <c r="E102" s="2" t="n">
        <v>25</v>
      </c>
      <c r="F102" s="2" t="n">
        <v>33</v>
      </c>
      <c r="G102" s="3" t="n">
        <v>400</v>
      </c>
      <c r="H102" s="12" t="n">
        <v>0.0157460983498901</v>
      </c>
      <c r="I102" s="3" t="n">
        <v>319.53407190923</v>
      </c>
      <c r="J102" s="4" t="n">
        <v>0.3</v>
      </c>
    </row>
    <row r="103" customFormat="false" ht="14.25" hidden="false" customHeight="false" outlineLevel="0" collapsed="false">
      <c r="A103" s="1" t="s">
        <v>45</v>
      </c>
      <c r="B103" s="2" t="n">
        <v>16</v>
      </c>
      <c r="C103" s="3" t="n">
        <v>500</v>
      </c>
      <c r="D103" s="4" t="n">
        <v>3.269</v>
      </c>
      <c r="E103" s="2" t="n">
        <v>25</v>
      </c>
      <c r="F103" s="2" t="n">
        <v>33</v>
      </c>
      <c r="G103" s="3" t="n">
        <v>400</v>
      </c>
      <c r="H103" s="12" t="n">
        <v>0.0157460983498901</v>
      </c>
      <c r="I103" s="3" t="n">
        <v>46.1431193311785</v>
      </c>
      <c r="J103" s="4" t="n">
        <v>0.15</v>
      </c>
    </row>
    <row r="104" customFormat="false" ht="14.25" hidden="false" customHeight="false" outlineLevel="0" collapsed="false">
      <c r="B104" s="2" t="n">
        <v>16</v>
      </c>
      <c r="C104" s="3" t="n">
        <v>500</v>
      </c>
      <c r="D104" s="4" t="n">
        <v>3.269</v>
      </c>
      <c r="E104" s="2" t="n">
        <v>25</v>
      </c>
      <c r="F104" s="2" t="n">
        <v>33</v>
      </c>
      <c r="G104" s="3" t="n">
        <v>400</v>
      </c>
      <c r="H104" s="12" t="n">
        <v>0.0157460983498901</v>
      </c>
      <c r="I104" s="3" t="n">
        <v>83.250300076909</v>
      </c>
      <c r="J104" s="4" t="n">
        <v>0.18</v>
      </c>
    </row>
    <row r="105" customFormat="false" ht="14.25" hidden="false" customHeight="false" outlineLevel="0" collapsed="false">
      <c r="B105" s="2" t="n">
        <v>16</v>
      </c>
      <c r="C105" s="3" t="n">
        <v>500</v>
      </c>
      <c r="D105" s="4" t="n">
        <v>3.269</v>
      </c>
      <c r="E105" s="2" t="n">
        <v>25</v>
      </c>
      <c r="F105" s="2" t="n">
        <v>33</v>
      </c>
      <c r="G105" s="3" t="n">
        <v>400</v>
      </c>
      <c r="H105" s="12" t="n">
        <v>0.0157460983498901</v>
      </c>
      <c r="I105" s="3" t="n">
        <v>122.675935148359</v>
      </c>
      <c r="J105" s="4" t="n">
        <v>0.18</v>
      </c>
    </row>
    <row r="106" customFormat="false" ht="14.25" hidden="false" customHeight="false" outlineLevel="0" collapsed="false">
      <c r="B106" s="2" t="n">
        <v>16</v>
      </c>
      <c r="C106" s="3" t="n">
        <v>500</v>
      </c>
      <c r="D106" s="4" t="n">
        <v>3.269</v>
      </c>
      <c r="E106" s="2" t="n">
        <v>25</v>
      </c>
      <c r="F106" s="2" t="n">
        <v>33</v>
      </c>
      <c r="G106" s="3" t="n">
        <v>400</v>
      </c>
      <c r="H106" s="12" t="n">
        <v>0.0157460983498901</v>
      </c>
      <c r="I106" s="3" t="n">
        <v>162.034060570714</v>
      </c>
      <c r="J106" s="4" t="n">
        <v>0.25</v>
      </c>
    </row>
    <row r="107" customFormat="false" ht="14.25" hidden="false" customHeight="false" outlineLevel="0" collapsed="false">
      <c r="B107" s="2" t="n">
        <v>16</v>
      </c>
      <c r="C107" s="3" t="n">
        <v>500</v>
      </c>
      <c r="D107" s="4" t="n">
        <v>3.269</v>
      </c>
      <c r="E107" s="2" t="n">
        <v>25</v>
      </c>
      <c r="F107" s="2" t="n">
        <v>33</v>
      </c>
      <c r="G107" s="3" t="n">
        <v>400</v>
      </c>
      <c r="H107" s="12" t="n">
        <v>0.0157460983498901</v>
      </c>
      <c r="I107" s="3" t="n">
        <v>201.392185993069</v>
      </c>
      <c r="J107" s="4" t="n">
        <v>0.28</v>
      </c>
    </row>
    <row r="108" customFormat="false" ht="14.25" hidden="false" customHeight="false" outlineLevel="0" collapsed="false">
      <c r="B108" s="2" t="n">
        <v>16</v>
      </c>
      <c r="C108" s="3" t="n">
        <v>500</v>
      </c>
      <c r="D108" s="4" t="n">
        <v>3.269</v>
      </c>
      <c r="E108" s="2" t="n">
        <v>25</v>
      </c>
      <c r="F108" s="2" t="n">
        <v>33</v>
      </c>
      <c r="G108" s="3" t="n">
        <v>400</v>
      </c>
      <c r="H108" s="12" t="n">
        <v>0.0157460983498901</v>
      </c>
      <c r="I108" s="3" t="n">
        <v>240.817821064519</v>
      </c>
      <c r="J108" s="4" t="n">
        <v>0.33</v>
      </c>
    </row>
    <row r="109" customFormat="false" ht="14.25" hidden="false" customHeight="false" outlineLevel="0" collapsed="false">
      <c r="B109" s="2" t="n">
        <v>16</v>
      </c>
      <c r="C109" s="3" t="n">
        <v>500</v>
      </c>
      <c r="D109" s="4" t="n">
        <v>3.269</v>
      </c>
      <c r="E109" s="2" t="n">
        <v>25</v>
      </c>
      <c r="F109" s="2" t="n">
        <v>33</v>
      </c>
      <c r="G109" s="3" t="n">
        <v>400</v>
      </c>
      <c r="H109" s="12" t="n">
        <v>0.0157460983498901</v>
      </c>
      <c r="I109" s="3" t="n">
        <v>280.24345613597</v>
      </c>
      <c r="J109" s="4" t="n">
        <v>0.38</v>
      </c>
    </row>
    <row r="110" customFormat="false" ht="14.25" hidden="false" customHeight="false" outlineLevel="0" collapsed="false">
      <c r="B110" s="2" t="n">
        <v>16</v>
      </c>
      <c r="C110" s="3" t="n">
        <v>500</v>
      </c>
      <c r="D110" s="4" t="n">
        <v>3.269</v>
      </c>
      <c r="E110" s="2" t="n">
        <v>25</v>
      </c>
      <c r="F110" s="2" t="n">
        <v>33</v>
      </c>
      <c r="G110" s="3" t="n">
        <v>400</v>
      </c>
      <c r="H110" s="12" t="n">
        <v>0.0157460983498901</v>
      </c>
      <c r="I110" s="3" t="n">
        <v>319.53407190923</v>
      </c>
      <c r="J110" s="4" t="n">
        <v>0.43</v>
      </c>
    </row>
    <row r="111" customFormat="false" ht="14.25" hidden="false" customHeight="false" outlineLevel="0" collapsed="false">
      <c r="A111" s="1" t="s">
        <v>46</v>
      </c>
      <c r="B111" s="2" t="n">
        <v>16</v>
      </c>
      <c r="C111" s="3" t="n">
        <v>500</v>
      </c>
      <c r="D111" s="4" t="n">
        <v>3.269</v>
      </c>
      <c r="E111" s="2" t="n">
        <v>25</v>
      </c>
      <c r="F111" s="2" t="n">
        <v>33</v>
      </c>
      <c r="G111" s="3" t="n">
        <v>600</v>
      </c>
      <c r="H111" s="12" t="n">
        <v>0.0212389380530973</v>
      </c>
      <c r="I111" s="3" t="n">
        <v>142.623322211436</v>
      </c>
      <c r="J111" s="4" t="n">
        <v>0.15</v>
      </c>
    </row>
    <row r="112" customFormat="false" ht="14.25" hidden="false" customHeight="false" outlineLevel="0" collapsed="false">
      <c r="B112" s="2" t="n">
        <v>16</v>
      </c>
      <c r="C112" s="3" t="n">
        <v>500</v>
      </c>
      <c r="D112" s="4" t="n">
        <v>3.269</v>
      </c>
      <c r="E112" s="2" t="n">
        <v>25</v>
      </c>
      <c r="F112" s="2" t="n">
        <v>33</v>
      </c>
      <c r="G112" s="3" t="n">
        <v>600</v>
      </c>
      <c r="H112" s="12" t="n">
        <v>0.0212389380530973</v>
      </c>
      <c r="I112" s="3" t="n">
        <v>167.23645175102</v>
      </c>
      <c r="J112" s="4" t="n">
        <v>0.18</v>
      </c>
    </row>
    <row r="113" customFormat="false" ht="14.25" hidden="false" customHeight="false" outlineLevel="0" collapsed="false">
      <c r="B113" s="2" t="n">
        <v>16</v>
      </c>
      <c r="C113" s="3" t="n">
        <v>500</v>
      </c>
      <c r="D113" s="4" t="n">
        <v>3.269</v>
      </c>
      <c r="E113" s="2" t="n">
        <v>25</v>
      </c>
      <c r="F113" s="2" t="n">
        <v>33</v>
      </c>
      <c r="G113" s="3" t="n">
        <v>600</v>
      </c>
      <c r="H113" s="12" t="n">
        <v>0.0212389380530973</v>
      </c>
      <c r="I113" s="3" t="n">
        <v>191.934162491771</v>
      </c>
      <c r="J113" s="4" t="n">
        <v>0.18</v>
      </c>
    </row>
    <row r="114" customFormat="false" ht="14.25" hidden="false" customHeight="false" outlineLevel="0" collapsed="false">
      <c r="B114" s="2" t="n">
        <v>16</v>
      </c>
      <c r="C114" s="3" t="n">
        <v>500</v>
      </c>
      <c r="D114" s="4" t="n">
        <v>3.269</v>
      </c>
      <c r="E114" s="2" t="n">
        <v>25</v>
      </c>
      <c r="F114" s="2" t="n">
        <v>33</v>
      </c>
      <c r="G114" s="3" t="n">
        <v>600</v>
      </c>
      <c r="H114" s="12" t="n">
        <v>0.0212389380530973</v>
      </c>
      <c r="I114" s="3" t="n">
        <v>216.631873232522</v>
      </c>
      <c r="J114" s="4" t="n">
        <v>0.2</v>
      </c>
    </row>
    <row r="115" customFormat="false" ht="14.25" hidden="false" customHeight="false" outlineLevel="0" collapsed="false">
      <c r="B115" s="2" t="n">
        <v>16</v>
      </c>
      <c r="C115" s="3" t="n">
        <v>500</v>
      </c>
      <c r="D115" s="4" t="n">
        <v>3.269</v>
      </c>
      <c r="E115" s="2" t="n">
        <v>25</v>
      </c>
      <c r="F115" s="2" t="n">
        <v>33</v>
      </c>
      <c r="G115" s="3" t="n">
        <v>600</v>
      </c>
      <c r="H115" s="12" t="n">
        <v>0.0212389380530973</v>
      </c>
      <c r="I115" s="3" t="n">
        <v>241.329583973274</v>
      </c>
      <c r="J115" s="4" t="n">
        <v>0.2</v>
      </c>
    </row>
    <row r="116" customFormat="false" ht="14.25" hidden="false" customHeight="false" outlineLevel="0" collapsed="false">
      <c r="A116" s="1" t="s">
        <v>47</v>
      </c>
      <c r="B116" s="2" t="n">
        <v>16</v>
      </c>
      <c r="C116" s="3" t="n">
        <v>500</v>
      </c>
      <c r="D116" s="4" t="n">
        <v>3.269</v>
      </c>
      <c r="E116" s="2" t="n">
        <v>25</v>
      </c>
      <c r="F116" s="2" t="n">
        <v>33</v>
      </c>
      <c r="G116" s="3" t="n">
        <v>600</v>
      </c>
      <c r="H116" s="12" t="n">
        <v>0.0212389380530973</v>
      </c>
      <c r="I116" s="3" t="n">
        <v>167.23645175102</v>
      </c>
      <c r="J116" s="4" t="n">
        <v>0.15</v>
      </c>
    </row>
    <row r="117" customFormat="false" ht="14.25" hidden="false" customHeight="false" outlineLevel="0" collapsed="false">
      <c r="B117" s="2" t="n">
        <v>16</v>
      </c>
      <c r="C117" s="3" t="n">
        <v>500</v>
      </c>
      <c r="D117" s="4" t="n">
        <v>3.269</v>
      </c>
      <c r="E117" s="2" t="n">
        <v>25</v>
      </c>
      <c r="F117" s="2" t="n">
        <v>33</v>
      </c>
      <c r="G117" s="3" t="n">
        <v>600</v>
      </c>
      <c r="H117" s="12" t="n">
        <v>0.0212389380530973</v>
      </c>
      <c r="I117" s="3" t="n">
        <v>191.934162491771</v>
      </c>
      <c r="J117" s="4" t="n">
        <v>0.18</v>
      </c>
    </row>
    <row r="118" customFormat="false" ht="14.25" hidden="false" customHeight="false" outlineLevel="0" collapsed="false">
      <c r="B118" s="2" t="n">
        <v>16</v>
      </c>
      <c r="C118" s="3" t="n">
        <v>500</v>
      </c>
      <c r="D118" s="4" t="n">
        <v>3.269</v>
      </c>
      <c r="E118" s="2" t="n">
        <v>25</v>
      </c>
      <c r="F118" s="2" t="n">
        <v>33</v>
      </c>
      <c r="G118" s="3" t="n">
        <v>600</v>
      </c>
      <c r="H118" s="12" t="n">
        <v>0.0212389380530973</v>
      </c>
      <c r="I118" s="3" t="n">
        <v>216.631873232522</v>
      </c>
      <c r="J118" s="4" t="n">
        <v>0.2</v>
      </c>
    </row>
    <row r="119" customFormat="false" ht="14.25" hidden="false" customHeight="false" outlineLevel="0" collapsed="false">
      <c r="B119" s="2" t="n">
        <v>16</v>
      </c>
      <c r="C119" s="3" t="n">
        <v>500</v>
      </c>
      <c r="D119" s="4" t="n">
        <v>3.269</v>
      </c>
      <c r="E119" s="2" t="n">
        <v>25</v>
      </c>
      <c r="F119" s="2" t="n">
        <v>33</v>
      </c>
      <c r="G119" s="3" t="n">
        <v>600</v>
      </c>
      <c r="H119" s="12" t="n">
        <v>0.0212389380530973</v>
      </c>
      <c r="I119" s="3" t="n">
        <v>241.329583973274</v>
      </c>
      <c r="J119" s="4" t="n">
        <v>0.2</v>
      </c>
    </row>
    <row r="120" customFormat="false" ht="14.25" hidden="false" customHeight="false" outlineLevel="0" collapsed="false">
      <c r="A120" s="1" t="s">
        <v>48</v>
      </c>
      <c r="B120" s="2" t="n">
        <v>12</v>
      </c>
      <c r="C120" s="3" t="n">
        <v>500</v>
      </c>
      <c r="D120" s="4" t="n">
        <v>3.269</v>
      </c>
      <c r="E120" s="2" t="n">
        <v>25</v>
      </c>
      <c r="F120" s="2" t="n">
        <v>31</v>
      </c>
      <c r="G120" s="3" t="n">
        <v>220</v>
      </c>
      <c r="H120" s="12" t="n">
        <v>0.0117247911599868</v>
      </c>
      <c r="I120" s="3" t="n">
        <v>0</v>
      </c>
      <c r="J120" s="4" t="n">
        <v>0.2</v>
      </c>
    </row>
    <row r="121" customFormat="false" ht="14.25" hidden="false" customHeight="false" outlineLevel="0" collapsed="false">
      <c r="B121" s="2" t="n">
        <v>12</v>
      </c>
      <c r="C121" s="3" t="n">
        <v>500</v>
      </c>
      <c r="D121" s="4" t="n">
        <v>3.269</v>
      </c>
      <c r="E121" s="2" t="n">
        <v>25</v>
      </c>
      <c r="F121" s="2" t="n">
        <v>31</v>
      </c>
      <c r="G121" s="3" t="n">
        <v>220</v>
      </c>
      <c r="H121" s="12" t="n">
        <v>0.0117247911599868</v>
      </c>
      <c r="I121" s="3" t="n">
        <v>93.8749624813842</v>
      </c>
      <c r="J121" s="4" t="n">
        <v>0.25</v>
      </c>
    </row>
    <row r="122" customFormat="false" ht="14.25" hidden="false" customHeight="false" outlineLevel="0" collapsed="false">
      <c r="B122" s="2" t="n">
        <v>12</v>
      </c>
      <c r="C122" s="3" t="n">
        <v>500</v>
      </c>
      <c r="D122" s="4" t="n">
        <v>3.269</v>
      </c>
      <c r="E122" s="2" t="n">
        <v>25</v>
      </c>
      <c r="F122" s="2" t="n">
        <v>31</v>
      </c>
      <c r="G122" s="3" t="n">
        <v>220</v>
      </c>
      <c r="H122" s="12" t="n">
        <v>0.0117247911599868</v>
      </c>
      <c r="I122" s="3" t="n">
        <v>202.081566483245</v>
      </c>
      <c r="J122" s="4" t="n">
        <v>0.33</v>
      </c>
    </row>
    <row r="123" customFormat="false" ht="14.25" hidden="false" customHeight="false" outlineLevel="0" collapsed="false">
      <c r="A123" s="1" t="s">
        <v>49</v>
      </c>
      <c r="B123" s="2" t="n">
        <v>12</v>
      </c>
      <c r="C123" s="3" t="n">
        <v>500</v>
      </c>
      <c r="D123" s="4" t="n">
        <v>3.269</v>
      </c>
      <c r="E123" s="2" t="n">
        <v>25</v>
      </c>
      <c r="F123" s="2" t="n">
        <v>31</v>
      </c>
      <c r="G123" s="3" t="n">
        <v>220</v>
      </c>
      <c r="H123" s="12" t="n">
        <v>0.0117247911599868</v>
      </c>
      <c r="I123" s="3" t="n">
        <v>93.8749624813842</v>
      </c>
      <c r="J123" s="4" t="n">
        <v>0.23</v>
      </c>
    </row>
    <row r="124" customFormat="false" ht="14.25" hidden="false" customHeight="false" outlineLevel="0" collapsed="false">
      <c r="B124" s="2" t="n">
        <v>12</v>
      </c>
      <c r="C124" s="3" t="n">
        <v>500</v>
      </c>
      <c r="D124" s="4" t="n">
        <v>3.269</v>
      </c>
      <c r="E124" s="2" t="n">
        <v>25</v>
      </c>
      <c r="F124" s="2" t="n">
        <v>31</v>
      </c>
      <c r="G124" s="3" t="n">
        <v>220</v>
      </c>
      <c r="H124" s="12" t="n">
        <v>0.0117247911599868</v>
      </c>
      <c r="I124" s="3" t="n">
        <v>202.081566483245</v>
      </c>
      <c r="J124" s="4" t="n">
        <v>0.28</v>
      </c>
    </row>
    <row r="125" customFormat="false" ht="14.25" hidden="false" customHeight="false" outlineLevel="0" collapsed="false">
      <c r="A125" s="1" t="s">
        <v>50</v>
      </c>
      <c r="B125" s="2" t="n">
        <v>12</v>
      </c>
      <c r="C125" s="3" t="n">
        <v>500</v>
      </c>
      <c r="D125" s="4" t="n">
        <v>3.269</v>
      </c>
      <c r="E125" s="2" t="n">
        <v>25</v>
      </c>
      <c r="F125" s="2" t="n">
        <v>31</v>
      </c>
      <c r="G125" s="3" t="n">
        <v>330</v>
      </c>
      <c r="H125" s="12" t="n">
        <v>0.0117247911599868</v>
      </c>
      <c r="I125" s="3" t="n">
        <v>38.8928744315686</v>
      </c>
      <c r="J125" s="4" t="n">
        <v>0.18</v>
      </c>
    </row>
    <row r="126" customFormat="false" ht="14.25" hidden="false" customHeight="false" outlineLevel="0" collapsed="false">
      <c r="B126" s="2" t="n">
        <v>12</v>
      </c>
      <c r="C126" s="3" t="n">
        <v>500</v>
      </c>
      <c r="D126" s="4" t="n">
        <v>3.269</v>
      </c>
      <c r="E126" s="2" t="n">
        <v>25</v>
      </c>
      <c r="F126" s="2" t="n">
        <v>31</v>
      </c>
      <c r="G126" s="3" t="n">
        <v>330</v>
      </c>
      <c r="H126" s="12" t="n">
        <v>0.0117247911599868</v>
      </c>
      <c r="I126" s="3" t="n">
        <v>112.144740233866</v>
      </c>
      <c r="J126" s="4" t="n">
        <v>0.23</v>
      </c>
    </row>
    <row r="127" customFormat="false" ht="14.25" hidden="false" customHeight="false" outlineLevel="0" collapsed="false">
      <c r="B127" s="2" t="n">
        <v>12</v>
      </c>
      <c r="C127" s="3" t="n">
        <v>500</v>
      </c>
      <c r="D127" s="4" t="n">
        <v>3.269</v>
      </c>
      <c r="E127" s="2" t="n">
        <v>25</v>
      </c>
      <c r="F127" s="2" t="n">
        <v>31</v>
      </c>
      <c r="G127" s="3" t="n">
        <v>330</v>
      </c>
      <c r="H127" s="12" t="n">
        <v>0.0117247911599868</v>
      </c>
      <c r="I127" s="3" t="n">
        <v>185.396606036163</v>
      </c>
      <c r="J127" s="4" t="n">
        <v>0.25</v>
      </c>
    </row>
    <row r="128" customFormat="false" ht="14.25" hidden="false" customHeight="false" outlineLevel="0" collapsed="false">
      <c r="A128" s="1" t="s">
        <v>51</v>
      </c>
      <c r="B128" s="2" t="n">
        <v>12</v>
      </c>
      <c r="C128" s="3" t="n">
        <v>500</v>
      </c>
      <c r="D128" s="4" t="n">
        <v>3.269</v>
      </c>
      <c r="E128" s="2" t="n">
        <v>25</v>
      </c>
      <c r="F128" s="2" t="n">
        <v>31</v>
      </c>
      <c r="G128" s="3" t="n">
        <v>330</v>
      </c>
      <c r="H128" s="12" t="n">
        <v>0.0117247911599868</v>
      </c>
      <c r="I128" s="3" t="n">
        <v>38.8928744315686</v>
      </c>
      <c r="J128" s="4" t="n">
        <v>0.18</v>
      </c>
    </row>
    <row r="129" customFormat="false" ht="14.25" hidden="false" customHeight="false" outlineLevel="0" collapsed="false">
      <c r="B129" s="2" t="n">
        <v>12</v>
      </c>
      <c r="C129" s="3" t="n">
        <v>500</v>
      </c>
      <c r="D129" s="4" t="n">
        <v>3.269</v>
      </c>
      <c r="E129" s="2" t="n">
        <v>25</v>
      </c>
      <c r="F129" s="2" t="n">
        <v>31</v>
      </c>
      <c r="G129" s="3" t="n">
        <v>330</v>
      </c>
      <c r="H129" s="12" t="n">
        <v>0.0117247911599868</v>
      </c>
      <c r="I129" s="3" t="n">
        <v>112.144740233866</v>
      </c>
      <c r="J129" s="4" t="n">
        <v>0.23</v>
      </c>
    </row>
    <row r="130" customFormat="false" ht="14.25" hidden="false" customHeight="false" outlineLevel="0" collapsed="false">
      <c r="B130" s="2" t="n">
        <v>12</v>
      </c>
      <c r="C130" s="3" t="n">
        <v>500</v>
      </c>
      <c r="D130" s="4" t="n">
        <v>3.269</v>
      </c>
      <c r="E130" s="2" t="n">
        <v>25</v>
      </c>
      <c r="F130" s="2" t="n">
        <v>31</v>
      </c>
      <c r="G130" s="3" t="n">
        <v>330</v>
      </c>
      <c r="H130" s="12" t="n">
        <v>0.0117247911599868</v>
      </c>
      <c r="I130" s="3" t="n">
        <v>185.396606036163</v>
      </c>
      <c r="J130" s="4" t="n">
        <v>0.25</v>
      </c>
    </row>
    <row r="131" customFormat="false" ht="14.25" hidden="false" customHeight="false" outlineLevel="0" collapsed="false">
      <c r="A131" s="1" t="s">
        <v>52</v>
      </c>
      <c r="B131" s="2" t="n">
        <v>12</v>
      </c>
      <c r="C131" s="3" t="n">
        <v>500</v>
      </c>
      <c r="D131" s="4" t="n">
        <v>3.269</v>
      </c>
      <c r="E131" s="2" t="n">
        <v>25</v>
      </c>
      <c r="F131" s="2" t="n">
        <v>31</v>
      </c>
      <c r="G131" s="3" t="n">
        <v>440</v>
      </c>
      <c r="H131" s="12" t="n">
        <v>0.0120879120879121</v>
      </c>
      <c r="I131" s="3" t="n">
        <v>72.228463882631</v>
      </c>
      <c r="J131" s="4" t="n">
        <v>0.15</v>
      </c>
    </row>
    <row r="132" customFormat="false" ht="14.25" hidden="false" customHeight="false" outlineLevel="0" collapsed="false">
      <c r="B132" s="2" t="n">
        <v>12</v>
      </c>
      <c r="C132" s="3" t="n">
        <v>500</v>
      </c>
      <c r="D132" s="4" t="n">
        <v>3.269</v>
      </c>
      <c r="E132" s="2" t="n">
        <v>25</v>
      </c>
      <c r="F132" s="2" t="n">
        <v>31</v>
      </c>
      <c r="G132" s="3" t="n">
        <v>440</v>
      </c>
      <c r="H132" s="12" t="n">
        <v>0.0120879120879121</v>
      </c>
      <c r="I132" s="3" t="n">
        <v>127.253993639138</v>
      </c>
      <c r="J132" s="4" t="n">
        <v>0.15</v>
      </c>
    </row>
    <row r="133" customFormat="false" ht="14.25" hidden="false" customHeight="false" outlineLevel="0" collapsed="false">
      <c r="B133" s="2" t="n">
        <v>12</v>
      </c>
      <c r="C133" s="3" t="n">
        <v>500</v>
      </c>
      <c r="D133" s="4" t="n">
        <v>3.269</v>
      </c>
      <c r="E133" s="2" t="n">
        <v>25</v>
      </c>
      <c r="F133" s="2" t="n">
        <v>31</v>
      </c>
      <c r="G133" s="3" t="n">
        <v>440</v>
      </c>
      <c r="H133" s="12" t="n">
        <v>0.0120879120879121</v>
      </c>
      <c r="I133" s="3" t="n">
        <v>182.279523395644</v>
      </c>
      <c r="J133" s="4" t="n">
        <v>0.18</v>
      </c>
    </row>
    <row r="134" customFormat="false" ht="14.25" hidden="false" customHeight="false" outlineLevel="0" collapsed="false">
      <c r="A134" s="1" t="s">
        <v>53</v>
      </c>
      <c r="B134" s="2" t="n">
        <v>12</v>
      </c>
      <c r="C134" s="3" t="n">
        <v>500</v>
      </c>
      <c r="D134" s="4" t="n">
        <v>3.269</v>
      </c>
      <c r="E134" s="2" t="n">
        <v>25</v>
      </c>
      <c r="F134" s="2" t="n">
        <v>31</v>
      </c>
      <c r="G134" s="3" t="n">
        <v>440</v>
      </c>
      <c r="H134" s="12" t="n">
        <v>0.0120879120879121</v>
      </c>
      <c r="I134" s="3" t="n">
        <v>72.228463882631</v>
      </c>
      <c r="J134" s="4" t="n">
        <v>0.18</v>
      </c>
    </row>
    <row r="135" customFormat="false" ht="14.25" hidden="false" customHeight="false" outlineLevel="0" collapsed="false">
      <c r="B135" s="2" t="n">
        <v>12</v>
      </c>
      <c r="C135" s="3" t="n">
        <v>500</v>
      </c>
      <c r="D135" s="4" t="n">
        <v>3.269</v>
      </c>
      <c r="E135" s="2" t="n">
        <v>25</v>
      </c>
      <c r="F135" s="2" t="n">
        <v>31</v>
      </c>
      <c r="G135" s="3" t="n">
        <v>440</v>
      </c>
      <c r="H135" s="12" t="n">
        <v>0.0120879120879121</v>
      </c>
      <c r="I135" s="3" t="n">
        <v>127.253993639138</v>
      </c>
      <c r="J135" s="4" t="n">
        <v>0.2</v>
      </c>
    </row>
    <row r="136" customFormat="false" ht="14.25" hidden="false" customHeight="false" outlineLevel="0" collapsed="false">
      <c r="B136" s="2" t="n">
        <v>12</v>
      </c>
      <c r="C136" s="3" t="n">
        <v>500</v>
      </c>
      <c r="D136" s="4" t="n">
        <v>3.269</v>
      </c>
      <c r="E136" s="2" t="n">
        <v>25</v>
      </c>
      <c r="F136" s="2" t="n">
        <v>31</v>
      </c>
      <c r="G136" s="3" t="n">
        <v>440</v>
      </c>
      <c r="H136" s="12" t="n">
        <v>0.0120879120879121</v>
      </c>
      <c r="I136" s="3" t="n">
        <v>182.279523395644</v>
      </c>
      <c r="J136" s="4" t="n">
        <v>0.23</v>
      </c>
    </row>
    <row r="137" customFormat="false" ht="14.25" hidden="false" customHeight="false" outlineLevel="0" collapsed="false">
      <c r="A137" s="1" t="s">
        <v>54</v>
      </c>
      <c r="B137" s="2" t="n">
        <v>10</v>
      </c>
      <c r="C137" s="3" t="n">
        <v>528</v>
      </c>
      <c r="D137" s="4" t="n">
        <v>2.8</v>
      </c>
      <c r="E137" s="2" t="n">
        <v>40</v>
      </c>
      <c r="F137" s="2" t="n">
        <v>45</v>
      </c>
      <c r="G137" s="3" t="n">
        <v>78.5</v>
      </c>
      <c r="H137" s="12" t="n">
        <v>0.00826315789473684</v>
      </c>
      <c r="I137" s="3" t="n">
        <v>99.7811011722766</v>
      </c>
      <c r="J137" s="4" t="n">
        <v>0.16</v>
      </c>
    </row>
    <row r="138" customFormat="false" ht="14.25" hidden="false" customHeight="false" outlineLevel="0" collapsed="false">
      <c r="B138" s="2" t="n">
        <v>10</v>
      </c>
      <c r="C138" s="3" t="n">
        <v>528</v>
      </c>
      <c r="D138" s="4" t="n">
        <v>2.8</v>
      </c>
      <c r="E138" s="2" t="n">
        <v>40</v>
      </c>
      <c r="F138" s="2" t="n">
        <v>45</v>
      </c>
      <c r="G138" s="3" t="n">
        <v>78.5</v>
      </c>
      <c r="H138" s="12" t="n">
        <v>0.00826315789473684</v>
      </c>
      <c r="I138" s="3" t="n">
        <v>133.400989976617</v>
      </c>
      <c r="J138" s="4" t="n">
        <v>0.18</v>
      </c>
    </row>
    <row r="139" customFormat="false" ht="14.25" hidden="false" customHeight="false" outlineLevel="0" collapsed="false">
      <c r="B139" s="2" t="n">
        <v>10</v>
      </c>
      <c r="C139" s="3" t="n">
        <v>528</v>
      </c>
      <c r="D139" s="4" t="n">
        <v>2.8</v>
      </c>
      <c r="E139" s="2" t="n">
        <v>40</v>
      </c>
      <c r="F139" s="2" t="n">
        <v>45</v>
      </c>
      <c r="G139" s="3" t="n">
        <v>78.5</v>
      </c>
      <c r="H139" s="12" t="n">
        <v>0.00826315789473684</v>
      </c>
      <c r="I139" s="3" t="n">
        <v>171.503530621536</v>
      </c>
      <c r="J139" s="4" t="n">
        <v>0.2</v>
      </c>
    </row>
    <row r="140" customFormat="false" ht="14.25" hidden="false" customHeight="false" outlineLevel="0" collapsed="false">
      <c r="B140" s="2" t="n">
        <v>10</v>
      </c>
      <c r="C140" s="3" t="n">
        <v>528</v>
      </c>
      <c r="D140" s="4" t="n">
        <v>2.8</v>
      </c>
      <c r="E140" s="2" t="n">
        <v>40</v>
      </c>
      <c r="F140" s="2" t="n">
        <v>45</v>
      </c>
      <c r="G140" s="3" t="n">
        <v>78.5</v>
      </c>
      <c r="H140" s="12" t="n">
        <v>0.00826315789473684</v>
      </c>
      <c r="I140" s="3" t="n">
        <v>205.123419425876</v>
      </c>
      <c r="J140" s="4" t="n">
        <v>0.22</v>
      </c>
    </row>
    <row r="141" customFormat="false" ht="14.25" hidden="false" customHeight="false" outlineLevel="0" collapsed="false">
      <c r="B141" s="2" t="n">
        <v>10</v>
      </c>
      <c r="C141" s="3" t="n">
        <v>528</v>
      </c>
      <c r="D141" s="4" t="n">
        <v>2.8</v>
      </c>
      <c r="E141" s="2" t="n">
        <v>40</v>
      </c>
      <c r="F141" s="2" t="n">
        <v>45</v>
      </c>
      <c r="G141" s="3" t="n">
        <v>78.5</v>
      </c>
      <c r="H141" s="12" t="n">
        <v>0.00826315789473684</v>
      </c>
      <c r="I141" s="3" t="n">
        <v>243.225960070795</v>
      </c>
      <c r="J141" s="4" t="n">
        <v>0.24</v>
      </c>
    </row>
    <row r="142" customFormat="false" ht="14.25" hidden="false" customHeight="false" outlineLevel="0" collapsed="false">
      <c r="B142" s="2" t="n">
        <v>10</v>
      </c>
      <c r="C142" s="3" t="n">
        <v>528</v>
      </c>
      <c r="D142" s="4" t="n">
        <v>2.8</v>
      </c>
      <c r="E142" s="2" t="n">
        <v>40</v>
      </c>
      <c r="F142" s="2" t="n">
        <v>45</v>
      </c>
      <c r="G142" s="3" t="n">
        <v>78.5</v>
      </c>
      <c r="H142" s="12" t="n">
        <v>0.00826315789473684</v>
      </c>
      <c r="I142" s="3" t="n">
        <v>276.845848875135</v>
      </c>
      <c r="J142" s="4" t="n">
        <v>0.26</v>
      </c>
    </row>
    <row r="143" customFormat="false" ht="14.25" hidden="false" customHeight="false" outlineLevel="0" collapsed="false">
      <c r="B143" s="2" t="n">
        <v>10</v>
      </c>
      <c r="C143" s="3" t="n">
        <v>528</v>
      </c>
      <c r="D143" s="4" t="n">
        <v>2.8</v>
      </c>
      <c r="E143" s="2" t="n">
        <v>40</v>
      </c>
      <c r="F143" s="2" t="n">
        <v>45</v>
      </c>
      <c r="G143" s="3" t="n">
        <v>78.5</v>
      </c>
      <c r="H143" s="12" t="n">
        <v>0.00826315789473684</v>
      </c>
      <c r="I143" s="3" t="n">
        <v>317.189715440343</v>
      </c>
      <c r="J143" s="4" t="n">
        <v>0.28</v>
      </c>
    </row>
    <row r="144" customFormat="false" ht="14.25" hidden="false" customHeight="false" outlineLevel="0" collapsed="false">
      <c r="A144" s="1" t="s">
        <v>55</v>
      </c>
      <c r="B144" s="2" t="n">
        <v>10</v>
      </c>
      <c r="C144" s="3" t="n">
        <v>528</v>
      </c>
      <c r="D144" s="4" t="n">
        <v>2.8</v>
      </c>
      <c r="E144" s="2" t="n">
        <v>40</v>
      </c>
      <c r="F144" s="2" t="n">
        <v>45</v>
      </c>
      <c r="G144" s="3" t="n">
        <v>78.5</v>
      </c>
      <c r="H144" s="12" t="n">
        <v>0.00826315789473684</v>
      </c>
      <c r="I144" s="3" t="n">
        <v>61.6785605273578</v>
      </c>
      <c r="J144" s="4" t="n">
        <v>0.15</v>
      </c>
    </row>
    <row r="145" customFormat="false" ht="14.25" hidden="false" customHeight="false" outlineLevel="0" collapsed="false">
      <c r="B145" s="2" t="n">
        <v>10</v>
      </c>
      <c r="C145" s="3" t="n">
        <v>528</v>
      </c>
      <c r="D145" s="4" t="n">
        <v>2.8</v>
      </c>
      <c r="E145" s="2" t="n">
        <v>40</v>
      </c>
      <c r="F145" s="2" t="n">
        <v>45</v>
      </c>
      <c r="G145" s="3" t="n">
        <v>78.5</v>
      </c>
      <c r="H145" s="12" t="n">
        <v>0.00826315789473684</v>
      </c>
      <c r="I145" s="3" t="n">
        <v>99.7811011722766</v>
      </c>
      <c r="J145" s="4" t="n">
        <v>0.17</v>
      </c>
    </row>
    <row r="146" customFormat="false" ht="14.25" hidden="false" customHeight="false" outlineLevel="0" collapsed="false">
      <c r="B146" s="2" t="n">
        <v>10</v>
      </c>
      <c r="C146" s="3" t="n">
        <v>528</v>
      </c>
      <c r="D146" s="4" t="n">
        <v>2.8</v>
      </c>
      <c r="E146" s="2" t="n">
        <v>40</v>
      </c>
      <c r="F146" s="2" t="n">
        <v>45</v>
      </c>
      <c r="G146" s="3" t="n">
        <v>78.5</v>
      </c>
      <c r="H146" s="12" t="n">
        <v>0.00826315789473684</v>
      </c>
      <c r="I146" s="3" t="n">
        <v>135.642315896906</v>
      </c>
      <c r="J146" s="4" t="n">
        <v>0.19</v>
      </c>
    </row>
    <row r="147" customFormat="false" ht="14.25" hidden="false" customHeight="false" outlineLevel="0" collapsed="false">
      <c r="B147" s="2" t="n">
        <v>10</v>
      </c>
      <c r="C147" s="3" t="n">
        <v>528</v>
      </c>
      <c r="D147" s="4" t="n">
        <v>2.8</v>
      </c>
      <c r="E147" s="2" t="n">
        <v>40</v>
      </c>
      <c r="F147" s="2" t="n">
        <v>45</v>
      </c>
      <c r="G147" s="3" t="n">
        <v>78.5</v>
      </c>
      <c r="H147" s="12" t="n">
        <v>0.00826315789473684</v>
      </c>
      <c r="I147" s="3" t="n">
        <v>168.141541741102</v>
      </c>
      <c r="J147" s="4" t="n">
        <v>0.2</v>
      </c>
    </row>
    <row r="148" customFormat="false" ht="14.25" hidden="false" customHeight="false" outlineLevel="0" collapsed="false">
      <c r="B148" s="2" t="n">
        <v>10</v>
      </c>
      <c r="C148" s="3" t="n">
        <v>528</v>
      </c>
      <c r="D148" s="4" t="n">
        <v>2.8</v>
      </c>
      <c r="E148" s="2" t="n">
        <v>40</v>
      </c>
      <c r="F148" s="2" t="n">
        <v>45</v>
      </c>
      <c r="G148" s="3" t="n">
        <v>78.5</v>
      </c>
      <c r="H148" s="12" t="n">
        <v>0.00826315789473684</v>
      </c>
      <c r="I148" s="3" t="n">
        <v>205.123419425876</v>
      </c>
      <c r="J148" s="4" t="n">
        <v>0.22</v>
      </c>
    </row>
    <row r="149" customFormat="false" ht="14.25" hidden="false" customHeight="false" outlineLevel="0" collapsed="false">
      <c r="B149" s="2" t="n">
        <v>10</v>
      </c>
      <c r="C149" s="3" t="n">
        <v>528</v>
      </c>
      <c r="D149" s="4" t="n">
        <v>2.8</v>
      </c>
      <c r="E149" s="2" t="n">
        <v>40</v>
      </c>
      <c r="F149" s="2" t="n">
        <v>45</v>
      </c>
      <c r="G149" s="3" t="n">
        <v>78.5</v>
      </c>
      <c r="H149" s="12" t="n">
        <v>0.00826315789473684</v>
      </c>
      <c r="I149" s="3" t="n">
        <v>242.10529711065</v>
      </c>
      <c r="J149" s="4" t="n">
        <v>0.24</v>
      </c>
    </row>
    <row r="150" customFormat="false" ht="14.25" hidden="false" customHeight="false" outlineLevel="0" collapsed="false">
      <c r="B150" s="2" t="n">
        <v>10</v>
      </c>
      <c r="C150" s="3" t="n">
        <v>528</v>
      </c>
      <c r="D150" s="4" t="n">
        <v>2.8</v>
      </c>
      <c r="E150" s="2" t="n">
        <v>40</v>
      </c>
      <c r="F150" s="2" t="n">
        <v>45</v>
      </c>
      <c r="G150" s="3" t="n">
        <v>78.5</v>
      </c>
      <c r="H150" s="12" t="n">
        <v>0.00826315789473684</v>
      </c>
      <c r="I150" s="3" t="n">
        <v>273.483859994701</v>
      </c>
      <c r="J150" s="4" t="n">
        <v>0.26</v>
      </c>
    </row>
    <row r="151" customFormat="false" ht="14.25" hidden="false" customHeight="false" outlineLevel="0" collapsed="false">
      <c r="B151" s="2" t="n">
        <v>10</v>
      </c>
      <c r="C151" s="3" t="n">
        <v>528</v>
      </c>
      <c r="D151" s="4" t="n">
        <v>2.8</v>
      </c>
      <c r="E151" s="2" t="n">
        <v>40</v>
      </c>
      <c r="F151" s="2" t="n">
        <v>45</v>
      </c>
      <c r="G151" s="3" t="n">
        <v>78.5</v>
      </c>
      <c r="H151" s="12" t="n">
        <v>0.00826315789473684</v>
      </c>
      <c r="I151" s="3" t="n">
        <v>303.741759918607</v>
      </c>
      <c r="J151" s="4" t="n">
        <v>0.29</v>
      </c>
    </row>
    <row r="152" customFormat="false" ht="14.25" hidden="false" customHeight="false" outlineLevel="0" collapsed="false">
      <c r="A152" s="1" t="s">
        <v>56</v>
      </c>
      <c r="B152" s="2" t="n">
        <v>20</v>
      </c>
      <c r="C152" s="3" t="n">
        <v>598</v>
      </c>
      <c r="D152" s="4" t="n">
        <v>2.8</v>
      </c>
      <c r="E152" s="2" t="n">
        <v>40</v>
      </c>
      <c r="F152" s="2" t="n">
        <v>50</v>
      </c>
      <c r="G152" s="3" t="n">
        <v>315</v>
      </c>
      <c r="H152" s="12" t="n">
        <v>0.021</v>
      </c>
      <c r="I152" s="3" t="n">
        <v>109.165243530495</v>
      </c>
      <c r="J152" s="4" t="n">
        <v>0.17</v>
      </c>
    </row>
    <row r="153" customFormat="false" ht="14.25" hidden="false" customHeight="false" outlineLevel="0" collapsed="false">
      <c r="B153" s="2" t="n">
        <v>20</v>
      </c>
      <c r="C153" s="3" t="n">
        <v>598</v>
      </c>
      <c r="D153" s="4" t="n">
        <v>2.8</v>
      </c>
      <c r="E153" s="2" t="n">
        <v>40</v>
      </c>
      <c r="F153" s="2" t="n">
        <v>50</v>
      </c>
      <c r="G153" s="3" t="n">
        <v>315</v>
      </c>
      <c r="H153" s="12" t="n">
        <v>0.021</v>
      </c>
      <c r="I153" s="3" t="n">
        <v>151.466537335881</v>
      </c>
      <c r="J153" s="4" t="n">
        <v>0.2</v>
      </c>
    </row>
    <row r="154" customFormat="false" ht="14.25" hidden="false" customHeight="false" outlineLevel="0" collapsed="false">
      <c r="B154" s="2" t="n">
        <v>20</v>
      </c>
      <c r="C154" s="3" t="n">
        <v>598</v>
      </c>
      <c r="D154" s="4" t="n">
        <v>2.8</v>
      </c>
      <c r="E154" s="2" t="n">
        <v>40</v>
      </c>
      <c r="F154" s="2" t="n">
        <v>50</v>
      </c>
      <c r="G154" s="3" t="n">
        <v>315</v>
      </c>
      <c r="H154" s="12" t="n">
        <v>0.021</v>
      </c>
      <c r="I154" s="3" t="n">
        <v>194.074012813532</v>
      </c>
      <c r="J154" s="4" t="n">
        <v>0.24</v>
      </c>
    </row>
    <row r="155" customFormat="false" ht="14.25" hidden="false" customHeight="false" outlineLevel="0" collapsed="false">
      <c r="B155" s="2" t="n">
        <v>20</v>
      </c>
      <c r="C155" s="3" t="n">
        <v>598</v>
      </c>
      <c r="D155" s="4" t="n">
        <v>2.8</v>
      </c>
      <c r="E155" s="2" t="n">
        <v>40</v>
      </c>
      <c r="F155" s="2" t="n">
        <v>50</v>
      </c>
      <c r="G155" s="3" t="n">
        <v>315</v>
      </c>
      <c r="H155" s="12" t="n">
        <v>0.021</v>
      </c>
      <c r="I155" s="3" t="n">
        <v>236.446087874179</v>
      </c>
      <c r="J155" s="4" t="n">
        <v>0.27</v>
      </c>
    </row>
    <row r="156" customFormat="false" ht="14.25" hidden="false" customHeight="false" outlineLevel="0" collapsed="false">
      <c r="B156" s="2" t="n">
        <v>20</v>
      </c>
      <c r="C156" s="3" t="n">
        <v>598</v>
      </c>
      <c r="D156" s="4" t="n">
        <v>2.8</v>
      </c>
      <c r="E156" s="2" t="n">
        <v>40</v>
      </c>
      <c r="F156" s="2" t="n">
        <v>50</v>
      </c>
      <c r="G156" s="3" t="n">
        <v>315</v>
      </c>
      <c r="H156" s="12" t="n">
        <v>0.021</v>
      </c>
      <c r="I156" s="3" t="n">
        <v>278.347362100818</v>
      </c>
      <c r="J156" s="4" t="n">
        <v>0.32</v>
      </c>
    </row>
    <row r="157" customFormat="false" ht="14.25" hidden="false" customHeight="false" outlineLevel="0" collapsed="false">
      <c r="B157" s="2" t="n">
        <v>20</v>
      </c>
      <c r="C157" s="3" t="n">
        <v>598</v>
      </c>
      <c r="D157" s="4" t="n">
        <v>2.8</v>
      </c>
      <c r="E157" s="2" t="n">
        <v>40</v>
      </c>
      <c r="F157" s="2" t="n">
        <v>50</v>
      </c>
      <c r="G157" s="3" t="n">
        <v>315</v>
      </c>
      <c r="H157" s="12" t="n">
        <v>0.021</v>
      </c>
      <c r="I157" s="3" t="n">
        <v>321.425638412476</v>
      </c>
      <c r="J157" s="4" t="n">
        <v>0.34</v>
      </c>
    </row>
    <row r="158" customFormat="false" ht="14.25" hidden="false" customHeight="false" outlineLevel="0" collapsed="false">
      <c r="A158" s="1" t="s">
        <v>57</v>
      </c>
      <c r="B158" s="2" t="n">
        <v>20</v>
      </c>
      <c r="C158" s="3" t="n">
        <v>598</v>
      </c>
      <c r="D158" s="4" t="n">
        <v>2.8</v>
      </c>
      <c r="E158" s="2" t="n">
        <v>40</v>
      </c>
      <c r="F158" s="2" t="n">
        <v>50</v>
      </c>
      <c r="G158" s="3" t="n">
        <v>315</v>
      </c>
      <c r="H158" s="12" t="n">
        <v>0.021</v>
      </c>
      <c r="I158" s="3" t="n">
        <v>77.5765264357903</v>
      </c>
      <c r="J158" s="4" t="n">
        <v>0.16</v>
      </c>
    </row>
    <row r="159" customFormat="false" ht="14.25" hidden="false" customHeight="false" outlineLevel="0" collapsed="false">
      <c r="B159" s="2" t="n">
        <v>20</v>
      </c>
      <c r="C159" s="3" t="n">
        <v>598</v>
      </c>
      <c r="D159" s="4" t="n">
        <v>2.8</v>
      </c>
      <c r="E159" s="2" t="n">
        <v>40</v>
      </c>
      <c r="F159" s="2" t="n">
        <v>50</v>
      </c>
      <c r="G159" s="3" t="n">
        <v>315</v>
      </c>
      <c r="H159" s="12" t="n">
        <v>0.021</v>
      </c>
      <c r="I159" s="3" t="n">
        <v>109.709876583852</v>
      </c>
      <c r="J159" s="4" t="n">
        <v>0.2</v>
      </c>
    </row>
    <row r="160" customFormat="false" ht="14.25" hidden="false" customHeight="false" outlineLevel="0" collapsed="false">
      <c r="B160" s="2" t="n">
        <v>20</v>
      </c>
      <c r="C160" s="3" t="n">
        <v>598</v>
      </c>
      <c r="D160" s="4" t="n">
        <v>2.8</v>
      </c>
      <c r="E160" s="2" t="n">
        <v>40</v>
      </c>
      <c r="F160" s="2" t="n">
        <v>50</v>
      </c>
      <c r="G160" s="3" t="n">
        <v>315</v>
      </c>
      <c r="H160" s="12" t="n">
        <v>0.021</v>
      </c>
      <c r="I160" s="3" t="n">
        <v>150.760336084871</v>
      </c>
      <c r="J160" s="4" t="n">
        <v>0.24</v>
      </c>
    </row>
    <row r="161" customFormat="false" ht="14.25" hidden="false" customHeight="false" outlineLevel="0" collapsed="false">
      <c r="B161" s="2" t="n">
        <v>20</v>
      </c>
      <c r="C161" s="3" t="n">
        <v>598</v>
      </c>
      <c r="D161" s="4" t="n">
        <v>2.8</v>
      </c>
      <c r="E161" s="2" t="n">
        <v>40</v>
      </c>
      <c r="F161" s="2" t="n">
        <v>50</v>
      </c>
      <c r="G161" s="3" t="n">
        <v>315</v>
      </c>
      <c r="H161" s="12" t="n">
        <v>0.021</v>
      </c>
      <c r="I161" s="3" t="n">
        <v>192.897010728514</v>
      </c>
      <c r="J161" s="4" t="n">
        <v>0.27</v>
      </c>
    </row>
    <row r="162" customFormat="false" ht="14.25" hidden="false" customHeight="false" outlineLevel="0" collapsed="false">
      <c r="B162" s="2" t="n">
        <v>20</v>
      </c>
      <c r="C162" s="3" t="n">
        <v>598</v>
      </c>
      <c r="D162" s="4" t="n">
        <v>2.8</v>
      </c>
      <c r="E162" s="2" t="n">
        <v>40</v>
      </c>
      <c r="F162" s="2" t="n">
        <v>50</v>
      </c>
      <c r="G162" s="3" t="n">
        <v>315</v>
      </c>
      <c r="H162" s="12" t="n">
        <v>0.021</v>
      </c>
      <c r="I162" s="3" t="n">
        <v>236.681488291182</v>
      </c>
      <c r="J162" s="4" t="n">
        <v>0.29</v>
      </c>
    </row>
    <row r="163" customFormat="false" ht="14.25" hidden="false" customHeight="false" outlineLevel="0" collapsed="false">
      <c r="B163" s="2" t="n">
        <v>20</v>
      </c>
      <c r="C163" s="3" t="n">
        <v>598</v>
      </c>
      <c r="D163" s="4" t="n">
        <v>2.8</v>
      </c>
      <c r="E163" s="2" t="n">
        <v>40</v>
      </c>
      <c r="F163" s="2" t="n">
        <v>50</v>
      </c>
      <c r="G163" s="3" t="n">
        <v>315</v>
      </c>
      <c r="H163" s="12" t="n">
        <v>0.021</v>
      </c>
      <c r="I163" s="3" t="n">
        <v>278.347362100818</v>
      </c>
      <c r="J163" s="4" t="n">
        <v>0.32</v>
      </c>
    </row>
    <row r="164" customFormat="false" ht="14.25" hidden="false" customHeight="false" outlineLevel="0" collapsed="false">
      <c r="B164" s="2" t="n">
        <v>20</v>
      </c>
      <c r="C164" s="3" t="n">
        <v>598</v>
      </c>
      <c r="D164" s="4" t="n">
        <v>2.8</v>
      </c>
      <c r="E164" s="2" t="n">
        <v>40</v>
      </c>
      <c r="F164" s="2" t="n">
        <v>50</v>
      </c>
      <c r="G164" s="3" t="n">
        <v>315</v>
      </c>
      <c r="H164" s="12" t="n">
        <v>0.021</v>
      </c>
      <c r="I164" s="3" t="n">
        <v>298.591797963127</v>
      </c>
      <c r="J164" s="4" t="n">
        <v>0.33</v>
      </c>
    </row>
    <row r="165" customFormat="false" ht="14.25" hidden="false" customHeight="false" outlineLevel="0" collapsed="false">
      <c r="A165" s="1" t="s">
        <v>58</v>
      </c>
      <c r="B165" s="2" t="n">
        <v>10</v>
      </c>
      <c r="C165" s="3" t="n">
        <v>528</v>
      </c>
      <c r="D165" s="4" t="n">
        <v>2.8</v>
      </c>
      <c r="E165" s="2" t="n">
        <v>40</v>
      </c>
      <c r="F165" s="2" t="n">
        <v>45</v>
      </c>
      <c r="G165" s="3" t="n">
        <v>78.5</v>
      </c>
      <c r="H165" s="12" t="n">
        <v>0.00826315789473684</v>
      </c>
      <c r="I165" s="3" t="n">
        <v>160.396623000304</v>
      </c>
      <c r="J165" s="4" t="n">
        <v>0.15</v>
      </c>
    </row>
    <row r="166" customFormat="false" ht="14.25" hidden="false" customHeight="false" outlineLevel="0" collapsed="false">
      <c r="B166" s="2" t="n">
        <v>10</v>
      </c>
      <c r="C166" s="3" t="n">
        <v>528</v>
      </c>
      <c r="D166" s="4" t="n">
        <v>2.8</v>
      </c>
      <c r="E166" s="2" t="n">
        <v>40</v>
      </c>
      <c r="F166" s="2" t="n">
        <v>45</v>
      </c>
      <c r="G166" s="3" t="n">
        <v>78.5</v>
      </c>
      <c r="H166" s="12" t="n">
        <v>0.00826315789473684</v>
      </c>
      <c r="I166" s="3" t="n">
        <v>193.878640306356</v>
      </c>
      <c r="J166" s="4" t="n">
        <v>0.19</v>
      </c>
    </row>
    <row r="167" customFormat="false" ht="14.25" hidden="false" customHeight="false" outlineLevel="0" collapsed="false">
      <c r="B167" s="2" t="n">
        <v>10</v>
      </c>
      <c r="C167" s="3" t="n">
        <v>528</v>
      </c>
      <c r="D167" s="4" t="n">
        <v>2.8</v>
      </c>
      <c r="E167" s="2" t="n">
        <v>40</v>
      </c>
      <c r="F167" s="2" t="n">
        <v>45</v>
      </c>
      <c r="G167" s="3" t="n">
        <v>78.5</v>
      </c>
      <c r="H167" s="12" t="n">
        <v>0.00826315789473684</v>
      </c>
      <c r="I167" s="3" t="n">
        <v>200.575043767567</v>
      </c>
      <c r="J167" s="4" t="n">
        <v>0.2</v>
      </c>
    </row>
    <row r="168" customFormat="false" ht="14.25" hidden="false" customHeight="false" outlineLevel="0" collapsed="false">
      <c r="B168" s="2" t="n">
        <v>10</v>
      </c>
      <c r="C168" s="3" t="n">
        <v>528</v>
      </c>
      <c r="D168" s="4" t="n">
        <v>2.8</v>
      </c>
      <c r="E168" s="2" t="n">
        <v>40</v>
      </c>
      <c r="F168" s="2" t="n">
        <v>45</v>
      </c>
      <c r="G168" s="3" t="n">
        <v>78.5</v>
      </c>
      <c r="H168" s="12" t="n">
        <v>0.00826315789473684</v>
      </c>
      <c r="I168" s="3" t="n">
        <v>228.848747270455</v>
      </c>
      <c r="J168" s="4" t="n">
        <v>0.23</v>
      </c>
    </row>
    <row r="169" customFormat="false" ht="14.25" hidden="false" customHeight="false" outlineLevel="0" collapsed="false">
      <c r="B169" s="2" t="n">
        <v>10</v>
      </c>
      <c r="C169" s="3" t="n">
        <v>528</v>
      </c>
      <c r="D169" s="4" t="n">
        <v>2.8</v>
      </c>
      <c r="E169" s="2" t="n">
        <v>40</v>
      </c>
      <c r="F169" s="2" t="n">
        <v>45</v>
      </c>
      <c r="G169" s="3" t="n">
        <v>78.5</v>
      </c>
      <c r="H169" s="12" t="n">
        <v>0.00826315789473684</v>
      </c>
      <c r="I169" s="3" t="n">
        <v>248.193912825063</v>
      </c>
      <c r="J169" s="4" t="n">
        <v>0.25</v>
      </c>
    </row>
    <row r="170" customFormat="false" ht="14.25" hidden="false" customHeight="false" outlineLevel="0" collapsed="false">
      <c r="B170" s="2" t="n">
        <v>10</v>
      </c>
      <c r="C170" s="3" t="n">
        <v>528</v>
      </c>
      <c r="D170" s="4" t="n">
        <v>2.8</v>
      </c>
      <c r="E170" s="2" t="n">
        <v>40</v>
      </c>
      <c r="F170" s="2" t="n">
        <v>45</v>
      </c>
      <c r="G170" s="3" t="n">
        <v>78.5</v>
      </c>
      <c r="H170" s="12" t="n">
        <v>0.00826315789473684</v>
      </c>
      <c r="I170" s="3" t="n">
        <v>269.771212866741</v>
      </c>
      <c r="J170" s="4" t="n">
        <v>0.28</v>
      </c>
    </row>
    <row r="171" customFormat="false" ht="14.25" hidden="false" customHeight="false" outlineLevel="0" collapsed="false">
      <c r="B171" s="2" t="n">
        <v>10</v>
      </c>
      <c r="C171" s="3" t="n">
        <v>528</v>
      </c>
      <c r="D171" s="4" t="n">
        <v>2.8</v>
      </c>
      <c r="E171" s="2" t="n">
        <v>40</v>
      </c>
      <c r="F171" s="2" t="n">
        <v>45</v>
      </c>
      <c r="G171" s="3" t="n">
        <v>78.5</v>
      </c>
      <c r="H171" s="12" t="n">
        <v>0.00826315789473684</v>
      </c>
      <c r="I171" s="3" t="n">
        <v>289.116378421349</v>
      </c>
      <c r="J171" s="4" t="n">
        <v>0.31</v>
      </c>
    </row>
    <row r="172" customFormat="false" ht="14.25" hidden="false" customHeight="false" outlineLevel="0" collapsed="false">
      <c r="B172" s="2" t="n">
        <v>10</v>
      </c>
      <c r="C172" s="3" t="n">
        <v>528</v>
      </c>
      <c r="D172" s="4" t="n">
        <v>2.8</v>
      </c>
      <c r="E172" s="2" t="n">
        <v>40</v>
      </c>
      <c r="F172" s="2" t="n">
        <v>45</v>
      </c>
      <c r="G172" s="3" t="n">
        <v>78.5</v>
      </c>
      <c r="H172" s="12" t="n">
        <v>0.00826315789473684</v>
      </c>
      <c r="I172" s="3" t="n">
        <v>312.181768121074</v>
      </c>
      <c r="J172" s="4" t="n">
        <v>0.36</v>
      </c>
    </row>
    <row r="173" customFormat="false" ht="14.25" hidden="false" customHeight="false" outlineLevel="0" collapsed="false">
      <c r="A173" s="1" t="s">
        <v>59</v>
      </c>
      <c r="B173" s="2" t="n">
        <v>10</v>
      </c>
      <c r="C173" s="3" t="n">
        <v>528</v>
      </c>
      <c r="D173" s="4" t="n">
        <v>2.8</v>
      </c>
      <c r="E173" s="2" t="n">
        <v>40</v>
      </c>
      <c r="F173" s="2" t="n">
        <v>45</v>
      </c>
      <c r="G173" s="3" t="n">
        <v>78.5</v>
      </c>
      <c r="H173" s="12" t="n">
        <v>0.00826315789473684</v>
      </c>
      <c r="I173" s="3" t="n">
        <v>158.164488513234</v>
      </c>
      <c r="J173" s="4" t="n">
        <v>0.16</v>
      </c>
    </row>
    <row r="174" customFormat="false" ht="14.25" hidden="false" customHeight="false" outlineLevel="0" collapsed="false">
      <c r="B174" s="2" t="n">
        <v>10</v>
      </c>
      <c r="C174" s="3" t="n">
        <v>528</v>
      </c>
      <c r="D174" s="4" t="n">
        <v>2.8</v>
      </c>
      <c r="E174" s="2" t="n">
        <v>40</v>
      </c>
      <c r="F174" s="2" t="n">
        <v>45</v>
      </c>
      <c r="G174" s="3" t="n">
        <v>78.5</v>
      </c>
      <c r="H174" s="12" t="n">
        <v>0.00826315789473684</v>
      </c>
      <c r="I174" s="3" t="n">
        <v>180.485833383936</v>
      </c>
      <c r="J174" s="4" t="n">
        <v>0.18</v>
      </c>
    </row>
    <row r="175" customFormat="false" ht="14.25" hidden="false" customHeight="false" outlineLevel="0" collapsed="false">
      <c r="B175" s="2" t="n">
        <v>10</v>
      </c>
      <c r="C175" s="3" t="n">
        <v>528</v>
      </c>
      <c r="D175" s="4" t="n">
        <v>2.8</v>
      </c>
      <c r="E175" s="2" t="n">
        <v>40</v>
      </c>
      <c r="F175" s="2" t="n">
        <v>45</v>
      </c>
      <c r="G175" s="3" t="n">
        <v>78.5</v>
      </c>
      <c r="H175" s="12" t="n">
        <v>0.00826315789473684</v>
      </c>
      <c r="I175" s="3" t="n">
        <v>201.31908859659</v>
      </c>
      <c r="J175" s="4" t="n">
        <v>0.2</v>
      </c>
    </row>
    <row r="176" customFormat="false" ht="14.25" hidden="false" customHeight="false" outlineLevel="0" collapsed="false">
      <c r="B176" s="2" t="n">
        <v>10</v>
      </c>
      <c r="C176" s="3" t="n">
        <v>528</v>
      </c>
      <c r="D176" s="4" t="n">
        <v>2.8</v>
      </c>
      <c r="E176" s="2" t="n">
        <v>40</v>
      </c>
      <c r="F176" s="2" t="n">
        <v>45</v>
      </c>
      <c r="G176" s="3" t="n">
        <v>78.5</v>
      </c>
      <c r="H176" s="12" t="n">
        <v>0.00826315789473684</v>
      </c>
      <c r="I176" s="3" t="n">
        <v>222.896388638268</v>
      </c>
      <c r="J176" s="4" t="n">
        <v>0.23</v>
      </c>
    </row>
    <row r="177" customFormat="false" ht="14.25" hidden="false" customHeight="false" outlineLevel="0" collapsed="false">
      <c r="B177" s="2" t="n">
        <v>10</v>
      </c>
      <c r="C177" s="3" t="n">
        <v>528</v>
      </c>
      <c r="D177" s="4" t="n">
        <v>2.8</v>
      </c>
      <c r="E177" s="2" t="n">
        <v>40</v>
      </c>
      <c r="F177" s="2" t="n">
        <v>45</v>
      </c>
      <c r="G177" s="3" t="n">
        <v>78.5</v>
      </c>
      <c r="H177" s="12" t="n">
        <v>0.00826315789473684</v>
      </c>
      <c r="I177" s="3" t="n">
        <v>245.961778337993</v>
      </c>
      <c r="J177" s="4" t="n">
        <v>0.24</v>
      </c>
    </row>
    <row r="178" customFormat="false" ht="14.25" hidden="false" customHeight="false" outlineLevel="0" collapsed="false">
      <c r="B178" s="2" t="n">
        <v>10</v>
      </c>
      <c r="C178" s="3" t="n">
        <v>528</v>
      </c>
      <c r="D178" s="4" t="n">
        <v>2.8</v>
      </c>
      <c r="E178" s="2" t="n">
        <v>40</v>
      </c>
      <c r="F178" s="2" t="n">
        <v>45</v>
      </c>
      <c r="G178" s="3" t="n">
        <v>78.5</v>
      </c>
      <c r="H178" s="12" t="n">
        <v>0.00826315789473684</v>
      </c>
      <c r="I178" s="3" t="n">
        <v>269.771212866741</v>
      </c>
      <c r="J178" s="4" t="n">
        <v>0.25</v>
      </c>
    </row>
    <row r="179" customFormat="false" ht="14.25" hidden="false" customHeight="false" outlineLevel="0" collapsed="false">
      <c r="B179" s="2" t="n">
        <v>10</v>
      </c>
      <c r="C179" s="3" t="n">
        <v>528</v>
      </c>
      <c r="D179" s="4" t="n">
        <v>2.8</v>
      </c>
      <c r="E179" s="2" t="n">
        <v>40</v>
      </c>
      <c r="F179" s="2" t="n">
        <v>45</v>
      </c>
      <c r="G179" s="3" t="n">
        <v>78.5</v>
      </c>
      <c r="H179" s="12" t="n">
        <v>0.00826315789473684</v>
      </c>
      <c r="I179" s="3" t="n">
        <v>291.348512908419</v>
      </c>
      <c r="J179" s="4" t="n">
        <v>0.27</v>
      </c>
    </row>
    <row r="180" customFormat="false" ht="14.25" hidden="false" customHeight="false" outlineLevel="0" collapsed="false">
      <c r="B180" s="2" t="n">
        <v>10</v>
      </c>
      <c r="C180" s="3" t="n">
        <v>528</v>
      </c>
      <c r="D180" s="4" t="n">
        <v>2.8</v>
      </c>
      <c r="E180" s="2" t="n">
        <v>40</v>
      </c>
      <c r="F180" s="2" t="n">
        <v>45</v>
      </c>
      <c r="G180" s="3" t="n">
        <v>78.5</v>
      </c>
      <c r="H180" s="12" t="n">
        <v>0.00826315789473684</v>
      </c>
      <c r="I180" s="3" t="n">
        <v>310.693678463027</v>
      </c>
      <c r="J180" s="4" t="n">
        <v>0.29</v>
      </c>
    </row>
    <row r="181" customFormat="false" ht="14.25" hidden="false" customHeight="false" outlineLevel="0" collapsed="false">
      <c r="A181" s="1" t="s">
        <v>60</v>
      </c>
      <c r="B181" s="2" t="n">
        <v>10</v>
      </c>
      <c r="C181" s="3" t="n">
        <v>528</v>
      </c>
      <c r="D181" s="4" t="n">
        <v>2.8</v>
      </c>
      <c r="E181" s="2" t="n">
        <v>40</v>
      </c>
      <c r="F181" s="2" t="n">
        <v>45</v>
      </c>
      <c r="G181" s="3" t="n">
        <v>78.5</v>
      </c>
      <c r="H181" s="12" t="n">
        <v>0.00826315789473684</v>
      </c>
      <c r="I181" s="3" t="n">
        <v>182.717967871006</v>
      </c>
      <c r="J181" s="4" t="n">
        <v>0.15</v>
      </c>
    </row>
    <row r="182" customFormat="false" ht="14.25" hidden="false" customHeight="false" outlineLevel="0" collapsed="false">
      <c r="B182" s="2" t="n">
        <v>10</v>
      </c>
      <c r="C182" s="3" t="n">
        <v>528</v>
      </c>
      <c r="D182" s="4" t="n">
        <v>2.8</v>
      </c>
      <c r="E182" s="2" t="n">
        <v>40</v>
      </c>
      <c r="F182" s="2" t="n">
        <v>45</v>
      </c>
      <c r="G182" s="3" t="n">
        <v>78.5</v>
      </c>
      <c r="H182" s="12" t="n">
        <v>0.00826315789473684</v>
      </c>
      <c r="I182" s="3" t="n">
        <v>204.295267912684</v>
      </c>
      <c r="J182" s="4" t="n">
        <v>0.16</v>
      </c>
    </row>
    <row r="183" customFormat="false" ht="14.25" hidden="false" customHeight="false" outlineLevel="0" collapsed="false">
      <c r="B183" s="2" t="n">
        <v>10</v>
      </c>
      <c r="C183" s="3" t="n">
        <v>528</v>
      </c>
      <c r="D183" s="4" t="n">
        <v>2.8</v>
      </c>
      <c r="E183" s="2" t="n">
        <v>40</v>
      </c>
      <c r="F183" s="2" t="n">
        <v>45</v>
      </c>
      <c r="G183" s="3" t="n">
        <v>78.5</v>
      </c>
      <c r="H183" s="12" t="n">
        <v>0.00826315789473684</v>
      </c>
      <c r="I183" s="3" t="n">
        <v>234.801105902642</v>
      </c>
      <c r="J183" s="4" t="n">
        <v>0.18</v>
      </c>
    </row>
    <row r="184" customFormat="false" ht="14.25" hidden="false" customHeight="false" outlineLevel="0" collapsed="false">
      <c r="B184" s="2" t="n">
        <v>10</v>
      </c>
      <c r="C184" s="3" t="n">
        <v>528</v>
      </c>
      <c r="D184" s="4" t="n">
        <v>2.8</v>
      </c>
      <c r="E184" s="2" t="n">
        <v>40</v>
      </c>
      <c r="F184" s="2" t="n">
        <v>45</v>
      </c>
      <c r="G184" s="3" t="n">
        <v>78.5</v>
      </c>
      <c r="H184" s="12" t="n">
        <v>0.00826315789473684</v>
      </c>
      <c r="I184" s="3" t="n">
        <v>252.658181799204</v>
      </c>
      <c r="J184" s="4" t="n">
        <v>0.18</v>
      </c>
    </row>
    <row r="185" customFormat="false" ht="14.25" hidden="false" customHeight="false" outlineLevel="0" collapsed="false">
      <c r="B185" s="2" t="n">
        <v>10</v>
      </c>
      <c r="C185" s="3" t="n">
        <v>528</v>
      </c>
      <c r="D185" s="4" t="n">
        <v>2.8</v>
      </c>
      <c r="E185" s="2" t="n">
        <v>40</v>
      </c>
      <c r="F185" s="2" t="n">
        <v>45</v>
      </c>
      <c r="G185" s="3" t="n">
        <v>78.5</v>
      </c>
      <c r="H185" s="12" t="n">
        <v>0.00826315789473684</v>
      </c>
      <c r="I185" s="3" t="n">
        <v>269.771212866741</v>
      </c>
      <c r="J185" s="4" t="n">
        <v>0.19</v>
      </c>
    </row>
    <row r="186" customFormat="false" ht="14.25" hidden="false" customHeight="false" outlineLevel="0" collapsed="false">
      <c r="B186" s="2" t="n">
        <v>10</v>
      </c>
      <c r="C186" s="3" t="n">
        <v>528</v>
      </c>
      <c r="D186" s="4" t="n">
        <v>2.8</v>
      </c>
      <c r="E186" s="2" t="n">
        <v>40</v>
      </c>
      <c r="F186" s="2" t="n">
        <v>45</v>
      </c>
      <c r="G186" s="3" t="n">
        <v>78.5</v>
      </c>
      <c r="H186" s="12" t="n">
        <v>0.00826315789473684</v>
      </c>
      <c r="I186" s="3" t="n">
        <v>288.372333592326</v>
      </c>
      <c r="J186" s="4" t="n">
        <v>0.2</v>
      </c>
    </row>
    <row r="187" customFormat="false" ht="14.25" hidden="false" customHeight="false" outlineLevel="0" collapsed="false">
      <c r="B187" s="2" t="n">
        <v>10</v>
      </c>
      <c r="C187" s="3" t="n">
        <v>528</v>
      </c>
      <c r="D187" s="4" t="n">
        <v>2.8</v>
      </c>
      <c r="E187" s="2" t="n">
        <v>40</v>
      </c>
      <c r="F187" s="2" t="n">
        <v>45</v>
      </c>
      <c r="G187" s="3" t="n">
        <v>78.5</v>
      </c>
      <c r="H187" s="12" t="n">
        <v>0.00826315789473684</v>
      </c>
      <c r="I187" s="3" t="n">
        <v>312.925812950098</v>
      </c>
      <c r="J187" s="4" t="n">
        <v>0.22</v>
      </c>
    </row>
    <row r="188" customFormat="false" ht="14.25" hidden="false" customHeight="false" outlineLevel="0" collapsed="false">
      <c r="A188" s="1" t="s">
        <v>61</v>
      </c>
      <c r="B188" s="2" t="n">
        <v>20</v>
      </c>
      <c r="C188" s="3" t="n">
        <v>598</v>
      </c>
      <c r="D188" s="4" t="n">
        <v>2.8</v>
      </c>
      <c r="E188" s="2" t="n">
        <v>40</v>
      </c>
      <c r="F188" s="2" t="n">
        <v>50</v>
      </c>
      <c r="G188" s="3" t="n">
        <v>315</v>
      </c>
      <c r="H188" s="12" t="n">
        <v>0.021</v>
      </c>
      <c r="I188" s="3" t="n">
        <v>138.052653306689</v>
      </c>
      <c r="J188" s="4" t="n">
        <v>0.16</v>
      </c>
    </row>
    <row r="189" customFormat="false" ht="14.25" hidden="false" customHeight="false" outlineLevel="0" collapsed="false">
      <c r="B189" s="2" t="n">
        <v>20</v>
      </c>
      <c r="C189" s="3" t="n">
        <v>598</v>
      </c>
      <c r="D189" s="4" t="n">
        <v>2.8</v>
      </c>
      <c r="E189" s="2" t="n">
        <v>40</v>
      </c>
      <c r="F189" s="2" t="n">
        <v>50</v>
      </c>
      <c r="G189" s="3" t="n">
        <v>315</v>
      </c>
      <c r="H189" s="12" t="n">
        <v>0.021</v>
      </c>
      <c r="I189" s="3" t="n">
        <v>183.385209492254</v>
      </c>
      <c r="J189" s="4" t="n">
        <v>0.2</v>
      </c>
    </row>
    <row r="190" customFormat="false" ht="14.25" hidden="false" customHeight="false" outlineLevel="0" collapsed="false">
      <c r="B190" s="2" t="n">
        <v>20</v>
      </c>
      <c r="C190" s="3" t="n">
        <v>598</v>
      </c>
      <c r="D190" s="4" t="n">
        <v>2.8</v>
      </c>
      <c r="E190" s="2" t="n">
        <v>40</v>
      </c>
      <c r="F190" s="2" t="n">
        <v>50</v>
      </c>
      <c r="G190" s="3" t="n">
        <v>315</v>
      </c>
      <c r="H190" s="12" t="n">
        <v>0.021</v>
      </c>
      <c r="I190" s="3" t="n">
        <v>228.564095995833</v>
      </c>
      <c r="J190" s="4" t="n">
        <v>0.23</v>
      </c>
    </row>
    <row r="191" customFormat="false" ht="14.25" hidden="false" customHeight="false" outlineLevel="0" collapsed="false">
      <c r="A191" s="1" t="s">
        <v>62</v>
      </c>
      <c r="B191" s="2" t="n">
        <v>20</v>
      </c>
      <c r="C191" s="3" t="n">
        <v>598</v>
      </c>
      <c r="D191" s="4" t="n">
        <v>2.8</v>
      </c>
      <c r="E191" s="2" t="n">
        <v>40</v>
      </c>
      <c r="F191" s="2" t="n">
        <v>50</v>
      </c>
      <c r="G191" s="3" t="n">
        <v>315</v>
      </c>
      <c r="H191" s="12" t="n">
        <v>0.021</v>
      </c>
      <c r="I191" s="3" t="n">
        <v>152.450291925162</v>
      </c>
      <c r="J191" s="4" t="n">
        <v>0.14</v>
      </c>
    </row>
    <row r="192" customFormat="false" ht="14.25" hidden="false" customHeight="false" outlineLevel="0" collapsed="false">
      <c r="B192" s="2" t="n">
        <v>20</v>
      </c>
      <c r="C192" s="3" t="n">
        <v>598</v>
      </c>
      <c r="D192" s="4" t="n">
        <v>2.8</v>
      </c>
      <c r="E192" s="2" t="n">
        <v>40</v>
      </c>
      <c r="F192" s="2" t="n">
        <v>50</v>
      </c>
      <c r="G192" s="3" t="n">
        <v>315</v>
      </c>
      <c r="H192" s="12" t="n">
        <v>0.021</v>
      </c>
      <c r="I192" s="3" t="n">
        <v>195.554342766269</v>
      </c>
      <c r="J192" s="4" t="n">
        <v>0.17</v>
      </c>
    </row>
    <row r="193" customFormat="false" ht="14.25" hidden="false" customHeight="false" outlineLevel="0" collapsed="false">
      <c r="B193" s="2" t="n">
        <v>20</v>
      </c>
      <c r="C193" s="3" t="n">
        <v>598</v>
      </c>
      <c r="D193" s="4" t="n">
        <v>2.8</v>
      </c>
      <c r="E193" s="2" t="n">
        <v>40</v>
      </c>
      <c r="F193" s="2" t="n">
        <v>50</v>
      </c>
      <c r="G193" s="3" t="n">
        <v>315</v>
      </c>
      <c r="H193" s="12" t="n">
        <v>0.021</v>
      </c>
      <c r="I193" s="3" t="n">
        <v>237.919989367084</v>
      </c>
      <c r="J193" s="4" t="n">
        <v>0.21</v>
      </c>
    </row>
    <row r="194" customFormat="false" ht="14.25" hidden="false" customHeight="false" outlineLevel="0" collapsed="false">
      <c r="A194" s="1" t="s">
        <v>63</v>
      </c>
      <c r="B194" s="2" t="n">
        <v>20</v>
      </c>
      <c r="C194" s="3" t="n">
        <v>598</v>
      </c>
      <c r="D194" s="4" t="n">
        <v>2.8</v>
      </c>
      <c r="E194" s="2" t="n">
        <v>40</v>
      </c>
      <c r="F194" s="2" t="n">
        <v>50</v>
      </c>
      <c r="G194" s="3" t="n">
        <v>315</v>
      </c>
      <c r="H194" s="12" t="n">
        <v>0.021</v>
      </c>
      <c r="I194" s="3" t="n">
        <v>62.1356715374158</v>
      </c>
      <c r="J194" s="4" t="n">
        <v>0.21</v>
      </c>
    </row>
    <row r="195" customFormat="false" ht="14.25" hidden="false" customHeight="false" outlineLevel="0" collapsed="false">
      <c r="B195" s="2" t="n">
        <v>20</v>
      </c>
      <c r="C195" s="3" t="n">
        <v>598</v>
      </c>
      <c r="D195" s="4" t="n">
        <v>2.8</v>
      </c>
      <c r="E195" s="2" t="n">
        <v>40</v>
      </c>
      <c r="F195" s="2" t="n">
        <v>50</v>
      </c>
      <c r="G195" s="3" t="n">
        <v>315</v>
      </c>
      <c r="H195" s="12" t="n">
        <v>0.021</v>
      </c>
      <c r="I195" s="3" t="n">
        <v>98.1634338054311</v>
      </c>
      <c r="J195" s="4" t="n">
        <v>0.25</v>
      </c>
    </row>
    <row r="196" customFormat="false" ht="14.25" hidden="false" customHeight="false" outlineLevel="0" collapsed="false">
      <c r="B196" s="2" t="n">
        <v>20</v>
      </c>
      <c r="C196" s="3" t="n">
        <v>598</v>
      </c>
      <c r="D196" s="4" t="n">
        <v>2.8</v>
      </c>
      <c r="E196" s="2" t="n">
        <v>40</v>
      </c>
      <c r="F196" s="2" t="n">
        <v>50</v>
      </c>
      <c r="G196" s="3" t="n">
        <v>315</v>
      </c>
      <c r="H196" s="12" t="n">
        <v>0.021</v>
      </c>
      <c r="I196" s="3" t="n">
        <v>137.284304896764</v>
      </c>
      <c r="J196" s="4" t="n">
        <v>0.29</v>
      </c>
    </row>
    <row r="197" customFormat="false" ht="14.25" hidden="false" customHeight="false" outlineLevel="0" collapsed="false">
      <c r="B197" s="2" t="n">
        <v>20</v>
      </c>
      <c r="C197" s="3" t="n">
        <v>598</v>
      </c>
      <c r="D197" s="4" t="n">
        <v>2.8</v>
      </c>
      <c r="E197" s="2" t="n">
        <v>40</v>
      </c>
      <c r="F197" s="2" t="n">
        <v>50</v>
      </c>
      <c r="G197" s="3" t="n">
        <v>315</v>
      </c>
      <c r="H197" s="12" t="n">
        <v>0.021</v>
      </c>
      <c r="I197" s="3" t="n">
        <v>181.541173308434</v>
      </c>
      <c r="J197" s="4" t="n">
        <v>0.33</v>
      </c>
    </row>
    <row r="198" customFormat="false" ht="14.25" hidden="false" customHeight="false" outlineLevel="0" collapsed="false">
      <c r="B198" s="2" t="n">
        <v>20</v>
      </c>
      <c r="C198" s="3" t="n">
        <v>598</v>
      </c>
      <c r="D198" s="4" t="n">
        <v>2.8</v>
      </c>
      <c r="E198" s="2" t="n">
        <v>40</v>
      </c>
      <c r="F198" s="2" t="n">
        <v>50</v>
      </c>
      <c r="G198" s="3" t="n">
        <v>315</v>
      </c>
      <c r="H198" s="12" t="n">
        <v>0.021</v>
      </c>
      <c r="I198" s="3" t="n">
        <v>244.084733876315</v>
      </c>
      <c r="J198" s="4" t="n">
        <v>0.37</v>
      </c>
    </row>
    <row r="199" customFormat="false" ht="14.25" hidden="false" customHeight="false" outlineLevel="0" collapsed="false">
      <c r="A199" s="1" t="s">
        <v>64</v>
      </c>
      <c r="B199" s="2" t="n">
        <v>20</v>
      </c>
      <c r="C199" s="3" t="n">
        <v>430</v>
      </c>
      <c r="D199" s="4" t="n">
        <v>3.50882128585544</v>
      </c>
      <c r="E199" s="2" t="n">
        <v>50</v>
      </c>
      <c r="F199" s="2" t="n">
        <v>64</v>
      </c>
      <c r="G199" s="3" t="n">
        <v>1884</v>
      </c>
      <c r="H199" s="12" t="n">
        <v>0.0191463414634146</v>
      </c>
      <c r="I199" s="3" t="n">
        <v>56.9759910016755</v>
      </c>
      <c r="J199" s="4" t="n">
        <v>0.15</v>
      </c>
    </row>
    <row r="200" customFormat="false" ht="14.25" hidden="false" customHeight="false" outlineLevel="0" collapsed="false">
      <c r="B200" s="2" t="n">
        <v>20</v>
      </c>
      <c r="C200" s="3" t="n">
        <v>430</v>
      </c>
      <c r="D200" s="4" t="n">
        <v>3.50882128585544</v>
      </c>
      <c r="E200" s="2" t="n">
        <v>50</v>
      </c>
      <c r="F200" s="2" t="n">
        <v>64</v>
      </c>
      <c r="G200" s="3" t="n">
        <v>1884</v>
      </c>
      <c r="H200" s="12" t="n">
        <v>0.0191463414634146</v>
      </c>
      <c r="I200" s="3" t="n">
        <v>112.968616956582</v>
      </c>
      <c r="J200" s="4" t="n">
        <v>0.23</v>
      </c>
    </row>
    <row r="201" customFormat="false" ht="14.25" hidden="false" customHeight="false" outlineLevel="0" collapsed="false">
      <c r="B201" s="2" t="n">
        <v>20</v>
      </c>
      <c r="C201" s="3" t="n">
        <v>430</v>
      </c>
      <c r="D201" s="4" t="n">
        <v>3.50882128585544</v>
      </c>
      <c r="E201" s="2" t="n">
        <v>50</v>
      </c>
      <c r="F201" s="2" t="n">
        <v>64</v>
      </c>
      <c r="G201" s="3" t="n">
        <v>1884</v>
      </c>
      <c r="H201" s="12" t="n">
        <v>0.0191463414634146</v>
      </c>
      <c r="I201" s="3" t="n">
        <v>177.025770772034</v>
      </c>
      <c r="J201" s="4" t="n">
        <v>0.28</v>
      </c>
    </row>
    <row r="202" customFormat="false" ht="14.25" hidden="false" customHeight="false" outlineLevel="0" collapsed="false">
      <c r="A202" s="1" t="s">
        <v>65</v>
      </c>
      <c r="B202" s="2" t="n">
        <v>20</v>
      </c>
      <c r="C202" s="3" t="n">
        <v>430</v>
      </c>
      <c r="D202" s="4" t="n">
        <v>3.50882128585544</v>
      </c>
      <c r="E202" s="2" t="n">
        <v>50</v>
      </c>
      <c r="F202" s="2" t="n">
        <v>64</v>
      </c>
      <c r="G202" s="3" t="n">
        <v>2826</v>
      </c>
      <c r="H202" s="12" t="n">
        <v>0.028719512195122</v>
      </c>
      <c r="I202" s="3" t="n">
        <v>90.5801799423233</v>
      </c>
      <c r="J202" s="4" t="n">
        <v>0.18</v>
      </c>
    </row>
    <row r="203" customFormat="false" ht="14.25" hidden="false" customHeight="false" outlineLevel="0" collapsed="false">
      <c r="B203" s="2" t="n">
        <v>20</v>
      </c>
      <c r="C203" s="3" t="n">
        <v>430</v>
      </c>
      <c r="D203" s="4" t="n">
        <v>3.50882128585544</v>
      </c>
      <c r="E203" s="2" t="n">
        <v>50</v>
      </c>
      <c r="F203" s="2" t="n">
        <v>64</v>
      </c>
      <c r="G203" s="3" t="n">
        <v>2826</v>
      </c>
      <c r="H203" s="12" t="n">
        <v>0.028719512195122</v>
      </c>
      <c r="I203" s="3" t="n">
        <v>140.611556966765</v>
      </c>
      <c r="J203" s="4" t="n">
        <v>0.26</v>
      </c>
    </row>
    <row r="204" customFormat="false" ht="14.25" hidden="false" customHeight="false" outlineLevel="0" collapsed="false">
      <c r="B204" s="2" t="n">
        <v>20</v>
      </c>
      <c r="C204" s="3" t="n">
        <v>430</v>
      </c>
      <c r="D204" s="4" t="n">
        <v>3.50882128585544</v>
      </c>
      <c r="E204" s="2" t="n">
        <v>50</v>
      </c>
      <c r="F204" s="2" t="n">
        <v>64</v>
      </c>
      <c r="G204" s="3" t="n">
        <v>2826</v>
      </c>
      <c r="H204" s="12" t="n">
        <v>0.028719512195122</v>
      </c>
      <c r="I204" s="3" t="n">
        <v>197.181217674082</v>
      </c>
      <c r="J204" s="4" t="n">
        <v>0.34</v>
      </c>
    </row>
    <row r="205" customFormat="false" ht="14.25" hidden="false" customHeight="false" outlineLevel="0" collapsed="false">
      <c r="A205" s="1" t="s">
        <v>66</v>
      </c>
      <c r="B205" s="2" t="n">
        <v>16</v>
      </c>
      <c r="C205" s="3" t="n">
        <v>528</v>
      </c>
      <c r="D205" s="4" t="n">
        <v>3.42</v>
      </c>
      <c r="E205" s="2" t="n">
        <v>27</v>
      </c>
      <c r="F205" s="2" t="n">
        <v>35</v>
      </c>
      <c r="G205" s="3" t="n">
        <v>402</v>
      </c>
      <c r="H205" s="12" t="n">
        <v>0.023304347826087</v>
      </c>
      <c r="I205" s="3" t="n">
        <v>148.381408652443</v>
      </c>
      <c r="J205" s="4" t="n">
        <v>0.15</v>
      </c>
    </row>
    <row r="206" customFormat="false" ht="14.25" hidden="false" customHeight="false" outlineLevel="0" collapsed="false">
      <c r="B206" s="2" t="n">
        <v>16</v>
      </c>
      <c r="C206" s="3" t="n">
        <v>528</v>
      </c>
      <c r="D206" s="4" t="n">
        <v>3.42</v>
      </c>
      <c r="E206" s="2" t="n">
        <v>27</v>
      </c>
      <c r="F206" s="2" t="n">
        <v>35</v>
      </c>
      <c r="G206" s="3" t="n">
        <v>402</v>
      </c>
      <c r="H206" s="12" t="n">
        <v>0.023304347826087</v>
      </c>
      <c r="I206" s="3" t="n">
        <v>258.397342308967</v>
      </c>
      <c r="J206" s="4" t="n">
        <v>0.19</v>
      </c>
    </row>
    <row r="207" customFormat="false" ht="14.25" hidden="false" customHeight="false" outlineLevel="0" collapsed="false">
      <c r="B207" s="2" t="n">
        <v>16</v>
      </c>
      <c r="C207" s="3" t="n">
        <v>528</v>
      </c>
      <c r="D207" s="4" t="n">
        <v>3.42</v>
      </c>
      <c r="E207" s="2" t="n">
        <v>27</v>
      </c>
      <c r="F207" s="2" t="n">
        <v>35</v>
      </c>
      <c r="G207" s="3" t="n">
        <v>402</v>
      </c>
      <c r="H207" s="12" t="n">
        <v>0.023304347826087</v>
      </c>
      <c r="I207" s="3" t="n">
        <v>324.406902502882</v>
      </c>
      <c r="J207" s="4" t="n">
        <v>0.22</v>
      </c>
    </row>
    <row r="208" customFormat="false" ht="14.25" hidden="false" customHeight="false" outlineLevel="0" collapsed="false">
      <c r="B208" s="2" t="n">
        <v>16</v>
      </c>
      <c r="C208" s="3" t="n">
        <v>528</v>
      </c>
      <c r="D208" s="4" t="n">
        <v>3.42</v>
      </c>
      <c r="E208" s="2" t="n">
        <v>27</v>
      </c>
      <c r="F208" s="2" t="n">
        <v>35</v>
      </c>
      <c r="G208" s="3" t="n">
        <v>402</v>
      </c>
      <c r="H208" s="12" t="n">
        <v>0.023304347826087</v>
      </c>
      <c r="I208" s="3" t="n">
        <v>379.414869331144</v>
      </c>
      <c r="J208" s="4" t="n">
        <v>0.22</v>
      </c>
    </row>
    <row r="209" customFormat="false" ht="14.25" hidden="false" customHeight="false" outlineLevel="0" collapsed="false">
      <c r="B209" s="2" t="n">
        <v>16</v>
      </c>
      <c r="C209" s="3" t="n">
        <v>528</v>
      </c>
      <c r="D209" s="4" t="n">
        <v>3.42</v>
      </c>
      <c r="E209" s="2" t="n">
        <v>27</v>
      </c>
      <c r="F209" s="2" t="n">
        <v>35</v>
      </c>
      <c r="G209" s="3" t="n">
        <v>402</v>
      </c>
      <c r="H209" s="12" t="n">
        <v>0.023304347826087</v>
      </c>
      <c r="I209" s="3" t="n">
        <v>467.427616256363</v>
      </c>
      <c r="J209" s="4" t="n">
        <v>0.25</v>
      </c>
    </row>
    <row r="210" customFormat="false" ht="14.25" hidden="false" customHeight="false" outlineLevel="0" collapsed="false">
      <c r="B210" s="2" t="n">
        <v>16</v>
      </c>
      <c r="C210" s="3" t="n">
        <v>528</v>
      </c>
      <c r="D210" s="4" t="n">
        <v>3.42</v>
      </c>
      <c r="E210" s="2" t="n">
        <v>27</v>
      </c>
      <c r="F210" s="2" t="n">
        <v>35</v>
      </c>
      <c r="G210" s="3" t="n">
        <v>402</v>
      </c>
      <c r="H210" s="12" t="n">
        <v>0.023304347826087</v>
      </c>
      <c r="I210" s="3" t="n">
        <v>526.101808707204</v>
      </c>
      <c r="J210" s="4" t="n">
        <v>0.29</v>
      </c>
    </row>
    <row r="211" customFormat="false" ht="14.25" hidden="false" customHeight="false" outlineLevel="0" collapsed="false">
      <c r="A211" s="1" t="s">
        <v>67</v>
      </c>
      <c r="B211" s="2" t="n">
        <v>20</v>
      </c>
      <c r="C211" s="3" t="n">
        <v>528</v>
      </c>
      <c r="D211" s="4" t="n">
        <v>3.42</v>
      </c>
      <c r="E211" s="2" t="n">
        <v>25</v>
      </c>
      <c r="F211" s="2" t="n">
        <v>35</v>
      </c>
      <c r="G211" s="3" t="n">
        <v>628</v>
      </c>
      <c r="H211" s="12" t="n">
        <v>0.0341768707482993</v>
      </c>
      <c r="I211" s="3" t="n">
        <v>217.581792256533</v>
      </c>
      <c r="J211" s="4" t="n">
        <v>0.17</v>
      </c>
    </row>
    <row r="212" customFormat="false" ht="14.25" hidden="false" customHeight="false" outlineLevel="0" collapsed="false">
      <c r="B212" s="2" t="n">
        <v>20</v>
      </c>
      <c r="C212" s="3" t="n">
        <v>528</v>
      </c>
      <c r="D212" s="4" t="n">
        <v>3.42</v>
      </c>
      <c r="E212" s="2" t="n">
        <v>25</v>
      </c>
      <c r="F212" s="2" t="n">
        <v>35</v>
      </c>
      <c r="G212" s="3" t="n">
        <v>628</v>
      </c>
      <c r="H212" s="12" t="n">
        <v>0.0341768707482993</v>
      </c>
      <c r="I212" s="3" t="n">
        <v>264.462650004919</v>
      </c>
      <c r="J212" s="4" t="n">
        <v>0.19</v>
      </c>
    </row>
    <row r="213" customFormat="false" ht="14.25" hidden="false" customHeight="false" outlineLevel="0" collapsed="false">
      <c r="B213" s="2" t="n">
        <v>20</v>
      </c>
      <c r="C213" s="3" t="n">
        <v>528</v>
      </c>
      <c r="D213" s="4" t="n">
        <v>3.42</v>
      </c>
      <c r="E213" s="2" t="n">
        <v>25</v>
      </c>
      <c r="F213" s="2" t="n">
        <v>35</v>
      </c>
      <c r="G213" s="3" t="n">
        <v>628</v>
      </c>
      <c r="H213" s="12" t="n">
        <v>0.0341768707482993</v>
      </c>
      <c r="I213" s="3" t="n">
        <v>324.73803853856</v>
      </c>
      <c r="J213" s="4" t="n">
        <v>0.21</v>
      </c>
    </row>
    <row r="214" customFormat="false" ht="14.25" hidden="false" customHeight="false" outlineLevel="0" collapsed="false">
      <c r="B214" s="2" t="n">
        <v>20</v>
      </c>
      <c r="C214" s="3" t="n">
        <v>528</v>
      </c>
      <c r="D214" s="4" t="n">
        <v>3.42</v>
      </c>
      <c r="E214" s="2" t="n">
        <v>25</v>
      </c>
      <c r="F214" s="2" t="n">
        <v>35</v>
      </c>
      <c r="G214" s="3" t="n">
        <v>628</v>
      </c>
      <c r="H214" s="12" t="n">
        <v>0.0341768707482993</v>
      </c>
      <c r="I214" s="3" t="n">
        <v>351.527100109067</v>
      </c>
      <c r="J214" s="4" t="n">
        <v>0.23</v>
      </c>
    </row>
    <row r="215" customFormat="false" ht="14.25" hidden="false" customHeight="false" outlineLevel="0" collapsed="false">
      <c r="B215" s="2" t="n">
        <v>20</v>
      </c>
      <c r="C215" s="3" t="n">
        <v>528</v>
      </c>
      <c r="D215" s="4" t="n">
        <v>3.42</v>
      </c>
      <c r="E215" s="2" t="n">
        <v>25</v>
      </c>
      <c r="F215" s="2" t="n">
        <v>35</v>
      </c>
      <c r="G215" s="3" t="n">
        <v>628</v>
      </c>
      <c r="H215" s="12" t="n">
        <v>0.0341768707482993</v>
      </c>
      <c r="I215" s="3" t="n">
        <v>411.802488642707</v>
      </c>
      <c r="J215" s="4" t="n">
        <v>0.25</v>
      </c>
    </row>
    <row r="216" customFormat="false" ht="14.25" hidden="false" customHeight="false" outlineLevel="0" collapsed="false">
      <c r="B216" s="2" t="n">
        <v>20</v>
      </c>
      <c r="C216" s="3" t="n">
        <v>528</v>
      </c>
      <c r="D216" s="4" t="n">
        <v>3.42</v>
      </c>
      <c r="E216" s="2" t="n">
        <v>25</v>
      </c>
      <c r="F216" s="2" t="n">
        <v>35</v>
      </c>
      <c r="G216" s="3" t="n">
        <v>628</v>
      </c>
      <c r="H216" s="12" t="n">
        <v>0.0341768707482993</v>
      </c>
      <c r="I216" s="3" t="n">
        <v>525.80672936788</v>
      </c>
      <c r="J216" s="4" t="n">
        <v>0.25</v>
      </c>
    </row>
    <row r="217" customFormat="false" ht="14.25" hidden="false" customHeight="false" outlineLevel="0" collapsed="false">
      <c r="A217" s="1" t="s">
        <v>68</v>
      </c>
      <c r="B217" s="2" t="n">
        <v>20</v>
      </c>
      <c r="C217" s="3" t="n">
        <v>528</v>
      </c>
      <c r="D217" s="4" t="n">
        <v>3.42</v>
      </c>
      <c r="E217" s="2" t="n">
        <v>25</v>
      </c>
      <c r="F217" s="2" t="n">
        <v>35</v>
      </c>
      <c r="G217" s="3" t="n">
        <v>942</v>
      </c>
      <c r="H217" s="12" t="n">
        <v>0.051265306122449</v>
      </c>
      <c r="I217" s="3" t="n">
        <v>203.402157984646</v>
      </c>
      <c r="J217" s="4" t="n">
        <v>0.18</v>
      </c>
    </row>
    <row r="218" customFormat="false" ht="14.25" hidden="false" customHeight="false" outlineLevel="0" collapsed="false">
      <c r="B218" s="2" t="n">
        <v>20</v>
      </c>
      <c r="C218" s="3" t="n">
        <v>528</v>
      </c>
      <c r="D218" s="4" t="n">
        <v>3.42</v>
      </c>
      <c r="E218" s="2" t="n">
        <v>25</v>
      </c>
      <c r="F218" s="2" t="n">
        <v>35</v>
      </c>
      <c r="G218" s="3" t="n">
        <v>942</v>
      </c>
      <c r="H218" s="12" t="n">
        <v>0.051265306122449</v>
      </c>
      <c r="I218" s="3" t="n">
        <v>246.641129901166</v>
      </c>
      <c r="J218" s="4" t="n">
        <v>0.19</v>
      </c>
    </row>
    <row r="219" customFormat="false" ht="14.25" hidden="false" customHeight="false" outlineLevel="0" collapsed="false">
      <c r="B219" s="2" t="n">
        <v>20</v>
      </c>
      <c r="C219" s="3" t="n">
        <v>528</v>
      </c>
      <c r="D219" s="4" t="n">
        <v>3.42</v>
      </c>
      <c r="E219" s="2" t="n">
        <v>25</v>
      </c>
      <c r="F219" s="2" t="n">
        <v>35</v>
      </c>
      <c r="G219" s="3" t="n">
        <v>942</v>
      </c>
      <c r="H219" s="12" t="n">
        <v>0.051265306122449</v>
      </c>
      <c r="I219" s="3" t="n">
        <v>285.556204626033</v>
      </c>
      <c r="J219" s="4" t="n">
        <v>0.21</v>
      </c>
    </row>
    <row r="220" customFormat="false" ht="14.25" hidden="false" customHeight="false" outlineLevel="0" collapsed="false">
      <c r="B220" s="2" t="n">
        <v>20</v>
      </c>
      <c r="C220" s="3" t="n">
        <v>528</v>
      </c>
      <c r="D220" s="4" t="n">
        <v>3.42</v>
      </c>
      <c r="E220" s="2" t="n">
        <v>25</v>
      </c>
      <c r="F220" s="2" t="n">
        <v>35</v>
      </c>
      <c r="G220" s="3" t="n">
        <v>942</v>
      </c>
      <c r="H220" s="12" t="n">
        <v>0.051265306122449</v>
      </c>
      <c r="I220" s="3" t="n">
        <v>333.119073734204</v>
      </c>
      <c r="J220" s="4" t="n">
        <v>0.23</v>
      </c>
    </row>
    <row r="221" customFormat="false" ht="14.25" hidden="false" customHeight="false" outlineLevel="0" collapsed="false">
      <c r="B221" s="2" t="n">
        <v>20</v>
      </c>
      <c r="C221" s="3" t="n">
        <v>528</v>
      </c>
      <c r="D221" s="4" t="n">
        <v>3.42</v>
      </c>
      <c r="E221" s="2" t="n">
        <v>25</v>
      </c>
      <c r="F221" s="2" t="n">
        <v>35</v>
      </c>
      <c r="G221" s="3" t="n">
        <v>942</v>
      </c>
      <c r="H221" s="12" t="n">
        <v>0.051265306122449</v>
      </c>
      <c r="I221" s="3" t="n">
        <v>380.681942842375</v>
      </c>
      <c r="J221" s="4" t="n">
        <v>0.25</v>
      </c>
    </row>
    <row r="222" customFormat="false" ht="14.25" hidden="false" customHeight="false" outlineLevel="0" collapsed="false">
      <c r="B222" s="2" t="n">
        <v>20</v>
      </c>
      <c r="C222" s="3" t="n">
        <v>528</v>
      </c>
      <c r="D222" s="4" t="n">
        <v>3.42</v>
      </c>
      <c r="E222" s="2" t="n">
        <v>25</v>
      </c>
      <c r="F222" s="2" t="n">
        <v>35</v>
      </c>
      <c r="G222" s="3" t="n">
        <v>942</v>
      </c>
      <c r="H222" s="12" t="n">
        <v>0.051265306122449</v>
      </c>
      <c r="I222" s="3" t="n">
        <v>423.920914758895</v>
      </c>
      <c r="J222" s="4" t="n">
        <v>0.29</v>
      </c>
    </row>
    <row r="223" customFormat="false" ht="14.25" hidden="false" customHeight="false" outlineLevel="0" collapsed="false">
      <c r="B223" s="2" t="n">
        <v>20</v>
      </c>
      <c r="C223" s="3" t="n">
        <v>528</v>
      </c>
      <c r="D223" s="4" t="n">
        <v>3.42</v>
      </c>
      <c r="E223" s="2" t="n">
        <v>25</v>
      </c>
      <c r="F223" s="2" t="n">
        <v>35</v>
      </c>
      <c r="G223" s="3" t="n">
        <v>942</v>
      </c>
      <c r="H223" s="12" t="n">
        <v>0.051265306122449</v>
      </c>
      <c r="I223" s="3" t="n">
        <v>467.159886675414</v>
      </c>
      <c r="J223" s="4" t="n">
        <v>0.31</v>
      </c>
    </row>
    <row r="224" customFormat="false" ht="14.25" hidden="false" customHeight="false" outlineLevel="0" collapsed="false">
      <c r="B224" s="2" t="n">
        <v>20</v>
      </c>
      <c r="C224" s="3" t="n">
        <v>528</v>
      </c>
      <c r="D224" s="4" t="n">
        <v>3.42</v>
      </c>
      <c r="E224" s="2" t="n">
        <v>25</v>
      </c>
      <c r="F224" s="2" t="n">
        <v>35</v>
      </c>
      <c r="G224" s="3" t="n">
        <v>942</v>
      </c>
      <c r="H224" s="12" t="n">
        <v>0.051265306122449</v>
      </c>
      <c r="I224" s="3" t="n">
        <v>501.106235095073</v>
      </c>
      <c r="J224" s="4" t="n">
        <v>0.37</v>
      </c>
    </row>
    <row r="225" customFormat="false" ht="14.25" hidden="false" customHeight="false" outlineLevel="0" collapsed="false">
      <c r="A225" s="1" t="s">
        <v>69</v>
      </c>
      <c r="B225" s="2" t="n">
        <v>16</v>
      </c>
      <c r="C225" s="3" t="n">
        <v>528</v>
      </c>
      <c r="D225" s="4" t="n">
        <v>2.98</v>
      </c>
      <c r="E225" s="2" t="n">
        <v>27</v>
      </c>
      <c r="F225" s="2" t="n">
        <v>35</v>
      </c>
      <c r="G225" s="3" t="n">
        <v>402</v>
      </c>
      <c r="H225" s="12" t="n">
        <v>0.023304347826087</v>
      </c>
      <c r="I225" s="3" t="n">
        <v>338.456713481225</v>
      </c>
      <c r="J225" s="4" t="n">
        <v>0.16</v>
      </c>
    </row>
    <row r="226" customFormat="false" ht="14.25" hidden="false" customHeight="false" outlineLevel="0" collapsed="false">
      <c r="B226" s="2" t="n">
        <v>16</v>
      </c>
      <c r="C226" s="3" t="n">
        <v>528</v>
      </c>
      <c r="D226" s="4" t="n">
        <v>2.98</v>
      </c>
      <c r="E226" s="2" t="n">
        <v>27</v>
      </c>
      <c r="F226" s="2" t="n">
        <v>35</v>
      </c>
      <c r="G226" s="3" t="n">
        <v>402</v>
      </c>
      <c r="H226" s="12" t="n">
        <v>0.023304347826087</v>
      </c>
      <c r="I226" s="3" t="n">
        <v>433.448741301709</v>
      </c>
      <c r="J226" s="4" t="n">
        <v>0.2</v>
      </c>
    </row>
    <row r="227" customFormat="false" ht="14.25" hidden="false" customHeight="false" outlineLevel="0" collapsed="false">
      <c r="B227" s="2" t="n">
        <v>16</v>
      </c>
      <c r="C227" s="3" t="n">
        <v>528</v>
      </c>
      <c r="D227" s="4" t="n">
        <v>2.98</v>
      </c>
      <c r="E227" s="2" t="n">
        <v>27</v>
      </c>
      <c r="F227" s="2" t="n">
        <v>35</v>
      </c>
      <c r="G227" s="3" t="n">
        <v>402</v>
      </c>
      <c r="H227" s="12" t="n">
        <v>0.023304347826087</v>
      </c>
      <c r="I227" s="3" t="n">
        <v>523.882031807992</v>
      </c>
      <c r="J227" s="4" t="n">
        <v>0.26</v>
      </c>
    </row>
    <row r="228" customFormat="false" ht="14.25" hidden="false" customHeight="false" outlineLevel="0" collapsed="false">
      <c r="A228" s="1" t="s">
        <v>70</v>
      </c>
      <c r="B228" s="2" t="n">
        <v>20</v>
      </c>
      <c r="C228" s="3" t="n">
        <v>528</v>
      </c>
      <c r="D228" s="4" t="n">
        <v>2.98</v>
      </c>
      <c r="E228" s="2" t="n">
        <v>25</v>
      </c>
      <c r="F228" s="2" t="n">
        <v>35</v>
      </c>
      <c r="G228" s="3" t="n">
        <v>628</v>
      </c>
      <c r="H228" s="12" t="n">
        <v>0.0341768707482993</v>
      </c>
      <c r="I228" s="3" t="n">
        <v>217.081004934473</v>
      </c>
      <c r="J228" s="4" t="n">
        <v>0.17</v>
      </c>
    </row>
    <row r="229" customFormat="false" ht="14.25" hidden="false" customHeight="false" outlineLevel="0" collapsed="false">
      <c r="B229" s="2" t="n">
        <v>20</v>
      </c>
      <c r="C229" s="3" t="n">
        <v>528</v>
      </c>
      <c r="D229" s="4" t="n">
        <v>2.98</v>
      </c>
      <c r="E229" s="2" t="n">
        <v>25</v>
      </c>
      <c r="F229" s="2" t="n">
        <v>35</v>
      </c>
      <c r="G229" s="3" t="n">
        <v>628</v>
      </c>
      <c r="H229" s="12" t="n">
        <v>0.0341768707482993</v>
      </c>
      <c r="I229" s="3" t="n">
        <v>262.365326159654</v>
      </c>
      <c r="J229" s="4" t="n">
        <v>0.19</v>
      </c>
    </row>
    <row r="230" customFormat="false" ht="14.25" hidden="false" customHeight="false" outlineLevel="0" collapsed="false">
      <c r="B230" s="2" t="n">
        <v>20</v>
      </c>
      <c r="C230" s="3" t="n">
        <v>528</v>
      </c>
      <c r="D230" s="4" t="n">
        <v>2.98</v>
      </c>
      <c r="E230" s="2" t="n">
        <v>25</v>
      </c>
      <c r="F230" s="2" t="n">
        <v>35</v>
      </c>
      <c r="G230" s="3" t="n">
        <v>628</v>
      </c>
      <c r="H230" s="12" t="n">
        <v>0.0341768707482993</v>
      </c>
      <c r="I230" s="3" t="n">
        <v>320.588024877743</v>
      </c>
      <c r="J230" s="4" t="n">
        <v>0.23</v>
      </c>
    </row>
    <row r="231" customFormat="false" ht="14.25" hidden="false" customHeight="false" outlineLevel="0" collapsed="false">
      <c r="B231" s="2" t="n">
        <v>20</v>
      </c>
      <c r="C231" s="3" t="n">
        <v>528</v>
      </c>
      <c r="D231" s="4" t="n">
        <v>2.98</v>
      </c>
      <c r="E231" s="2" t="n">
        <v>25</v>
      </c>
      <c r="F231" s="2" t="n">
        <v>35</v>
      </c>
      <c r="G231" s="3" t="n">
        <v>628</v>
      </c>
      <c r="H231" s="12" t="n">
        <v>0.0341768707482993</v>
      </c>
      <c r="I231" s="3" t="n">
        <v>346.464779863561</v>
      </c>
      <c r="J231" s="4" t="n">
        <v>0.25</v>
      </c>
    </row>
    <row r="232" customFormat="false" ht="14.25" hidden="false" customHeight="false" outlineLevel="0" collapsed="false">
      <c r="B232" s="2" t="n">
        <v>20</v>
      </c>
      <c r="C232" s="3" t="n">
        <v>528</v>
      </c>
      <c r="D232" s="4" t="n">
        <v>2.98</v>
      </c>
      <c r="E232" s="2" t="n">
        <v>25</v>
      </c>
      <c r="F232" s="2" t="n">
        <v>35</v>
      </c>
      <c r="G232" s="3" t="n">
        <v>628</v>
      </c>
      <c r="H232" s="12" t="n">
        <v>0.0341768707482993</v>
      </c>
      <c r="I232" s="3" t="n">
        <v>385.279912342287</v>
      </c>
      <c r="J232" s="4" t="n">
        <v>0.3</v>
      </c>
    </row>
    <row r="233" customFormat="false" ht="14.25" hidden="false" customHeight="false" outlineLevel="0" collapsed="false">
      <c r="B233" s="2" t="n">
        <v>20</v>
      </c>
      <c r="C233" s="3" t="n">
        <v>528</v>
      </c>
      <c r="D233" s="4" t="n">
        <v>2.98</v>
      </c>
      <c r="E233" s="2" t="n">
        <v>25</v>
      </c>
      <c r="F233" s="2" t="n">
        <v>35</v>
      </c>
      <c r="G233" s="3" t="n">
        <v>628</v>
      </c>
      <c r="H233" s="12" t="n">
        <v>0.0341768707482993</v>
      </c>
      <c r="I233" s="3" t="n">
        <v>411.156667328104</v>
      </c>
      <c r="J233" s="4" t="n">
        <v>0.32</v>
      </c>
    </row>
    <row r="234" customFormat="false" ht="14.25" hidden="false" customHeight="false" outlineLevel="0" collapsed="false">
      <c r="B234" s="2" t="n">
        <v>20</v>
      </c>
      <c r="C234" s="3" t="n">
        <v>528</v>
      </c>
      <c r="D234" s="4" t="n">
        <v>2.98</v>
      </c>
      <c r="E234" s="2" t="n">
        <v>25</v>
      </c>
      <c r="F234" s="2" t="n">
        <v>35</v>
      </c>
      <c r="G234" s="3" t="n">
        <v>628</v>
      </c>
      <c r="H234" s="12" t="n">
        <v>0.0341768707482993</v>
      </c>
      <c r="I234" s="3" t="n">
        <v>474.554717043357</v>
      </c>
      <c r="J234" s="4" t="n">
        <v>0.36</v>
      </c>
    </row>
    <row r="235" customFormat="false" ht="14.25" hidden="false" customHeight="false" outlineLevel="0" collapsed="false">
      <c r="B235" s="2" t="n">
        <v>20</v>
      </c>
      <c r="C235" s="3" t="n">
        <v>528</v>
      </c>
      <c r="D235" s="4" t="n">
        <v>2.98</v>
      </c>
      <c r="E235" s="2" t="n">
        <v>25</v>
      </c>
      <c r="F235" s="2" t="n">
        <v>35</v>
      </c>
      <c r="G235" s="3" t="n">
        <v>628</v>
      </c>
      <c r="H235" s="12" t="n">
        <v>0.0341768707482993</v>
      </c>
      <c r="I235" s="3" t="n">
        <v>526.445947864471</v>
      </c>
      <c r="J235" s="4" t="n">
        <v>0.47</v>
      </c>
    </row>
    <row r="236" customFormat="false" ht="14.25" hidden="false" customHeight="false" outlineLevel="0" collapsed="false">
      <c r="A236" s="1" t="s">
        <v>71</v>
      </c>
      <c r="B236" s="2" t="n">
        <v>20</v>
      </c>
      <c r="C236" s="3" t="n">
        <v>528</v>
      </c>
      <c r="D236" s="4" t="n">
        <v>2.98</v>
      </c>
      <c r="E236" s="2" t="n">
        <v>25</v>
      </c>
      <c r="F236" s="2" t="n">
        <v>35</v>
      </c>
      <c r="G236" s="3" t="n">
        <v>942</v>
      </c>
      <c r="H236" s="12" t="n">
        <v>0.051265306122449</v>
      </c>
      <c r="I236" s="3" t="n">
        <v>275.466134573373</v>
      </c>
      <c r="J236" s="4" t="n">
        <v>0.16</v>
      </c>
    </row>
    <row r="237" customFormat="false" ht="14.25" hidden="false" customHeight="false" outlineLevel="0" collapsed="false">
      <c r="B237" s="2" t="n">
        <v>20</v>
      </c>
      <c r="C237" s="3" t="n">
        <v>528</v>
      </c>
      <c r="D237" s="4" t="n">
        <v>2.98</v>
      </c>
      <c r="E237" s="2" t="n">
        <v>25</v>
      </c>
      <c r="F237" s="2" t="n">
        <v>35</v>
      </c>
      <c r="G237" s="3" t="n">
        <v>942</v>
      </c>
      <c r="H237" s="12" t="n">
        <v>0.051265306122449</v>
      </c>
      <c r="I237" s="3" t="n">
        <v>292.265185836028</v>
      </c>
      <c r="J237" s="4" t="n">
        <v>0.18</v>
      </c>
    </row>
    <row r="238" customFormat="false" ht="14.25" hidden="false" customHeight="false" outlineLevel="0" collapsed="false">
      <c r="B238" s="2" t="n">
        <v>20</v>
      </c>
      <c r="C238" s="3" t="n">
        <v>528</v>
      </c>
      <c r="D238" s="4" t="n">
        <v>2.98</v>
      </c>
      <c r="E238" s="2" t="n">
        <v>25</v>
      </c>
      <c r="F238" s="2" t="n">
        <v>35</v>
      </c>
      <c r="G238" s="3" t="n">
        <v>942</v>
      </c>
      <c r="H238" s="12" t="n">
        <v>0.051265306122449</v>
      </c>
      <c r="I238" s="3" t="n">
        <v>334.262813992667</v>
      </c>
      <c r="J238" s="4" t="n">
        <v>0.18</v>
      </c>
    </row>
    <row r="239" customFormat="false" ht="14.25" hidden="false" customHeight="false" outlineLevel="0" collapsed="false">
      <c r="B239" s="2" t="n">
        <v>20</v>
      </c>
      <c r="C239" s="3" t="n">
        <v>528</v>
      </c>
      <c r="D239" s="4" t="n">
        <v>2.98</v>
      </c>
      <c r="E239" s="2" t="n">
        <v>25</v>
      </c>
      <c r="F239" s="2" t="n">
        <v>35</v>
      </c>
      <c r="G239" s="3" t="n">
        <v>942</v>
      </c>
      <c r="H239" s="12" t="n">
        <v>0.051265306122449</v>
      </c>
      <c r="I239" s="3" t="n">
        <v>380.460204964968</v>
      </c>
      <c r="J239" s="4" t="n">
        <v>0.2</v>
      </c>
    </row>
    <row r="240" customFormat="false" ht="14.25" hidden="false" customHeight="false" outlineLevel="0" collapsed="false">
      <c r="B240" s="2" t="n">
        <v>20</v>
      </c>
      <c r="C240" s="3" t="n">
        <v>528</v>
      </c>
      <c r="D240" s="4" t="n">
        <v>2.98</v>
      </c>
      <c r="E240" s="2" t="n">
        <v>25</v>
      </c>
      <c r="F240" s="2" t="n">
        <v>35</v>
      </c>
      <c r="G240" s="3" t="n">
        <v>942</v>
      </c>
      <c r="H240" s="12" t="n">
        <v>0.051265306122449</v>
      </c>
      <c r="I240" s="3" t="n">
        <v>422.457833121606</v>
      </c>
      <c r="J240" s="4" t="n">
        <v>0.2</v>
      </c>
    </row>
    <row r="241" customFormat="false" ht="14.25" hidden="false" customHeight="false" outlineLevel="0" collapsed="false">
      <c r="B241" s="2" t="n">
        <v>20</v>
      </c>
      <c r="C241" s="3" t="n">
        <v>528</v>
      </c>
      <c r="D241" s="4" t="n">
        <v>2.98</v>
      </c>
      <c r="E241" s="2" t="n">
        <v>25</v>
      </c>
      <c r="F241" s="2" t="n">
        <v>35</v>
      </c>
      <c r="G241" s="3" t="n">
        <v>942</v>
      </c>
      <c r="H241" s="12" t="n">
        <v>0.051265306122449</v>
      </c>
      <c r="I241" s="3" t="n">
        <v>460.255698462581</v>
      </c>
      <c r="J241" s="4" t="n">
        <v>0.2</v>
      </c>
    </row>
    <row r="242" customFormat="false" ht="14.25" hidden="false" customHeight="false" outlineLevel="0" collapsed="false">
      <c r="B242" s="2" t="n">
        <v>20</v>
      </c>
      <c r="C242" s="3" t="n">
        <v>528</v>
      </c>
      <c r="D242" s="4" t="n">
        <v>2.98</v>
      </c>
      <c r="E242" s="2" t="n">
        <v>25</v>
      </c>
      <c r="F242" s="2" t="n">
        <v>35</v>
      </c>
      <c r="G242" s="3" t="n">
        <v>942</v>
      </c>
      <c r="H242" s="12" t="n">
        <v>0.051265306122449</v>
      </c>
      <c r="I242" s="3" t="n">
        <v>502.059011853244</v>
      </c>
      <c r="J242" s="4" t="n">
        <v>0.22</v>
      </c>
    </row>
    <row r="243" customFormat="false" ht="14.25" hidden="false" customHeight="false" outlineLevel="0" collapsed="false">
      <c r="A243" s="1" t="s">
        <v>72</v>
      </c>
      <c r="B243" s="2" t="n">
        <v>28</v>
      </c>
      <c r="C243" s="3" t="n">
        <v>400</v>
      </c>
      <c r="D243" s="4" t="n">
        <v>5.30847435710111</v>
      </c>
      <c r="E243" s="2" t="n">
        <v>30</v>
      </c>
      <c r="F243" s="2" t="n">
        <v>44</v>
      </c>
      <c r="G243" s="3" t="n">
        <v>2463</v>
      </c>
      <c r="H243" s="12" t="n">
        <v>0.0799675324675325</v>
      </c>
      <c r="I243" s="3" t="n">
        <v>92.5310334856492</v>
      </c>
      <c r="J243" s="4" t="n">
        <v>0.22</v>
      </c>
    </row>
    <row r="244" customFormat="false" ht="14.25" hidden="false" customHeight="false" outlineLevel="0" collapsed="false">
      <c r="B244" s="2" t="n">
        <v>28</v>
      </c>
      <c r="C244" s="3" t="n">
        <v>400</v>
      </c>
      <c r="D244" s="4" t="n">
        <v>5.30847435710111</v>
      </c>
      <c r="E244" s="2" t="n">
        <v>30</v>
      </c>
      <c r="F244" s="2" t="n">
        <v>44</v>
      </c>
      <c r="G244" s="3" t="n">
        <v>2463</v>
      </c>
      <c r="H244" s="12" t="n">
        <v>0.0799675324675325</v>
      </c>
      <c r="I244" s="3" t="n">
        <v>145.469198364301</v>
      </c>
      <c r="J244" s="4" t="n">
        <v>0.25</v>
      </c>
    </row>
    <row r="245" customFormat="false" ht="14.25" hidden="false" customHeight="false" outlineLevel="0" collapsed="false">
      <c r="B245" s="2" t="n">
        <v>28</v>
      </c>
      <c r="C245" s="3" t="n">
        <v>400</v>
      </c>
      <c r="D245" s="4" t="n">
        <v>5.30847435710111</v>
      </c>
      <c r="E245" s="2" t="n">
        <v>30</v>
      </c>
      <c r="F245" s="2" t="n">
        <v>44</v>
      </c>
      <c r="G245" s="3" t="n">
        <v>2463</v>
      </c>
      <c r="H245" s="12" t="n">
        <v>0.0799675324675325</v>
      </c>
      <c r="I245" s="3" t="n">
        <v>180.361434335736</v>
      </c>
      <c r="J245" s="4" t="n">
        <v>0.29</v>
      </c>
    </row>
    <row r="246" customFormat="false" ht="14.25" hidden="false" customHeight="false" outlineLevel="0" collapsed="false">
      <c r="B246" s="2" t="n">
        <v>28</v>
      </c>
      <c r="C246" s="3" t="n">
        <v>400</v>
      </c>
      <c r="D246" s="4" t="n">
        <v>5.30847435710111</v>
      </c>
      <c r="E246" s="2" t="n">
        <v>30</v>
      </c>
      <c r="F246" s="2" t="n">
        <v>44</v>
      </c>
      <c r="G246" s="3" t="n">
        <v>2463</v>
      </c>
      <c r="H246" s="12" t="n">
        <v>0.0799675324675325</v>
      </c>
      <c r="I246" s="3" t="n">
        <v>220.461466720819</v>
      </c>
      <c r="J246" s="4" t="n">
        <v>0.31</v>
      </c>
    </row>
    <row r="247" customFormat="false" ht="14.25" hidden="false" customHeight="false" outlineLevel="0" collapsed="false">
      <c r="B247" s="2" t="n">
        <v>28</v>
      </c>
      <c r="C247" s="3" t="n">
        <v>400</v>
      </c>
      <c r="D247" s="4" t="n">
        <v>5.30847435710111</v>
      </c>
      <c r="E247" s="2" t="n">
        <v>30</v>
      </c>
      <c r="F247" s="2" t="n">
        <v>44</v>
      </c>
      <c r="G247" s="3" t="n">
        <v>2463</v>
      </c>
      <c r="H247" s="12" t="n">
        <v>0.0799675324675325</v>
      </c>
      <c r="I247" s="3" t="n">
        <v>282.955023684583</v>
      </c>
      <c r="J247" s="4" t="n">
        <v>0.33</v>
      </c>
    </row>
    <row r="248" customFormat="false" ht="14.25" hidden="false" customHeight="false" outlineLevel="0" collapsed="false">
      <c r="B248" s="2" t="n">
        <v>28</v>
      </c>
      <c r="C248" s="3" t="n">
        <v>400</v>
      </c>
      <c r="D248" s="4" t="n">
        <v>5.30847435710111</v>
      </c>
      <c r="E248" s="2" t="n">
        <v>30</v>
      </c>
      <c r="F248" s="2" t="n">
        <v>44</v>
      </c>
      <c r="G248" s="3" t="n">
        <v>2463</v>
      </c>
      <c r="H248" s="12" t="n">
        <v>0.0799675324675325</v>
      </c>
      <c r="I248" s="3" t="n">
        <v>314.72258180783</v>
      </c>
      <c r="J248" s="4" t="n">
        <v>0.34</v>
      </c>
    </row>
    <row r="249" customFormat="false" ht="14.25" hidden="false" customHeight="false" outlineLevel="0" collapsed="false">
      <c r="B249" s="2" t="n">
        <v>28</v>
      </c>
      <c r="C249" s="3" t="n">
        <v>400</v>
      </c>
      <c r="D249" s="4" t="n">
        <v>5.30847435710111</v>
      </c>
      <c r="E249" s="2" t="n">
        <v>30</v>
      </c>
      <c r="F249" s="2" t="n">
        <v>44</v>
      </c>
      <c r="G249" s="3" t="n">
        <v>2463</v>
      </c>
      <c r="H249" s="12" t="n">
        <v>0.0799675324675325</v>
      </c>
      <c r="I249" s="3" t="n">
        <v>361.071969889289</v>
      </c>
      <c r="J249" s="4" t="n">
        <v>0.37</v>
      </c>
    </row>
    <row r="250" customFormat="false" ht="14.25" hidden="false" customHeight="false" outlineLevel="0" collapsed="false">
      <c r="A250" s="1" t="s">
        <v>73</v>
      </c>
      <c r="B250" s="2" t="n">
        <v>15.9</v>
      </c>
      <c r="C250" s="3" t="n">
        <v>392</v>
      </c>
      <c r="D250" s="4" t="n">
        <v>2.82587739786632</v>
      </c>
      <c r="E250" s="2" t="n">
        <v>30</v>
      </c>
      <c r="F250" s="2" t="n">
        <v>38</v>
      </c>
      <c r="G250" s="3" t="n">
        <v>397.2</v>
      </c>
      <c r="H250" s="12" t="n">
        <v>0.022536170212766</v>
      </c>
      <c r="I250" s="3" t="n">
        <v>327.335668752827</v>
      </c>
      <c r="J250" s="4" t="n">
        <v>0.2</v>
      </c>
    </row>
    <row r="251" customFormat="false" ht="14.25" hidden="false" customHeight="false" outlineLevel="0" collapsed="false">
      <c r="B251" s="2" t="n">
        <v>15.9</v>
      </c>
      <c r="C251" s="3" t="n">
        <v>392</v>
      </c>
      <c r="D251" s="4" t="n">
        <v>2.82587739786632</v>
      </c>
      <c r="E251" s="2" t="n">
        <v>30</v>
      </c>
      <c r="F251" s="2" t="n">
        <v>38</v>
      </c>
      <c r="G251" s="3" t="n">
        <v>397.2</v>
      </c>
      <c r="H251" s="12" t="n">
        <v>0.022536170212766</v>
      </c>
      <c r="I251" s="3" t="n">
        <v>367.240844430156</v>
      </c>
      <c r="J251" s="4" t="n">
        <v>0.35</v>
      </c>
    </row>
    <row r="252" customFormat="false" ht="14.25" hidden="false" customHeight="false" outlineLevel="0" collapsed="false">
      <c r="A252" s="1" t="s">
        <v>74</v>
      </c>
      <c r="B252" s="2" t="n">
        <v>15.9</v>
      </c>
      <c r="C252" s="3" t="n">
        <v>392</v>
      </c>
      <c r="D252" s="4" t="n">
        <v>2.82587739786632</v>
      </c>
      <c r="E252" s="2" t="n">
        <v>30</v>
      </c>
      <c r="F252" s="2" t="n">
        <v>38</v>
      </c>
      <c r="G252" s="3" t="n">
        <v>397.2</v>
      </c>
      <c r="H252" s="12" t="n">
        <v>0.022536170212766</v>
      </c>
      <c r="I252" s="3" t="n">
        <v>329.07434564323</v>
      </c>
      <c r="J252" s="4" t="n">
        <v>0.2</v>
      </c>
    </row>
    <row r="253" customFormat="false" ht="14.25" hidden="false" customHeight="false" outlineLevel="0" collapsed="false">
      <c r="B253" s="2" t="n">
        <v>15.9</v>
      </c>
      <c r="C253" s="3" t="n">
        <v>392</v>
      </c>
      <c r="D253" s="4" t="n">
        <v>2.82587739786632</v>
      </c>
      <c r="E253" s="2" t="n">
        <v>30</v>
      </c>
      <c r="F253" s="2" t="n">
        <v>38</v>
      </c>
      <c r="G253" s="3" t="n">
        <v>397.2</v>
      </c>
      <c r="H253" s="12" t="n">
        <v>0.022536170212766</v>
      </c>
      <c r="I253" s="3" t="n">
        <v>367.240844430156</v>
      </c>
      <c r="J253" s="4" t="n">
        <v>0.25</v>
      </c>
    </row>
    <row r="254" customFormat="false" ht="14.25" hidden="false" customHeight="false" outlineLevel="0" collapsed="false">
      <c r="A254" s="1" t="s">
        <v>75</v>
      </c>
      <c r="B254" s="2" t="n">
        <v>15.9</v>
      </c>
      <c r="C254" s="3" t="n">
        <v>392</v>
      </c>
      <c r="D254" s="4" t="n">
        <v>2.82587739786632</v>
      </c>
      <c r="E254" s="2" t="n">
        <v>30</v>
      </c>
      <c r="F254" s="2" t="n">
        <v>38</v>
      </c>
      <c r="G254" s="3" t="n">
        <v>397.2</v>
      </c>
      <c r="H254" s="12" t="n">
        <v>0.022536170212766</v>
      </c>
      <c r="I254" s="3" t="n">
        <v>329.07434564323</v>
      </c>
      <c r="J254" s="4" t="n">
        <v>0.2</v>
      </c>
    </row>
    <row r="255" customFormat="false" ht="14.25" hidden="false" customHeight="false" outlineLevel="0" collapsed="false">
      <c r="B255" s="2" t="n">
        <v>15.9</v>
      </c>
      <c r="C255" s="3" t="n">
        <v>392</v>
      </c>
      <c r="D255" s="4" t="n">
        <v>2.82587739786632</v>
      </c>
      <c r="E255" s="2" t="n">
        <v>30</v>
      </c>
      <c r="F255" s="2" t="n">
        <v>38</v>
      </c>
      <c r="G255" s="3" t="n">
        <v>397.2</v>
      </c>
      <c r="H255" s="12" t="n">
        <v>0.022536170212766</v>
      </c>
      <c r="I255" s="3" t="n">
        <v>367.240844430156</v>
      </c>
      <c r="J255" s="4" t="n">
        <v>0.25</v>
      </c>
    </row>
    <row r="256" customFormat="false" ht="14.25" hidden="false" customHeight="false" outlineLevel="0" collapsed="false">
      <c r="A256" s="1" t="s">
        <v>76</v>
      </c>
      <c r="B256" s="2" t="n">
        <v>15.9</v>
      </c>
      <c r="C256" s="3" t="n">
        <v>392</v>
      </c>
      <c r="D256" s="4" t="n">
        <v>2.82587739786632</v>
      </c>
      <c r="E256" s="2" t="n">
        <v>30</v>
      </c>
      <c r="F256" s="2" t="n">
        <v>38</v>
      </c>
      <c r="G256" s="3" t="n">
        <v>397.2</v>
      </c>
      <c r="H256" s="12" t="n">
        <v>0.022536170212766</v>
      </c>
      <c r="I256" s="3" t="n">
        <v>330.813022533634</v>
      </c>
      <c r="J256" s="4" t="n">
        <v>0.2</v>
      </c>
    </row>
    <row r="257" customFormat="false" ht="14.25" hidden="false" customHeight="false" outlineLevel="0" collapsed="false">
      <c r="B257" s="2" t="n">
        <v>15.9</v>
      </c>
      <c r="C257" s="3" t="n">
        <v>392</v>
      </c>
      <c r="D257" s="4" t="n">
        <v>2.82587739786632</v>
      </c>
      <c r="E257" s="2" t="n">
        <v>30</v>
      </c>
      <c r="F257" s="2" t="n">
        <v>38</v>
      </c>
      <c r="G257" s="3" t="n">
        <v>397.2</v>
      </c>
      <c r="H257" s="12" t="n">
        <v>0.022536170212766</v>
      </c>
      <c r="I257" s="3" t="n">
        <v>367.240844430156</v>
      </c>
      <c r="J257" s="4" t="n">
        <v>0.3</v>
      </c>
    </row>
    <row r="258" customFormat="false" ht="14.25" hidden="false" customHeight="false" outlineLevel="0" collapsed="false">
      <c r="A258" s="1" t="s">
        <v>77</v>
      </c>
      <c r="B258" s="2" t="n">
        <v>12.7</v>
      </c>
      <c r="C258" s="3" t="n">
        <v>392</v>
      </c>
      <c r="D258" s="4" t="n">
        <v>2.92087587098479</v>
      </c>
      <c r="E258" s="2" t="n">
        <v>30</v>
      </c>
      <c r="F258" s="2" t="n">
        <v>36.5</v>
      </c>
      <c r="G258" s="3" t="n">
        <v>253.4</v>
      </c>
      <c r="H258" s="12" t="n">
        <v>0.0168933333333333</v>
      </c>
      <c r="I258" s="3" t="n">
        <v>253.375476752134</v>
      </c>
      <c r="J258" s="4" t="n">
        <v>0.15</v>
      </c>
    </row>
    <row r="259" customFormat="false" ht="14.25" hidden="false" customHeight="false" outlineLevel="0" collapsed="false">
      <c r="B259" s="2" t="n">
        <v>12.7</v>
      </c>
      <c r="C259" s="3" t="n">
        <v>392</v>
      </c>
      <c r="D259" s="4" t="n">
        <v>2.92087587098479</v>
      </c>
      <c r="E259" s="2" t="n">
        <v>30</v>
      </c>
      <c r="F259" s="2" t="n">
        <v>36.5</v>
      </c>
      <c r="G259" s="3" t="n">
        <v>253.4</v>
      </c>
      <c r="H259" s="12" t="n">
        <v>0.0168933333333333</v>
      </c>
      <c r="I259" s="3" t="n">
        <v>358.910938394982</v>
      </c>
      <c r="J259" s="4" t="n">
        <v>0.2</v>
      </c>
    </row>
    <row r="260" customFormat="false" ht="14.25" hidden="false" customHeight="false" outlineLevel="0" collapsed="false">
      <c r="A260" s="1" t="s">
        <v>78</v>
      </c>
      <c r="B260" s="2" t="n">
        <v>12.7</v>
      </c>
      <c r="C260" s="3" t="n">
        <v>392</v>
      </c>
      <c r="D260" s="4" t="n">
        <v>2.92087587098479</v>
      </c>
      <c r="E260" s="2" t="n">
        <v>30</v>
      </c>
      <c r="F260" s="2" t="n">
        <v>36.5</v>
      </c>
      <c r="G260" s="3" t="n">
        <v>253.4</v>
      </c>
      <c r="H260" s="12" t="n">
        <v>0.0168933333333333</v>
      </c>
      <c r="I260" s="3" t="n">
        <v>256.228277855071</v>
      </c>
      <c r="J260" s="4" t="n">
        <v>0.15</v>
      </c>
    </row>
    <row r="261" customFormat="false" ht="14.25" hidden="false" customHeight="false" outlineLevel="0" collapsed="false">
      <c r="B261" s="2" t="n">
        <v>12.7</v>
      </c>
      <c r="C261" s="3" t="n">
        <v>392</v>
      </c>
      <c r="D261" s="4" t="n">
        <v>2.92087587098479</v>
      </c>
      <c r="E261" s="2" t="n">
        <v>30</v>
      </c>
      <c r="F261" s="2" t="n">
        <v>36.5</v>
      </c>
      <c r="G261" s="3" t="n">
        <v>253.4</v>
      </c>
      <c r="H261" s="12" t="n">
        <v>0.0168933333333333</v>
      </c>
      <c r="I261" s="3" t="n">
        <v>358.910938394982</v>
      </c>
      <c r="J261" s="4" t="n">
        <v>0.2</v>
      </c>
    </row>
    <row r="262" customFormat="false" ht="14.25" hidden="false" customHeight="false" outlineLevel="0" collapsed="false">
      <c r="A262" s="1" t="s">
        <v>79</v>
      </c>
      <c r="B262" s="2" t="n">
        <v>15.9</v>
      </c>
      <c r="C262" s="3" t="n">
        <v>392</v>
      </c>
      <c r="D262" s="4" t="n">
        <v>2.92087587098479</v>
      </c>
      <c r="E262" s="2" t="n">
        <v>30</v>
      </c>
      <c r="F262" s="2" t="n">
        <v>38</v>
      </c>
      <c r="G262" s="3" t="n">
        <v>397.2</v>
      </c>
      <c r="H262" s="12" t="n">
        <v>0.022536170212766</v>
      </c>
      <c r="I262" s="3" t="n">
        <v>192.871553468033</v>
      </c>
      <c r="J262" s="4" t="n">
        <v>0.15</v>
      </c>
    </row>
    <row r="263" customFormat="false" ht="14.25" hidden="false" customHeight="false" outlineLevel="0" collapsed="false">
      <c r="B263" s="2" t="n">
        <v>15.9</v>
      </c>
      <c r="C263" s="3" t="n">
        <v>392</v>
      </c>
      <c r="D263" s="4" t="n">
        <v>2.92087587098479</v>
      </c>
      <c r="E263" s="2" t="n">
        <v>30</v>
      </c>
      <c r="F263" s="2" t="n">
        <v>38</v>
      </c>
      <c r="G263" s="3" t="n">
        <v>397.2</v>
      </c>
      <c r="H263" s="12" t="n">
        <v>0.022536170212766</v>
      </c>
      <c r="I263" s="3" t="n">
        <v>331.117624925515</v>
      </c>
      <c r="J263" s="4" t="n">
        <v>0.25</v>
      </c>
    </row>
    <row r="264" customFormat="false" ht="14.25" hidden="false" customHeight="false" outlineLevel="0" collapsed="false">
      <c r="B264" s="2" t="n">
        <v>15.9</v>
      </c>
      <c r="C264" s="3" t="n">
        <v>392</v>
      </c>
      <c r="D264" s="4" t="n">
        <v>2.92087587098479</v>
      </c>
      <c r="E264" s="2" t="n">
        <v>30</v>
      </c>
      <c r="F264" s="2" t="n">
        <v>38</v>
      </c>
      <c r="G264" s="3" t="n">
        <v>397.2</v>
      </c>
      <c r="H264" s="12" t="n">
        <v>0.022536170212766</v>
      </c>
      <c r="I264" s="3" t="n">
        <v>366.452902703315</v>
      </c>
      <c r="J264" s="4" t="n">
        <v>0.3</v>
      </c>
    </row>
    <row r="265" customFormat="false" ht="14.25" hidden="false" customHeight="false" outlineLevel="0" collapsed="false">
      <c r="A265" s="1" t="s">
        <v>80</v>
      </c>
      <c r="B265" s="2" t="n">
        <v>15.9</v>
      </c>
      <c r="C265" s="3" t="n">
        <v>392</v>
      </c>
      <c r="D265" s="4" t="n">
        <v>2.92087587098479</v>
      </c>
      <c r="E265" s="2" t="n">
        <v>30</v>
      </c>
      <c r="F265" s="2" t="n">
        <v>38</v>
      </c>
      <c r="G265" s="3" t="n">
        <v>397.2</v>
      </c>
      <c r="H265" s="12" t="n">
        <v>0.022536170212766</v>
      </c>
      <c r="I265" s="3" t="n">
        <v>194.621503739647</v>
      </c>
      <c r="J265" s="4" t="n">
        <v>0.15</v>
      </c>
    </row>
    <row r="266" customFormat="false" ht="14.25" hidden="false" customHeight="false" outlineLevel="0" collapsed="false">
      <c r="B266" s="2" t="n">
        <v>15.9</v>
      </c>
      <c r="C266" s="3" t="n">
        <v>392</v>
      </c>
      <c r="D266" s="4" t="n">
        <v>2.92087587098479</v>
      </c>
      <c r="E266" s="2" t="n">
        <v>30</v>
      </c>
      <c r="F266" s="2" t="n">
        <v>38</v>
      </c>
      <c r="G266" s="3" t="n">
        <v>397.2</v>
      </c>
      <c r="H266" s="12" t="n">
        <v>0.022536170212766</v>
      </c>
      <c r="I266" s="3" t="n">
        <v>332.867575197129</v>
      </c>
      <c r="J266" s="4" t="n">
        <v>0.25</v>
      </c>
    </row>
    <row r="267" customFormat="false" ht="14.25" hidden="false" customHeight="false" outlineLevel="0" collapsed="false">
      <c r="A267" s="1" t="s">
        <v>81</v>
      </c>
      <c r="B267" s="2" t="n">
        <v>19.1</v>
      </c>
      <c r="C267" s="3" t="n">
        <v>392</v>
      </c>
      <c r="D267" s="4" t="n">
        <v>2.92087587098479</v>
      </c>
      <c r="E267" s="2" t="n">
        <v>30</v>
      </c>
      <c r="F267" s="2" t="n">
        <v>39.5</v>
      </c>
      <c r="G267" s="3" t="n">
        <v>573</v>
      </c>
      <c r="H267" s="12" t="n">
        <v>0.0282962962962963</v>
      </c>
      <c r="I267" s="3" t="n">
        <v>113.834697759034</v>
      </c>
      <c r="J267" s="4" t="n">
        <v>0.15</v>
      </c>
    </row>
    <row r="268" customFormat="false" ht="14.25" hidden="false" customHeight="false" outlineLevel="0" collapsed="false">
      <c r="B268" s="2" t="n">
        <v>19.1</v>
      </c>
      <c r="C268" s="3" t="n">
        <v>392</v>
      </c>
      <c r="D268" s="4" t="n">
        <v>2.92087587098479</v>
      </c>
      <c r="E268" s="2" t="n">
        <v>30</v>
      </c>
      <c r="F268" s="2" t="n">
        <v>39.5</v>
      </c>
      <c r="G268" s="3" t="n">
        <v>573</v>
      </c>
      <c r="H268" s="12" t="n">
        <v>0.0282962962962963</v>
      </c>
      <c r="I268" s="3" t="n">
        <v>206.130330837803</v>
      </c>
      <c r="J268" s="4" t="n">
        <v>0.2</v>
      </c>
    </row>
    <row r="269" customFormat="false" ht="14.25" hidden="false" customHeight="false" outlineLevel="0" collapsed="false">
      <c r="B269" s="2" t="n">
        <v>19.1</v>
      </c>
      <c r="C269" s="3" t="n">
        <v>392</v>
      </c>
      <c r="D269" s="4" t="n">
        <v>2.92087587098479</v>
      </c>
      <c r="E269" s="2" t="n">
        <v>30</v>
      </c>
      <c r="F269" s="2" t="n">
        <v>39.5</v>
      </c>
      <c r="G269" s="3" t="n">
        <v>573</v>
      </c>
      <c r="H269" s="12" t="n">
        <v>0.0282962962962963</v>
      </c>
      <c r="I269" s="3" t="n">
        <v>300.388936553062</v>
      </c>
      <c r="J269" s="4" t="n">
        <v>0.3</v>
      </c>
    </row>
    <row r="270" customFormat="false" ht="14.25" hidden="false" customHeight="false" outlineLevel="0" collapsed="false">
      <c r="B270" s="2" t="n">
        <v>19.1</v>
      </c>
      <c r="C270" s="3" t="n">
        <v>392</v>
      </c>
      <c r="D270" s="4" t="n">
        <v>2.92087587098479</v>
      </c>
      <c r="E270" s="2" t="n">
        <v>30</v>
      </c>
      <c r="F270" s="2" t="n">
        <v>39.5</v>
      </c>
      <c r="G270" s="3" t="n">
        <v>573</v>
      </c>
      <c r="H270" s="12" t="n">
        <v>0.0282962962962963</v>
      </c>
      <c r="I270" s="3" t="n">
        <v>371.049164141272</v>
      </c>
      <c r="J270" s="4" t="n">
        <v>0.33</v>
      </c>
    </row>
    <row r="271" customFormat="false" ht="14.25" hidden="false" customHeight="false" outlineLevel="0" collapsed="false">
      <c r="A271" s="1" t="s">
        <v>82</v>
      </c>
      <c r="B271" s="2" t="n">
        <v>19.1</v>
      </c>
      <c r="C271" s="3" t="n">
        <v>392</v>
      </c>
      <c r="D271" s="4" t="n">
        <v>2.92087587098479</v>
      </c>
      <c r="E271" s="2" t="n">
        <v>30</v>
      </c>
      <c r="F271" s="2" t="n">
        <v>39.5</v>
      </c>
      <c r="G271" s="3" t="n">
        <v>573</v>
      </c>
      <c r="H271" s="12" t="n">
        <v>0.0282962962962963</v>
      </c>
      <c r="I271" s="3" t="n">
        <v>112.885328525321</v>
      </c>
      <c r="J271" s="4" t="n">
        <v>0.15</v>
      </c>
    </row>
    <row r="272" customFormat="false" ht="14.25" hidden="false" customHeight="false" outlineLevel="0" collapsed="false">
      <c r="B272" s="2" t="n">
        <v>19.1</v>
      </c>
      <c r="C272" s="3" t="n">
        <v>392</v>
      </c>
      <c r="D272" s="4" t="n">
        <v>2.92087587098479</v>
      </c>
      <c r="E272" s="2" t="n">
        <v>30</v>
      </c>
      <c r="F272" s="2" t="n">
        <v>39.5</v>
      </c>
      <c r="G272" s="3" t="n">
        <v>573</v>
      </c>
      <c r="H272" s="12" t="n">
        <v>0.0282962962962963</v>
      </c>
      <c r="I272" s="3" t="n">
        <v>203.744037022227</v>
      </c>
      <c r="J272" s="4" t="n">
        <v>0.25</v>
      </c>
    </row>
    <row r="273" customFormat="false" ht="14.25" hidden="false" customHeight="false" outlineLevel="0" collapsed="false">
      <c r="B273" s="2" t="n">
        <v>19.1</v>
      </c>
      <c r="C273" s="3" t="n">
        <v>392</v>
      </c>
      <c r="D273" s="4" t="n">
        <v>2.92087587098479</v>
      </c>
      <c r="E273" s="2" t="n">
        <v>30</v>
      </c>
      <c r="F273" s="2" t="n">
        <v>39.5</v>
      </c>
      <c r="G273" s="3" t="n">
        <v>573</v>
      </c>
      <c r="H273" s="12" t="n">
        <v>0.0282962962962963</v>
      </c>
      <c r="I273" s="3" t="n">
        <v>296.809495829698</v>
      </c>
      <c r="J273" s="4" t="n">
        <v>0.28</v>
      </c>
    </row>
    <row r="274" customFormat="false" ht="14.25" hidden="false" customHeight="false" outlineLevel="0" collapsed="false">
      <c r="A274" s="1" t="s">
        <v>83</v>
      </c>
      <c r="B274" s="2" t="n">
        <v>15.9</v>
      </c>
      <c r="C274" s="3" t="n">
        <v>392</v>
      </c>
      <c r="D274" s="4" t="n">
        <v>3.35387948274239</v>
      </c>
      <c r="E274" s="2" t="n">
        <v>30</v>
      </c>
      <c r="F274" s="2" t="n">
        <v>38</v>
      </c>
      <c r="G274" s="3" t="n">
        <v>397.2</v>
      </c>
      <c r="H274" s="12" t="n">
        <v>0.022536170212766</v>
      </c>
      <c r="I274" s="3" t="n">
        <v>326.505076813976</v>
      </c>
      <c r="J274" s="4" t="n">
        <v>0.2</v>
      </c>
    </row>
    <row r="275" customFormat="false" ht="14.25" hidden="false" customHeight="false" outlineLevel="0" collapsed="false">
      <c r="B275" s="2" t="n">
        <v>15.9</v>
      </c>
      <c r="C275" s="3" t="n">
        <v>392</v>
      </c>
      <c r="D275" s="4" t="n">
        <v>3.35387948274239</v>
      </c>
      <c r="E275" s="2" t="n">
        <v>30</v>
      </c>
      <c r="F275" s="2" t="n">
        <v>38</v>
      </c>
      <c r="G275" s="3" t="n">
        <v>397.2</v>
      </c>
      <c r="H275" s="12" t="n">
        <v>0.022536170212766</v>
      </c>
      <c r="I275" s="3" t="n">
        <v>362.871830387689</v>
      </c>
      <c r="J275" s="4" t="n">
        <v>0.22</v>
      </c>
    </row>
    <row r="276" customFormat="false" ht="14.25" hidden="false" customHeight="false" outlineLevel="0" collapsed="false">
      <c r="A276" s="1" t="s">
        <v>84</v>
      </c>
      <c r="B276" s="2" t="n">
        <v>15.9</v>
      </c>
      <c r="C276" s="3" t="n">
        <v>392</v>
      </c>
      <c r="D276" s="4" t="n">
        <v>3.35387948274239</v>
      </c>
      <c r="E276" s="2" t="n">
        <v>30</v>
      </c>
      <c r="F276" s="2" t="n">
        <v>38</v>
      </c>
      <c r="G276" s="3" t="n">
        <v>397.2</v>
      </c>
      <c r="H276" s="12" t="n">
        <v>0.022536170212766</v>
      </c>
      <c r="I276" s="3" t="n">
        <v>326.505076813976</v>
      </c>
      <c r="J276" s="4" t="n">
        <v>0.17</v>
      </c>
    </row>
    <row r="277" customFormat="false" ht="14.25" hidden="false" customHeight="false" outlineLevel="0" collapsed="false">
      <c r="B277" s="2" t="n">
        <v>15.9</v>
      </c>
      <c r="C277" s="3" t="n">
        <v>392</v>
      </c>
      <c r="D277" s="4" t="n">
        <v>3.35387948274239</v>
      </c>
      <c r="E277" s="2" t="n">
        <v>30</v>
      </c>
      <c r="F277" s="2" t="n">
        <v>38</v>
      </c>
      <c r="G277" s="3" t="n">
        <v>397.2</v>
      </c>
      <c r="H277" s="12" t="n">
        <v>0.022536170212766</v>
      </c>
      <c r="I277" s="3" t="n">
        <v>362.871830387689</v>
      </c>
      <c r="J277" s="4" t="n">
        <v>0.21</v>
      </c>
    </row>
    <row r="278" customFormat="false" ht="14.25" hidden="false" customHeight="false" outlineLevel="0" collapsed="false">
      <c r="A278" s="1" t="s">
        <v>85</v>
      </c>
      <c r="B278" s="2" t="n">
        <v>19.1</v>
      </c>
      <c r="C278" s="3" t="n">
        <v>392</v>
      </c>
      <c r="D278" s="4" t="n">
        <v>3.35387948274239</v>
      </c>
      <c r="E278" s="2" t="n">
        <v>30</v>
      </c>
      <c r="F278" s="2" t="n">
        <v>39.5</v>
      </c>
      <c r="G278" s="3" t="n">
        <v>573</v>
      </c>
      <c r="H278" s="12" t="n">
        <v>0.0282962962962963</v>
      </c>
      <c r="I278" s="3" t="n">
        <v>147.261960689549</v>
      </c>
      <c r="J278" s="4" t="n">
        <v>0.17</v>
      </c>
    </row>
    <row r="279" customFormat="false" ht="14.25" hidden="false" customHeight="false" outlineLevel="0" collapsed="false">
      <c r="B279" s="2" t="n">
        <v>19.1</v>
      </c>
      <c r="C279" s="3" t="n">
        <v>392</v>
      </c>
      <c r="D279" s="4" t="n">
        <v>3.35387948274239</v>
      </c>
      <c r="E279" s="2" t="n">
        <v>30</v>
      </c>
      <c r="F279" s="2" t="n">
        <v>39.5</v>
      </c>
      <c r="G279" s="3" t="n">
        <v>573</v>
      </c>
      <c r="H279" s="12" t="n">
        <v>0.0282962962962963</v>
      </c>
      <c r="I279" s="3" t="n">
        <v>196.132394675069</v>
      </c>
      <c r="J279" s="4" t="n">
        <v>0.18</v>
      </c>
    </row>
    <row r="280" customFormat="false" ht="14.25" hidden="false" customHeight="false" outlineLevel="0" collapsed="false">
      <c r="B280" s="2" t="n">
        <v>19.1</v>
      </c>
      <c r="C280" s="3" t="n">
        <v>392</v>
      </c>
      <c r="D280" s="4" t="n">
        <v>3.35387948274239</v>
      </c>
      <c r="E280" s="2" t="n">
        <v>30</v>
      </c>
      <c r="F280" s="2" t="n">
        <v>39.5</v>
      </c>
      <c r="G280" s="3" t="n">
        <v>573</v>
      </c>
      <c r="H280" s="12" t="n">
        <v>0.0282962962962963</v>
      </c>
      <c r="I280" s="3" t="n">
        <v>243.781067810951</v>
      </c>
      <c r="J280" s="4" t="n">
        <v>0.2</v>
      </c>
    </row>
    <row r="281" customFormat="false" ht="14.25" hidden="false" customHeight="false" outlineLevel="0" collapsed="false">
      <c r="B281" s="2" t="n">
        <v>19.1</v>
      </c>
      <c r="C281" s="3" t="n">
        <v>392</v>
      </c>
      <c r="D281" s="4" t="n">
        <v>3.35387948274239</v>
      </c>
      <c r="E281" s="2" t="n">
        <v>30</v>
      </c>
      <c r="F281" s="2" t="n">
        <v>39.5</v>
      </c>
      <c r="G281" s="3" t="n">
        <v>573</v>
      </c>
      <c r="H281" s="12" t="n">
        <v>0.0282962962962963</v>
      </c>
      <c r="I281" s="3" t="n">
        <v>292.651501796471</v>
      </c>
      <c r="J281" s="4" t="n">
        <v>0.2</v>
      </c>
    </row>
    <row r="282" customFormat="false" ht="14.25" hidden="false" customHeight="false" outlineLevel="0" collapsed="false">
      <c r="B282" s="2" t="n">
        <v>19.1</v>
      </c>
      <c r="C282" s="3" t="n">
        <v>392</v>
      </c>
      <c r="D282" s="4" t="n">
        <v>3.35387948274239</v>
      </c>
      <c r="E282" s="2" t="n">
        <v>30</v>
      </c>
      <c r="F282" s="2" t="n">
        <v>39.5</v>
      </c>
      <c r="G282" s="3" t="n">
        <v>573</v>
      </c>
      <c r="H282" s="12" t="n">
        <v>0.0282962962962963</v>
      </c>
      <c r="I282" s="3" t="n">
        <v>339.078414082716</v>
      </c>
      <c r="J282" s="4" t="n">
        <v>0.25</v>
      </c>
    </row>
    <row r="283" customFormat="false" ht="14.25" hidden="false" customHeight="false" outlineLevel="0" collapsed="false">
      <c r="B283" s="2" t="n">
        <v>19.1</v>
      </c>
      <c r="C283" s="3" t="n">
        <v>392</v>
      </c>
      <c r="D283" s="4" t="n">
        <v>3.35387948274239</v>
      </c>
      <c r="E283" s="2" t="n">
        <v>30</v>
      </c>
      <c r="F283" s="2" t="n">
        <v>39.5</v>
      </c>
      <c r="G283" s="3" t="n">
        <v>573</v>
      </c>
      <c r="H283" s="12" t="n">
        <v>0.0282962962962963</v>
      </c>
      <c r="I283" s="3" t="n">
        <v>368.149462034831</v>
      </c>
      <c r="J283" s="4" t="n">
        <v>0.27</v>
      </c>
    </row>
    <row r="284" customFormat="false" ht="14.25" hidden="false" customHeight="false" outlineLevel="0" collapsed="false">
      <c r="A284" s="1" t="s">
        <v>86</v>
      </c>
      <c r="B284" s="2" t="n">
        <v>19.1</v>
      </c>
      <c r="C284" s="3" t="n">
        <v>392</v>
      </c>
      <c r="D284" s="4" t="n">
        <v>3.35387948274239</v>
      </c>
      <c r="E284" s="2" t="n">
        <v>30</v>
      </c>
      <c r="F284" s="2" t="n">
        <v>39.5</v>
      </c>
      <c r="G284" s="3" t="n">
        <v>573</v>
      </c>
      <c r="H284" s="12" t="n">
        <v>0.0282962962962963</v>
      </c>
      <c r="I284" s="3" t="n">
        <v>243.781067810951</v>
      </c>
      <c r="J284" s="4" t="n">
        <v>0.18</v>
      </c>
    </row>
    <row r="285" customFormat="false" ht="14.25" hidden="false" customHeight="false" outlineLevel="0" collapsed="false">
      <c r="B285" s="2" t="n">
        <v>19.1</v>
      </c>
      <c r="C285" s="3" t="n">
        <v>392</v>
      </c>
      <c r="D285" s="4" t="n">
        <v>3.35387948274239</v>
      </c>
      <c r="E285" s="2" t="n">
        <v>30</v>
      </c>
      <c r="F285" s="2" t="n">
        <v>39.5</v>
      </c>
      <c r="G285" s="3" t="n">
        <v>573</v>
      </c>
      <c r="H285" s="12" t="n">
        <v>0.0282962962962963</v>
      </c>
      <c r="I285" s="3" t="n">
        <v>290.207980097195</v>
      </c>
      <c r="J285" s="4" t="n">
        <v>0.19</v>
      </c>
    </row>
    <row r="286" customFormat="false" ht="14.25" hidden="false" customHeight="false" outlineLevel="0" collapsed="false">
      <c r="B286" s="2" t="n">
        <v>19.1</v>
      </c>
      <c r="C286" s="3" t="n">
        <v>392</v>
      </c>
      <c r="D286" s="4" t="n">
        <v>3.35387948274239</v>
      </c>
      <c r="E286" s="2" t="n">
        <v>30</v>
      </c>
      <c r="F286" s="2" t="n">
        <v>39.5</v>
      </c>
      <c r="G286" s="3" t="n">
        <v>573</v>
      </c>
      <c r="H286" s="12" t="n">
        <v>0.0282962962962963</v>
      </c>
      <c r="I286" s="3" t="n">
        <v>339.078414082716</v>
      </c>
      <c r="J286" s="4" t="n">
        <v>0.21</v>
      </c>
    </row>
    <row r="287" customFormat="false" ht="14.25" hidden="false" customHeight="false" outlineLevel="0" collapsed="false">
      <c r="B287" s="2" t="n">
        <v>19.1</v>
      </c>
      <c r="C287" s="3" t="n">
        <v>392</v>
      </c>
      <c r="D287" s="4" t="n">
        <v>3.35387948274239</v>
      </c>
      <c r="E287" s="2" t="n">
        <v>30</v>
      </c>
      <c r="F287" s="2" t="n">
        <v>39.5</v>
      </c>
      <c r="G287" s="3" t="n">
        <v>573</v>
      </c>
      <c r="H287" s="12" t="n">
        <v>0.0282962962962963</v>
      </c>
      <c r="I287" s="3" t="n">
        <v>368.149462034831</v>
      </c>
      <c r="J287" s="4" t="n">
        <v>0.26</v>
      </c>
    </row>
    <row r="288" customFormat="false" ht="14.25" hidden="false" customHeight="false" outlineLevel="0" collapsed="false">
      <c r="A288" s="1" t="s">
        <v>87</v>
      </c>
      <c r="B288" s="2" t="n">
        <v>19.1</v>
      </c>
      <c r="C288" s="3" t="n">
        <v>276</v>
      </c>
      <c r="D288" s="4" t="n">
        <v>2.90032882517908</v>
      </c>
      <c r="E288" s="2" t="n">
        <v>31.8</v>
      </c>
      <c r="F288" s="2" t="n">
        <v>41.4</v>
      </c>
      <c r="G288" s="3" t="n">
        <v>568</v>
      </c>
      <c r="H288" s="12" t="n">
        <v>0.0272245005166903</v>
      </c>
      <c r="I288" s="3" t="n">
        <v>131.312184311943</v>
      </c>
      <c r="J288" s="4" t="n">
        <v>0.17</v>
      </c>
    </row>
    <row r="289" customFormat="false" ht="14.25" hidden="false" customHeight="false" outlineLevel="0" collapsed="false">
      <c r="B289" s="2" t="n">
        <v>19.1</v>
      </c>
      <c r="C289" s="3" t="n">
        <v>276</v>
      </c>
      <c r="D289" s="4" t="n">
        <v>2.90032882517908</v>
      </c>
      <c r="E289" s="2" t="n">
        <v>31.8</v>
      </c>
      <c r="F289" s="2" t="n">
        <v>41.4</v>
      </c>
      <c r="G289" s="3" t="n">
        <v>568</v>
      </c>
      <c r="H289" s="12" t="n">
        <v>0.0272245005166903</v>
      </c>
      <c r="I289" s="3" t="n">
        <v>183.72363442548</v>
      </c>
      <c r="J289" s="4" t="n">
        <v>0.23</v>
      </c>
    </row>
    <row r="290" customFormat="false" ht="14.25" hidden="false" customHeight="false" outlineLevel="0" collapsed="false">
      <c r="B290" s="2" t="n">
        <v>19.1</v>
      </c>
      <c r="C290" s="3" t="n">
        <v>276</v>
      </c>
      <c r="D290" s="4" t="n">
        <v>2.90032882517908</v>
      </c>
      <c r="E290" s="2" t="n">
        <v>31.8</v>
      </c>
      <c r="F290" s="2" t="n">
        <v>41.4</v>
      </c>
      <c r="G290" s="3" t="n">
        <v>568</v>
      </c>
      <c r="H290" s="12" t="n">
        <v>0.0272245005166903</v>
      </c>
      <c r="I290" s="3" t="n">
        <v>223.274212459054</v>
      </c>
      <c r="J290" s="4" t="n">
        <v>0.27</v>
      </c>
    </row>
    <row r="291" customFormat="false" ht="14.25" hidden="false" customHeight="false" outlineLevel="0" collapsed="false">
      <c r="A291" s="1" t="s">
        <v>88</v>
      </c>
      <c r="B291" s="2" t="n">
        <v>19.1</v>
      </c>
      <c r="C291" s="3" t="n">
        <v>276</v>
      </c>
      <c r="D291" s="4" t="n">
        <v>2.84669189571421</v>
      </c>
      <c r="E291" s="2" t="n">
        <v>31.8</v>
      </c>
      <c r="F291" s="2" t="n">
        <v>41.4</v>
      </c>
      <c r="G291" s="3" t="n">
        <v>568</v>
      </c>
      <c r="H291" s="12" t="n">
        <v>0.0272245005166903</v>
      </c>
      <c r="I291" s="3" t="n">
        <v>224.17342621352</v>
      </c>
      <c r="J291" s="4" t="n">
        <v>0.16</v>
      </c>
    </row>
    <row r="292" customFormat="false" ht="14.25" hidden="false" customHeight="false" outlineLevel="0" collapsed="false">
      <c r="A292" s="1" t="s">
        <v>89</v>
      </c>
      <c r="B292" s="2" t="n">
        <v>19.1</v>
      </c>
      <c r="C292" s="3" t="n">
        <v>276</v>
      </c>
      <c r="D292" s="4" t="n">
        <v>2.71132147348833</v>
      </c>
      <c r="E292" s="2" t="n">
        <v>38.2</v>
      </c>
      <c r="F292" s="2" t="n">
        <v>47.7</v>
      </c>
      <c r="G292" s="3" t="n">
        <v>568</v>
      </c>
      <c r="H292" s="12" t="n">
        <v>0.0260267745861376</v>
      </c>
      <c r="I292" s="3" t="n">
        <v>191.764922934407</v>
      </c>
      <c r="J292" s="4" t="n">
        <v>0.16</v>
      </c>
    </row>
    <row r="293" customFormat="false" ht="14.25" hidden="false" customHeight="false" outlineLevel="0" collapsed="false">
      <c r="B293" s="2" t="n">
        <v>19.1</v>
      </c>
      <c r="C293" s="3" t="n">
        <v>276</v>
      </c>
      <c r="D293" s="4" t="n">
        <v>2.71132147348833</v>
      </c>
      <c r="E293" s="2" t="n">
        <v>38.2</v>
      </c>
      <c r="F293" s="2" t="n">
        <v>47.7</v>
      </c>
      <c r="G293" s="3" t="n">
        <v>568</v>
      </c>
      <c r="H293" s="12" t="n">
        <v>0.0260267745861376</v>
      </c>
      <c r="I293" s="3" t="n">
        <v>224.52366430869</v>
      </c>
      <c r="J293" s="4" t="n">
        <v>0.2</v>
      </c>
    </row>
    <row r="294" customFormat="false" ht="14.25" hidden="false" customHeight="false" outlineLevel="0" collapsed="false">
      <c r="A294" s="1" t="s">
        <v>90</v>
      </c>
      <c r="B294" s="2" t="n">
        <v>22.2</v>
      </c>
      <c r="C294" s="3" t="n">
        <v>276</v>
      </c>
      <c r="D294" s="4" t="n">
        <v>2.68798662700617</v>
      </c>
      <c r="E294" s="2" t="n">
        <v>12.8</v>
      </c>
      <c r="F294" s="2" t="n">
        <v>23.9</v>
      </c>
      <c r="G294" s="3" t="n">
        <v>774</v>
      </c>
      <c r="H294" s="12" t="n">
        <v>0.0607141680511693</v>
      </c>
      <c r="I294" s="3" t="n">
        <v>244.579711304794</v>
      </c>
      <c r="J294" s="4" t="n">
        <v>0.17</v>
      </c>
    </row>
    <row r="295" customFormat="false" ht="14.25" hidden="false" customHeight="false" outlineLevel="0" collapsed="false">
      <c r="A295" s="1" t="s">
        <v>91</v>
      </c>
      <c r="B295" s="2" t="n">
        <v>22.2</v>
      </c>
      <c r="C295" s="3" t="n">
        <v>276</v>
      </c>
      <c r="D295" s="4" t="n">
        <v>2.38460157103714</v>
      </c>
      <c r="E295" s="2" t="n">
        <v>38</v>
      </c>
      <c r="F295" s="2" t="n">
        <v>49.1</v>
      </c>
      <c r="G295" s="3" t="n">
        <v>774</v>
      </c>
      <c r="H295" s="12" t="n">
        <v>0.0317222995470351</v>
      </c>
      <c r="I295" s="3" t="n">
        <v>140.827277262883</v>
      </c>
      <c r="J295" s="4" t="n">
        <v>0.15</v>
      </c>
    </row>
    <row r="296" customFormat="false" ht="14.25" hidden="false" customHeight="false" outlineLevel="0" collapsed="false">
      <c r="B296" s="2" t="n">
        <v>22.2</v>
      </c>
      <c r="C296" s="3" t="n">
        <v>276</v>
      </c>
      <c r="D296" s="4" t="n">
        <v>2.38460157103714</v>
      </c>
      <c r="E296" s="2" t="n">
        <v>38</v>
      </c>
      <c r="F296" s="2" t="n">
        <v>49.1</v>
      </c>
      <c r="G296" s="3" t="n">
        <v>774</v>
      </c>
      <c r="H296" s="12" t="n">
        <v>0.0317222995470351</v>
      </c>
      <c r="I296" s="3" t="n">
        <v>178.833845243026</v>
      </c>
      <c r="J296" s="4" t="n">
        <v>0.19</v>
      </c>
    </row>
    <row r="297" customFormat="false" ht="14.25" hidden="false" customHeight="false" outlineLevel="0" collapsed="false">
      <c r="B297" s="2" t="n">
        <v>22.2</v>
      </c>
      <c r="C297" s="3" t="n">
        <v>276</v>
      </c>
      <c r="D297" s="4" t="n">
        <v>2.38460157103714</v>
      </c>
      <c r="E297" s="2" t="n">
        <v>38</v>
      </c>
      <c r="F297" s="2" t="n">
        <v>49.1</v>
      </c>
      <c r="G297" s="3" t="n">
        <v>774</v>
      </c>
      <c r="H297" s="12" t="n">
        <v>0.0317222995470351</v>
      </c>
      <c r="I297" s="3" t="n">
        <v>219.386307729015</v>
      </c>
      <c r="J297" s="4" t="n">
        <v>0.22</v>
      </c>
    </row>
    <row r="298" customFormat="false" ht="14.25" hidden="false" customHeight="false" outlineLevel="0" collapsed="false">
      <c r="B298" s="2" t="n">
        <v>22.2</v>
      </c>
      <c r="C298" s="3" t="n">
        <v>276</v>
      </c>
      <c r="D298" s="4" t="n">
        <v>2.38460157103714</v>
      </c>
      <c r="E298" s="2" t="n">
        <v>38</v>
      </c>
      <c r="F298" s="2" t="n">
        <v>49.1</v>
      </c>
      <c r="G298" s="3" t="n">
        <v>774</v>
      </c>
      <c r="H298" s="12" t="n">
        <v>0.0317222995470351</v>
      </c>
      <c r="I298" s="3" t="n">
        <v>237.160226827859</v>
      </c>
      <c r="J298" s="4" t="n">
        <v>0.27</v>
      </c>
    </row>
    <row r="299" customFormat="false" ht="14.25" hidden="false" customHeight="false" outlineLevel="0" collapsed="false">
      <c r="A299" s="1" t="s">
        <v>92</v>
      </c>
      <c r="B299" s="2" t="n">
        <v>22.2</v>
      </c>
      <c r="C299" s="3" t="n">
        <v>276</v>
      </c>
      <c r="D299" s="4" t="n">
        <v>2.86484234762008</v>
      </c>
      <c r="E299" s="2" t="n">
        <v>38</v>
      </c>
      <c r="F299" s="2" t="n">
        <v>49.1</v>
      </c>
      <c r="G299" s="3" t="n">
        <v>774</v>
      </c>
      <c r="H299" s="12" t="n">
        <v>0.0317222995470351</v>
      </c>
      <c r="I299" s="3" t="n">
        <v>210.253502991345</v>
      </c>
      <c r="J299" s="4" t="n">
        <v>0.17</v>
      </c>
    </row>
    <row r="300" customFormat="false" ht="14.25" hidden="false" customHeight="false" outlineLevel="0" collapsed="false">
      <c r="B300" s="2" t="n">
        <v>22.2</v>
      </c>
      <c r="C300" s="3" t="n">
        <v>276</v>
      </c>
      <c r="D300" s="4" t="n">
        <v>2.86484234762008</v>
      </c>
      <c r="E300" s="2" t="n">
        <v>38</v>
      </c>
      <c r="F300" s="2" t="n">
        <v>49.1</v>
      </c>
      <c r="G300" s="3" t="n">
        <v>774</v>
      </c>
      <c r="H300" s="12" t="n">
        <v>0.0317222995470351</v>
      </c>
      <c r="I300" s="3" t="n">
        <v>230.127226740313</v>
      </c>
      <c r="J300" s="4" t="n">
        <v>0.2</v>
      </c>
    </row>
    <row r="301" customFormat="false" ht="14.25" hidden="false" customHeight="false" outlineLevel="0" collapsed="false">
      <c r="A301" s="1" t="s">
        <v>93</v>
      </c>
      <c r="B301" s="2" t="n">
        <v>22.2</v>
      </c>
      <c r="C301" s="3" t="n">
        <v>276</v>
      </c>
      <c r="D301" s="4" t="n">
        <v>2.83369179024989</v>
      </c>
      <c r="E301" s="2" t="n">
        <v>38</v>
      </c>
      <c r="F301" s="2" t="n">
        <v>49.1</v>
      </c>
      <c r="G301" s="3" t="n">
        <v>774</v>
      </c>
      <c r="H301" s="12" t="n">
        <v>0.0317222995470351</v>
      </c>
      <c r="I301" s="3" t="n">
        <v>130.478542700382</v>
      </c>
      <c r="J301" s="4" t="n">
        <v>0.15</v>
      </c>
    </row>
    <row r="302" customFormat="false" ht="14.25" hidden="false" customHeight="false" outlineLevel="0" collapsed="false">
      <c r="B302" s="2" t="n">
        <v>22.2</v>
      </c>
      <c r="C302" s="3" t="n">
        <v>276</v>
      </c>
      <c r="D302" s="4" t="n">
        <v>2.83369179024989</v>
      </c>
      <c r="E302" s="2" t="n">
        <v>38</v>
      </c>
      <c r="F302" s="2" t="n">
        <v>49.1</v>
      </c>
      <c r="G302" s="3" t="n">
        <v>774</v>
      </c>
      <c r="H302" s="12" t="n">
        <v>0.0317222995470351</v>
      </c>
      <c r="I302" s="3" t="n">
        <v>169.355626890377</v>
      </c>
      <c r="J302" s="4" t="n">
        <v>0.18</v>
      </c>
    </row>
    <row r="303" customFormat="false" ht="14.25" hidden="false" customHeight="false" outlineLevel="0" collapsed="false">
      <c r="B303" s="2" t="n">
        <v>22.2</v>
      </c>
      <c r="C303" s="3" t="n">
        <v>276</v>
      </c>
      <c r="D303" s="4" t="n">
        <v>2.83369179024989</v>
      </c>
      <c r="E303" s="2" t="n">
        <v>38</v>
      </c>
      <c r="F303" s="2" t="n">
        <v>49.1</v>
      </c>
      <c r="G303" s="3" t="n">
        <v>774</v>
      </c>
      <c r="H303" s="12" t="n">
        <v>0.0317222995470351</v>
      </c>
      <c r="I303" s="3" t="n">
        <v>210.83691767683</v>
      </c>
      <c r="J303" s="4" t="n">
        <v>0.22</v>
      </c>
    </row>
    <row r="304" customFormat="false" ht="14.25" hidden="false" customHeight="false" outlineLevel="0" collapsed="false">
      <c r="B304" s="2" t="n">
        <v>22.2</v>
      </c>
      <c r="C304" s="3" t="n">
        <v>276</v>
      </c>
      <c r="D304" s="4" t="n">
        <v>2.83369179024989</v>
      </c>
      <c r="E304" s="2" t="n">
        <v>38</v>
      </c>
      <c r="F304" s="2" t="n">
        <v>49.1</v>
      </c>
      <c r="G304" s="3" t="n">
        <v>774</v>
      </c>
      <c r="H304" s="12" t="n">
        <v>0.0317222995470351</v>
      </c>
      <c r="I304" s="3" t="n">
        <v>230.581592187972</v>
      </c>
      <c r="J304" s="4" t="n">
        <v>0.25</v>
      </c>
    </row>
    <row r="305" customFormat="false" ht="14.25" hidden="false" customHeight="false" outlineLevel="0" collapsed="false">
      <c r="A305" s="1" t="s">
        <v>94</v>
      </c>
      <c r="B305" s="2" t="n">
        <v>22.2</v>
      </c>
      <c r="C305" s="3" t="n">
        <v>276</v>
      </c>
      <c r="D305" s="4" t="n">
        <v>2.75637342683892</v>
      </c>
      <c r="E305" s="2" t="n">
        <v>38</v>
      </c>
      <c r="F305" s="2" t="n">
        <v>49.1</v>
      </c>
      <c r="G305" s="3" t="n">
        <v>774</v>
      </c>
      <c r="H305" s="12" t="n">
        <v>0.0317222995470351</v>
      </c>
      <c r="I305" s="3" t="n">
        <v>132.243766638631</v>
      </c>
      <c r="J305" s="4" t="n">
        <v>0.2</v>
      </c>
    </row>
    <row r="306" customFormat="false" ht="14.25" hidden="false" customHeight="false" outlineLevel="0" collapsed="false">
      <c r="B306" s="2" t="n">
        <v>22.2</v>
      </c>
      <c r="C306" s="3" t="n">
        <v>276</v>
      </c>
      <c r="D306" s="4" t="n">
        <v>2.75637342683892</v>
      </c>
      <c r="E306" s="2" t="n">
        <v>38</v>
      </c>
      <c r="F306" s="2" t="n">
        <v>49.1</v>
      </c>
      <c r="G306" s="3" t="n">
        <v>774</v>
      </c>
      <c r="H306" s="12" t="n">
        <v>0.0317222995470351</v>
      </c>
      <c r="I306" s="3" t="n">
        <v>170.969776347295</v>
      </c>
      <c r="J306" s="4" t="n">
        <v>0.25</v>
      </c>
    </row>
    <row r="307" customFormat="false" ht="14.25" hidden="false" customHeight="false" outlineLevel="0" collapsed="false">
      <c r="B307" s="2" t="n">
        <v>22.2</v>
      </c>
      <c r="C307" s="3" t="n">
        <v>276</v>
      </c>
      <c r="D307" s="4" t="n">
        <v>2.75637342683892</v>
      </c>
      <c r="E307" s="2" t="n">
        <v>38</v>
      </c>
      <c r="F307" s="2" t="n">
        <v>49.1</v>
      </c>
      <c r="G307" s="3" t="n">
        <v>774</v>
      </c>
      <c r="H307" s="12" t="n">
        <v>0.0317222995470351</v>
      </c>
      <c r="I307" s="3" t="n">
        <v>212.289872830702</v>
      </c>
      <c r="J307" s="4" t="n">
        <v>0.3</v>
      </c>
    </row>
    <row r="308" customFormat="false" ht="14.25" hidden="false" customHeight="false" outlineLevel="0" collapsed="false">
      <c r="B308" s="2" t="n">
        <v>22.2</v>
      </c>
      <c r="C308" s="3" t="n">
        <v>276</v>
      </c>
      <c r="D308" s="4" t="n">
        <v>2.75637342683892</v>
      </c>
      <c r="E308" s="2" t="n">
        <v>38</v>
      </c>
      <c r="F308" s="2" t="n">
        <v>49.1</v>
      </c>
      <c r="G308" s="3" t="n">
        <v>774</v>
      </c>
      <c r="H308" s="12" t="n">
        <v>0.0317222995470351</v>
      </c>
      <c r="I308" s="3" t="n">
        <v>231.710386616697</v>
      </c>
      <c r="J308" s="4" t="n">
        <v>0.35</v>
      </c>
    </row>
    <row r="309" customFormat="false" ht="14.25" hidden="false" customHeight="false" outlineLevel="0" collapsed="false">
      <c r="A309" s="1" t="s">
        <v>95</v>
      </c>
      <c r="B309" s="2" t="n">
        <v>28.7</v>
      </c>
      <c r="C309" s="3" t="n">
        <v>276</v>
      </c>
      <c r="D309" s="4" t="n">
        <v>2.77481740215607</v>
      </c>
      <c r="E309" s="2" t="n">
        <v>22.2</v>
      </c>
      <c r="F309" s="2" t="n">
        <v>36.6</v>
      </c>
      <c r="G309" s="3" t="n">
        <v>1290</v>
      </c>
      <c r="H309" s="12" t="n">
        <v>0.0660778058480395</v>
      </c>
      <c r="I309" s="3" t="n">
        <v>203.543390285314</v>
      </c>
      <c r="J309" s="4" t="n">
        <v>0.17</v>
      </c>
    </row>
    <row r="310" customFormat="false" ht="14.25" hidden="false" customHeight="false" outlineLevel="0" collapsed="false">
      <c r="B310" s="2" t="n">
        <v>28.7</v>
      </c>
      <c r="C310" s="3" t="n">
        <v>276</v>
      </c>
      <c r="D310" s="4" t="n">
        <v>2.77481740215607</v>
      </c>
      <c r="E310" s="2" t="n">
        <v>22.2</v>
      </c>
      <c r="F310" s="2" t="n">
        <v>36.6</v>
      </c>
      <c r="G310" s="3" t="n">
        <v>1290</v>
      </c>
      <c r="H310" s="12" t="n">
        <v>0.0660778058480395</v>
      </c>
      <c r="I310" s="3" t="n">
        <v>249.4431202379</v>
      </c>
      <c r="J310" s="4" t="n">
        <v>0.2</v>
      </c>
    </row>
    <row r="311" customFormat="false" ht="14.25" hidden="false" customHeight="false" outlineLevel="0" collapsed="false">
      <c r="A311" s="1" t="s">
        <v>96</v>
      </c>
      <c r="B311" s="2" t="n">
        <v>28.7</v>
      </c>
      <c r="C311" s="3" t="n">
        <v>276</v>
      </c>
      <c r="D311" s="4" t="n">
        <v>2.80171464705939</v>
      </c>
      <c r="E311" s="2" t="n">
        <v>38.2</v>
      </c>
      <c r="F311" s="2" t="n">
        <v>52.5</v>
      </c>
      <c r="G311" s="3" t="n">
        <v>1290</v>
      </c>
      <c r="H311" s="12" t="n">
        <v>0.0460656703626332</v>
      </c>
      <c r="I311" s="3" t="n">
        <v>131.979351866831</v>
      </c>
      <c r="J311" s="4" t="n">
        <v>0.17</v>
      </c>
    </row>
    <row r="312" customFormat="false" ht="14.25" hidden="false" customHeight="false" outlineLevel="0" collapsed="false">
      <c r="B312" s="2" t="n">
        <v>28.7</v>
      </c>
      <c r="C312" s="3" t="n">
        <v>276</v>
      </c>
      <c r="D312" s="4" t="n">
        <v>2.80171464705939</v>
      </c>
      <c r="E312" s="2" t="n">
        <v>38.2</v>
      </c>
      <c r="F312" s="2" t="n">
        <v>52.5</v>
      </c>
      <c r="G312" s="3" t="n">
        <v>1290</v>
      </c>
      <c r="H312" s="12" t="n">
        <v>0.0460656703626332</v>
      </c>
      <c r="I312" s="3" t="n">
        <v>169.013580919241</v>
      </c>
      <c r="J312" s="4" t="n">
        <v>0.2</v>
      </c>
    </row>
    <row r="313" customFormat="false" ht="14.25" hidden="false" customHeight="false" outlineLevel="0" collapsed="false">
      <c r="B313" s="2" t="n">
        <v>28.7</v>
      </c>
      <c r="C313" s="3" t="n">
        <v>276</v>
      </c>
      <c r="D313" s="4" t="n">
        <v>2.80171464705939</v>
      </c>
      <c r="E313" s="2" t="n">
        <v>38.2</v>
      </c>
      <c r="F313" s="2" t="n">
        <v>52.5</v>
      </c>
      <c r="G313" s="3" t="n">
        <v>1290</v>
      </c>
      <c r="H313" s="12" t="n">
        <v>0.0460656703626332</v>
      </c>
      <c r="I313" s="3" t="n">
        <v>206.918796245383</v>
      </c>
      <c r="J313" s="4" t="n">
        <v>0.25</v>
      </c>
    </row>
    <row r="314" customFormat="false" ht="14.25" hidden="false" customHeight="false" outlineLevel="0" collapsed="false">
      <c r="B314" s="2" t="n">
        <v>28.7</v>
      </c>
      <c r="C314" s="3" t="n">
        <v>276</v>
      </c>
      <c r="D314" s="4" t="n">
        <v>2.80171464705939</v>
      </c>
      <c r="E314" s="2" t="n">
        <v>38.2</v>
      </c>
      <c r="F314" s="2" t="n">
        <v>52.5</v>
      </c>
      <c r="G314" s="3" t="n">
        <v>1290</v>
      </c>
      <c r="H314" s="12" t="n">
        <v>0.0460656703626332</v>
      </c>
      <c r="I314" s="3" t="n">
        <v>242.58289538577</v>
      </c>
      <c r="J314" s="4" t="n">
        <v>0.29</v>
      </c>
    </row>
    <row r="315" customFormat="false" ht="14.25" hidden="false" customHeight="false" outlineLevel="0" collapsed="false">
      <c r="A315" s="1" t="s">
        <v>97</v>
      </c>
      <c r="B315" s="2" t="n">
        <v>28.7</v>
      </c>
      <c r="C315" s="3" t="n">
        <v>276</v>
      </c>
      <c r="D315" s="4" t="n">
        <v>2.71531164579845</v>
      </c>
      <c r="E315" s="2" t="n">
        <v>38.2</v>
      </c>
      <c r="F315" s="2" t="n">
        <v>52.5</v>
      </c>
      <c r="G315" s="3" t="n">
        <v>1290</v>
      </c>
      <c r="H315" s="12" t="n">
        <v>0.0460656703626332</v>
      </c>
      <c r="I315" s="3" t="n">
        <v>170.44511898843</v>
      </c>
      <c r="J315" s="4" t="n">
        <v>0.17</v>
      </c>
    </row>
    <row r="316" customFormat="false" ht="14.25" hidden="false" customHeight="false" outlineLevel="0" collapsed="false">
      <c r="A316" s="1" t="s">
        <v>98</v>
      </c>
      <c r="B316" s="2" t="n">
        <v>28.7</v>
      </c>
      <c r="C316" s="3" t="n">
        <v>276</v>
      </c>
      <c r="D316" s="4" t="n">
        <v>2.80171464705939</v>
      </c>
      <c r="E316" s="2" t="n">
        <v>38.2</v>
      </c>
      <c r="F316" s="2" t="n">
        <v>52.5</v>
      </c>
      <c r="G316" s="3" t="n">
        <v>1290</v>
      </c>
      <c r="H316" s="12" t="n">
        <v>0.0460656703626332</v>
      </c>
      <c r="I316" s="3" t="n">
        <v>131.979351866831</v>
      </c>
      <c r="J316" s="4" t="n">
        <v>0.15</v>
      </c>
    </row>
    <row r="317" customFormat="false" ht="14.25" hidden="false" customHeight="false" outlineLevel="0" collapsed="false">
      <c r="B317" s="2" t="n">
        <v>28.7</v>
      </c>
      <c r="C317" s="3" t="n">
        <v>276</v>
      </c>
      <c r="D317" s="4" t="n">
        <v>2.80171464705939</v>
      </c>
      <c r="E317" s="2" t="n">
        <v>38.2</v>
      </c>
      <c r="F317" s="2" t="n">
        <v>52.5</v>
      </c>
      <c r="G317" s="3" t="n">
        <v>1290</v>
      </c>
      <c r="H317" s="12" t="n">
        <v>0.0460656703626332</v>
      </c>
      <c r="I317" s="3" t="n">
        <v>169.013580919241</v>
      </c>
      <c r="J317" s="4" t="n">
        <v>0.16</v>
      </c>
    </row>
    <row r="318" customFormat="false" ht="14.25" hidden="false" customHeight="false" outlineLevel="0" collapsed="false">
      <c r="B318" s="2" t="n">
        <v>28.7</v>
      </c>
      <c r="C318" s="3" t="n">
        <v>276</v>
      </c>
      <c r="D318" s="4" t="n">
        <v>2.80171464705939</v>
      </c>
      <c r="E318" s="2" t="n">
        <v>38.2</v>
      </c>
      <c r="F318" s="2" t="n">
        <v>52.5</v>
      </c>
      <c r="G318" s="3" t="n">
        <v>1290</v>
      </c>
      <c r="H318" s="12" t="n">
        <v>0.0460656703626332</v>
      </c>
      <c r="I318" s="3" t="n">
        <v>206.918796245383</v>
      </c>
      <c r="J318" s="4" t="n">
        <v>0.22</v>
      </c>
    </row>
    <row r="319" customFormat="false" ht="14.25" hidden="false" customHeight="false" outlineLevel="0" collapsed="false">
      <c r="B319" s="2" t="n">
        <v>28.7</v>
      </c>
      <c r="C319" s="3" t="n">
        <v>276</v>
      </c>
      <c r="D319" s="4" t="n">
        <v>2.80171464705939</v>
      </c>
      <c r="E319" s="2" t="n">
        <v>38.2</v>
      </c>
      <c r="F319" s="2" t="n">
        <v>52.5</v>
      </c>
      <c r="G319" s="3" t="n">
        <v>1290</v>
      </c>
      <c r="H319" s="12" t="n">
        <v>0.0460656703626332</v>
      </c>
      <c r="I319" s="3" t="n">
        <v>242.58289538577</v>
      </c>
      <c r="J319" s="4" t="n">
        <v>0.26</v>
      </c>
    </row>
    <row r="320" customFormat="false" ht="14.25" hidden="false" customHeight="false" outlineLevel="0" collapsed="false">
      <c r="A320" s="1" t="s">
        <v>99</v>
      </c>
      <c r="B320" s="2" t="n">
        <v>28.7</v>
      </c>
      <c r="C320" s="3" t="n">
        <v>276</v>
      </c>
      <c r="D320" s="4" t="n">
        <v>2.52444806810338</v>
      </c>
      <c r="E320" s="2" t="n">
        <v>38.2</v>
      </c>
      <c r="F320" s="2" t="n">
        <v>52.5</v>
      </c>
      <c r="G320" s="3" t="n">
        <v>1290</v>
      </c>
      <c r="H320" s="12" t="n">
        <v>0.0460656703626332</v>
      </c>
      <c r="I320" s="3" t="n">
        <v>173.642021432502</v>
      </c>
      <c r="J320" s="4" t="n">
        <v>0.17</v>
      </c>
    </row>
    <row r="321" customFormat="false" ht="14.25" hidden="false" customHeight="false" outlineLevel="0" collapsed="false">
      <c r="B321" s="2" t="n">
        <v>28.7</v>
      </c>
      <c r="C321" s="3" t="n">
        <v>276</v>
      </c>
      <c r="D321" s="4" t="n">
        <v>2.52444806810338</v>
      </c>
      <c r="E321" s="2" t="n">
        <v>38.2</v>
      </c>
      <c r="F321" s="2" t="n">
        <v>52.5</v>
      </c>
      <c r="G321" s="3" t="n">
        <v>1290</v>
      </c>
      <c r="H321" s="12" t="n">
        <v>0.0460656703626332</v>
      </c>
      <c r="I321" s="3" t="n">
        <v>211.192425244779</v>
      </c>
      <c r="J321" s="4" t="n">
        <v>0.2</v>
      </c>
    </row>
    <row r="322" customFormat="false" ht="14.25" hidden="false" customHeight="false" outlineLevel="0" collapsed="false">
      <c r="B322" s="2" t="n">
        <v>28.7</v>
      </c>
      <c r="C322" s="3" t="n">
        <v>276</v>
      </c>
      <c r="D322" s="4" t="n">
        <v>2.52444806810338</v>
      </c>
      <c r="E322" s="2" t="n">
        <v>38.2</v>
      </c>
      <c r="F322" s="2" t="n">
        <v>52.5</v>
      </c>
      <c r="G322" s="3" t="n">
        <v>1290</v>
      </c>
      <c r="H322" s="12" t="n">
        <v>0.0460656703626332</v>
      </c>
      <c r="I322" s="3" t="n">
        <v>245.49875842798</v>
      </c>
      <c r="J322" s="4" t="n">
        <v>0.24</v>
      </c>
    </row>
    <row r="323" customFormat="false" ht="14.25" hidden="false" customHeight="false" outlineLevel="0" collapsed="false">
      <c r="A323" s="1" t="s">
        <v>100</v>
      </c>
      <c r="B323" s="2" t="n">
        <v>32.3</v>
      </c>
      <c r="C323" s="3" t="n">
        <v>276</v>
      </c>
      <c r="D323" s="4" t="n">
        <v>2.53821845332793</v>
      </c>
      <c r="E323" s="2" t="n">
        <v>38.3</v>
      </c>
      <c r="F323" s="2" t="n">
        <v>54.4</v>
      </c>
      <c r="G323" s="3" t="n">
        <v>819</v>
      </c>
      <c r="H323" s="12" t="n">
        <v>0.0282248726262158</v>
      </c>
      <c r="I323" s="3" t="n">
        <v>106.353203774331</v>
      </c>
      <c r="J323" s="4" t="n">
        <v>0.17</v>
      </c>
    </row>
    <row r="324" customFormat="false" ht="14.25" hidden="false" customHeight="false" outlineLevel="0" collapsed="false">
      <c r="B324" s="2" t="n">
        <v>32.3</v>
      </c>
      <c r="C324" s="3" t="n">
        <v>276</v>
      </c>
      <c r="D324" s="4" t="n">
        <v>2.53821845332793</v>
      </c>
      <c r="E324" s="2" t="n">
        <v>38.3</v>
      </c>
      <c r="F324" s="2" t="n">
        <v>54.4</v>
      </c>
      <c r="G324" s="3" t="n">
        <v>819</v>
      </c>
      <c r="H324" s="12" t="n">
        <v>0.0282248726262158</v>
      </c>
      <c r="I324" s="3" t="n">
        <v>150.363502382333</v>
      </c>
      <c r="J324" s="4" t="n">
        <v>0.23</v>
      </c>
    </row>
    <row r="325" customFormat="false" ht="14.25" hidden="false" customHeight="false" outlineLevel="0" collapsed="false">
      <c r="B325" s="2" t="n">
        <v>32.3</v>
      </c>
      <c r="C325" s="3" t="n">
        <v>276</v>
      </c>
      <c r="D325" s="4" t="n">
        <v>2.53821845332793</v>
      </c>
      <c r="E325" s="2" t="n">
        <v>38.3</v>
      </c>
      <c r="F325" s="2" t="n">
        <v>54.4</v>
      </c>
      <c r="G325" s="3" t="n">
        <v>819</v>
      </c>
      <c r="H325" s="12" t="n">
        <v>0.0282248726262158</v>
      </c>
      <c r="I325" s="3" t="n">
        <v>193.147127255323</v>
      </c>
      <c r="J325" s="4" t="n">
        <v>0.27</v>
      </c>
    </row>
    <row r="326" customFormat="false" ht="14.25" hidden="false" customHeight="false" outlineLevel="0" collapsed="false">
      <c r="B326" s="2" t="n">
        <v>32.3</v>
      </c>
      <c r="C326" s="3" t="n">
        <v>276</v>
      </c>
      <c r="D326" s="4" t="n">
        <v>2.53821845332793</v>
      </c>
      <c r="E326" s="2" t="n">
        <v>38.3</v>
      </c>
      <c r="F326" s="2" t="n">
        <v>54.4</v>
      </c>
      <c r="G326" s="3" t="n">
        <v>819</v>
      </c>
      <c r="H326" s="12" t="n">
        <v>0.0282248726262158</v>
      </c>
      <c r="I326" s="3" t="n">
        <v>223.706859307459</v>
      </c>
      <c r="J326" s="4" t="n">
        <v>0.31</v>
      </c>
    </row>
    <row r="327" customFormat="false" ht="14.25" hidden="false" customHeight="false" outlineLevel="0" collapsed="false">
      <c r="B327" s="2" t="n">
        <v>32.3</v>
      </c>
      <c r="C327" s="3" t="n">
        <v>276</v>
      </c>
      <c r="D327" s="4" t="n">
        <v>2.53821845332793</v>
      </c>
      <c r="E327" s="2" t="n">
        <v>38.3</v>
      </c>
      <c r="F327" s="2" t="n">
        <v>54.4</v>
      </c>
      <c r="G327" s="3" t="n">
        <v>819</v>
      </c>
      <c r="H327" s="12" t="n">
        <v>0.0282248726262158</v>
      </c>
      <c r="I327" s="3" t="n">
        <v>230.744979239284</v>
      </c>
      <c r="J327" s="4" t="n">
        <v>0.35</v>
      </c>
    </row>
    <row r="328" customFormat="false" ht="14.25" hidden="false" customHeight="false" outlineLevel="0" collapsed="false">
      <c r="A328" s="1" t="s">
        <v>101</v>
      </c>
      <c r="B328" s="2" t="n">
        <v>32.3</v>
      </c>
      <c r="C328" s="3" t="n">
        <v>276</v>
      </c>
      <c r="D328" s="4" t="n">
        <v>2.81086951894943</v>
      </c>
      <c r="E328" s="2" t="n">
        <v>38.3</v>
      </c>
      <c r="F328" s="2" t="n">
        <v>54.4</v>
      </c>
      <c r="G328" s="3" t="n">
        <v>819</v>
      </c>
      <c r="H328" s="12" t="n">
        <v>0.0282248726262158</v>
      </c>
      <c r="I328" s="3" t="n">
        <v>99.532458974282</v>
      </c>
      <c r="J328" s="4" t="n">
        <v>0.19</v>
      </c>
    </row>
    <row r="329" customFormat="false" ht="14.25" hidden="false" customHeight="false" outlineLevel="0" collapsed="false">
      <c r="B329" s="2" t="n">
        <v>32.3</v>
      </c>
      <c r="C329" s="3" t="n">
        <v>276</v>
      </c>
      <c r="D329" s="4" t="n">
        <v>2.81086951894943</v>
      </c>
      <c r="E329" s="2" t="n">
        <v>38.3</v>
      </c>
      <c r="F329" s="2" t="n">
        <v>54.4</v>
      </c>
      <c r="G329" s="3" t="n">
        <v>819</v>
      </c>
      <c r="H329" s="12" t="n">
        <v>0.0282248726262158</v>
      </c>
      <c r="I329" s="3" t="n">
        <v>143.737632833922</v>
      </c>
      <c r="J329" s="4" t="n">
        <v>0.24</v>
      </c>
    </row>
    <row r="330" customFormat="false" ht="14.25" hidden="false" customHeight="false" outlineLevel="0" collapsed="false">
      <c r="B330" s="2" t="n">
        <v>32.3</v>
      </c>
      <c r="C330" s="3" t="n">
        <v>276</v>
      </c>
      <c r="D330" s="4" t="n">
        <v>2.81086951894943</v>
      </c>
      <c r="E330" s="2" t="n">
        <v>38.3</v>
      </c>
      <c r="F330" s="2" t="n">
        <v>54.4</v>
      </c>
      <c r="G330" s="3" t="n">
        <v>819</v>
      </c>
      <c r="H330" s="12" t="n">
        <v>0.0282248726262158</v>
      </c>
      <c r="I330" s="3" t="n">
        <v>187.176740338077</v>
      </c>
      <c r="J330" s="4" t="n">
        <v>0.29</v>
      </c>
    </row>
    <row r="331" customFormat="false" ht="14.25" hidden="false" customHeight="false" outlineLevel="0" collapsed="false">
      <c r="B331" s="2" t="n">
        <v>32.3</v>
      </c>
      <c r="C331" s="3" t="n">
        <v>276</v>
      </c>
      <c r="D331" s="4" t="n">
        <v>2.81086951894943</v>
      </c>
      <c r="E331" s="2" t="n">
        <v>38.3</v>
      </c>
      <c r="F331" s="2" t="n">
        <v>54.4</v>
      </c>
      <c r="G331" s="3" t="n">
        <v>819</v>
      </c>
      <c r="H331" s="12" t="n">
        <v>0.0282248726262158</v>
      </c>
      <c r="I331" s="3" t="n">
        <v>218.204674269617</v>
      </c>
      <c r="J331" s="4" t="n">
        <v>0.36</v>
      </c>
    </row>
    <row r="332" customFormat="false" ht="14.25" hidden="false" customHeight="false" outlineLevel="0" collapsed="false">
      <c r="B332" s="2" t="n">
        <v>32.3</v>
      </c>
      <c r="C332" s="3" t="n">
        <v>276</v>
      </c>
      <c r="D332" s="4" t="n">
        <v>2.81086951894943</v>
      </c>
      <c r="E332" s="2" t="n">
        <v>38.3</v>
      </c>
      <c r="F332" s="2" t="n">
        <v>54.4</v>
      </c>
      <c r="G332" s="3" t="n">
        <v>819</v>
      </c>
      <c r="H332" s="12" t="n">
        <v>0.0282248726262158</v>
      </c>
      <c r="I332" s="3" t="n">
        <v>226.309268981256</v>
      </c>
      <c r="J332" s="4" t="n">
        <v>0.42</v>
      </c>
    </row>
    <row r="333" customFormat="false" ht="14.25" hidden="false" customHeight="false" outlineLevel="0" collapsed="false">
      <c r="A333" s="1" t="s">
        <v>102</v>
      </c>
      <c r="B333" s="2" t="n">
        <v>28.7</v>
      </c>
      <c r="C333" s="3" t="n">
        <v>276</v>
      </c>
      <c r="D333" s="4" t="n">
        <v>2.57657861790804</v>
      </c>
      <c r="E333" s="2" t="n">
        <v>38</v>
      </c>
      <c r="F333" s="2" t="n">
        <v>52.3</v>
      </c>
      <c r="G333" s="3" t="n">
        <v>1290</v>
      </c>
      <c r="H333" s="12" t="n">
        <v>0.0462418297139244</v>
      </c>
      <c r="I333" s="3" t="n">
        <v>139.22648337646</v>
      </c>
      <c r="J333" s="4" t="n">
        <v>0.18</v>
      </c>
    </row>
    <row r="334" customFormat="false" ht="14.25" hidden="false" customHeight="false" outlineLevel="0" collapsed="false">
      <c r="B334" s="2" t="n">
        <v>28.7</v>
      </c>
      <c r="C334" s="3" t="n">
        <v>276</v>
      </c>
      <c r="D334" s="4" t="n">
        <v>2.57657861790804</v>
      </c>
      <c r="E334" s="2" t="n">
        <v>38</v>
      </c>
      <c r="F334" s="2" t="n">
        <v>52.3</v>
      </c>
      <c r="G334" s="3" t="n">
        <v>1290</v>
      </c>
      <c r="H334" s="12" t="n">
        <v>0.0462418297139244</v>
      </c>
      <c r="I334" s="3" t="n">
        <v>180.497314979196</v>
      </c>
      <c r="J334" s="4" t="n">
        <v>0.22</v>
      </c>
    </row>
    <row r="335" customFormat="false" ht="14.25" hidden="false" customHeight="false" outlineLevel="0" collapsed="false">
      <c r="B335" s="2" t="n">
        <v>28.7</v>
      </c>
      <c r="C335" s="3" t="n">
        <v>276</v>
      </c>
      <c r="D335" s="4" t="n">
        <v>2.57657861790804</v>
      </c>
      <c r="E335" s="2" t="n">
        <v>38</v>
      </c>
      <c r="F335" s="2" t="n">
        <v>52.3</v>
      </c>
      <c r="G335" s="3" t="n">
        <v>1290</v>
      </c>
      <c r="H335" s="12" t="n">
        <v>0.0462418297139244</v>
      </c>
      <c r="I335" s="3" t="n">
        <v>213.14386705439</v>
      </c>
      <c r="J335" s="4" t="n">
        <v>0.27</v>
      </c>
    </row>
    <row r="336" customFormat="false" ht="14.25" hidden="false" customHeight="false" outlineLevel="0" collapsed="false">
      <c r="B336" s="2" t="n">
        <v>28.7</v>
      </c>
      <c r="C336" s="3" t="n">
        <v>276</v>
      </c>
      <c r="D336" s="4" t="n">
        <v>2.57657861790804</v>
      </c>
      <c r="E336" s="2" t="n">
        <v>38</v>
      </c>
      <c r="F336" s="2" t="n">
        <v>52.3</v>
      </c>
      <c r="G336" s="3" t="n">
        <v>1290</v>
      </c>
      <c r="H336" s="12" t="n">
        <v>0.0462418297139244</v>
      </c>
      <c r="I336" s="3" t="n">
        <v>245.03832142352</v>
      </c>
      <c r="J336" s="4" t="n">
        <v>0.32</v>
      </c>
    </row>
    <row r="337" customFormat="false" ht="14.25" hidden="false" customHeight="false" outlineLevel="0" collapsed="false">
      <c r="A337" s="1" t="s">
        <v>103</v>
      </c>
      <c r="B337" s="2" t="n">
        <v>28.7</v>
      </c>
      <c r="C337" s="3" t="n">
        <v>276</v>
      </c>
      <c r="D337" s="4" t="n">
        <v>2.57657861790804</v>
      </c>
      <c r="E337" s="2" t="n">
        <v>38</v>
      </c>
      <c r="F337" s="2" t="n">
        <v>52.3</v>
      </c>
      <c r="G337" s="3" t="n">
        <v>1290</v>
      </c>
      <c r="H337" s="12" t="n">
        <v>0.0462418297139244</v>
      </c>
      <c r="I337" s="3" t="n">
        <v>180.497314979196</v>
      </c>
      <c r="J337" s="4" t="n">
        <v>0.16</v>
      </c>
    </row>
    <row r="338" customFormat="false" ht="14.25" hidden="false" customHeight="false" outlineLevel="0" collapsed="false">
      <c r="B338" s="2" t="n">
        <v>28.7</v>
      </c>
      <c r="C338" s="3" t="n">
        <v>276</v>
      </c>
      <c r="D338" s="4" t="n">
        <v>2.57657861790804</v>
      </c>
      <c r="E338" s="2" t="n">
        <v>38</v>
      </c>
      <c r="F338" s="2" t="n">
        <v>52.3</v>
      </c>
      <c r="G338" s="3" t="n">
        <v>1290</v>
      </c>
      <c r="H338" s="12" t="n">
        <v>0.0462418297139244</v>
      </c>
      <c r="I338" s="3" t="n">
        <v>213.14386705439</v>
      </c>
      <c r="J338" s="4" t="n">
        <v>0.19</v>
      </c>
    </row>
    <row r="339" customFormat="false" ht="14.25" hidden="false" customHeight="false" outlineLevel="0" collapsed="false">
      <c r="B339" s="2" t="n">
        <v>28.7</v>
      </c>
      <c r="C339" s="3" t="n">
        <v>276</v>
      </c>
      <c r="D339" s="4" t="n">
        <v>2.57657861790804</v>
      </c>
      <c r="E339" s="2" t="n">
        <v>38</v>
      </c>
      <c r="F339" s="2" t="n">
        <v>52.3</v>
      </c>
      <c r="G339" s="3" t="n">
        <v>1290</v>
      </c>
      <c r="H339" s="12" t="n">
        <v>0.0462418297139244</v>
      </c>
      <c r="I339" s="3" t="n">
        <v>245.03832142352</v>
      </c>
      <c r="J339" s="4" t="n">
        <v>0.22</v>
      </c>
    </row>
    <row r="340" customFormat="false" ht="14.25" hidden="false" customHeight="false" outlineLevel="0" collapsed="false">
      <c r="A340" s="1" t="s">
        <v>104</v>
      </c>
      <c r="B340" s="2" t="n">
        <v>35.8</v>
      </c>
      <c r="C340" s="3" t="n">
        <v>276</v>
      </c>
      <c r="D340" s="4" t="n">
        <v>2.54783553354044</v>
      </c>
      <c r="E340" s="2" t="n">
        <v>38</v>
      </c>
      <c r="F340" s="2" t="n">
        <v>55.9</v>
      </c>
      <c r="G340" s="3" t="n">
        <v>2012</v>
      </c>
      <c r="H340" s="12" t="n">
        <v>0.0674781484157056</v>
      </c>
      <c r="I340" s="3" t="n">
        <v>150.918822000117</v>
      </c>
      <c r="J340" s="4" t="n">
        <v>0.17</v>
      </c>
    </row>
    <row r="341" customFormat="false" ht="14.25" hidden="false" customHeight="false" outlineLevel="0" collapsed="false">
      <c r="A341" s="1" t="s">
        <v>105</v>
      </c>
      <c r="B341" s="2" t="n">
        <v>35.8</v>
      </c>
      <c r="C341" s="3" t="n">
        <v>276</v>
      </c>
      <c r="D341" s="4" t="n">
        <v>2.75637342683892</v>
      </c>
      <c r="E341" s="2" t="n">
        <v>38</v>
      </c>
      <c r="F341" s="2" t="n">
        <v>55.9</v>
      </c>
      <c r="G341" s="3" t="n">
        <v>2012</v>
      </c>
      <c r="H341" s="12" t="n">
        <v>0.0674781484157056</v>
      </c>
      <c r="I341" s="3" t="n">
        <v>108.349173275283</v>
      </c>
      <c r="J341" s="4" t="n">
        <v>0.19</v>
      </c>
    </row>
    <row r="342" customFormat="false" ht="14.25" hidden="false" customHeight="false" outlineLevel="0" collapsed="false">
      <c r="B342" s="2" t="n">
        <v>35.8</v>
      </c>
      <c r="C342" s="3" t="n">
        <v>276</v>
      </c>
      <c r="D342" s="4" t="n">
        <v>2.75637342683892</v>
      </c>
      <c r="E342" s="2" t="n">
        <v>38</v>
      </c>
      <c r="F342" s="2" t="n">
        <v>55.9</v>
      </c>
      <c r="G342" s="3" t="n">
        <v>2012</v>
      </c>
      <c r="H342" s="12" t="n">
        <v>0.0674781484157056</v>
      </c>
      <c r="I342" s="3" t="n">
        <v>148.199286582844</v>
      </c>
      <c r="J342" s="4" t="n">
        <v>0.25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0" topLeftCell="B1" activePane="topRight" state="frozen"/>
      <selection pane="topLeft" activeCell="A1" activeCellId="0" sqref="A1"/>
      <selection pane="topRight" activeCell="G12" activeCellId="0" sqref="G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5.89"/>
    <col collapsed="false" customWidth="true" hidden="false" outlineLevel="0" max="2" min="2" style="4" width="23.45"/>
    <col collapsed="false" customWidth="true" hidden="false" outlineLevel="0" max="3" min="3" style="25" width="37.89"/>
  </cols>
  <sheetData>
    <row r="1" s="14" customFormat="true" ht="14.25" hidden="false" customHeight="false" outlineLevel="0" collapsed="false">
      <c r="A1" s="1" t="s">
        <v>8</v>
      </c>
      <c r="B1" s="4" t="s">
        <v>178</v>
      </c>
      <c r="C1" s="4" t="s">
        <v>179</v>
      </c>
    </row>
    <row r="2" customFormat="false" ht="14.25" hidden="false" customHeight="false" outlineLevel="0" collapsed="false">
      <c r="A2" s="0" t="s">
        <v>22</v>
      </c>
      <c r="B2" s="4" t="n">
        <v>0.0861593825131977</v>
      </c>
      <c r="C2" s="25" t="n">
        <v>0.102129723973678</v>
      </c>
    </row>
    <row r="3" customFormat="false" ht="14.25" hidden="false" customHeight="false" outlineLevel="0" collapsed="false">
      <c r="B3" s="4" t="n">
        <v>0.147126541852635</v>
      </c>
      <c r="C3" s="25" t="n">
        <v>0.190782516555556</v>
      </c>
    </row>
    <row r="4" customFormat="false" ht="14.25" hidden="false" customHeight="false" outlineLevel="0" collapsed="false">
      <c r="B4" s="4" t="n">
        <v>0.155568148530403</v>
      </c>
      <c r="C4" s="25" t="n">
        <v>0.203057518605355</v>
      </c>
    </row>
    <row r="5" customFormat="false" ht="14.25" hidden="false" customHeight="false" outlineLevel="0" collapsed="false">
      <c r="B5" s="4" t="n">
        <v>0.196838225621714</v>
      </c>
      <c r="C5" s="25" t="n">
        <v>0.263068639737704</v>
      </c>
    </row>
    <row r="6" customFormat="false" ht="14.25" hidden="false" customHeight="false" outlineLevel="0" collapsed="false">
      <c r="B6" s="4" t="n">
        <v>0.277502467209276</v>
      </c>
      <c r="C6" s="25" t="n">
        <v>0.380363103769112</v>
      </c>
    </row>
    <row r="7" customFormat="false" ht="14.25" hidden="false" customHeight="false" outlineLevel="0" collapsed="false">
      <c r="B7" s="4" t="n">
        <v>0.311870443287798</v>
      </c>
      <c r="C7" s="25" t="n">
        <v>0.420805970660799</v>
      </c>
    </row>
    <row r="8" customFormat="false" ht="14.25" hidden="false" customHeight="false" outlineLevel="0" collapsed="false">
      <c r="A8" s="0" t="s">
        <v>23</v>
      </c>
      <c r="B8" s="4" t="n">
        <v>0.135806726806593</v>
      </c>
      <c r="C8" s="25" t="n">
        <v>0.220519365945007</v>
      </c>
    </row>
    <row r="9" customFormat="false" ht="14.25" hidden="false" customHeight="false" outlineLevel="0" collapsed="false">
      <c r="B9" s="4" t="n">
        <v>0.179954155396124</v>
      </c>
      <c r="C9" s="25" t="n">
        <v>0.293288436360923</v>
      </c>
    </row>
    <row r="10" customFormat="false" ht="14.25" hidden="false" customHeight="false" outlineLevel="0" collapsed="false">
      <c r="B10" s="4" t="n">
        <v>0.309914237155623</v>
      </c>
      <c r="C10" s="25" t="n">
        <v>0.491606140616201</v>
      </c>
    </row>
    <row r="11" customFormat="false" ht="14.25" hidden="false" customHeight="false" outlineLevel="0" collapsed="false">
      <c r="A11" s="0" t="s">
        <v>24</v>
      </c>
      <c r="B11" s="4" t="n">
        <v>0.138680290254408</v>
      </c>
      <c r="C11" s="25" t="n">
        <v>0.167247284948928</v>
      </c>
    </row>
    <row r="12" customFormat="false" ht="14.25" hidden="false" customHeight="false" outlineLevel="0" collapsed="false">
      <c r="B12" s="4" t="n">
        <v>0.172128911017169</v>
      </c>
      <c r="C12" s="25" t="n">
        <v>0.214040810849146</v>
      </c>
    </row>
    <row r="13" customFormat="false" ht="14.25" hidden="false" customHeight="false" outlineLevel="0" collapsed="false">
      <c r="B13" s="4" t="n">
        <v>0.207832494977418</v>
      </c>
      <c r="C13" s="25" t="n">
        <v>0.263988956472974</v>
      </c>
    </row>
    <row r="14" customFormat="false" ht="14.25" hidden="false" customHeight="false" outlineLevel="0" collapsed="false">
      <c r="B14" s="4" t="n">
        <v>0.243911906137249</v>
      </c>
      <c r="C14" s="25" t="n">
        <v>0.314462872050737</v>
      </c>
    </row>
    <row r="15" customFormat="false" ht="14.25" hidden="false" customHeight="false" outlineLevel="0" collapsed="false">
      <c r="B15" s="4" t="n">
        <v>0.267213192511307</v>
      </c>
      <c r="C15" s="25" t="n">
        <v>0.347060609194709</v>
      </c>
    </row>
    <row r="16" customFormat="false" ht="14.25" hidden="false" customHeight="false" outlineLevel="0" collapsed="false">
      <c r="B16" s="4" t="n">
        <v>0.317198210055656</v>
      </c>
      <c r="C16" s="25" t="n">
        <v>0.416988013068069</v>
      </c>
    </row>
    <row r="17" customFormat="false" ht="14.25" hidden="false" customHeight="false" outlineLevel="0" collapsed="false">
      <c r="B17" s="4" t="n">
        <v>0.320956482051472</v>
      </c>
      <c r="C17" s="25" t="n">
        <v>0.420926463531363</v>
      </c>
    </row>
    <row r="18" customFormat="false" ht="14.25" hidden="false" customHeight="false" outlineLevel="0" collapsed="false">
      <c r="B18" s="4" t="n">
        <v>0.351022658017998</v>
      </c>
      <c r="C18" s="25" t="n">
        <v>0.450992639497889</v>
      </c>
    </row>
    <row r="19" customFormat="false" ht="14.25" hidden="false" customHeight="false" outlineLevel="0" collapsed="false">
      <c r="B19" s="4" t="n">
        <v>0.425809374021921</v>
      </c>
      <c r="C19" s="25" t="n">
        <v>0.525779355501812</v>
      </c>
    </row>
    <row r="20" customFormat="false" ht="14.25" hidden="false" customHeight="false" outlineLevel="0" collapsed="false">
      <c r="B20" s="4" t="n">
        <v>0.425809374021921</v>
      </c>
      <c r="C20" s="25" t="n">
        <v>0.525779355501812</v>
      </c>
    </row>
    <row r="21" customFormat="false" ht="14.25" hidden="false" customHeight="false" outlineLevel="0" collapsed="false">
      <c r="A21" s="0" t="s">
        <v>25</v>
      </c>
      <c r="B21" s="4" t="n">
        <v>0.163338720819284</v>
      </c>
      <c r="C21" s="25" t="n">
        <v>0.206339105936133</v>
      </c>
    </row>
    <row r="22" customFormat="false" ht="14.25" hidden="false" customHeight="false" outlineLevel="0" collapsed="false">
      <c r="B22" s="4" t="n">
        <v>0.193213400157039</v>
      </c>
      <c r="C22" s="25" t="n">
        <v>0.248808894229133</v>
      </c>
    </row>
    <row r="23" customFormat="false" ht="14.25" hidden="false" customHeight="false" outlineLevel="0" collapsed="false">
      <c r="B23" s="4" t="n">
        <v>0.204416404908698</v>
      </c>
      <c r="C23" s="25" t="n">
        <v>0.264735064839007</v>
      </c>
    </row>
    <row r="24" customFormat="false" ht="14.25" hidden="false" customHeight="false" outlineLevel="0" collapsed="false">
      <c r="B24" s="4" t="n">
        <v>0.223088079494795</v>
      </c>
      <c r="C24" s="25" t="n">
        <v>0.291278682522132</v>
      </c>
    </row>
    <row r="25" customFormat="false" ht="14.25" hidden="false" customHeight="false" outlineLevel="0" collapsed="false">
      <c r="B25" s="4" t="n">
        <v>0.249228423915331</v>
      </c>
      <c r="C25" s="25" t="n">
        <v>0.328439747278506</v>
      </c>
    </row>
    <row r="26" customFormat="false" ht="14.25" hidden="false" customHeight="false" outlineLevel="0" collapsed="false">
      <c r="B26" s="4" t="n">
        <v>0.305243447673623</v>
      </c>
      <c r="C26" s="25" t="n">
        <v>0.40807060032788</v>
      </c>
    </row>
    <row r="27" customFormat="false" ht="14.25" hidden="false" customHeight="false" outlineLevel="0" collapsed="false">
      <c r="A27" s="0" t="s">
        <v>26</v>
      </c>
      <c r="B27" s="4" t="n">
        <v>0.0547132573499686</v>
      </c>
      <c r="C27" s="25" t="n">
        <v>0.0614068205895771</v>
      </c>
    </row>
    <row r="28" customFormat="false" ht="14.25" hidden="false" customHeight="false" outlineLevel="0" collapsed="false">
      <c r="B28" s="4" t="n">
        <v>0.107787020276924</v>
      </c>
      <c r="C28" s="25" t="n">
        <v>0.117386667274441</v>
      </c>
    </row>
    <row r="29" customFormat="false" ht="14.25" hidden="false" customHeight="false" outlineLevel="0" collapsed="false">
      <c r="B29" s="4" t="n">
        <v>0.144275232289206</v>
      </c>
      <c r="C29" s="25" t="n">
        <v>0.163620726981609</v>
      </c>
    </row>
    <row r="30" customFormat="false" ht="14.25" hidden="false" customHeight="false" outlineLevel="0" collapsed="false">
      <c r="B30" s="4" t="n">
        <v>0.204646637618618</v>
      </c>
      <c r="C30" s="25" t="n">
        <v>0.240117080315287</v>
      </c>
    </row>
    <row r="31" customFormat="false" ht="14.25" hidden="false" customHeight="false" outlineLevel="0" collapsed="false">
      <c r="B31" s="4" t="n">
        <v>0.292881768484681</v>
      </c>
      <c r="C31" s="25" t="n">
        <v>0.351919442879894</v>
      </c>
    </row>
    <row r="32" customFormat="false" ht="14.25" hidden="false" customHeight="false" outlineLevel="0" collapsed="false">
      <c r="A32" s="0" t="s">
        <v>27</v>
      </c>
      <c r="B32" s="4" t="n">
        <v>0.234277041464278</v>
      </c>
      <c r="C32" s="25" t="n">
        <v>0.306790181347957</v>
      </c>
    </row>
    <row r="33" customFormat="false" ht="14.25" hidden="false" customHeight="false" outlineLevel="0" collapsed="false">
      <c r="B33" s="4" t="n">
        <v>0.354699637155838</v>
      </c>
      <c r="C33" s="25" t="n">
        <v>0.483588349093174</v>
      </c>
    </row>
    <row r="34" customFormat="false" ht="14.25" hidden="false" customHeight="false" outlineLevel="0" collapsed="false">
      <c r="B34" s="4" t="n">
        <v>0.51425077014726</v>
      </c>
      <c r="C34" s="25" t="n">
        <v>0.701452813603441</v>
      </c>
    </row>
    <row r="35" customFormat="false" ht="14.25" hidden="false" customHeight="false" outlineLevel="0" collapsed="false">
      <c r="B35" s="4" t="n">
        <v>0.51425077014726</v>
      </c>
      <c r="C35" s="25" t="n">
        <v>0.701452813603441</v>
      </c>
    </row>
    <row r="36" customFormat="false" ht="14.25" hidden="false" customHeight="false" outlineLevel="0" collapsed="false">
      <c r="B36" s="4" t="n">
        <v>0.51425077014726</v>
      </c>
      <c r="C36" s="25" t="n">
        <v>0.701452813603441</v>
      </c>
    </row>
    <row r="37" customFormat="false" ht="14.25" hidden="false" customHeight="false" outlineLevel="0" collapsed="false">
      <c r="A37" s="0" t="s">
        <v>28</v>
      </c>
      <c r="B37" s="4" t="n">
        <v>0.0521970847573939</v>
      </c>
      <c r="C37" s="25" t="n">
        <v>0.0521970847573939</v>
      </c>
    </row>
    <row r="38" customFormat="false" ht="14.25" hidden="false" customHeight="false" outlineLevel="0" collapsed="false">
      <c r="B38" s="4" t="n">
        <v>0.139663916262374</v>
      </c>
      <c r="C38" s="25" t="n">
        <v>0.140004492446294</v>
      </c>
    </row>
    <row r="39" customFormat="false" ht="14.25" hidden="false" customHeight="false" outlineLevel="0" collapsed="false">
      <c r="B39" s="4" t="n">
        <v>0.227130747767353</v>
      </c>
      <c r="C39" s="25" t="n">
        <v>0.244552011032669</v>
      </c>
    </row>
    <row r="40" customFormat="false" ht="14.25" hidden="false" customHeight="false" outlineLevel="0" collapsed="false">
      <c r="B40" s="4" t="n">
        <v>0.314597579272333</v>
      </c>
      <c r="C40" s="25" t="n">
        <v>0.349099529619044</v>
      </c>
    </row>
    <row r="41" customFormat="false" ht="14.25" hidden="false" customHeight="false" outlineLevel="0" collapsed="false">
      <c r="B41" s="4" t="n">
        <v>0.380197702901068</v>
      </c>
      <c r="C41" s="25" t="n">
        <v>0.427510168558826</v>
      </c>
    </row>
    <row r="42" customFormat="false" ht="14.25" hidden="false" customHeight="false" outlineLevel="0" collapsed="false">
      <c r="B42" s="4" t="n">
        <v>0.456105559431892</v>
      </c>
      <c r="C42" s="25" t="n">
        <v>0.513242014055723</v>
      </c>
    </row>
    <row r="43" customFormat="false" ht="14.25" hidden="false" customHeight="false" outlineLevel="0" collapsed="false">
      <c r="A43" s="0" t="s">
        <v>29</v>
      </c>
      <c r="B43" s="4" t="n">
        <v>0.115038822092364</v>
      </c>
      <c r="C43" s="25" t="n">
        <v>0.128628278366832</v>
      </c>
    </row>
    <row r="44" customFormat="false" ht="14.25" hidden="false" customHeight="false" outlineLevel="0" collapsed="false">
      <c r="B44" s="4" t="n">
        <v>0.171271218190764</v>
      </c>
      <c r="C44" s="25" t="n">
        <v>0.210879559478227</v>
      </c>
    </row>
    <row r="45" customFormat="false" ht="14.25" hidden="false" customHeight="false" outlineLevel="0" collapsed="false">
      <c r="B45" s="4" t="n">
        <v>0.228790629236946</v>
      </c>
      <c r="C45" s="25" t="n">
        <v>0.294316499415245</v>
      </c>
    </row>
    <row r="46" customFormat="false" ht="14.25" hidden="false" customHeight="false" outlineLevel="0" collapsed="false">
      <c r="B46" s="4" t="n">
        <v>0.34382945132931</v>
      </c>
      <c r="C46" s="25" t="n">
        <v>0.461190379289281</v>
      </c>
    </row>
    <row r="47" customFormat="false" ht="14.25" hidden="false" customHeight="false" outlineLevel="0" collapsed="false">
      <c r="B47" s="4" t="n">
        <v>0.502945662568176</v>
      </c>
      <c r="C47" s="25" t="n">
        <v>0.676790910654505</v>
      </c>
    </row>
    <row r="48" customFormat="false" ht="14.25" hidden="false" customHeight="false" outlineLevel="0" collapsed="false">
      <c r="A48" s="0" t="s">
        <v>30</v>
      </c>
      <c r="B48" s="4" t="n">
        <v>0.115038822092364</v>
      </c>
      <c r="C48" s="25" t="n">
        <v>0.128628278366832</v>
      </c>
    </row>
    <row r="49" customFormat="false" ht="14.25" hidden="false" customHeight="false" outlineLevel="0" collapsed="false">
      <c r="B49" s="4" t="n">
        <v>0.228790629236946</v>
      </c>
      <c r="C49" s="25" t="n">
        <v>0.294316499415245</v>
      </c>
    </row>
    <row r="50" customFormat="false" ht="14.25" hidden="false" customHeight="false" outlineLevel="0" collapsed="false">
      <c r="B50" s="4" t="n">
        <v>0.34382945132931</v>
      </c>
      <c r="C50" s="25" t="n">
        <v>0.461190379289281</v>
      </c>
    </row>
    <row r="51" customFormat="false" ht="14.25" hidden="false" customHeight="false" outlineLevel="0" collapsed="false">
      <c r="B51" s="4" t="n">
        <v>0.502945662568176</v>
      </c>
      <c r="C51" s="25" t="n">
        <v>0.676790910654505</v>
      </c>
    </row>
    <row r="52" customFormat="false" ht="14.25" hidden="false" customHeight="false" outlineLevel="0" collapsed="false">
      <c r="A52" s="0" t="s">
        <v>31</v>
      </c>
      <c r="B52" s="4" t="n">
        <v>0.261427701149999</v>
      </c>
      <c r="C52" s="25" t="n">
        <v>0.337329961020365</v>
      </c>
    </row>
    <row r="53" customFormat="false" ht="14.25" hidden="false" customHeight="false" outlineLevel="0" collapsed="false">
      <c r="B53" s="4" t="n">
        <v>0.355221300507252</v>
      </c>
      <c r="C53" s="25" t="n">
        <v>0.512087718894221</v>
      </c>
    </row>
    <row r="54" customFormat="false" ht="14.25" hidden="false" customHeight="false" outlineLevel="0" collapsed="false">
      <c r="A54" s="0" t="s">
        <v>32</v>
      </c>
      <c r="B54" s="4" t="n">
        <v>0.204037001359618</v>
      </c>
      <c r="C54" s="25" t="n">
        <v>0.208248294659241</v>
      </c>
    </row>
    <row r="55" customFormat="false" ht="14.25" hidden="false" customHeight="false" outlineLevel="0" collapsed="false">
      <c r="B55" s="4" t="n">
        <v>0.255046251699522</v>
      </c>
      <c r="C55" s="25" t="n">
        <v>0.325387960405064</v>
      </c>
    </row>
    <row r="56" customFormat="false" ht="14.25" hidden="false" customHeight="false" outlineLevel="0" collapsed="false">
      <c r="B56" s="4" t="n">
        <v>0.341780558598951</v>
      </c>
      <c r="C56" s="25" t="n">
        <v>0.491638007513166</v>
      </c>
    </row>
    <row r="57" customFormat="false" ht="14.25" hidden="false" customHeight="false" outlineLevel="0" collapsed="false">
      <c r="A57" s="0" t="s">
        <v>33</v>
      </c>
      <c r="B57" s="4" t="n">
        <v>0.204037001359618</v>
      </c>
      <c r="C57" s="25" t="n">
        <v>0.208248294659241</v>
      </c>
    </row>
    <row r="58" customFormat="false" ht="14.25" hidden="false" customHeight="false" outlineLevel="0" collapsed="false">
      <c r="B58" s="4" t="n">
        <v>0.255046251699522</v>
      </c>
      <c r="C58" s="25" t="n">
        <v>0.325387960405064</v>
      </c>
    </row>
    <row r="59" customFormat="false" ht="14.25" hidden="false" customHeight="false" outlineLevel="0" collapsed="false">
      <c r="B59" s="4" t="n">
        <v>0.341780558598951</v>
      </c>
      <c r="C59" s="25" t="n">
        <v>0.491638007513166</v>
      </c>
    </row>
    <row r="60" customFormat="false" ht="14.25" hidden="false" customHeight="false" outlineLevel="0" collapsed="false">
      <c r="A60" s="0" t="s">
        <v>34</v>
      </c>
      <c r="B60" s="4" t="n">
        <v>0.15610003267779</v>
      </c>
      <c r="C60" s="25" t="n">
        <v>0.159796607353437</v>
      </c>
    </row>
    <row r="61" customFormat="false" ht="14.25" hidden="false" customHeight="false" outlineLevel="0" collapsed="false">
      <c r="B61" s="4" t="n">
        <v>0.2594615172932</v>
      </c>
      <c r="C61" s="25" t="n">
        <v>0.281880691491014</v>
      </c>
    </row>
    <row r="62" customFormat="false" ht="14.25" hidden="false" customHeight="false" outlineLevel="0" collapsed="false">
      <c r="B62" s="4" t="n">
        <v>0.36282300190861</v>
      </c>
      <c r="C62" s="25" t="n">
        <v>0.403964775628591</v>
      </c>
    </row>
    <row r="63" customFormat="false" ht="14.25" hidden="false" customHeight="false" outlineLevel="0" collapsed="false">
      <c r="B63" s="4" t="n">
        <v>0.43961936124439</v>
      </c>
      <c r="C63" s="25" t="n">
        <v>0.49024229779742</v>
      </c>
    </row>
    <row r="64" customFormat="false" ht="14.25" hidden="false" customHeight="false" outlineLevel="0" collapsed="false">
      <c r="A64" s="0" t="s">
        <v>35</v>
      </c>
      <c r="B64" s="4" t="n">
        <v>0.15610003267779</v>
      </c>
      <c r="C64" s="25" t="n">
        <v>0.159796607353437</v>
      </c>
    </row>
    <row r="65" customFormat="false" ht="14.25" hidden="false" customHeight="false" outlineLevel="0" collapsed="false">
      <c r="B65" s="4" t="n">
        <v>0.2594615172932</v>
      </c>
      <c r="C65" s="25" t="n">
        <v>0.281880691491014</v>
      </c>
    </row>
    <row r="66" customFormat="false" ht="14.25" hidden="false" customHeight="false" outlineLevel="0" collapsed="false">
      <c r="B66" s="4" t="n">
        <v>0.36282300190861</v>
      </c>
      <c r="C66" s="25" t="n">
        <v>0.403964775628591</v>
      </c>
    </row>
    <row r="67" customFormat="false" ht="14.25" hidden="false" customHeight="false" outlineLevel="0" collapsed="false">
      <c r="B67" s="4" t="n">
        <v>0.43961936124439</v>
      </c>
      <c r="C67" s="25" t="n">
        <v>0.49024229779742</v>
      </c>
    </row>
    <row r="68" customFormat="false" ht="14.25" hidden="false" customHeight="false" outlineLevel="0" collapsed="false">
      <c r="A68" s="0" t="s">
        <v>36</v>
      </c>
      <c r="B68" s="4" t="n">
        <v>0.109394577369187</v>
      </c>
      <c r="C68" s="25" t="n">
        <v>0.221639798156612</v>
      </c>
    </row>
    <row r="69" customFormat="false" ht="14.25" hidden="false" customHeight="false" outlineLevel="0" collapsed="false">
      <c r="B69" s="4" t="n">
        <v>0.381502271008165</v>
      </c>
      <c r="C69" s="25" t="n">
        <v>0.443279596313223</v>
      </c>
    </row>
    <row r="70" customFormat="false" ht="14.25" hidden="false" customHeight="false" outlineLevel="0" collapsed="false">
      <c r="A70" s="0" t="s">
        <v>37</v>
      </c>
      <c r="B70" s="4" t="n">
        <v>0.106297702576725</v>
      </c>
      <c r="C70" s="25" t="n">
        <v>0.106297702576725</v>
      </c>
    </row>
    <row r="71" customFormat="false" ht="14.25" hidden="false" customHeight="false" outlineLevel="0" collapsed="false">
      <c r="B71" s="4" t="n">
        <v>0.371327050375408</v>
      </c>
      <c r="C71" s="25" t="n">
        <v>0.400427657972162</v>
      </c>
    </row>
    <row r="72" customFormat="false" ht="14.25" hidden="false" customHeight="false" outlineLevel="0" collapsed="false">
      <c r="A72" s="0" t="s">
        <v>38</v>
      </c>
      <c r="B72" s="4" t="n">
        <v>0.106297702576725</v>
      </c>
      <c r="C72" s="25" t="n">
        <v>0.106297702576725</v>
      </c>
    </row>
    <row r="73" customFormat="false" ht="14.25" hidden="false" customHeight="false" outlineLevel="0" collapsed="false">
      <c r="B73" s="4" t="n">
        <v>0.371327050375408</v>
      </c>
      <c r="C73" s="25" t="n">
        <v>0.400427657972162</v>
      </c>
    </row>
    <row r="74" customFormat="false" ht="14.25" hidden="false" customHeight="false" outlineLevel="0" collapsed="false">
      <c r="A74" s="0" t="s">
        <v>39</v>
      </c>
      <c r="B74" s="4" t="n">
        <v>0.123662143998871</v>
      </c>
      <c r="C74" s="25" t="n">
        <v>0.145762856227899</v>
      </c>
    </row>
    <row r="75" customFormat="false" ht="14.25" hidden="false" customHeight="false" outlineLevel="0" collapsed="false">
      <c r="B75" s="4" t="n">
        <v>0.153702296183471</v>
      </c>
      <c r="C75" s="25" t="n">
        <v>0.185946383216879</v>
      </c>
    </row>
    <row r="76" customFormat="false" ht="14.25" hidden="false" customHeight="false" outlineLevel="0" collapsed="false">
      <c r="A76" s="0" t="s">
        <v>40</v>
      </c>
      <c r="B76" s="4" t="n">
        <v>0.122571018889015</v>
      </c>
      <c r="C76" s="25" t="n">
        <v>0.138787693801932</v>
      </c>
    </row>
    <row r="77" customFormat="false" ht="14.25" hidden="false" customHeight="false" outlineLevel="0" collapsed="false">
      <c r="B77" s="4" t="n">
        <v>0.146576579413367</v>
      </c>
      <c r="C77" s="25" t="n">
        <v>0.169174129740279</v>
      </c>
    </row>
    <row r="78" customFormat="false" ht="14.25" hidden="false" customHeight="false" outlineLevel="0" collapsed="false">
      <c r="B78" s="4" t="n">
        <v>0.180648987899544</v>
      </c>
      <c r="C78" s="25" t="n">
        <v>0.212303264620514</v>
      </c>
    </row>
    <row r="79" customFormat="false" ht="14.25" hidden="false" customHeight="false" outlineLevel="0" collapsed="false">
      <c r="A79" s="0" t="s">
        <v>41</v>
      </c>
      <c r="B79" s="4" t="n">
        <v>0.111252068275181</v>
      </c>
      <c r="C79" s="25" t="n">
        <v>0.120074193627518</v>
      </c>
    </row>
    <row r="80" customFormat="false" ht="14.25" hidden="false" customHeight="false" outlineLevel="0" collapsed="false">
      <c r="B80" s="4" t="n">
        <v>0.153759462873372</v>
      </c>
      <c r="C80" s="25" t="n">
        <v>0.170566204026832</v>
      </c>
    </row>
    <row r="81" customFormat="false" ht="14.25" hidden="false" customHeight="false" outlineLevel="0" collapsed="false">
      <c r="A81" s="0" t="s">
        <v>42</v>
      </c>
      <c r="B81" s="4" t="n">
        <v>0.122061551131185</v>
      </c>
      <c r="C81" s="25" t="n">
        <v>0.122061551131185</v>
      </c>
    </row>
    <row r="82" customFormat="false" ht="14.25" hidden="false" customHeight="false" outlineLevel="0" collapsed="false">
      <c r="B82" s="4" t="n">
        <v>0.139515994290002</v>
      </c>
      <c r="C82" s="25" t="n">
        <v>0.155480388068208</v>
      </c>
    </row>
    <row r="83" customFormat="false" ht="14.25" hidden="false" customHeight="false" outlineLevel="0" collapsed="false">
      <c r="B83" s="4" t="n">
        <v>0.15697043744882</v>
      </c>
      <c r="C83" s="25" t="n">
        <v>0.196817339105875</v>
      </c>
    </row>
    <row r="84" customFormat="false" ht="14.25" hidden="false" customHeight="false" outlineLevel="0" collapsed="false">
      <c r="B84" s="4" t="n">
        <v>0.174394992862503</v>
      </c>
      <c r="C84" s="25" t="n">
        <v>0.242938106356575</v>
      </c>
    </row>
    <row r="85" customFormat="false" ht="14.25" hidden="false" customHeight="false" outlineLevel="0" collapsed="false">
      <c r="B85" s="4" t="n">
        <v>0.197116438963645</v>
      </c>
      <c r="C85" s="25" t="n">
        <v>0.29732680364536</v>
      </c>
    </row>
    <row r="86" customFormat="false" ht="14.25" hidden="false" customHeight="false" outlineLevel="0" collapsed="false">
      <c r="B86" s="4" t="n">
        <v>0.240752546860689</v>
      </c>
      <c r="C86" s="25" t="n">
        <v>0.367214580763309</v>
      </c>
    </row>
    <row r="87" customFormat="false" ht="14.25" hidden="false" customHeight="false" outlineLevel="0" collapsed="false">
      <c r="B87" s="4" t="n">
        <v>0.284388654757733</v>
      </c>
      <c r="C87" s="25" t="n">
        <v>0.437102357881258</v>
      </c>
    </row>
    <row r="88" customFormat="false" ht="14.25" hidden="false" customHeight="false" outlineLevel="0" collapsed="false">
      <c r="B88" s="4" t="n">
        <v>0.327875323929103</v>
      </c>
      <c r="C88" s="25" t="n">
        <v>0.506750793296748</v>
      </c>
    </row>
    <row r="89" customFormat="false" ht="14.25" hidden="false" customHeight="false" outlineLevel="0" collapsed="false">
      <c r="A89" s="0" t="s">
        <v>43</v>
      </c>
      <c r="B89" s="4" t="n">
        <v>0.139515994290002</v>
      </c>
      <c r="C89" s="25" t="n">
        <v>0.155480388068208</v>
      </c>
    </row>
    <row r="90" customFormat="false" ht="14.25" hidden="false" customHeight="false" outlineLevel="0" collapsed="false">
      <c r="B90" s="4" t="n">
        <v>0.15697043744882</v>
      </c>
      <c r="C90" s="25" t="n">
        <v>0.196817339105875</v>
      </c>
    </row>
    <row r="91" customFormat="false" ht="14.25" hidden="false" customHeight="false" outlineLevel="0" collapsed="false">
      <c r="B91" s="4" t="n">
        <v>0.174394992862503</v>
      </c>
      <c r="C91" s="25" t="n">
        <v>0.242938106356575</v>
      </c>
    </row>
    <row r="92" customFormat="false" ht="14.25" hidden="false" customHeight="false" outlineLevel="0" collapsed="false">
      <c r="B92" s="4" t="n">
        <v>0.197116438963645</v>
      </c>
      <c r="C92" s="25" t="n">
        <v>0.29732680364536</v>
      </c>
    </row>
    <row r="93" customFormat="false" ht="14.25" hidden="false" customHeight="false" outlineLevel="0" collapsed="false">
      <c r="B93" s="4" t="n">
        <v>0.240752546860689</v>
      </c>
      <c r="C93" s="25" t="n">
        <v>0.367214580763309</v>
      </c>
    </row>
    <row r="94" customFormat="false" ht="14.25" hidden="false" customHeight="false" outlineLevel="0" collapsed="false">
      <c r="B94" s="4" t="n">
        <v>0.284388654757733</v>
      </c>
      <c r="C94" s="25" t="n">
        <v>0.437102357881258</v>
      </c>
    </row>
    <row r="95" customFormat="false" ht="14.25" hidden="false" customHeight="false" outlineLevel="0" collapsed="false">
      <c r="B95" s="4" t="n">
        <v>0.327875323929103</v>
      </c>
      <c r="C95" s="25" t="n">
        <v>0.506750793296748</v>
      </c>
    </row>
    <row r="96" customFormat="false" ht="14.25" hidden="false" customHeight="false" outlineLevel="0" collapsed="false">
      <c r="A96" s="0" t="s">
        <v>44</v>
      </c>
      <c r="B96" s="4" t="n">
        <v>0.09927475204534</v>
      </c>
      <c r="C96" s="25" t="n">
        <v>0.110634462033796</v>
      </c>
    </row>
    <row r="97" customFormat="false" ht="14.25" hidden="false" customHeight="false" outlineLevel="0" collapsed="false">
      <c r="B97" s="4" t="n">
        <v>0.116178589995917</v>
      </c>
      <c r="C97" s="25" t="n">
        <v>0.143773448066767</v>
      </c>
    </row>
    <row r="98" customFormat="false" ht="14.25" hidden="false" customHeight="false" outlineLevel="0" collapsed="false">
      <c r="B98" s="4" t="n">
        <v>0.147175366154032</v>
      </c>
      <c r="C98" s="25" t="n">
        <v>0.189900289444197</v>
      </c>
    </row>
    <row r="99" customFormat="false" ht="14.25" hidden="false" customHeight="false" outlineLevel="0" collapsed="false">
      <c r="B99" s="4" t="n">
        <v>0.178172142312148</v>
      </c>
      <c r="C99" s="25" t="n">
        <v>0.236027130821627</v>
      </c>
    </row>
    <row r="100" customFormat="false" ht="14.25" hidden="false" customHeight="false" outlineLevel="0" collapsed="false">
      <c r="B100" s="4" t="n">
        <v>0.20922208618237</v>
      </c>
      <c r="C100" s="25" t="n">
        <v>0.282233091995588</v>
      </c>
    </row>
    <row r="101" customFormat="false" ht="14.25" hidden="false" customHeight="false" outlineLevel="0" collapsed="false">
      <c r="B101" s="4" t="n">
        <v>0.240272030052592</v>
      </c>
      <c r="C101" s="25" t="n">
        <v>0.328439053169549</v>
      </c>
    </row>
    <row r="102" customFormat="false" ht="14.25" hidden="false" customHeight="false" outlineLevel="0" collapsed="false">
      <c r="B102" s="4" t="n">
        <v>0.271215638498601</v>
      </c>
      <c r="C102" s="25" t="n">
        <v>0.374486774750448</v>
      </c>
    </row>
    <row r="103" customFormat="false" ht="14.25" hidden="false" customHeight="false" outlineLevel="0" collapsed="false">
      <c r="A103" s="0" t="s">
        <v>45</v>
      </c>
      <c r="B103" s="4" t="n">
        <v>0.0868547744972512</v>
      </c>
      <c r="C103" s="25" t="n">
        <v>0.0868547744972512</v>
      </c>
    </row>
    <row r="104" customFormat="false" ht="14.25" hidden="false" customHeight="false" outlineLevel="0" collapsed="false">
      <c r="B104" s="4" t="n">
        <v>0.09927475204534</v>
      </c>
      <c r="C104" s="25" t="n">
        <v>0.110634462033796</v>
      </c>
    </row>
    <row r="105" customFormat="false" ht="14.25" hidden="false" customHeight="false" outlineLevel="0" collapsed="false">
      <c r="B105" s="4" t="n">
        <v>0.116178589995917</v>
      </c>
      <c r="C105" s="25" t="n">
        <v>0.143773448066767</v>
      </c>
    </row>
    <row r="106" customFormat="false" ht="14.25" hidden="false" customHeight="false" outlineLevel="0" collapsed="false">
      <c r="B106" s="4" t="n">
        <v>0.147175366154032</v>
      </c>
      <c r="C106" s="25" t="n">
        <v>0.189900289444197</v>
      </c>
    </row>
    <row r="107" customFormat="false" ht="14.25" hidden="false" customHeight="false" outlineLevel="0" collapsed="false">
      <c r="B107" s="4" t="n">
        <v>0.178172142312148</v>
      </c>
      <c r="C107" s="25" t="n">
        <v>0.236027130821627</v>
      </c>
    </row>
    <row r="108" customFormat="false" ht="14.25" hidden="false" customHeight="false" outlineLevel="0" collapsed="false">
      <c r="B108" s="4" t="n">
        <v>0.20922208618237</v>
      </c>
      <c r="C108" s="25" t="n">
        <v>0.282233091995588</v>
      </c>
    </row>
    <row r="109" customFormat="false" ht="14.25" hidden="false" customHeight="false" outlineLevel="0" collapsed="false">
      <c r="B109" s="4" t="n">
        <v>0.240272030052592</v>
      </c>
      <c r="C109" s="25" t="n">
        <v>0.328439053169549</v>
      </c>
    </row>
    <row r="110" customFormat="false" ht="14.25" hidden="false" customHeight="false" outlineLevel="0" collapsed="false">
      <c r="B110" s="4" t="n">
        <v>0.271215638498601</v>
      </c>
      <c r="C110" s="25" t="n">
        <v>0.374486774750448</v>
      </c>
    </row>
    <row r="111" customFormat="false" ht="14.25" hidden="false" customHeight="false" outlineLevel="0" collapsed="false">
      <c r="A111" s="0" t="s">
        <v>46</v>
      </c>
      <c r="B111" s="4" t="n">
        <v>0.122267343570241</v>
      </c>
      <c r="C111" s="25" t="n">
        <v>0.137972481933548</v>
      </c>
    </row>
    <row r="112" customFormat="false" ht="14.25" hidden="false" customHeight="false" outlineLevel="0" collapsed="false">
      <c r="B112" s="4" t="n">
        <v>0.139582863940406</v>
      </c>
      <c r="C112" s="25" t="n">
        <v>0.1617829956565</v>
      </c>
    </row>
    <row r="113" customFormat="false" ht="14.25" hidden="false" customHeight="false" outlineLevel="0" collapsed="false">
      <c r="B113" s="4" t="n">
        <v>0.156957887816998</v>
      </c>
      <c r="C113" s="25" t="n">
        <v>0.185675332450664</v>
      </c>
    </row>
    <row r="114" customFormat="false" ht="14.25" hidden="false" customHeight="false" outlineLevel="0" collapsed="false">
      <c r="B114" s="4" t="n">
        <v>0.17433291169359</v>
      </c>
      <c r="C114" s="25" t="n">
        <v>0.209567669244829</v>
      </c>
    </row>
    <row r="115" customFormat="false" ht="14.25" hidden="false" customHeight="false" outlineLevel="0" collapsed="false">
      <c r="B115" s="4" t="n">
        <v>0.191707935570181</v>
      </c>
      <c r="C115" s="25" t="n">
        <v>0.233460006038994</v>
      </c>
    </row>
    <row r="116" customFormat="false" ht="14.25" hidden="false" customHeight="false" outlineLevel="0" collapsed="false">
      <c r="A116" s="0" t="s">
        <v>47</v>
      </c>
      <c r="B116" s="4" t="n">
        <v>0.139582863940406</v>
      </c>
      <c r="C116" s="25" t="n">
        <v>0.1617829956565</v>
      </c>
    </row>
    <row r="117" customFormat="false" ht="14.25" hidden="false" customHeight="false" outlineLevel="0" collapsed="false">
      <c r="B117" s="4" t="n">
        <v>0.156957887816998</v>
      </c>
      <c r="C117" s="25" t="n">
        <v>0.185675332450664</v>
      </c>
    </row>
    <row r="118" customFormat="false" ht="14.25" hidden="false" customHeight="false" outlineLevel="0" collapsed="false">
      <c r="B118" s="4" t="n">
        <v>0.17433291169359</v>
      </c>
      <c r="C118" s="25" t="n">
        <v>0.209567669244829</v>
      </c>
    </row>
    <row r="119" customFormat="false" ht="14.25" hidden="false" customHeight="false" outlineLevel="0" collapsed="false">
      <c r="B119" s="4" t="n">
        <v>0.191707935570181</v>
      </c>
      <c r="C119" s="25" t="n">
        <v>0.233460006038994</v>
      </c>
    </row>
    <row r="120" customFormat="false" ht="14.25" hidden="false" customHeight="false" outlineLevel="0" collapsed="false">
      <c r="A120" s="0" t="s">
        <v>48</v>
      </c>
      <c r="B120" s="4" t="n">
        <v>0.0721486096686359</v>
      </c>
      <c r="C120" s="25" t="n">
        <v>0.0721486096686359</v>
      </c>
    </row>
    <row r="121" customFormat="false" ht="14.25" hidden="false" customHeight="false" outlineLevel="0" collapsed="false">
      <c r="B121" s="4" t="n">
        <v>0.0991850265680176</v>
      </c>
      <c r="C121" s="25" t="n">
        <v>0.126495367577407</v>
      </c>
    </row>
    <row r="122" customFormat="false" ht="14.25" hidden="false" customHeight="false" outlineLevel="0" collapsed="false">
      <c r="B122" s="4" t="n">
        <v>0.12948602837324</v>
      </c>
      <c r="C122" s="25" t="n">
        <v>0.206764713452553</v>
      </c>
    </row>
    <row r="123" customFormat="false" ht="14.25" hidden="false" customHeight="false" outlineLevel="0" collapsed="false">
      <c r="A123" s="0" t="s">
        <v>49</v>
      </c>
      <c r="B123" s="4" t="n">
        <v>0.0991850265680176</v>
      </c>
      <c r="C123" s="25" t="n">
        <v>0.126495367577407</v>
      </c>
    </row>
    <row r="124" customFormat="false" ht="14.25" hidden="false" customHeight="false" outlineLevel="0" collapsed="false">
      <c r="B124" s="4" t="n">
        <v>0.12948602837324</v>
      </c>
      <c r="C124" s="25" t="n">
        <v>0.206764713452553</v>
      </c>
    </row>
    <row r="125" customFormat="false" ht="14.25" hidden="false" customHeight="false" outlineLevel="0" collapsed="false">
      <c r="A125" s="0" t="s">
        <v>50</v>
      </c>
      <c r="B125" s="4" t="n">
        <v>0.0861475657176162</v>
      </c>
      <c r="C125" s="25" t="n">
        <v>0.09465062146128</v>
      </c>
    </row>
    <row r="126" customFormat="false" ht="14.25" hidden="false" customHeight="false" outlineLevel="0" collapsed="false">
      <c r="B126" s="4" t="n">
        <v>0.104600226673042</v>
      </c>
      <c r="C126" s="25" t="n">
        <v>0.139541279568162</v>
      </c>
    </row>
    <row r="127" customFormat="false" ht="14.25" hidden="false" customHeight="false" outlineLevel="0" collapsed="false">
      <c r="B127" s="4" t="n">
        <v>0.123052887628468</v>
      </c>
      <c r="C127" s="25" t="n">
        <v>0.193117250188814</v>
      </c>
    </row>
    <row r="128" customFormat="false" ht="14.25" hidden="false" customHeight="false" outlineLevel="0" collapsed="false">
      <c r="A128" s="0" t="s">
        <v>51</v>
      </c>
      <c r="B128" s="4" t="n">
        <v>0.0861475657176162</v>
      </c>
      <c r="C128" s="25" t="n">
        <v>0.09465062146128</v>
      </c>
    </row>
    <row r="129" customFormat="false" ht="14.25" hidden="false" customHeight="false" outlineLevel="0" collapsed="false">
      <c r="B129" s="4" t="n">
        <v>0.104600226673042</v>
      </c>
      <c r="C129" s="25" t="n">
        <v>0.139541279568162</v>
      </c>
    </row>
    <row r="130" customFormat="false" ht="14.25" hidden="false" customHeight="false" outlineLevel="0" collapsed="false">
      <c r="B130" s="4" t="n">
        <v>0.123052887628468</v>
      </c>
      <c r="C130" s="25" t="n">
        <v>0.193117250188814</v>
      </c>
    </row>
    <row r="131" customFormat="false" ht="14.25" hidden="false" customHeight="false" outlineLevel="0" collapsed="false">
      <c r="A131" s="0" t="s">
        <v>52</v>
      </c>
      <c r="B131" s="4" t="n">
        <v>0.0923849935957769</v>
      </c>
      <c r="C131" s="25" t="n">
        <v>0.110097139750237</v>
      </c>
    </row>
    <row r="132" customFormat="false" ht="14.25" hidden="false" customHeight="false" outlineLevel="0" collapsed="false">
      <c r="B132" s="4" t="n">
        <v>0.106238784409197</v>
      </c>
      <c r="C132" s="25" t="n">
        <v>0.145592618189255</v>
      </c>
    </row>
    <row r="133" customFormat="false" ht="14.25" hidden="false" customHeight="false" outlineLevel="0" collapsed="false">
      <c r="B133" s="4" t="n">
        <v>0.120092575222617</v>
      </c>
      <c r="C133" s="25" t="n">
        <v>0.186039638060579</v>
      </c>
    </row>
    <row r="134" customFormat="false" ht="14.25" hidden="false" customHeight="false" outlineLevel="0" collapsed="false">
      <c r="A134" s="0" t="s">
        <v>53</v>
      </c>
      <c r="B134" s="4" t="n">
        <v>0.0923849935957769</v>
      </c>
      <c r="C134" s="25" t="n">
        <v>0.110097139750237</v>
      </c>
    </row>
    <row r="135" customFormat="false" ht="14.25" hidden="false" customHeight="false" outlineLevel="0" collapsed="false">
      <c r="B135" s="4" t="n">
        <v>0.106238784409197</v>
      </c>
      <c r="C135" s="25" t="n">
        <v>0.145592618189255</v>
      </c>
    </row>
    <row r="136" customFormat="false" ht="14.25" hidden="false" customHeight="false" outlineLevel="0" collapsed="false">
      <c r="B136" s="4" t="n">
        <v>0.120092575222617</v>
      </c>
      <c r="C136" s="25" t="n">
        <v>0.186039638060579</v>
      </c>
    </row>
    <row r="137" customFormat="false" ht="14.25" hidden="false" customHeight="false" outlineLevel="0" collapsed="false">
      <c r="A137" s="0" t="s">
        <v>54</v>
      </c>
      <c r="B137" s="4" t="n">
        <v>0.162851279564335</v>
      </c>
      <c r="C137" s="25" t="n">
        <v>0.209770022133912</v>
      </c>
    </row>
    <row r="138" customFormat="false" ht="14.25" hidden="false" customHeight="false" outlineLevel="0" collapsed="false">
      <c r="B138" s="4" t="n">
        <v>0.17476722684953</v>
      </c>
      <c r="C138" s="25" t="n">
        <v>0.24159117361764</v>
      </c>
    </row>
    <row r="139" customFormat="false" ht="14.25" hidden="false" customHeight="false" outlineLevel="0" collapsed="false">
      <c r="B139" s="4" t="n">
        <v>0.188271967106085</v>
      </c>
      <c r="C139" s="25" t="n">
        <v>0.280370550225811</v>
      </c>
    </row>
    <row r="140" customFormat="false" ht="14.25" hidden="false" customHeight="false" outlineLevel="0" collapsed="false">
      <c r="B140" s="4" t="n">
        <v>0.20018791439128</v>
      </c>
      <c r="C140" s="25" t="n">
        <v>0.316983592756501</v>
      </c>
    </row>
    <row r="141" customFormat="false" ht="14.25" hidden="false" customHeight="false" outlineLevel="0" collapsed="false">
      <c r="B141" s="4" t="n">
        <v>0.213727605740981</v>
      </c>
      <c r="C141" s="25" t="n">
        <v>0.361212647008122</v>
      </c>
    </row>
    <row r="142" customFormat="false" ht="14.25" hidden="false" customHeight="false" outlineLevel="0" collapsed="false">
      <c r="B142" s="4" t="n">
        <v>0.243517473953969</v>
      </c>
      <c r="C142" s="25" t="n">
        <v>0.411141236142275</v>
      </c>
    </row>
    <row r="143" customFormat="false" ht="14.25" hidden="false" customHeight="false" outlineLevel="0" collapsed="false">
      <c r="B143" s="4" t="n">
        <v>0.279265315809555</v>
      </c>
      <c r="C143" s="25" t="n">
        <v>0.471055543103258</v>
      </c>
    </row>
    <row r="144" customFormat="false" ht="14.25" hidden="false" customHeight="false" outlineLevel="0" collapsed="false">
      <c r="A144" s="0" t="s">
        <v>55</v>
      </c>
      <c r="B144" s="4" t="n">
        <v>0.14934653930778</v>
      </c>
      <c r="C144" s="25" t="n">
        <v>0.176421455378964</v>
      </c>
    </row>
    <row r="145" customFormat="false" ht="14.25" hidden="false" customHeight="false" outlineLevel="0" collapsed="false">
      <c r="B145" s="4" t="n">
        <v>0.162851279564335</v>
      </c>
      <c r="C145" s="25" t="n">
        <v>0.209770022133912</v>
      </c>
    </row>
    <row r="146" customFormat="false" ht="14.25" hidden="false" customHeight="false" outlineLevel="0" collapsed="false">
      <c r="B146" s="4" t="n">
        <v>0.17556162333521</v>
      </c>
      <c r="C146" s="25" t="n">
        <v>0.243792448567338</v>
      </c>
    </row>
    <row r="147" customFormat="false" ht="14.25" hidden="false" customHeight="false" outlineLevel="0" collapsed="false">
      <c r="B147" s="4" t="n">
        <v>0.187080372377565</v>
      </c>
      <c r="C147" s="25" t="n">
        <v>0.276832786913796</v>
      </c>
    </row>
    <row r="148" customFormat="false" ht="14.25" hidden="false" customHeight="false" outlineLevel="0" collapsed="false">
      <c r="B148" s="4" t="n">
        <v>0.20018791439128</v>
      </c>
      <c r="C148" s="25" t="n">
        <v>0.316983592756501</v>
      </c>
    </row>
    <row r="149" customFormat="false" ht="14.25" hidden="false" customHeight="false" outlineLevel="0" collapsed="false">
      <c r="B149" s="4" t="n">
        <v>0.213295456404995</v>
      </c>
      <c r="C149" s="25" t="n">
        <v>0.359852299302404</v>
      </c>
    </row>
    <row r="150" customFormat="false" ht="14.25" hidden="false" customHeight="false" outlineLevel="0" collapsed="false">
      <c r="B150" s="4" t="n">
        <v>0.24053848713267</v>
      </c>
      <c r="C150" s="25" t="n">
        <v>0.40614837722886</v>
      </c>
    </row>
    <row r="151" customFormat="false" ht="14.25" hidden="false" customHeight="false" outlineLevel="0" collapsed="false">
      <c r="B151" s="4" t="n">
        <v>0.267349368524359</v>
      </c>
      <c r="C151" s="25" t="n">
        <v>0.451084107449597</v>
      </c>
    </row>
    <row r="152" customFormat="false" ht="14.25" hidden="false" customHeight="false" outlineLevel="0" collapsed="false">
      <c r="A152" s="0" t="s">
        <v>56</v>
      </c>
      <c r="B152" s="4" t="n">
        <v>0.124480015931012</v>
      </c>
      <c r="C152" s="25" t="n">
        <v>0.124480015931012</v>
      </c>
    </row>
    <row r="153" customFormat="false" ht="14.25" hidden="false" customHeight="false" outlineLevel="0" collapsed="false">
      <c r="B153" s="4" t="n">
        <v>0.163191479752936</v>
      </c>
      <c r="C153" s="25" t="n">
        <v>0.172715750643829</v>
      </c>
    </row>
    <row r="154" customFormat="false" ht="14.25" hidden="false" customHeight="false" outlineLevel="0" collapsed="false">
      <c r="B154" s="4" t="n">
        <v>0.200660864521749</v>
      </c>
      <c r="C154" s="25" t="n">
        <v>0.221300621200698</v>
      </c>
    </row>
    <row r="155" customFormat="false" ht="14.25" hidden="false" customHeight="false" outlineLevel="0" collapsed="false">
      <c r="B155" s="4" t="n">
        <v>0.237923236115045</v>
      </c>
      <c r="C155" s="25" t="n">
        <v>0.269617067058357</v>
      </c>
    </row>
    <row r="156" customFormat="false" ht="14.25" hidden="false" customHeight="false" outlineLevel="0" collapsed="false">
      <c r="B156" s="4" t="n">
        <v>0.274771581357304</v>
      </c>
      <c r="C156" s="25" t="n">
        <v>0.317396663517598</v>
      </c>
    </row>
    <row r="157" customFormat="false" ht="14.25" hidden="false" customHeight="false" outlineLevel="0" collapsed="false">
      <c r="B157" s="4" t="n">
        <v>0.312654992477154</v>
      </c>
      <c r="C157" s="25" t="n">
        <v>0.366518383472885</v>
      </c>
    </row>
    <row r="158" customFormat="false" ht="14.25" hidden="false" customHeight="false" outlineLevel="0" collapsed="false">
      <c r="A158" s="0" t="s">
        <v>57</v>
      </c>
      <c r="B158" s="4" t="n">
        <v>0.0884597233908265</v>
      </c>
      <c r="C158" s="25" t="n">
        <v>0.0884597233908265</v>
      </c>
    </row>
    <row r="159" customFormat="false" ht="14.25" hidden="false" customHeight="false" outlineLevel="0" collapsed="false">
      <c r="B159" s="4" t="n">
        <v>0.125101055457567</v>
      </c>
      <c r="C159" s="25" t="n">
        <v>0.125101055457567</v>
      </c>
    </row>
    <row r="160" customFormat="false" ht="14.25" hidden="false" customHeight="false" outlineLevel="0" collapsed="false">
      <c r="B160" s="4" t="n">
        <v>0.162570440226381</v>
      </c>
      <c r="C160" s="25" t="n">
        <v>0.171910476546201</v>
      </c>
    </row>
    <row r="161" customFormat="false" ht="14.25" hidden="false" customHeight="false" outlineLevel="0" collapsed="false">
      <c r="B161" s="4" t="n">
        <v>0.199625798644158</v>
      </c>
      <c r="C161" s="25" t="n">
        <v>0.219958497704651</v>
      </c>
    </row>
    <row r="162" customFormat="false" ht="14.25" hidden="false" customHeight="false" outlineLevel="0" collapsed="false">
      <c r="B162" s="4" t="n">
        <v>0.238130249290563</v>
      </c>
      <c r="C162" s="25" t="n">
        <v>0.269885491757566</v>
      </c>
    </row>
    <row r="163" customFormat="false" ht="14.25" hidden="false" customHeight="false" outlineLevel="0" collapsed="false">
      <c r="B163" s="4" t="n">
        <v>0.274771581357304</v>
      </c>
      <c r="C163" s="25" t="n">
        <v>0.317396663517598</v>
      </c>
    </row>
    <row r="164" customFormat="false" ht="14.25" hidden="false" customHeight="false" outlineLevel="0" collapsed="false">
      <c r="B164" s="4" t="n">
        <v>0.292574714451878</v>
      </c>
      <c r="C164" s="25" t="n">
        <v>0.340481187649591</v>
      </c>
    </row>
    <row r="165" customFormat="false" ht="14.25" hidden="false" customHeight="false" outlineLevel="0" collapsed="false">
      <c r="A165" s="0" t="s">
        <v>58</v>
      </c>
      <c r="B165" s="4" t="n">
        <v>0.188618412612428</v>
      </c>
      <c r="C165" s="25" t="n">
        <v>0.275013325800104</v>
      </c>
    </row>
    <row r="166" customFormat="false" ht="14.25" hidden="false" customHeight="false" outlineLevel="0" collapsed="false">
      <c r="B166" s="4" t="n">
        <v>0.20076122887503</v>
      </c>
      <c r="C166" s="25" t="n">
        <v>0.311562555766538</v>
      </c>
    </row>
    <row r="167" customFormat="false" ht="14.25" hidden="false" customHeight="false" outlineLevel="0" collapsed="false">
      <c r="B167" s="4" t="n">
        <v>0.203189792127551</v>
      </c>
      <c r="C167" s="25" t="n">
        <v>0.319145951090135</v>
      </c>
    </row>
    <row r="168" customFormat="false" ht="14.25" hidden="false" customHeight="false" outlineLevel="0" collapsed="false">
      <c r="B168" s="4" t="n">
        <v>0.213443725860415</v>
      </c>
      <c r="C168" s="25" t="n">
        <v>0.352169996991277</v>
      </c>
    </row>
    <row r="169" customFormat="false" ht="14.25" hidden="false" customHeight="false" outlineLevel="0" collapsed="false">
      <c r="B169" s="4" t="n">
        <v>0.223197905782135</v>
      </c>
      <c r="C169" s="25" t="n">
        <v>0.377154812503042</v>
      </c>
    </row>
    <row r="170" customFormat="false" ht="14.25" hidden="false" customHeight="false" outlineLevel="0" collapsed="false">
      <c r="B170" s="4" t="n">
        <v>0.242761331982995</v>
      </c>
      <c r="C170" s="25" t="n">
        <v>0.409943620491564</v>
      </c>
    </row>
    <row r="171" customFormat="false" ht="14.25" hidden="false" customHeight="false" outlineLevel="0" collapsed="false">
      <c r="B171" s="4" t="n">
        <v>0.260300955473421</v>
      </c>
      <c r="C171" s="25" t="n">
        <v>0.4393404828261</v>
      </c>
    </row>
    <row r="172" customFormat="false" ht="14.25" hidden="false" customHeight="false" outlineLevel="0" collapsed="false">
      <c r="B172" s="4" t="n">
        <v>0.281213583481237</v>
      </c>
      <c r="C172" s="25" t="n">
        <v>0.474390587917279</v>
      </c>
    </row>
    <row r="173" customFormat="false" ht="14.25" hidden="false" customHeight="false" outlineLevel="0" collapsed="false">
      <c r="A173" s="0" t="s">
        <v>59</v>
      </c>
      <c r="B173" s="4" t="n">
        <v>0.187808891528254</v>
      </c>
      <c r="C173" s="25" t="n">
        <v>0.272657762122433</v>
      </c>
    </row>
    <row r="174" customFormat="false" ht="14.25" hidden="false" customHeight="false" outlineLevel="0" collapsed="false">
      <c r="B174" s="4" t="n">
        <v>0.195904102369989</v>
      </c>
      <c r="C174" s="25" t="n">
        <v>0.296669314449654</v>
      </c>
    </row>
    <row r="175" customFormat="false" ht="14.25" hidden="false" customHeight="false" outlineLevel="0" collapsed="false">
      <c r="B175" s="4" t="n">
        <v>0.203459632488942</v>
      </c>
      <c r="C175" s="25" t="n">
        <v>0.319994179157578</v>
      </c>
    </row>
    <row r="176" customFormat="false" ht="14.25" hidden="false" customHeight="false" outlineLevel="0" collapsed="false">
      <c r="B176" s="4" t="n">
        <v>0.211285002969286</v>
      </c>
      <c r="C176" s="25" t="n">
        <v>0.345082480186205</v>
      </c>
    </row>
    <row r="177" customFormat="false" ht="14.25" hidden="false" customHeight="false" outlineLevel="0" collapsed="false">
      <c r="B177" s="4" t="n">
        <v>0.221174103071702</v>
      </c>
      <c r="C177" s="25" t="n">
        <v>0.373762866849057</v>
      </c>
    </row>
    <row r="178" customFormat="false" ht="14.25" hidden="false" customHeight="false" outlineLevel="0" collapsed="false">
      <c r="B178" s="4" t="n">
        <v>0.242761331982995</v>
      </c>
      <c r="C178" s="25" t="n">
        <v>0.409943620491564</v>
      </c>
    </row>
    <row r="179" customFormat="false" ht="14.25" hidden="false" customHeight="false" outlineLevel="0" collapsed="false">
      <c r="B179" s="4" t="n">
        <v>0.262324758183855</v>
      </c>
      <c r="C179" s="25" t="n">
        <v>0.442732428480085</v>
      </c>
    </row>
    <row r="180" customFormat="false" ht="14.25" hidden="false" customHeight="false" outlineLevel="0" collapsed="false">
      <c r="B180" s="4" t="n">
        <v>0.279864381674281</v>
      </c>
      <c r="C180" s="25" t="n">
        <v>0.472129290814622</v>
      </c>
    </row>
    <row r="181" customFormat="false" ht="14.25" hidden="false" customHeight="false" outlineLevel="0" collapsed="false">
      <c r="A181" s="0" t="s">
        <v>60</v>
      </c>
      <c r="B181" s="4" t="n">
        <v>0.196713623454163</v>
      </c>
      <c r="C181" s="25" t="n">
        <v>0.299126192694106</v>
      </c>
    </row>
    <row r="182" customFormat="false" ht="14.25" hidden="false" customHeight="false" outlineLevel="0" collapsed="false">
      <c r="B182" s="4" t="n">
        <v>0.204538993934507</v>
      </c>
      <c r="C182" s="25" t="n">
        <v>0.323398348601437</v>
      </c>
    </row>
    <row r="183" customFormat="false" ht="14.25" hidden="false" customHeight="false" outlineLevel="0" collapsed="false">
      <c r="B183" s="4" t="n">
        <v>0.215602448751545</v>
      </c>
      <c r="C183" s="25" t="n">
        <v>0.359329559710504</v>
      </c>
    </row>
    <row r="184" customFormat="false" ht="14.25" hidden="false" customHeight="false" outlineLevel="0" collapsed="false">
      <c r="B184" s="4" t="n">
        <v>0.227245511203003</v>
      </c>
      <c r="C184" s="25" t="n">
        <v>0.383938703811012</v>
      </c>
    </row>
    <row r="185" customFormat="false" ht="14.25" hidden="false" customHeight="false" outlineLevel="0" collapsed="false">
      <c r="B185" s="4" t="n">
        <v>0.242761331982995</v>
      </c>
      <c r="C185" s="25" t="n">
        <v>0.409943620491564</v>
      </c>
    </row>
    <row r="186" customFormat="false" ht="14.25" hidden="false" customHeight="false" outlineLevel="0" collapsed="false">
      <c r="B186" s="4" t="n">
        <v>0.259626354569943</v>
      </c>
      <c r="C186" s="25" t="n">
        <v>0.438209834274772</v>
      </c>
    </row>
    <row r="187" customFormat="false" ht="14.25" hidden="false" customHeight="false" outlineLevel="0" collapsed="false">
      <c r="B187" s="4" t="n">
        <v>0.281888184384715</v>
      </c>
      <c r="C187" s="25" t="n">
        <v>0.475521236468607</v>
      </c>
    </row>
    <row r="188" customFormat="false" ht="14.25" hidden="false" customHeight="false" outlineLevel="0" collapsed="false">
      <c r="A188" s="0" t="s">
        <v>61</v>
      </c>
      <c r="B188" s="4" t="n">
        <v>0.162505263740563</v>
      </c>
      <c r="C188" s="25" t="n">
        <v>0.168972235980417</v>
      </c>
    </row>
    <row r="189" customFormat="false" ht="14.25" hidden="false" customHeight="false" outlineLevel="0" collapsed="false">
      <c r="B189" s="4" t="n">
        <v>0.205296645840096</v>
      </c>
      <c r="C189" s="25" t="n">
        <v>0.224457901760169</v>
      </c>
    </row>
    <row r="190" customFormat="false" ht="14.25" hidden="false" customHeight="false" outlineLevel="0" collapsed="false">
      <c r="B190" s="4" t="n">
        <v>0.247942972407087</v>
      </c>
      <c r="C190" s="25" t="n">
        <v>0.279755480537276</v>
      </c>
    </row>
    <row r="191" customFormat="false" ht="14.25" hidden="false" customHeight="false" outlineLevel="0" collapsed="false">
      <c r="A191" s="0" t="s">
        <v>62</v>
      </c>
      <c r="B191" s="4" t="n">
        <v>0.162505263740563</v>
      </c>
      <c r="C191" s="25" t="n">
        <v>0.168972235980417</v>
      </c>
    </row>
    <row r="192" customFormat="false" ht="14.25" hidden="false" customHeight="false" outlineLevel="0" collapsed="false">
      <c r="B192" s="4" t="n">
        <v>0.204716423709933</v>
      </c>
      <c r="C192" s="25" t="n">
        <v>0.223705553749596</v>
      </c>
    </row>
    <row r="193" customFormat="false" ht="14.25" hidden="false" customHeight="false" outlineLevel="0" collapsed="false">
      <c r="B193" s="4" t="n">
        <v>0.247217694744383</v>
      </c>
      <c r="C193" s="25" t="n">
        <v>0.27881504552406</v>
      </c>
    </row>
    <row r="194" customFormat="false" ht="14.25" hidden="false" customHeight="false" outlineLevel="0" collapsed="false">
      <c r="A194" s="0" t="s">
        <v>63</v>
      </c>
      <c r="B194" s="4" t="n">
        <v>0.0760521663462533</v>
      </c>
      <c r="C194" s="25" t="n">
        <v>0.0760521663462533</v>
      </c>
    </row>
    <row r="195" customFormat="false" ht="14.25" hidden="false" customHeight="false" outlineLevel="0" collapsed="false">
      <c r="B195" s="4" t="n">
        <v>0.120149048238653</v>
      </c>
      <c r="C195" s="25" t="n">
        <v>0.120149048238653</v>
      </c>
    </row>
    <row r="196" customFormat="false" ht="14.25" hidden="false" customHeight="false" outlineLevel="0" collapsed="false">
      <c r="B196" s="4" t="n">
        <v>0.161779986077859</v>
      </c>
      <c r="C196" s="25" t="n">
        <v>0.168031800967201</v>
      </c>
    </row>
    <row r="197" customFormat="false" ht="14.25" hidden="false" customHeight="false" outlineLevel="0" collapsed="false">
      <c r="B197" s="4" t="n">
        <v>0.203555979449606</v>
      </c>
      <c r="C197" s="25" t="n">
        <v>0.22220085772845</v>
      </c>
    </row>
    <row r="198" customFormat="false" ht="14.25" hidden="false" customHeight="false" outlineLevel="0" collapsed="false">
      <c r="B198" s="4" t="n">
        <v>0.262593581193707</v>
      </c>
      <c r="C198" s="25" t="n">
        <v>0.298752267804242</v>
      </c>
    </row>
    <row r="199" customFormat="false" ht="14.25" hidden="false" customHeight="false" outlineLevel="0" collapsed="false">
      <c r="A199" s="0" t="s">
        <v>64</v>
      </c>
      <c r="B199" s="4" t="n">
        <v>0.111129674723574</v>
      </c>
      <c r="C199" s="25" t="n">
        <v>0.111129674723574</v>
      </c>
    </row>
    <row r="200" customFormat="false" ht="14.25" hidden="false" customHeight="false" outlineLevel="0" collapsed="false">
      <c r="B200" s="4" t="n">
        <v>0.158125712265201</v>
      </c>
      <c r="C200" s="25" t="n">
        <v>0.174471933181406</v>
      </c>
    </row>
    <row r="201" customFormat="false" ht="14.25" hidden="false" customHeight="false" outlineLevel="0" collapsed="false">
      <c r="B201" s="4" t="n">
        <v>0.228256089517942</v>
      </c>
      <c r="C201" s="25" t="n">
        <v>0.273403616699989</v>
      </c>
    </row>
    <row r="202" customFormat="false" ht="14.25" hidden="false" customHeight="false" outlineLevel="0" collapsed="false">
      <c r="A202" s="0" t="s">
        <v>65</v>
      </c>
      <c r="B202" s="4" t="n">
        <v>0.117948216713536</v>
      </c>
      <c r="C202" s="25" t="n">
        <v>0.117948216713536</v>
      </c>
    </row>
    <row r="203" customFormat="false" ht="14.25" hidden="false" customHeight="false" outlineLevel="0" collapsed="false">
      <c r="B203" s="4" t="n">
        <v>0.175129396940842</v>
      </c>
      <c r="C203" s="25" t="n">
        <v>0.183096151984949</v>
      </c>
    </row>
    <row r="204" customFormat="false" ht="14.25" hidden="false" customHeight="false" outlineLevel="0" collapsed="false">
      <c r="B204" s="4" t="n">
        <v>0.232310577168148</v>
      </c>
      <c r="C204" s="25" t="n">
        <v>0.256757858163567</v>
      </c>
    </row>
    <row r="205" customFormat="false" ht="14.25" hidden="false" customHeight="false" outlineLevel="0" collapsed="false">
      <c r="A205" s="0" t="s">
        <v>66</v>
      </c>
      <c r="B205" s="4" t="n">
        <v>0.117527781949306</v>
      </c>
      <c r="C205" s="25" t="n">
        <v>0.131790213495005</v>
      </c>
    </row>
    <row r="206" customFormat="false" ht="14.25" hidden="false" customHeight="false" outlineLevel="0" collapsed="false">
      <c r="B206" s="4" t="n">
        <v>0.189416395861782</v>
      </c>
      <c r="C206" s="25" t="n">
        <v>0.229504768951255</v>
      </c>
    </row>
    <row r="207" customFormat="false" ht="14.25" hidden="false" customHeight="false" outlineLevel="0" collapsed="false">
      <c r="B207" s="4" t="n">
        <v>0.232549564209267</v>
      </c>
      <c r="C207" s="25" t="n">
        <v>0.288133502225005</v>
      </c>
    </row>
    <row r="208" customFormat="false" ht="14.25" hidden="false" customHeight="false" outlineLevel="0" collapsed="false">
      <c r="B208" s="4" t="n">
        <v>0.268493871165504</v>
      </c>
      <c r="C208" s="25" t="n">
        <v>0.33699077995313</v>
      </c>
    </row>
    <row r="209" customFormat="false" ht="14.25" hidden="false" customHeight="false" outlineLevel="0" collapsed="false">
      <c r="B209" s="4" t="n">
        <v>0.326004762295485</v>
      </c>
      <c r="C209" s="25" t="n">
        <v>0.41516242431813</v>
      </c>
    </row>
    <row r="210" customFormat="false" ht="14.25" hidden="false" customHeight="false" outlineLevel="0" collapsed="false">
      <c r="B210" s="4" t="n">
        <v>0.376326792034218</v>
      </c>
      <c r="C210" s="25" t="n">
        <v>0.46727599043109</v>
      </c>
    </row>
    <row r="211" customFormat="false" ht="14.25" hidden="false" customHeight="false" outlineLevel="0" collapsed="false">
      <c r="A211" s="0" t="s">
        <v>67</v>
      </c>
      <c r="B211" s="4" t="n">
        <v>0.151281203007386</v>
      </c>
      <c r="C211" s="25" t="n">
        <v>0.167526219095786</v>
      </c>
    </row>
    <row r="212" customFormat="false" ht="14.25" hidden="false" customHeight="false" outlineLevel="0" collapsed="false">
      <c r="B212" s="4" t="n">
        <v>0.179906448678004</v>
      </c>
      <c r="C212" s="25" t="n">
        <v>0.20362194551252</v>
      </c>
    </row>
    <row r="213" customFormat="false" ht="14.25" hidden="false" customHeight="false" outlineLevel="0" collapsed="false">
      <c r="B213" s="4" t="n">
        <v>0.216710335968798</v>
      </c>
      <c r="C213" s="25" t="n">
        <v>0.250030736619751</v>
      </c>
    </row>
    <row r="214" customFormat="false" ht="14.25" hidden="false" customHeight="false" outlineLevel="0" collapsed="false">
      <c r="B214" s="4" t="n">
        <v>0.23306761920915</v>
      </c>
      <c r="C214" s="25" t="n">
        <v>0.270656866000742</v>
      </c>
    </row>
    <row r="215" customFormat="false" ht="14.25" hidden="false" customHeight="false" outlineLevel="0" collapsed="false">
      <c r="B215" s="4" t="n">
        <v>0.269871506499944</v>
      </c>
      <c r="C215" s="25" t="n">
        <v>0.317065657107973</v>
      </c>
    </row>
    <row r="216" customFormat="false" ht="14.25" hidden="false" customHeight="false" outlineLevel="0" collapsed="false">
      <c r="B216" s="4" t="n">
        <v>0.34756860189162</v>
      </c>
      <c r="C216" s="25" t="n">
        <v>0.404842760198733</v>
      </c>
    </row>
    <row r="217" customFormat="false" ht="14.25" hidden="false" customHeight="false" outlineLevel="0" collapsed="false">
      <c r="A217" s="0" t="s">
        <v>68</v>
      </c>
      <c r="B217" s="4" t="n">
        <v>0.127038496444004</v>
      </c>
      <c r="C217" s="25" t="n">
        <v>0.134199665397668</v>
      </c>
    </row>
    <row r="218" customFormat="false" ht="14.25" hidden="false" customHeight="false" outlineLevel="0" collapsed="false">
      <c r="B218" s="4" t="n">
        <v>0.150996277788399</v>
      </c>
      <c r="C218" s="25" t="n">
        <v>0.162727659499746</v>
      </c>
    </row>
    <row r="219" customFormat="false" ht="14.25" hidden="false" customHeight="false" outlineLevel="0" collapsed="false">
      <c r="B219" s="4" t="n">
        <v>0.172558280998354</v>
      </c>
      <c r="C219" s="25" t="n">
        <v>0.188402854191617</v>
      </c>
    </row>
    <row r="220" customFormat="false" ht="14.25" hidden="false" customHeight="false" outlineLevel="0" collapsed="false">
      <c r="B220" s="4" t="n">
        <v>0.198911840477188</v>
      </c>
      <c r="C220" s="25" t="n">
        <v>0.219783647703903</v>
      </c>
    </row>
    <row r="221" customFormat="false" ht="14.25" hidden="false" customHeight="false" outlineLevel="0" collapsed="false">
      <c r="B221" s="4" t="n">
        <v>0.225265399956023</v>
      </c>
      <c r="C221" s="25" t="n">
        <v>0.251164441216189</v>
      </c>
    </row>
    <row r="222" customFormat="false" ht="14.25" hidden="false" customHeight="false" outlineLevel="0" collapsed="false">
      <c r="B222" s="4" t="n">
        <v>0.249223181300417</v>
      </c>
      <c r="C222" s="25" t="n">
        <v>0.279692435318268</v>
      </c>
    </row>
    <row r="223" customFormat="false" ht="14.25" hidden="false" customHeight="false" outlineLevel="0" collapsed="false">
      <c r="B223" s="4" t="n">
        <v>0.273180962644812</v>
      </c>
      <c r="C223" s="25" t="n">
        <v>0.308220429420346</v>
      </c>
    </row>
    <row r="224" customFormat="false" ht="14.25" hidden="false" customHeight="false" outlineLevel="0" collapsed="false">
      <c r="B224" s="4" t="n">
        <v>0.294742965854767</v>
      </c>
      <c r="C224" s="25" t="n">
        <v>0.330617382552647</v>
      </c>
    </row>
    <row r="225" customFormat="false" ht="14.25" hidden="false" customHeight="false" outlineLevel="0" collapsed="false">
      <c r="A225" s="0" t="s">
        <v>69</v>
      </c>
      <c r="B225" s="4" t="n">
        <v>0.250565220443721</v>
      </c>
      <c r="C225" s="25" t="n">
        <v>0.300183188322961</v>
      </c>
    </row>
    <row r="226" customFormat="false" ht="14.25" hidden="false" customHeight="false" outlineLevel="0" collapsed="false">
      <c r="B226" s="4" t="n">
        <v>0.314900010645328</v>
      </c>
      <c r="C226" s="25" t="n">
        <v>0.384433281881817</v>
      </c>
    </row>
    <row r="227" customFormat="false" ht="14.25" hidden="false" customHeight="false" outlineLevel="0" collapsed="false">
      <c r="B227" s="4" t="n">
        <v>0.386383110869336</v>
      </c>
      <c r="C227" s="25" t="n">
        <v>0.464640151456052</v>
      </c>
    </row>
    <row r="228" customFormat="false" ht="14.25" hidden="false" customHeight="false" outlineLevel="0" collapsed="false">
      <c r="A228" s="0" t="s">
        <v>70</v>
      </c>
      <c r="B228" s="4" t="n">
        <v>0.154143497430964</v>
      </c>
      <c r="C228" s="25" t="n">
        <v>0.166930001070024</v>
      </c>
    </row>
    <row r="229" customFormat="false" ht="14.25" hidden="false" customHeight="false" outlineLevel="0" collapsed="false">
      <c r="B229" s="4" t="n">
        <v>0.18259499046457</v>
      </c>
      <c r="C229" s="25" t="n">
        <v>0.201752540208612</v>
      </c>
    </row>
    <row r="230" customFormat="false" ht="14.25" hidden="false" customHeight="false" outlineLevel="0" collapsed="false">
      <c r="B230" s="4" t="n">
        <v>0.219175481507777</v>
      </c>
      <c r="C230" s="25" t="n">
        <v>0.246524376243939</v>
      </c>
    </row>
    <row r="231" customFormat="false" ht="14.25" hidden="false" customHeight="false" outlineLevel="0" collapsed="false">
      <c r="B231" s="4" t="n">
        <v>0.235433477526981</v>
      </c>
      <c r="C231" s="25" t="n">
        <v>0.266422970037418</v>
      </c>
    </row>
    <row r="232" customFormat="false" ht="14.25" hidden="false" customHeight="false" outlineLevel="0" collapsed="false">
      <c r="B232" s="4" t="n">
        <v>0.259820471555785</v>
      </c>
      <c r="C232" s="25" t="n">
        <v>0.296270860727637</v>
      </c>
    </row>
    <row r="233" customFormat="false" ht="14.25" hidden="false" customHeight="false" outlineLevel="0" collapsed="false">
      <c r="B233" s="4" t="n">
        <v>0.276078467574989</v>
      </c>
      <c r="C233" s="25" t="n">
        <v>0.316169454521116</v>
      </c>
    </row>
    <row r="234" customFormat="false" ht="14.25" hidden="false" customHeight="false" outlineLevel="0" collapsed="false">
      <c r="B234" s="4" t="n">
        <v>0.315910557822037</v>
      </c>
      <c r="C234" s="25" t="n">
        <v>0.364921009315139</v>
      </c>
    </row>
    <row r="235" customFormat="false" ht="14.25" hidden="false" customHeight="false" outlineLevel="0" collapsed="false">
      <c r="B235" s="4" t="n">
        <v>0.355742648069085</v>
      </c>
      <c r="C235" s="25" t="n">
        <v>0.404824100878162</v>
      </c>
    </row>
    <row r="236" customFormat="false" ht="14.25" hidden="false" customHeight="false" outlineLevel="0" collapsed="false">
      <c r="A236" s="0" t="s">
        <v>71</v>
      </c>
      <c r="B236" s="4" t="n">
        <v>0.16920059472353</v>
      </c>
      <c r="C236" s="25" t="n">
        <v>0.181348085922822</v>
      </c>
    </row>
    <row r="237" customFormat="false" ht="14.25" hidden="false" customHeight="false" outlineLevel="0" collapsed="false">
      <c r="B237" s="4" t="n">
        <v>0.178712000702632</v>
      </c>
      <c r="C237" s="25" t="n">
        <v>0.192407433731655</v>
      </c>
    </row>
    <row r="238" customFormat="false" ht="14.25" hidden="false" customHeight="false" outlineLevel="0" collapsed="false">
      <c r="B238" s="4" t="n">
        <v>0.202490515650387</v>
      </c>
      <c r="C238" s="25" t="n">
        <v>0.220055803253739</v>
      </c>
    </row>
    <row r="239" customFormat="false" ht="14.25" hidden="false" customHeight="false" outlineLevel="0" collapsed="false">
      <c r="B239" s="4" t="n">
        <v>0.228646882092917</v>
      </c>
      <c r="C239" s="25" t="n">
        <v>0.250469009728032</v>
      </c>
    </row>
    <row r="240" customFormat="false" ht="14.25" hidden="false" customHeight="false" outlineLevel="0" collapsed="false">
      <c r="B240" s="4" t="n">
        <v>0.252425397040672</v>
      </c>
      <c r="C240" s="25" t="n">
        <v>0.278117379250116</v>
      </c>
    </row>
    <row r="241" customFormat="false" ht="14.25" hidden="false" customHeight="false" outlineLevel="0" collapsed="false">
      <c r="B241" s="4" t="n">
        <v>0.273826060493651</v>
      </c>
      <c r="C241" s="25" t="n">
        <v>0.303000911819991</v>
      </c>
    </row>
    <row r="242" customFormat="false" ht="14.25" hidden="false" customHeight="false" outlineLevel="0" collapsed="false">
      <c r="B242" s="4" t="n">
        <v>0.299982426936181</v>
      </c>
      <c r="C242" s="25" t="n">
        <v>0.330521357773791</v>
      </c>
    </row>
    <row r="243" customFormat="false" ht="14.25" hidden="false" customHeight="false" outlineLevel="0" collapsed="false">
      <c r="A243" s="0" t="s">
        <v>72</v>
      </c>
      <c r="B243" s="4" t="n">
        <v>0.0676476530429682</v>
      </c>
      <c r="C243" s="25" t="n">
        <v>0.0676476530429682</v>
      </c>
    </row>
    <row r="244" customFormat="false" ht="14.25" hidden="false" customHeight="false" outlineLevel="0" collapsed="false">
      <c r="B244" s="4" t="n">
        <v>0.104592545860819</v>
      </c>
      <c r="C244" s="25" t="n">
        <v>0.106349723856842</v>
      </c>
    </row>
    <row r="245" customFormat="false" ht="14.25" hidden="false" customHeight="false" outlineLevel="0" collapsed="false">
      <c r="B245" s="4" t="n">
        <v>0.125749022944545</v>
      </c>
      <c r="C245" s="25" t="n">
        <v>0.13185876427251</v>
      </c>
    </row>
    <row r="246" customFormat="false" ht="14.25" hidden="false" customHeight="false" outlineLevel="0" collapsed="false">
      <c r="B246" s="4" t="n">
        <v>0.150063183175096</v>
      </c>
      <c r="C246" s="25" t="n">
        <v>0.161175124153204</v>
      </c>
    </row>
    <row r="247" customFormat="false" ht="14.25" hidden="false" customHeight="false" outlineLevel="0" collapsed="false">
      <c r="B247" s="4" t="n">
        <v>0.187955380936994</v>
      </c>
      <c r="C247" s="25" t="n">
        <v>0.206862957733507</v>
      </c>
    </row>
    <row r="248" customFormat="false" ht="14.25" hidden="false" customHeight="false" outlineLevel="0" collapsed="false">
      <c r="B248" s="4" t="n">
        <v>0.207217248132626</v>
      </c>
      <c r="C248" s="25" t="n">
        <v>0.23008760647016</v>
      </c>
    </row>
    <row r="249" customFormat="false" ht="14.25" hidden="false" customHeight="false" outlineLevel="0" collapsed="false">
      <c r="B249" s="4" t="n">
        <v>0.235320628139366</v>
      </c>
      <c r="C249" s="25" t="n">
        <v>0.263972749708884</v>
      </c>
    </row>
    <row r="250" customFormat="false" ht="14.25" hidden="false" customHeight="false" outlineLevel="0" collapsed="false">
      <c r="A250" s="0" t="s">
        <v>73</v>
      </c>
      <c r="B250" s="4" t="n">
        <v>0.267289298730918</v>
      </c>
      <c r="C250" s="25" t="n">
        <v>0.317739140930661</v>
      </c>
    </row>
    <row r="251" customFormat="false" ht="14.25" hidden="false" customHeight="false" outlineLevel="0" collapsed="false">
      <c r="B251" s="4" t="n">
        <v>0.297021729415675</v>
      </c>
      <c r="C251" s="25" t="n">
        <v>0.356474413156604</v>
      </c>
    </row>
    <row r="252" customFormat="false" ht="14.25" hidden="false" customHeight="false" outlineLevel="0" collapsed="false">
      <c r="A252" s="0" t="s">
        <v>74</v>
      </c>
      <c r="B252" s="4" t="n">
        <v>0.268584746984175</v>
      </c>
      <c r="C252" s="25" t="n">
        <v>0.31942684488183</v>
      </c>
    </row>
    <row r="253" customFormat="false" ht="14.25" hidden="false" customHeight="false" outlineLevel="0" collapsed="false">
      <c r="B253" s="4" t="n">
        <v>0.297021729415675</v>
      </c>
      <c r="C253" s="25" t="n">
        <v>0.356474413156604</v>
      </c>
    </row>
    <row r="254" customFormat="false" ht="14.25" hidden="false" customHeight="false" outlineLevel="0" collapsed="false">
      <c r="A254" s="0" t="s">
        <v>75</v>
      </c>
      <c r="B254" s="4" t="n">
        <v>0.268584746984175</v>
      </c>
      <c r="C254" s="25" t="n">
        <v>0.31942684488183</v>
      </c>
    </row>
    <row r="255" customFormat="false" ht="14.25" hidden="false" customHeight="false" outlineLevel="0" collapsed="false">
      <c r="B255" s="4" t="n">
        <v>0.297021729415675</v>
      </c>
      <c r="C255" s="25" t="n">
        <v>0.356474413156604</v>
      </c>
    </row>
    <row r="256" customFormat="false" ht="14.25" hidden="false" customHeight="false" outlineLevel="0" collapsed="false">
      <c r="A256" s="0" t="s">
        <v>76</v>
      </c>
      <c r="B256" s="4" t="n">
        <v>0.269880195237433</v>
      </c>
      <c r="C256" s="25" t="n">
        <v>0.321114548833</v>
      </c>
    </row>
    <row r="257" customFormat="false" ht="14.25" hidden="false" customHeight="false" outlineLevel="0" collapsed="false">
      <c r="B257" s="4" t="n">
        <v>0.297021729415675</v>
      </c>
      <c r="C257" s="25" t="n">
        <v>0.356474413156604</v>
      </c>
    </row>
    <row r="258" customFormat="false" ht="14.25" hidden="false" customHeight="false" outlineLevel="0" collapsed="false">
      <c r="A258" s="0" t="s">
        <v>77</v>
      </c>
      <c r="B258" s="4" t="n">
        <v>0.213020685260371</v>
      </c>
      <c r="C258" s="25" t="n">
        <v>0.267059220881841</v>
      </c>
    </row>
    <row r="259" customFormat="false" ht="14.25" hidden="false" customHeight="false" outlineLevel="0" collapsed="false">
      <c r="B259" s="4" t="n">
        <v>0.292279077421168</v>
      </c>
      <c r="C259" s="25" t="n">
        <v>0.37829420906231</v>
      </c>
    </row>
    <row r="260" customFormat="false" ht="14.25" hidden="false" customHeight="false" outlineLevel="0" collapsed="false">
      <c r="A260" s="0" t="s">
        <v>78</v>
      </c>
      <c r="B260" s="4" t="n">
        <v>0.215163172961221</v>
      </c>
      <c r="C260" s="25" t="n">
        <v>0.270066089777154</v>
      </c>
    </row>
    <row r="261" customFormat="false" ht="14.25" hidden="false" customHeight="false" outlineLevel="0" collapsed="false">
      <c r="B261" s="4" t="n">
        <v>0.292279077421168</v>
      </c>
      <c r="C261" s="25" t="n">
        <v>0.37829420906231</v>
      </c>
    </row>
    <row r="262" customFormat="false" ht="14.25" hidden="false" customHeight="false" outlineLevel="0" collapsed="false">
      <c r="A262" s="0" t="s">
        <v>79</v>
      </c>
      <c r="B262" s="4" t="n">
        <v>0.165938420492606</v>
      </c>
      <c r="C262" s="25" t="n">
        <v>0.187154071791108</v>
      </c>
    </row>
    <row r="263" customFormat="false" ht="14.25" hidden="false" customHeight="false" outlineLevel="0" collapsed="false">
      <c r="B263" s="4" t="n">
        <v>0.268160663126834</v>
      </c>
      <c r="C263" s="25" t="n">
        <v>0.321301978608691</v>
      </c>
    </row>
    <row r="264" customFormat="false" ht="14.25" hidden="false" customHeight="false" outlineLevel="0" collapsed="false">
      <c r="B264" s="4" t="n">
        <v>0.294288359201446</v>
      </c>
      <c r="C264" s="25" t="n">
        <v>0.35558977789829</v>
      </c>
    </row>
    <row r="265" customFormat="false" ht="14.25" hidden="false" customHeight="false" outlineLevel="0" collapsed="false">
      <c r="A265" s="0" t="s">
        <v>80</v>
      </c>
      <c r="B265" s="4" t="n">
        <v>0.167232372931014</v>
      </c>
      <c r="C265" s="25" t="n">
        <v>0.188852146560951</v>
      </c>
    </row>
    <row r="266" customFormat="false" ht="14.25" hidden="false" customHeight="false" outlineLevel="0" collapsed="false">
      <c r="B266" s="4" t="n">
        <v>0.269454615565242</v>
      </c>
      <c r="C266" s="25" t="n">
        <v>0.323000053378534</v>
      </c>
    </row>
    <row r="267" customFormat="false" ht="14.25" hidden="false" customHeight="false" outlineLevel="0" collapsed="false">
      <c r="A267" s="0" t="s">
        <v>81</v>
      </c>
      <c r="B267" s="4" t="n">
        <v>0.102474345140568</v>
      </c>
      <c r="C267" s="25" t="n">
        <v>0.102474345140568</v>
      </c>
    </row>
    <row r="268" customFormat="false" ht="14.25" hidden="false" customHeight="false" outlineLevel="0" collapsed="false">
      <c r="B268" s="4" t="n">
        <v>0.169135103328064</v>
      </c>
      <c r="C268" s="25" t="n">
        <v>0.18555915799</v>
      </c>
    </row>
    <row r="269" customFormat="false" ht="14.25" hidden="false" customHeight="false" outlineLevel="0" collapsed="false">
      <c r="B269" s="4" t="n">
        <v>0.236650486620528</v>
      </c>
      <c r="C269" s="25" t="n">
        <v>0.270411044845979</v>
      </c>
    </row>
    <row r="270" customFormat="false" ht="14.25" hidden="false" customHeight="false" outlineLevel="0" collapsed="false">
      <c r="B270" s="4" t="n">
        <v>0.287262866391582</v>
      </c>
      <c r="C270" s="25" t="n">
        <v>0.334019599110452</v>
      </c>
    </row>
    <row r="271" customFormat="false" ht="14.25" hidden="false" customHeight="false" outlineLevel="0" collapsed="false">
      <c r="A271" s="0" t="s">
        <v>82</v>
      </c>
      <c r="B271" s="4" t="n">
        <v>0.1016197200356</v>
      </c>
      <c r="C271" s="25" t="n">
        <v>0.1016197200356</v>
      </c>
    </row>
    <row r="272" customFormat="false" ht="14.25" hidden="false" customHeight="false" outlineLevel="0" collapsed="false">
      <c r="B272" s="4" t="n">
        <v>0.167425853118128</v>
      </c>
      <c r="C272" s="25" t="n">
        <v>0.183411008955672</v>
      </c>
    </row>
    <row r="273" customFormat="false" ht="14.25" hidden="false" customHeight="false" outlineLevel="0" collapsed="false">
      <c r="B273" s="4" t="n">
        <v>0.234086611305624</v>
      </c>
      <c r="C273" s="25" t="n">
        <v>0.267188821294486</v>
      </c>
    </row>
    <row r="274" customFormat="false" ht="14.25" hidden="false" customHeight="false" outlineLevel="0" collapsed="false">
      <c r="A274" s="0" t="s">
        <v>83</v>
      </c>
      <c r="B274" s="4" t="n">
        <v>0.255931853756882</v>
      </c>
      <c r="C274" s="25" t="n">
        <v>0.316385652653594</v>
      </c>
    </row>
    <row r="275" customFormat="false" ht="14.25" hidden="false" customHeight="false" outlineLevel="0" collapsed="false">
      <c r="B275" s="4" t="n">
        <v>0.281927699170355</v>
      </c>
      <c r="C275" s="25" t="n">
        <v>0.351625285606887</v>
      </c>
    </row>
    <row r="276" customFormat="false" ht="14.25" hidden="false" customHeight="false" outlineLevel="0" collapsed="false">
      <c r="A276" s="0" t="s">
        <v>84</v>
      </c>
      <c r="B276" s="4" t="n">
        <v>0.255931853756882</v>
      </c>
      <c r="C276" s="25" t="n">
        <v>0.316385652653594</v>
      </c>
    </row>
    <row r="277" customFormat="false" ht="14.25" hidden="false" customHeight="false" outlineLevel="0" collapsed="false">
      <c r="B277" s="4" t="n">
        <v>0.281927699170355</v>
      </c>
      <c r="C277" s="25" t="n">
        <v>0.351625285606887</v>
      </c>
    </row>
    <row r="278" customFormat="false" ht="14.25" hidden="false" customHeight="false" outlineLevel="0" collapsed="false">
      <c r="A278" s="0" t="s">
        <v>85</v>
      </c>
      <c r="B278" s="4" t="n">
        <v>0.124185684451845</v>
      </c>
      <c r="C278" s="25" t="n">
        <v>0.132393769280633</v>
      </c>
    </row>
    <row r="279" customFormat="false" ht="14.25" hidden="false" customHeight="false" outlineLevel="0" collapsed="false">
      <c r="B279" s="4" t="n">
        <v>0.158196919210972</v>
      </c>
      <c r="C279" s="25" t="n">
        <v>0.176330037217221</v>
      </c>
    </row>
    <row r="280" customFormat="false" ht="14.25" hidden="false" customHeight="false" outlineLevel="0" collapsed="false">
      <c r="B280" s="4" t="n">
        <v>0.191357873101121</v>
      </c>
      <c r="C280" s="25" t="n">
        <v>0.219167898455395</v>
      </c>
    </row>
    <row r="281" customFormat="false" ht="14.25" hidden="false" customHeight="false" outlineLevel="0" collapsed="false">
      <c r="B281" s="4" t="n">
        <v>0.225369107860247</v>
      </c>
      <c r="C281" s="25" t="n">
        <v>0.263104166391983</v>
      </c>
    </row>
    <row r="282" customFormat="false" ht="14.25" hidden="false" customHeight="false" outlineLevel="0" collapsed="false">
      <c r="B282" s="4" t="n">
        <v>0.257679780881418</v>
      </c>
      <c r="C282" s="25" t="n">
        <v>0.304843620931742</v>
      </c>
    </row>
    <row r="283" customFormat="false" ht="14.25" hidden="false" customHeight="false" outlineLevel="0" collapsed="false">
      <c r="B283" s="4" t="n">
        <v>0.277911691178883</v>
      </c>
      <c r="C283" s="25" t="n">
        <v>0.330979532726591</v>
      </c>
    </row>
    <row r="284" customFormat="false" ht="14.25" hidden="false" customHeight="false" outlineLevel="0" collapsed="false">
      <c r="A284" s="0" t="s">
        <v>86</v>
      </c>
      <c r="B284" s="4" t="n">
        <v>0.191357873101121</v>
      </c>
      <c r="C284" s="25" t="n">
        <v>0.219167898455395</v>
      </c>
    </row>
    <row r="285" customFormat="false" ht="14.25" hidden="false" customHeight="false" outlineLevel="0" collapsed="false">
      <c r="B285" s="4" t="n">
        <v>0.223668546122291</v>
      </c>
      <c r="C285" s="25" t="n">
        <v>0.260907352995153</v>
      </c>
    </row>
    <row r="286" customFormat="false" ht="14.25" hidden="false" customHeight="false" outlineLevel="0" collapsed="false">
      <c r="B286" s="4" t="n">
        <v>0.257679780881418</v>
      </c>
      <c r="C286" s="25" t="n">
        <v>0.304843620931742</v>
      </c>
    </row>
    <row r="287" customFormat="false" ht="14.25" hidden="false" customHeight="false" outlineLevel="0" collapsed="false">
      <c r="B287" s="4" t="n">
        <v>0.277911691178883</v>
      </c>
      <c r="C287" s="25" t="n">
        <v>0.330979532726591</v>
      </c>
    </row>
    <row r="288" customFormat="false" ht="14.25" hidden="false" customHeight="false" outlineLevel="0" collapsed="false">
      <c r="A288" s="0" t="s">
        <v>87</v>
      </c>
      <c r="B288" s="4" t="n">
        <v>0.13127422971881</v>
      </c>
      <c r="C288" s="25" t="n">
        <v>0.134791556494489</v>
      </c>
    </row>
    <row r="289" customFormat="false" ht="14.25" hidden="false" customHeight="false" outlineLevel="0" collapsed="false">
      <c r="B289" s="4" t="n">
        <v>0.173850976212243</v>
      </c>
      <c r="C289" s="25" t="n">
        <v>0.18859175010146</v>
      </c>
    </row>
    <row r="290" customFormat="false" ht="14.25" hidden="false" customHeight="false" outlineLevel="0" collapsed="false">
      <c r="B290" s="4" t="n">
        <v>0.205980118431288</v>
      </c>
      <c r="C290" s="25" t="n">
        <v>0.229190297763555</v>
      </c>
    </row>
    <row r="291" customFormat="false" ht="14.25" hidden="false" customHeight="false" outlineLevel="0" collapsed="false">
      <c r="A291" s="0" t="s">
        <v>88</v>
      </c>
      <c r="B291" s="4" t="n">
        <v>0.207325699886579</v>
      </c>
      <c r="C291" s="25" t="n">
        <v>0.230141305868568</v>
      </c>
    </row>
    <row r="292" customFormat="false" ht="14.25" hidden="false" customHeight="false" outlineLevel="0" collapsed="false">
      <c r="A292" s="0" t="s">
        <v>89</v>
      </c>
      <c r="B292" s="4" t="n">
        <v>0.205276239077366</v>
      </c>
      <c r="C292" s="25" t="n">
        <v>0.223160977177881</v>
      </c>
    </row>
    <row r="293" customFormat="false" ht="14.25" hidden="false" customHeight="false" outlineLevel="0" collapsed="false">
      <c r="B293" s="4" t="n">
        <v>0.235595975449733</v>
      </c>
      <c r="C293" s="25" t="n">
        <v>0.261283031119429</v>
      </c>
    </row>
    <row r="294" customFormat="false" ht="14.25" hidden="false" customHeight="false" outlineLevel="0" collapsed="false">
      <c r="A294" s="0" t="s">
        <v>90</v>
      </c>
      <c r="B294" s="4" t="n">
        <v>0.118916171734965</v>
      </c>
      <c r="C294" s="25" t="n">
        <v>0.124331141033773</v>
      </c>
    </row>
    <row r="295" customFormat="false" ht="14.25" hidden="false" customHeight="false" outlineLevel="0" collapsed="false">
      <c r="A295" s="0" t="s">
        <v>91</v>
      </c>
      <c r="B295" s="4" t="n">
        <v>0.154918924089883</v>
      </c>
      <c r="C295" s="25" t="n">
        <v>0.15601234248965</v>
      </c>
    </row>
    <row r="296" customFormat="false" ht="14.25" hidden="false" customHeight="false" outlineLevel="0" collapsed="false">
      <c r="B296" s="4" t="n">
        <v>0.190184965135221</v>
      </c>
      <c r="C296" s="25" t="n">
        <v>0.198117066913921</v>
      </c>
    </row>
    <row r="297" customFormat="false" ht="14.25" hidden="false" customHeight="false" outlineLevel="0" collapsed="false">
      <c r="B297" s="4" t="n">
        <v>0.227813324719481</v>
      </c>
      <c r="C297" s="25" t="n">
        <v>0.243042203500584</v>
      </c>
    </row>
    <row r="298" customFormat="false" ht="14.25" hidden="false" customHeight="false" outlineLevel="0" collapsed="false">
      <c r="B298" s="4" t="n">
        <v>0.244305625755551</v>
      </c>
      <c r="C298" s="25" t="n">
        <v>0.262732641374036</v>
      </c>
    </row>
    <row r="299" customFormat="false" ht="14.25" hidden="false" customHeight="false" outlineLevel="0" collapsed="false">
      <c r="A299" s="0" t="s">
        <v>92</v>
      </c>
      <c r="B299" s="4" t="n">
        <v>0.214865447980312</v>
      </c>
      <c r="C299" s="25" t="n">
        <v>0.232509472706563</v>
      </c>
    </row>
    <row r="300" customFormat="false" ht="14.25" hidden="false" customHeight="false" outlineLevel="0" collapsed="false">
      <c r="B300" s="4" t="n">
        <v>0.232744711888717</v>
      </c>
      <c r="C300" s="25" t="n">
        <v>0.254486890270819</v>
      </c>
    </row>
    <row r="301" customFormat="false" ht="14.25" hidden="false" customHeight="false" outlineLevel="0" collapsed="false">
      <c r="A301" s="0" t="s">
        <v>93</v>
      </c>
      <c r="B301" s="4" t="n">
        <v>0.143254092774708</v>
      </c>
      <c r="C301" s="25" t="n">
        <v>0.144305241589494</v>
      </c>
    </row>
    <row r="302" customFormat="false" ht="14.25" hidden="false" customHeight="false" outlineLevel="0" collapsed="false">
      <c r="B302" s="4" t="n">
        <v>0.178298285681843</v>
      </c>
      <c r="C302" s="25" t="n">
        <v>0.187302096936161</v>
      </c>
    </row>
    <row r="303" customFormat="false" ht="14.25" hidden="false" customHeight="false" outlineLevel="0" collapsed="false">
      <c r="B303" s="4" t="n">
        <v>0.215689936487064</v>
      </c>
      <c r="C303" s="25" t="n">
        <v>0.233179124411313</v>
      </c>
    </row>
    <row r="304" customFormat="false" ht="14.25" hidden="false" customHeight="false" outlineLevel="0" collapsed="false">
      <c r="B304" s="4" t="n">
        <v>0.233487983765392</v>
      </c>
      <c r="C304" s="25" t="n">
        <v>0.255016125089494</v>
      </c>
    </row>
    <row r="305" customFormat="false" ht="14.25" hidden="false" customHeight="false" outlineLevel="0" collapsed="false">
      <c r="A305" s="0" t="s">
        <v>94</v>
      </c>
      <c r="B305" s="4" t="n">
        <v>0.145236390439666</v>
      </c>
      <c r="C305" s="25" t="n">
        <v>0.146296494914318</v>
      </c>
    </row>
    <row r="306" customFormat="false" ht="14.25" hidden="false" customHeight="false" outlineLevel="0" collapsed="false">
      <c r="B306" s="4" t="n">
        <v>0.180315671337883</v>
      </c>
      <c r="C306" s="25" t="n">
        <v>0.18913767848312</v>
      </c>
    </row>
    <row r="307" customFormat="false" ht="14.25" hidden="false" customHeight="false" outlineLevel="0" collapsed="false">
      <c r="B307" s="4" t="n">
        <v>0.217744760525933</v>
      </c>
      <c r="C307" s="25" t="n">
        <v>0.234848606405813</v>
      </c>
    </row>
    <row r="308" customFormat="false" ht="14.25" hidden="false" customHeight="false" outlineLevel="0" collapsed="false">
      <c r="B308" s="4" t="n">
        <v>0.235336494438405</v>
      </c>
      <c r="C308" s="25" t="n">
        <v>0.25633281824084</v>
      </c>
    </row>
    <row r="309" customFormat="false" ht="14.25" hidden="false" customHeight="false" outlineLevel="0" collapsed="false">
      <c r="A309" s="0" t="s">
        <v>95</v>
      </c>
      <c r="B309" s="4" t="n">
        <v>0.134837869496894</v>
      </c>
      <c r="C309" s="25" t="n">
        <v>0.138648828196445</v>
      </c>
    </row>
    <row r="310" customFormat="false" ht="14.25" hidden="false" customHeight="false" outlineLevel="0" collapsed="false">
      <c r="B310" s="4" t="n">
        <v>0.162583158045426</v>
      </c>
      <c r="C310" s="25" t="n">
        <v>0.169914612673841</v>
      </c>
    </row>
    <row r="311" customFormat="false" ht="14.25" hidden="false" customHeight="false" outlineLevel="0" collapsed="false">
      <c r="A311" s="0" t="s">
        <v>96</v>
      </c>
      <c r="B311" s="4" t="n">
        <v>0.135887459700604</v>
      </c>
      <c r="C311" s="25" t="n">
        <v>0.135887459700604</v>
      </c>
    </row>
    <row r="312" customFormat="false" ht="14.25" hidden="false" customHeight="false" outlineLevel="0" collapsed="false">
      <c r="B312" s="4" t="n">
        <v>0.170118894178651</v>
      </c>
      <c r="C312" s="25" t="n">
        <v>0.174018328179032</v>
      </c>
    </row>
    <row r="313" customFormat="false" ht="14.25" hidden="false" customHeight="false" outlineLevel="0" collapsed="false">
      <c r="B313" s="4" t="n">
        <v>0.20357012502187</v>
      </c>
      <c r="C313" s="25" t="n">
        <v>0.213045974149526</v>
      </c>
    </row>
    <row r="314" customFormat="false" ht="14.25" hidden="false" customHeight="false" outlineLevel="0" collapsed="false">
      <c r="B314" s="4" t="n">
        <v>0.235043578025519</v>
      </c>
      <c r="C314" s="25" t="n">
        <v>0.249766141101002</v>
      </c>
    </row>
    <row r="315" customFormat="false" ht="14.25" hidden="false" customHeight="false" outlineLevel="0" collapsed="false">
      <c r="A315" s="0" t="s">
        <v>97</v>
      </c>
      <c r="B315" s="4" t="n">
        <v>0.171725283638607</v>
      </c>
      <c r="C315" s="25" t="n">
        <v>0.17555386359827</v>
      </c>
    </row>
    <row r="316" customFormat="false" ht="14.25" hidden="false" customHeight="false" outlineLevel="0" collapsed="false">
      <c r="A316" s="0" t="s">
        <v>98</v>
      </c>
      <c r="B316" s="4" t="n">
        <v>0.135887459700604</v>
      </c>
      <c r="C316" s="25" t="n">
        <v>0.135887459700604</v>
      </c>
    </row>
    <row r="317" customFormat="false" ht="14.25" hidden="false" customHeight="false" outlineLevel="0" collapsed="false">
      <c r="B317" s="4" t="n">
        <v>0.170118894178651</v>
      </c>
      <c r="C317" s="25" t="n">
        <v>0.174018328179032</v>
      </c>
    </row>
    <row r="318" customFormat="false" ht="14.25" hidden="false" customHeight="false" outlineLevel="0" collapsed="false">
      <c r="B318" s="4" t="n">
        <v>0.20357012502187</v>
      </c>
      <c r="C318" s="25" t="n">
        <v>0.213045974149526</v>
      </c>
    </row>
    <row r="319" customFormat="false" ht="14.25" hidden="false" customHeight="false" outlineLevel="0" collapsed="false">
      <c r="B319" s="4" t="n">
        <v>0.235043578025519</v>
      </c>
      <c r="C319" s="25" t="n">
        <v>0.249766141101002</v>
      </c>
    </row>
    <row r="320" customFormat="false" ht="14.25" hidden="false" customHeight="false" outlineLevel="0" collapsed="false">
      <c r="A320" s="0" t="s">
        <v>99</v>
      </c>
      <c r="B320" s="4" t="n">
        <v>0.175324609891476</v>
      </c>
      <c r="C320" s="25" t="n">
        <v>0.178993380624955</v>
      </c>
    </row>
    <row r="321" customFormat="false" ht="14.25" hidden="false" customHeight="false" outlineLevel="0" collapsed="false">
      <c r="B321" s="4" t="n">
        <v>0.208922974031405</v>
      </c>
      <c r="C321" s="25" t="n">
        <v>0.217701025622076</v>
      </c>
    </row>
    <row r="322" customFormat="false" ht="14.25" hidden="false" customHeight="false" outlineLevel="0" collapsed="false">
      <c r="B322" s="4" t="n">
        <v>0.239618693852614</v>
      </c>
      <c r="C322" s="25" t="n">
        <v>0.253064623112181</v>
      </c>
    </row>
    <row r="323" customFormat="false" ht="14.25" hidden="false" customHeight="false" outlineLevel="0" collapsed="false">
      <c r="A323" s="0" t="s">
        <v>100</v>
      </c>
      <c r="B323" s="4" t="n">
        <v>0.143016253459017</v>
      </c>
      <c r="C323" s="25" t="n">
        <v>0.143016253459017</v>
      </c>
    </row>
    <row r="324" customFormat="false" ht="14.25" hidden="false" customHeight="false" outlineLevel="0" collapsed="false">
      <c r="B324" s="4" t="n">
        <v>0.196050625318856</v>
      </c>
      <c r="C324" s="25" t="n">
        <v>0.202198184958557</v>
      </c>
    </row>
    <row r="325" customFormat="false" ht="14.25" hidden="false" customHeight="false" outlineLevel="0" collapsed="false">
      <c r="B325" s="4" t="n">
        <v>0.242973229417896</v>
      </c>
      <c r="C325" s="25" t="n">
        <v>0.259730572527382</v>
      </c>
    </row>
    <row r="326" customFormat="false" ht="14.25" hidden="false" customHeight="false" outlineLevel="0" collapsed="false">
      <c r="B326" s="4" t="n">
        <v>0.276489375202924</v>
      </c>
      <c r="C326" s="25" t="n">
        <v>0.300825135076543</v>
      </c>
    </row>
    <row r="327" customFormat="false" ht="14.25" hidden="false" customHeight="false" outlineLevel="0" collapsed="false">
      <c r="B327" s="4" t="n">
        <v>0.284208377885445</v>
      </c>
      <c r="C327" s="25" t="n">
        <v>0.310289500119843</v>
      </c>
    </row>
    <row r="328" customFormat="false" ht="14.25" hidden="false" customHeight="false" outlineLevel="0" collapsed="false">
      <c r="A328" s="0" t="s">
        <v>101</v>
      </c>
      <c r="B328" s="4" t="n">
        <v>0.133769063769031</v>
      </c>
      <c r="C328" s="25" t="n">
        <v>0.133769063769031</v>
      </c>
    </row>
    <row r="329" customFormat="false" ht="14.25" hidden="false" customHeight="false" outlineLevel="0" collapsed="false">
      <c r="B329" s="4" t="n">
        <v>0.186626082364968</v>
      </c>
      <c r="C329" s="25" t="n">
        <v>0.193179679982976</v>
      </c>
    </row>
    <row r="330" customFormat="false" ht="14.25" hidden="false" customHeight="false" outlineLevel="0" collapsed="false">
      <c r="B330" s="4" t="n">
        <v>0.233391771680332</v>
      </c>
      <c r="C330" s="25" t="n">
        <v>0.251560722726978</v>
      </c>
    </row>
    <row r="331" customFormat="false" ht="14.25" hidden="false" customHeight="false" outlineLevel="0" collapsed="false">
      <c r="B331" s="4" t="n">
        <v>0.266795835477021</v>
      </c>
      <c r="C331" s="25" t="n">
        <v>0.293261467544122</v>
      </c>
    </row>
    <row r="332" customFormat="false" ht="14.25" hidden="false" customHeight="false" outlineLevel="0" collapsed="false">
      <c r="B332" s="4" t="n">
        <v>0.275521082842547</v>
      </c>
      <c r="C332" s="25" t="n">
        <v>0.30415383429539</v>
      </c>
    </row>
    <row r="333" customFormat="false" ht="14.25" hidden="false" customHeight="false" outlineLevel="0" collapsed="false">
      <c r="A333" s="0" t="s">
        <v>102</v>
      </c>
      <c r="B333" s="4" t="n">
        <v>0.148598812442692</v>
      </c>
      <c r="C333" s="25" t="n">
        <v>0.148598812442692</v>
      </c>
    </row>
    <row r="334" customFormat="false" ht="14.25" hidden="false" customHeight="false" outlineLevel="0" collapsed="false">
      <c r="B334" s="4" t="n">
        <v>0.187726687524044</v>
      </c>
      <c r="C334" s="25" t="n">
        <v>0.192647878510865</v>
      </c>
    </row>
    <row r="335" customFormat="false" ht="14.25" hidden="false" customHeight="false" outlineLevel="0" collapsed="false">
      <c r="B335" s="4" t="n">
        <v>0.217911048301087</v>
      </c>
      <c r="C335" s="25" t="n">
        <v>0.227492103194791</v>
      </c>
    </row>
    <row r="336" customFormat="false" ht="14.25" hidden="false" customHeight="false" outlineLevel="0" collapsed="false">
      <c r="B336" s="4" t="n">
        <v>0.247400034312454</v>
      </c>
      <c r="C336" s="25" t="n">
        <v>0.261533601103957</v>
      </c>
    </row>
    <row r="337" customFormat="false" ht="14.25" hidden="false" customHeight="false" outlineLevel="0" collapsed="false">
      <c r="A337" s="0" t="s">
        <v>103</v>
      </c>
      <c r="B337" s="4" t="n">
        <v>0.187726687524044</v>
      </c>
      <c r="C337" s="25" t="n">
        <v>0.192647878510865</v>
      </c>
    </row>
    <row r="338" customFormat="false" ht="14.25" hidden="false" customHeight="false" outlineLevel="0" collapsed="false">
      <c r="B338" s="4" t="n">
        <v>0.217911048301087</v>
      </c>
      <c r="C338" s="25" t="n">
        <v>0.227492103194791</v>
      </c>
    </row>
    <row r="339" customFormat="false" ht="14.25" hidden="false" customHeight="false" outlineLevel="0" collapsed="false">
      <c r="B339" s="4" t="n">
        <v>0.247400034312454</v>
      </c>
      <c r="C339" s="25" t="n">
        <v>0.261533601103957</v>
      </c>
    </row>
    <row r="340" customFormat="false" ht="14.25" hidden="false" customHeight="false" outlineLevel="0" collapsed="false">
      <c r="A340" s="0" t="s">
        <v>104</v>
      </c>
      <c r="B340" s="4" t="n">
        <v>0.150622088413142</v>
      </c>
      <c r="C340" s="25" t="n">
        <v>0.150622088413142</v>
      </c>
    </row>
    <row r="341" customFormat="false" ht="14.25" hidden="false" customHeight="false" outlineLevel="0" collapsed="false">
      <c r="A341" s="0" t="s">
        <v>105</v>
      </c>
      <c r="B341" s="4" t="n">
        <v>0.108061002295251</v>
      </c>
      <c r="C341" s="25" t="n">
        <v>0.108061002295251</v>
      </c>
    </row>
    <row r="342" customFormat="false" ht="14.25" hidden="false" customHeight="false" outlineLevel="0" collapsed="false">
      <c r="B342" s="4" t="n">
        <v>0.147805128211685</v>
      </c>
      <c r="C342" s="25" t="n">
        <v>0.147805128211685</v>
      </c>
    </row>
    <row r="344" customFormat="false" ht="14.25" hidden="false" customHeight="false" outlineLevel="0" collapsed="false">
      <c r="B344" s="12"/>
      <c r="C344" s="12"/>
    </row>
    <row r="345" customFormat="false" ht="14.25" hidden="false" customHeight="false" outlineLevel="0" collapsed="false">
      <c r="B345" s="12"/>
      <c r="C345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96" activePane="bottomLeft" state="frozen"/>
      <selection pane="topLeft" activeCell="A1" activeCellId="0" sqref="A1"/>
      <selection pane="bottomLeft" activeCell="A343" activeCellId="0" sqref="A34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5.89"/>
    <col collapsed="false" customWidth="true" hidden="false" outlineLevel="0" max="2" min="2" style="1" width="24.78"/>
    <col collapsed="false" customWidth="true" hidden="false" outlineLevel="0" max="3" min="3" style="4" width="24.78"/>
    <col collapsed="false" customWidth="true" hidden="false" outlineLevel="0" max="5" min="4" style="1" width="29.66"/>
    <col collapsed="false" customWidth="true" hidden="false" outlineLevel="0" max="9" min="6" style="2" width="29.33"/>
    <col collapsed="false" customWidth="true" hidden="false" outlineLevel="0" max="11" min="10" style="4" width="22.44"/>
    <col collapsed="false" customWidth="true" hidden="false" outlineLevel="0" max="13" min="12" style="1" width="16.45"/>
    <col collapsed="false" customWidth="true" hidden="false" outlineLevel="0" max="17" min="14" style="1" width="25.66"/>
    <col collapsed="false" customWidth="true" hidden="false" outlineLevel="0" max="23" min="18" style="1" width="19.78"/>
    <col collapsed="false" customWidth="true" hidden="false" outlineLevel="0" max="25" min="24" style="28" width="15.33"/>
    <col collapsed="false" customWidth="true" hidden="false" outlineLevel="0" max="31" min="26" style="27" width="22.67"/>
    <col collapsed="false" customWidth="true" hidden="false" outlineLevel="0" max="32" min="32" style="4" width="9.66"/>
    <col collapsed="false" customWidth="true" hidden="false" outlineLevel="0" max="33" min="33" style="0" width="12"/>
  </cols>
  <sheetData>
    <row r="1" s="45" customFormat="true" ht="46.25" hidden="false" customHeight="false" outlineLevel="0" collapsed="false">
      <c r="A1" s="45" t="s">
        <v>8</v>
      </c>
      <c r="B1" s="33" t="s">
        <v>109</v>
      </c>
      <c r="C1" s="32" t="s">
        <v>180</v>
      </c>
      <c r="D1" s="33" t="s">
        <v>13</v>
      </c>
      <c r="E1" s="33" t="s">
        <v>181</v>
      </c>
      <c r="F1" s="46" t="s">
        <v>14</v>
      </c>
      <c r="G1" s="46" t="s">
        <v>182</v>
      </c>
      <c r="H1" s="46" t="s">
        <v>183</v>
      </c>
      <c r="I1" s="46" t="s">
        <v>184</v>
      </c>
      <c r="J1" s="32" t="s">
        <v>110</v>
      </c>
      <c r="K1" s="32" t="s">
        <v>185</v>
      </c>
      <c r="L1" s="33" t="s">
        <v>111</v>
      </c>
      <c r="M1" s="33" t="s">
        <v>186</v>
      </c>
      <c r="N1" s="33" t="s">
        <v>112</v>
      </c>
      <c r="O1" s="33" t="s">
        <v>187</v>
      </c>
      <c r="P1" s="18" t="s">
        <v>188</v>
      </c>
      <c r="Q1" s="18" t="s">
        <v>189</v>
      </c>
      <c r="R1" s="18" t="s">
        <v>190</v>
      </c>
      <c r="S1" s="18" t="s">
        <v>191</v>
      </c>
      <c r="T1" s="18" t="s">
        <v>192</v>
      </c>
      <c r="U1" s="18" t="s">
        <v>193</v>
      </c>
      <c r="V1" s="18" t="s">
        <v>194</v>
      </c>
      <c r="W1" s="18" t="s">
        <v>195</v>
      </c>
      <c r="X1" s="47" t="s">
        <v>18</v>
      </c>
      <c r="Y1" s="47" t="s">
        <v>196</v>
      </c>
      <c r="Z1" s="21" t="s">
        <v>136</v>
      </c>
      <c r="AA1" s="21" t="s">
        <v>197</v>
      </c>
      <c r="AB1" s="21" t="s">
        <v>198</v>
      </c>
      <c r="AC1" s="21" t="s">
        <v>199</v>
      </c>
      <c r="AD1" s="21" t="s">
        <v>200</v>
      </c>
      <c r="AE1" s="21" t="s">
        <v>201</v>
      </c>
      <c r="AF1" s="32" t="s">
        <v>115</v>
      </c>
      <c r="AG1" s="32"/>
    </row>
    <row r="2" customFormat="false" ht="14.25" hidden="false" customHeight="false" outlineLevel="0" collapsed="false">
      <c r="A2" s="0" t="s">
        <v>22</v>
      </c>
      <c r="B2" s="1" t="n">
        <v>20</v>
      </c>
      <c r="C2" s="4" t="e">
        <f aca="false">(B2-#REF!)/#REF!</f>
        <v>#REF!</v>
      </c>
      <c r="D2" s="1" t="n">
        <v>2</v>
      </c>
      <c r="E2" s="4" t="e">
        <f aca="false">(D2-#REF!)/#REF!</f>
        <v>#REF!</v>
      </c>
      <c r="F2" s="2" t="n">
        <v>126</v>
      </c>
      <c r="G2" s="4" t="e">
        <f aca="false">(F2-#REF!)/#REF!</f>
        <v>#REF!</v>
      </c>
      <c r="H2" s="2" t="n">
        <v>50.9</v>
      </c>
      <c r="I2" s="4" t="e">
        <f aca="false">(H2-#REF!)/#REF!</f>
        <v>#REF!</v>
      </c>
      <c r="J2" s="4" t="n">
        <v>4.12034052390144</v>
      </c>
      <c r="K2" s="4" t="e">
        <f aca="false">(J2-#REF!)/#REF!</f>
        <v>#REF!</v>
      </c>
      <c r="L2" s="1" t="n">
        <v>25</v>
      </c>
      <c r="M2" s="4" t="e">
        <f aca="false">(L2-#REF!)/#REF!</f>
        <v>#REF!</v>
      </c>
      <c r="N2" s="1" t="n">
        <v>39</v>
      </c>
      <c r="O2" s="4" t="e">
        <f aca="false">(N2-#REF!)/#REF!</f>
        <v>#REF!</v>
      </c>
      <c r="P2" s="1" t="n">
        <v>216</v>
      </c>
      <c r="Q2" s="4" t="e">
        <f aca="false">(P2-#REF!)/#REF!</f>
        <v>#REF!</v>
      </c>
      <c r="R2" s="1" t="n">
        <v>201</v>
      </c>
      <c r="S2" s="4" t="e">
        <f aca="false">(R2-#REF!)/#REF!</f>
        <v>#REF!</v>
      </c>
      <c r="T2" s="1" t="n">
        <f aca="false">R2-N2</f>
        <v>162</v>
      </c>
      <c r="U2" s="4" t="e">
        <f aca="false">(T2-#REF!)/#REF!</f>
        <v>#REF!</v>
      </c>
      <c r="V2" s="1" t="n">
        <v>628</v>
      </c>
      <c r="W2" s="4" t="e">
        <f aca="false">(V2-#REF!)/#REF!</f>
        <v>#REF!</v>
      </c>
      <c r="X2" s="28" t="n">
        <v>0.0144647134696886</v>
      </c>
      <c r="Y2" s="4" t="e">
        <f aca="false">(X2-#REF!)/#REF!</f>
        <v>#REF!</v>
      </c>
      <c r="Z2" s="27" t="n">
        <v>231.811004938734</v>
      </c>
      <c r="AA2" s="4" t="e">
        <f aca="false">(Z2-#REF!)/#REF!</f>
        <v>#REF!</v>
      </c>
      <c r="AB2" s="3" t="n">
        <v>500</v>
      </c>
      <c r="AC2" s="4" t="e">
        <f aca="false">(AB2-#REF!)/#REF!</f>
        <v>#REF!</v>
      </c>
      <c r="AD2" s="25" t="n">
        <v>20.8</v>
      </c>
      <c r="AE2" s="4" t="e">
        <f aca="false">(AD2-#REF!)/#REF!</f>
        <v>#REF!</v>
      </c>
      <c r="AF2" s="4" t="n">
        <v>0.16</v>
      </c>
      <c r="AG2" s="4"/>
    </row>
    <row r="3" customFormat="false" ht="14.25" hidden="false" customHeight="false" outlineLevel="0" collapsed="false">
      <c r="B3" s="1" t="n">
        <v>20</v>
      </c>
      <c r="C3" s="4" t="e">
        <f aca="false">(B3-#REF!)/#REF!</f>
        <v>#REF!</v>
      </c>
      <c r="D3" s="1" t="n">
        <v>2</v>
      </c>
      <c r="E3" s="4" t="e">
        <f aca="false">(D3-#REF!)/#REF!</f>
        <v>#REF!</v>
      </c>
      <c r="F3" s="2" t="n">
        <v>126</v>
      </c>
      <c r="G3" s="4" t="e">
        <f aca="false">(F3-#REF!)/#REF!</f>
        <v>#REF!</v>
      </c>
      <c r="H3" s="2" t="n">
        <v>50.9</v>
      </c>
      <c r="I3" s="4" t="e">
        <f aca="false">(H3-#REF!)/#REF!</f>
        <v>#REF!</v>
      </c>
      <c r="J3" s="4" t="n">
        <v>4.12034052390144</v>
      </c>
      <c r="K3" s="4" t="e">
        <f aca="false">(J3-#REF!)/#REF!</f>
        <v>#REF!</v>
      </c>
      <c r="L3" s="1" t="n">
        <v>25</v>
      </c>
      <c r="M3" s="4" t="e">
        <f aca="false">(L3-#REF!)/#REF!</f>
        <v>#REF!</v>
      </c>
      <c r="N3" s="1" t="n">
        <v>39</v>
      </c>
      <c r="O3" s="4" t="e">
        <f aca="false">(N3-#REF!)/#REF!</f>
        <v>#REF!</v>
      </c>
      <c r="P3" s="1" t="n">
        <v>216</v>
      </c>
      <c r="Q3" s="4" t="e">
        <f aca="false">(P3-#REF!)/#REF!</f>
        <v>#REF!</v>
      </c>
      <c r="R3" s="1" t="n">
        <v>201</v>
      </c>
      <c r="S3" s="4" t="e">
        <f aca="false">(R3-#REF!)/#REF!</f>
        <v>#REF!</v>
      </c>
      <c r="T3" s="1" t="n">
        <f aca="false">R3-N3</f>
        <v>162</v>
      </c>
      <c r="U3" s="4" t="e">
        <f aca="false">(T3-#REF!)/#REF!</f>
        <v>#REF!</v>
      </c>
      <c r="V3" s="1" t="n">
        <v>628</v>
      </c>
      <c r="W3" s="4" t="e">
        <f aca="false">(V3-#REF!)/#REF!</f>
        <v>#REF!</v>
      </c>
      <c r="X3" s="28" t="n">
        <v>0.0144647134696886</v>
      </c>
      <c r="Y3" s="4" t="e">
        <f aca="false">(X3-#REF!)/#REF!</f>
        <v>#REF!</v>
      </c>
      <c r="Z3" s="27" t="n">
        <v>304.251943982088</v>
      </c>
      <c r="AA3" s="4" t="e">
        <f aca="false">(Z3-#REF!)/#REF!</f>
        <v>#REF!</v>
      </c>
      <c r="AB3" s="3" t="n">
        <v>500</v>
      </c>
      <c r="AC3" s="4" t="e">
        <f aca="false">(AB3-#REF!)/#REF!</f>
        <v>#REF!</v>
      </c>
      <c r="AD3" s="25" t="n">
        <v>27.3</v>
      </c>
      <c r="AE3" s="4" t="e">
        <f aca="false">(AD3-#REF!)/#REF!</f>
        <v>#REF!</v>
      </c>
      <c r="AF3" s="4" t="n">
        <v>0.23</v>
      </c>
      <c r="AG3" s="4"/>
    </row>
    <row r="4" customFormat="false" ht="14.25" hidden="false" customHeight="false" outlineLevel="0" collapsed="false">
      <c r="B4" s="1" t="n">
        <v>20</v>
      </c>
      <c r="C4" s="4" t="e">
        <f aca="false">(B4-#REF!)/#REF!</f>
        <v>#REF!</v>
      </c>
      <c r="D4" s="1" t="n">
        <v>2</v>
      </c>
      <c r="E4" s="4" t="e">
        <f aca="false">(D4-#REF!)/#REF!</f>
        <v>#REF!</v>
      </c>
      <c r="F4" s="2" t="n">
        <v>126</v>
      </c>
      <c r="G4" s="4" t="e">
        <f aca="false">(F4-#REF!)/#REF!</f>
        <v>#REF!</v>
      </c>
      <c r="H4" s="2" t="n">
        <v>50.9</v>
      </c>
      <c r="I4" s="4" t="e">
        <f aca="false">(H4-#REF!)/#REF!</f>
        <v>#REF!</v>
      </c>
      <c r="J4" s="4" t="n">
        <v>4.12034052390144</v>
      </c>
      <c r="K4" s="4" t="e">
        <f aca="false">(J4-#REF!)/#REF!</f>
        <v>#REF!</v>
      </c>
      <c r="L4" s="1" t="n">
        <v>25</v>
      </c>
      <c r="M4" s="4" t="e">
        <f aca="false">(L4-#REF!)/#REF!</f>
        <v>#REF!</v>
      </c>
      <c r="N4" s="1" t="n">
        <v>39</v>
      </c>
      <c r="O4" s="4" t="e">
        <f aca="false">(N4-#REF!)/#REF!</f>
        <v>#REF!</v>
      </c>
      <c r="P4" s="1" t="n">
        <v>216</v>
      </c>
      <c r="Q4" s="4" t="e">
        <f aca="false">(P4-#REF!)/#REF!</f>
        <v>#REF!</v>
      </c>
      <c r="R4" s="1" t="n">
        <v>201</v>
      </c>
      <c r="S4" s="4" t="e">
        <f aca="false">(R4-#REF!)/#REF!</f>
        <v>#REF!</v>
      </c>
      <c r="T4" s="1" t="n">
        <f aca="false">R4-N4</f>
        <v>162</v>
      </c>
      <c r="U4" s="4" t="e">
        <f aca="false">(T4-#REF!)/#REF!</f>
        <v>#REF!</v>
      </c>
      <c r="V4" s="1" t="n">
        <v>628</v>
      </c>
      <c r="W4" s="4" t="e">
        <f aca="false">(V4-#REF!)/#REF!</f>
        <v>#REF!</v>
      </c>
      <c r="X4" s="28" t="n">
        <v>0.0144647134696886</v>
      </c>
      <c r="Y4" s="4" t="e">
        <f aca="false">(X4-#REF!)/#REF!</f>
        <v>#REF!</v>
      </c>
      <c r="Z4" s="27" t="n">
        <v>314.282227849629</v>
      </c>
      <c r="AA4" s="4" t="e">
        <f aca="false">(Z4-#REF!)/#REF!</f>
        <v>#REF!</v>
      </c>
      <c r="AB4" s="3" t="n">
        <v>500</v>
      </c>
      <c r="AC4" s="4" t="e">
        <f aca="false">(AB4-#REF!)/#REF!</f>
        <v>#REF!</v>
      </c>
      <c r="AD4" s="25" t="n">
        <v>28.2</v>
      </c>
      <c r="AE4" s="4" t="e">
        <f aca="false">(AD4-#REF!)/#REF!</f>
        <v>#REF!</v>
      </c>
      <c r="AF4" s="4" t="n">
        <v>0.24</v>
      </c>
      <c r="AG4" s="4"/>
    </row>
    <row r="5" customFormat="false" ht="14.25" hidden="false" customHeight="false" outlineLevel="0" collapsed="false">
      <c r="B5" s="1" t="n">
        <v>20</v>
      </c>
      <c r="C5" s="4" t="e">
        <f aca="false">(B5-#REF!)/#REF!</f>
        <v>#REF!</v>
      </c>
      <c r="D5" s="1" t="n">
        <v>2</v>
      </c>
      <c r="E5" s="4" t="e">
        <f aca="false">(D5-#REF!)/#REF!</f>
        <v>#REF!</v>
      </c>
      <c r="F5" s="2" t="n">
        <v>126</v>
      </c>
      <c r="G5" s="4" t="e">
        <f aca="false">(F5-#REF!)/#REF!</f>
        <v>#REF!</v>
      </c>
      <c r="H5" s="2" t="n">
        <v>50.9</v>
      </c>
      <c r="I5" s="4" t="e">
        <f aca="false">(H5-#REF!)/#REF!</f>
        <v>#REF!</v>
      </c>
      <c r="J5" s="4" t="n">
        <v>4.12034052390144</v>
      </c>
      <c r="K5" s="4" t="e">
        <f aca="false">(J5-#REF!)/#REF!</f>
        <v>#REF!</v>
      </c>
      <c r="L5" s="1" t="n">
        <v>25</v>
      </c>
      <c r="M5" s="4" t="e">
        <f aca="false">(L5-#REF!)/#REF!</f>
        <v>#REF!</v>
      </c>
      <c r="N5" s="1" t="n">
        <v>39</v>
      </c>
      <c r="O5" s="4" t="e">
        <f aca="false">(N5-#REF!)/#REF!</f>
        <v>#REF!</v>
      </c>
      <c r="P5" s="1" t="n">
        <v>216</v>
      </c>
      <c r="Q5" s="4" t="e">
        <f aca="false">(P5-#REF!)/#REF!</f>
        <v>#REF!</v>
      </c>
      <c r="R5" s="1" t="n">
        <v>201</v>
      </c>
      <c r="S5" s="4" t="e">
        <f aca="false">(R5-#REF!)/#REF!</f>
        <v>#REF!</v>
      </c>
      <c r="T5" s="1" t="n">
        <f aca="false">R5-N5</f>
        <v>162</v>
      </c>
      <c r="U5" s="4" t="e">
        <f aca="false">(T5-#REF!)/#REF!</f>
        <v>#REF!</v>
      </c>
      <c r="V5" s="1" t="n">
        <v>628</v>
      </c>
      <c r="W5" s="4" t="e">
        <f aca="false">(V5-#REF!)/#REF!</f>
        <v>#REF!</v>
      </c>
      <c r="X5" s="28" t="n">
        <v>0.0144647134696886</v>
      </c>
      <c r="Y5" s="4" t="e">
        <f aca="false">(X5-#REF!)/#REF!</f>
        <v>#REF!</v>
      </c>
      <c r="Z5" s="27" t="n">
        <v>363.319171202054</v>
      </c>
      <c r="AA5" s="4" t="e">
        <f aca="false">(Z5-#REF!)/#REF!</f>
        <v>#REF!</v>
      </c>
      <c r="AB5" s="3" t="n">
        <v>500</v>
      </c>
      <c r="AC5" s="4" t="e">
        <f aca="false">(AB5-#REF!)/#REF!</f>
        <v>#REF!</v>
      </c>
      <c r="AD5" s="25" t="n">
        <v>32.6</v>
      </c>
      <c r="AE5" s="4" t="e">
        <f aca="false">(AD5-#REF!)/#REF!</f>
        <v>#REF!</v>
      </c>
      <c r="AF5" s="4" t="n">
        <v>0.27</v>
      </c>
      <c r="AG5" s="4"/>
    </row>
    <row r="6" customFormat="false" ht="14.25" hidden="false" customHeight="false" outlineLevel="0" collapsed="false">
      <c r="B6" s="1" t="n">
        <v>20</v>
      </c>
      <c r="C6" s="4" t="e">
        <f aca="false">(B6-#REF!)/#REF!</f>
        <v>#REF!</v>
      </c>
      <c r="D6" s="1" t="n">
        <v>2</v>
      </c>
      <c r="E6" s="4" t="e">
        <f aca="false">(D6-#REF!)/#REF!</f>
        <v>#REF!</v>
      </c>
      <c r="F6" s="2" t="n">
        <v>126</v>
      </c>
      <c r="G6" s="4" t="e">
        <f aca="false">(F6-#REF!)/#REF!</f>
        <v>#REF!</v>
      </c>
      <c r="H6" s="2" t="n">
        <v>50.9</v>
      </c>
      <c r="I6" s="4" t="e">
        <f aca="false">(H6-#REF!)/#REF!</f>
        <v>#REF!</v>
      </c>
      <c r="J6" s="4" t="n">
        <v>4.12034052390144</v>
      </c>
      <c r="K6" s="4" t="e">
        <f aca="false">(J6-#REF!)/#REF!</f>
        <v>#REF!</v>
      </c>
      <c r="L6" s="1" t="n">
        <v>25</v>
      </c>
      <c r="M6" s="4" t="e">
        <f aca="false">(L6-#REF!)/#REF!</f>
        <v>#REF!</v>
      </c>
      <c r="N6" s="1" t="n">
        <v>39</v>
      </c>
      <c r="O6" s="4" t="e">
        <f aca="false">(N6-#REF!)/#REF!</f>
        <v>#REF!</v>
      </c>
      <c r="P6" s="1" t="n">
        <v>216</v>
      </c>
      <c r="Q6" s="4" t="e">
        <f aca="false">(P6-#REF!)/#REF!</f>
        <v>#REF!</v>
      </c>
      <c r="R6" s="1" t="n">
        <v>201</v>
      </c>
      <c r="S6" s="4" t="e">
        <f aca="false">(R6-#REF!)/#REF!</f>
        <v>#REF!</v>
      </c>
      <c r="T6" s="1" t="n">
        <f aca="false">R6-N6</f>
        <v>162</v>
      </c>
      <c r="U6" s="4" t="e">
        <f aca="false">(T6-#REF!)/#REF!</f>
        <v>#REF!</v>
      </c>
      <c r="V6" s="1" t="n">
        <v>628</v>
      </c>
      <c r="W6" s="4" t="e">
        <f aca="false">(V6-#REF!)/#REF!</f>
        <v>#REF!</v>
      </c>
      <c r="X6" s="28" t="n">
        <v>0.0144647134696886</v>
      </c>
      <c r="Y6" s="4" t="e">
        <f aca="false">(X6-#REF!)/#REF!</f>
        <v>#REF!</v>
      </c>
      <c r="Z6" s="27" t="n">
        <v>459.164105936338</v>
      </c>
      <c r="AA6" s="4" t="e">
        <f aca="false">(Z6-#REF!)/#REF!</f>
        <v>#REF!</v>
      </c>
      <c r="AB6" s="3" t="n">
        <v>500</v>
      </c>
      <c r="AC6" s="4" t="e">
        <f aca="false">(AB6-#REF!)/#REF!</f>
        <v>#REF!</v>
      </c>
      <c r="AD6" s="25" t="n">
        <v>41.2</v>
      </c>
      <c r="AE6" s="4" t="e">
        <f aca="false">(AD6-#REF!)/#REF!</f>
        <v>#REF!</v>
      </c>
      <c r="AF6" s="4" t="n">
        <v>0.35</v>
      </c>
      <c r="AG6" s="4"/>
    </row>
    <row r="7" customFormat="false" ht="14.25" hidden="false" customHeight="false" outlineLevel="0" collapsed="false">
      <c r="B7" s="1" t="n">
        <v>20</v>
      </c>
      <c r="C7" s="4" t="e">
        <f aca="false">(B7-#REF!)/#REF!</f>
        <v>#REF!</v>
      </c>
      <c r="D7" s="1" t="n">
        <v>2</v>
      </c>
      <c r="E7" s="4" t="e">
        <f aca="false">(D7-#REF!)/#REF!</f>
        <v>#REF!</v>
      </c>
      <c r="F7" s="2" t="n">
        <v>126</v>
      </c>
      <c r="G7" s="4" t="e">
        <f aca="false">(F7-#REF!)/#REF!</f>
        <v>#REF!</v>
      </c>
      <c r="H7" s="2" t="n">
        <v>50.9</v>
      </c>
      <c r="I7" s="4" t="e">
        <f aca="false">(H7-#REF!)/#REF!</f>
        <v>#REF!</v>
      </c>
      <c r="J7" s="4" t="n">
        <v>4.12034052390144</v>
      </c>
      <c r="K7" s="4" t="e">
        <f aca="false">(J7-#REF!)/#REF!</f>
        <v>#REF!</v>
      </c>
      <c r="L7" s="1" t="n">
        <v>25</v>
      </c>
      <c r="M7" s="4" t="e">
        <f aca="false">(L7-#REF!)/#REF!</f>
        <v>#REF!</v>
      </c>
      <c r="N7" s="1" t="n">
        <v>39</v>
      </c>
      <c r="O7" s="4" t="e">
        <f aca="false">(N7-#REF!)/#REF!</f>
        <v>#REF!</v>
      </c>
      <c r="P7" s="1" t="n">
        <v>216</v>
      </c>
      <c r="Q7" s="4" t="e">
        <f aca="false">(P7-#REF!)/#REF!</f>
        <v>#REF!</v>
      </c>
      <c r="R7" s="1" t="n">
        <v>201</v>
      </c>
      <c r="S7" s="4" t="e">
        <f aca="false">(R7-#REF!)/#REF!</f>
        <v>#REF!</v>
      </c>
      <c r="T7" s="1" t="n">
        <f aca="false">R7-N7</f>
        <v>162</v>
      </c>
      <c r="U7" s="4" t="e">
        <f aca="false">(T7-#REF!)/#REF!</f>
        <v>#REF!</v>
      </c>
      <c r="V7" s="1" t="n">
        <v>628</v>
      </c>
      <c r="W7" s="4" t="e">
        <f aca="false">(V7-#REF!)/#REF!</f>
        <v>#REF!</v>
      </c>
      <c r="X7" s="28" t="n">
        <v>0.0144647134696886</v>
      </c>
      <c r="Y7" s="4" t="e">
        <f aca="false">(X7-#REF!)/#REF!</f>
        <v>#REF!</v>
      </c>
      <c r="Z7" s="27" t="n">
        <v>500</v>
      </c>
      <c r="AA7" s="4" t="e">
        <f aca="false">(Z7-#REF!)/#REF!</f>
        <v>#REF!</v>
      </c>
      <c r="AB7" s="3" t="n">
        <v>500</v>
      </c>
      <c r="AC7" s="4" t="e">
        <f aca="false">(AB7-#REF!)/#REF!</f>
        <v>#REF!</v>
      </c>
      <c r="AD7" s="25" t="n">
        <v>44.9</v>
      </c>
      <c r="AE7" s="4" t="e">
        <f aca="false">(AD7-#REF!)/#REF!</f>
        <v>#REF!</v>
      </c>
      <c r="AF7" s="4" t="n">
        <v>0.4</v>
      </c>
      <c r="AG7" s="4"/>
    </row>
    <row r="8" customFormat="false" ht="14.25" hidden="false" customHeight="false" outlineLevel="0" collapsed="false">
      <c r="A8" s="0" t="s">
        <v>23</v>
      </c>
      <c r="B8" s="1" t="n">
        <v>10</v>
      </c>
      <c r="C8" s="4" t="e">
        <f aca="false">(B8-#REF!)/#REF!</f>
        <v>#REF!</v>
      </c>
      <c r="D8" s="1" t="n">
        <v>8</v>
      </c>
      <c r="E8" s="4" t="e">
        <f aca="false">(D8-#REF!)/#REF!</f>
        <v>#REF!</v>
      </c>
      <c r="F8" s="2" t="n">
        <v>87.7</v>
      </c>
      <c r="G8" s="4" t="e">
        <f aca="false">(F8-#REF!)/#REF!</f>
        <v>#REF!</v>
      </c>
      <c r="H8" s="2" t="n">
        <v>51.1</v>
      </c>
      <c r="I8" s="4" t="e">
        <f aca="false">(H8-#REF!)/#REF!</f>
        <v>#REF!</v>
      </c>
      <c r="J8" s="4" t="n">
        <v>4.13112676332901</v>
      </c>
      <c r="K8" s="4" t="e">
        <f aca="false">(J8-#REF!)/#REF!</f>
        <v>#REF!</v>
      </c>
      <c r="L8" s="1" t="n">
        <v>25</v>
      </c>
      <c r="M8" s="4" t="e">
        <f aca="false">(L8-#REF!)/#REF!</f>
        <v>#REF!</v>
      </c>
      <c r="N8" s="1" t="n">
        <v>53</v>
      </c>
      <c r="O8" s="4" t="e">
        <f aca="false">(N8-#REF!)/#REF!</f>
        <v>#REF!</v>
      </c>
      <c r="P8" s="1" t="n">
        <v>308</v>
      </c>
      <c r="Q8" s="4" t="e">
        <f aca="false">(P8-#REF!)/#REF!</f>
        <v>#REF!</v>
      </c>
      <c r="R8" s="1" t="n">
        <v>604</v>
      </c>
      <c r="S8" s="4" t="e">
        <f aca="false">(R8-#REF!)/#REF!</f>
        <v>#REF!</v>
      </c>
      <c r="T8" s="1" t="n">
        <f aca="false">R8-N8</f>
        <v>551</v>
      </c>
      <c r="U8" s="4" t="e">
        <f aca="false">(T8-#REF!)/#REF!</f>
        <v>#REF!</v>
      </c>
      <c r="V8" s="1" t="n">
        <v>628</v>
      </c>
      <c r="W8" s="4" t="e">
        <f aca="false">(V8-#REF!)/#REF!</f>
        <v>#REF!</v>
      </c>
      <c r="X8" s="28" t="n">
        <v>0.00337576330953814</v>
      </c>
      <c r="Y8" s="4" t="e">
        <f aca="false">(X8-#REF!)/#REF!</f>
        <v>#REF!</v>
      </c>
      <c r="Z8" s="27" t="n">
        <v>322.919715637812</v>
      </c>
      <c r="AA8" s="4" t="e">
        <f aca="false">(Z8-#REF!)/#REF!</f>
        <v>#REF!</v>
      </c>
      <c r="AB8" s="3" t="n">
        <v>500</v>
      </c>
      <c r="AC8" s="4" t="e">
        <f aca="false">(AB8-#REF!)/#REF!</f>
        <v>#REF!</v>
      </c>
      <c r="AD8" s="25" t="n">
        <v>105</v>
      </c>
      <c r="AE8" s="4" t="e">
        <f aca="false">(AD8-#REF!)/#REF!</f>
        <v>#REF!</v>
      </c>
      <c r="AF8" s="4" t="n">
        <v>0.16</v>
      </c>
      <c r="AG8" s="4"/>
    </row>
    <row r="9" customFormat="false" ht="14.25" hidden="false" customHeight="false" outlineLevel="0" collapsed="false">
      <c r="B9" s="1" t="n">
        <v>10</v>
      </c>
      <c r="C9" s="4" t="e">
        <f aca="false">(B9-#REF!)/#REF!</f>
        <v>#REF!</v>
      </c>
      <c r="D9" s="1" t="n">
        <v>8</v>
      </c>
      <c r="E9" s="4" t="e">
        <f aca="false">(D9-#REF!)/#REF!</f>
        <v>#REF!</v>
      </c>
      <c r="F9" s="2" t="n">
        <v>87.7</v>
      </c>
      <c r="G9" s="4" t="e">
        <f aca="false">(F9-#REF!)/#REF!</f>
        <v>#REF!</v>
      </c>
      <c r="H9" s="2" t="n">
        <v>51.1</v>
      </c>
      <c r="I9" s="4" t="e">
        <f aca="false">(H9-#REF!)/#REF!</f>
        <v>#REF!</v>
      </c>
      <c r="J9" s="4" t="n">
        <v>4.13112676332901</v>
      </c>
      <c r="K9" s="4" t="e">
        <f aca="false">(J9-#REF!)/#REF!</f>
        <v>#REF!</v>
      </c>
      <c r="L9" s="1" t="n">
        <v>25</v>
      </c>
      <c r="M9" s="4" t="e">
        <f aca="false">(L9-#REF!)/#REF!</f>
        <v>#REF!</v>
      </c>
      <c r="N9" s="1" t="n">
        <v>53</v>
      </c>
      <c r="O9" s="4" t="e">
        <f aca="false">(N9-#REF!)/#REF!</f>
        <v>#REF!</v>
      </c>
      <c r="P9" s="1" t="n">
        <v>308</v>
      </c>
      <c r="Q9" s="4" t="e">
        <f aca="false">(P9-#REF!)/#REF!</f>
        <v>#REF!</v>
      </c>
      <c r="R9" s="1" t="n">
        <v>604</v>
      </c>
      <c r="S9" s="4" t="e">
        <f aca="false">(R9-#REF!)/#REF!</f>
        <v>#REF!</v>
      </c>
      <c r="T9" s="1" t="n">
        <f aca="false">R9-N9</f>
        <v>551</v>
      </c>
      <c r="U9" s="4" t="e">
        <f aca="false">(T9-#REF!)/#REF!</f>
        <v>#REF!</v>
      </c>
      <c r="V9" s="1" t="n">
        <v>628</v>
      </c>
      <c r="W9" s="4" t="e">
        <f aca="false">(V9-#REF!)/#REF!</f>
        <v>#REF!</v>
      </c>
      <c r="X9" s="28" t="n">
        <v>0.00337576330953814</v>
      </c>
      <c r="Y9" s="4" t="e">
        <f aca="false">(X9-#REF!)/#REF!</f>
        <v>#REF!</v>
      </c>
      <c r="Z9" s="27" t="n">
        <v>367.820933240784</v>
      </c>
      <c r="AA9" s="4" t="e">
        <f aca="false">(Z9-#REF!)/#REF!</f>
        <v>#REF!</v>
      </c>
      <c r="AB9" s="3" t="n">
        <v>500</v>
      </c>
      <c r="AC9" s="4" t="e">
        <f aca="false">(AB9-#REF!)/#REF!</f>
        <v>#REF!</v>
      </c>
      <c r="AD9" s="25" t="n">
        <v>119.6</v>
      </c>
      <c r="AE9" s="4" t="e">
        <f aca="false">(AD9-#REF!)/#REF!</f>
        <v>#REF!</v>
      </c>
      <c r="AF9" s="4" t="n">
        <v>0.18</v>
      </c>
      <c r="AG9" s="4"/>
    </row>
    <row r="10" customFormat="false" ht="14.25" hidden="false" customHeight="false" outlineLevel="0" collapsed="false">
      <c r="B10" s="1" t="n">
        <v>10</v>
      </c>
      <c r="C10" s="4" t="e">
        <f aca="false">(B10-#REF!)/#REF!</f>
        <v>#REF!</v>
      </c>
      <c r="D10" s="1" t="n">
        <v>8</v>
      </c>
      <c r="E10" s="4" t="e">
        <f aca="false">(D10-#REF!)/#REF!</f>
        <v>#REF!</v>
      </c>
      <c r="F10" s="2" t="n">
        <v>87.7</v>
      </c>
      <c r="G10" s="4" t="e">
        <f aca="false">(F10-#REF!)/#REF!</f>
        <v>#REF!</v>
      </c>
      <c r="H10" s="2" t="n">
        <v>51.1</v>
      </c>
      <c r="I10" s="4" t="e">
        <f aca="false">(H10-#REF!)/#REF!</f>
        <v>#REF!</v>
      </c>
      <c r="J10" s="4" t="n">
        <v>4.13112676332901</v>
      </c>
      <c r="K10" s="4" t="e">
        <f aca="false">(J10-#REF!)/#REF!</f>
        <v>#REF!</v>
      </c>
      <c r="L10" s="1" t="n">
        <v>25</v>
      </c>
      <c r="M10" s="4" t="e">
        <f aca="false">(L10-#REF!)/#REF!</f>
        <v>#REF!</v>
      </c>
      <c r="N10" s="1" t="n">
        <v>53</v>
      </c>
      <c r="O10" s="4" t="e">
        <f aca="false">(N10-#REF!)/#REF!</f>
        <v>#REF!</v>
      </c>
      <c r="P10" s="1" t="n">
        <v>308</v>
      </c>
      <c r="Q10" s="4" t="e">
        <f aca="false">(P10-#REF!)/#REF!</f>
        <v>#REF!</v>
      </c>
      <c r="R10" s="1" t="n">
        <v>604</v>
      </c>
      <c r="S10" s="4" t="e">
        <f aca="false">(R10-#REF!)/#REF!</f>
        <v>#REF!</v>
      </c>
      <c r="T10" s="1" t="n">
        <f aca="false">R10-N10</f>
        <v>551</v>
      </c>
      <c r="U10" s="4" t="e">
        <f aca="false">(T10-#REF!)/#REF!</f>
        <v>#REF!</v>
      </c>
      <c r="V10" s="1" t="n">
        <v>628</v>
      </c>
      <c r="W10" s="4" t="e">
        <f aca="false">(V10-#REF!)/#REF!</f>
        <v>#REF!</v>
      </c>
      <c r="X10" s="28" t="n">
        <v>0.00337576330953814</v>
      </c>
      <c r="Y10" s="4" t="e">
        <f aca="false">(X10-#REF!)/#REF!</f>
        <v>#REF!</v>
      </c>
      <c r="Z10" s="27" t="n">
        <v>500</v>
      </c>
      <c r="AA10" s="4" t="e">
        <f aca="false">(Z10-#REF!)/#REF!</f>
        <v>#REF!</v>
      </c>
      <c r="AB10" s="3" t="n">
        <v>500</v>
      </c>
      <c r="AC10" s="4" t="e">
        <f aca="false">(AB10-#REF!)/#REF!</f>
        <v>#REF!</v>
      </c>
      <c r="AD10" s="25" t="n">
        <v>174.3</v>
      </c>
      <c r="AE10" s="4" t="e">
        <f aca="false">(AD10-#REF!)/#REF!</f>
        <v>#REF!</v>
      </c>
      <c r="AF10" s="4" t="n">
        <v>0.26</v>
      </c>
      <c r="AG10" s="4"/>
    </row>
    <row r="11" customFormat="false" ht="14.25" hidden="false" customHeight="false" outlineLevel="0" collapsed="false">
      <c r="A11" s="0" t="s">
        <v>24</v>
      </c>
      <c r="B11" s="1" t="n">
        <v>10</v>
      </c>
      <c r="C11" s="4" t="e">
        <f aca="false">(B11-#REF!)/#REF!</f>
        <v>#REF!</v>
      </c>
      <c r="D11" s="1" t="n">
        <v>4</v>
      </c>
      <c r="E11" s="4" t="e">
        <f aca="false">(D11-#REF!)/#REF!</f>
        <v>#REF!</v>
      </c>
      <c r="F11" s="2" t="n">
        <v>32.4666666666667</v>
      </c>
      <c r="G11" s="4" t="e">
        <f aca="false">(F11-#REF!)/#REF!</f>
        <v>#REF!</v>
      </c>
      <c r="H11" s="2" t="n">
        <v>46.97</v>
      </c>
      <c r="I11" s="4" t="e">
        <f aca="false">(H11-#REF!)/#REF!</f>
        <v>#REF!</v>
      </c>
      <c r="J11" s="4" t="n">
        <v>3.262</v>
      </c>
      <c r="K11" s="4" t="e">
        <f aca="false">(J11-#REF!)/#REF!</f>
        <v>#REF!</v>
      </c>
      <c r="L11" s="1" t="n">
        <v>25</v>
      </c>
      <c r="M11" s="4" t="e">
        <f aca="false">(L11-#REF!)/#REF!</f>
        <v>#REF!</v>
      </c>
      <c r="N11" s="1" t="n">
        <v>36</v>
      </c>
      <c r="O11" s="4" t="e">
        <f aca="false">(N11-#REF!)/#REF!</f>
        <v>#REF!</v>
      </c>
      <c r="P11" s="1" t="n">
        <v>200</v>
      </c>
      <c r="Q11" s="4" t="e">
        <f aca="false">(P11-#REF!)/#REF!</f>
        <v>#REF!</v>
      </c>
      <c r="R11" s="1" t="n">
        <v>600</v>
      </c>
      <c r="S11" s="4" t="e">
        <f aca="false">(R11-#REF!)/#REF!</f>
        <v>#REF!</v>
      </c>
      <c r="T11" s="1" t="n">
        <f aca="false">R11-N11</f>
        <v>564</v>
      </c>
      <c r="U11" s="4" t="e">
        <f aca="false">(T11-#REF!)/#REF!</f>
        <v>#REF!</v>
      </c>
      <c r="V11" s="1" t="n">
        <v>314</v>
      </c>
      <c r="W11" s="4" t="e">
        <f aca="false">(V11-#REF!)/#REF!</f>
        <v>#REF!</v>
      </c>
      <c r="X11" s="28" t="n">
        <v>0.00261666666666667</v>
      </c>
      <c r="Y11" s="4" t="e">
        <f aca="false">(X11-#REF!)/#REF!</f>
        <v>#REF!</v>
      </c>
      <c r="Z11" s="27" t="n">
        <v>285.048032184717</v>
      </c>
      <c r="AA11" s="4" t="e">
        <f aca="false">(Z11-#REF!)/#REF!</f>
        <v>#REF!</v>
      </c>
      <c r="AB11" s="3" t="n">
        <v>628</v>
      </c>
      <c r="AC11" s="4" t="e">
        <f aca="false">(AB11-#REF!)/#REF!</f>
        <v>#REF!</v>
      </c>
      <c r="AD11" s="25" t="n">
        <v>47.625</v>
      </c>
      <c r="AE11" s="4" t="e">
        <f aca="false">(AD11-#REF!)/#REF!</f>
        <v>#REF!</v>
      </c>
      <c r="AF11" s="4" t="n">
        <v>0.16</v>
      </c>
      <c r="AG11" s="4"/>
    </row>
    <row r="12" customFormat="false" ht="14.25" hidden="false" customHeight="false" outlineLevel="0" collapsed="false">
      <c r="B12" s="1" t="n">
        <v>10</v>
      </c>
      <c r="C12" s="4" t="e">
        <f aca="false">(B12-#REF!)/#REF!</f>
        <v>#REF!</v>
      </c>
      <c r="D12" s="1" t="n">
        <v>4</v>
      </c>
      <c r="E12" s="4" t="e">
        <f aca="false">(D12-#REF!)/#REF!</f>
        <v>#REF!</v>
      </c>
      <c r="F12" s="2" t="n">
        <v>32.4666666666667</v>
      </c>
      <c r="G12" s="4" t="e">
        <f aca="false">(F12-#REF!)/#REF!</f>
        <v>#REF!</v>
      </c>
      <c r="H12" s="2" t="n">
        <v>46.97</v>
      </c>
      <c r="I12" s="4" t="e">
        <f aca="false">(H12-#REF!)/#REF!</f>
        <v>#REF!</v>
      </c>
      <c r="J12" s="4" t="n">
        <v>3.262</v>
      </c>
      <c r="K12" s="4" t="e">
        <f aca="false">(J12-#REF!)/#REF!</f>
        <v>#REF!</v>
      </c>
      <c r="L12" s="1" t="n">
        <v>25</v>
      </c>
      <c r="M12" s="4" t="e">
        <f aca="false">(L12-#REF!)/#REF!</f>
        <v>#REF!</v>
      </c>
      <c r="N12" s="1" t="n">
        <v>36</v>
      </c>
      <c r="O12" s="4" t="e">
        <f aca="false">(N12-#REF!)/#REF!</f>
        <v>#REF!</v>
      </c>
      <c r="P12" s="1" t="n">
        <v>200</v>
      </c>
      <c r="Q12" s="4" t="e">
        <f aca="false">(P12-#REF!)/#REF!</f>
        <v>#REF!</v>
      </c>
      <c r="R12" s="1" t="n">
        <v>600</v>
      </c>
      <c r="S12" s="4" t="e">
        <f aca="false">(R12-#REF!)/#REF!</f>
        <v>#REF!</v>
      </c>
      <c r="T12" s="1" t="n">
        <f aca="false">R12-N12</f>
        <v>564</v>
      </c>
      <c r="U12" s="4" t="e">
        <f aca="false">(T12-#REF!)/#REF!</f>
        <v>#REF!</v>
      </c>
      <c r="V12" s="1" t="n">
        <v>314</v>
      </c>
      <c r="W12" s="4" t="e">
        <f aca="false">(V12-#REF!)/#REF!</f>
        <v>#REF!</v>
      </c>
      <c r="X12" s="28" t="n">
        <v>0.00261666666666667</v>
      </c>
      <c r="Y12" s="4" t="e">
        <f aca="false">(X12-#REF!)/#REF!</f>
        <v>#REF!</v>
      </c>
      <c r="Z12" s="27" t="n">
        <v>324.999646144464</v>
      </c>
      <c r="AA12" s="4" t="e">
        <f aca="false">(Z12-#REF!)/#REF!</f>
        <v>#REF!</v>
      </c>
      <c r="AB12" s="3" t="n">
        <v>628</v>
      </c>
      <c r="AC12" s="4" t="e">
        <f aca="false">(AB12-#REF!)/#REF!</f>
        <v>#REF!</v>
      </c>
      <c r="AD12" s="25" t="n">
        <v>54.3</v>
      </c>
      <c r="AE12" s="4" t="e">
        <f aca="false">(AD12-#REF!)/#REF!</f>
        <v>#REF!</v>
      </c>
      <c r="AF12" s="4" t="n">
        <v>0.2</v>
      </c>
      <c r="AG12" s="4"/>
    </row>
    <row r="13" customFormat="false" ht="14.25" hidden="false" customHeight="false" outlineLevel="0" collapsed="false">
      <c r="B13" s="1" t="n">
        <v>10</v>
      </c>
      <c r="C13" s="4" t="e">
        <f aca="false">(B13-#REF!)/#REF!</f>
        <v>#REF!</v>
      </c>
      <c r="D13" s="1" t="n">
        <v>4</v>
      </c>
      <c r="E13" s="4" t="e">
        <f aca="false">(D13-#REF!)/#REF!</f>
        <v>#REF!</v>
      </c>
      <c r="F13" s="2" t="n">
        <v>32.4666666666667</v>
      </c>
      <c r="G13" s="4" t="e">
        <f aca="false">(F13-#REF!)/#REF!</f>
        <v>#REF!</v>
      </c>
      <c r="H13" s="2" t="n">
        <v>46.97</v>
      </c>
      <c r="I13" s="4" t="e">
        <f aca="false">(H13-#REF!)/#REF!</f>
        <v>#REF!</v>
      </c>
      <c r="J13" s="4" t="n">
        <v>3.262</v>
      </c>
      <c r="K13" s="4" t="e">
        <f aca="false">(J13-#REF!)/#REF!</f>
        <v>#REF!</v>
      </c>
      <c r="L13" s="1" t="n">
        <v>25</v>
      </c>
      <c r="M13" s="4" t="e">
        <f aca="false">(L13-#REF!)/#REF!</f>
        <v>#REF!</v>
      </c>
      <c r="N13" s="1" t="n">
        <v>36</v>
      </c>
      <c r="O13" s="4" t="e">
        <f aca="false">(N13-#REF!)/#REF!</f>
        <v>#REF!</v>
      </c>
      <c r="P13" s="1" t="n">
        <v>200</v>
      </c>
      <c r="Q13" s="4" t="e">
        <f aca="false">(P13-#REF!)/#REF!</f>
        <v>#REF!</v>
      </c>
      <c r="R13" s="1" t="n">
        <v>600</v>
      </c>
      <c r="S13" s="4" t="e">
        <f aca="false">(R13-#REF!)/#REF!</f>
        <v>#REF!</v>
      </c>
      <c r="T13" s="1" t="n">
        <f aca="false">R13-N13</f>
        <v>564</v>
      </c>
      <c r="U13" s="4" t="e">
        <f aca="false">(T13-#REF!)/#REF!</f>
        <v>#REF!</v>
      </c>
      <c r="V13" s="1" t="n">
        <v>314</v>
      </c>
      <c r="W13" s="4" t="e">
        <f aca="false">(V13-#REF!)/#REF!</f>
        <v>#REF!</v>
      </c>
      <c r="X13" s="28" t="n">
        <v>0.00261666666666667</v>
      </c>
      <c r="Y13" s="4" t="e">
        <f aca="false">(X13-#REF!)/#REF!</f>
        <v>#REF!</v>
      </c>
      <c r="Z13" s="27" t="n">
        <v>367.644627337453</v>
      </c>
      <c r="AA13" s="4" t="e">
        <f aca="false">(Z13-#REF!)/#REF!</f>
        <v>#REF!</v>
      </c>
      <c r="AB13" s="3" t="n">
        <v>628</v>
      </c>
      <c r="AC13" s="4" t="e">
        <f aca="false">(AB13-#REF!)/#REF!</f>
        <v>#REF!</v>
      </c>
      <c r="AD13" s="25" t="n">
        <v>61.425</v>
      </c>
      <c r="AE13" s="4" t="e">
        <f aca="false">(AD13-#REF!)/#REF!</f>
        <v>#REF!</v>
      </c>
      <c r="AF13" s="4" t="n">
        <v>0.2</v>
      </c>
      <c r="AG13" s="4"/>
    </row>
    <row r="14" customFormat="false" ht="14.25" hidden="false" customHeight="false" outlineLevel="0" collapsed="false">
      <c r="B14" s="1" t="n">
        <v>10</v>
      </c>
      <c r="C14" s="4" t="e">
        <f aca="false">(B14-#REF!)/#REF!</f>
        <v>#REF!</v>
      </c>
      <c r="D14" s="1" t="n">
        <v>4</v>
      </c>
      <c r="E14" s="4" t="e">
        <f aca="false">(D14-#REF!)/#REF!</f>
        <v>#REF!</v>
      </c>
      <c r="F14" s="2" t="n">
        <v>32.4666666666667</v>
      </c>
      <c r="G14" s="4" t="e">
        <f aca="false">(F14-#REF!)/#REF!</f>
        <v>#REF!</v>
      </c>
      <c r="H14" s="2" t="n">
        <v>46.97</v>
      </c>
      <c r="I14" s="4" t="e">
        <f aca="false">(H14-#REF!)/#REF!</f>
        <v>#REF!</v>
      </c>
      <c r="J14" s="4" t="n">
        <v>3.262</v>
      </c>
      <c r="K14" s="4" t="e">
        <f aca="false">(J14-#REF!)/#REF!</f>
        <v>#REF!</v>
      </c>
      <c r="L14" s="1" t="n">
        <v>25</v>
      </c>
      <c r="M14" s="4" t="e">
        <f aca="false">(L14-#REF!)/#REF!</f>
        <v>#REF!</v>
      </c>
      <c r="N14" s="1" t="n">
        <v>36</v>
      </c>
      <c r="O14" s="4" t="e">
        <f aca="false">(N14-#REF!)/#REF!</f>
        <v>#REF!</v>
      </c>
      <c r="P14" s="1" t="n">
        <v>200</v>
      </c>
      <c r="Q14" s="4" t="e">
        <f aca="false">(P14-#REF!)/#REF!</f>
        <v>#REF!</v>
      </c>
      <c r="R14" s="1" t="n">
        <v>600</v>
      </c>
      <c r="S14" s="4" t="e">
        <f aca="false">(R14-#REF!)/#REF!</f>
        <v>#REF!</v>
      </c>
      <c r="T14" s="1" t="n">
        <f aca="false">R14-N14</f>
        <v>564</v>
      </c>
      <c r="U14" s="4" t="e">
        <f aca="false">(T14-#REF!)/#REF!</f>
        <v>#REF!</v>
      </c>
      <c r="V14" s="1" t="n">
        <v>314</v>
      </c>
      <c r="W14" s="4" t="e">
        <f aca="false">(V14-#REF!)/#REF!</f>
        <v>#REF!</v>
      </c>
      <c r="X14" s="28" t="n">
        <v>0.00261666666666667</v>
      </c>
      <c r="Y14" s="4" t="e">
        <f aca="false">(X14-#REF!)/#REF!</f>
        <v>#REF!</v>
      </c>
      <c r="Z14" s="27" t="n">
        <v>410.738503069316</v>
      </c>
      <c r="AA14" s="4" t="e">
        <f aca="false">(Z14-#REF!)/#REF!</f>
        <v>#REF!</v>
      </c>
      <c r="AB14" s="3" t="n">
        <v>628</v>
      </c>
      <c r="AC14" s="4" t="e">
        <f aca="false">(AB14-#REF!)/#REF!</f>
        <v>#REF!</v>
      </c>
      <c r="AD14" s="25" t="n">
        <v>68.625</v>
      </c>
      <c r="AE14" s="4" t="e">
        <f aca="false">(AD14-#REF!)/#REF!</f>
        <v>#REF!</v>
      </c>
      <c r="AF14" s="4" t="n">
        <v>0.24</v>
      </c>
      <c r="AG14" s="4"/>
    </row>
    <row r="15" customFormat="false" ht="14.25" hidden="false" customHeight="false" outlineLevel="0" collapsed="false">
      <c r="B15" s="1" t="n">
        <v>10</v>
      </c>
      <c r="C15" s="4" t="e">
        <f aca="false">(B15-#REF!)/#REF!</f>
        <v>#REF!</v>
      </c>
      <c r="D15" s="1" t="n">
        <v>4</v>
      </c>
      <c r="E15" s="4" t="e">
        <f aca="false">(D15-#REF!)/#REF!</f>
        <v>#REF!</v>
      </c>
      <c r="F15" s="2" t="n">
        <v>32.4666666666667</v>
      </c>
      <c r="G15" s="4" t="e">
        <f aca="false">(F15-#REF!)/#REF!</f>
        <v>#REF!</v>
      </c>
      <c r="H15" s="2" t="n">
        <v>46.97</v>
      </c>
      <c r="I15" s="4" t="e">
        <f aca="false">(H15-#REF!)/#REF!</f>
        <v>#REF!</v>
      </c>
      <c r="J15" s="4" t="n">
        <v>3.262</v>
      </c>
      <c r="K15" s="4" t="e">
        <f aca="false">(J15-#REF!)/#REF!</f>
        <v>#REF!</v>
      </c>
      <c r="L15" s="1" t="n">
        <v>25</v>
      </c>
      <c r="M15" s="4" t="e">
        <f aca="false">(L15-#REF!)/#REF!</f>
        <v>#REF!</v>
      </c>
      <c r="N15" s="1" t="n">
        <v>36</v>
      </c>
      <c r="O15" s="4" t="e">
        <f aca="false">(N15-#REF!)/#REF!</f>
        <v>#REF!</v>
      </c>
      <c r="P15" s="1" t="n">
        <v>200</v>
      </c>
      <c r="Q15" s="4" t="e">
        <f aca="false">(P15-#REF!)/#REF!</f>
        <v>#REF!</v>
      </c>
      <c r="R15" s="1" t="n">
        <v>600</v>
      </c>
      <c r="S15" s="4" t="e">
        <f aca="false">(R15-#REF!)/#REF!</f>
        <v>#REF!</v>
      </c>
      <c r="T15" s="1" t="n">
        <f aca="false">R15-N15</f>
        <v>564</v>
      </c>
      <c r="U15" s="4" t="e">
        <f aca="false">(T15-#REF!)/#REF!</f>
        <v>#REF!</v>
      </c>
      <c r="V15" s="1" t="n">
        <v>314</v>
      </c>
      <c r="W15" s="4" t="e">
        <f aca="false">(V15-#REF!)/#REF!</f>
        <v>#REF!</v>
      </c>
      <c r="X15" s="28" t="n">
        <v>0.00261666666666667</v>
      </c>
      <c r="Y15" s="4" t="e">
        <f aca="false">(X15-#REF!)/#REF!</f>
        <v>#REF!</v>
      </c>
      <c r="Z15" s="27" t="n">
        <v>438.569964479477</v>
      </c>
      <c r="AA15" s="4" t="e">
        <f aca="false">(Z15-#REF!)/#REF!</f>
        <v>#REF!</v>
      </c>
      <c r="AB15" s="3" t="n">
        <v>628</v>
      </c>
      <c r="AC15" s="4" t="e">
        <f aca="false">(AB15-#REF!)/#REF!</f>
        <v>#REF!</v>
      </c>
      <c r="AD15" s="25" t="n">
        <v>73.275</v>
      </c>
      <c r="AE15" s="4" t="e">
        <f aca="false">(AD15-#REF!)/#REF!</f>
        <v>#REF!</v>
      </c>
      <c r="AF15" s="4" t="n">
        <v>0.3</v>
      </c>
      <c r="AG15" s="4"/>
    </row>
    <row r="16" customFormat="false" ht="14.25" hidden="false" customHeight="false" outlineLevel="0" collapsed="false">
      <c r="B16" s="1" t="n">
        <v>10</v>
      </c>
      <c r="C16" s="4" t="e">
        <f aca="false">(B16-#REF!)/#REF!</f>
        <v>#REF!</v>
      </c>
      <c r="D16" s="1" t="n">
        <v>4</v>
      </c>
      <c r="E16" s="4" t="e">
        <f aca="false">(D16-#REF!)/#REF!</f>
        <v>#REF!</v>
      </c>
      <c r="F16" s="2" t="n">
        <v>32.4666666666667</v>
      </c>
      <c r="G16" s="4" t="e">
        <f aca="false">(F16-#REF!)/#REF!</f>
        <v>#REF!</v>
      </c>
      <c r="H16" s="2" t="n">
        <v>46.97</v>
      </c>
      <c r="I16" s="4" t="e">
        <f aca="false">(H16-#REF!)/#REF!</f>
        <v>#REF!</v>
      </c>
      <c r="J16" s="4" t="n">
        <v>3.262</v>
      </c>
      <c r="K16" s="4" t="e">
        <f aca="false">(J16-#REF!)/#REF!</f>
        <v>#REF!</v>
      </c>
      <c r="L16" s="1" t="n">
        <v>25</v>
      </c>
      <c r="M16" s="4" t="e">
        <f aca="false">(L16-#REF!)/#REF!</f>
        <v>#REF!</v>
      </c>
      <c r="N16" s="1" t="n">
        <v>36</v>
      </c>
      <c r="O16" s="4" t="e">
        <f aca="false">(N16-#REF!)/#REF!</f>
        <v>#REF!</v>
      </c>
      <c r="P16" s="1" t="n">
        <v>200</v>
      </c>
      <c r="Q16" s="4" t="e">
        <f aca="false">(P16-#REF!)/#REF!</f>
        <v>#REF!</v>
      </c>
      <c r="R16" s="1" t="n">
        <v>600</v>
      </c>
      <c r="S16" s="4" t="e">
        <f aca="false">(R16-#REF!)/#REF!</f>
        <v>#REF!</v>
      </c>
      <c r="T16" s="1" t="n">
        <f aca="false">R16-N16</f>
        <v>564</v>
      </c>
      <c r="U16" s="4" t="e">
        <f aca="false">(T16-#REF!)/#REF!</f>
        <v>#REF!</v>
      </c>
      <c r="V16" s="1" t="n">
        <v>314</v>
      </c>
      <c r="W16" s="4" t="e">
        <f aca="false">(V16-#REF!)/#REF!</f>
        <v>#REF!</v>
      </c>
      <c r="X16" s="28" t="n">
        <v>0.00261666666666667</v>
      </c>
      <c r="Y16" s="4" t="e">
        <f aca="false">(X16-#REF!)/#REF!</f>
        <v>#REF!</v>
      </c>
      <c r="Z16" s="27" t="n">
        <v>498.272938149662</v>
      </c>
      <c r="AA16" s="4" t="e">
        <f aca="false">(Z16-#REF!)/#REF!</f>
        <v>#REF!</v>
      </c>
      <c r="AB16" s="3" t="n">
        <v>628</v>
      </c>
      <c r="AC16" s="4" t="e">
        <f aca="false">(AB16-#REF!)/#REF!</f>
        <v>#REF!</v>
      </c>
      <c r="AD16" s="25" t="n">
        <v>83.25</v>
      </c>
      <c r="AE16" s="4" t="e">
        <f aca="false">(AD16-#REF!)/#REF!</f>
        <v>#REF!</v>
      </c>
      <c r="AF16" s="4" t="n">
        <v>0.32</v>
      </c>
      <c r="AG16" s="4"/>
    </row>
    <row r="17" customFormat="false" ht="14.25" hidden="false" customHeight="false" outlineLevel="0" collapsed="false">
      <c r="B17" s="1" t="n">
        <v>10</v>
      </c>
      <c r="C17" s="4" t="e">
        <f aca="false">(B17-#REF!)/#REF!</f>
        <v>#REF!</v>
      </c>
      <c r="D17" s="1" t="n">
        <v>4</v>
      </c>
      <c r="E17" s="4" t="e">
        <f aca="false">(D17-#REF!)/#REF!</f>
        <v>#REF!</v>
      </c>
      <c r="F17" s="2" t="n">
        <v>32.4666666666667</v>
      </c>
      <c r="G17" s="4" t="e">
        <f aca="false">(F17-#REF!)/#REF!</f>
        <v>#REF!</v>
      </c>
      <c r="H17" s="2" t="n">
        <v>46.97</v>
      </c>
      <c r="I17" s="4" t="e">
        <f aca="false">(H17-#REF!)/#REF!</f>
        <v>#REF!</v>
      </c>
      <c r="J17" s="4" t="n">
        <v>3.262</v>
      </c>
      <c r="K17" s="4" t="e">
        <f aca="false">(J17-#REF!)/#REF!</f>
        <v>#REF!</v>
      </c>
      <c r="L17" s="1" t="n">
        <v>25</v>
      </c>
      <c r="M17" s="4" t="e">
        <f aca="false">(L17-#REF!)/#REF!</f>
        <v>#REF!</v>
      </c>
      <c r="N17" s="1" t="n">
        <v>36</v>
      </c>
      <c r="O17" s="4" t="e">
        <f aca="false">(N17-#REF!)/#REF!</f>
        <v>#REF!</v>
      </c>
      <c r="P17" s="1" t="n">
        <v>200</v>
      </c>
      <c r="Q17" s="4" t="e">
        <f aca="false">(P17-#REF!)/#REF!</f>
        <v>#REF!</v>
      </c>
      <c r="R17" s="1" t="n">
        <v>600</v>
      </c>
      <c r="S17" s="4" t="e">
        <f aca="false">(R17-#REF!)/#REF!</f>
        <v>#REF!</v>
      </c>
      <c r="T17" s="1" t="n">
        <f aca="false">R17-N17</f>
        <v>564</v>
      </c>
      <c r="U17" s="4" t="e">
        <f aca="false">(T17-#REF!)/#REF!</f>
        <v>#REF!</v>
      </c>
      <c r="V17" s="1" t="n">
        <v>314</v>
      </c>
      <c r="W17" s="4" t="e">
        <f aca="false">(V17-#REF!)/#REF!</f>
        <v>#REF!</v>
      </c>
      <c r="X17" s="28" t="n">
        <v>0.00261666666666667</v>
      </c>
      <c r="Y17" s="4" t="e">
        <f aca="false">(X17-#REF!)/#REF!</f>
        <v>#REF!</v>
      </c>
      <c r="Z17" s="27" t="n">
        <v>502.761883538398</v>
      </c>
      <c r="AA17" s="4" t="e">
        <f aca="false">(Z17-#REF!)/#REF!</f>
        <v>#REF!</v>
      </c>
      <c r="AB17" s="3" t="n">
        <v>628</v>
      </c>
      <c r="AC17" s="4" t="e">
        <f aca="false">(AB17-#REF!)/#REF!</f>
        <v>#REF!</v>
      </c>
      <c r="AD17" s="25" t="n">
        <v>84</v>
      </c>
      <c r="AE17" s="4" t="e">
        <f aca="false">(AD17-#REF!)/#REF!</f>
        <v>#REF!</v>
      </c>
      <c r="AF17" s="4" t="n">
        <v>0.38</v>
      </c>
      <c r="AG17" s="4"/>
    </row>
    <row r="18" customFormat="false" ht="14.25" hidden="false" customHeight="false" outlineLevel="0" collapsed="false">
      <c r="B18" s="1" t="n">
        <v>10</v>
      </c>
      <c r="C18" s="4" t="e">
        <f aca="false">(B18-#REF!)/#REF!</f>
        <v>#REF!</v>
      </c>
      <c r="D18" s="1" t="n">
        <v>4</v>
      </c>
      <c r="E18" s="4" t="e">
        <f aca="false">(D18-#REF!)/#REF!</f>
        <v>#REF!</v>
      </c>
      <c r="F18" s="2" t="n">
        <v>32.4666666666667</v>
      </c>
      <c r="G18" s="4" t="e">
        <f aca="false">(F18-#REF!)/#REF!</f>
        <v>#REF!</v>
      </c>
      <c r="H18" s="2" t="n">
        <v>46.97</v>
      </c>
      <c r="I18" s="4" t="e">
        <f aca="false">(H18-#REF!)/#REF!</f>
        <v>#REF!</v>
      </c>
      <c r="J18" s="4" t="n">
        <v>3.262</v>
      </c>
      <c r="K18" s="4" t="e">
        <f aca="false">(J18-#REF!)/#REF!</f>
        <v>#REF!</v>
      </c>
      <c r="L18" s="1" t="n">
        <v>25</v>
      </c>
      <c r="M18" s="4" t="e">
        <f aca="false">(L18-#REF!)/#REF!</f>
        <v>#REF!</v>
      </c>
      <c r="N18" s="1" t="n">
        <v>36</v>
      </c>
      <c r="O18" s="4" t="e">
        <f aca="false">(N18-#REF!)/#REF!</f>
        <v>#REF!</v>
      </c>
      <c r="P18" s="1" t="n">
        <v>200</v>
      </c>
      <c r="Q18" s="4" t="e">
        <f aca="false">(P18-#REF!)/#REF!</f>
        <v>#REF!</v>
      </c>
      <c r="R18" s="1" t="n">
        <v>600</v>
      </c>
      <c r="S18" s="4" t="e">
        <f aca="false">(R18-#REF!)/#REF!</f>
        <v>#REF!</v>
      </c>
      <c r="T18" s="1" t="n">
        <f aca="false">R18-N18</f>
        <v>564</v>
      </c>
      <c r="U18" s="4" t="e">
        <f aca="false">(T18-#REF!)/#REF!</f>
        <v>#REF!</v>
      </c>
      <c r="V18" s="1" t="n">
        <v>314</v>
      </c>
      <c r="W18" s="4" t="e">
        <f aca="false">(V18-#REF!)/#REF!</f>
        <v>#REF!</v>
      </c>
      <c r="X18" s="28" t="n">
        <v>0.00261666666666667</v>
      </c>
      <c r="Y18" s="4" t="e">
        <f aca="false">(X18-#REF!)/#REF!</f>
        <v>#REF!</v>
      </c>
      <c r="Z18" s="27" t="n">
        <v>538.673446648283</v>
      </c>
      <c r="AA18" s="4" t="e">
        <f aca="false">(Z18-#REF!)/#REF!</f>
        <v>#REF!</v>
      </c>
      <c r="AB18" s="3" t="n">
        <v>628</v>
      </c>
      <c r="AC18" s="4" t="e">
        <f aca="false">(AB18-#REF!)/#REF!</f>
        <v>#REF!</v>
      </c>
      <c r="AD18" s="25" t="n">
        <v>90</v>
      </c>
      <c r="AE18" s="4" t="e">
        <f aca="false">(AD18-#REF!)/#REF!</f>
        <v>#REF!</v>
      </c>
      <c r="AF18" s="4" t="n">
        <v>0.42</v>
      </c>
      <c r="AG18" s="4"/>
    </row>
    <row r="19" customFormat="false" ht="14.25" hidden="false" customHeight="false" outlineLevel="0" collapsed="false">
      <c r="B19" s="1" t="n">
        <v>10</v>
      </c>
      <c r="C19" s="4" t="e">
        <f aca="false">(B19-#REF!)/#REF!</f>
        <v>#REF!</v>
      </c>
      <c r="D19" s="1" t="n">
        <v>4</v>
      </c>
      <c r="E19" s="4" t="e">
        <f aca="false">(D19-#REF!)/#REF!</f>
        <v>#REF!</v>
      </c>
      <c r="F19" s="2" t="n">
        <v>32.4666666666667</v>
      </c>
      <c r="G19" s="4" t="e">
        <f aca="false">(F19-#REF!)/#REF!</f>
        <v>#REF!</v>
      </c>
      <c r="H19" s="2" t="n">
        <v>46.97</v>
      </c>
      <c r="I19" s="4" t="e">
        <f aca="false">(H19-#REF!)/#REF!</f>
        <v>#REF!</v>
      </c>
      <c r="J19" s="4" t="n">
        <v>3.262</v>
      </c>
      <c r="K19" s="4" t="e">
        <f aca="false">(J19-#REF!)/#REF!</f>
        <v>#REF!</v>
      </c>
      <c r="L19" s="1" t="n">
        <v>25</v>
      </c>
      <c r="M19" s="4" t="e">
        <f aca="false">(L19-#REF!)/#REF!</f>
        <v>#REF!</v>
      </c>
      <c r="N19" s="1" t="n">
        <v>36</v>
      </c>
      <c r="O19" s="4" t="e">
        <f aca="false">(N19-#REF!)/#REF!</f>
        <v>#REF!</v>
      </c>
      <c r="P19" s="1" t="n">
        <v>200</v>
      </c>
      <c r="Q19" s="4" t="e">
        <f aca="false">(P19-#REF!)/#REF!</f>
        <v>#REF!</v>
      </c>
      <c r="R19" s="1" t="n">
        <v>600</v>
      </c>
      <c r="S19" s="4" t="e">
        <f aca="false">(R19-#REF!)/#REF!</f>
        <v>#REF!</v>
      </c>
      <c r="T19" s="1" t="n">
        <f aca="false">R19-N19</f>
        <v>564</v>
      </c>
      <c r="U19" s="4" t="e">
        <f aca="false">(T19-#REF!)/#REF!</f>
        <v>#REF!</v>
      </c>
      <c r="V19" s="1" t="n">
        <v>314</v>
      </c>
      <c r="W19" s="4" t="e">
        <f aca="false">(V19-#REF!)/#REF!</f>
        <v>#REF!</v>
      </c>
      <c r="X19" s="28" t="n">
        <v>0.00261666666666667</v>
      </c>
      <c r="Y19" s="4" t="e">
        <f aca="false">(X19-#REF!)/#REF!</f>
        <v>#REF!</v>
      </c>
      <c r="Z19" s="27" t="n">
        <v>628</v>
      </c>
      <c r="AA19" s="4" t="e">
        <f aca="false">(Z19-#REF!)/#REF!</f>
        <v>#REF!</v>
      </c>
      <c r="AB19" s="3" t="n">
        <v>628</v>
      </c>
      <c r="AC19" s="4" t="e">
        <f aca="false">(AB19-#REF!)/#REF!</f>
        <v>#REF!</v>
      </c>
      <c r="AD19" s="25" t="n">
        <v>108</v>
      </c>
      <c r="AE19" s="4" t="e">
        <f aca="false">(AD19-#REF!)/#REF!</f>
        <v>#REF!</v>
      </c>
      <c r="AF19" s="4" t="n">
        <v>0.44</v>
      </c>
      <c r="AG19" s="4"/>
    </row>
    <row r="20" customFormat="false" ht="14.25" hidden="false" customHeight="false" outlineLevel="0" collapsed="false">
      <c r="B20" s="1" t="n">
        <v>10</v>
      </c>
      <c r="C20" s="4" t="e">
        <f aca="false">(B20-#REF!)/#REF!</f>
        <v>#REF!</v>
      </c>
      <c r="D20" s="1" t="n">
        <v>4</v>
      </c>
      <c r="E20" s="4" t="e">
        <f aca="false">(D20-#REF!)/#REF!</f>
        <v>#REF!</v>
      </c>
      <c r="F20" s="2" t="n">
        <v>32.4666666666667</v>
      </c>
      <c r="G20" s="4" t="e">
        <f aca="false">(F20-#REF!)/#REF!</f>
        <v>#REF!</v>
      </c>
      <c r="H20" s="2" t="n">
        <v>46.97</v>
      </c>
      <c r="I20" s="4" t="e">
        <f aca="false">(H20-#REF!)/#REF!</f>
        <v>#REF!</v>
      </c>
      <c r="J20" s="4" t="n">
        <v>3.262</v>
      </c>
      <c r="K20" s="4" t="e">
        <f aca="false">(J20-#REF!)/#REF!</f>
        <v>#REF!</v>
      </c>
      <c r="L20" s="1" t="n">
        <v>25</v>
      </c>
      <c r="M20" s="4" t="e">
        <f aca="false">(L20-#REF!)/#REF!</f>
        <v>#REF!</v>
      </c>
      <c r="N20" s="1" t="n">
        <v>36</v>
      </c>
      <c r="O20" s="4" t="e">
        <f aca="false">(N20-#REF!)/#REF!</f>
        <v>#REF!</v>
      </c>
      <c r="P20" s="1" t="n">
        <v>200</v>
      </c>
      <c r="Q20" s="4" t="e">
        <f aca="false">(P20-#REF!)/#REF!</f>
        <v>#REF!</v>
      </c>
      <c r="R20" s="1" t="n">
        <v>600</v>
      </c>
      <c r="S20" s="4" t="e">
        <f aca="false">(R20-#REF!)/#REF!</f>
        <v>#REF!</v>
      </c>
      <c r="T20" s="1" t="n">
        <f aca="false">R20-N20</f>
        <v>564</v>
      </c>
      <c r="U20" s="4" t="e">
        <f aca="false">(T20-#REF!)/#REF!</f>
        <v>#REF!</v>
      </c>
      <c r="V20" s="1" t="n">
        <v>314</v>
      </c>
      <c r="W20" s="4" t="e">
        <f aca="false">(V20-#REF!)/#REF!</f>
        <v>#REF!</v>
      </c>
      <c r="X20" s="28" t="n">
        <v>0.00261666666666667</v>
      </c>
      <c r="Y20" s="4" t="e">
        <f aca="false">(X20-#REF!)/#REF!</f>
        <v>#REF!</v>
      </c>
      <c r="Z20" s="27" t="n">
        <v>628</v>
      </c>
      <c r="AA20" s="4" t="e">
        <f aca="false">(Z20-#REF!)/#REF!</f>
        <v>#REF!</v>
      </c>
      <c r="AB20" s="3" t="n">
        <v>628</v>
      </c>
      <c r="AC20" s="4" t="e">
        <f aca="false">(AB20-#REF!)/#REF!</f>
        <v>#REF!</v>
      </c>
      <c r="AD20" s="25" t="n">
        <v>120</v>
      </c>
      <c r="AE20" s="4" t="e">
        <f aca="false">(AD20-#REF!)/#REF!</f>
        <v>#REF!</v>
      </c>
      <c r="AF20" s="4" t="n">
        <v>0.5</v>
      </c>
      <c r="AG20" s="4"/>
    </row>
    <row r="21" customFormat="false" ht="14.25" hidden="false" customHeight="false" outlineLevel="0" collapsed="false">
      <c r="A21" s="0" t="s">
        <v>25</v>
      </c>
      <c r="B21" s="1" t="n">
        <v>10</v>
      </c>
      <c r="C21" s="4" t="e">
        <f aca="false">(B21-#REF!)/#REF!</f>
        <v>#REF!</v>
      </c>
      <c r="D21" s="1" t="n">
        <v>4</v>
      </c>
      <c r="E21" s="4" t="e">
        <f aca="false">(D21-#REF!)/#REF!</f>
        <v>#REF!</v>
      </c>
      <c r="F21" s="2" t="n">
        <v>32.4666666666667</v>
      </c>
      <c r="G21" s="4" t="e">
        <f aca="false">(F21-#REF!)/#REF!</f>
        <v>#REF!</v>
      </c>
      <c r="H21" s="2" t="n">
        <v>41.57</v>
      </c>
      <c r="I21" s="4" t="e">
        <f aca="false">(H21-#REF!)/#REF!</f>
        <v>#REF!</v>
      </c>
      <c r="J21" s="4" t="n">
        <v>3.514</v>
      </c>
      <c r="K21" s="4" t="e">
        <f aca="false">(J21-#REF!)/#REF!</f>
        <v>#REF!</v>
      </c>
      <c r="L21" s="1" t="n">
        <v>25</v>
      </c>
      <c r="M21" s="4" t="e">
        <f aca="false">(L21-#REF!)/#REF!</f>
        <v>#REF!</v>
      </c>
      <c r="N21" s="1" t="n">
        <v>36</v>
      </c>
      <c r="O21" s="4" t="e">
        <f aca="false">(N21-#REF!)/#REF!</f>
        <v>#REF!</v>
      </c>
      <c r="P21" s="1" t="n">
        <v>200</v>
      </c>
      <c r="Q21" s="4" t="e">
        <f aca="false">(P21-#REF!)/#REF!</f>
        <v>#REF!</v>
      </c>
      <c r="R21" s="1" t="n">
        <v>600</v>
      </c>
      <c r="S21" s="4" t="e">
        <f aca="false">(R21-#REF!)/#REF!</f>
        <v>#REF!</v>
      </c>
      <c r="T21" s="1" t="n">
        <f aca="false">R21-N21</f>
        <v>564</v>
      </c>
      <c r="U21" s="4" t="e">
        <f aca="false">(T21-#REF!)/#REF!</f>
        <v>#REF!</v>
      </c>
      <c r="V21" s="1" t="n">
        <v>314</v>
      </c>
      <c r="W21" s="4" t="e">
        <f aca="false">(V21-#REF!)/#REF!</f>
        <v>#REF!</v>
      </c>
      <c r="X21" s="28" t="n">
        <v>0.00261666666666667</v>
      </c>
      <c r="Y21" s="4" t="e">
        <f aca="false">(X21-#REF!)/#REF!</f>
        <v>#REF!</v>
      </c>
      <c r="Z21" s="27" t="n">
        <v>321.471876442594</v>
      </c>
      <c r="AA21" s="4" t="e">
        <f aca="false">(Z21-#REF!)/#REF!</f>
        <v>#REF!</v>
      </c>
      <c r="AB21" s="3" t="n">
        <v>628</v>
      </c>
      <c r="AC21" s="4" t="e">
        <f aca="false">(AB21-#REF!)/#REF!</f>
        <v>#REF!</v>
      </c>
      <c r="AD21" s="25" t="n">
        <v>54</v>
      </c>
      <c r="AE21" s="4" t="e">
        <f aca="false">(AD21-#REF!)/#REF!</f>
        <v>#REF!</v>
      </c>
      <c r="AF21" s="4" t="n">
        <v>0.24</v>
      </c>
      <c r="AG21" s="4"/>
    </row>
    <row r="22" customFormat="false" ht="14.25" hidden="false" customHeight="false" outlineLevel="0" collapsed="false">
      <c r="B22" s="1" t="n">
        <v>10</v>
      </c>
      <c r="C22" s="4" t="e">
        <f aca="false">(B22-#REF!)/#REF!</f>
        <v>#REF!</v>
      </c>
      <c r="D22" s="1" t="n">
        <v>4</v>
      </c>
      <c r="E22" s="4" t="e">
        <f aca="false">(D22-#REF!)/#REF!</f>
        <v>#REF!</v>
      </c>
      <c r="F22" s="2" t="n">
        <v>32.4666666666667</v>
      </c>
      <c r="G22" s="4" t="e">
        <f aca="false">(F22-#REF!)/#REF!</f>
        <v>#REF!</v>
      </c>
      <c r="H22" s="2" t="n">
        <v>41.57</v>
      </c>
      <c r="I22" s="4" t="e">
        <f aca="false">(H22-#REF!)/#REF!</f>
        <v>#REF!</v>
      </c>
      <c r="J22" s="4" t="n">
        <v>3.514</v>
      </c>
      <c r="K22" s="4" t="e">
        <f aca="false">(J22-#REF!)/#REF!</f>
        <v>#REF!</v>
      </c>
      <c r="L22" s="1" t="n">
        <v>25</v>
      </c>
      <c r="M22" s="4" t="e">
        <f aca="false">(L22-#REF!)/#REF!</f>
        <v>#REF!</v>
      </c>
      <c r="N22" s="1" t="n">
        <v>36</v>
      </c>
      <c r="O22" s="4" t="e">
        <f aca="false">(N22-#REF!)/#REF!</f>
        <v>#REF!</v>
      </c>
      <c r="P22" s="1" t="n">
        <v>200</v>
      </c>
      <c r="Q22" s="4" t="e">
        <f aca="false">(P22-#REF!)/#REF!</f>
        <v>#REF!</v>
      </c>
      <c r="R22" s="1" t="n">
        <v>600</v>
      </c>
      <c r="S22" s="4" t="e">
        <f aca="false">(R22-#REF!)/#REF!</f>
        <v>#REF!</v>
      </c>
      <c r="T22" s="1" t="n">
        <f aca="false">R22-N22</f>
        <v>564</v>
      </c>
      <c r="U22" s="4" t="e">
        <f aca="false">(T22-#REF!)/#REF!</f>
        <v>#REF!</v>
      </c>
      <c r="V22" s="1" t="n">
        <v>314</v>
      </c>
      <c r="W22" s="4" t="e">
        <f aca="false">(V22-#REF!)/#REF!</f>
        <v>#REF!</v>
      </c>
      <c r="X22" s="28" t="n">
        <v>0.00261666666666667</v>
      </c>
      <c r="Y22" s="4" t="e">
        <f aca="false">(X22-#REF!)/#REF!</f>
        <v>#REF!</v>
      </c>
      <c r="Z22" s="27" t="n">
        <v>357.190973825104</v>
      </c>
      <c r="AA22" s="4" t="e">
        <f aca="false">(Z22-#REF!)/#REF!</f>
        <v>#REF!</v>
      </c>
      <c r="AB22" s="3" t="n">
        <v>628</v>
      </c>
      <c r="AC22" s="4" t="e">
        <f aca="false">(AB22-#REF!)/#REF!</f>
        <v>#REF!</v>
      </c>
      <c r="AD22" s="25" t="n">
        <v>60</v>
      </c>
      <c r="AE22" s="4" t="e">
        <f aca="false">(AD22-#REF!)/#REF!</f>
        <v>#REF!</v>
      </c>
      <c r="AF22" s="4" t="n">
        <v>0.3</v>
      </c>
      <c r="AG22" s="4"/>
    </row>
    <row r="23" customFormat="false" ht="14.25" hidden="false" customHeight="false" outlineLevel="0" collapsed="false">
      <c r="B23" s="1" t="n">
        <v>10</v>
      </c>
      <c r="C23" s="4" t="e">
        <f aca="false">(B23-#REF!)/#REF!</f>
        <v>#REF!</v>
      </c>
      <c r="D23" s="1" t="n">
        <v>4</v>
      </c>
      <c r="E23" s="4" t="e">
        <f aca="false">(D23-#REF!)/#REF!</f>
        <v>#REF!</v>
      </c>
      <c r="F23" s="2" t="n">
        <v>32.4666666666667</v>
      </c>
      <c r="G23" s="4" t="e">
        <f aca="false">(F23-#REF!)/#REF!</f>
        <v>#REF!</v>
      </c>
      <c r="H23" s="2" t="n">
        <v>41.57</v>
      </c>
      <c r="I23" s="4" t="e">
        <f aca="false">(H23-#REF!)/#REF!</f>
        <v>#REF!</v>
      </c>
      <c r="J23" s="4" t="n">
        <v>3.514</v>
      </c>
      <c r="K23" s="4" t="e">
        <f aca="false">(J23-#REF!)/#REF!</f>
        <v>#REF!</v>
      </c>
      <c r="L23" s="1" t="n">
        <v>25</v>
      </c>
      <c r="M23" s="4" t="e">
        <f aca="false">(L23-#REF!)/#REF!</f>
        <v>#REF!</v>
      </c>
      <c r="N23" s="1" t="n">
        <v>36</v>
      </c>
      <c r="O23" s="4" t="e">
        <f aca="false">(N23-#REF!)/#REF!</f>
        <v>#REF!</v>
      </c>
      <c r="P23" s="1" t="n">
        <v>200</v>
      </c>
      <c r="Q23" s="4" t="e">
        <f aca="false">(P23-#REF!)/#REF!</f>
        <v>#REF!</v>
      </c>
      <c r="R23" s="1" t="n">
        <v>600</v>
      </c>
      <c r="S23" s="4" t="e">
        <f aca="false">(R23-#REF!)/#REF!</f>
        <v>#REF!</v>
      </c>
      <c r="T23" s="1" t="n">
        <f aca="false">R23-N23</f>
        <v>564</v>
      </c>
      <c r="U23" s="4" t="e">
        <f aca="false">(T23-#REF!)/#REF!</f>
        <v>#REF!</v>
      </c>
      <c r="V23" s="1" t="n">
        <v>314</v>
      </c>
      <c r="W23" s="4" t="e">
        <f aca="false">(V23-#REF!)/#REF!</f>
        <v>#REF!</v>
      </c>
      <c r="X23" s="28" t="n">
        <v>0.00261666666666667</v>
      </c>
      <c r="Y23" s="4" t="e">
        <f aca="false">(X23-#REF!)/#REF!</f>
        <v>#REF!</v>
      </c>
      <c r="Z23" s="27" t="n">
        <v>370.585635343545</v>
      </c>
      <c r="AA23" s="4" t="e">
        <f aca="false">(Z23-#REF!)/#REF!</f>
        <v>#REF!</v>
      </c>
      <c r="AB23" s="3" t="n">
        <v>628</v>
      </c>
      <c r="AC23" s="4" t="e">
        <f aca="false">(AB23-#REF!)/#REF!</f>
        <v>#REF!</v>
      </c>
      <c r="AD23" s="25" t="n">
        <v>62.25</v>
      </c>
      <c r="AE23" s="4" t="e">
        <f aca="false">(AD23-#REF!)/#REF!</f>
        <v>#REF!</v>
      </c>
      <c r="AF23" s="4" t="n">
        <v>0.3</v>
      </c>
      <c r="AG23" s="4"/>
    </row>
    <row r="24" customFormat="false" ht="14.25" hidden="false" customHeight="false" outlineLevel="0" collapsed="false">
      <c r="B24" s="1" t="n">
        <v>10</v>
      </c>
      <c r="C24" s="4" t="e">
        <f aca="false">(B24-#REF!)/#REF!</f>
        <v>#REF!</v>
      </c>
      <c r="D24" s="1" t="n">
        <v>4</v>
      </c>
      <c r="E24" s="4" t="e">
        <f aca="false">(D24-#REF!)/#REF!</f>
        <v>#REF!</v>
      </c>
      <c r="F24" s="2" t="n">
        <v>32.4666666666667</v>
      </c>
      <c r="G24" s="4" t="e">
        <f aca="false">(F24-#REF!)/#REF!</f>
        <v>#REF!</v>
      </c>
      <c r="H24" s="2" t="n">
        <v>41.57</v>
      </c>
      <c r="I24" s="4" t="e">
        <f aca="false">(H24-#REF!)/#REF!</f>
        <v>#REF!</v>
      </c>
      <c r="J24" s="4" t="n">
        <v>3.514</v>
      </c>
      <c r="K24" s="4" t="e">
        <f aca="false">(J24-#REF!)/#REF!</f>
        <v>#REF!</v>
      </c>
      <c r="L24" s="1" t="n">
        <v>25</v>
      </c>
      <c r="M24" s="4" t="e">
        <f aca="false">(L24-#REF!)/#REF!</f>
        <v>#REF!</v>
      </c>
      <c r="N24" s="1" t="n">
        <v>36</v>
      </c>
      <c r="O24" s="4" t="e">
        <f aca="false">(N24-#REF!)/#REF!</f>
        <v>#REF!</v>
      </c>
      <c r="P24" s="1" t="n">
        <v>200</v>
      </c>
      <c r="Q24" s="4" t="e">
        <f aca="false">(P24-#REF!)/#REF!</f>
        <v>#REF!</v>
      </c>
      <c r="R24" s="1" t="n">
        <v>600</v>
      </c>
      <c r="S24" s="4" t="e">
        <f aca="false">(R24-#REF!)/#REF!</f>
        <v>#REF!</v>
      </c>
      <c r="T24" s="1" t="n">
        <f aca="false">R24-N24</f>
        <v>564</v>
      </c>
      <c r="U24" s="4" t="e">
        <f aca="false">(T24-#REF!)/#REF!</f>
        <v>#REF!</v>
      </c>
      <c r="V24" s="1" t="n">
        <v>314</v>
      </c>
      <c r="W24" s="4" t="e">
        <f aca="false">(V24-#REF!)/#REF!</f>
        <v>#REF!</v>
      </c>
      <c r="X24" s="28" t="n">
        <v>0.00261666666666667</v>
      </c>
      <c r="Y24" s="4" t="e">
        <f aca="false">(X24-#REF!)/#REF!</f>
        <v>#REF!</v>
      </c>
      <c r="Z24" s="27" t="n">
        <v>392.910071207614</v>
      </c>
      <c r="AA24" s="4" t="e">
        <f aca="false">(Z24-#REF!)/#REF!</f>
        <v>#REF!</v>
      </c>
      <c r="AB24" s="3" t="n">
        <v>628</v>
      </c>
      <c r="AC24" s="4" t="e">
        <f aca="false">(AB24-#REF!)/#REF!</f>
        <v>#REF!</v>
      </c>
      <c r="AD24" s="25" t="n">
        <v>66</v>
      </c>
      <c r="AE24" s="4" t="e">
        <f aca="false">(AD24-#REF!)/#REF!</f>
        <v>#REF!</v>
      </c>
      <c r="AF24" s="4" t="n">
        <v>0.3</v>
      </c>
      <c r="AG24" s="4"/>
    </row>
    <row r="25" customFormat="false" ht="14.25" hidden="false" customHeight="false" outlineLevel="0" collapsed="false">
      <c r="B25" s="1" t="n">
        <v>10</v>
      </c>
      <c r="C25" s="4" t="e">
        <f aca="false">(B25-#REF!)/#REF!</f>
        <v>#REF!</v>
      </c>
      <c r="D25" s="1" t="n">
        <v>4</v>
      </c>
      <c r="E25" s="4" t="e">
        <f aca="false">(D25-#REF!)/#REF!</f>
        <v>#REF!</v>
      </c>
      <c r="F25" s="2" t="n">
        <v>32.4666666666667</v>
      </c>
      <c r="G25" s="4" t="e">
        <f aca="false">(F25-#REF!)/#REF!</f>
        <v>#REF!</v>
      </c>
      <c r="H25" s="2" t="n">
        <v>41.57</v>
      </c>
      <c r="I25" s="4" t="e">
        <f aca="false">(H25-#REF!)/#REF!</f>
        <v>#REF!</v>
      </c>
      <c r="J25" s="4" t="n">
        <v>3.514</v>
      </c>
      <c r="K25" s="4" t="e">
        <f aca="false">(J25-#REF!)/#REF!</f>
        <v>#REF!</v>
      </c>
      <c r="L25" s="1" t="n">
        <v>25</v>
      </c>
      <c r="M25" s="4" t="e">
        <f aca="false">(L25-#REF!)/#REF!</f>
        <v>#REF!</v>
      </c>
      <c r="N25" s="1" t="n">
        <v>36</v>
      </c>
      <c r="O25" s="4" t="e">
        <f aca="false">(N25-#REF!)/#REF!</f>
        <v>#REF!</v>
      </c>
      <c r="P25" s="1" t="n">
        <v>200</v>
      </c>
      <c r="Q25" s="4" t="e">
        <f aca="false">(P25-#REF!)/#REF!</f>
        <v>#REF!</v>
      </c>
      <c r="R25" s="1" t="n">
        <v>600</v>
      </c>
      <c r="S25" s="4" t="e">
        <f aca="false">(R25-#REF!)/#REF!</f>
        <v>#REF!</v>
      </c>
      <c r="T25" s="1" t="n">
        <f aca="false">R25-N25</f>
        <v>564</v>
      </c>
      <c r="U25" s="4" t="e">
        <f aca="false">(T25-#REF!)/#REF!</f>
        <v>#REF!</v>
      </c>
      <c r="V25" s="1" t="n">
        <v>314</v>
      </c>
      <c r="W25" s="4" t="e">
        <f aca="false">(V25-#REF!)/#REF!</f>
        <v>#REF!</v>
      </c>
      <c r="X25" s="28" t="n">
        <v>0.00261666666666667</v>
      </c>
      <c r="Y25" s="4" t="e">
        <f aca="false">(X25-#REF!)/#REF!</f>
        <v>#REF!</v>
      </c>
      <c r="Z25" s="27" t="n">
        <v>424.164281417311</v>
      </c>
      <c r="AA25" s="4" t="e">
        <f aca="false">(Z25-#REF!)/#REF!</f>
        <v>#REF!</v>
      </c>
      <c r="AB25" s="3" t="n">
        <v>628</v>
      </c>
      <c r="AC25" s="4" t="e">
        <f aca="false">(AB25-#REF!)/#REF!</f>
        <v>#REF!</v>
      </c>
      <c r="AD25" s="25" t="n">
        <v>71.25</v>
      </c>
      <c r="AE25" s="4" t="e">
        <f aca="false">(AD25-#REF!)/#REF!</f>
        <v>#REF!</v>
      </c>
      <c r="AF25" s="4" t="n">
        <v>0.38</v>
      </c>
      <c r="AG25" s="4"/>
    </row>
    <row r="26" customFormat="false" ht="14.25" hidden="false" customHeight="false" outlineLevel="0" collapsed="false">
      <c r="B26" s="1" t="n">
        <v>10</v>
      </c>
      <c r="C26" s="4" t="e">
        <f aca="false">(B26-#REF!)/#REF!</f>
        <v>#REF!</v>
      </c>
      <c r="D26" s="1" t="n">
        <v>4</v>
      </c>
      <c r="E26" s="4" t="e">
        <f aca="false">(D26-#REF!)/#REF!</f>
        <v>#REF!</v>
      </c>
      <c r="F26" s="2" t="n">
        <v>32.4666666666667</v>
      </c>
      <c r="G26" s="4" t="e">
        <f aca="false">(F26-#REF!)/#REF!</f>
        <v>#REF!</v>
      </c>
      <c r="H26" s="2" t="n">
        <v>41.57</v>
      </c>
      <c r="I26" s="4" t="e">
        <f aca="false">(H26-#REF!)/#REF!</f>
        <v>#REF!</v>
      </c>
      <c r="J26" s="4" t="n">
        <v>3.514</v>
      </c>
      <c r="K26" s="4" t="e">
        <f aca="false">(J26-#REF!)/#REF!</f>
        <v>#REF!</v>
      </c>
      <c r="L26" s="1" t="n">
        <v>25</v>
      </c>
      <c r="M26" s="4" t="e">
        <f aca="false">(L26-#REF!)/#REF!</f>
        <v>#REF!</v>
      </c>
      <c r="N26" s="1" t="n">
        <v>36</v>
      </c>
      <c r="O26" s="4" t="e">
        <f aca="false">(N26-#REF!)/#REF!</f>
        <v>#REF!</v>
      </c>
      <c r="P26" s="1" t="n">
        <v>200</v>
      </c>
      <c r="Q26" s="4" t="e">
        <f aca="false">(P26-#REF!)/#REF!</f>
        <v>#REF!</v>
      </c>
      <c r="R26" s="1" t="n">
        <v>600</v>
      </c>
      <c r="S26" s="4" t="e">
        <f aca="false">(R26-#REF!)/#REF!</f>
        <v>#REF!</v>
      </c>
      <c r="T26" s="1" t="n">
        <f aca="false">R26-N26</f>
        <v>564</v>
      </c>
      <c r="U26" s="4" t="e">
        <f aca="false">(T26-#REF!)/#REF!</f>
        <v>#REF!</v>
      </c>
      <c r="V26" s="1" t="n">
        <v>314</v>
      </c>
      <c r="W26" s="4" t="e">
        <f aca="false">(V26-#REF!)/#REF!</f>
        <v>#REF!</v>
      </c>
      <c r="X26" s="28" t="n">
        <v>0.00261666666666667</v>
      </c>
      <c r="Y26" s="4" t="e">
        <f aca="false">(X26-#REF!)/#REF!</f>
        <v>#REF!</v>
      </c>
      <c r="Z26" s="27" t="n">
        <v>491.137589009518</v>
      </c>
      <c r="AA26" s="4" t="e">
        <f aca="false">(Z26-#REF!)/#REF!</f>
        <v>#REF!</v>
      </c>
      <c r="AB26" s="3" t="n">
        <v>628</v>
      </c>
      <c r="AC26" s="4" t="e">
        <f aca="false">(AB26-#REF!)/#REF!</f>
        <v>#REF!</v>
      </c>
      <c r="AD26" s="25" t="n">
        <v>82.5</v>
      </c>
      <c r="AE26" s="4" t="e">
        <f aca="false">(AD26-#REF!)/#REF!</f>
        <v>#REF!</v>
      </c>
      <c r="AF26" s="4" t="n">
        <v>0.44</v>
      </c>
      <c r="AG26" s="4"/>
    </row>
    <row r="27" customFormat="false" ht="14.25" hidden="false" customHeight="false" outlineLevel="0" collapsed="false">
      <c r="A27" s="0" t="s">
        <v>26</v>
      </c>
      <c r="B27" s="1" t="n">
        <v>16</v>
      </c>
      <c r="C27" s="4" t="e">
        <f aca="false">(B27-#REF!)/#REF!</f>
        <v>#REF!</v>
      </c>
      <c r="D27" s="1" t="n">
        <v>4</v>
      </c>
      <c r="E27" s="4" t="e">
        <f aca="false">(D27-#REF!)/#REF!</f>
        <v>#REF!</v>
      </c>
      <c r="F27" s="2" t="n">
        <v>37</v>
      </c>
      <c r="G27" s="4" t="e">
        <f aca="false">(F27-#REF!)/#REF!</f>
        <v>#REF!</v>
      </c>
      <c r="H27" s="2" t="n">
        <v>54.84</v>
      </c>
      <c r="I27" s="4" t="e">
        <f aca="false">(H27-#REF!)/#REF!</f>
        <v>#REF!</v>
      </c>
      <c r="J27" s="4" t="n">
        <v>4.2588</v>
      </c>
      <c r="K27" s="4" t="e">
        <f aca="false">(J27-#REF!)/#REF!</f>
        <v>#REF!</v>
      </c>
      <c r="L27" s="1" t="n">
        <v>33</v>
      </c>
      <c r="M27" s="4" t="e">
        <f aca="false">(L27-#REF!)/#REF!</f>
        <v>#REF!</v>
      </c>
      <c r="N27" s="1" t="n">
        <v>59</v>
      </c>
      <c r="O27" s="4" t="e">
        <f aca="false">(N27-#REF!)/#REF!</f>
        <v>#REF!</v>
      </c>
      <c r="P27" s="1" t="n">
        <v>125</v>
      </c>
      <c r="Q27" s="4" t="e">
        <f aca="false">(P27-#REF!)/#REF!</f>
        <v>#REF!</v>
      </c>
      <c r="R27" s="1" t="n">
        <v>250</v>
      </c>
      <c r="S27" s="4" t="e">
        <f aca="false">(R27-#REF!)/#REF!</f>
        <v>#REF!</v>
      </c>
      <c r="T27" s="1" t="n">
        <f aca="false">R27-N27</f>
        <v>191</v>
      </c>
      <c r="U27" s="4" t="e">
        <f aca="false">(T27-#REF!)/#REF!</f>
        <v>#REF!</v>
      </c>
      <c r="V27" s="1" t="n">
        <v>800</v>
      </c>
      <c r="W27" s="4" t="e">
        <f aca="false">(V27-#REF!)/#REF!</f>
        <v>#REF!</v>
      </c>
      <c r="X27" s="28" t="n">
        <v>0.0256</v>
      </c>
      <c r="Y27" s="4" t="e">
        <f aca="false">(X27-#REF!)/#REF!</f>
        <v>#REF!</v>
      </c>
      <c r="Z27" s="40" t="n">
        <v>140.041965597591</v>
      </c>
      <c r="AA27" s="4" t="e">
        <f aca="false">(Z27-#REF!)/#REF!</f>
        <v>#REF!</v>
      </c>
      <c r="AB27" s="3" t="n">
        <v>571</v>
      </c>
      <c r="AC27" s="4" t="e">
        <f aca="false">(AB27-#REF!)/#REF!</f>
        <v>#REF!</v>
      </c>
      <c r="AD27" s="48" t="n">
        <v>18.2</v>
      </c>
      <c r="AE27" s="4" t="e">
        <f aca="false">(AD27-#REF!)/#REF!</f>
        <v>#REF!</v>
      </c>
      <c r="AF27" s="4" t="n">
        <v>0.18</v>
      </c>
      <c r="AG27" s="4"/>
    </row>
    <row r="28" customFormat="false" ht="14.25" hidden="false" customHeight="false" outlineLevel="0" collapsed="false">
      <c r="B28" s="1" t="n">
        <v>16</v>
      </c>
      <c r="C28" s="4" t="e">
        <f aca="false">(B28-#REF!)/#REF!</f>
        <v>#REF!</v>
      </c>
      <c r="D28" s="1" t="n">
        <v>4</v>
      </c>
      <c r="E28" s="4" t="e">
        <f aca="false">(D28-#REF!)/#REF!</f>
        <v>#REF!</v>
      </c>
      <c r="F28" s="2" t="n">
        <v>37</v>
      </c>
      <c r="G28" s="4" t="e">
        <f aca="false">(F28-#REF!)/#REF!</f>
        <v>#REF!</v>
      </c>
      <c r="H28" s="2" t="n">
        <v>54.84</v>
      </c>
      <c r="I28" s="4" t="e">
        <f aca="false">(H28-#REF!)/#REF!</f>
        <v>#REF!</v>
      </c>
      <c r="J28" s="4" t="n">
        <v>4.2588</v>
      </c>
      <c r="K28" s="4" t="e">
        <f aca="false">(J28-#REF!)/#REF!</f>
        <v>#REF!</v>
      </c>
      <c r="L28" s="1" t="n">
        <v>33</v>
      </c>
      <c r="M28" s="4" t="e">
        <f aca="false">(L28-#REF!)/#REF!</f>
        <v>#REF!</v>
      </c>
      <c r="N28" s="1" t="n">
        <v>59</v>
      </c>
      <c r="O28" s="4" t="e">
        <f aca="false">(N28-#REF!)/#REF!</f>
        <v>#REF!</v>
      </c>
      <c r="P28" s="1" t="n">
        <v>125</v>
      </c>
      <c r="Q28" s="4" t="e">
        <f aca="false">(P28-#REF!)/#REF!</f>
        <v>#REF!</v>
      </c>
      <c r="R28" s="1" t="n">
        <v>250</v>
      </c>
      <c r="S28" s="4" t="e">
        <f aca="false">(R28-#REF!)/#REF!</f>
        <v>#REF!</v>
      </c>
      <c r="T28" s="1" t="n">
        <f aca="false">R28-N28</f>
        <v>191</v>
      </c>
      <c r="U28" s="4" t="e">
        <f aca="false">(T28-#REF!)/#REF!</f>
        <v>#REF!</v>
      </c>
      <c r="V28" s="1" t="n">
        <v>800</v>
      </c>
      <c r="W28" s="4" t="e">
        <f aca="false">(V28-#REF!)/#REF!</f>
        <v>#REF!</v>
      </c>
      <c r="X28" s="28" t="n">
        <v>0.0256</v>
      </c>
      <c r="Y28" s="4" t="e">
        <f aca="false">(X28-#REF!)/#REF!</f>
        <v>#REF!</v>
      </c>
      <c r="Z28" s="40" t="n">
        <v>201.598873552576</v>
      </c>
      <c r="AA28" s="4" t="e">
        <f aca="false">(Z28-#REF!)/#REF!</f>
        <v>#REF!</v>
      </c>
      <c r="AB28" s="3" t="n">
        <v>571</v>
      </c>
      <c r="AC28" s="4" t="e">
        <f aca="false">(AB28-#REF!)/#REF!</f>
        <v>#REF!</v>
      </c>
      <c r="AD28" s="48" t="n">
        <v>26.2</v>
      </c>
      <c r="AE28" s="4" t="e">
        <f aca="false">(AD28-#REF!)/#REF!</f>
        <v>#REF!</v>
      </c>
      <c r="AF28" s="4" t="n">
        <v>0.2</v>
      </c>
      <c r="AG28" s="4"/>
    </row>
    <row r="29" customFormat="false" ht="14.25" hidden="false" customHeight="false" outlineLevel="0" collapsed="false">
      <c r="B29" s="1" t="n">
        <v>16</v>
      </c>
      <c r="C29" s="4" t="e">
        <f aca="false">(B29-#REF!)/#REF!</f>
        <v>#REF!</v>
      </c>
      <c r="D29" s="1" t="n">
        <v>4</v>
      </c>
      <c r="E29" s="4" t="e">
        <f aca="false">(D29-#REF!)/#REF!</f>
        <v>#REF!</v>
      </c>
      <c r="F29" s="2" t="n">
        <v>37</v>
      </c>
      <c r="G29" s="4" t="e">
        <f aca="false">(F29-#REF!)/#REF!</f>
        <v>#REF!</v>
      </c>
      <c r="H29" s="2" t="n">
        <v>54.84</v>
      </c>
      <c r="I29" s="4" t="e">
        <f aca="false">(H29-#REF!)/#REF!</f>
        <v>#REF!</v>
      </c>
      <c r="J29" s="4" t="n">
        <v>4.2588</v>
      </c>
      <c r="K29" s="4" t="e">
        <f aca="false">(J29-#REF!)/#REF!</f>
        <v>#REF!</v>
      </c>
      <c r="L29" s="1" t="n">
        <v>33</v>
      </c>
      <c r="M29" s="4" t="e">
        <f aca="false">(L29-#REF!)/#REF!</f>
        <v>#REF!</v>
      </c>
      <c r="N29" s="1" t="n">
        <v>59</v>
      </c>
      <c r="O29" s="4" t="e">
        <f aca="false">(N29-#REF!)/#REF!</f>
        <v>#REF!</v>
      </c>
      <c r="P29" s="1" t="n">
        <v>125</v>
      </c>
      <c r="Q29" s="4" t="e">
        <f aca="false">(P29-#REF!)/#REF!</f>
        <v>#REF!</v>
      </c>
      <c r="R29" s="1" t="n">
        <v>250</v>
      </c>
      <c r="S29" s="4" t="e">
        <f aca="false">(R29-#REF!)/#REF!</f>
        <v>#REF!</v>
      </c>
      <c r="T29" s="1" t="n">
        <f aca="false">R29-N29</f>
        <v>191</v>
      </c>
      <c r="U29" s="4" t="e">
        <f aca="false">(T29-#REF!)/#REF!</f>
        <v>#REF!</v>
      </c>
      <c r="V29" s="1" t="n">
        <v>800</v>
      </c>
      <c r="W29" s="4" t="e">
        <f aca="false">(V29-#REF!)/#REF!</f>
        <v>#REF!</v>
      </c>
      <c r="X29" s="28" t="n">
        <v>0.0256</v>
      </c>
      <c r="Y29" s="4" t="e">
        <f aca="false">(X29-#REF!)/#REF!</f>
        <v>#REF!</v>
      </c>
      <c r="Z29" s="40" t="n">
        <v>243.919247771628</v>
      </c>
      <c r="AA29" s="4" t="e">
        <f aca="false">(Z29-#REF!)/#REF!</f>
        <v>#REF!</v>
      </c>
      <c r="AB29" s="3" t="n">
        <v>571</v>
      </c>
      <c r="AC29" s="4" t="e">
        <f aca="false">(AB29-#REF!)/#REF!</f>
        <v>#REF!</v>
      </c>
      <c r="AD29" s="48" t="n">
        <v>31.7</v>
      </c>
      <c r="AE29" s="4" t="e">
        <f aca="false">(AD29-#REF!)/#REF!</f>
        <v>#REF!</v>
      </c>
      <c r="AF29" s="4" t="n">
        <v>0.26</v>
      </c>
      <c r="AG29" s="4"/>
    </row>
    <row r="30" customFormat="false" ht="14.25" hidden="false" customHeight="false" outlineLevel="0" collapsed="false">
      <c r="B30" s="1" t="n">
        <v>16</v>
      </c>
      <c r="C30" s="4" t="e">
        <f aca="false">(B30-#REF!)/#REF!</f>
        <v>#REF!</v>
      </c>
      <c r="D30" s="1" t="n">
        <v>4</v>
      </c>
      <c r="E30" s="4" t="e">
        <f aca="false">(D30-#REF!)/#REF!</f>
        <v>#REF!</v>
      </c>
      <c r="F30" s="2" t="n">
        <v>37</v>
      </c>
      <c r="G30" s="4" t="e">
        <f aca="false">(F30-#REF!)/#REF!</f>
        <v>#REF!</v>
      </c>
      <c r="H30" s="2" t="n">
        <v>54.84</v>
      </c>
      <c r="I30" s="4" t="e">
        <f aca="false">(H30-#REF!)/#REF!</f>
        <v>#REF!</v>
      </c>
      <c r="J30" s="4" t="n">
        <v>4.2588</v>
      </c>
      <c r="K30" s="4" t="e">
        <f aca="false">(J30-#REF!)/#REF!</f>
        <v>#REF!</v>
      </c>
      <c r="L30" s="1" t="n">
        <v>33</v>
      </c>
      <c r="M30" s="4" t="e">
        <f aca="false">(L30-#REF!)/#REF!</f>
        <v>#REF!</v>
      </c>
      <c r="N30" s="1" t="n">
        <v>59</v>
      </c>
      <c r="O30" s="4" t="e">
        <f aca="false">(N30-#REF!)/#REF!</f>
        <v>#REF!</v>
      </c>
      <c r="P30" s="1" t="n">
        <v>125</v>
      </c>
      <c r="Q30" s="4" t="e">
        <f aca="false">(P30-#REF!)/#REF!</f>
        <v>#REF!</v>
      </c>
      <c r="R30" s="1" t="n">
        <v>250</v>
      </c>
      <c r="S30" s="4" t="e">
        <f aca="false">(R30-#REF!)/#REF!</f>
        <v>#REF!</v>
      </c>
      <c r="T30" s="1" t="n">
        <f aca="false">R30-N30</f>
        <v>191</v>
      </c>
      <c r="U30" s="4" t="e">
        <f aca="false">(T30-#REF!)/#REF!</f>
        <v>#REF!</v>
      </c>
      <c r="V30" s="1" t="n">
        <v>800</v>
      </c>
      <c r="W30" s="4" t="e">
        <f aca="false">(V30-#REF!)/#REF!</f>
        <v>#REF!</v>
      </c>
      <c r="X30" s="28" t="n">
        <v>0.0256</v>
      </c>
      <c r="Y30" s="4" t="e">
        <f aca="false">(X30-#REF!)/#REF!</f>
        <v>#REF!</v>
      </c>
      <c r="Z30" s="40" t="n">
        <v>313.940230570424</v>
      </c>
      <c r="AA30" s="4" t="e">
        <f aca="false">(Z30-#REF!)/#REF!</f>
        <v>#REF!</v>
      </c>
      <c r="AB30" s="3" t="n">
        <v>571</v>
      </c>
      <c r="AC30" s="4" t="e">
        <f aca="false">(AB30-#REF!)/#REF!</f>
        <v>#REF!</v>
      </c>
      <c r="AD30" s="48" t="n">
        <v>40.8</v>
      </c>
      <c r="AE30" s="4" t="e">
        <f aca="false">(AD30-#REF!)/#REF!</f>
        <v>#REF!</v>
      </c>
      <c r="AF30" s="4" t="n">
        <v>0.44</v>
      </c>
      <c r="AG30" s="4"/>
    </row>
    <row r="31" customFormat="false" ht="14.25" hidden="false" customHeight="false" outlineLevel="0" collapsed="false">
      <c r="B31" s="1" t="n">
        <v>16</v>
      </c>
      <c r="C31" s="4" t="e">
        <f aca="false">(B31-#REF!)/#REF!</f>
        <v>#REF!</v>
      </c>
      <c r="D31" s="1" t="n">
        <v>4</v>
      </c>
      <c r="E31" s="4" t="e">
        <f aca="false">(D31-#REF!)/#REF!</f>
        <v>#REF!</v>
      </c>
      <c r="F31" s="2" t="n">
        <v>37</v>
      </c>
      <c r="G31" s="4" t="e">
        <f aca="false">(F31-#REF!)/#REF!</f>
        <v>#REF!</v>
      </c>
      <c r="H31" s="2" t="n">
        <v>54.84</v>
      </c>
      <c r="I31" s="4" t="e">
        <f aca="false">(H31-#REF!)/#REF!</f>
        <v>#REF!</v>
      </c>
      <c r="J31" s="4" t="n">
        <v>4.2588</v>
      </c>
      <c r="K31" s="4" t="e">
        <f aca="false">(J31-#REF!)/#REF!</f>
        <v>#REF!</v>
      </c>
      <c r="L31" s="1" t="n">
        <v>33</v>
      </c>
      <c r="M31" s="4" t="e">
        <f aca="false">(L31-#REF!)/#REF!</f>
        <v>#REF!</v>
      </c>
      <c r="N31" s="1" t="n">
        <v>59</v>
      </c>
      <c r="O31" s="4" t="e">
        <f aca="false">(N31-#REF!)/#REF!</f>
        <v>#REF!</v>
      </c>
      <c r="P31" s="1" t="n">
        <v>125</v>
      </c>
      <c r="Q31" s="4" t="e">
        <f aca="false">(P31-#REF!)/#REF!</f>
        <v>#REF!</v>
      </c>
      <c r="R31" s="1" t="n">
        <v>250</v>
      </c>
      <c r="S31" s="4" t="e">
        <f aca="false">(R31-#REF!)/#REF!</f>
        <v>#REF!</v>
      </c>
      <c r="T31" s="1" t="n">
        <f aca="false">R31-N31</f>
        <v>191</v>
      </c>
      <c r="U31" s="4" t="e">
        <f aca="false">(T31-#REF!)/#REF!</f>
        <v>#REF!</v>
      </c>
      <c r="V31" s="1" t="n">
        <v>800</v>
      </c>
      <c r="W31" s="4" t="e">
        <f aca="false">(V31-#REF!)/#REF!</f>
        <v>#REF!</v>
      </c>
      <c r="X31" s="28" t="n">
        <v>0.0256</v>
      </c>
      <c r="Y31" s="4" t="e">
        <f aca="false">(X31-#REF!)/#REF!</f>
        <v>#REF!</v>
      </c>
      <c r="Z31" s="40" t="n">
        <v>416.278590045587</v>
      </c>
      <c r="AA31" s="4" t="e">
        <f aca="false">(Z31-#REF!)/#REF!</f>
        <v>#REF!</v>
      </c>
      <c r="AB31" s="3" t="n">
        <v>571</v>
      </c>
      <c r="AC31" s="4" t="e">
        <f aca="false">(AB31-#REF!)/#REF!</f>
        <v>#REF!</v>
      </c>
      <c r="AD31" s="48" t="n">
        <v>54.1</v>
      </c>
      <c r="AE31" s="4" t="e">
        <f aca="false">(AD31-#REF!)/#REF!</f>
        <v>#REF!</v>
      </c>
      <c r="AF31" s="4" t="n">
        <v>0.6</v>
      </c>
      <c r="AG31" s="4"/>
    </row>
    <row r="32" customFormat="false" ht="14.25" hidden="false" customHeight="false" outlineLevel="0" collapsed="false">
      <c r="A32" s="0" t="s">
        <v>27</v>
      </c>
      <c r="B32" s="1" t="n">
        <v>12</v>
      </c>
      <c r="C32" s="4" t="e">
        <f aca="false">(B32-#REF!)/#REF!</f>
        <v>#REF!</v>
      </c>
      <c r="D32" s="1" t="n">
        <v>4</v>
      </c>
      <c r="E32" s="4" t="e">
        <f aca="false">(D32-#REF!)/#REF!</f>
        <v>#REF!</v>
      </c>
      <c r="F32" s="2" t="n">
        <v>79.3</v>
      </c>
      <c r="G32" s="4" t="e">
        <f aca="false">(F32-#REF!)/#REF!</f>
        <v>#REF!</v>
      </c>
      <c r="H32" s="2" t="n">
        <v>26.9</v>
      </c>
      <c r="I32" s="4" t="e">
        <f aca="false">(H32-#REF!)/#REF!</f>
        <v>#REF!</v>
      </c>
      <c r="J32" s="4" t="n">
        <v>2.69332921131829</v>
      </c>
      <c r="K32" s="4" t="e">
        <f aca="false">(J32-#REF!)/#REF!</f>
        <v>#REF!</v>
      </c>
      <c r="L32" s="1" t="n">
        <v>20</v>
      </c>
      <c r="M32" s="4" t="e">
        <f aca="false">(L32-#REF!)/#REF!</f>
        <v>#REF!</v>
      </c>
      <c r="N32" s="1" t="n">
        <v>38</v>
      </c>
      <c r="O32" s="4" t="e">
        <f aca="false">(N32-#REF!)/#REF!</f>
        <v>#REF!</v>
      </c>
      <c r="P32" s="1" t="n">
        <v>350</v>
      </c>
      <c r="Q32" s="4" t="e">
        <f aca="false">(P32-#REF!)/#REF!</f>
        <v>#REF!</v>
      </c>
      <c r="R32" s="1" t="n">
        <v>450</v>
      </c>
      <c r="S32" s="4" t="e">
        <f aca="false">(R32-#REF!)/#REF!</f>
        <v>#REF!</v>
      </c>
      <c r="T32" s="1" t="n">
        <f aca="false">R32-N32</f>
        <v>412</v>
      </c>
      <c r="U32" s="4" t="e">
        <f aca="false">(T32-#REF!)/#REF!</f>
        <v>#REF!</v>
      </c>
      <c r="V32" s="1" t="n">
        <v>452</v>
      </c>
      <c r="W32" s="4" t="e">
        <f aca="false">(V32-#REF!)/#REF!</f>
        <v>#REF!</v>
      </c>
      <c r="X32" s="28" t="n">
        <v>0.00286984126984127</v>
      </c>
      <c r="Y32" s="4" t="e">
        <f aca="false">(X32-#REF!)/#REF!</f>
        <v>#REF!</v>
      </c>
      <c r="Z32" s="27" t="n">
        <v>300.432956249241</v>
      </c>
      <c r="AA32" s="4" t="e">
        <f aca="false">(Z32-#REF!)/#REF!</f>
        <v>#REF!</v>
      </c>
      <c r="AB32" s="3" t="n">
        <v>500</v>
      </c>
      <c r="AC32" s="4" t="e">
        <f aca="false">(AB32-#REF!)/#REF!</f>
        <v>#REF!</v>
      </c>
      <c r="AD32" s="25" t="n">
        <v>52.5</v>
      </c>
      <c r="AE32" s="4" t="e">
        <f aca="false">(AD32-#REF!)/#REF!</f>
        <v>#REF!</v>
      </c>
      <c r="AF32" s="4" t="n">
        <v>0.36</v>
      </c>
      <c r="AG32" s="4"/>
    </row>
    <row r="33" customFormat="false" ht="14.25" hidden="false" customHeight="false" outlineLevel="0" collapsed="false">
      <c r="B33" s="1" t="n">
        <v>12</v>
      </c>
      <c r="C33" s="4" t="e">
        <f aca="false">(B33-#REF!)/#REF!</f>
        <v>#REF!</v>
      </c>
      <c r="D33" s="1" t="n">
        <v>4</v>
      </c>
      <c r="E33" s="4" t="e">
        <f aca="false">(D33-#REF!)/#REF!</f>
        <v>#REF!</v>
      </c>
      <c r="F33" s="2" t="n">
        <v>79.3</v>
      </c>
      <c r="G33" s="4" t="e">
        <f aca="false">(F33-#REF!)/#REF!</f>
        <v>#REF!</v>
      </c>
      <c r="H33" s="2" t="n">
        <v>26.9</v>
      </c>
      <c r="I33" s="4" t="e">
        <f aca="false">(H33-#REF!)/#REF!</f>
        <v>#REF!</v>
      </c>
      <c r="J33" s="4" t="n">
        <v>2.69332921131829</v>
      </c>
      <c r="K33" s="4" t="e">
        <f aca="false">(J33-#REF!)/#REF!</f>
        <v>#REF!</v>
      </c>
      <c r="L33" s="1" t="n">
        <v>20</v>
      </c>
      <c r="M33" s="4" t="e">
        <f aca="false">(L33-#REF!)/#REF!</f>
        <v>#REF!</v>
      </c>
      <c r="N33" s="1" t="n">
        <v>38</v>
      </c>
      <c r="O33" s="4" t="e">
        <f aca="false">(N33-#REF!)/#REF!</f>
        <v>#REF!</v>
      </c>
      <c r="P33" s="1" t="n">
        <v>350</v>
      </c>
      <c r="Q33" s="4" t="e">
        <f aca="false">(P33-#REF!)/#REF!</f>
        <v>#REF!</v>
      </c>
      <c r="R33" s="1" t="n">
        <v>450</v>
      </c>
      <c r="S33" s="4" t="e">
        <f aca="false">(R33-#REF!)/#REF!</f>
        <v>#REF!</v>
      </c>
      <c r="T33" s="1" t="n">
        <f aca="false">R33-N33</f>
        <v>412</v>
      </c>
      <c r="U33" s="4" t="e">
        <f aca="false">(T33-#REF!)/#REF!</f>
        <v>#REF!</v>
      </c>
      <c r="V33" s="1" t="n">
        <v>452</v>
      </c>
      <c r="W33" s="4" t="e">
        <f aca="false">(V33-#REF!)/#REF!</f>
        <v>#REF!</v>
      </c>
      <c r="X33" s="28" t="n">
        <v>0.00286984126984127</v>
      </c>
      <c r="Y33" s="4" t="e">
        <f aca="false">(X33-#REF!)/#REF!</f>
        <v>#REF!</v>
      </c>
      <c r="Z33" s="27" t="n">
        <v>386.270943749024</v>
      </c>
      <c r="AA33" s="4" t="e">
        <f aca="false">(Z33-#REF!)/#REF!</f>
        <v>#REF!</v>
      </c>
      <c r="AB33" s="3" t="n">
        <v>500</v>
      </c>
      <c r="AC33" s="4" t="e">
        <f aca="false">(AB33-#REF!)/#REF!</f>
        <v>#REF!</v>
      </c>
      <c r="AD33" s="25" t="n">
        <v>67.5</v>
      </c>
      <c r="AE33" s="4" t="e">
        <f aca="false">(AD33-#REF!)/#REF!</f>
        <v>#REF!</v>
      </c>
      <c r="AF33" s="4" t="n">
        <v>0.43</v>
      </c>
      <c r="AG33" s="4"/>
    </row>
    <row r="34" customFormat="false" ht="14.25" hidden="false" customHeight="false" outlineLevel="0" collapsed="false">
      <c r="B34" s="1" t="n">
        <v>12</v>
      </c>
      <c r="C34" s="4" t="e">
        <f aca="false">(B34-#REF!)/#REF!</f>
        <v>#REF!</v>
      </c>
      <c r="D34" s="1" t="n">
        <v>4</v>
      </c>
      <c r="E34" s="4" t="e">
        <f aca="false">(D34-#REF!)/#REF!</f>
        <v>#REF!</v>
      </c>
      <c r="F34" s="2" t="n">
        <v>79.3</v>
      </c>
      <c r="G34" s="4" t="e">
        <f aca="false">(F34-#REF!)/#REF!</f>
        <v>#REF!</v>
      </c>
      <c r="H34" s="2" t="n">
        <v>26.9</v>
      </c>
      <c r="I34" s="4" t="e">
        <f aca="false">(H34-#REF!)/#REF!</f>
        <v>#REF!</v>
      </c>
      <c r="J34" s="4" t="n">
        <v>2.69332921131829</v>
      </c>
      <c r="K34" s="4" t="e">
        <f aca="false">(J34-#REF!)/#REF!</f>
        <v>#REF!</v>
      </c>
      <c r="L34" s="1" t="n">
        <v>20</v>
      </c>
      <c r="M34" s="4" t="e">
        <f aca="false">(L34-#REF!)/#REF!</f>
        <v>#REF!</v>
      </c>
      <c r="N34" s="1" t="n">
        <v>38</v>
      </c>
      <c r="O34" s="4" t="e">
        <f aca="false">(N34-#REF!)/#REF!</f>
        <v>#REF!</v>
      </c>
      <c r="P34" s="1" t="n">
        <v>350</v>
      </c>
      <c r="Q34" s="4" t="e">
        <f aca="false">(P34-#REF!)/#REF!</f>
        <v>#REF!</v>
      </c>
      <c r="R34" s="1" t="n">
        <v>450</v>
      </c>
      <c r="S34" s="4" t="e">
        <f aca="false">(R34-#REF!)/#REF!</f>
        <v>#REF!</v>
      </c>
      <c r="T34" s="1" t="n">
        <f aca="false">R34-N34</f>
        <v>412</v>
      </c>
      <c r="U34" s="4" t="e">
        <f aca="false">(T34-#REF!)/#REF!</f>
        <v>#REF!</v>
      </c>
      <c r="V34" s="1" t="n">
        <v>452</v>
      </c>
      <c r="W34" s="4" t="e">
        <f aca="false">(V34-#REF!)/#REF!</f>
        <v>#REF!</v>
      </c>
      <c r="X34" s="28" t="n">
        <v>0.00286984126984127</v>
      </c>
      <c r="Y34" s="4" t="e">
        <f aca="false">(X34-#REF!)/#REF!</f>
        <v>#REF!</v>
      </c>
      <c r="Z34" s="27" t="n">
        <v>500</v>
      </c>
      <c r="AA34" s="4" t="e">
        <f aca="false">(Z34-#REF!)/#REF!</f>
        <v>#REF!</v>
      </c>
      <c r="AB34" s="3" t="n">
        <v>500</v>
      </c>
      <c r="AC34" s="4" t="e">
        <f aca="false">(AB34-#REF!)/#REF!</f>
        <v>#REF!</v>
      </c>
      <c r="AD34" s="25" t="n">
        <v>90</v>
      </c>
      <c r="AE34" s="4" t="e">
        <f aca="false">(AD34-#REF!)/#REF!</f>
        <v>#REF!</v>
      </c>
      <c r="AF34" s="4" t="n">
        <v>0.56</v>
      </c>
      <c r="AG34" s="4"/>
    </row>
    <row r="35" customFormat="false" ht="14.25" hidden="false" customHeight="false" outlineLevel="0" collapsed="false">
      <c r="B35" s="1" t="n">
        <v>12</v>
      </c>
      <c r="C35" s="4" t="e">
        <f aca="false">(B35-#REF!)/#REF!</f>
        <v>#REF!</v>
      </c>
      <c r="D35" s="1" t="n">
        <v>4</v>
      </c>
      <c r="E35" s="4" t="e">
        <f aca="false">(D35-#REF!)/#REF!</f>
        <v>#REF!</v>
      </c>
      <c r="F35" s="2" t="n">
        <v>79.3</v>
      </c>
      <c r="G35" s="4" t="e">
        <f aca="false">(F35-#REF!)/#REF!</f>
        <v>#REF!</v>
      </c>
      <c r="H35" s="2" t="n">
        <v>26.9</v>
      </c>
      <c r="I35" s="4" t="e">
        <f aca="false">(H35-#REF!)/#REF!</f>
        <v>#REF!</v>
      </c>
      <c r="J35" s="4" t="n">
        <v>2.69332921131829</v>
      </c>
      <c r="K35" s="4" t="e">
        <f aca="false">(J35-#REF!)/#REF!</f>
        <v>#REF!</v>
      </c>
      <c r="L35" s="1" t="n">
        <v>20</v>
      </c>
      <c r="M35" s="4" t="e">
        <f aca="false">(L35-#REF!)/#REF!</f>
        <v>#REF!</v>
      </c>
      <c r="N35" s="1" t="n">
        <v>38</v>
      </c>
      <c r="O35" s="4" t="e">
        <f aca="false">(N35-#REF!)/#REF!</f>
        <v>#REF!</v>
      </c>
      <c r="P35" s="1" t="n">
        <v>350</v>
      </c>
      <c r="Q35" s="4" t="e">
        <f aca="false">(P35-#REF!)/#REF!</f>
        <v>#REF!</v>
      </c>
      <c r="R35" s="1" t="n">
        <v>450</v>
      </c>
      <c r="S35" s="4" t="e">
        <f aca="false">(R35-#REF!)/#REF!</f>
        <v>#REF!</v>
      </c>
      <c r="T35" s="1" t="n">
        <f aca="false">R35-N35</f>
        <v>412</v>
      </c>
      <c r="U35" s="4" t="e">
        <f aca="false">(T35-#REF!)/#REF!</f>
        <v>#REF!</v>
      </c>
      <c r="V35" s="1" t="n">
        <v>452</v>
      </c>
      <c r="W35" s="4" t="e">
        <f aca="false">(V35-#REF!)/#REF!</f>
        <v>#REF!</v>
      </c>
      <c r="X35" s="28" t="n">
        <v>0.00286984126984127</v>
      </c>
      <c r="Y35" s="4" t="e">
        <f aca="false">(X35-#REF!)/#REF!</f>
        <v>#REF!</v>
      </c>
      <c r="Z35" s="27" t="n">
        <v>500</v>
      </c>
      <c r="AA35" s="4" t="e">
        <f aca="false">(Z35-#REF!)/#REF!</f>
        <v>#REF!</v>
      </c>
      <c r="AB35" s="3" t="n">
        <v>500</v>
      </c>
      <c r="AC35" s="4" t="e">
        <f aca="false">(AB35-#REF!)/#REF!</f>
        <v>#REF!</v>
      </c>
      <c r="AD35" s="25" t="n">
        <v>112.5</v>
      </c>
      <c r="AE35" s="4" t="e">
        <f aca="false">(AD35-#REF!)/#REF!</f>
        <v>#REF!</v>
      </c>
      <c r="AF35" s="4" t="n">
        <v>0.71</v>
      </c>
      <c r="AG35" s="4"/>
    </row>
    <row r="36" customFormat="false" ht="14.25" hidden="false" customHeight="false" outlineLevel="0" collapsed="false">
      <c r="B36" s="1" t="n">
        <v>12</v>
      </c>
      <c r="C36" s="4" t="e">
        <f aca="false">(B36-#REF!)/#REF!</f>
        <v>#REF!</v>
      </c>
      <c r="D36" s="1" t="n">
        <v>4</v>
      </c>
      <c r="E36" s="4" t="e">
        <f aca="false">(D36-#REF!)/#REF!</f>
        <v>#REF!</v>
      </c>
      <c r="F36" s="2" t="n">
        <v>79.3</v>
      </c>
      <c r="G36" s="4" t="e">
        <f aca="false">(F36-#REF!)/#REF!</f>
        <v>#REF!</v>
      </c>
      <c r="H36" s="2" t="n">
        <v>26.9</v>
      </c>
      <c r="I36" s="4" t="e">
        <f aca="false">(H36-#REF!)/#REF!</f>
        <v>#REF!</v>
      </c>
      <c r="J36" s="4" t="n">
        <v>2.69332921131829</v>
      </c>
      <c r="K36" s="4" t="e">
        <f aca="false">(J36-#REF!)/#REF!</f>
        <v>#REF!</v>
      </c>
      <c r="L36" s="1" t="n">
        <v>20</v>
      </c>
      <c r="M36" s="4" t="e">
        <f aca="false">(L36-#REF!)/#REF!</f>
        <v>#REF!</v>
      </c>
      <c r="N36" s="1" t="n">
        <v>38</v>
      </c>
      <c r="O36" s="4" t="e">
        <f aca="false">(N36-#REF!)/#REF!</f>
        <v>#REF!</v>
      </c>
      <c r="P36" s="1" t="n">
        <v>350</v>
      </c>
      <c r="Q36" s="4" t="e">
        <f aca="false">(P36-#REF!)/#REF!</f>
        <v>#REF!</v>
      </c>
      <c r="R36" s="1" t="n">
        <v>450</v>
      </c>
      <c r="S36" s="4" t="e">
        <f aca="false">(R36-#REF!)/#REF!</f>
        <v>#REF!</v>
      </c>
      <c r="T36" s="1" t="n">
        <f aca="false">R36-N36</f>
        <v>412</v>
      </c>
      <c r="U36" s="4" t="e">
        <f aca="false">(T36-#REF!)/#REF!</f>
        <v>#REF!</v>
      </c>
      <c r="V36" s="1" t="n">
        <v>452</v>
      </c>
      <c r="W36" s="4" t="e">
        <f aca="false">(V36-#REF!)/#REF!</f>
        <v>#REF!</v>
      </c>
      <c r="X36" s="28" t="n">
        <v>0.00286984126984127</v>
      </c>
      <c r="Y36" s="4" t="e">
        <f aca="false">(X36-#REF!)/#REF!</f>
        <v>#REF!</v>
      </c>
      <c r="Z36" s="27" t="n">
        <v>500</v>
      </c>
      <c r="AA36" s="4" t="e">
        <f aca="false">(Z36-#REF!)/#REF!</f>
        <v>#REF!</v>
      </c>
      <c r="AB36" s="3" t="n">
        <v>500</v>
      </c>
      <c r="AC36" s="4" t="e">
        <f aca="false">(AB36-#REF!)/#REF!</f>
        <v>#REF!</v>
      </c>
      <c r="AD36" s="25" t="n">
        <v>120</v>
      </c>
      <c r="AE36" s="4" t="e">
        <f aca="false">(AD36-#REF!)/#REF!</f>
        <v>#REF!</v>
      </c>
      <c r="AF36" s="4" t="n">
        <v>0.79</v>
      </c>
      <c r="AG36" s="4"/>
    </row>
    <row r="37" customFormat="false" ht="14.25" hidden="false" customHeight="false" outlineLevel="0" collapsed="false">
      <c r="A37" s="0" t="s">
        <v>28</v>
      </c>
      <c r="B37" s="1" t="n">
        <v>25</v>
      </c>
      <c r="C37" s="4" t="e">
        <f aca="false">(B37-#REF!)/#REF!</f>
        <v>#REF!</v>
      </c>
      <c r="D37" s="1" t="n">
        <v>4</v>
      </c>
      <c r="E37" s="4" t="e">
        <f aca="false">(D37-#REF!)/#REF!</f>
        <v>#REF!</v>
      </c>
      <c r="F37" s="2" t="n">
        <v>62</v>
      </c>
      <c r="G37" s="4" t="e">
        <f aca="false">(F37-#REF!)/#REF!</f>
        <v>#REF!</v>
      </c>
      <c r="H37" s="2" t="n">
        <v>26.9</v>
      </c>
      <c r="I37" s="4" t="e">
        <f aca="false">(H37-#REF!)/#REF!</f>
        <v>#REF!</v>
      </c>
      <c r="J37" s="4" t="n">
        <v>2.69332921131829</v>
      </c>
      <c r="K37" s="4" t="e">
        <f aca="false">(J37-#REF!)/#REF!</f>
        <v>#REF!</v>
      </c>
      <c r="L37" s="1" t="n">
        <v>20</v>
      </c>
      <c r="M37" s="4" t="e">
        <f aca="false">(L37-#REF!)/#REF!</f>
        <v>#REF!</v>
      </c>
      <c r="N37" s="1" t="n">
        <v>44.5</v>
      </c>
      <c r="O37" s="4" t="e">
        <f aca="false">(N37-#REF!)/#REF!</f>
        <v>#REF!</v>
      </c>
      <c r="P37" s="1" t="n">
        <v>350</v>
      </c>
      <c r="Q37" s="4" t="e">
        <f aca="false">(P37-#REF!)/#REF!</f>
        <v>#REF!</v>
      </c>
      <c r="R37" s="1" t="n">
        <v>450</v>
      </c>
      <c r="S37" s="4" t="e">
        <f aca="false">(R37-#REF!)/#REF!</f>
        <v>#REF!</v>
      </c>
      <c r="T37" s="1" t="n">
        <f aca="false">R37-N37</f>
        <v>405.5</v>
      </c>
      <c r="U37" s="4" t="e">
        <f aca="false">(T37-#REF!)/#REF!</f>
        <v>#REF!</v>
      </c>
      <c r="V37" s="1" t="n">
        <v>1964</v>
      </c>
      <c r="W37" s="4" t="e">
        <f aca="false">(V37-#REF!)/#REF!</f>
        <v>#REF!</v>
      </c>
      <c r="X37" s="28" t="n">
        <v>0.0124698412698413</v>
      </c>
      <c r="Y37" s="4" t="e">
        <f aca="false">(X37-#REF!)/#REF!</f>
        <v>#REF!</v>
      </c>
      <c r="Z37" s="27" t="n">
        <v>106.512655225995</v>
      </c>
      <c r="AA37" s="4" t="e">
        <f aca="false">(Z37-#REF!)/#REF!</f>
        <v>#REF!</v>
      </c>
      <c r="AB37" s="3" t="n">
        <v>500</v>
      </c>
      <c r="AC37" s="4" t="e">
        <f aca="false">(AB37-#REF!)/#REF!</f>
        <v>#REF!</v>
      </c>
      <c r="AD37" s="25" t="n">
        <v>75</v>
      </c>
      <c r="AE37" s="4" t="e">
        <f aca="false">(AD37-#REF!)/#REF!</f>
        <v>#REF!</v>
      </c>
      <c r="AF37" s="4" t="n">
        <v>0.2</v>
      </c>
      <c r="AG37" s="4"/>
    </row>
    <row r="38" customFormat="false" ht="14.25" hidden="false" customHeight="false" outlineLevel="0" collapsed="false">
      <c r="B38" s="1" t="n">
        <v>25</v>
      </c>
      <c r="C38" s="4" t="e">
        <f aca="false">(B38-#REF!)/#REF!</f>
        <v>#REF!</v>
      </c>
      <c r="D38" s="1" t="n">
        <v>4</v>
      </c>
      <c r="E38" s="4" t="e">
        <f aca="false">(D38-#REF!)/#REF!</f>
        <v>#REF!</v>
      </c>
      <c r="F38" s="2" t="n">
        <v>62</v>
      </c>
      <c r="G38" s="4" t="e">
        <f aca="false">(F38-#REF!)/#REF!</f>
        <v>#REF!</v>
      </c>
      <c r="H38" s="2" t="n">
        <v>26.9</v>
      </c>
      <c r="I38" s="4" t="e">
        <f aca="false">(H38-#REF!)/#REF!</f>
        <v>#REF!</v>
      </c>
      <c r="J38" s="4" t="n">
        <v>2.69332921131829</v>
      </c>
      <c r="K38" s="4" t="e">
        <f aca="false">(J38-#REF!)/#REF!</f>
        <v>#REF!</v>
      </c>
      <c r="L38" s="1" t="n">
        <v>20</v>
      </c>
      <c r="M38" s="4" t="e">
        <f aca="false">(L38-#REF!)/#REF!</f>
        <v>#REF!</v>
      </c>
      <c r="N38" s="1" t="n">
        <v>44.5</v>
      </c>
      <c r="O38" s="4" t="e">
        <f aca="false">(N38-#REF!)/#REF!</f>
        <v>#REF!</v>
      </c>
      <c r="P38" s="1" t="n">
        <v>350</v>
      </c>
      <c r="Q38" s="4" t="e">
        <f aca="false">(P38-#REF!)/#REF!</f>
        <v>#REF!</v>
      </c>
      <c r="R38" s="1" t="n">
        <v>450</v>
      </c>
      <c r="S38" s="4" t="e">
        <f aca="false">(R38-#REF!)/#REF!</f>
        <v>#REF!</v>
      </c>
      <c r="T38" s="1" t="n">
        <f aca="false">R38-N38</f>
        <v>405.5</v>
      </c>
      <c r="U38" s="4" t="e">
        <f aca="false">(T38-#REF!)/#REF!</f>
        <v>#REF!</v>
      </c>
      <c r="V38" s="1" t="n">
        <v>1964</v>
      </c>
      <c r="W38" s="4" t="e">
        <f aca="false">(V38-#REF!)/#REF!</f>
        <v>#REF!</v>
      </c>
      <c r="X38" s="28" t="n">
        <v>0.0124698412698413</v>
      </c>
      <c r="Y38" s="4" t="e">
        <f aca="false">(X38-#REF!)/#REF!</f>
        <v>#REF!</v>
      </c>
      <c r="Z38" s="27" t="n">
        <v>191.72277940679</v>
      </c>
      <c r="AA38" s="4" t="e">
        <f aca="false">(Z38-#REF!)/#REF!</f>
        <v>#REF!</v>
      </c>
      <c r="AB38" s="3" t="n">
        <v>500</v>
      </c>
      <c r="AC38" s="4" t="e">
        <f aca="false">(AB38-#REF!)/#REF!</f>
        <v>#REF!</v>
      </c>
      <c r="AD38" s="25" t="n">
        <v>135</v>
      </c>
      <c r="AE38" s="4" t="e">
        <f aca="false">(AD38-#REF!)/#REF!</f>
        <v>#REF!</v>
      </c>
      <c r="AF38" s="4" t="n">
        <v>0.25</v>
      </c>
      <c r="AG38" s="4"/>
    </row>
    <row r="39" customFormat="false" ht="14.25" hidden="false" customHeight="false" outlineLevel="0" collapsed="false">
      <c r="B39" s="1" t="n">
        <v>25</v>
      </c>
      <c r="C39" s="4" t="e">
        <f aca="false">(B39-#REF!)/#REF!</f>
        <v>#REF!</v>
      </c>
      <c r="D39" s="1" t="n">
        <v>4</v>
      </c>
      <c r="E39" s="4" t="e">
        <f aca="false">(D39-#REF!)/#REF!</f>
        <v>#REF!</v>
      </c>
      <c r="F39" s="2" t="n">
        <v>62</v>
      </c>
      <c r="G39" s="4" t="e">
        <f aca="false">(F39-#REF!)/#REF!</f>
        <v>#REF!</v>
      </c>
      <c r="H39" s="2" t="n">
        <v>26.9</v>
      </c>
      <c r="I39" s="4" t="e">
        <f aca="false">(H39-#REF!)/#REF!</f>
        <v>#REF!</v>
      </c>
      <c r="J39" s="4" t="n">
        <v>2.69332921131829</v>
      </c>
      <c r="K39" s="4" t="e">
        <f aca="false">(J39-#REF!)/#REF!</f>
        <v>#REF!</v>
      </c>
      <c r="L39" s="1" t="n">
        <v>20</v>
      </c>
      <c r="M39" s="4" t="e">
        <f aca="false">(L39-#REF!)/#REF!</f>
        <v>#REF!</v>
      </c>
      <c r="N39" s="1" t="n">
        <v>44.5</v>
      </c>
      <c r="O39" s="4" t="e">
        <f aca="false">(N39-#REF!)/#REF!</f>
        <v>#REF!</v>
      </c>
      <c r="P39" s="1" t="n">
        <v>350</v>
      </c>
      <c r="Q39" s="4" t="e">
        <f aca="false">(P39-#REF!)/#REF!</f>
        <v>#REF!</v>
      </c>
      <c r="R39" s="1" t="n">
        <v>450</v>
      </c>
      <c r="S39" s="4" t="e">
        <f aca="false">(R39-#REF!)/#REF!</f>
        <v>#REF!</v>
      </c>
      <c r="T39" s="1" t="n">
        <f aca="false">R39-N39</f>
        <v>405.5</v>
      </c>
      <c r="U39" s="4" t="e">
        <f aca="false">(T39-#REF!)/#REF!</f>
        <v>#REF!</v>
      </c>
      <c r="V39" s="1" t="n">
        <v>1964</v>
      </c>
      <c r="W39" s="4" t="e">
        <f aca="false">(V39-#REF!)/#REF!</f>
        <v>#REF!</v>
      </c>
      <c r="X39" s="28" t="n">
        <v>0.0124698412698413</v>
      </c>
      <c r="Y39" s="4" t="e">
        <f aca="false">(X39-#REF!)/#REF!</f>
        <v>#REF!</v>
      </c>
      <c r="Z39" s="27" t="n">
        <v>276.932903587586</v>
      </c>
      <c r="AA39" s="4" t="e">
        <f aca="false">(Z39-#REF!)/#REF!</f>
        <v>#REF!</v>
      </c>
      <c r="AB39" s="3" t="n">
        <v>500</v>
      </c>
      <c r="AC39" s="4" t="e">
        <f aca="false">(AB39-#REF!)/#REF!</f>
        <v>#REF!</v>
      </c>
      <c r="AD39" s="25" t="n">
        <v>195</v>
      </c>
      <c r="AE39" s="4" t="e">
        <f aca="false">(AD39-#REF!)/#REF!</f>
        <v>#REF!</v>
      </c>
      <c r="AF39" s="4" t="n">
        <v>0.36</v>
      </c>
      <c r="AG39" s="4"/>
    </row>
    <row r="40" customFormat="false" ht="14.25" hidden="false" customHeight="false" outlineLevel="0" collapsed="false">
      <c r="B40" s="1" t="n">
        <v>25</v>
      </c>
      <c r="C40" s="4" t="e">
        <f aca="false">(B40-#REF!)/#REF!</f>
        <v>#REF!</v>
      </c>
      <c r="D40" s="1" t="n">
        <v>4</v>
      </c>
      <c r="E40" s="4" t="e">
        <f aca="false">(D40-#REF!)/#REF!</f>
        <v>#REF!</v>
      </c>
      <c r="F40" s="2" t="n">
        <v>62</v>
      </c>
      <c r="G40" s="4" t="e">
        <f aca="false">(F40-#REF!)/#REF!</f>
        <v>#REF!</v>
      </c>
      <c r="H40" s="2" t="n">
        <v>26.9</v>
      </c>
      <c r="I40" s="4" t="e">
        <f aca="false">(H40-#REF!)/#REF!</f>
        <v>#REF!</v>
      </c>
      <c r="J40" s="4" t="n">
        <v>2.69332921131829</v>
      </c>
      <c r="K40" s="4" t="e">
        <f aca="false">(J40-#REF!)/#REF!</f>
        <v>#REF!</v>
      </c>
      <c r="L40" s="1" t="n">
        <v>20</v>
      </c>
      <c r="M40" s="4" t="e">
        <f aca="false">(L40-#REF!)/#REF!</f>
        <v>#REF!</v>
      </c>
      <c r="N40" s="1" t="n">
        <v>44.5</v>
      </c>
      <c r="O40" s="4" t="e">
        <f aca="false">(N40-#REF!)/#REF!</f>
        <v>#REF!</v>
      </c>
      <c r="P40" s="1" t="n">
        <v>350</v>
      </c>
      <c r="Q40" s="4" t="e">
        <f aca="false">(P40-#REF!)/#REF!</f>
        <v>#REF!</v>
      </c>
      <c r="R40" s="1" t="n">
        <v>450</v>
      </c>
      <c r="S40" s="4" t="e">
        <f aca="false">(R40-#REF!)/#REF!</f>
        <v>#REF!</v>
      </c>
      <c r="T40" s="1" t="n">
        <f aca="false">R40-N40</f>
        <v>405.5</v>
      </c>
      <c r="U40" s="4" t="e">
        <f aca="false">(T40-#REF!)/#REF!</f>
        <v>#REF!</v>
      </c>
      <c r="V40" s="1" t="n">
        <v>1964</v>
      </c>
      <c r="W40" s="4" t="e">
        <f aca="false">(V40-#REF!)/#REF!</f>
        <v>#REF!</v>
      </c>
      <c r="X40" s="28" t="n">
        <v>0.0124698412698413</v>
      </c>
      <c r="Y40" s="4" t="e">
        <f aca="false">(X40-#REF!)/#REF!</f>
        <v>#REF!</v>
      </c>
      <c r="Z40" s="27" t="n">
        <v>362.143027768382</v>
      </c>
      <c r="AA40" s="4" t="e">
        <f aca="false">(Z40-#REF!)/#REF!</f>
        <v>#REF!</v>
      </c>
      <c r="AB40" s="3" t="n">
        <v>500</v>
      </c>
      <c r="AC40" s="4" t="e">
        <f aca="false">(AB40-#REF!)/#REF!</f>
        <v>#REF!</v>
      </c>
      <c r="AD40" s="25" t="n">
        <v>255</v>
      </c>
      <c r="AE40" s="4" t="e">
        <f aca="false">(AD40-#REF!)/#REF!</f>
        <v>#REF!</v>
      </c>
      <c r="AF40" s="4" t="n">
        <v>0.47</v>
      </c>
      <c r="AG40" s="4"/>
    </row>
    <row r="41" customFormat="false" ht="14.25" hidden="false" customHeight="false" outlineLevel="0" collapsed="false">
      <c r="B41" s="1" t="n">
        <v>25</v>
      </c>
      <c r="C41" s="4" t="e">
        <f aca="false">(B41-#REF!)/#REF!</f>
        <v>#REF!</v>
      </c>
      <c r="D41" s="1" t="n">
        <v>4</v>
      </c>
      <c r="E41" s="4" t="e">
        <f aca="false">(D41-#REF!)/#REF!</f>
        <v>#REF!</v>
      </c>
      <c r="F41" s="2" t="n">
        <v>62</v>
      </c>
      <c r="G41" s="4" t="e">
        <f aca="false">(F41-#REF!)/#REF!</f>
        <v>#REF!</v>
      </c>
      <c r="H41" s="2" t="n">
        <v>26.9</v>
      </c>
      <c r="I41" s="4" t="e">
        <f aca="false">(H41-#REF!)/#REF!</f>
        <v>#REF!</v>
      </c>
      <c r="J41" s="4" t="n">
        <v>2.69332921131829</v>
      </c>
      <c r="K41" s="4" t="e">
        <f aca="false">(J41-#REF!)/#REF!</f>
        <v>#REF!</v>
      </c>
      <c r="L41" s="1" t="n">
        <v>20</v>
      </c>
      <c r="M41" s="4" t="e">
        <f aca="false">(L41-#REF!)/#REF!</f>
        <v>#REF!</v>
      </c>
      <c r="N41" s="1" t="n">
        <v>44.5</v>
      </c>
      <c r="O41" s="4" t="e">
        <f aca="false">(N41-#REF!)/#REF!</f>
        <v>#REF!</v>
      </c>
      <c r="P41" s="1" t="n">
        <v>350</v>
      </c>
      <c r="Q41" s="4" t="e">
        <f aca="false">(P41-#REF!)/#REF!</f>
        <v>#REF!</v>
      </c>
      <c r="R41" s="1" t="n">
        <v>450</v>
      </c>
      <c r="S41" s="4" t="e">
        <f aca="false">(R41-#REF!)/#REF!</f>
        <v>#REF!</v>
      </c>
      <c r="T41" s="1" t="n">
        <f aca="false">R41-N41</f>
        <v>405.5</v>
      </c>
      <c r="U41" s="4" t="e">
        <f aca="false">(T41-#REF!)/#REF!</f>
        <v>#REF!</v>
      </c>
      <c r="V41" s="1" t="n">
        <v>1964</v>
      </c>
      <c r="W41" s="4" t="e">
        <f aca="false">(V41-#REF!)/#REF!</f>
        <v>#REF!</v>
      </c>
      <c r="X41" s="28" t="n">
        <v>0.0124698412698413</v>
      </c>
      <c r="Y41" s="4" t="e">
        <f aca="false">(X41-#REF!)/#REF!</f>
        <v>#REF!</v>
      </c>
      <c r="Z41" s="27" t="n">
        <v>426.050620903978</v>
      </c>
      <c r="AA41" s="4" t="e">
        <f aca="false">(Z41-#REF!)/#REF!</f>
        <v>#REF!</v>
      </c>
      <c r="AB41" s="3" t="n">
        <v>500</v>
      </c>
      <c r="AC41" s="4" t="e">
        <f aca="false">(AB41-#REF!)/#REF!</f>
        <v>#REF!</v>
      </c>
      <c r="AD41" s="25" t="n">
        <v>300</v>
      </c>
      <c r="AE41" s="4" t="e">
        <f aca="false">(AD41-#REF!)/#REF!</f>
        <v>#REF!</v>
      </c>
      <c r="AF41" s="4" t="n">
        <v>0.57</v>
      </c>
      <c r="AG41" s="4"/>
    </row>
    <row r="42" customFormat="false" ht="14.25" hidden="false" customHeight="false" outlineLevel="0" collapsed="false">
      <c r="B42" s="1" t="n">
        <v>25</v>
      </c>
      <c r="C42" s="4" t="e">
        <f aca="false">(B42-#REF!)/#REF!</f>
        <v>#REF!</v>
      </c>
      <c r="D42" s="1" t="n">
        <v>4</v>
      </c>
      <c r="E42" s="4" t="e">
        <f aca="false">(D42-#REF!)/#REF!</f>
        <v>#REF!</v>
      </c>
      <c r="F42" s="2" t="n">
        <v>62</v>
      </c>
      <c r="G42" s="4" t="e">
        <f aca="false">(F42-#REF!)/#REF!</f>
        <v>#REF!</v>
      </c>
      <c r="H42" s="2" t="n">
        <v>26.9</v>
      </c>
      <c r="I42" s="4" t="e">
        <f aca="false">(H42-#REF!)/#REF!</f>
        <v>#REF!</v>
      </c>
      <c r="J42" s="4" t="n">
        <v>2.69332921131829</v>
      </c>
      <c r="K42" s="4" t="e">
        <f aca="false">(J42-#REF!)/#REF!</f>
        <v>#REF!</v>
      </c>
      <c r="L42" s="1" t="n">
        <v>20</v>
      </c>
      <c r="M42" s="4" t="e">
        <f aca="false">(L42-#REF!)/#REF!</f>
        <v>#REF!</v>
      </c>
      <c r="N42" s="1" t="n">
        <v>44.5</v>
      </c>
      <c r="O42" s="4" t="e">
        <f aca="false">(N42-#REF!)/#REF!</f>
        <v>#REF!</v>
      </c>
      <c r="P42" s="1" t="n">
        <v>350</v>
      </c>
      <c r="Q42" s="4" t="e">
        <f aca="false">(P42-#REF!)/#REF!</f>
        <v>#REF!</v>
      </c>
      <c r="R42" s="1" t="n">
        <v>450</v>
      </c>
      <c r="S42" s="4" t="e">
        <f aca="false">(R42-#REF!)/#REF!</f>
        <v>#REF!</v>
      </c>
      <c r="T42" s="1" t="n">
        <f aca="false">R42-N42</f>
        <v>405.5</v>
      </c>
      <c r="U42" s="4" t="e">
        <f aca="false">(T42-#REF!)/#REF!</f>
        <v>#REF!</v>
      </c>
      <c r="V42" s="1" t="n">
        <v>1964</v>
      </c>
      <c r="W42" s="4" t="e">
        <f aca="false">(V42-#REF!)/#REF!</f>
        <v>#REF!</v>
      </c>
      <c r="X42" s="28" t="n">
        <v>0.0124698412698413</v>
      </c>
      <c r="Y42" s="4" t="e">
        <f aca="false">(X42-#REF!)/#REF!</f>
        <v>#REF!</v>
      </c>
      <c r="Z42" s="27" t="n">
        <v>500</v>
      </c>
      <c r="AA42" s="4" t="e">
        <f aca="false">(Z42-#REF!)/#REF!</f>
        <v>#REF!</v>
      </c>
      <c r="AB42" s="3" t="n">
        <v>500</v>
      </c>
      <c r="AC42" s="4" t="e">
        <f aca="false">(AB42-#REF!)/#REF!</f>
        <v>#REF!</v>
      </c>
      <c r="AD42" s="25" t="n">
        <v>360</v>
      </c>
      <c r="AE42" s="4" t="e">
        <f aca="false">(AD42-#REF!)/#REF!</f>
        <v>#REF!</v>
      </c>
      <c r="AF42" s="4" t="n">
        <v>0.78</v>
      </c>
      <c r="AG42" s="4"/>
    </row>
    <row r="43" customFormat="false" ht="14.25" hidden="false" customHeight="false" outlineLevel="0" collapsed="false">
      <c r="A43" s="0" t="s">
        <v>29</v>
      </c>
      <c r="B43" s="1" t="n">
        <v>12</v>
      </c>
      <c r="C43" s="4" t="e">
        <f aca="false">(B43-#REF!)/#REF!</f>
        <v>#REF!</v>
      </c>
      <c r="D43" s="1" t="n">
        <v>4</v>
      </c>
      <c r="E43" s="4" t="e">
        <f aca="false">(D43-#REF!)/#REF!</f>
        <v>#REF!</v>
      </c>
      <c r="F43" s="2" t="n">
        <v>79.3</v>
      </c>
      <c r="G43" s="4" t="e">
        <f aca="false">(F43-#REF!)/#REF!</f>
        <v>#REF!</v>
      </c>
      <c r="H43" s="2" t="n">
        <v>26.9</v>
      </c>
      <c r="I43" s="4" t="e">
        <f aca="false">(H43-#REF!)/#REF!</f>
        <v>#REF!</v>
      </c>
      <c r="J43" s="4" t="n">
        <v>2.69332921131829</v>
      </c>
      <c r="K43" s="4" t="e">
        <f aca="false">(J43-#REF!)/#REF!</f>
        <v>#REF!</v>
      </c>
      <c r="L43" s="1" t="n">
        <v>20</v>
      </c>
      <c r="M43" s="4" t="e">
        <f aca="false">(L43-#REF!)/#REF!</f>
        <v>#REF!</v>
      </c>
      <c r="N43" s="1" t="n">
        <v>34</v>
      </c>
      <c r="O43" s="4" t="e">
        <f aca="false">(N43-#REF!)/#REF!</f>
        <v>#REF!</v>
      </c>
      <c r="P43" s="1" t="n">
        <v>350</v>
      </c>
      <c r="Q43" s="4" t="e">
        <f aca="false">(P43-#REF!)/#REF!</f>
        <v>#REF!</v>
      </c>
      <c r="R43" s="1" t="n">
        <v>450</v>
      </c>
      <c r="S43" s="4" t="e">
        <f aca="false">(R43-#REF!)/#REF!</f>
        <v>#REF!</v>
      </c>
      <c r="T43" s="1" t="n">
        <f aca="false">R43-N43</f>
        <v>416</v>
      </c>
      <c r="U43" s="4" t="e">
        <f aca="false">(T43-#REF!)/#REF!</f>
        <v>#REF!</v>
      </c>
      <c r="V43" s="1" t="n">
        <v>452</v>
      </c>
      <c r="W43" s="4" t="e">
        <f aca="false">(V43-#REF!)/#REF!</f>
        <v>#REF!</v>
      </c>
      <c r="X43" s="28" t="n">
        <v>0.00286984126984127</v>
      </c>
      <c r="Y43" s="4" t="e">
        <f aca="false">(X43-#REF!)/#REF!</f>
        <v>#REF!</v>
      </c>
      <c r="Z43" s="27" t="n">
        <v>212.47112712609</v>
      </c>
      <c r="AA43" s="4" t="e">
        <f aca="false">(Z43-#REF!)/#REF!</f>
        <v>#REF!</v>
      </c>
      <c r="AB43" s="3" t="n">
        <v>500</v>
      </c>
      <c r="AC43" s="4" t="e">
        <f aca="false">(AB43-#REF!)/#REF!</f>
        <v>#REF!</v>
      </c>
      <c r="AD43" s="25" t="n">
        <v>37.5</v>
      </c>
      <c r="AE43" s="4" t="e">
        <f aca="false">(AD43-#REF!)/#REF!</f>
        <v>#REF!</v>
      </c>
      <c r="AF43" s="4" t="n">
        <v>0.21</v>
      </c>
      <c r="AG43" s="4"/>
    </row>
    <row r="44" customFormat="false" ht="14.25" hidden="false" customHeight="false" outlineLevel="0" collapsed="false">
      <c r="B44" s="1" t="n">
        <v>12</v>
      </c>
      <c r="C44" s="4" t="e">
        <f aca="false">(B44-#REF!)/#REF!</f>
        <v>#REF!</v>
      </c>
      <c r="D44" s="1" t="n">
        <v>4</v>
      </c>
      <c r="E44" s="4" t="e">
        <f aca="false">(D44-#REF!)/#REF!</f>
        <v>#REF!</v>
      </c>
      <c r="F44" s="2" t="n">
        <v>79.3</v>
      </c>
      <c r="G44" s="4" t="e">
        <f aca="false">(F44-#REF!)/#REF!</f>
        <v>#REF!</v>
      </c>
      <c r="H44" s="2" t="n">
        <v>26.9</v>
      </c>
      <c r="I44" s="4" t="e">
        <f aca="false">(H44-#REF!)/#REF!</f>
        <v>#REF!</v>
      </c>
      <c r="J44" s="4" t="n">
        <v>2.69332921131829</v>
      </c>
      <c r="K44" s="4" t="e">
        <f aca="false">(J44-#REF!)/#REF!</f>
        <v>#REF!</v>
      </c>
      <c r="L44" s="1" t="n">
        <v>20</v>
      </c>
      <c r="M44" s="4" t="e">
        <f aca="false">(L44-#REF!)/#REF!</f>
        <v>#REF!</v>
      </c>
      <c r="N44" s="1" t="n">
        <v>34</v>
      </c>
      <c r="O44" s="4" t="e">
        <f aca="false">(N44-#REF!)/#REF!</f>
        <v>#REF!</v>
      </c>
      <c r="P44" s="1" t="n">
        <v>350</v>
      </c>
      <c r="Q44" s="4" t="e">
        <f aca="false">(P44-#REF!)/#REF!</f>
        <v>#REF!</v>
      </c>
      <c r="R44" s="1" t="n">
        <v>450</v>
      </c>
      <c r="S44" s="4" t="e">
        <f aca="false">(R44-#REF!)/#REF!</f>
        <v>#REF!</v>
      </c>
      <c r="T44" s="1" t="n">
        <f aca="false">R44-N44</f>
        <v>416</v>
      </c>
      <c r="U44" s="4" t="e">
        <f aca="false">(T44-#REF!)/#REF!</f>
        <v>#REF!</v>
      </c>
      <c r="V44" s="1" t="n">
        <v>452</v>
      </c>
      <c r="W44" s="4" t="e">
        <f aca="false">(V44-#REF!)/#REF!</f>
        <v>#REF!</v>
      </c>
      <c r="X44" s="28" t="n">
        <v>0.00286984126984127</v>
      </c>
      <c r="Y44" s="4" t="e">
        <f aca="false">(X44-#REF!)/#REF!</f>
        <v>#REF!</v>
      </c>
      <c r="Z44" s="27" t="n">
        <v>254.965352551308</v>
      </c>
      <c r="AA44" s="4" t="e">
        <f aca="false">(Z44-#REF!)/#REF!</f>
        <v>#REF!</v>
      </c>
      <c r="AB44" s="3" t="n">
        <v>500</v>
      </c>
      <c r="AC44" s="4" t="e">
        <f aca="false">(AB44-#REF!)/#REF!</f>
        <v>#REF!</v>
      </c>
      <c r="AD44" s="25" t="n">
        <v>45</v>
      </c>
      <c r="AE44" s="4" t="e">
        <f aca="false">(AD44-#REF!)/#REF!</f>
        <v>#REF!</v>
      </c>
      <c r="AF44" s="4" t="n">
        <v>0.31</v>
      </c>
      <c r="AG44" s="4"/>
    </row>
    <row r="45" customFormat="false" ht="14.25" hidden="false" customHeight="false" outlineLevel="0" collapsed="false">
      <c r="B45" s="1" t="n">
        <v>12</v>
      </c>
      <c r="C45" s="4" t="e">
        <f aca="false">(B45-#REF!)/#REF!</f>
        <v>#REF!</v>
      </c>
      <c r="D45" s="1" t="n">
        <v>4</v>
      </c>
      <c r="E45" s="4" t="e">
        <f aca="false">(D45-#REF!)/#REF!</f>
        <v>#REF!</v>
      </c>
      <c r="F45" s="2" t="n">
        <v>79.3</v>
      </c>
      <c r="G45" s="4" t="e">
        <f aca="false">(F45-#REF!)/#REF!</f>
        <v>#REF!</v>
      </c>
      <c r="H45" s="2" t="n">
        <v>26.9</v>
      </c>
      <c r="I45" s="4" t="e">
        <f aca="false">(H45-#REF!)/#REF!</f>
        <v>#REF!</v>
      </c>
      <c r="J45" s="4" t="n">
        <v>2.69332921131829</v>
      </c>
      <c r="K45" s="4" t="e">
        <f aca="false">(J45-#REF!)/#REF!</f>
        <v>#REF!</v>
      </c>
      <c r="L45" s="1" t="n">
        <v>20</v>
      </c>
      <c r="M45" s="4" t="e">
        <f aca="false">(L45-#REF!)/#REF!</f>
        <v>#REF!</v>
      </c>
      <c r="N45" s="1" t="n">
        <v>34</v>
      </c>
      <c r="O45" s="4" t="e">
        <f aca="false">(N45-#REF!)/#REF!</f>
        <v>#REF!</v>
      </c>
      <c r="P45" s="1" t="n">
        <v>350</v>
      </c>
      <c r="Q45" s="4" t="e">
        <f aca="false">(P45-#REF!)/#REF!</f>
        <v>#REF!</v>
      </c>
      <c r="R45" s="1" t="n">
        <v>450</v>
      </c>
      <c r="S45" s="4" t="e">
        <f aca="false">(R45-#REF!)/#REF!</f>
        <v>#REF!</v>
      </c>
      <c r="T45" s="1" t="n">
        <f aca="false">R45-N45</f>
        <v>416</v>
      </c>
      <c r="U45" s="4" t="e">
        <f aca="false">(T45-#REF!)/#REF!</f>
        <v>#REF!</v>
      </c>
      <c r="V45" s="1" t="n">
        <v>452</v>
      </c>
      <c r="W45" s="4" t="e">
        <f aca="false">(V45-#REF!)/#REF!</f>
        <v>#REF!</v>
      </c>
      <c r="X45" s="28" t="n">
        <v>0.00286984126984127</v>
      </c>
      <c r="Y45" s="4" t="e">
        <f aca="false">(X45-#REF!)/#REF!</f>
        <v>#REF!</v>
      </c>
      <c r="Z45" s="27" t="n">
        <v>297.459577976525</v>
      </c>
      <c r="AA45" s="4" t="e">
        <f aca="false">(Z45-#REF!)/#REF!</f>
        <v>#REF!</v>
      </c>
      <c r="AB45" s="3" t="n">
        <v>500</v>
      </c>
      <c r="AC45" s="4" t="e">
        <f aca="false">(AB45-#REF!)/#REF!</f>
        <v>#REF!</v>
      </c>
      <c r="AD45" s="25" t="n">
        <v>52.5</v>
      </c>
      <c r="AE45" s="4" t="e">
        <f aca="false">(AD45-#REF!)/#REF!</f>
        <v>#REF!</v>
      </c>
      <c r="AF45" s="4" t="n">
        <v>0.38</v>
      </c>
      <c r="AG45" s="4"/>
    </row>
    <row r="46" customFormat="false" ht="14.25" hidden="false" customHeight="false" outlineLevel="0" collapsed="false">
      <c r="B46" s="1" t="n">
        <v>12</v>
      </c>
      <c r="C46" s="4" t="e">
        <f aca="false">(B46-#REF!)/#REF!</f>
        <v>#REF!</v>
      </c>
      <c r="D46" s="1" t="n">
        <v>4</v>
      </c>
      <c r="E46" s="4" t="e">
        <f aca="false">(D46-#REF!)/#REF!</f>
        <v>#REF!</v>
      </c>
      <c r="F46" s="2" t="n">
        <v>79.3</v>
      </c>
      <c r="G46" s="4" t="e">
        <f aca="false">(F46-#REF!)/#REF!</f>
        <v>#REF!</v>
      </c>
      <c r="H46" s="2" t="n">
        <v>26.9</v>
      </c>
      <c r="I46" s="4" t="e">
        <f aca="false">(H46-#REF!)/#REF!</f>
        <v>#REF!</v>
      </c>
      <c r="J46" s="4" t="n">
        <v>2.69332921131829</v>
      </c>
      <c r="K46" s="4" t="e">
        <f aca="false">(J46-#REF!)/#REF!</f>
        <v>#REF!</v>
      </c>
      <c r="L46" s="1" t="n">
        <v>20</v>
      </c>
      <c r="M46" s="4" t="e">
        <f aca="false">(L46-#REF!)/#REF!</f>
        <v>#REF!</v>
      </c>
      <c r="N46" s="1" t="n">
        <v>34</v>
      </c>
      <c r="O46" s="4" t="e">
        <f aca="false">(N46-#REF!)/#REF!</f>
        <v>#REF!</v>
      </c>
      <c r="P46" s="1" t="n">
        <v>350</v>
      </c>
      <c r="Q46" s="4" t="e">
        <f aca="false">(P46-#REF!)/#REF!</f>
        <v>#REF!</v>
      </c>
      <c r="R46" s="1" t="n">
        <v>450</v>
      </c>
      <c r="S46" s="4" t="e">
        <f aca="false">(R46-#REF!)/#REF!</f>
        <v>#REF!</v>
      </c>
      <c r="T46" s="1" t="n">
        <f aca="false">R46-N46</f>
        <v>416</v>
      </c>
      <c r="U46" s="4" t="e">
        <f aca="false">(T46-#REF!)/#REF!</f>
        <v>#REF!</v>
      </c>
      <c r="V46" s="1" t="n">
        <v>452</v>
      </c>
      <c r="W46" s="4" t="e">
        <f aca="false">(V46-#REF!)/#REF!</f>
        <v>#REF!</v>
      </c>
      <c r="X46" s="28" t="n">
        <v>0.00286984126984127</v>
      </c>
      <c r="Y46" s="4" t="e">
        <f aca="false">(X46-#REF!)/#REF!</f>
        <v>#REF!</v>
      </c>
      <c r="Z46" s="27" t="n">
        <v>382.448028826961</v>
      </c>
      <c r="AA46" s="4" t="e">
        <f aca="false">(Z46-#REF!)/#REF!</f>
        <v>#REF!</v>
      </c>
      <c r="AB46" s="3" t="n">
        <v>500</v>
      </c>
      <c r="AC46" s="4" t="e">
        <f aca="false">(AB46-#REF!)/#REF!</f>
        <v>#REF!</v>
      </c>
      <c r="AD46" s="25" t="n">
        <v>67.5</v>
      </c>
      <c r="AE46" s="4" t="e">
        <f aca="false">(AD46-#REF!)/#REF!</f>
        <v>#REF!</v>
      </c>
      <c r="AF46" s="4" t="n">
        <v>0.52</v>
      </c>
      <c r="AG46" s="4"/>
    </row>
    <row r="47" customFormat="false" ht="14.25" hidden="false" customHeight="false" outlineLevel="0" collapsed="false">
      <c r="B47" s="1" t="n">
        <v>12</v>
      </c>
      <c r="C47" s="4" t="e">
        <f aca="false">(B47-#REF!)/#REF!</f>
        <v>#REF!</v>
      </c>
      <c r="D47" s="1" t="n">
        <v>4</v>
      </c>
      <c r="E47" s="4" t="e">
        <f aca="false">(D47-#REF!)/#REF!</f>
        <v>#REF!</v>
      </c>
      <c r="F47" s="2" t="n">
        <v>79.3</v>
      </c>
      <c r="G47" s="4" t="e">
        <f aca="false">(F47-#REF!)/#REF!</f>
        <v>#REF!</v>
      </c>
      <c r="H47" s="2" t="n">
        <v>26.9</v>
      </c>
      <c r="I47" s="4" t="e">
        <f aca="false">(H47-#REF!)/#REF!</f>
        <v>#REF!</v>
      </c>
      <c r="J47" s="4" t="n">
        <v>2.69332921131829</v>
      </c>
      <c r="K47" s="4" t="e">
        <f aca="false">(J47-#REF!)/#REF!</f>
        <v>#REF!</v>
      </c>
      <c r="L47" s="1" t="n">
        <v>20</v>
      </c>
      <c r="M47" s="4" t="e">
        <f aca="false">(L47-#REF!)/#REF!</f>
        <v>#REF!</v>
      </c>
      <c r="N47" s="1" t="n">
        <v>34</v>
      </c>
      <c r="O47" s="4" t="e">
        <f aca="false">(N47-#REF!)/#REF!</f>
        <v>#REF!</v>
      </c>
      <c r="P47" s="1" t="n">
        <v>350</v>
      </c>
      <c r="Q47" s="4" t="e">
        <f aca="false">(P47-#REF!)/#REF!</f>
        <v>#REF!</v>
      </c>
      <c r="R47" s="1" t="n">
        <v>450</v>
      </c>
      <c r="S47" s="4" t="e">
        <f aca="false">(R47-#REF!)/#REF!</f>
        <v>#REF!</v>
      </c>
      <c r="T47" s="1" t="n">
        <f aca="false">R47-N47</f>
        <v>416</v>
      </c>
      <c r="U47" s="4" t="e">
        <f aca="false">(T47-#REF!)/#REF!</f>
        <v>#REF!</v>
      </c>
      <c r="V47" s="1" t="n">
        <v>452</v>
      </c>
      <c r="W47" s="4" t="e">
        <f aca="false">(V47-#REF!)/#REF!</f>
        <v>#REF!</v>
      </c>
      <c r="X47" s="28" t="n">
        <v>0.00286984126984127</v>
      </c>
      <c r="Y47" s="4" t="e">
        <f aca="false">(X47-#REF!)/#REF!</f>
        <v>#REF!</v>
      </c>
      <c r="Z47" s="27" t="n">
        <v>500</v>
      </c>
      <c r="AA47" s="4" t="e">
        <f aca="false">(Z47-#REF!)/#REF!</f>
        <v>#REF!</v>
      </c>
      <c r="AB47" s="3" t="n">
        <v>500</v>
      </c>
      <c r="AC47" s="4" t="e">
        <f aca="false">(AB47-#REF!)/#REF!</f>
        <v>#REF!</v>
      </c>
      <c r="AD47" s="25" t="n">
        <v>90</v>
      </c>
      <c r="AE47" s="4" t="e">
        <f aca="false">(AD47-#REF!)/#REF!</f>
        <v>#REF!</v>
      </c>
      <c r="AF47" s="4" t="n">
        <v>0.74</v>
      </c>
      <c r="AG47" s="4"/>
    </row>
    <row r="48" customFormat="false" ht="14.25" hidden="false" customHeight="false" outlineLevel="0" collapsed="false">
      <c r="A48" s="0" t="s">
        <v>30</v>
      </c>
      <c r="B48" s="1" t="n">
        <v>12</v>
      </c>
      <c r="C48" s="4" t="e">
        <f aca="false">(B48-#REF!)/#REF!</f>
        <v>#REF!</v>
      </c>
      <c r="D48" s="1" t="n">
        <v>4</v>
      </c>
      <c r="E48" s="4" t="e">
        <f aca="false">(D48-#REF!)/#REF!</f>
        <v>#REF!</v>
      </c>
      <c r="F48" s="2" t="n">
        <v>79.3</v>
      </c>
      <c r="G48" s="4" t="e">
        <f aca="false">(F48-#REF!)/#REF!</f>
        <v>#REF!</v>
      </c>
      <c r="H48" s="2" t="n">
        <v>26.9</v>
      </c>
      <c r="I48" s="4" t="e">
        <f aca="false">(H48-#REF!)/#REF!</f>
        <v>#REF!</v>
      </c>
      <c r="J48" s="4" t="n">
        <v>2.69332921131829</v>
      </c>
      <c r="K48" s="4" t="e">
        <f aca="false">(J48-#REF!)/#REF!</f>
        <v>#REF!</v>
      </c>
      <c r="L48" s="1" t="n">
        <v>20</v>
      </c>
      <c r="M48" s="4" t="e">
        <f aca="false">(L48-#REF!)/#REF!</f>
        <v>#REF!</v>
      </c>
      <c r="N48" s="1" t="n">
        <v>34</v>
      </c>
      <c r="O48" s="4" t="e">
        <f aca="false">(N48-#REF!)/#REF!</f>
        <v>#REF!</v>
      </c>
      <c r="P48" s="1" t="n">
        <v>350</v>
      </c>
      <c r="Q48" s="4" t="e">
        <f aca="false">(P48-#REF!)/#REF!</f>
        <v>#REF!</v>
      </c>
      <c r="R48" s="1" t="n">
        <v>450</v>
      </c>
      <c r="S48" s="4" t="e">
        <f aca="false">(R48-#REF!)/#REF!</f>
        <v>#REF!</v>
      </c>
      <c r="T48" s="1" t="n">
        <f aca="false">R48-N48</f>
        <v>416</v>
      </c>
      <c r="U48" s="4" t="e">
        <f aca="false">(T48-#REF!)/#REF!</f>
        <v>#REF!</v>
      </c>
      <c r="V48" s="1" t="n">
        <v>452</v>
      </c>
      <c r="W48" s="4" t="e">
        <f aca="false">(V48-#REF!)/#REF!</f>
        <v>#REF!</v>
      </c>
      <c r="X48" s="28" t="n">
        <v>0.00286984126984127</v>
      </c>
      <c r="Y48" s="4" t="e">
        <f aca="false">(X48-#REF!)/#REF!</f>
        <v>#REF!</v>
      </c>
      <c r="Z48" s="27" t="n">
        <v>212.47112712609</v>
      </c>
      <c r="AA48" s="4" t="e">
        <f aca="false">(Z48-#REF!)/#REF!</f>
        <v>#REF!</v>
      </c>
      <c r="AB48" s="3" t="n">
        <v>500</v>
      </c>
      <c r="AC48" s="4" t="e">
        <f aca="false">(AB48-#REF!)/#REF!</f>
        <v>#REF!</v>
      </c>
      <c r="AD48" s="25" t="n">
        <v>37.5</v>
      </c>
      <c r="AE48" s="4" t="e">
        <f aca="false">(AD48-#REF!)/#REF!</f>
        <v>#REF!</v>
      </c>
      <c r="AF48" s="4" t="n">
        <v>0.17</v>
      </c>
      <c r="AG48" s="4"/>
    </row>
    <row r="49" customFormat="false" ht="14.25" hidden="false" customHeight="false" outlineLevel="0" collapsed="false">
      <c r="B49" s="1" t="n">
        <v>12</v>
      </c>
      <c r="C49" s="4" t="e">
        <f aca="false">(B49-#REF!)/#REF!</f>
        <v>#REF!</v>
      </c>
      <c r="D49" s="1" t="n">
        <v>4</v>
      </c>
      <c r="E49" s="4" t="e">
        <f aca="false">(D49-#REF!)/#REF!</f>
        <v>#REF!</v>
      </c>
      <c r="F49" s="2" t="n">
        <v>79.3</v>
      </c>
      <c r="G49" s="4" t="e">
        <f aca="false">(F49-#REF!)/#REF!</f>
        <v>#REF!</v>
      </c>
      <c r="H49" s="2" t="n">
        <v>26.9</v>
      </c>
      <c r="I49" s="4" t="e">
        <f aca="false">(H49-#REF!)/#REF!</f>
        <v>#REF!</v>
      </c>
      <c r="J49" s="4" t="n">
        <v>2.69332921131829</v>
      </c>
      <c r="K49" s="4" t="e">
        <f aca="false">(J49-#REF!)/#REF!</f>
        <v>#REF!</v>
      </c>
      <c r="L49" s="1" t="n">
        <v>20</v>
      </c>
      <c r="M49" s="4" t="e">
        <f aca="false">(L49-#REF!)/#REF!</f>
        <v>#REF!</v>
      </c>
      <c r="N49" s="1" t="n">
        <v>34</v>
      </c>
      <c r="O49" s="4" t="e">
        <f aca="false">(N49-#REF!)/#REF!</f>
        <v>#REF!</v>
      </c>
      <c r="P49" s="1" t="n">
        <v>350</v>
      </c>
      <c r="Q49" s="4" t="e">
        <f aca="false">(P49-#REF!)/#REF!</f>
        <v>#REF!</v>
      </c>
      <c r="R49" s="1" t="n">
        <v>450</v>
      </c>
      <c r="S49" s="4" t="e">
        <f aca="false">(R49-#REF!)/#REF!</f>
        <v>#REF!</v>
      </c>
      <c r="T49" s="1" t="n">
        <f aca="false">R49-N49</f>
        <v>416</v>
      </c>
      <c r="U49" s="4" t="e">
        <f aca="false">(T49-#REF!)/#REF!</f>
        <v>#REF!</v>
      </c>
      <c r="V49" s="1" t="n">
        <v>452</v>
      </c>
      <c r="W49" s="4" t="e">
        <f aca="false">(V49-#REF!)/#REF!</f>
        <v>#REF!</v>
      </c>
      <c r="X49" s="28" t="n">
        <v>0.00286984126984127</v>
      </c>
      <c r="Y49" s="4" t="e">
        <f aca="false">(X49-#REF!)/#REF!</f>
        <v>#REF!</v>
      </c>
      <c r="Z49" s="27" t="n">
        <v>297.459577976525</v>
      </c>
      <c r="AA49" s="4" t="e">
        <f aca="false">(Z49-#REF!)/#REF!</f>
        <v>#REF!</v>
      </c>
      <c r="AB49" s="3" t="n">
        <v>500</v>
      </c>
      <c r="AC49" s="4" t="e">
        <f aca="false">(AB49-#REF!)/#REF!</f>
        <v>#REF!</v>
      </c>
      <c r="AD49" s="25" t="n">
        <v>52.5</v>
      </c>
      <c r="AE49" s="4" t="e">
        <f aca="false">(AD49-#REF!)/#REF!</f>
        <v>#REF!</v>
      </c>
      <c r="AF49" s="4" t="n">
        <v>0.36</v>
      </c>
      <c r="AG49" s="4"/>
    </row>
    <row r="50" customFormat="false" ht="14.25" hidden="false" customHeight="false" outlineLevel="0" collapsed="false">
      <c r="B50" s="1" t="n">
        <v>12</v>
      </c>
      <c r="C50" s="4" t="e">
        <f aca="false">(B50-#REF!)/#REF!</f>
        <v>#REF!</v>
      </c>
      <c r="D50" s="1" t="n">
        <v>4</v>
      </c>
      <c r="E50" s="4" t="e">
        <f aca="false">(D50-#REF!)/#REF!</f>
        <v>#REF!</v>
      </c>
      <c r="F50" s="2" t="n">
        <v>79.3</v>
      </c>
      <c r="G50" s="4" t="e">
        <f aca="false">(F50-#REF!)/#REF!</f>
        <v>#REF!</v>
      </c>
      <c r="H50" s="2" t="n">
        <v>26.9</v>
      </c>
      <c r="I50" s="4" t="e">
        <f aca="false">(H50-#REF!)/#REF!</f>
        <v>#REF!</v>
      </c>
      <c r="J50" s="4" t="n">
        <v>2.69332921131829</v>
      </c>
      <c r="K50" s="4" t="e">
        <f aca="false">(J50-#REF!)/#REF!</f>
        <v>#REF!</v>
      </c>
      <c r="L50" s="1" t="n">
        <v>20</v>
      </c>
      <c r="M50" s="4" t="e">
        <f aca="false">(L50-#REF!)/#REF!</f>
        <v>#REF!</v>
      </c>
      <c r="N50" s="1" t="n">
        <v>34</v>
      </c>
      <c r="O50" s="4" t="e">
        <f aca="false">(N50-#REF!)/#REF!</f>
        <v>#REF!</v>
      </c>
      <c r="P50" s="1" t="n">
        <v>350</v>
      </c>
      <c r="Q50" s="4" t="e">
        <f aca="false">(P50-#REF!)/#REF!</f>
        <v>#REF!</v>
      </c>
      <c r="R50" s="1" t="n">
        <v>450</v>
      </c>
      <c r="S50" s="4" t="e">
        <f aca="false">(R50-#REF!)/#REF!</f>
        <v>#REF!</v>
      </c>
      <c r="T50" s="1" t="n">
        <f aca="false">R50-N50</f>
        <v>416</v>
      </c>
      <c r="U50" s="4" t="e">
        <f aca="false">(T50-#REF!)/#REF!</f>
        <v>#REF!</v>
      </c>
      <c r="V50" s="1" t="n">
        <v>452</v>
      </c>
      <c r="W50" s="4" t="e">
        <f aca="false">(V50-#REF!)/#REF!</f>
        <v>#REF!</v>
      </c>
      <c r="X50" s="28" t="n">
        <v>0.00286984126984127</v>
      </c>
      <c r="Y50" s="4" t="e">
        <f aca="false">(X50-#REF!)/#REF!</f>
        <v>#REF!</v>
      </c>
      <c r="Z50" s="27" t="n">
        <v>382.448028826961</v>
      </c>
      <c r="AA50" s="4" t="e">
        <f aca="false">(Z50-#REF!)/#REF!</f>
        <v>#REF!</v>
      </c>
      <c r="AB50" s="3" t="n">
        <v>500</v>
      </c>
      <c r="AC50" s="4" t="e">
        <f aca="false">(AB50-#REF!)/#REF!</f>
        <v>#REF!</v>
      </c>
      <c r="AD50" s="25" t="n">
        <v>67.5</v>
      </c>
      <c r="AE50" s="4" t="e">
        <f aca="false">(AD50-#REF!)/#REF!</f>
        <v>#REF!</v>
      </c>
      <c r="AF50" s="4" t="n">
        <v>0.56</v>
      </c>
      <c r="AG50" s="4"/>
    </row>
    <row r="51" customFormat="false" ht="14.25" hidden="false" customHeight="false" outlineLevel="0" collapsed="false">
      <c r="B51" s="1" t="n">
        <v>12</v>
      </c>
      <c r="C51" s="4" t="e">
        <f aca="false">(B51-#REF!)/#REF!</f>
        <v>#REF!</v>
      </c>
      <c r="D51" s="1" t="n">
        <v>4</v>
      </c>
      <c r="E51" s="4" t="e">
        <f aca="false">(D51-#REF!)/#REF!</f>
        <v>#REF!</v>
      </c>
      <c r="F51" s="2" t="n">
        <v>79.3</v>
      </c>
      <c r="G51" s="4" t="e">
        <f aca="false">(F51-#REF!)/#REF!</f>
        <v>#REF!</v>
      </c>
      <c r="H51" s="2" t="n">
        <v>26.9</v>
      </c>
      <c r="I51" s="4" t="e">
        <f aca="false">(H51-#REF!)/#REF!</f>
        <v>#REF!</v>
      </c>
      <c r="J51" s="4" t="n">
        <v>2.69332921131829</v>
      </c>
      <c r="K51" s="4" t="e">
        <f aca="false">(J51-#REF!)/#REF!</f>
        <v>#REF!</v>
      </c>
      <c r="L51" s="1" t="n">
        <v>20</v>
      </c>
      <c r="M51" s="4" t="e">
        <f aca="false">(L51-#REF!)/#REF!</f>
        <v>#REF!</v>
      </c>
      <c r="N51" s="1" t="n">
        <v>34</v>
      </c>
      <c r="O51" s="4" t="e">
        <f aca="false">(N51-#REF!)/#REF!</f>
        <v>#REF!</v>
      </c>
      <c r="P51" s="1" t="n">
        <v>350</v>
      </c>
      <c r="Q51" s="4" t="e">
        <f aca="false">(P51-#REF!)/#REF!</f>
        <v>#REF!</v>
      </c>
      <c r="R51" s="1" t="n">
        <v>450</v>
      </c>
      <c r="S51" s="4" t="e">
        <f aca="false">(R51-#REF!)/#REF!</f>
        <v>#REF!</v>
      </c>
      <c r="T51" s="1" t="n">
        <f aca="false">R51-N51</f>
        <v>416</v>
      </c>
      <c r="U51" s="4" t="e">
        <f aca="false">(T51-#REF!)/#REF!</f>
        <v>#REF!</v>
      </c>
      <c r="V51" s="1" t="n">
        <v>452</v>
      </c>
      <c r="W51" s="4" t="e">
        <f aca="false">(V51-#REF!)/#REF!</f>
        <v>#REF!</v>
      </c>
      <c r="X51" s="28" t="n">
        <v>0.00286984126984127</v>
      </c>
      <c r="Y51" s="4" t="e">
        <f aca="false">(X51-#REF!)/#REF!</f>
        <v>#REF!</v>
      </c>
      <c r="Z51" s="27" t="n">
        <v>500</v>
      </c>
      <c r="AA51" s="4" t="e">
        <f aca="false">(Z51-#REF!)/#REF!</f>
        <v>#REF!</v>
      </c>
      <c r="AB51" s="3" t="n">
        <v>500</v>
      </c>
      <c r="AC51" s="4" t="e">
        <f aca="false">(AB51-#REF!)/#REF!</f>
        <v>#REF!</v>
      </c>
      <c r="AD51" s="25" t="n">
        <v>90</v>
      </c>
      <c r="AE51" s="4" t="e">
        <f aca="false">(AD51-#REF!)/#REF!</f>
        <v>#REF!</v>
      </c>
      <c r="AF51" s="4" t="n">
        <v>0.78</v>
      </c>
      <c r="AG51" s="4"/>
    </row>
    <row r="52" customFormat="false" ht="14.25" hidden="false" customHeight="false" outlineLevel="0" collapsed="false">
      <c r="A52" s="0" t="s">
        <v>31</v>
      </c>
      <c r="B52" s="1" t="n">
        <v>12</v>
      </c>
      <c r="C52" s="4" t="e">
        <f aca="false">(B52-#REF!)/#REF!</f>
        <v>#REF!</v>
      </c>
      <c r="D52" s="1" t="n">
        <v>4</v>
      </c>
      <c r="E52" s="4" t="e">
        <f aca="false">(D52-#REF!)/#REF!</f>
        <v>#REF!</v>
      </c>
      <c r="F52" s="2" t="n">
        <v>46</v>
      </c>
      <c r="G52" s="4" t="e">
        <f aca="false">(F52-#REF!)/#REF!</f>
        <v>#REF!</v>
      </c>
      <c r="H52" s="2" t="n">
        <v>26.9</v>
      </c>
      <c r="I52" s="4" t="e">
        <f aca="false">(H52-#REF!)/#REF!</f>
        <v>#REF!</v>
      </c>
      <c r="J52" s="4" t="n">
        <v>2.69332921131829</v>
      </c>
      <c r="K52" s="4" t="e">
        <f aca="false">(J52-#REF!)/#REF!</f>
        <v>#REF!</v>
      </c>
      <c r="L52" s="1" t="n">
        <v>70</v>
      </c>
      <c r="M52" s="4" t="e">
        <f aca="false">(L52-#REF!)/#REF!</f>
        <v>#REF!</v>
      </c>
      <c r="N52" s="1" t="n">
        <v>88</v>
      </c>
      <c r="O52" s="4" t="e">
        <f aca="false">(N52-#REF!)/#REF!</f>
        <v>#REF!</v>
      </c>
      <c r="P52" s="1" t="n">
        <v>350</v>
      </c>
      <c r="Q52" s="4" t="e">
        <f aca="false">(P52-#REF!)/#REF!</f>
        <v>#REF!</v>
      </c>
      <c r="R52" s="1" t="n">
        <v>450</v>
      </c>
      <c r="S52" s="4" t="e">
        <f aca="false">(R52-#REF!)/#REF!</f>
        <v>#REF!</v>
      </c>
      <c r="T52" s="1" t="n">
        <f aca="false">R52-N52</f>
        <v>362</v>
      </c>
      <c r="U52" s="4" t="e">
        <f aca="false">(T52-#REF!)/#REF!</f>
        <v>#REF!</v>
      </c>
      <c r="V52" s="1" t="n">
        <v>452</v>
      </c>
      <c r="W52" s="4" t="e">
        <f aca="false">(V52-#REF!)/#REF!</f>
        <v>#REF!</v>
      </c>
      <c r="X52" s="28" t="n">
        <v>0.00286984126984127</v>
      </c>
      <c r="Y52" s="4" t="e">
        <f aca="false">(X52-#REF!)/#REF!</f>
        <v>#REF!</v>
      </c>
      <c r="Z52" s="27" t="n">
        <v>245.194770485466</v>
      </c>
      <c r="AA52" s="4" t="e">
        <f aca="false">(Z52-#REF!)/#REF!</f>
        <v>#REF!</v>
      </c>
      <c r="AB52" s="3" t="n">
        <v>500</v>
      </c>
      <c r="AC52" s="4" t="e">
        <f aca="false">(AB52-#REF!)/#REF!</f>
        <v>#REF!</v>
      </c>
      <c r="AD52" s="25" t="n">
        <v>37.5</v>
      </c>
      <c r="AE52" s="4" t="e">
        <f aca="false">(AD52-#REF!)/#REF!</f>
        <v>#REF!</v>
      </c>
      <c r="AF52" s="4" t="n">
        <v>0.31</v>
      </c>
      <c r="AG52" s="4"/>
    </row>
    <row r="53" customFormat="false" ht="14.25" hidden="false" customHeight="false" outlineLevel="0" collapsed="false">
      <c r="B53" s="1" t="n">
        <v>12</v>
      </c>
      <c r="C53" s="4" t="e">
        <f aca="false">(B53-#REF!)/#REF!</f>
        <v>#REF!</v>
      </c>
      <c r="D53" s="1" t="n">
        <v>4</v>
      </c>
      <c r="E53" s="4" t="e">
        <f aca="false">(D53-#REF!)/#REF!</f>
        <v>#REF!</v>
      </c>
      <c r="F53" s="2" t="n">
        <v>46</v>
      </c>
      <c r="G53" s="4" t="e">
        <f aca="false">(F53-#REF!)/#REF!</f>
        <v>#REF!</v>
      </c>
      <c r="H53" s="2" t="n">
        <v>26.9</v>
      </c>
      <c r="I53" s="4" t="e">
        <f aca="false">(H53-#REF!)/#REF!</f>
        <v>#REF!</v>
      </c>
      <c r="J53" s="4" t="n">
        <v>2.69332921131829</v>
      </c>
      <c r="K53" s="4" t="e">
        <f aca="false">(J53-#REF!)/#REF!</f>
        <v>#REF!</v>
      </c>
      <c r="L53" s="1" t="n">
        <v>70</v>
      </c>
      <c r="M53" s="4" t="e">
        <f aca="false">(L53-#REF!)/#REF!</f>
        <v>#REF!</v>
      </c>
      <c r="N53" s="1" t="n">
        <v>88</v>
      </c>
      <c r="O53" s="4" t="e">
        <f aca="false">(N53-#REF!)/#REF!</f>
        <v>#REF!</v>
      </c>
      <c r="P53" s="1" t="n">
        <v>350</v>
      </c>
      <c r="Q53" s="4" t="e">
        <f aca="false">(P53-#REF!)/#REF!</f>
        <v>#REF!</v>
      </c>
      <c r="R53" s="1" t="n">
        <v>450</v>
      </c>
      <c r="S53" s="4" t="e">
        <f aca="false">(R53-#REF!)/#REF!</f>
        <v>#REF!</v>
      </c>
      <c r="T53" s="1" t="n">
        <f aca="false">R53-N53</f>
        <v>362</v>
      </c>
      <c r="U53" s="4" t="e">
        <f aca="false">(T53-#REF!)/#REF!</f>
        <v>#REF!</v>
      </c>
      <c r="V53" s="1" t="n">
        <v>452</v>
      </c>
      <c r="W53" s="4" t="e">
        <f aca="false">(V53-#REF!)/#REF!</f>
        <v>#REF!</v>
      </c>
      <c r="X53" s="28" t="n">
        <v>0.00286984126984127</v>
      </c>
      <c r="Y53" s="4" t="e">
        <f aca="false">(X53-#REF!)/#REF!</f>
        <v>#REF!</v>
      </c>
      <c r="Z53" s="27" t="n">
        <v>294.23372458256</v>
      </c>
      <c r="AA53" s="4" t="e">
        <f aca="false">(Z53-#REF!)/#REF!</f>
        <v>#REF!</v>
      </c>
      <c r="AB53" s="3" t="n">
        <v>500</v>
      </c>
      <c r="AC53" s="4" t="e">
        <f aca="false">(AB53-#REF!)/#REF!</f>
        <v>#REF!</v>
      </c>
      <c r="AD53" s="25" t="n">
        <v>45</v>
      </c>
      <c r="AE53" s="4" t="e">
        <f aca="false">(AD53-#REF!)/#REF!</f>
        <v>#REF!</v>
      </c>
      <c r="AF53" s="4" t="n">
        <v>0.44</v>
      </c>
      <c r="AG53" s="4"/>
    </row>
    <row r="54" customFormat="false" ht="14.25" hidden="false" customHeight="false" outlineLevel="0" collapsed="false">
      <c r="A54" s="0" t="s">
        <v>32</v>
      </c>
      <c r="B54" s="1" t="n">
        <v>12</v>
      </c>
      <c r="C54" s="4" t="e">
        <f aca="false">(B54-#REF!)/#REF!</f>
        <v>#REF!</v>
      </c>
      <c r="D54" s="1" t="n">
        <v>4</v>
      </c>
      <c r="E54" s="4" t="e">
        <f aca="false">(D54-#REF!)/#REF!</f>
        <v>#REF!</v>
      </c>
      <c r="F54" s="2" t="n">
        <v>46</v>
      </c>
      <c r="G54" s="4" t="e">
        <f aca="false">(F54-#REF!)/#REF!</f>
        <v>#REF!</v>
      </c>
      <c r="H54" s="2" t="n">
        <v>26.9</v>
      </c>
      <c r="I54" s="4" t="e">
        <f aca="false">(H54-#REF!)/#REF!</f>
        <v>#REF!</v>
      </c>
      <c r="J54" s="4" t="n">
        <v>2.69332921131829</v>
      </c>
      <c r="K54" s="4" t="e">
        <f aca="false">(J54-#REF!)/#REF!</f>
        <v>#REF!</v>
      </c>
      <c r="L54" s="1" t="n">
        <v>70</v>
      </c>
      <c r="M54" s="4" t="e">
        <f aca="false">(L54-#REF!)/#REF!</f>
        <v>#REF!</v>
      </c>
      <c r="N54" s="1" t="n">
        <v>84</v>
      </c>
      <c r="O54" s="4" t="e">
        <f aca="false">(N54-#REF!)/#REF!</f>
        <v>#REF!</v>
      </c>
      <c r="P54" s="1" t="n">
        <v>350</v>
      </c>
      <c r="Q54" s="4" t="e">
        <f aca="false">(P54-#REF!)/#REF!</f>
        <v>#REF!</v>
      </c>
      <c r="R54" s="1" t="n">
        <v>450</v>
      </c>
      <c r="S54" s="4" t="e">
        <f aca="false">(R54-#REF!)/#REF!</f>
        <v>#REF!</v>
      </c>
      <c r="T54" s="1" t="n">
        <f aca="false">R54-N54</f>
        <v>366</v>
      </c>
      <c r="U54" s="4" t="e">
        <f aca="false">(T54-#REF!)/#REF!</f>
        <v>#REF!</v>
      </c>
      <c r="V54" s="1" t="n">
        <v>452</v>
      </c>
      <c r="W54" s="4" t="e">
        <f aca="false">(V54-#REF!)/#REF!</f>
        <v>#REF!</v>
      </c>
      <c r="X54" s="28" t="n">
        <v>0.00286984126984127</v>
      </c>
      <c r="Y54" s="4" t="e">
        <f aca="false">(X54-#REF!)/#REF!</f>
        <v>#REF!</v>
      </c>
      <c r="Z54" s="27" t="n">
        <v>193.945814910414</v>
      </c>
      <c r="AA54" s="4" t="e">
        <f aca="false">(Z54-#REF!)/#REF!</f>
        <v>#REF!</v>
      </c>
      <c r="AB54" s="3" t="n">
        <v>500</v>
      </c>
      <c r="AC54" s="4" t="e">
        <f aca="false">(AB54-#REF!)/#REF!</f>
        <v>#REF!</v>
      </c>
      <c r="AD54" s="25" t="n">
        <v>30</v>
      </c>
      <c r="AE54" s="4" t="e">
        <f aca="false">(AD54-#REF!)/#REF!</f>
        <v>#REF!</v>
      </c>
      <c r="AF54" s="4" t="n">
        <v>0.14</v>
      </c>
      <c r="AG54" s="4"/>
    </row>
    <row r="55" customFormat="false" ht="14.25" hidden="false" customHeight="false" outlineLevel="0" collapsed="false">
      <c r="B55" s="1" t="n">
        <v>12</v>
      </c>
      <c r="C55" s="4" t="e">
        <f aca="false">(B55-#REF!)/#REF!</f>
        <v>#REF!</v>
      </c>
      <c r="D55" s="1" t="n">
        <v>4</v>
      </c>
      <c r="E55" s="4" t="e">
        <f aca="false">(D55-#REF!)/#REF!</f>
        <v>#REF!</v>
      </c>
      <c r="F55" s="2" t="n">
        <v>46</v>
      </c>
      <c r="G55" s="4" t="e">
        <f aca="false">(F55-#REF!)/#REF!</f>
        <v>#REF!</v>
      </c>
      <c r="H55" s="2" t="n">
        <v>26.9</v>
      </c>
      <c r="I55" s="4" t="e">
        <f aca="false">(H55-#REF!)/#REF!</f>
        <v>#REF!</v>
      </c>
      <c r="J55" s="4" t="n">
        <v>2.69332921131829</v>
      </c>
      <c r="K55" s="4" t="e">
        <f aca="false">(J55-#REF!)/#REF!</f>
        <v>#REF!</v>
      </c>
      <c r="L55" s="1" t="n">
        <v>70</v>
      </c>
      <c r="M55" s="4" t="e">
        <f aca="false">(L55-#REF!)/#REF!</f>
        <v>#REF!</v>
      </c>
      <c r="N55" s="1" t="n">
        <v>84</v>
      </c>
      <c r="O55" s="4" t="e">
        <f aca="false">(N55-#REF!)/#REF!</f>
        <v>#REF!</v>
      </c>
      <c r="P55" s="1" t="n">
        <v>350</v>
      </c>
      <c r="Q55" s="4" t="e">
        <f aca="false">(P55-#REF!)/#REF!</f>
        <v>#REF!</v>
      </c>
      <c r="R55" s="1" t="n">
        <v>450</v>
      </c>
      <c r="S55" s="4" t="e">
        <f aca="false">(R55-#REF!)/#REF!</f>
        <v>#REF!</v>
      </c>
      <c r="T55" s="1" t="n">
        <f aca="false">R55-N55</f>
        <v>366</v>
      </c>
      <c r="U55" s="4" t="e">
        <f aca="false">(T55-#REF!)/#REF!</f>
        <v>#REF!</v>
      </c>
      <c r="V55" s="1" t="n">
        <v>452</v>
      </c>
      <c r="W55" s="4" t="e">
        <f aca="false">(V55-#REF!)/#REF!</f>
        <v>#REF!</v>
      </c>
      <c r="X55" s="28" t="n">
        <v>0.00286984126984127</v>
      </c>
      <c r="Y55" s="4" t="e">
        <f aca="false">(X55-#REF!)/#REF!</f>
        <v>#REF!</v>
      </c>
      <c r="Z55" s="27" t="n">
        <v>242.432268638018</v>
      </c>
      <c r="AA55" s="4" t="e">
        <f aca="false">(Z55-#REF!)/#REF!</f>
        <v>#REF!</v>
      </c>
      <c r="AB55" s="3" t="n">
        <v>500</v>
      </c>
      <c r="AC55" s="4" t="e">
        <f aca="false">(AB55-#REF!)/#REF!</f>
        <v>#REF!</v>
      </c>
      <c r="AD55" s="25" t="n">
        <v>37.5</v>
      </c>
      <c r="AE55" s="4" t="e">
        <f aca="false">(AD55-#REF!)/#REF!</f>
        <v>#REF!</v>
      </c>
      <c r="AF55" s="4" t="n">
        <v>0.31</v>
      </c>
      <c r="AG55" s="4"/>
    </row>
    <row r="56" customFormat="false" ht="14.25" hidden="false" customHeight="false" outlineLevel="0" collapsed="false">
      <c r="B56" s="1" t="n">
        <v>12</v>
      </c>
      <c r="C56" s="4" t="e">
        <f aca="false">(B56-#REF!)/#REF!</f>
        <v>#REF!</v>
      </c>
      <c r="D56" s="1" t="n">
        <v>4</v>
      </c>
      <c r="E56" s="4" t="e">
        <f aca="false">(D56-#REF!)/#REF!</f>
        <v>#REF!</v>
      </c>
      <c r="F56" s="2" t="n">
        <v>46</v>
      </c>
      <c r="G56" s="4" t="e">
        <f aca="false">(F56-#REF!)/#REF!</f>
        <v>#REF!</v>
      </c>
      <c r="H56" s="2" t="n">
        <v>26.9</v>
      </c>
      <c r="I56" s="4" t="e">
        <f aca="false">(H56-#REF!)/#REF!</f>
        <v>#REF!</v>
      </c>
      <c r="J56" s="4" t="n">
        <v>2.69332921131829</v>
      </c>
      <c r="K56" s="4" t="e">
        <f aca="false">(J56-#REF!)/#REF!</f>
        <v>#REF!</v>
      </c>
      <c r="L56" s="1" t="n">
        <v>70</v>
      </c>
      <c r="M56" s="4" t="e">
        <f aca="false">(L56-#REF!)/#REF!</f>
        <v>#REF!</v>
      </c>
      <c r="N56" s="1" t="n">
        <v>84</v>
      </c>
      <c r="O56" s="4" t="e">
        <f aca="false">(N56-#REF!)/#REF!</f>
        <v>#REF!</v>
      </c>
      <c r="P56" s="1" t="n">
        <v>350</v>
      </c>
      <c r="Q56" s="4" t="e">
        <f aca="false">(P56-#REF!)/#REF!</f>
        <v>#REF!</v>
      </c>
      <c r="R56" s="1" t="n">
        <v>450</v>
      </c>
      <c r="S56" s="4" t="e">
        <f aca="false">(R56-#REF!)/#REF!</f>
        <v>#REF!</v>
      </c>
      <c r="T56" s="1" t="n">
        <f aca="false">R56-N56</f>
        <v>366</v>
      </c>
      <c r="U56" s="4" t="e">
        <f aca="false">(T56-#REF!)/#REF!</f>
        <v>#REF!</v>
      </c>
      <c r="V56" s="1" t="n">
        <v>452</v>
      </c>
      <c r="W56" s="4" t="e">
        <f aca="false">(V56-#REF!)/#REF!</f>
        <v>#REF!</v>
      </c>
      <c r="X56" s="28" t="n">
        <v>0.00286984126984127</v>
      </c>
      <c r="Y56" s="4" t="e">
        <f aca="false">(X56-#REF!)/#REF!</f>
        <v>#REF!</v>
      </c>
      <c r="Z56" s="27" t="n">
        <v>290.918722365622</v>
      </c>
      <c r="AA56" s="4" t="e">
        <f aca="false">(Z56-#REF!)/#REF!</f>
        <v>#REF!</v>
      </c>
      <c r="AB56" s="3" t="n">
        <v>500</v>
      </c>
      <c r="AC56" s="4" t="e">
        <f aca="false">(AB56-#REF!)/#REF!</f>
        <v>#REF!</v>
      </c>
      <c r="AD56" s="25" t="n">
        <v>45</v>
      </c>
      <c r="AE56" s="4" t="e">
        <f aca="false">(AD56-#REF!)/#REF!</f>
        <v>#REF!</v>
      </c>
      <c r="AF56" s="4" t="n">
        <v>0.4</v>
      </c>
      <c r="AG56" s="4"/>
    </row>
    <row r="57" customFormat="false" ht="14.25" hidden="false" customHeight="false" outlineLevel="0" collapsed="false">
      <c r="A57" s="0" t="s">
        <v>33</v>
      </c>
      <c r="B57" s="1" t="n">
        <v>12</v>
      </c>
      <c r="C57" s="4" t="e">
        <f aca="false">(B57-#REF!)/#REF!</f>
        <v>#REF!</v>
      </c>
      <c r="D57" s="1" t="n">
        <v>4</v>
      </c>
      <c r="E57" s="4" t="e">
        <f aca="false">(D57-#REF!)/#REF!</f>
        <v>#REF!</v>
      </c>
      <c r="F57" s="2" t="n">
        <v>46</v>
      </c>
      <c r="G57" s="4" t="e">
        <f aca="false">(F57-#REF!)/#REF!</f>
        <v>#REF!</v>
      </c>
      <c r="H57" s="2" t="n">
        <v>26.9</v>
      </c>
      <c r="I57" s="4" t="e">
        <f aca="false">(H57-#REF!)/#REF!</f>
        <v>#REF!</v>
      </c>
      <c r="J57" s="4" t="n">
        <v>2.69332921131829</v>
      </c>
      <c r="K57" s="4" t="e">
        <f aca="false">(J57-#REF!)/#REF!</f>
        <v>#REF!</v>
      </c>
      <c r="L57" s="1" t="n">
        <v>70</v>
      </c>
      <c r="M57" s="4" t="e">
        <f aca="false">(L57-#REF!)/#REF!</f>
        <v>#REF!</v>
      </c>
      <c r="N57" s="1" t="n">
        <v>84</v>
      </c>
      <c r="O57" s="4" t="e">
        <f aca="false">(N57-#REF!)/#REF!</f>
        <v>#REF!</v>
      </c>
      <c r="P57" s="1" t="n">
        <v>350</v>
      </c>
      <c r="Q57" s="4" t="e">
        <f aca="false">(P57-#REF!)/#REF!</f>
        <v>#REF!</v>
      </c>
      <c r="R57" s="1" t="n">
        <v>450</v>
      </c>
      <c r="S57" s="4" t="e">
        <f aca="false">(R57-#REF!)/#REF!</f>
        <v>#REF!</v>
      </c>
      <c r="T57" s="1" t="n">
        <f aca="false">R57-N57</f>
        <v>366</v>
      </c>
      <c r="U57" s="4" t="e">
        <f aca="false">(T57-#REF!)/#REF!</f>
        <v>#REF!</v>
      </c>
      <c r="V57" s="1" t="n">
        <v>452</v>
      </c>
      <c r="W57" s="4" t="e">
        <f aca="false">(V57-#REF!)/#REF!</f>
        <v>#REF!</v>
      </c>
      <c r="X57" s="28" t="n">
        <v>0.00286984126984127</v>
      </c>
      <c r="Y57" s="4" t="e">
        <f aca="false">(X57-#REF!)/#REF!</f>
        <v>#REF!</v>
      </c>
      <c r="Z57" s="27" t="n">
        <v>193.945814910414</v>
      </c>
      <c r="AA57" s="4" t="e">
        <f aca="false">(Z57-#REF!)/#REF!</f>
        <v>#REF!</v>
      </c>
      <c r="AB57" s="3" t="n">
        <v>500</v>
      </c>
      <c r="AC57" s="4" t="e">
        <f aca="false">(AB57-#REF!)/#REF!</f>
        <v>#REF!</v>
      </c>
      <c r="AD57" s="25" t="n">
        <v>30</v>
      </c>
      <c r="AE57" s="4" t="e">
        <f aca="false">(AD57-#REF!)/#REF!</f>
        <v>#REF!</v>
      </c>
      <c r="AF57" s="4" t="n">
        <v>0.25</v>
      </c>
      <c r="AG57" s="4"/>
    </row>
    <row r="58" customFormat="false" ht="14.25" hidden="false" customHeight="false" outlineLevel="0" collapsed="false">
      <c r="B58" s="1" t="n">
        <v>12</v>
      </c>
      <c r="C58" s="4" t="e">
        <f aca="false">(B58-#REF!)/#REF!</f>
        <v>#REF!</v>
      </c>
      <c r="D58" s="1" t="n">
        <v>4</v>
      </c>
      <c r="E58" s="4" t="e">
        <f aca="false">(D58-#REF!)/#REF!</f>
        <v>#REF!</v>
      </c>
      <c r="F58" s="2" t="n">
        <v>46</v>
      </c>
      <c r="G58" s="4" t="e">
        <f aca="false">(F58-#REF!)/#REF!</f>
        <v>#REF!</v>
      </c>
      <c r="H58" s="2" t="n">
        <v>26.9</v>
      </c>
      <c r="I58" s="4" t="e">
        <f aca="false">(H58-#REF!)/#REF!</f>
        <v>#REF!</v>
      </c>
      <c r="J58" s="4" t="n">
        <v>2.69332921131829</v>
      </c>
      <c r="K58" s="4" t="e">
        <f aca="false">(J58-#REF!)/#REF!</f>
        <v>#REF!</v>
      </c>
      <c r="L58" s="1" t="n">
        <v>70</v>
      </c>
      <c r="M58" s="4" t="e">
        <f aca="false">(L58-#REF!)/#REF!</f>
        <v>#REF!</v>
      </c>
      <c r="N58" s="1" t="n">
        <v>84</v>
      </c>
      <c r="O58" s="4" t="e">
        <f aca="false">(N58-#REF!)/#REF!</f>
        <v>#REF!</v>
      </c>
      <c r="P58" s="1" t="n">
        <v>350</v>
      </c>
      <c r="Q58" s="4" t="e">
        <f aca="false">(P58-#REF!)/#REF!</f>
        <v>#REF!</v>
      </c>
      <c r="R58" s="1" t="n">
        <v>450</v>
      </c>
      <c r="S58" s="4" t="e">
        <f aca="false">(R58-#REF!)/#REF!</f>
        <v>#REF!</v>
      </c>
      <c r="T58" s="1" t="n">
        <f aca="false">R58-N58</f>
        <v>366</v>
      </c>
      <c r="U58" s="4" t="e">
        <f aca="false">(T58-#REF!)/#REF!</f>
        <v>#REF!</v>
      </c>
      <c r="V58" s="1" t="n">
        <v>452</v>
      </c>
      <c r="W58" s="4" t="e">
        <f aca="false">(V58-#REF!)/#REF!</f>
        <v>#REF!</v>
      </c>
      <c r="X58" s="28" t="n">
        <v>0.00286984126984127</v>
      </c>
      <c r="Y58" s="4" t="e">
        <f aca="false">(X58-#REF!)/#REF!</f>
        <v>#REF!</v>
      </c>
      <c r="Z58" s="27" t="n">
        <v>242.432268638018</v>
      </c>
      <c r="AA58" s="4" t="e">
        <f aca="false">(Z58-#REF!)/#REF!</f>
        <v>#REF!</v>
      </c>
      <c r="AB58" s="3" t="n">
        <v>500</v>
      </c>
      <c r="AC58" s="4" t="e">
        <f aca="false">(AB58-#REF!)/#REF!</f>
        <v>#REF!</v>
      </c>
      <c r="AD58" s="25" t="n">
        <v>37.5</v>
      </c>
      <c r="AE58" s="4" t="e">
        <f aca="false">(AD58-#REF!)/#REF!</f>
        <v>#REF!</v>
      </c>
      <c r="AF58" s="4" t="n">
        <v>0.44</v>
      </c>
      <c r="AG58" s="4"/>
    </row>
    <row r="59" customFormat="false" ht="14.25" hidden="false" customHeight="false" outlineLevel="0" collapsed="false">
      <c r="B59" s="1" t="n">
        <v>12</v>
      </c>
      <c r="C59" s="4" t="e">
        <f aca="false">(B59-#REF!)/#REF!</f>
        <v>#REF!</v>
      </c>
      <c r="D59" s="1" t="n">
        <v>4</v>
      </c>
      <c r="E59" s="4" t="e">
        <f aca="false">(D59-#REF!)/#REF!</f>
        <v>#REF!</v>
      </c>
      <c r="F59" s="2" t="n">
        <v>46</v>
      </c>
      <c r="G59" s="4" t="e">
        <f aca="false">(F59-#REF!)/#REF!</f>
        <v>#REF!</v>
      </c>
      <c r="H59" s="2" t="n">
        <v>26.9</v>
      </c>
      <c r="I59" s="4" t="e">
        <f aca="false">(H59-#REF!)/#REF!</f>
        <v>#REF!</v>
      </c>
      <c r="J59" s="4" t="n">
        <v>2.69332921131829</v>
      </c>
      <c r="K59" s="4" t="e">
        <f aca="false">(J59-#REF!)/#REF!</f>
        <v>#REF!</v>
      </c>
      <c r="L59" s="1" t="n">
        <v>70</v>
      </c>
      <c r="M59" s="4" t="e">
        <f aca="false">(L59-#REF!)/#REF!</f>
        <v>#REF!</v>
      </c>
      <c r="N59" s="1" t="n">
        <v>84</v>
      </c>
      <c r="O59" s="4" t="e">
        <f aca="false">(N59-#REF!)/#REF!</f>
        <v>#REF!</v>
      </c>
      <c r="P59" s="1" t="n">
        <v>350</v>
      </c>
      <c r="Q59" s="4" t="e">
        <f aca="false">(P59-#REF!)/#REF!</f>
        <v>#REF!</v>
      </c>
      <c r="R59" s="1" t="n">
        <v>450</v>
      </c>
      <c r="S59" s="4" t="e">
        <f aca="false">(R59-#REF!)/#REF!</f>
        <v>#REF!</v>
      </c>
      <c r="T59" s="1" t="n">
        <f aca="false">R59-N59</f>
        <v>366</v>
      </c>
      <c r="U59" s="4" t="e">
        <f aca="false">(T59-#REF!)/#REF!</f>
        <v>#REF!</v>
      </c>
      <c r="V59" s="1" t="n">
        <v>452</v>
      </c>
      <c r="W59" s="4" t="e">
        <f aca="false">(V59-#REF!)/#REF!</f>
        <v>#REF!</v>
      </c>
      <c r="X59" s="28" t="n">
        <v>0.00286984126984127</v>
      </c>
      <c r="Y59" s="4" t="e">
        <f aca="false">(X59-#REF!)/#REF!</f>
        <v>#REF!</v>
      </c>
      <c r="Z59" s="27" t="n">
        <v>290.918722365622</v>
      </c>
      <c r="AA59" s="4" t="e">
        <f aca="false">(Z59-#REF!)/#REF!</f>
        <v>#REF!</v>
      </c>
      <c r="AB59" s="3" t="n">
        <v>500</v>
      </c>
      <c r="AC59" s="4" t="e">
        <f aca="false">(AB59-#REF!)/#REF!</f>
        <v>#REF!</v>
      </c>
      <c r="AD59" s="25" t="n">
        <v>45</v>
      </c>
      <c r="AE59" s="4" t="e">
        <f aca="false">(AD59-#REF!)/#REF!</f>
        <v>#REF!</v>
      </c>
      <c r="AF59" s="4" t="n">
        <v>0.56</v>
      </c>
      <c r="AG59" s="4"/>
    </row>
    <row r="60" customFormat="false" ht="14.25" hidden="false" customHeight="false" outlineLevel="0" collapsed="false">
      <c r="A60" s="0" t="s">
        <v>34</v>
      </c>
      <c r="B60" s="1" t="n">
        <v>25</v>
      </c>
      <c r="C60" s="4" t="e">
        <f aca="false">(B60-#REF!)/#REF!</f>
        <v>#REF!</v>
      </c>
      <c r="D60" s="1" t="n">
        <v>4</v>
      </c>
      <c r="E60" s="4" t="e">
        <f aca="false">(D60-#REF!)/#REF!</f>
        <v>#REF!</v>
      </c>
      <c r="F60" s="2" t="n">
        <v>62</v>
      </c>
      <c r="G60" s="4" t="e">
        <f aca="false">(F60-#REF!)/#REF!</f>
        <v>#REF!</v>
      </c>
      <c r="H60" s="2" t="n">
        <v>26.9</v>
      </c>
      <c r="I60" s="4" t="e">
        <f aca="false">(H60-#REF!)/#REF!</f>
        <v>#REF!</v>
      </c>
      <c r="J60" s="4" t="n">
        <v>2.69332921131829</v>
      </c>
      <c r="K60" s="4" t="e">
        <f aca="false">(J60-#REF!)/#REF!</f>
        <v>#REF!</v>
      </c>
      <c r="L60" s="1" t="n">
        <v>20</v>
      </c>
      <c r="M60" s="4" t="e">
        <f aca="false">(L60-#REF!)/#REF!</f>
        <v>#REF!</v>
      </c>
      <c r="N60" s="1" t="n">
        <v>40.5</v>
      </c>
      <c r="O60" s="4" t="e">
        <f aca="false">(N60-#REF!)/#REF!</f>
        <v>#REF!</v>
      </c>
      <c r="P60" s="1" t="n">
        <v>350</v>
      </c>
      <c r="Q60" s="4" t="e">
        <f aca="false">(P60-#REF!)/#REF!</f>
        <v>#REF!</v>
      </c>
      <c r="R60" s="1" t="n">
        <v>450</v>
      </c>
      <c r="S60" s="4" t="e">
        <f aca="false">(R60-#REF!)/#REF!</f>
        <v>#REF!</v>
      </c>
      <c r="T60" s="1" t="n">
        <f aca="false">R60-N60</f>
        <v>409.5</v>
      </c>
      <c r="U60" s="4" t="e">
        <f aca="false">(T60-#REF!)/#REF!</f>
        <v>#REF!</v>
      </c>
      <c r="V60" s="1" t="n">
        <v>1964</v>
      </c>
      <c r="W60" s="4" t="e">
        <f aca="false">(V60-#REF!)/#REF!</f>
        <v>#REF!</v>
      </c>
      <c r="X60" s="28" t="n">
        <v>0.0124698412698413</v>
      </c>
      <c r="Y60" s="4" t="e">
        <f aca="false">(X60-#REF!)/#REF!</f>
        <v>#REF!</v>
      </c>
      <c r="Z60" s="27" t="n">
        <v>210.837549268589</v>
      </c>
      <c r="AA60" s="4" t="e">
        <f aca="false">(Z60-#REF!)/#REF!</f>
        <v>#REF!</v>
      </c>
      <c r="AB60" s="3" t="n">
        <v>500</v>
      </c>
      <c r="AC60" s="4" t="e">
        <f aca="false">(AB60-#REF!)/#REF!</f>
        <v>#REF!</v>
      </c>
      <c r="AD60" s="25" t="n">
        <v>150</v>
      </c>
      <c r="AE60" s="4" t="e">
        <f aca="false">(AD60-#REF!)/#REF!</f>
        <v>#REF!</v>
      </c>
      <c r="AF60" s="4" t="n">
        <v>0.23</v>
      </c>
      <c r="AG60" s="4"/>
    </row>
    <row r="61" customFormat="false" ht="14.25" hidden="false" customHeight="false" outlineLevel="0" collapsed="false">
      <c r="B61" s="1" t="n">
        <v>25</v>
      </c>
      <c r="C61" s="4" t="e">
        <f aca="false">(B61-#REF!)/#REF!</f>
        <v>#REF!</v>
      </c>
      <c r="D61" s="1" t="n">
        <v>4</v>
      </c>
      <c r="E61" s="4" t="e">
        <f aca="false">(D61-#REF!)/#REF!</f>
        <v>#REF!</v>
      </c>
      <c r="F61" s="2" t="n">
        <v>62</v>
      </c>
      <c r="G61" s="4" t="e">
        <f aca="false">(F61-#REF!)/#REF!</f>
        <v>#REF!</v>
      </c>
      <c r="H61" s="2" t="n">
        <v>26.9</v>
      </c>
      <c r="I61" s="4" t="e">
        <f aca="false">(H61-#REF!)/#REF!</f>
        <v>#REF!</v>
      </c>
      <c r="J61" s="4" t="n">
        <v>2.69332921131829</v>
      </c>
      <c r="K61" s="4" t="e">
        <f aca="false">(J61-#REF!)/#REF!</f>
        <v>#REF!</v>
      </c>
      <c r="L61" s="1" t="n">
        <v>20</v>
      </c>
      <c r="M61" s="4" t="e">
        <f aca="false">(L61-#REF!)/#REF!</f>
        <v>#REF!</v>
      </c>
      <c r="N61" s="1" t="n">
        <v>40.5</v>
      </c>
      <c r="O61" s="4" t="e">
        <f aca="false">(N61-#REF!)/#REF!</f>
        <v>#REF!</v>
      </c>
      <c r="P61" s="1" t="n">
        <v>350</v>
      </c>
      <c r="Q61" s="4" t="e">
        <f aca="false">(P61-#REF!)/#REF!</f>
        <v>#REF!</v>
      </c>
      <c r="R61" s="1" t="n">
        <v>450</v>
      </c>
      <c r="S61" s="4" t="e">
        <f aca="false">(R61-#REF!)/#REF!</f>
        <v>#REF!</v>
      </c>
      <c r="T61" s="1" t="n">
        <f aca="false">R61-N61</f>
        <v>409.5</v>
      </c>
      <c r="U61" s="4" t="e">
        <f aca="false">(T61-#REF!)/#REF!</f>
        <v>#REF!</v>
      </c>
      <c r="V61" s="1" t="n">
        <v>1964</v>
      </c>
      <c r="W61" s="4" t="e">
        <f aca="false">(V61-#REF!)/#REF!</f>
        <v>#REF!</v>
      </c>
      <c r="X61" s="28" t="n">
        <v>0.0124698412698413</v>
      </c>
      <c r="Y61" s="4" t="e">
        <f aca="false">(X61-#REF!)/#REF!</f>
        <v>#REF!</v>
      </c>
      <c r="Z61" s="27" t="n">
        <v>316.256323902884</v>
      </c>
      <c r="AA61" s="4" t="e">
        <f aca="false">(Z61-#REF!)/#REF!</f>
        <v>#REF!</v>
      </c>
      <c r="AB61" s="3" t="n">
        <v>500</v>
      </c>
      <c r="AC61" s="4" t="e">
        <f aca="false">(AB61-#REF!)/#REF!</f>
        <v>#REF!</v>
      </c>
      <c r="AD61" s="25" t="n">
        <v>225</v>
      </c>
      <c r="AE61" s="4" t="e">
        <f aca="false">(AD61-#REF!)/#REF!</f>
        <v>#REF!</v>
      </c>
      <c r="AF61" s="4" t="n">
        <v>0.35</v>
      </c>
      <c r="AG61" s="4"/>
    </row>
    <row r="62" customFormat="false" ht="14.25" hidden="false" customHeight="false" outlineLevel="0" collapsed="false">
      <c r="B62" s="1" t="n">
        <v>25</v>
      </c>
      <c r="C62" s="4" t="e">
        <f aca="false">(B62-#REF!)/#REF!</f>
        <v>#REF!</v>
      </c>
      <c r="D62" s="1" t="n">
        <v>4</v>
      </c>
      <c r="E62" s="4" t="e">
        <f aca="false">(D62-#REF!)/#REF!</f>
        <v>#REF!</v>
      </c>
      <c r="F62" s="2" t="n">
        <v>62</v>
      </c>
      <c r="G62" s="4" t="e">
        <f aca="false">(F62-#REF!)/#REF!</f>
        <v>#REF!</v>
      </c>
      <c r="H62" s="2" t="n">
        <v>26.9</v>
      </c>
      <c r="I62" s="4" t="e">
        <f aca="false">(H62-#REF!)/#REF!</f>
        <v>#REF!</v>
      </c>
      <c r="J62" s="4" t="n">
        <v>2.69332921131829</v>
      </c>
      <c r="K62" s="4" t="e">
        <f aca="false">(J62-#REF!)/#REF!</f>
        <v>#REF!</v>
      </c>
      <c r="L62" s="1" t="n">
        <v>20</v>
      </c>
      <c r="M62" s="4" t="e">
        <f aca="false">(L62-#REF!)/#REF!</f>
        <v>#REF!</v>
      </c>
      <c r="N62" s="1" t="n">
        <v>40.5</v>
      </c>
      <c r="O62" s="4" t="e">
        <f aca="false">(N62-#REF!)/#REF!</f>
        <v>#REF!</v>
      </c>
      <c r="P62" s="1" t="n">
        <v>350</v>
      </c>
      <c r="Q62" s="4" t="e">
        <f aca="false">(P62-#REF!)/#REF!</f>
        <v>#REF!</v>
      </c>
      <c r="R62" s="1" t="n">
        <v>450</v>
      </c>
      <c r="S62" s="4" t="e">
        <f aca="false">(R62-#REF!)/#REF!</f>
        <v>#REF!</v>
      </c>
      <c r="T62" s="1" t="n">
        <f aca="false">R62-N62</f>
        <v>409.5</v>
      </c>
      <c r="U62" s="4" t="e">
        <f aca="false">(T62-#REF!)/#REF!</f>
        <v>#REF!</v>
      </c>
      <c r="V62" s="1" t="n">
        <v>1964</v>
      </c>
      <c r="W62" s="4" t="e">
        <f aca="false">(V62-#REF!)/#REF!</f>
        <v>#REF!</v>
      </c>
      <c r="X62" s="28" t="n">
        <v>0.0124698412698413</v>
      </c>
      <c r="Y62" s="4" t="e">
        <f aca="false">(X62-#REF!)/#REF!</f>
        <v>#REF!</v>
      </c>
      <c r="Z62" s="27" t="n">
        <v>421.675098537179</v>
      </c>
      <c r="AA62" s="4" t="e">
        <f aca="false">(Z62-#REF!)/#REF!</f>
        <v>#REF!</v>
      </c>
      <c r="AB62" s="3" t="n">
        <v>500</v>
      </c>
      <c r="AC62" s="4" t="e">
        <f aca="false">(AB62-#REF!)/#REF!</f>
        <v>#REF!</v>
      </c>
      <c r="AD62" s="25" t="n">
        <v>300</v>
      </c>
      <c r="AE62" s="4" t="e">
        <f aca="false">(AD62-#REF!)/#REF!</f>
        <v>#REF!</v>
      </c>
      <c r="AF62" s="4" t="n">
        <v>0.49</v>
      </c>
      <c r="AG62" s="4"/>
    </row>
    <row r="63" customFormat="false" ht="14.25" hidden="false" customHeight="false" outlineLevel="0" collapsed="false">
      <c r="B63" s="1" t="n">
        <v>25</v>
      </c>
      <c r="C63" s="4" t="e">
        <f aca="false">(B63-#REF!)/#REF!</f>
        <v>#REF!</v>
      </c>
      <c r="D63" s="1" t="n">
        <v>4</v>
      </c>
      <c r="E63" s="4" t="e">
        <f aca="false">(D63-#REF!)/#REF!</f>
        <v>#REF!</v>
      </c>
      <c r="F63" s="2" t="n">
        <v>62</v>
      </c>
      <c r="G63" s="4" t="e">
        <f aca="false">(F63-#REF!)/#REF!</f>
        <v>#REF!</v>
      </c>
      <c r="H63" s="2" t="n">
        <v>26.9</v>
      </c>
      <c r="I63" s="4" t="e">
        <f aca="false">(H63-#REF!)/#REF!</f>
        <v>#REF!</v>
      </c>
      <c r="J63" s="4" t="n">
        <v>2.69332921131829</v>
      </c>
      <c r="K63" s="4" t="e">
        <f aca="false">(J63-#REF!)/#REF!</f>
        <v>#REF!</v>
      </c>
      <c r="L63" s="1" t="n">
        <v>20</v>
      </c>
      <c r="M63" s="4" t="e">
        <f aca="false">(L63-#REF!)/#REF!</f>
        <v>#REF!</v>
      </c>
      <c r="N63" s="1" t="n">
        <v>40.5</v>
      </c>
      <c r="O63" s="4" t="e">
        <f aca="false">(N63-#REF!)/#REF!</f>
        <v>#REF!</v>
      </c>
      <c r="P63" s="1" t="n">
        <v>350</v>
      </c>
      <c r="Q63" s="4" t="e">
        <f aca="false">(P63-#REF!)/#REF!</f>
        <v>#REF!</v>
      </c>
      <c r="R63" s="1" t="n">
        <v>450</v>
      </c>
      <c r="S63" s="4" t="e">
        <f aca="false">(R63-#REF!)/#REF!</f>
        <v>#REF!</v>
      </c>
      <c r="T63" s="1" t="n">
        <f aca="false">R63-N63</f>
        <v>409.5</v>
      </c>
      <c r="U63" s="4" t="e">
        <f aca="false">(T63-#REF!)/#REF!</f>
        <v>#REF!</v>
      </c>
      <c r="V63" s="1" t="n">
        <v>1964</v>
      </c>
      <c r="W63" s="4" t="e">
        <f aca="false">(V63-#REF!)/#REF!</f>
        <v>#REF!</v>
      </c>
      <c r="X63" s="28" t="n">
        <v>0.0124698412698413</v>
      </c>
      <c r="Y63" s="4" t="e">
        <f aca="false">(X63-#REF!)/#REF!</f>
        <v>#REF!</v>
      </c>
      <c r="Z63" s="27" t="n">
        <v>500</v>
      </c>
      <c r="AA63" s="4" t="e">
        <f aca="false">(Z63-#REF!)/#REF!</f>
        <v>#REF!</v>
      </c>
      <c r="AB63" s="3" t="n">
        <v>500</v>
      </c>
      <c r="AC63" s="4" t="e">
        <f aca="false">(AB63-#REF!)/#REF!</f>
        <v>#REF!</v>
      </c>
      <c r="AD63" s="25" t="n">
        <v>375</v>
      </c>
      <c r="AE63" s="4" t="e">
        <f aca="false">(AD63-#REF!)/#REF!</f>
        <v>#REF!</v>
      </c>
      <c r="AF63" s="4" t="n">
        <v>0.67</v>
      </c>
      <c r="AG63" s="4"/>
    </row>
    <row r="64" customFormat="false" ht="14.25" hidden="false" customHeight="false" outlineLevel="0" collapsed="false">
      <c r="A64" s="0" t="s">
        <v>35</v>
      </c>
      <c r="B64" s="1" t="n">
        <v>25</v>
      </c>
      <c r="C64" s="4" t="e">
        <f aca="false">(B64-#REF!)/#REF!</f>
        <v>#REF!</v>
      </c>
      <c r="D64" s="1" t="n">
        <v>4</v>
      </c>
      <c r="E64" s="4" t="e">
        <f aca="false">(D64-#REF!)/#REF!</f>
        <v>#REF!</v>
      </c>
      <c r="F64" s="2" t="n">
        <v>62</v>
      </c>
      <c r="G64" s="4" t="e">
        <f aca="false">(F64-#REF!)/#REF!</f>
        <v>#REF!</v>
      </c>
      <c r="H64" s="2" t="n">
        <v>26.9</v>
      </c>
      <c r="I64" s="4" t="e">
        <f aca="false">(H64-#REF!)/#REF!</f>
        <v>#REF!</v>
      </c>
      <c r="J64" s="4" t="n">
        <v>2.69332921131829</v>
      </c>
      <c r="K64" s="4" t="e">
        <f aca="false">(J64-#REF!)/#REF!</f>
        <v>#REF!</v>
      </c>
      <c r="L64" s="1" t="n">
        <v>20</v>
      </c>
      <c r="M64" s="4" t="e">
        <f aca="false">(L64-#REF!)/#REF!</f>
        <v>#REF!</v>
      </c>
      <c r="N64" s="1" t="n">
        <v>40.5</v>
      </c>
      <c r="O64" s="4" t="e">
        <f aca="false">(N64-#REF!)/#REF!</f>
        <v>#REF!</v>
      </c>
      <c r="P64" s="1" t="n">
        <v>350</v>
      </c>
      <c r="Q64" s="4" t="e">
        <f aca="false">(P64-#REF!)/#REF!</f>
        <v>#REF!</v>
      </c>
      <c r="R64" s="1" t="n">
        <v>450</v>
      </c>
      <c r="S64" s="4" t="e">
        <f aca="false">(R64-#REF!)/#REF!</f>
        <v>#REF!</v>
      </c>
      <c r="T64" s="1" t="n">
        <f aca="false">R64-N64</f>
        <v>409.5</v>
      </c>
      <c r="U64" s="4" t="e">
        <f aca="false">(T64-#REF!)/#REF!</f>
        <v>#REF!</v>
      </c>
      <c r="V64" s="1" t="n">
        <v>1964</v>
      </c>
      <c r="W64" s="4" t="e">
        <f aca="false">(V64-#REF!)/#REF!</f>
        <v>#REF!</v>
      </c>
      <c r="X64" s="28" t="n">
        <v>0.0124698412698413</v>
      </c>
      <c r="Y64" s="4" t="e">
        <f aca="false">(X64-#REF!)/#REF!</f>
        <v>#REF!</v>
      </c>
      <c r="Z64" s="27" t="n">
        <v>210.837549268589</v>
      </c>
      <c r="AA64" s="4" t="e">
        <f aca="false">(Z64-#REF!)/#REF!</f>
        <v>#REF!</v>
      </c>
      <c r="AB64" s="3" t="n">
        <v>500</v>
      </c>
      <c r="AC64" s="4" t="e">
        <f aca="false">(AB64-#REF!)/#REF!</f>
        <v>#REF!</v>
      </c>
      <c r="AD64" s="25" t="n">
        <v>150</v>
      </c>
      <c r="AE64" s="4" t="e">
        <f aca="false">(AD64-#REF!)/#REF!</f>
        <v>#REF!</v>
      </c>
      <c r="AF64" s="4" t="n">
        <v>0.27</v>
      </c>
      <c r="AG64" s="4"/>
    </row>
    <row r="65" customFormat="false" ht="14.25" hidden="false" customHeight="false" outlineLevel="0" collapsed="false">
      <c r="B65" s="1" t="n">
        <v>25</v>
      </c>
      <c r="C65" s="4" t="e">
        <f aca="false">(B65-#REF!)/#REF!</f>
        <v>#REF!</v>
      </c>
      <c r="D65" s="1" t="n">
        <v>4</v>
      </c>
      <c r="E65" s="4" t="e">
        <f aca="false">(D65-#REF!)/#REF!</f>
        <v>#REF!</v>
      </c>
      <c r="F65" s="2" t="n">
        <v>62</v>
      </c>
      <c r="G65" s="4" t="e">
        <f aca="false">(F65-#REF!)/#REF!</f>
        <v>#REF!</v>
      </c>
      <c r="H65" s="2" t="n">
        <v>26.9</v>
      </c>
      <c r="I65" s="4" t="e">
        <f aca="false">(H65-#REF!)/#REF!</f>
        <v>#REF!</v>
      </c>
      <c r="J65" s="4" t="n">
        <v>2.69332921131829</v>
      </c>
      <c r="K65" s="4" t="e">
        <f aca="false">(J65-#REF!)/#REF!</f>
        <v>#REF!</v>
      </c>
      <c r="L65" s="1" t="n">
        <v>20</v>
      </c>
      <c r="M65" s="4" t="e">
        <f aca="false">(L65-#REF!)/#REF!</f>
        <v>#REF!</v>
      </c>
      <c r="N65" s="1" t="n">
        <v>40.5</v>
      </c>
      <c r="O65" s="4" t="e">
        <f aca="false">(N65-#REF!)/#REF!</f>
        <v>#REF!</v>
      </c>
      <c r="P65" s="1" t="n">
        <v>350</v>
      </c>
      <c r="Q65" s="4" t="e">
        <f aca="false">(P65-#REF!)/#REF!</f>
        <v>#REF!</v>
      </c>
      <c r="R65" s="1" t="n">
        <v>450</v>
      </c>
      <c r="S65" s="4" t="e">
        <f aca="false">(R65-#REF!)/#REF!</f>
        <v>#REF!</v>
      </c>
      <c r="T65" s="1" t="n">
        <f aca="false">R65-N65</f>
        <v>409.5</v>
      </c>
      <c r="U65" s="4" t="e">
        <f aca="false">(T65-#REF!)/#REF!</f>
        <v>#REF!</v>
      </c>
      <c r="V65" s="1" t="n">
        <v>1964</v>
      </c>
      <c r="W65" s="4" t="e">
        <f aca="false">(V65-#REF!)/#REF!</f>
        <v>#REF!</v>
      </c>
      <c r="X65" s="28" t="n">
        <v>0.0124698412698413</v>
      </c>
      <c r="Y65" s="4" t="e">
        <f aca="false">(X65-#REF!)/#REF!</f>
        <v>#REF!</v>
      </c>
      <c r="Z65" s="27" t="n">
        <v>316.256323902884</v>
      </c>
      <c r="AA65" s="4" t="e">
        <f aca="false">(Z65-#REF!)/#REF!</f>
        <v>#REF!</v>
      </c>
      <c r="AB65" s="3" t="n">
        <v>500</v>
      </c>
      <c r="AC65" s="4" t="e">
        <f aca="false">(AB65-#REF!)/#REF!</f>
        <v>#REF!</v>
      </c>
      <c r="AD65" s="25" t="n">
        <v>225</v>
      </c>
      <c r="AE65" s="4" t="e">
        <f aca="false">(AD65-#REF!)/#REF!</f>
        <v>#REF!</v>
      </c>
      <c r="AF65" s="4" t="n">
        <v>0.4</v>
      </c>
      <c r="AG65" s="4"/>
    </row>
    <row r="66" customFormat="false" ht="14.25" hidden="false" customHeight="false" outlineLevel="0" collapsed="false">
      <c r="B66" s="1" t="n">
        <v>25</v>
      </c>
      <c r="C66" s="4" t="e">
        <f aca="false">(B66-#REF!)/#REF!</f>
        <v>#REF!</v>
      </c>
      <c r="D66" s="1" t="n">
        <v>4</v>
      </c>
      <c r="E66" s="4" t="e">
        <f aca="false">(D66-#REF!)/#REF!</f>
        <v>#REF!</v>
      </c>
      <c r="F66" s="2" t="n">
        <v>62</v>
      </c>
      <c r="G66" s="4" t="e">
        <f aca="false">(F66-#REF!)/#REF!</f>
        <v>#REF!</v>
      </c>
      <c r="H66" s="2" t="n">
        <v>26.9</v>
      </c>
      <c r="I66" s="4" t="e">
        <f aca="false">(H66-#REF!)/#REF!</f>
        <v>#REF!</v>
      </c>
      <c r="J66" s="4" t="n">
        <v>2.69332921131829</v>
      </c>
      <c r="K66" s="4" t="e">
        <f aca="false">(J66-#REF!)/#REF!</f>
        <v>#REF!</v>
      </c>
      <c r="L66" s="1" t="n">
        <v>20</v>
      </c>
      <c r="M66" s="4" t="e">
        <f aca="false">(L66-#REF!)/#REF!</f>
        <v>#REF!</v>
      </c>
      <c r="N66" s="1" t="n">
        <v>40.5</v>
      </c>
      <c r="O66" s="4" t="e">
        <f aca="false">(N66-#REF!)/#REF!</f>
        <v>#REF!</v>
      </c>
      <c r="P66" s="1" t="n">
        <v>350</v>
      </c>
      <c r="Q66" s="4" t="e">
        <f aca="false">(P66-#REF!)/#REF!</f>
        <v>#REF!</v>
      </c>
      <c r="R66" s="1" t="n">
        <v>450</v>
      </c>
      <c r="S66" s="4" t="e">
        <f aca="false">(R66-#REF!)/#REF!</f>
        <v>#REF!</v>
      </c>
      <c r="T66" s="1" t="n">
        <f aca="false">R66-N66</f>
        <v>409.5</v>
      </c>
      <c r="U66" s="4" t="e">
        <f aca="false">(T66-#REF!)/#REF!</f>
        <v>#REF!</v>
      </c>
      <c r="V66" s="1" t="n">
        <v>1964</v>
      </c>
      <c r="W66" s="4" t="e">
        <f aca="false">(V66-#REF!)/#REF!</f>
        <v>#REF!</v>
      </c>
      <c r="X66" s="28" t="n">
        <v>0.0124698412698413</v>
      </c>
      <c r="Y66" s="4" t="e">
        <f aca="false">(X66-#REF!)/#REF!</f>
        <v>#REF!</v>
      </c>
      <c r="Z66" s="27" t="n">
        <v>421.675098537179</v>
      </c>
      <c r="AA66" s="4" t="e">
        <f aca="false">(Z66-#REF!)/#REF!</f>
        <v>#REF!</v>
      </c>
      <c r="AB66" s="3" t="n">
        <v>500</v>
      </c>
      <c r="AC66" s="4" t="e">
        <f aca="false">(AB66-#REF!)/#REF!</f>
        <v>#REF!</v>
      </c>
      <c r="AD66" s="25" t="n">
        <v>300</v>
      </c>
      <c r="AE66" s="4" t="e">
        <f aca="false">(AD66-#REF!)/#REF!</f>
        <v>#REF!</v>
      </c>
      <c r="AF66" s="4" t="n">
        <v>0.53</v>
      </c>
      <c r="AG66" s="4"/>
    </row>
    <row r="67" customFormat="false" ht="14.25" hidden="false" customHeight="false" outlineLevel="0" collapsed="false">
      <c r="B67" s="1" t="n">
        <v>25</v>
      </c>
      <c r="C67" s="4" t="e">
        <f aca="false">(B67-#REF!)/#REF!</f>
        <v>#REF!</v>
      </c>
      <c r="D67" s="1" t="n">
        <v>4</v>
      </c>
      <c r="E67" s="4" t="e">
        <f aca="false">(D67-#REF!)/#REF!</f>
        <v>#REF!</v>
      </c>
      <c r="F67" s="2" t="n">
        <v>62</v>
      </c>
      <c r="G67" s="4" t="e">
        <f aca="false">(F67-#REF!)/#REF!</f>
        <v>#REF!</v>
      </c>
      <c r="H67" s="2" t="n">
        <v>26.9</v>
      </c>
      <c r="I67" s="4" t="e">
        <f aca="false">(H67-#REF!)/#REF!</f>
        <v>#REF!</v>
      </c>
      <c r="J67" s="4" t="n">
        <v>2.69332921131829</v>
      </c>
      <c r="K67" s="4" t="e">
        <f aca="false">(J67-#REF!)/#REF!</f>
        <v>#REF!</v>
      </c>
      <c r="L67" s="1" t="n">
        <v>20</v>
      </c>
      <c r="M67" s="4" t="e">
        <f aca="false">(L67-#REF!)/#REF!</f>
        <v>#REF!</v>
      </c>
      <c r="N67" s="1" t="n">
        <v>40.5</v>
      </c>
      <c r="O67" s="4" t="e">
        <f aca="false">(N67-#REF!)/#REF!</f>
        <v>#REF!</v>
      </c>
      <c r="P67" s="1" t="n">
        <v>350</v>
      </c>
      <c r="Q67" s="4" t="e">
        <f aca="false">(P67-#REF!)/#REF!</f>
        <v>#REF!</v>
      </c>
      <c r="R67" s="1" t="n">
        <v>450</v>
      </c>
      <c r="S67" s="4" t="e">
        <f aca="false">(R67-#REF!)/#REF!</f>
        <v>#REF!</v>
      </c>
      <c r="T67" s="1" t="n">
        <f aca="false">R67-N67</f>
        <v>409.5</v>
      </c>
      <c r="U67" s="4" t="e">
        <f aca="false">(T67-#REF!)/#REF!</f>
        <v>#REF!</v>
      </c>
      <c r="V67" s="1" t="n">
        <v>1964</v>
      </c>
      <c r="W67" s="4" t="e">
        <f aca="false">(V67-#REF!)/#REF!</f>
        <v>#REF!</v>
      </c>
      <c r="X67" s="28" t="n">
        <v>0.0124698412698413</v>
      </c>
      <c r="Y67" s="4" t="e">
        <f aca="false">(X67-#REF!)/#REF!</f>
        <v>#REF!</v>
      </c>
      <c r="Z67" s="27" t="n">
        <v>500</v>
      </c>
      <c r="AA67" s="4" t="e">
        <f aca="false">(Z67-#REF!)/#REF!</f>
        <v>#REF!</v>
      </c>
      <c r="AB67" s="3" t="n">
        <v>500</v>
      </c>
      <c r="AC67" s="4" t="e">
        <f aca="false">(AB67-#REF!)/#REF!</f>
        <v>#REF!</v>
      </c>
      <c r="AD67" s="25" t="n">
        <v>375</v>
      </c>
      <c r="AE67" s="4" t="e">
        <f aca="false">(AD67-#REF!)/#REF!</f>
        <v>#REF!</v>
      </c>
      <c r="AF67" s="4" t="n">
        <v>0.72</v>
      </c>
      <c r="AG67" s="4"/>
    </row>
    <row r="68" customFormat="false" ht="14.25" hidden="false" customHeight="false" outlineLevel="0" collapsed="false">
      <c r="A68" s="0" t="s">
        <v>36</v>
      </c>
      <c r="B68" s="1" t="n">
        <v>25</v>
      </c>
      <c r="C68" s="4" t="e">
        <f aca="false">(B68-#REF!)/#REF!</f>
        <v>#REF!</v>
      </c>
      <c r="D68" s="1" t="n">
        <v>4</v>
      </c>
      <c r="E68" s="4" t="e">
        <f aca="false">(D68-#REF!)/#REF!</f>
        <v>#REF!</v>
      </c>
      <c r="F68" s="2" t="n">
        <v>28.7</v>
      </c>
      <c r="G68" s="4" t="e">
        <f aca="false">(F68-#REF!)/#REF!</f>
        <v>#REF!</v>
      </c>
      <c r="H68" s="2" t="n">
        <v>26.9</v>
      </c>
      <c r="I68" s="4" t="e">
        <f aca="false">(H68-#REF!)/#REF!</f>
        <v>#REF!</v>
      </c>
      <c r="J68" s="4" t="n">
        <v>2.69332921131829</v>
      </c>
      <c r="K68" s="4" t="e">
        <f aca="false">(J68-#REF!)/#REF!</f>
        <v>#REF!</v>
      </c>
      <c r="L68" s="1" t="n">
        <v>70</v>
      </c>
      <c r="M68" s="4" t="e">
        <f aca="false">(L68-#REF!)/#REF!</f>
        <v>#REF!</v>
      </c>
      <c r="N68" s="1" t="n">
        <v>94.5</v>
      </c>
      <c r="O68" s="4" t="e">
        <f aca="false">(N68-#REF!)/#REF!</f>
        <v>#REF!</v>
      </c>
      <c r="P68" s="1" t="n">
        <v>350</v>
      </c>
      <c r="Q68" s="4" t="e">
        <f aca="false">(P68-#REF!)/#REF!</f>
        <v>#REF!</v>
      </c>
      <c r="R68" s="1" t="n">
        <v>450</v>
      </c>
      <c r="S68" s="4" t="e">
        <f aca="false">(R68-#REF!)/#REF!</f>
        <v>#REF!</v>
      </c>
      <c r="T68" s="1" t="n">
        <f aca="false">R68-N68</f>
        <v>355.5</v>
      </c>
      <c r="U68" s="4" t="e">
        <f aca="false">(T68-#REF!)/#REF!</f>
        <v>#REF!</v>
      </c>
      <c r="V68" s="1" t="n">
        <v>1964</v>
      </c>
      <c r="W68" s="4" t="e">
        <f aca="false">(V68-#REF!)/#REF!</f>
        <v>#REF!</v>
      </c>
      <c r="X68" s="28" t="n">
        <v>0.0124698412698413</v>
      </c>
      <c r="Y68" s="4" t="e">
        <f aca="false">(X68-#REF!)/#REF!</f>
        <v>#REF!</v>
      </c>
      <c r="Z68" s="27" t="n">
        <v>122.340765829723</v>
      </c>
      <c r="AA68" s="4" t="e">
        <f aca="false">(Z68-#REF!)/#REF!</f>
        <v>#REF!</v>
      </c>
      <c r="AB68" s="3" t="n">
        <v>500</v>
      </c>
      <c r="AC68" s="4" t="e">
        <f aca="false">(AB68-#REF!)/#REF!</f>
        <v>#REF!</v>
      </c>
      <c r="AD68" s="25" t="n">
        <v>75</v>
      </c>
      <c r="AE68" s="4" t="e">
        <f aca="false">(AD68-#REF!)/#REF!</f>
        <v>#REF!</v>
      </c>
      <c r="AF68" s="4" t="n">
        <v>0.3</v>
      </c>
      <c r="AG68" s="4"/>
    </row>
    <row r="69" customFormat="false" ht="14.25" hidden="false" customHeight="false" outlineLevel="0" collapsed="false">
      <c r="B69" s="1" t="n">
        <v>25</v>
      </c>
      <c r="C69" s="4" t="e">
        <f aca="false">(B69-#REF!)/#REF!</f>
        <v>#REF!</v>
      </c>
      <c r="D69" s="1" t="n">
        <v>4</v>
      </c>
      <c r="E69" s="4" t="e">
        <f aca="false">(D69-#REF!)/#REF!</f>
        <v>#REF!</v>
      </c>
      <c r="F69" s="2" t="n">
        <v>28.7</v>
      </c>
      <c r="G69" s="4" t="e">
        <f aca="false">(F69-#REF!)/#REF!</f>
        <v>#REF!</v>
      </c>
      <c r="H69" s="2" t="n">
        <v>26.9</v>
      </c>
      <c r="I69" s="4" t="e">
        <f aca="false">(H69-#REF!)/#REF!</f>
        <v>#REF!</v>
      </c>
      <c r="J69" s="4" t="n">
        <v>2.69332921131829</v>
      </c>
      <c r="K69" s="4" t="e">
        <f aca="false">(J69-#REF!)/#REF!</f>
        <v>#REF!</v>
      </c>
      <c r="L69" s="1" t="n">
        <v>70</v>
      </c>
      <c r="M69" s="4" t="e">
        <f aca="false">(L69-#REF!)/#REF!</f>
        <v>#REF!</v>
      </c>
      <c r="N69" s="1" t="n">
        <v>94.5</v>
      </c>
      <c r="O69" s="4" t="e">
        <f aca="false">(N69-#REF!)/#REF!</f>
        <v>#REF!</v>
      </c>
      <c r="P69" s="1" t="n">
        <v>350</v>
      </c>
      <c r="Q69" s="4" t="e">
        <f aca="false">(P69-#REF!)/#REF!</f>
        <v>#REF!</v>
      </c>
      <c r="R69" s="1" t="n">
        <v>450</v>
      </c>
      <c r="S69" s="4" t="e">
        <f aca="false">(R69-#REF!)/#REF!</f>
        <v>#REF!</v>
      </c>
      <c r="T69" s="1" t="n">
        <f aca="false">R69-N69</f>
        <v>355.5</v>
      </c>
      <c r="U69" s="4" t="e">
        <f aca="false">(T69-#REF!)/#REF!</f>
        <v>#REF!</v>
      </c>
      <c r="V69" s="1" t="n">
        <v>1964</v>
      </c>
      <c r="W69" s="4" t="e">
        <f aca="false">(V69-#REF!)/#REF!</f>
        <v>#REF!</v>
      </c>
      <c r="X69" s="28" t="n">
        <v>0.0124698412698413</v>
      </c>
      <c r="Y69" s="4" t="e">
        <f aca="false">(X69-#REF!)/#REF!</f>
        <v>#REF!</v>
      </c>
      <c r="Z69" s="27" t="n">
        <v>244.681531659446</v>
      </c>
      <c r="AA69" s="4" t="e">
        <f aca="false">(Z69-#REF!)/#REF!</f>
        <v>#REF!</v>
      </c>
      <c r="AB69" s="3" t="n">
        <v>500</v>
      </c>
      <c r="AC69" s="4" t="e">
        <f aca="false">(AB69-#REF!)/#REF!</f>
        <v>#REF!</v>
      </c>
      <c r="AD69" s="25" t="n">
        <v>150</v>
      </c>
      <c r="AE69" s="4" t="e">
        <f aca="false">(AD69-#REF!)/#REF!</f>
        <v>#REF!</v>
      </c>
      <c r="AF69" s="4" t="n">
        <v>0.57</v>
      </c>
      <c r="AG69" s="4"/>
    </row>
    <row r="70" customFormat="false" ht="14.25" hidden="false" customHeight="false" outlineLevel="0" collapsed="false">
      <c r="A70" s="0" t="s">
        <v>37</v>
      </c>
      <c r="B70" s="1" t="n">
        <v>25</v>
      </c>
      <c r="C70" s="4" t="e">
        <f aca="false">(B70-#REF!)/#REF!</f>
        <v>#REF!</v>
      </c>
      <c r="D70" s="1" t="n">
        <v>4</v>
      </c>
      <c r="E70" s="4" t="e">
        <f aca="false">(D70-#REF!)/#REF!</f>
        <v>#REF!</v>
      </c>
      <c r="F70" s="2" t="n">
        <v>28.7</v>
      </c>
      <c r="G70" s="4" t="e">
        <f aca="false">(F70-#REF!)/#REF!</f>
        <v>#REF!</v>
      </c>
      <c r="H70" s="2" t="n">
        <v>26.9</v>
      </c>
      <c r="I70" s="4" t="e">
        <f aca="false">(H70-#REF!)/#REF!</f>
        <v>#REF!</v>
      </c>
      <c r="J70" s="4" t="n">
        <v>2.69332921131829</v>
      </c>
      <c r="K70" s="4" t="e">
        <f aca="false">(J70-#REF!)/#REF!</f>
        <v>#REF!</v>
      </c>
      <c r="L70" s="1" t="n">
        <v>70</v>
      </c>
      <c r="M70" s="4" t="e">
        <f aca="false">(L70-#REF!)/#REF!</f>
        <v>#REF!</v>
      </c>
      <c r="N70" s="1" t="n">
        <v>90.5</v>
      </c>
      <c r="O70" s="4" t="e">
        <f aca="false">(N70-#REF!)/#REF!</f>
        <v>#REF!</v>
      </c>
      <c r="P70" s="1" t="n">
        <v>350</v>
      </c>
      <c r="Q70" s="4" t="e">
        <f aca="false">(P70-#REF!)/#REF!</f>
        <v>#REF!</v>
      </c>
      <c r="R70" s="1" t="n">
        <v>450</v>
      </c>
      <c r="S70" s="4" t="e">
        <f aca="false">(R70-#REF!)/#REF!</f>
        <v>#REF!</v>
      </c>
      <c r="T70" s="1" t="n">
        <f aca="false">R70-N70</f>
        <v>359.5</v>
      </c>
      <c r="U70" s="4" t="e">
        <f aca="false">(T70-#REF!)/#REF!</f>
        <v>#REF!</v>
      </c>
      <c r="V70" s="1" t="n">
        <v>1964</v>
      </c>
      <c r="W70" s="4" t="e">
        <f aca="false">(V70-#REF!)/#REF!</f>
        <v>#REF!</v>
      </c>
      <c r="X70" s="28" t="n">
        <v>0.0124698412698413</v>
      </c>
      <c r="Y70" s="4" t="e">
        <f aca="false">(X70-#REF!)/#REF!</f>
        <v>#REF!</v>
      </c>
      <c r="Z70" s="27" t="n">
        <v>120.90671371296</v>
      </c>
      <c r="AA70" s="4" t="e">
        <f aca="false">(Z70-#REF!)/#REF!</f>
        <v>#REF!</v>
      </c>
      <c r="AB70" s="3" t="n">
        <v>500</v>
      </c>
      <c r="AC70" s="4" t="e">
        <f aca="false">(AB70-#REF!)/#REF!</f>
        <v>#REF!</v>
      </c>
      <c r="AD70" s="25" t="n">
        <v>75</v>
      </c>
      <c r="AE70" s="4" t="e">
        <f aca="false">(AD70-#REF!)/#REF!</f>
        <v>#REF!</v>
      </c>
      <c r="AF70" s="4" t="n">
        <v>0.26</v>
      </c>
      <c r="AG70" s="4"/>
    </row>
    <row r="71" customFormat="false" ht="14.25" hidden="false" customHeight="false" outlineLevel="0" collapsed="false">
      <c r="B71" s="1" t="n">
        <v>25</v>
      </c>
      <c r="C71" s="4" t="e">
        <f aca="false">(B71-#REF!)/#REF!</f>
        <v>#REF!</v>
      </c>
      <c r="D71" s="1" t="n">
        <v>4</v>
      </c>
      <c r="E71" s="4" t="e">
        <f aca="false">(D71-#REF!)/#REF!</f>
        <v>#REF!</v>
      </c>
      <c r="F71" s="2" t="n">
        <v>28.7</v>
      </c>
      <c r="G71" s="4" t="e">
        <f aca="false">(F71-#REF!)/#REF!</f>
        <v>#REF!</v>
      </c>
      <c r="H71" s="2" t="n">
        <v>26.9</v>
      </c>
      <c r="I71" s="4" t="e">
        <f aca="false">(H71-#REF!)/#REF!</f>
        <v>#REF!</v>
      </c>
      <c r="J71" s="4" t="n">
        <v>2.69332921131829</v>
      </c>
      <c r="K71" s="4" t="e">
        <f aca="false">(J71-#REF!)/#REF!</f>
        <v>#REF!</v>
      </c>
      <c r="L71" s="1" t="n">
        <v>70</v>
      </c>
      <c r="M71" s="4" t="e">
        <f aca="false">(L71-#REF!)/#REF!</f>
        <v>#REF!</v>
      </c>
      <c r="N71" s="1" t="n">
        <v>90.5</v>
      </c>
      <c r="O71" s="4" t="e">
        <f aca="false">(N71-#REF!)/#REF!</f>
        <v>#REF!</v>
      </c>
      <c r="P71" s="1" t="n">
        <v>350</v>
      </c>
      <c r="Q71" s="4" t="e">
        <f aca="false">(P71-#REF!)/#REF!</f>
        <v>#REF!</v>
      </c>
      <c r="R71" s="1" t="n">
        <v>450</v>
      </c>
      <c r="S71" s="4" t="e">
        <f aca="false">(R71-#REF!)/#REF!</f>
        <v>#REF!</v>
      </c>
      <c r="T71" s="1" t="n">
        <f aca="false">R71-N71</f>
        <v>359.5</v>
      </c>
      <c r="U71" s="4" t="e">
        <f aca="false">(T71-#REF!)/#REF!</f>
        <v>#REF!</v>
      </c>
      <c r="V71" s="1" t="n">
        <v>1964</v>
      </c>
      <c r="W71" s="4" t="e">
        <f aca="false">(V71-#REF!)/#REF!</f>
        <v>#REF!</v>
      </c>
      <c r="X71" s="28" t="n">
        <v>0.0124698412698413</v>
      </c>
      <c r="Y71" s="4" t="e">
        <f aca="false">(X71-#REF!)/#REF!</f>
        <v>#REF!</v>
      </c>
      <c r="Z71" s="27" t="n">
        <v>241.81342742592</v>
      </c>
      <c r="AA71" s="4" t="e">
        <f aca="false">(Z71-#REF!)/#REF!</f>
        <v>#REF!</v>
      </c>
      <c r="AB71" s="3" t="n">
        <v>500</v>
      </c>
      <c r="AC71" s="4" t="e">
        <f aca="false">(AB71-#REF!)/#REF!</f>
        <v>#REF!</v>
      </c>
      <c r="AD71" s="25" t="n">
        <v>150</v>
      </c>
      <c r="AE71" s="4" t="e">
        <f aca="false">(AD71-#REF!)/#REF!</f>
        <v>#REF!</v>
      </c>
      <c r="AF71" s="4" t="n">
        <v>0.6</v>
      </c>
      <c r="AG71" s="4"/>
    </row>
    <row r="72" customFormat="false" ht="14.25" hidden="false" customHeight="false" outlineLevel="0" collapsed="false">
      <c r="A72" s="0" t="s">
        <v>38</v>
      </c>
      <c r="B72" s="1" t="n">
        <v>25</v>
      </c>
      <c r="C72" s="4" t="e">
        <f aca="false">(B72-#REF!)/#REF!</f>
        <v>#REF!</v>
      </c>
      <c r="D72" s="1" t="n">
        <v>4</v>
      </c>
      <c r="E72" s="4" t="e">
        <f aca="false">(D72-#REF!)/#REF!</f>
        <v>#REF!</v>
      </c>
      <c r="F72" s="2" t="n">
        <v>28.7</v>
      </c>
      <c r="G72" s="4" t="e">
        <f aca="false">(F72-#REF!)/#REF!</f>
        <v>#REF!</v>
      </c>
      <c r="H72" s="2" t="n">
        <v>26.9</v>
      </c>
      <c r="I72" s="4" t="e">
        <f aca="false">(H72-#REF!)/#REF!</f>
        <v>#REF!</v>
      </c>
      <c r="J72" s="4" t="n">
        <v>2.69332921131829</v>
      </c>
      <c r="K72" s="4" t="e">
        <f aca="false">(J72-#REF!)/#REF!</f>
        <v>#REF!</v>
      </c>
      <c r="L72" s="1" t="n">
        <v>70</v>
      </c>
      <c r="M72" s="4" t="e">
        <f aca="false">(L72-#REF!)/#REF!</f>
        <v>#REF!</v>
      </c>
      <c r="N72" s="1" t="n">
        <v>90.5</v>
      </c>
      <c r="O72" s="4" t="e">
        <f aca="false">(N72-#REF!)/#REF!</f>
        <v>#REF!</v>
      </c>
      <c r="P72" s="1" t="n">
        <v>350</v>
      </c>
      <c r="Q72" s="4" t="e">
        <f aca="false">(P72-#REF!)/#REF!</f>
        <v>#REF!</v>
      </c>
      <c r="R72" s="1" t="n">
        <v>450</v>
      </c>
      <c r="S72" s="4" t="e">
        <f aca="false">(R72-#REF!)/#REF!</f>
        <v>#REF!</v>
      </c>
      <c r="T72" s="1" t="n">
        <f aca="false">R72-N72</f>
        <v>359.5</v>
      </c>
      <c r="U72" s="4" t="e">
        <f aca="false">(T72-#REF!)/#REF!</f>
        <v>#REF!</v>
      </c>
      <c r="V72" s="1" t="n">
        <v>1964</v>
      </c>
      <c r="W72" s="4" t="e">
        <f aca="false">(V72-#REF!)/#REF!</f>
        <v>#REF!</v>
      </c>
      <c r="X72" s="28" t="n">
        <v>0.0124698412698413</v>
      </c>
      <c r="Y72" s="4" t="e">
        <f aca="false">(X72-#REF!)/#REF!</f>
        <v>#REF!</v>
      </c>
      <c r="Z72" s="27" t="n">
        <v>120.90671371296</v>
      </c>
      <c r="AA72" s="4" t="e">
        <f aca="false">(Z72-#REF!)/#REF!</f>
        <v>#REF!</v>
      </c>
      <c r="AB72" s="3" t="n">
        <v>500</v>
      </c>
      <c r="AC72" s="4" t="e">
        <f aca="false">(AB72-#REF!)/#REF!</f>
        <v>#REF!</v>
      </c>
      <c r="AD72" s="25" t="n">
        <v>75</v>
      </c>
      <c r="AE72" s="4" t="e">
        <f aca="false">(AD72-#REF!)/#REF!</f>
        <v>#REF!</v>
      </c>
      <c r="AF72" s="4" t="n">
        <v>0.27</v>
      </c>
      <c r="AG72" s="4"/>
    </row>
    <row r="73" customFormat="false" ht="14.25" hidden="false" customHeight="false" outlineLevel="0" collapsed="false">
      <c r="B73" s="1" t="n">
        <v>25</v>
      </c>
      <c r="C73" s="4" t="e">
        <f aca="false">(B73-#REF!)/#REF!</f>
        <v>#REF!</v>
      </c>
      <c r="D73" s="1" t="n">
        <v>4</v>
      </c>
      <c r="E73" s="4" t="e">
        <f aca="false">(D73-#REF!)/#REF!</f>
        <v>#REF!</v>
      </c>
      <c r="F73" s="2" t="n">
        <v>28.7</v>
      </c>
      <c r="G73" s="4" t="e">
        <f aca="false">(F73-#REF!)/#REF!</f>
        <v>#REF!</v>
      </c>
      <c r="H73" s="2" t="n">
        <v>26.9</v>
      </c>
      <c r="I73" s="4" t="e">
        <f aca="false">(H73-#REF!)/#REF!</f>
        <v>#REF!</v>
      </c>
      <c r="J73" s="4" t="n">
        <v>2.69332921131829</v>
      </c>
      <c r="K73" s="4" t="e">
        <f aca="false">(J73-#REF!)/#REF!</f>
        <v>#REF!</v>
      </c>
      <c r="L73" s="1" t="n">
        <v>70</v>
      </c>
      <c r="M73" s="4" t="e">
        <f aca="false">(L73-#REF!)/#REF!</f>
        <v>#REF!</v>
      </c>
      <c r="N73" s="1" t="n">
        <v>90.5</v>
      </c>
      <c r="O73" s="4" t="e">
        <f aca="false">(N73-#REF!)/#REF!</f>
        <v>#REF!</v>
      </c>
      <c r="P73" s="1" t="n">
        <v>350</v>
      </c>
      <c r="Q73" s="4" t="e">
        <f aca="false">(P73-#REF!)/#REF!</f>
        <v>#REF!</v>
      </c>
      <c r="R73" s="1" t="n">
        <v>450</v>
      </c>
      <c r="S73" s="4" t="e">
        <f aca="false">(R73-#REF!)/#REF!</f>
        <v>#REF!</v>
      </c>
      <c r="T73" s="1" t="n">
        <f aca="false">R73-N73</f>
        <v>359.5</v>
      </c>
      <c r="U73" s="4" t="e">
        <f aca="false">(T73-#REF!)/#REF!</f>
        <v>#REF!</v>
      </c>
      <c r="V73" s="1" t="n">
        <v>1964</v>
      </c>
      <c r="W73" s="4" t="e">
        <f aca="false">(V73-#REF!)/#REF!</f>
        <v>#REF!</v>
      </c>
      <c r="X73" s="28" t="n">
        <v>0.0124698412698413</v>
      </c>
      <c r="Y73" s="4" t="e">
        <f aca="false">(X73-#REF!)/#REF!</f>
        <v>#REF!</v>
      </c>
      <c r="Z73" s="27" t="n">
        <v>241.81342742592</v>
      </c>
      <c r="AA73" s="4" t="e">
        <f aca="false">(Z73-#REF!)/#REF!</f>
        <v>#REF!</v>
      </c>
      <c r="AB73" s="3" t="n">
        <v>500</v>
      </c>
      <c r="AC73" s="4" t="e">
        <f aca="false">(AB73-#REF!)/#REF!</f>
        <v>#REF!</v>
      </c>
      <c r="AD73" s="25" t="n">
        <v>150</v>
      </c>
      <c r="AE73" s="4" t="e">
        <f aca="false">(AD73-#REF!)/#REF!</f>
        <v>#REF!</v>
      </c>
      <c r="AF73" s="4" t="n">
        <v>0.59</v>
      </c>
      <c r="AG73" s="4"/>
    </row>
    <row r="74" customFormat="false" ht="14.25" hidden="false" customHeight="false" outlineLevel="0" collapsed="false">
      <c r="A74" s="0" t="s">
        <v>39</v>
      </c>
      <c r="B74" s="1" t="n">
        <v>9.52</v>
      </c>
      <c r="C74" s="4" t="e">
        <f aca="false">(B74-#REF!)/#REF!</f>
        <v>#REF!</v>
      </c>
      <c r="D74" s="1" t="n">
        <v>3</v>
      </c>
      <c r="E74" s="4" t="e">
        <f aca="false">(D74-#REF!)/#REF!</f>
        <v>#REF!</v>
      </c>
      <c r="F74" s="2" t="n">
        <v>22.2</v>
      </c>
      <c r="G74" s="4" t="e">
        <f aca="false">(F74-#REF!)/#REF!</f>
        <v>#REF!</v>
      </c>
      <c r="H74" s="2" t="n">
        <v>40.95</v>
      </c>
      <c r="I74" s="4" t="e">
        <f aca="false">(H74-#REF!)/#REF!</f>
        <v>#REF!</v>
      </c>
      <c r="J74" s="4" t="n">
        <v>3.56416000199951</v>
      </c>
      <c r="K74" s="4" t="e">
        <f aca="false">(J74-#REF!)/#REF!</f>
        <v>#REF!</v>
      </c>
      <c r="L74" s="1" t="n">
        <v>20.64</v>
      </c>
      <c r="M74" s="4" t="e">
        <f aca="false">(L74-#REF!)/#REF!</f>
        <v>#REF!</v>
      </c>
      <c r="N74" s="1" t="n">
        <v>25.4</v>
      </c>
      <c r="O74" s="4" t="e">
        <f aca="false">(N74-#REF!)/#REF!</f>
        <v>#REF!</v>
      </c>
      <c r="P74" s="1" t="n">
        <v>114.3</v>
      </c>
      <c r="Q74" s="4" t="e">
        <f aca="false">(P74-#REF!)/#REF!</f>
        <v>#REF!</v>
      </c>
      <c r="R74" s="1" t="n">
        <v>228.6</v>
      </c>
      <c r="S74" s="4" t="e">
        <f aca="false">(R74-#REF!)/#REF!</f>
        <v>#REF!</v>
      </c>
      <c r="T74" s="1" t="n">
        <f aca="false">R74-N74</f>
        <v>203.2</v>
      </c>
      <c r="U74" s="4" t="e">
        <f aca="false">(T74-#REF!)/#REF!</f>
        <v>#REF!</v>
      </c>
      <c r="V74" s="1" t="n">
        <v>212.9</v>
      </c>
      <c r="W74" s="4" t="e">
        <f aca="false">(V74-#REF!)/#REF!</f>
        <v>#REF!</v>
      </c>
      <c r="X74" s="28" t="n">
        <v>0.00814804098744</v>
      </c>
      <c r="Y74" s="4" t="e">
        <f aca="false">(X74-#REF!)/#REF!</f>
        <v>#REF!</v>
      </c>
      <c r="Z74" s="27" t="n">
        <v>295.47063165326</v>
      </c>
      <c r="AA74" s="4" t="e">
        <f aca="false">(Z74-#REF!)/#REF!</f>
        <v>#REF!</v>
      </c>
      <c r="AB74" s="3" t="n">
        <v>434</v>
      </c>
      <c r="AC74" s="4" t="e">
        <f aca="false">(AB74-#REF!)/#REF!</f>
        <v>#REF!</v>
      </c>
      <c r="AD74" s="25" t="n">
        <v>11.6</v>
      </c>
      <c r="AE74" s="4" t="e">
        <f aca="false">(AD74-#REF!)/#REF!</f>
        <v>#REF!</v>
      </c>
      <c r="AF74" s="4" t="n">
        <v>0.15</v>
      </c>
      <c r="AG74" s="4"/>
    </row>
    <row r="75" customFormat="false" ht="14.25" hidden="false" customHeight="false" outlineLevel="0" collapsed="false">
      <c r="B75" s="1" t="n">
        <v>9.52</v>
      </c>
      <c r="C75" s="4" t="e">
        <f aca="false">(B75-#REF!)/#REF!</f>
        <v>#REF!</v>
      </c>
      <c r="D75" s="1" t="n">
        <v>3</v>
      </c>
      <c r="E75" s="4" t="e">
        <f aca="false">(D75-#REF!)/#REF!</f>
        <v>#REF!</v>
      </c>
      <c r="F75" s="2" t="n">
        <v>22.2</v>
      </c>
      <c r="G75" s="4" t="e">
        <f aca="false">(F75-#REF!)/#REF!</f>
        <v>#REF!</v>
      </c>
      <c r="H75" s="2" t="n">
        <v>40.95</v>
      </c>
      <c r="I75" s="4" t="e">
        <f aca="false">(H75-#REF!)/#REF!</f>
        <v>#REF!</v>
      </c>
      <c r="J75" s="4" t="n">
        <v>3.56416000199951</v>
      </c>
      <c r="K75" s="4" t="e">
        <f aca="false">(J75-#REF!)/#REF!</f>
        <v>#REF!</v>
      </c>
      <c r="L75" s="1" t="n">
        <v>20.64</v>
      </c>
      <c r="M75" s="4" t="e">
        <f aca="false">(L75-#REF!)/#REF!</f>
        <v>#REF!</v>
      </c>
      <c r="N75" s="1" t="n">
        <v>25.4</v>
      </c>
      <c r="O75" s="4" t="e">
        <f aca="false">(N75-#REF!)/#REF!</f>
        <v>#REF!</v>
      </c>
      <c r="P75" s="1" t="n">
        <v>114.3</v>
      </c>
      <c r="Q75" s="4" t="e">
        <f aca="false">(P75-#REF!)/#REF!</f>
        <v>#REF!</v>
      </c>
      <c r="R75" s="1" t="n">
        <v>228.6</v>
      </c>
      <c r="S75" s="4" t="e">
        <f aca="false">(R75-#REF!)/#REF!</f>
        <v>#REF!</v>
      </c>
      <c r="T75" s="1" t="n">
        <f aca="false">R75-N75</f>
        <v>203.2</v>
      </c>
      <c r="U75" s="4" t="e">
        <f aca="false">(T75-#REF!)/#REF!</f>
        <v>#REF!</v>
      </c>
      <c r="V75" s="1" t="n">
        <v>212.9</v>
      </c>
      <c r="W75" s="4" t="e">
        <f aca="false">(V75-#REF!)/#REF!</f>
        <v>#REF!</v>
      </c>
      <c r="X75" s="28" t="n">
        <v>0.00814804098744</v>
      </c>
      <c r="Y75" s="4" t="e">
        <f aca="false">(X75-#REF!)/#REF!</f>
        <v>#REF!</v>
      </c>
      <c r="Z75" s="27" t="n">
        <v>343.866683389569</v>
      </c>
      <c r="AA75" s="4" t="e">
        <f aca="false">(Z75-#REF!)/#REF!</f>
        <v>#REF!</v>
      </c>
      <c r="AB75" s="3" t="n">
        <v>434</v>
      </c>
      <c r="AC75" s="4" t="e">
        <f aca="false">(AB75-#REF!)/#REF!</f>
        <v>#REF!</v>
      </c>
      <c r="AD75" s="25" t="n">
        <v>13.5</v>
      </c>
      <c r="AE75" s="4" t="e">
        <f aca="false">(AD75-#REF!)/#REF!</f>
        <v>#REF!</v>
      </c>
      <c r="AF75" s="4" t="n">
        <v>0.17</v>
      </c>
      <c r="AG75" s="4"/>
    </row>
    <row r="76" customFormat="false" ht="14.25" hidden="false" customHeight="false" outlineLevel="0" collapsed="false">
      <c r="A76" s="0" t="s">
        <v>40</v>
      </c>
      <c r="B76" s="1" t="n">
        <v>12.7</v>
      </c>
      <c r="C76" s="4" t="e">
        <f aca="false">(B76-#REF!)/#REF!</f>
        <v>#REF!</v>
      </c>
      <c r="D76" s="1" t="n">
        <v>3</v>
      </c>
      <c r="E76" s="4" t="e">
        <f aca="false">(D76-#REF!)/#REF!</f>
        <v>#REF!</v>
      </c>
      <c r="F76" s="2" t="n">
        <v>19.05</v>
      </c>
      <c r="G76" s="4" t="e">
        <f aca="false">(F76-#REF!)/#REF!</f>
        <v>#REF!</v>
      </c>
      <c r="H76" s="2" t="n">
        <v>48.26</v>
      </c>
      <c r="I76" s="4" t="e">
        <f aca="false">(H76-#REF!)/#REF!</f>
        <v>#REF!</v>
      </c>
      <c r="J76" s="4" t="n">
        <v>3.97660816382294</v>
      </c>
      <c r="K76" s="4" t="e">
        <f aca="false">(J76-#REF!)/#REF!</f>
        <v>#REF!</v>
      </c>
      <c r="L76" s="1" t="n">
        <v>19.05</v>
      </c>
      <c r="M76" s="4" t="e">
        <f aca="false">(L76-#REF!)/#REF!</f>
        <v>#REF!</v>
      </c>
      <c r="N76" s="1" t="n">
        <v>25.4</v>
      </c>
      <c r="O76" s="4" t="e">
        <f aca="false">(N76-#REF!)/#REF!</f>
        <v>#REF!</v>
      </c>
      <c r="P76" s="1" t="n">
        <v>114.3</v>
      </c>
      <c r="Q76" s="4" t="e">
        <f aca="false">(P76-#REF!)/#REF!</f>
        <v>#REF!</v>
      </c>
      <c r="R76" s="1" t="n">
        <v>228.6</v>
      </c>
      <c r="S76" s="4" t="e">
        <f aca="false">(R76-#REF!)/#REF!</f>
        <v>#REF!</v>
      </c>
      <c r="T76" s="1" t="n">
        <f aca="false">R76-N76</f>
        <v>203.2</v>
      </c>
      <c r="U76" s="4" t="e">
        <f aca="false">(T76-#REF!)/#REF!</f>
        <v>#REF!</v>
      </c>
      <c r="V76" s="1" t="n">
        <v>387.1</v>
      </c>
      <c r="W76" s="4" t="e">
        <f aca="false">(V76-#REF!)/#REF!</f>
        <v>#REF!</v>
      </c>
      <c r="X76" s="28" t="n">
        <v>0.0148149679015407</v>
      </c>
      <c r="Y76" s="4" t="e">
        <f aca="false">(X76-#REF!)/#REF!</f>
        <v>#REF!</v>
      </c>
      <c r="Z76" s="27" t="n">
        <v>303.256025231297</v>
      </c>
      <c r="AA76" s="4" t="e">
        <f aca="false">(Z76-#REF!)/#REF!</f>
        <v>#REF!</v>
      </c>
      <c r="AB76" s="3" t="n">
        <v>434</v>
      </c>
      <c r="AC76" s="4" t="e">
        <f aca="false">(AB76-#REF!)/#REF!</f>
        <v>#REF!</v>
      </c>
      <c r="AD76" s="25" t="n">
        <v>21.1</v>
      </c>
      <c r="AE76" s="4" t="e">
        <f aca="false">(AD76-#REF!)/#REF!</f>
        <v>#REF!</v>
      </c>
      <c r="AF76" s="4" t="n">
        <v>0.15</v>
      </c>
      <c r="AG76" s="4"/>
    </row>
    <row r="77" customFormat="false" ht="14.25" hidden="false" customHeight="false" outlineLevel="0" collapsed="false">
      <c r="B77" s="1" t="n">
        <v>12.7</v>
      </c>
      <c r="C77" s="4" t="e">
        <f aca="false">(B77-#REF!)/#REF!</f>
        <v>#REF!</v>
      </c>
      <c r="D77" s="1" t="n">
        <v>3</v>
      </c>
      <c r="E77" s="4" t="e">
        <f aca="false">(D77-#REF!)/#REF!</f>
        <v>#REF!</v>
      </c>
      <c r="F77" s="2" t="n">
        <v>19.05</v>
      </c>
      <c r="G77" s="4" t="e">
        <f aca="false">(F77-#REF!)/#REF!</f>
        <v>#REF!</v>
      </c>
      <c r="H77" s="2" t="n">
        <v>48.26</v>
      </c>
      <c r="I77" s="4" t="e">
        <f aca="false">(H77-#REF!)/#REF!</f>
        <v>#REF!</v>
      </c>
      <c r="J77" s="4" t="n">
        <v>3.97660816382294</v>
      </c>
      <c r="K77" s="4" t="e">
        <f aca="false">(J77-#REF!)/#REF!</f>
        <v>#REF!</v>
      </c>
      <c r="L77" s="1" t="n">
        <v>19.05</v>
      </c>
      <c r="M77" s="4" t="e">
        <f aca="false">(L77-#REF!)/#REF!</f>
        <v>#REF!</v>
      </c>
      <c r="N77" s="1" t="n">
        <v>25.4</v>
      </c>
      <c r="O77" s="4" t="e">
        <f aca="false">(N77-#REF!)/#REF!</f>
        <v>#REF!</v>
      </c>
      <c r="P77" s="1" t="n">
        <v>114.3</v>
      </c>
      <c r="Q77" s="4" t="e">
        <f aca="false">(P77-#REF!)/#REF!</f>
        <v>#REF!</v>
      </c>
      <c r="R77" s="1" t="n">
        <v>228.6</v>
      </c>
      <c r="S77" s="4" t="e">
        <f aca="false">(R77-#REF!)/#REF!</f>
        <v>#REF!</v>
      </c>
      <c r="T77" s="1" t="n">
        <f aca="false">R77-N77</f>
        <v>203.2</v>
      </c>
      <c r="U77" s="4" t="e">
        <f aca="false">(T77-#REF!)/#REF!</f>
        <v>#REF!</v>
      </c>
      <c r="V77" s="1" t="n">
        <v>387.1</v>
      </c>
      <c r="W77" s="4" t="e">
        <f aca="false">(V77-#REF!)/#REF!</f>
        <v>#REF!</v>
      </c>
      <c r="X77" s="28" t="n">
        <v>0.0148149679015407</v>
      </c>
      <c r="Y77" s="4" t="e">
        <f aca="false">(X77-#REF!)/#REF!</f>
        <v>#REF!</v>
      </c>
      <c r="Z77" s="27" t="n">
        <v>347.810227990398</v>
      </c>
      <c r="AA77" s="4" t="e">
        <f aca="false">(Z77-#REF!)/#REF!</f>
        <v>#REF!</v>
      </c>
      <c r="AB77" s="3" t="n">
        <v>434</v>
      </c>
      <c r="AC77" s="4" t="e">
        <f aca="false">(AB77-#REF!)/#REF!</f>
        <v>#REF!</v>
      </c>
      <c r="AD77" s="25" t="n">
        <v>24.2</v>
      </c>
      <c r="AE77" s="4" t="e">
        <f aca="false">(AD77-#REF!)/#REF!</f>
        <v>#REF!</v>
      </c>
      <c r="AF77" s="4" t="n">
        <v>0.17</v>
      </c>
      <c r="AG77" s="4"/>
    </row>
    <row r="78" customFormat="false" ht="14.25" hidden="false" customHeight="false" outlineLevel="0" collapsed="false">
      <c r="B78" s="1" t="n">
        <v>12.7</v>
      </c>
      <c r="C78" s="4" t="e">
        <f aca="false">(B78-#REF!)/#REF!</f>
        <v>#REF!</v>
      </c>
      <c r="D78" s="1" t="n">
        <v>3</v>
      </c>
      <c r="E78" s="4" t="e">
        <f aca="false">(D78-#REF!)/#REF!</f>
        <v>#REF!</v>
      </c>
      <c r="F78" s="2" t="n">
        <v>19.05</v>
      </c>
      <c r="G78" s="4" t="e">
        <f aca="false">(F78-#REF!)/#REF!</f>
        <v>#REF!</v>
      </c>
      <c r="H78" s="2" t="n">
        <v>48.26</v>
      </c>
      <c r="I78" s="4" t="e">
        <f aca="false">(H78-#REF!)/#REF!</f>
        <v>#REF!</v>
      </c>
      <c r="J78" s="4" t="n">
        <v>3.97660816382294</v>
      </c>
      <c r="K78" s="4" t="e">
        <f aca="false">(J78-#REF!)/#REF!</f>
        <v>#REF!</v>
      </c>
      <c r="L78" s="1" t="n">
        <v>19.05</v>
      </c>
      <c r="M78" s="4" t="e">
        <f aca="false">(L78-#REF!)/#REF!</f>
        <v>#REF!</v>
      </c>
      <c r="N78" s="1" t="n">
        <v>25.4</v>
      </c>
      <c r="O78" s="4" t="e">
        <f aca="false">(N78-#REF!)/#REF!</f>
        <v>#REF!</v>
      </c>
      <c r="P78" s="1" t="n">
        <v>114.3</v>
      </c>
      <c r="Q78" s="4" t="e">
        <f aca="false">(P78-#REF!)/#REF!</f>
        <v>#REF!</v>
      </c>
      <c r="R78" s="1" t="n">
        <v>228.6</v>
      </c>
      <c r="S78" s="4" t="e">
        <f aca="false">(R78-#REF!)/#REF!</f>
        <v>#REF!</v>
      </c>
      <c r="T78" s="1" t="n">
        <f aca="false">R78-N78</f>
        <v>203.2</v>
      </c>
      <c r="U78" s="4" t="e">
        <f aca="false">(T78-#REF!)/#REF!</f>
        <v>#REF!</v>
      </c>
      <c r="V78" s="1" t="n">
        <v>387.1</v>
      </c>
      <c r="W78" s="4" t="e">
        <f aca="false">(V78-#REF!)/#REF!</f>
        <v>#REF!</v>
      </c>
      <c r="X78" s="28" t="n">
        <v>0.0148149679015407</v>
      </c>
      <c r="Y78" s="4" t="e">
        <f aca="false">(X78-#REF!)/#REF!</f>
        <v>#REF!</v>
      </c>
      <c r="Z78" s="27" t="n">
        <v>411.048451261379</v>
      </c>
      <c r="AA78" s="4" t="e">
        <f aca="false">(Z78-#REF!)/#REF!</f>
        <v>#REF!</v>
      </c>
      <c r="AB78" s="3" t="n">
        <v>434</v>
      </c>
      <c r="AC78" s="4" t="e">
        <f aca="false">(AB78-#REF!)/#REF!</f>
        <v>#REF!</v>
      </c>
      <c r="AD78" s="25" t="n">
        <v>28.6</v>
      </c>
      <c r="AE78" s="4" t="e">
        <f aca="false">(AD78-#REF!)/#REF!</f>
        <v>#REF!</v>
      </c>
      <c r="AF78" s="4" t="n">
        <v>0.2</v>
      </c>
      <c r="AG78" s="4"/>
    </row>
    <row r="79" customFormat="false" ht="14.25" hidden="false" customHeight="false" outlineLevel="0" collapsed="false">
      <c r="A79" s="0" t="s">
        <v>41</v>
      </c>
      <c r="B79" s="1" t="n">
        <v>15.9</v>
      </c>
      <c r="C79" s="4" t="e">
        <f aca="false">(B79-#REF!)/#REF!</f>
        <v>#REF!</v>
      </c>
      <c r="D79" s="1" t="n">
        <v>3</v>
      </c>
      <c r="E79" s="4" t="e">
        <f aca="false">(D79-#REF!)/#REF!</f>
        <v>#REF!</v>
      </c>
      <c r="F79" s="2" t="n">
        <v>15.9</v>
      </c>
      <c r="G79" s="4" t="e">
        <f aca="false">(F79-#REF!)/#REF!</f>
        <v>#REF!</v>
      </c>
      <c r="H79" s="2" t="n">
        <v>48.26</v>
      </c>
      <c r="I79" s="4" t="e">
        <f aca="false">(H79-#REF!)/#REF!</f>
        <v>#REF!</v>
      </c>
      <c r="J79" s="4" t="n">
        <v>3.97660816382294</v>
      </c>
      <c r="K79" s="4" t="e">
        <f aca="false">(J79-#REF!)/#REF!</f>
        <v>#REF!</v>
      </c>
      <c r="L79" s="1" t="n">
        <v>17.46</v>
      </c>
      <c r="M79" s="4" t="e">
        <f aca="false">(L79-#REF!)/#REF!</f>
        <v>#REF!</v>
      </c>
      <c r="N79" s="1" t="n">
        <v>25.4</v>
      </c>
      <c r="O79" s="4" t="e">
        <f aca="false">(N79-#REF!)/#REF!</f>
        <v>#REF!</v>
      </c>
      <c r="P79" s="1" t="n">
        <v>114.3</v>
      </c>
      <c r="Q79" s="4" t="e">
        <f aca="false">(P79-#REF!)/#REF!</f>
        <v>#REF!</v>
      </c>
      <c r="R79" s="1" t="n">
        <v>228.6</v>
      </c>
      <c r="S79" s="4" t="e">
        <f aca="false">(R79-#REF!)/#REF!</f>
        <v>#REF!</v>
      </c>
      <c r="T79" s="1" t="n">
        <f aca="false">R79-N79</f>
        <v>203.2</v>
      </c>
      <c r="U79" s="4" t="e">
        <f aca="false">(T79-#REF!)/#REF!</f>
        <v>#REF!</v>
      </c>
      <c r="V79" s="1" t="n">
        <v>600</v>
      </c>
      <c r="W79" s="4" t="e">
        <f aca="false">(V79-#REF!)/#REF!</f>
        <v>#REF!</v>
      </c>
      <c r="X79" s="28" t="n">
        <v>0.0229630088889807</v>
      </c>
      <c r="Y79" s="4" t="e">
        <f aca="false">(X79-#REF!)/#REF!</f>
        <v>#REF!</v>
      </c>
      <c r="Z79" s="27" t="n">
        <v>289.734922915654</v>
      </c>
      <c r="AA79" s="4" t="e">
        <f aca="false">(Z79-#REF!)/#REF!</f>
        <v>#REF!</v>
      </c>
      <c r="AB79" s="3" t="n">
        <v>540</v>
      </c>
      <c r="AC79" s="4" t="e">
        <f aca="false">(AB79-#REF!)/#REF!</f>
        <v>#REF!</v>
      </c>
      <c r="AD79" s="25" t="n">
        <v>30.5</v>
      </c>
      <c r="AE79" s="4" t="e">
        <f aca="false">(AD79-#REF!)/#REF!</f>
        <v>#REF!</v>
      </c>
      <c r="AF79" s="4" t="n">
        <v>0.16</v>
      </c>
      <c r="AG79" s="4"/>
    </row>
    <row r="80" customFormat="false" ht="14.25" hidden="false" customHeight="false" outlineLevel="0" collapsed="false">
      <c r="B80" s="1" t="n">
        <v>15.9</v>
      </c>
      <c r="C80" s="4" t="e">
        <f aca="false">(B80-#REF!)/#REF!</f>
        <v>#REF!</v>
      </c>
      <c r="D80" s="1" t="n">
        <v>3</v>
      </c>
      <c r="E80" s="4" t="e">
        <f aca="false">(D80-#REF!)/#REF!</f>
        <v>#REF!</v>
      </c>
      <c r="F80" s="2" t="n">
        <v>15.9</v>
      </c>
      <c r="G80" s="4" t="e">
        <f aca="false">(F80-#REF!)/#REF!</f>
        <v>#REF!</v>
      </c>
      <c r="H80" s="2" t="n">
        <v>48.26</v>
      </c>
      <c r="I80" s="4" t="e">
        <f aca="false">(H80-#REF!)/#REF!</f>
        <v>#REF!</v>
      </c>
      <c r="J80" s="4" t="n">
        <v>3.97660816382294</v>
      </c>
      <c r="K80" s="4" t="e">
        <f aca="false">(J80-#REF!)/#REF!</f>
        <v>#REF!</v>
      </c>
      <c r="L80" s="1" t="n">
        <v>17.46</v>
      </c>
      <c r="M80" s="4" t="e">
        <f aca="false">(L80-#REF!)/#REF!</f>
        <v>#REF!</v>
      </c>
      <c r="N80" s="1" t="n">
        <v>25.4</v>
      </c>
      <c r="O80" s="4" t="e">
        <f aca="false">(N80-#REF!)/#REF!</f>
        <v>#REF!</v>
      </c>
      <c r="P80" s="1" t="n">
        <v>114.3</v>
      </c>
      <c r="Q80" s="4" t="e">
        <f aca="false">(P80-#REF!)/#REF!</f>
        <v>#REF!</v>
      </c>
      <c r="R80" s="1" t="n">
        <v>228.6</v>
      </c>
      <c r="S80" s="4" t="e">
        <f aca="false">(R80-#REF!)/#REF!</f>
        <v>#REF!</v>
      </c>
      <c r="T80" s="1" t="n">
        <f aca="false">R80-N80</f>
        <v>203.2</v>
      </c>
      <c r="U80" s="4" t="e">
        <f aca="false">(T80-#REF!)/#REF!</f>
        <v>#REF!</v>
      </c>
      <c r="V80" s="1" t="n">
        <v>600</v>
      </c>
      <c r="W80" s="4" t="e">
        <f aca="false">(V80-#REF!)/#REF!</f>
        <v>#REF!</v>
      </c>
      <c r="X80" s="28" t="n">
        <v>0.0229630088889807</v>
      </c>
      <c r="Y80" s="4" t="e">
        <f aca="false">(X80-#REF!)/#REF!</f>
        <v>#REF!</v>
      </c>
      <c r="Z80" s="27" t="n">
        <v>379.980226774629</v>
      </c>
      <c r="AA80" s="4" t="e">
        <f aca="false">(Z80-#REF!)/#REF!</f>
        <v>#REF!</v>
      </c>
      <c r="AB80" s="3" t="n">
        <v>540</v>
      </c>
      <c r="AC80" s="4" t="e">
        <f aca="false">(AB80-#REF!)/#REF!</f>
        <v>#REF!</v>
      </c>
      <c r="AD80" s="25" t="n">
        <v>40</v>
      </c>
      <c r="AE80" s="4" t="e">
        <f aca="false">(AD80-#REF!)/#REF!</f>
        <v>#REF!</v>
      </c>
      <c r="AF80" s="4" t="n">
        <v>0.21</v>
      </c>
      <c r="AG80" s="4"/>
    </row>
    <row r="81" customFormat="false" ht="14.25" hidden="false" customHeight="false" outlineLevel="0" collapsed="false">
      <c r="A81" s="0" t="s">
        <v>42</v>
      </c>
      <c r="B81" s="1" t="n">
        <v>16</v>
      </c>
      <c r="C81" s="4" t="e">
        <f aca="false">(B81-#REF!)/#REF!</f>
        <v>#REF!</v>
      </c>
      <c r="D81" s="1" t="n">
        <v>2</v>
      </c>
      <c r="E81" s="4" t="e">
        <f aca="false">(D81-#REF!)/#REF!</f>
        <v>#REF!</v>
      </c>
      <c r="F81" s="2" t="n">
        <v>138</v>
      </c>
      <c r="G81" s="4" t="e">
        <f aca="false">(F81-#REF!)/#REF!</f>
        <v>#REF!</v>
      </c>
      <c r="H81" s="2" t="n">
        <v>36.3</v>
      </c>
      <c r="I81" s="4" t="e">
        <f aca="false">(H81-#REF!)/#REF!</f>
        <v>#REF!</v>
      </c>
      <c r="J81" s="4" t="n">
        <v>3.269</v>
      </c>
      <c r="K81" s="4" t="e">
        <f aca="false">(J81-#REF!)/#REF!</f>
        <v>#REF!</v>
      </c>
      <c r="L81" s="1" t="n">
        <v>40</v>
      </c>
      <c r="M81" s="4" t="e">
        <f aca="false">(L81-#REF!)/#REF!</f>
        <v>#REF!</v>
      </c>
      <c r="N81" s="1" t="n">
        <v>48</v>
      </c>
      <c r="O81" s="4" t="e">
        <f aca="false">(N81-#REF!)/#REF!</f>
        <v>#REF!</v>
      </c>
      <c r="P81" s="1" t="n">
        <v>250</v>
      </c>
      <c r="Q81" s="4" t="e">
        <f aca="false">(P81-#REF!)/#REF!</f>
        <v>#REF!</v>
      </c>
      <c r="R81" s="1" t="n">
        <v>348</v>
      </c>
      <c r="S81" s="4" t="e">
        <f aca="false">(R81-#REF!)/#REF!</f>
        <v>#REF!</v>
      </c>
      <c r="T81" s="1" t="n">
        <f aca="false">R81-N81</f>
        <v>300</v>
      </c>
      <c r="U81" s="4" t="e">
        <f aca="false">(T81-#REF!)/#REF!</f>
        <v>#REF!</v>
      </c>
      <c r="V81" s="1" t="n">
        <v>400</v>
      </c>
      <c r="W81" s="4" t="e">
        <f aca="false">(V81-#REF!)/#REF!</f>
        <v>#REF!</v>
      </c>
      <c r="X81" s="28" t="n">
        <v>0.00459770114942529</v>
      </c>
      <c r="Y81" s="4" t="e">
        <f aca="false">(X81-#REF!)/#REF!</f>
        <v>#REF!</v>
      </c>
      <c r="Z81" s="27" t="n">
        <v>185.273964470166</v>
      </c>
      <c r="AA81" s="4" t="e">
        <f aca="false">(Z81-#REF!)/#REF!</f>
        <v>#REF!</v>
      </c>
      <c r="AB81" s="3" t="n">
        <v>500</v>
      </c>
      <c r="AC81" s="4" t="e">
        <f aca="false">(AB81-#REF!)/#REF!</f>
        <v>#REF!</v>
      </c>
      <c r="AD81" s="25" t="n">
        <v>20.42</v>
      </c>
      <c r="AE81" s="4" t="e">
        <f aca="false">(AD81-#REF!)/#REF!</f>
        <v>#REF!</v>
      </c>
      <c r="AF81" s="4" t="n">
        <v>0.15</v>
      </c>
      <c r="AG81" s="4"/>
    </row>
    <row r="82" customFormat="false" ht="14.25" hidden="false" customHeight="false" outlineLevel="0" collapsed="false">
      <c r="B82" s="1" t="n">
        <v>16</v>
      </c>
      <c r="C82" s="4" t="e">
        <f aca="false">(B82-#REF!)/#REF!</f>
        <v>#REF!</v>
      </c>
      <c r="D82" s="1" t="n">
        <v>2</v>
      </c>
      <c r="E82" s="4" t="e">
        <f aca="false">(D82-#REF!)/#REF!</f>
        <v>#REF!</v>
      </c>
      <c r="F82" s="2" t="n">
        <v>138</v>
      </c>
      <c r="G82" s="4" t="e">
        <f aca="false">(F82-#REF!)/#REF!</f>
        <v>#REF!</v>
      </c>
      <c r="H82" s="2" t="n">
        <v>36.3</v>
      </c>
      <c r="I82" s="4" t="e">
        <f aca="false">(H82-#REF!)/#REF!</f>
        <v>#REF!</v>
      </c>
      <c r="J82" s="4" t="n">
        <v>3.269</v>
      </c>
      <c r="K82" s="4" t="e">
        <f aca="false">(J82-#REF!)/#REF!</f>
        <v>#REF!</v>
      </c>
      <c r="L82" s="1" t="n">
        <v>40</v>
      </c>
      <c r="M82" s="4" t="e">
        <f aca="false">(L82-#REF!)/#REF!</f>
        <v>#REF!</v>
      </c>
      <c r="N82" s="1" t="n">
        <v>48</v>
      </c>
      <c r="O82" s="4" t="e">
        <f aca="false">(N82-#REF!)/#REF!</f>
        <v>#REF!</v>
      </c>
      <c r="P82" s="1" t="n">
        <v>250</v>
      </c>
      <c r="Q82" s="4" t="e">
        <f aca="false">(P82-#REF!)/#REF!</f>
        <v>#REF!</v>
      </c>
      <c r="R82" s="1" t="n">
        <v>348</v>
      </c>
      <c r="S82" s="4" t="e">
        <f aca="false">(R82-#REF!)/#REF!</f>
        <v>#REF!</v>
      </c>
      <c r="T82" s="1" t="n">
        <f aca="false">R82-N82</f>
        <v>300</v>
      </c>
      <c r="U82" s="4" t="e">
        <f aca="false">(T82-#REF!)/#REF!</f>
        <v>#REF!</v>
      </c>
      <c r="V82" s="1" t="n">
        <v>400</v>
      </c>
      <c r="W82" s="4" t="e">
        <f aca="false">(V82-#REF!)/#REF!</f>
        <v>#REF!</v>
      </c>
      <c r="X82" s="28" t="n">
        <v>0.00459770114942529</v>
      </c>
      <c r="Y82" s="4" t="e">
        <f aca="false">(X82-#REF!)/#REF!</f>
        <v>#REF!</v>
      </c>
      <c r="Z82" s="27" t="n">
        <v>211.76759699969</v>
      </c>
      <c r="AA82" s="4" t="e">
        <f aca="false">(Z82-#REF!)/#REF!</f>
        <v>#REF!</v>
      </c>
      <c r="AB82" s="3" t="n">
        <v>500</v>
      </c>
      <c r="AC82" s="4" t="e">
        <f aca="false">(AB82-#REF!)/#REF!</f>
        <v>#REF!</v>
      </c>
      <c r="AD82" s="25" t="n">
        <v>23.34</v>
      </c>
      <c r="AE82" s="4" t="e">
        <f aca="false">(AD82-#REF!)/#REF!</f>
        <v>#REF!</v>
      </c>
      <c r="AF82" s="4" t="n">
        <v>0.2</v>
      </c>
      <c r="AG82" s="4"/>
    </row>
    <row r="83" customFormat="false" ht="14.25" hidden="false" customHeight="false" outlineLevel="0" collapsed="false">
      <c r="B83" s="1" t="n">
        <v>16</v>
      </c>
      <c r="C83" s="4" t="e">
        <f aca="false">(B83-#REF!)/#REF!</f>
        <v>#REF!</v>
      </c>
      <c r="D83" s="1" t="n">
        <v>2</v>
      </c>
      <c r="E83" s="4" t="e">
        <f aca="false">(D83-#REF!)/#REF!</f>
        <v>#REF!</v>
      </c>
      <c r="F83" s="2" t="n">
        <v>138</v>
      </c>
      <c r="G83" s="4" t="e">
        <f aca="false">(F83-#REF!)/#REF!</f>
        <v>#REF!</v>
      </c>
      <c r="H83" s="2" t="n">
        <v>36.3</v>
      </c>
      <c r="I83" s="4" t="e">
        <f aca="false">(H83-#REF!)/#REF!</f>
        <v>#REF!</v>
      </c>
      <c r="J83" s="4" t="n">
        <v>3.269</v>
      </c>
      <c r="K83" s="4" t="e">
        <f aca="false">(J83-#REF!)/#REF!</f>
        <v>#REF!</v>
      </c>
      <c r="L83" s="1" t="n">
        <v>40</v>
      </c>
      <c r="M83" s="4" t="e">
        <f aca="false">(L83-#REF!)/#REF!</f>
        <v>#REF!</v>
      </c>
      <c r="N83" s="1" t="n">
        <v>48</v>
      </c>
      <c r="O83" s="4" t="e">
        <f aca="false">(N83-#REF!)/#REF!</f>
        <v>#REF!</v>
      </c>
      <c r="P83" s="1" t="n">
        <v>250</v>
      </c>
      <c r="Q83" s="4" t="e">
        <f aca="false">(P83-#REF!)/#REF!</f>
        <v>#REF!</v>
      </c>
      <c r="R83" s="1" t="n">
        <v>348</v>
      </c>
      <c r="S83" s="4" t="e">
        <f aca="false">(R83-#REF!)/#REF!</f>
        <v>#REF!</v>
      </c>
      <c r="T83" s="1" t="n">
        <f aca="false">R83-N83</f>
        <v>300</v>
      </c>
      <c r="U83" s="4" t="e">
        <f aca="false">(T83-#REF!)/#REF!</f>
        <v>#REF!</v>
      </c>
      <c r="V83" s="1" t="n">
        <v>400</v>
      </c>
      <c r="W83" s="4" t="e">
        <f aca="false">(V83-#REF!)/#REF!</f>
        <v>#REF!</v>
      </c>
      <c r="X83" s="28" t="n">
        <v>0.00459770114942529</v>
      </c>
      <c r="Y83" s="4" t="e">
        <f aca="false">(X83-#REF!)/#REF!</f>
        <v>#REF!</v>
      </c>
      <c r="Z83" s="27" t="n">
        <v>238.261229529214</v>
      </c>
      <c r="AA83" s="4" t="e">
        <f aca="false">(Z83-#REF!)/#REF!</f>
        <v>#REF!</v>
      </c>
      <c r="AB83" s="3" t="n">
        <v>500</v>
      </c>
      <c r="AC83" s="4" t="e">
        <f aca="false">(AB83-#REF!)/#REF!</f>
        <v>#REF!</v>
      </c>
      <c r="AD83" s="25" t="n">
        <v>26.26</v>
      </c>
      <c r="AE83" s="4" t="e">
        <f aca="false">(AD83-#REF!)/#REF!</f>
        <v>#REF!</v>
      </c>
      <c r="AF83" s="4" t="n">
        <v>0.25</v>
      </c>
      <c r="AG83" s="4"/>
    </row>
    <row r="84" customFormat="false" ht="14.25" hidden="false" customHeight="false" outlineLevel="0" collapsed="false">
      <c r="B84" s="1" t="n">
        <v>16</v>
      </c>
      <c r="C84" s="4" t="e">
        <f aca="false">(B84-#REF!)/#REF!</f>
        <v>#REF!</v>
      </c>
      <c r="D84" s="1" t="n">
        <v>2</v>
      </c>
      <c r="E84" s="4" t="e">
        <f aca="false">(D84-#REF!)/#REF!</f>
        <v>#REF!</v>
      </c>
      <c r="F84" s="2" t="n">
        <v>138</v>
      </c>
      <c r="G84" s="4" t="e">
        <f aca="false">(F84-#REF!)/#REF!</f>
        <v>#REF!</v>
      </c>
      <c r="H84" s="2" t="n">
        <v>36.3</v>
      </c>
      <c r="I84" s="4" t="e">
        <f aca="false">(H84-#REF!)/#REF!</f>
        <v>#REF!</v>
      </c>
      <c r="J84" s="4" t="n">
        <v>3.269</v>
      </c>
      <c r="K84" s="4" t="e">
        <f aca="false">(J84-#REF!)/#REF!</f>
        <v>#REF!</v>
      </c>
      <c r="L84" s="1" t="n">
        <v>40</v>
      </c>
      <c r="M84" s="4" t="e">
        <f aca="false">(L84-#REF!)/#REF!</f>
        <v>#REF!</v>
      </c>
      <c r="N84" s="1" t="n">
        <v>48</v>
      </c>
      <c r="O84" s="4" t="e">
        <f aca="false">(N84-#REF!)/#REF!</f>
        <v>#REF!</v>
      </c>
      <c r="P84" s="1" t="n">
        <v>250</v>
      </c>
      <c r="Q84" s="4" t="e">
        <f aca="false">(P84-#REF!)/#REF!</f>
        <v>#REF!</v>
      </c>
      <c r="R84" s="1" t="n">
        <v>348</v>
      </c>
      <c r="S84" s="4" t="e">
        <f aca="false">(R84-#REF!)/#REF!</f>
        <v>#REF!</v>
      </c>
      <c r="T84" s="1" t="n">
        <f aca="false">R84-N84</f>
        <v>300</v>
      </c>
      <c r="U84" s="4" t="e">
        <f aca="false">(T84-#REF!)/#REF!</f>
        <v>#REF!</v>
      </c>
      <c r="V84" s="1" t="n">
        <v>400</v>
      </c>
      <c r="W84" s="4" t="e">
        <f aca="false">(V84-#REF!)/#REF!</f>
        <v>#REF!</v>
      </c>
      <c r="X84" s="28" t="n">
        <v>0.00459770114942529</v>
      </c>
      <c r="Y84" s="4" t="e">
        <f aca="false">(X84-#REF!)/#REF!</f>
        <v>#REF!</v>
      </c>
      <c r="Z84" s="27" t="n">
        <v>264.709496249612</v>
      </c>
      <c r="AA84" s="4" t="e">
        <f aca="false">(Z84-#REF!)/#REF!</f>
        <v>#REF!</v>
      </c>
      <c r="AB84" s="3" t="n">
        <v>500</v>
      </c>
      <c r="AC84" s="4" t="e">
        <f aca="false">(AB84-#REF!)/#REF!</f>
        <v>#REF!</v>
      </c>
      <c r="AD84" s="25" t="n">
        <v>29.175</v>
      </c>
      <c r="AE84" s="4" t="e">
        <f aca="false">(AD84-#REF!)/#REF!</f>
        <v>#REF!</v>
      </c>
      <c r="AF84" s="4" t="n">
        <v>0.28</v>
      </c>
      <c r="AG84" s="4"/>
    </row>
    <row r="85" customFormat="false" ht="14.25" hidden="false" customHeight="false" outlineLevel="0" collapsed="false">
      <c r="B85" s="1" t="n">
        <v>16</v>
      </c>
      <c r="C85" s="4" t="e">
        <f aca="false">(B85-#REF!)/#REF!</f>
        <v>#REF!</v>
      </c>
      <c r="D85" s="1" t="n">
        <v>2</v>
      </c>
      <c r="E85" s="4" t="e">
        <f aca="false">(D85-#REF!)/#REF!</f>
        <v>#REF!</v>
      </c>
      <c r="F85" s="2" t="n">
        <v>138</v>
      </c>
      <c r="G85" s="4" t="e">
        <f aca="false">(F85-#REF!)/#REF!</f>
        <v>#REF!</v>
      </c>
      <c r="H85" s="2" t="n">
        <v>36.3</v>
      </c>
      <c r="I85" s="4" t="e">
        <f aca="false">(H85-#REF!)/#REF!</f>
        <v>#REF!</v>
      </c>
      <c r="J85" s="4" t="n">
        <v>3.269</v>
      </c>
      <c r="K85" s="4" t="e">
        <f aca="false">(J85-#REF!)/#REF!</f>
        <v>#REF!</v>
      </c>
      <c r="L85" s="1" t="n">
        <v>40</v>
      </c>
      <c r="M85" s="4" t="e">
        <f aca="false">(L85-#REF!)/#REF!</f>
        <v>#REF!</v>
      </c>
      <c r="N85" s="1" t="n">
        <v>48</v>
      </c>
      <c r="O85" s="4" t="e">
        <f aca="false">(N85-#REF!)/#REF!</f>
        <v>#REF!</v>
      </c>
      <c r="P85" s="1" t="n">
        <v>250</v>
      </c>
      <c r="Q85" s="4" t="e">
        <f aca="false">(P85-#REF!)/#REF!</f>
        <v>#REF!</v>
      </c>
      <c r="R85" s="1" t="n">
        <v>348</v>
      </c>
      <c r="S85" s="4" t="e">
        <f aca="false">(R85-#REF!)/#REF!</f>
        <v>#REF!</v>
      </c>
      <c r="T85" s="1" t="n">
        <f aca="false">R85-N85</f>
        <v>300</v>
      </c>
      <c r="U85" s="4" t="e">
        <f aca="false">(T85-#REF!)/#REF!</f>
        <v>#REF!</v>
      </c>
      <c r="V85" s="1" t="n">
        <v>400</v>
      </c>
      <c r="W85" s="4" t="e">
        <f aca="false">(V85-#REF!)/#REF!</f>
        <v>#REF!</v>
      </c>
      <c r="X85" s="28" t="n">
        <v>0.00459770114942529</v>
      </c>
      <c r="Y85" s="4" t="e">
        <f aca="false">(X85-#REF!)/#REF!</f>
        <v>#REF!</v>
      </c>
      <c r="Z85" s="27" t="n">
        <v>291.157762970011</v>
      </c>
      <c r="AA85" s="4" t="e">
        <f aca="false">(Z85-#REF!)/#REF!</f>
        <v>#REF!</v>
      </c>
      <c r="AB85" s="3" t="n">
        <v>500</v>
      </c>
      <c r="AC85" s="4" t="e">
        <f aca="false">(AB85-#REF!)/#REF!</f>
        <v>#REF!</v>
      </c>
      <c r="AD85" s="25" t="n">
        <v>32.09</v>
      </c>
      <c r="AE85" s="4" t="e">
        <f aca="false">(AD85-#REF!)/#REF!</f>
        <v>#REF!</v>
      </c>
      <c r="AF85" s="4" t="n">
        <v>0.28</v>
      </c>
      <c r="AG85" s="4"/>
    </row>
    <row r="86" customFormat="false" ht="14.25" hidden="false" customHeight="false" outlineLevel="0" collapsed="false">
      <c r="B86" s="1" t="n">
        <v>16</v>
      </c>
      <c r="C86" s="4" t="e">
        <f aca="false">(B86-#REF!)/#REF!</f>
        <v>#REF!</v>
      </c>
      <c r="D86" s="1" t="n">
        <v>2</v>
      </c>
      <c r="E86" s="4" t="e">
        <f aca="false">(D86-#REF!)/#REF!</f>
        <v>#REF!</v>
      </c>
      <c r="F86" s="2" t="n">
        <v>138</v>
      </c>
      <c r="G86" s="4" t="e">
        <f aca="false">(F86-#REF!)/#REF!</f>
        <v>#REF!</v>
      </c>
      <c r="H86" s="2" t="n">
        <v>36.3</v>
      </c>
      <c r="I86" s="4" t="e">
        <f aca="false">(H86-#REF!)/#REF!</f>
        <v>#REF!</v>
      </c>
      <c r="J86" s="4" t="n">
        <v>3.269</v>
      </c>
      <c r="K86" s="4" t="e">
        <f aca="false">(J86-#REF!)/#REF!</f>
        <v>#REF!</v>
      </c>
      <c r="L86" s="1" t="n">
        <v>40</v>
      </c>
      <c r="M86" s="4" t="e">
        <f aca="false">(L86-#REF!)/#REF!</f>
        <v>#REF!</v>
      </c>
      <c r="N86" s="1" t="n">
        <v>48</v>
      </c>
      <c r="O86" s="4" t="e">
        <f aca="false">(N86-#REF!)/#REF!</f>
        <v>#REF!</v>
      </c>
      <c r="P86" s="1" t="n">
        <v>250</v>
      </c>
      <c r="Q86" s="4" t="e">
        <f aca="false">(P86-#REF!)/#REF!</f>
        <v>#REF!</v>
      </c>
      <c r="R86" s="1" t="n">
        <v>348</v>
      </c>
      <c r="S86" s="4" t="e">
        <f aca="false">(R86-#REF!)/#REF!</f>
        <v>#REF!</v>
      </c>
      <c r="T86" s="1" t="n">
        <f aca="false">R86-N86</f>
        <v>300</v>
      </c>
      <c r="U86" s="4" t="e">
        <f aca="false">(T86-#REF!)/#REF!</f>
        <v>#REF!</v>
      </c>
      <c r="V86" s="1" t="n">
        <v>400</v>
      </c>
      <c r="W86" s="4" t="e">
        <f aca="false">(V86-#REF!)/#REF!</f>
        <v>#REF!</v>
      </c>
      <c r="X86" s="28" t="n">
        <v>0.00459770114942529</v>
      </c>
      <c r="Y86" s="4" t="e">
        <f aca="false">(X86-#REF!)/#REF!</f>
        <v>#REF!</v>
      </c>
      <c r="Z86" s="27" t="n">
        <v>317.651395499535</v>
      </c>
      <c r="AA86" s="4" t="e">
        <f aca="false">(Z86-#REF!)/#REF!</f>
        <v>#REF!</v>
      </c>
      <c r="AB86" s="3" t="n">
        <v>500</v>
      </c>
      <c r="AC86" s="4" t="e">
        <f aca="false">(AB86-#REF!)/#REF!</f>
        <v>#REF!</v>
      </c>
      <c r="AD86" s="25" t="n">
        <v>35.01</v>
      </c>
      <c r="AE86" s="4" t="e">
        <f aca="false">(AD86-#REF!)/#REF!</f>
        <v>#REF!</v>
      </c>
      <c r="AF86" s="4" t="n">
        <v>0.3</v>
      </c>
      <c r="AG86" s="4"/>
    </row>
    <row r="87" customFormat="false" ht="14.25" hidden="false" customHeight="false" outlineLevel="0" collapsed="false">
      <c r="B87" s="1" t="n">
        <v>16</v>
      </c>
      <c r="C87" s="4" t="e">
        <f aca="false">(B87-#REF!)/#REF!</f>
        <v>#REF!</v>
      </c>
      <c r="D87" s="1" t="n">
        <v>2</v>
      </c>
      <c r="E87" s="4" t="e">
        <f aca="false">(D87-#REF!)/#REF!</f>
        <v>#REF!</v>
      </c>
      <c r="F87" s="2" t="n">
        <v>138</v>
      </c>
      <c r="G87" s="4" t="e">
        <f aca="false">(F87-#REF!)/#REF!</f>
        <v>#REF!</v>
      </c>
      <c r="H87" s="2" t="n">
        <v>36.3</v>
      </c>
      <c r="I87" s="4" t="e">
        <f aca="false">(H87-#REF!)/#REF!</f>
        <v>#REF!</v>
      </c>
      <c r="J87" s="4" t="n">
        <v>3.269</v>
      </c>
      <c r="K87" s="4" t="e">
        <f aca="false">(J87-#REF!)/#REF!</f>
        <v>#REF!</v>
      </c>
      <c r="L87" s="1" t="n">
        <v>40</v>
      </c>
      <c r="M87" s="4" t="e">
        <f aca="false">(L87-#REF!)/#REF!</f>
        <v>#REF!</v>
      </c>
      <c r="N87" s="1" t="n">
        <v>48</v>
      </c>
      <c r="O87" s="4" t="e">
        <f aca="false">(N87-#REF!)/#REF!</f>
        <v>#REF!</v>
      </c>
      <c r="P87" s="1" t="n">
        <v>250</v>
      </c>
      <c r="Q87" s="4" t="e">
        <f aca="false">(P87-#REF!)/#REF!</f>
        <v>#REF!</v>
      </c>
      <c r="R87" s="1" t="n">
        <v>348</v>
      </c>
      <c r="S87" s="4" t="e">
        <f aca="false">(R87-#REF!)/#REF!</f>
        <v>#REF!</v>
      </c>
      <c r="T87" s="1" t="n">
        <f aca="false">R87-N87</f>
        <v>300</v>
      </c>
      <c r="U87" s="4" t="e">
        <f aca="false">(T87-#REF!)/#REF!</f>
        <v>#REF!</v>
      </c>
      <c r="V87" s="1" t="n">
        <v>400</v>
      </c>
      <c r="W87" s="4" t="e">
        <f aca="false">(V87-#REF!)/#REF!</f>
        <v>#REF!</v>
      </c>
      <c r="X87" s="28" t="n">
        <v>0.00459770114942529</v>
      </c>
      <c r="Y87" s="4" t="e">
        <f aca="false">(X87-#REF!)/#REF!</f>
        <v>#REF!</v>
      </c>
      <c r="Z87" s="27" t="n">
        <v>344.145028029059</v>
      </c>
      <c r="AA87" s="4" t="e">
        <f aca="false">(Z87-#REF!)/#REF!</f>
        <v>#REF!</v>
      </c>
      <c r="AB87" s="3" t="n">
        <v>500</v>
      </c>
      <c r="AC87" s="4" t="e">
        <f aca="false">(AB87-#REF!)/#REF!</f>
        <v>#REF!</v>
      </c>
      <c r="AD87" s="25" t="n">
        <v>37.93</v>
      </c>
      <c r="AE87" s="4" t="e">
        <f aca="false">(AD87-#REF!)/#REF!</f>
        <v>#REF!</v>
      </c>
      <c r="AF87" s="4" t="n">
        <v>0.33</v>
      </c>
      <c r="AG87" s="4"/>
    </row>
    <row r="88" customFormat="false" ht="14.25" hidden="false" customHeight="false" outlineLevel="0" collapsed="false">
      <c r="B88" s="1" t="n">
        <v>16</v>
      </c>
      <c r="C88" s="4" t="e">
        <f aca="false">(B88-#REF!)/#REF!</f>
        <v>#REF!</v>
      </c>
      <c r="D88" s="1" t="n">
        <v>2</v>
      </c>
      <c r="E88" s="4" t="e">
        <f aca="false">(D88-#REF!)/#REF!</f>
        <v>#REF!</v>
      </c>
      <c r="F88" s="2" t="n">
        <v>138</v>
      </c>
      <c r="G88" s="4" t="e">
        <f aca="false">(F88-#REF!)/#REF!</f>
        <v>#REF!</v>
      </c>
      <c r="H88" s="2" t="n">
        <v>36.3</v>
      </c>
      <c r="I88" s="4" t="e">
        <f aca="false">(H88-#REF!)/#REF!</f>
        <v>#REF!</v>
      </c>
      <c r="J88" s="4" t="n">
        <v>3.269</v>
      </c>
      <c r="K88" s="4" t="e">
        <f aca="false">(J88-#REF!)/#REF!</f>
        <v>#REF!</v>
      </c>
      <c r="L88" s="1" t="n">
        <v>40</v>
      </c>
      <c r="M88" s="4" t="e">
        <f aca="false">(L88-#REF!)/#REF!</f>
        <v>#REF!</v>
      </c>
      <c r="N88" s="1" t="n">
        <v>48</v>
      </c>
      <c r="O88" s="4" t="e">
        <f aca="false">(N88-#REF!)/#REF!</f>
        <v>#REF!</v>
      </c>
      <c r="P88" s="1" t="n">
        <v>250</v>
      </c>
      <c r="Q88" s="4" t="e">
        <f aca="false">(P88-#REF!)/#REF!</f>
        <v>#REF!</v>
      </c>
      <c r="R88" s="1" t="n">
        <v>348</v>
      </c>
      <c r="S88" s="4" t="e">
        <f aca="false">(R88-#REF!)/#REF!</f>
        <v>#REF!</v>
      </c>
      <c r="T88" s="1" t="n">
        <f aca="false">R88-N88</f>
        <v>300</v>
      </c>
      <c r="U88" s="4" t="e">
        <f aca="false">(T88-#REF!)/#REF!</f>
        <v>#REF!</v>
      </c>
      <c r="V88" s="1" t="n">
        <v>400</v>
      </c>
      <c r="W88" s="4" t="e">
        <f aca="false">(V88-#REF!)/#REF!</f>
        <v>#REF!</v>
      </c>
      <c r="X88" s="28" t="n">
        <v>0.00459770114942529</v>
      </c>
      <c r="Y88" s="4" t="e">
        <f aca="false">(X88-#REF!)/#REF!</f>
        <v>#REF!</v>
      </c>
      <c r="Z88" s="27" t="n">
        <v>370.547928940332</v>
      </c>
      <c r="AA88" s="4" t="e">
        <f aca="false">(Z88-#REF!)/#REF!</f>
        <v>#REF!</v>
      </c>
      <c r="AB88" s="3" t="n">
        <v>500</v>
      </c>
      <c r="AC88" s="4" t="e">
        <f aca="false">(AB88-#REF!)/#REF!</f>
        <v>#REF!</v>
      </c>
      <c r="AD88" s="25" t="n">
        <v>40.84</v>
      </c>
      <c r="AE88" s="4" t="e">
        <f aca="false">(AD88-#REF!)/#REF!</f>
        <v>#REF!</v>
      </c>
      <c r="AF88" s="4" t="n">
        <v>0.33</v>
      </c>
      <c r="AG88" s="4"/>
    </row>
    <row r="89" customFormat="false" ht="14.25" hidden="false" customHeight="false" outlineLevel="0" collapsed="false">
      <c r="A89" s="0" t="s">
        <v>43</v>
      </c>
      <c r="B89" s="1" t="n">
        <v>16</v>
      </c>
      <c r="C89" s="4" t="e">
        <f aca="false">(B89-#REF!)/#REF!</f>
        <v>#REF!</v>
      </c>
      <c r="D89" s="1" t="n">
        <v>2</v>
      </c>
      <c r="E89" s="4" t="e">
        <f aca="false">(D89-#REF!)/#REF!</f>
        <v>#REF!</v>
      </c>
      <c r="F89" s="2" t="n">
        <v>138</v>
      </c>
      <c r="G89" s="4" t="e">
        <f aca="false">(F89-#REF!)/#REF!</f>
        <v>#REF!</v>
      </c>
      <c r="H89" s="2" t="n">
        <v>36.3</v>
      </c>
      <c r="I89" s="4" t="e">
        <f aca="false">(H89-#REF!)/#REF!</f>
        <v>#REF!</v>
      </c>
      <c r="J89" s="4" t="n">
        <v>3.269</v>
      </c>
      <c r="K89" s="4" t="e">
        <f aca="false">(J89-#REF!)/#REF!</f>
        <v>#REF!</v>
      </c>
      <c r="L89" s="1" t="n">
        <v>40</v>
      </c>
      <c r="M89" s="4" t="e">
        <f aca="false">(L89-#REF!)/#REF!</f>
        <v>#REF!</v>
      </c>
      <c r="N89" s="1" t="n">
        <v>48</v>
      </c>
      <c r="O89" s="4" t="e">
        <f aca="false">(N89-#REF!)/#REF!</f>
        <v>#REF!</v>
      </c>
      <c r="P89" s="1" t="n">
        <v>250</v>
      </c>
      <c r="Q89" s="4" t="e">
        <f aca="false">(P89-#REF!)/#REF!</f>
        <v>#REF!</v>
      </c>
      <c r="R89" s="1" t="n">
        <v>348</v>
      </c>
      <c r="S89" s="4" t="e">
        <f aca="false">(R89-#REF!)/#REF!</f>
        <v>#REF!</v>
      </c>
      <c r="T89" s="1" t="n">
        <f aca="false">R89-N89</f>
        <v>300</v>
      </c>
      <c r="U89" s="4" t="e">
        <f aca="false">(T89-#REF!)/#REF!</f>
        <v>#REF!</v>
      </c>
      <c r="V89" s="1" t="n">
        <v>400</v>
      </c>
      <c r="W89" s="4" t="e">
        <f aca="false">(V89-#REF!)/#REF!</f>
        <v>#REF!</v>
      </c>
      <c r="X89" s="28" t="n">
        <v>0.00459770114942529</v>
      </c>
      <c r="Y89" s="4" t="e">
        <f aca="false">(X89-#REF!)/#REF!</f>
        <v>#REF!</v>
      </c>
      <c r="Z89" s="27" t="n">
        <v>211.76759699969</v>
      </c>
      <c r="AA89" s="4" t="e">
        <f aca="false">(Z89-#REF!)/#REF!</f>
        <v>#REF!</v>
      </c>
      <c r="AB89" s="3" t="n">
        <v>500</v>
      </c>
      <c r="AC89" s="4" t="e">
        <f aca="false">(AB89-#REF!)/#REF!</f>
        <v>#REF!</v>
      </c>
      <c r="AD89" s="25" t="n">
        <v>23.34</v>
      </c>
      <c r="AE89" s="4" t="e">
        <f aca="false">(AD89-#REF!)/#REF!</f>
        <v>#REF!</v>
      </c>
      <c r="AF89" s="4" t="n">
        <v>0.15</v>
      </c>
      <c r="AG89" s="4"/>
    </row>
    <row r="90" customFormat="false" ht="14.25" hidden="false" customHeight="false" outlineLevel="0" collapsed="false">
      <c r="B90" s="1" t="n">
        <v>16</v>
      </c>
      <c r="C90" s="4" t="e">
        <f aca="false">(B90-#REF!)/#REF!</f>
        <v>#REF!</v>
      </c>
      <c r="D90" s="1" t="n">
        <v>2</v>
      </c>
      <c r="E90" s="4" t="e">
        <f aca="false">(D90-#REF!)/#REF!</f>
        <v>#REF!</v>
      </c>
      <c r="F90" s="2" t="n">
        <v>138</v>
      </c>
      <c r="G90" s="4" t="e">
        <f aca="false">(F90-#REF!)/#REF!</f>
        <v>#REF!</v>
      </c>
      <c r="H90" s="2" t="n">
        <v>36.3</v>
      </c>
      <c r="I90" s="4" t="e">
        <f aca="false">(H90-#REF!)/#REF!</f>
        <v>#REF!</v>
      </c>
      <c r="J90" s="4" t="n">
        <v>3.269</v>
      </c>
      <c r="K90" s="4" t="e">
        <f aca="false">(J90-#REF!)/#REF!</f>
        <v>#REF!</v>
      </c>
      <c r="L90" s="1" t="n">
        <v>40</v>
      </c>
      <c r="M90" s="4" t="e">
        <f aca="false">(L90-#REF!)/#REF!</f>
        <v>#REF!</v>
      </c>
      <c r="N90" s="1" t="n">
        <v>48</v>
      </c>
      <c r="O90" s="4" t="e">
        <f aca="false">(N90-#REF!)/#REF!</f>
        <v>#REF!</v>
      </c>
      <c r="P90" s="1" t="n">
        <v>250</v>
      </c>
      <c r="Q90" s="4" t="e">
        <f aca="false">(P90-#REF!)/#REF!</f>
        <v>#REF!</v>
      </c>
      <c r="R90" s="1" t="n">
        <v>348</v>
      </c>
      <c r="S90" s="4" t="e">
        <f aca="false">(R90-#REF!)/#REF!</f>
        <v>#REF!</v>
      </c>
      <c r="T90" s="1" t="n">
        <f aca="false">R90-N90</f>
        <v>300</v>
      </c>
      <c r="U90" s="4" t="e">
        <f aca="false">(T90-#REF!)/#REF!</f>
        <v>#REF!</v>
      </c>
      <c r="V90" s="1" t="n">
        <v>400</v>
      </c>
      <c r="W90" s="4" t="e">
        <f aca="false">(V90-#REF!)/#REF!</f>
        <v>#REF!</v>
      </c>
      <c r="X90" s="28" t="n">
        <v>0.00459770114942529</v>
      </c>
      <c r="Y90" s="4" t="e">
        <f aca="false">(X90-#REF!)/#REF!</f>
        <v>#REF!</v>
      </c>
      <c r="Z90" s="27" t="n">
        <v>238.261229529214</v>
      </c>
      <c r="AA90" s="4" t="e">
        <f aca="false">(Z90-#REF!)/#REF!</f>
        <v>#REF!</v>
      </c>
      <c r="AB90" s="3" t="n">
        <v>500</v>
      </c>
      <c r="AC90" s="4" t="e">
        <f aca="false">(AB90-#REF!)/#REF!</f>
        <v>#REF!</v>
      </c>
      <c r="AD90" s="25" t="n">
        <v>26.26</v>
      </c>
      <c r="AE90" s="4" t="e">
        <f aca="false">(AD90-#REF!)/#REF!</f>
        <v>#REF!</v>
      </c>
      <c r="AF90" s="4" t="n">
        <v>0.18</v>
      </c>
      <c r="AG90" s="4"/>
    </row>
    <row r="91" customFormat="false" ht="14.25" hidden="false" customHeight="false" outlineLevel="0" collapsed="false">
      <c r="B91" s="1" t="n">
        <v>16</v>
      </c>
      <c r="C91" s="4" t="e">
        <f aca="false">(B91-#REF!)/#REF!</f>
        <v>#REF!</v>
      </c>
      <c r="D91" s="1" t="n">
        <v>2</v>
      </c>
      <c r="E91" s="4" t="e">
        <f aca="false">(D91-#REF!)/#REF!</f>
        <v>#REF!</v>
      </c>
      <c r="F91" s="2" t="n">
        <v>138</v>
      </c>
      <c r="G91" s="4" t="e">
        <f aca="false">(F91-#REF!)/#REF!</f>
        <v>#REF!</v>
      </c>
      <c r="H91" s="2" t="n">
        <v>36.3</v>
      </c>
      <c r="I91" s="4" t="e">
        <f aca="false">(H91-#REF!)/#REF!</f>
        <v>#REF!</v>
      </c>
      <c r="J91" s="4" t="n">
        <v>3.269</v>
      </c>
      <c r="K91" s="4" t="e">
        <f aca="false">(J91-#REF!)/#REF!</f>
        <v>#REF!</v>
      </c>
      <c r="L91" s="1" t="n">
        <v>40</v>
      </c>
      <c r="M91" s="4" t="e">
        <f aca="false">(L91-#REF!)/#REF!</f>
        <v>#REF!</v>
      </c>
      <c r="N91" s="1" t="n">
        <v>48</v>
      </c>
      <c r="O91" s="4" t="e">
        <f aca="false">(N91-#REF!)/#REF!</f>
        <v>#REF!</v>
      </c>
      <c r="P91" s="1" t="n">
        <v>250</v>
      </c>
      <c r="Q91" s="4" t="e">
        <f aca="false">(P91-#REF!)/#REF!</f>
        <v>#REF!</v>
      </c>
      <c r="R91" s="1" t="n">
        <v>348</v>
      </c>
      <c r="S91" s="4" t="e">
        <f aca="false">(R91-#REF!)/#REF!</f>
        <v>#REF!</v>
      </c>
      <c r="T91" s="1" t="n">
        <f aca="false">R91-N91</f>
        <v>300</v>
      </c>
      <c r="U91" s="4" t="e">
        <f aca="false">(T91-#REF!)/#REF!</f>
        <v>#REF!</v>
      </c>
      <c r="V91" s="1" t="n">
        <v>400</v>
      </c>
      <c r="W91" s="4" t="e">
        <f aca="false">(V91-#REF!)/#REF!</f>
        <v>#REF!</v>
      </c>
      <c r="X91" s="28" t="n">
        <v>0.00459770114942529</v>
      </c>
      <c r="Y91" s="4" t="e">
        <f aca="false">(X91-#REF!)/#REF!</f>
        <v>#REF!</v>
      </c>
      <c r="Z91" s="27" t="n">
        <v>264.709496249612</v>
      </c>
      <c r="AA91" s="4" t="e">
        <f aca="false">(Z91-#REF!)/#REF!</f>
        <v>#REF!</v>
      </c>
      <c r="AB91" s="3" t="n">
        <v>500</v>
      </c>
      <c r="AC91" s="4" t="e">
        <f aca="false">(AB91-#REF!)/#REF!</f>
        <v>#REF!</v>
      </c>
      <c r="AD91" s="25" t="n">
        <v>29.175</v>
      </c>
      <c r="AE91" s="4" t="e">
        <f aca="false">(AD91-#REF!)/#REF!</f>
        <v>#REF!</v>
      </c>
      <c r="AF91" s="4" t="n">
        <v>0.2</v>
      </c>
      <c r="AG91" s="4"/>
    </row>
    <row r="92" customFormat="false" ht="14.25" hidden="false" customHeight="false" outlineLevel="0" collapsed="false">
      <c r="B92" s="1" t="n">
        <v>16</v>
      </c>
      <c r="C92" s="4" t="e">
        <f aca="false">(B92-#REF!)/#REF!</f>
        <v>#REF!</v>
      </c>
      <c r="D92" s="1" t="n">
        <v>2</v>
      </c>
      <c r="E92" s="4" t="e">
        <f aca="false">(D92-#REF!)/#REF!</f>
        <v>#REF!</v>
      </c>
      <c r="F92" s="2" t="n">
        <v>138</v>
      </c>
      <c r="G92" s="4" t="e">
        <f aca="false">(F92-#REF!)/#REF!</f>
        <v>#REF!</v>
      </c>
      <c r="H92" s="2" t="n">
        <v>36.3</v>
      </c>
      <c r="I92" s="4" t="e">
        <f aca="false">(H92-#REF!)/#REF!</f>
        <v>#REF!</v>
      </c>
      <c r="J92" s="4" t="n">
        <v>3.269</v>
      </c>
      <c r="K92" s="4" t="e">
        <f aca="false">(J92-#REF!)/#REF!</f>
        <v>#REF!</v>
      </c>
      <c r="L92" s="1" t="n">
        <v>40</v>
      </c>
      <c r="M92" s="4" t="e">
        <f aca="false">(L92-#REF!)/#REF!</f>
        <v>#REF!</v>
      </c>
      <c r="N92" s="1" t="n">
        <v>48</v>
      </c>
      <c r="O92" s="4" t="e">
        <f aca="false">(N92-#REF!)/#REF!</f>
        <v>#REF!</v>
      </c>
      <c r="P92" s="1" t="n">
        <v>250</v>
      </c>
      <c r="Q92" s="4" t="e">
        <f aca="false">(P92-#REF!)/#REF!</f>
        <v>#REF!</v>
      </c>
      <c r="R92" s="1" t="n">
        <v>348</v>
      </c>
      <c r="S92" s="4" t="e">
        <f aca="false">(R92-#REF!)/#REF!</f>
        <v>#REF!</v>
      </c>
      <c r="T92" s="1" t="n">
        <f aca="false">R92-N92</f>
        <v>300</v>
      </c>
      <c r="U92" s="4" t="e">
        <f aca="false">(T92-#REF!)/#REF!</f>
        <v>#REF!</v>
      </c>
      <c r="V92" s="1" t="n">
        <v>400</v>
      </c>
      <c r="W92" s="4" t="e">
        <f aca="false">(V92-#REF!)/#REF!</f>
        <v>#REF!</v>
      </c>
      <c r="X92" s="28" t="n">
        <v>0.00459770114942529</v>
      </c>
      <c r="Y92" s="4" t="e">
        <f aca="false">(X92-#REF!)/#REF!</f>
        <v>#REF!</v>
      </c>
      <c r="Z92" s="27" t="n">
        <v>291.157762970011</v>
      </c>
      <c r="AA92" s="4" t="e">
        <f aca="false">(Z92-#REF!)/#REF!</f>
        <v>#REF!</v>
      </c>
      <c r="AB92" s="3" t="n">
        <v>500</v>
      </c>
      <c r="AC92" s="4" t="e">
        <f aca="false">(AB92-#REF!)/#REF!</f>
        <v>#REF!</v>
      </c>
      <c r="AD92" s="25" t="n">
        <v>32.09</v>
      </c>
      <c r="AE92" s="4" t="e">
        <f aca="false">(AD92-#REF!)/#REF!</f>
        <v>#REF!</v>
      </c>
      <c r="AF92" s="4" t="n">
        <v>0.25</v>
      </c>
      <c r="AG92" s="4"/>
    </row>
    <row r="93" customFormat="false" ht="14.25" hidden="false" customHeight="false" outlineLevel="0" collapsed="false">
      <c r="B93" s="1" t="n">
        <v>16</v>
      </c>
      <c r="C93" s="4" t="e">
        <f aca="false">(B93-#REF!)/#REF!</f>
        <v>#REF!</v>
      </c>
      <c r="D93" s="1" t="n">
        <v>2</v>
      </c>
      <c r="E93" s="4" t="e">
        <f aca="false">(D93-#REF!)/#REF!</f>
        <v>#REF!</v>
      </c>
      <c r="F93" s="2" t="n">
        <v>138</v>
      </c>
      <c r="G93" s="4" t="e">
        <f aca="false">(F93-#REF!)/#REF!</f>
        <v>#REF!</v>
      </c>
      <c r="H93" s="2" t="n">
        <v>36.3</v>
      </c>
      <c r="I93" s="4" t="e">
        <f aca="false">(H93-#REF!)/#REF!</f>
        <v>#REF!</v>
      </c>
      <c r="J93" s="4" t="n">
        <v>3.269</v>
      </c>
      <c r="K93" s="4" t="e">
        <f aca="false">(J93-#REF!)/#REF!</f>
        <v>#REF!</v>
      </c>
      <c r="L93" s="1" t="n">
        <v>40</v>
      </c>
      <c r="M93" s="4" t="e">
        <f aca="false">(L93-#REF!)/#REF!</f>
        <v>#REF!</v>
      </c>
      <c r="N93" s="1" t="n">
        <v>48</v>
      </c>
      <c r="O93" s="4" t="e">
        <f aca="false">(N93-#REF!)/#REF!</f>
        <v>#REF!</v>
      </c>
      <c r="P93" s="1" t="n">
        <v>250</v>
      </c>
      <c r="Q93" s="4" t="e">
        <f aca="false">(P93-#REF!)/#REF!</f>
        <v>#REF!</v>
      </c>
      <c r="R93" s="1" t="n">
        <v>348</v>
      </c>
      <c r="S93" s="4" t="e">
        <f aca="false">(R93-#REF!)/#REF!</f>
        <v>#REF!</v>
      </c>
      <c r="T93" s="1" t="n">
        <f aca="false">R93-N93</f>
        <v>300</v>
      </c>
      <c r="U93" s="4" t="e">
        <f aca="false">(T93-#REF!)/#REF!</f>
        <v>#REF!</v>
      </c>
      <c r="V93" s="1" t="n">
        <v>400</v>
      </c>
      <c r="W93" s="4" t="e">
        <f aca="false">(V93-#REF!)/#REF!</f>
        <v>#REF!</v>
      </c>
      <c r="X93" s="28" t="n">
        <v>0.00459770114942529</v>
      </c>
      <c r="Y93" s="4" t="e">
        <f aca="false">(X93-#REF!)/#REF!</f>
        <v>#REF!</v>
      </c>
      <c r="Z93" s="27" t="n">
        <v>317.651395499535</v>
      </c>
      <c r="AA93" s="4" t="e">
        <f aca="false">(Z93-#REF!)/#REF!</f>
        <v>#REF!</v>
      </c>
      <c r="AB93" s="3" t="n">
        <v>500</v>
      </c>
      <c r="AC93" s="4" t="e">
        <f aca="false">(AB93-#REF!)/#REF!</f>
        <v>#REF!</v>
      </c>
      <c r="AD93" s="25" t="n">
        <v>35.01</v>
      </c>
      <c r="AE93" s="4" t="e">
        <f aca="false">(AD93-#REF!)/#REF!</f>
        <v>#REF!</v>
      </c>
      <c r="AF93" s="4" t="n">
        <v>0.3</v>
      </c>
      <c r="AG93" s="4"/>
    </row>
    <row r="94" customFormat="false" ht="14.25" hidden="false" customHeight="false" outlineLevel="0" collapsed="false">
      <c r="B94" s="1" t="n">
        <v>16</v>
      </c>
      <c r="C94" s="4" t="e">
        <f aca="false">(B94-#REF!)/#REF!</f>
        <v>#REF!</v>
      </c>
      <c r="D94" s="1" t="n">
        <v>2</v>
      </c>
      <c r="E94" s="4" t="e">
        <f aca="false">(D94-#REF!)/#REF!</f>
        <v>#REF!</v>
      </c>
      <c r="F94" s="2" t="n">
        <v>138</v>
      </c>
      <c r="G94" s="4" t="e">
        <f aca="false">(F94-#REF!)/#REF!</f>
        <v>#REF!</v>
      </c>
      <c r="H94" s="2" t="n">
        <v>36.3</v>
      </c>
      <c r="I94" s="4" t="e">
        <f aca="false">(H94-#REF!)/#REF!</f>
        <v>#REF!</v>
      </c>
      <c r="J94" s="4" t="n">
        <v>3.269</v>
      </c>
      <c r="K94" s="4" t="e">
        <f aca="false">(J94-#REF!)/#REF!</f>
        <v>#REF!</v>
      </c>
      <c r="L94" s="1" t="n">
        <v>40</v>
      </c>
      <c r="M94" s="4" t="e">
        <f aca="false">(L94-#REF!)/#REF!</f>
        <v>#REF!</v>
      </c>
      <c r="N94" s="1" t="n">
        <v>48</v>
      </c>
      <c r="O94" s="4" t="e">
        <f aca="false">(N94-#REF!)/#REF!</f>
        <v>#REF!</v>
      </c>
      <c r="P94" s="1" t="n">
        <v>250</v>
      </c>
      <c r="Q94" s="4" t="e">
        <f aca="false">(P94-#REF!)/#REF!</f>
        <v>#REF!</v>
      </c>
      <c r="R94" s="1" t="n">
        <v>348</v>
      </c>
      <c r="S94" s="4" t="e">
        <f aca="false">(R94-#REF!)/#REF!</f>
        <v>#REF!</v>
      </c>
      <c r="T94" s="1" t="n">
        <f aca="false">R94-N94</f>
        <v>300</v>
      </c>
      <c r="U94" s="4" t="e">
        <f aca="false">(T94-#REF!)/#REF!</f>
        <v>#REF!</v>
      </c>
      <c r="V94" s="1" t="n">
        <v>400</v>
      </c>
      <c r="W94" s="4" t="e">
        <f aca="false">(V94-#REF!)/#REF!</f>
        <v>#REF!</v>
      </c>
      <c r="X94" s="28" t="n">
        <v>0.00459770114942529</v>
      </c>
      <c r="Y94" s="4" t="e">
        <f aca="false">(X94-#REF!)/#REF!</f>
        <v>#REF!</v>
      </c>
      <c r="Z94" s="27" t="n">
        <v>344.145028029059</v>
      </c>
      <c r="AA94" s="4" t="e">
        <f aca="false">(Z94-#REF!)/#REF!</f>
        <v>#REF!</v>
      </c>
      <c r="AB94" s="3" t="n">
        <v>500</v>
      </c>
      <c r="AC94" s="4" t="e">
        <f aca="false">(AB94-#REF!)/#REF!</f>
        <v>#REF!</v>
      </c>
      <c r="AD94" s="25" t="n">
        <v>37.93</v>
      </c>
      <c r="AE94" s="4" t="e">
        <f aca="false">(AD94-#REF!)/#REF!</f>
        <v>#REF!</v>
      </c>
      <c r="AF94" s="4" t="n">
        <v>0.33</v>
      </c>
      <c r="AG94" s="4"/>
    </row>
    <row r="95" customFormat="false" ht="14.25" hidden="false" customHeight="false" outlineLevel="0" collapsed="false">
      <c r="B95" s="1" t="n">
        <v>16</v>
      </c>
      <c r="C95" s="4" t="e">
        <f aca="false">(B95-#REF!)/#REF!</f>
        <v>#REF!</v>
      </c>
      <c r="D95" s="1" t="n">
        <v>2</v>
      </c>
      <c r="E95" s="4" t="e">
        <f aca="false">(D95-#REF!)/#REF!</f>
        <v>#REF!</v>
      </c>
      <c r="F95" s="2" t="n">
        <v>138</v>
      </c>
      <c r="G95" s="4" t="e">
        <f aca="false">(F95-#REF!)/#REF!</f>
        <v>#REF!</v>
      </c>
      <c r="H95" s="2" t="n">
        <v>36.3</v>
      </c>
      <c r="I95" s="4" t="e">
        <f aca="false">(H95-#REF!)/#REF!</f>
        <v>#REF!</v>
      </c>
      <c r="J95" s="4" t="n">
        <v>3.269</v>
      </c>
      <c r="K95" s="4" t="e">
        <f aca="false">(J95-#REF!)/#REF!</f>
        <v>#REF!</v>
      </c>
      <c r="L95" s="1" t="n">
        <v>40</v>
      </c>
      <c r="M95" s="4" t="e">
        <f aca="false">(L95-#REF!)/#REF!</f>
        <v>#REF!</v>
      </c>
      <c r="N95" s="1" t="n">
        <v>48</v>
      </c>
      <c r="O95" s="4" t="e">
        <f aca="false">(N95-#REF!)/#REF!</f>
        <v>#REF!</v>
      </c>
      <c r="P95" s="1" t="n">
        <v>250</v>
      </c>
      <c r="Q95" s="4" t="e">
        <f aca="false">(P95-#REF!)/#REF!</f>
        <v>#REF!</v>
      </c>
      <c r="R95" s="1" t="n">
        <v>348</v>
      </c>
      <c r="S95" s="4" t="e">
        <f aca="false">(R95-#REF!)/#REF!</f>
        <v>#REF!</v>
      </c>
      <c r="T95" s="1" t="n">
        <f aca="false">R95-N95</f>
        <v>300</v>
      </c>
      <c r="U95" s="4" t="e">
        <f aca="false">(T95-#REF!)/#REF!</f>
        <v>#REF!</v>
      </c>
      <c r="V95" s="1" t="n">
        <v>400</v>
      </c>
      <c r="W95" s="4" t="e">
        <f aca="false">(V95-#REF!)/#REF!</f>
        <v>#REF!</v>
      </c>
      <c r="X95" s="28" t="n">
        <v>0.00459770114942529</v>
      </c>
      <c r="Y95" s="4" t="e">
        <f aca="false">(X95-#REF!)/#REF!</f>
        <v>#REF!</v>
      </c>
      <c r="Z95" s="27" t="n">
        <v>370.547928940332</v>
      </c>
      <c r="AA95" s="4" t="e">
        <f aca="false">(Z95-#REF!)/#REF!</f>
        <v>#REF!</v>
      </c>
      <c r="AB95" s="3" t="n">
        <v>500</v>
      </c>
      <c r="AC95" s="4" t="e">
        <f aca="false">(AB95-#REF!)/#REF!</f>
        <v>#REF!</v>
      </c>
      <c r="AD95" s="25" t="n">
        <v>40.84</v>
      </c>
      <c r="AE95" s="4" t="e">
        <f aca="false">(AD95-#REF!)/#REF!</f>
        <v>#REF!</v>
      </c>
      <c r="AF95" s="4" t="n">
        <v>0.38</v>
      </c>
      <c r="AG95" s="4"/>
    </row>
    <row r="96" customFormat="false" ht="14.25" hidden="false" customHeight="false" outlineLevel="0" collapsed="false">
      <c r="A96" s="0" t="s">
        <v>44</v>
      </c>
      <c r="B96" s="1" t="n">
        <v>16</v>
      </c>
      <c r="C96" s="4" t="e">
        <f aca="false">(B96-#REF!)/#REF!</f>
        <v>#REF!</v>
      </c>
      <c r="D96" s="1" t="n">
        <v>2</v>
      </c>
      <c r="E96" s="4" t="e">
        <f aca="false">(D96-#REF!)/#REF!</f>
        <v>#REF!</v>
      </c>
      <c r="F96" s="2" t="n">
        <v>168</v>
      </c>
      <c r="G96" s="4" t="e">
        <f aca="false">(F96-#REF!)/#REF!</f>
        <v>#REF!</v>
      </c>
      <c r="H96" s="2" t="n">
        <v>36.3</v>
      </c>
      <c r="I96" s="4" t="e">
        <f aca="false">(H96-#REF!)/#REF!</f>
        <v>#REF!</v>
      </c>
      <c r="J96" s="4" t="n">
        <v>3.269</v>
      </c>
      <c r="K96" s="4" t="e">
        <f aca="false">(J96-#REF!)/#REF!</f>
        <v>#REF!</v>
      </c>
      <c r="L96" s="1" t="n">
        <v>25</v>
      </c>
      <c r="M96" s="4" t="e">
        <f aca="false">(L96-#REF!)/#REF!</f>
        <v>#REF!</v>
      </c>
      <c r="N96" s="1" t="n">
        <v>33</v>
      </c>
      <c r="O96" s="4" t="e">
        <f aca="false">(N96-#REF!)/#REF!</f>
        <v>#REF!</v>
      </c>
      <c r="P96" s="1" t="n">
        <v>250</v>
      </c>
      <c r="Q96" s="4" t="e">
        <f aca="false">(P96-#REF!)/#REF!</f>
        <v>#REF!</v>
      </c>
      <c r="R96" s="1" t="n">
        <v>333</v>
      </c>
      <c r="S96" s="4" t="e">
        <f aca="false">(R96-#REF!)/#REF!</f>
        <v>#REF!</v>
      </c>
      <c r="T96" s="1" t="n">
        <f aca="false">R96-N96</f>
        <v>300</v>
      </c>
      <c r="U96" s="4" t="e">
        <f aca="false">(T96-#REF!)/#REF!</f>
        <v>#REF!</v>
      </c>
      <c r="V96" s="1" t="n">
        <v>400</v>
      </c>
      <c r="W96" s="4" t="e">
        <f aca="false">(V96-#REF!)/#REF!</f>
        <v>#REF!</v>
      </c>
      <c r="X96" s="28" t="n">
        <v>0.00480480480480481</v>
      </c>
      <c r="Y96" s="4" t="e">
        <f aca="false">(X96-#REF!)/#REF!</f>
        <v>#REF!</v>
      </c>
      <c r="Z96" s="27" t="n">
        <v>211.76759699969</v>
      </c>
      <c r="AA96" s="4" t="e">
        <f aca="false">(Z96-#REF!)/#REF!</f>
        <v>#REF!</v>
      </c>
      <c r="AB96" s="3" t="n">
        <v>500</v>
      </c>
      <c r="AC96" s="4" t="e">
        <f aca="false">(AB96-#REF!)/#REF!</f>
        <v>#REF!</v>
      </c>
      <c r="AD96" s="25" t="n">
        <v>23.34</v>
      </c>
      <c r="AE96" s="4" t="e">
        <f aca="false">(AD96-#REF!)/#REF!</f>
        <v>#REF!</v>
      </c>
      <c r="AF96" s="4" t="n">
        <v>0.15</v>
      </c>
      <c r="AG96" s="4"/>
    </row>
    <row r="97" customFormat="false" ht="14.25" hidden="false" customHeight="false" outlineLevel="0" collapsed="false">
      <c r="B97" s="1" t="n">
        <v>16</v>
      </c>
      <c r="C97" s="4" t="e">
        <f aca="false">(B97-#REF!)/#REF!</f>
        <v>#REF!</v>
      </c>
      <c r="D97" s="1" t="n">
        <v>2</v>
      </c>
      <c r="E97" s="4" t="e">
        <f aca="false">(D97-#REF!)/#REF!</f>
        <v>#REF!</v>
      </c>
      <c r="F97" s="2" t="n">
        <v>168</v>
      </c>
      <c r="G97" s="4" t="e">
        <f aca="false">(F97-#REF!)/#REF!</f>
        <v>#REF!</v>
      </c>
      <c r="H97" s="2" t="n">
        <v>36.3</v>
      </c>
      <c r="I97" s="4" t="e">
        <f aca="false">(H97-#REF!)/#REF!</f>
        <v>#REF!</v>
      </c>
      <c r="J97" s="4" t="n">
        <v>3.269</v>
      </c>
      <c r="K97" s="4" t="e">
        <f aca="false">(J97-#REF!)/#REF!</f>
        <v>#REF!</v>
      </c>
      <c r="L97" s="1" t="n">
        <v>25</v>
      </c>
      <c r="M97" s="4" t="e">
        <f aca="false">(L97-#REF!)/#REF!</f>
        <v>#REF!</v>
      </c>
      <c r="N97" s="1" t="n">
        <v>33</v>
      </c>
      <c r="O97" s="4" t="e">
        <f aca="false">(N97-#REF!)/#REF!</f>
        <v>#REF!</v>
      </c>
      <c r="P97" s="1" t="n">
        <v>250</v>
      </c>
      <c r="Q97" s="4" t="e">
        <f aca="false">(P97-#REF!)/#REF!</f>
        <v>#REF!</v>
      </c>
      <c r="R97" s="1" t="n">
        <v>333</v>
      </c>
      <c r="S97" s="4" t="e">
        <f aca="false">(R97-#REF!)/#REF!</f>
        <v>#REF!</v>
      </c>
      <c r="T97" s="1" t="n">
        <f aca="false">R97-N97</f>
        <v>300</v>
      </c>
      <c r="U97" s="4" t="e">
        <f aca="false">(T97-#REF!)/#REF!</f>
        <v>#REF!</v>
      </c>
      <c r="V97" s="1" t="n">
        <v>400</v>
      </c>
      <c r="W97" s="4" t="e">
        <f aca="false">(V97-#REF!)/#REF!</f>
        <v>#REF!</v>
      </c>
      <c r="X97" s="28" t="n">
        <v>0.00480480480480481</v>
      </c>
      <c r="Y97" s="4" t="e">
        <f aca="false">(X97-#REF!)/#REF!</f>
        <v>#REF!</v>
      </c>
      <c r="Z97" s="27" t="n">
        <v>238.261229529214</v>
      </c>
      <c r="AA97" s="4" t="e">
        <f aca="false">(Z97-#REF!)/#REF!</f>
        <v>#REF!</v>
      </c>
      <c r="AB97" s="3" t="n">
        <v>500</v>
      </c>
      <c r="AC97" s="4" t="e">
        <f aca="false">(AB97-#REF!)/#REF!</f>
        <v>#REF!</v>
      </c>
      <c r="AD97" s="25" t="n">
        <v>26.26</v>
      </c>
      <c r="AE97" s="4" t="e">
        <f aca="false">(AD97-#REF!)/#REF!</f>
        <v>#REF!</v>
      </c>
      <c r="AF97" s="4" t="n">
        <v>0.18</v>
      </c>
      <c r="AG97" s="4"/>
    </row>
    <row r="98" customFormat="false" ht="14.25" hidden="false" customHeight="false" outlineLevel="0" collapsed="false">
      <c r="B98" s="1" t="n">
        <v>16</v>
      </c>
      <c r="C98" s="4" t="e">
        <f aca="false">(B98-#REF!)/#REF!</f>
        <v>#REF!</v>
      </c>
      <c r="D98" s="1" t="n">
        <v>2</v>
      </c>
      <c r="E98" s="4" t="e">
        <f aca="false">(D98-#REF!)/#REF!</f>
        <v>#REF!</v>
      </c>
      <c r="F98" s="2" t="n">
        <v>168</v>
      </c>
      <c r="G98" s="4" t="e">
        <f aca="false">(F98-#REF!)/#REF!</f>
        <v>#REF!</v>
      </c>
      <c r="H98" s="2" t="n">
        <v>36.3</v>
      </c>
      <c r="I98" s="4" t="e">
        <f aca="false">(H98-#REF!)/#REF!</f>
        <v>#REF!</v>
      </c>
      <c r="J98" s="4" t="n">
        <v>3.269</v>
      </c>
      <c r="K98" s="4" t="e">
        <f aca="false">(J98-#REF!)/#REF!</f>
        <v>#REF!</v>
      </c>
      <c r="L98" s="1" t="n">
        <v>25</v>
      </c>
      <c r="M98" s="4" t="e">
        <f aca="false">(L98-#REF!)/#REF!</f>
        <v>#REF!</v>
      </c>
      <c r="N98" s="1" t="n">
        <v>33</v>
      </c>
      <c r="O98" s="4" t="e">
        <f aca="false">(N98-#REF!)/#REF!</f>
        <v>#REF!</v>
      </c>
      <c r="P98" s="1" t="n">
        <v>250</v>
      </c>
      <c r="Q98" s="4" t="e">
        <f aca="false">(P98-#REF!)/#REF!</f>
        <v>#REF!</v>
      </c>
      <c r="R98" s="1" t="n">
        <v>333</v>
      </c>
      <c r="S98" s="4" t="e">
        <f aca="false">(R98-#REF!)/#REF!</f>
        <v>#REF!</v>
      </c>
      <c r="T98" s="1" t="n">
        <f aca="false">R98-N98</f>
        <v>300</v>
      </c>
      <c r="U98" s="4" t="e">
        <f aca="false">(T98-#REF!)/#REF!</f>
        <v>#REF!</v>
      </c>
      <c r="V98" s="1" t="n">
        <v>400</v>
      </c>
      <c r="W98" s="4" t="e">
        <f aca="false">(V98-#REF!)/#REF!</f>
        <v>#REF!</v>
      </c>
      <c r="X98" s="28" t="n">
        <v>0.00480480480480481</v>
      </c>
      <c r="Y98" s="4" t="e">
        <f aca="false">(X98-#REF!)/#REF!</f>
        <v>#REF!</v>
      </c>
      <c r="Z98" s="27" t="n">
        <v>264.709496249612</v>
      </c>
      <c r="AA98" s="4" t="e">
        <f aca="false">(Z98-#REF!)/#REF!</f>
        <v>#REF!</v>
      </c>
      <c r="AB98" s="3" t="n">
        <v>500</v>
      </c>
      <c r="AC98" s="4" t="e">
        <f aca="false">(AB98-#REF!)/#REF!</f>
        <v>#REF!</v>
      </c>
      <c r="AD98" s="25" t="n">
        <v>29.175</v>
      </c>
      <c r="AE98" s="4" t="e">
        <f aca="false">(AD98-#REF!)/#REF!</f>
        <v>#REF!</v>
      </c>
      <c r="AF98" s="4" t="n">
        <v>0.2</v>
      </c>
      <c r="AG98" s="4"/>
    </row>
    <row r="99" customFormat="false" ht="14.25" hidden="false" customHeight="false" outlineLevel="0" collapsed="false">
      <c r="B99" s="1" t="n">
        <v>16</v>
      </c>
      <c r="C99" s="4" t="e">
        <f aca="false">(B99-#REF!)/#REF!</f>
        <v>#REF!</v>
      </c>
      <c r="D99" s="1" t="n">
        <v>2</v>
      </c>
      <c r="E99" s="4" t="e">
        <f aca="false">(D99-#REF!)/#REF!</f>
        <v>#REF!</v>
      </c>
      <c r="F99" s="2" t="n">
        <v>168</v>
      </c>
      <c r="G99" s="4" t="e">
        <f aca="false">(F99-#REF!)/#REF!</f>
        <v>#REF!</v>
      </c>
      <c r="H99" s="2" t="n">
        <v>36.3</v>
      </c>
      <c r="I99" s="4" t="e">
        <f aca="false">(H99-#REF!)/#REF!</f>
        <v>#REF!</v>
      </c>
      <c r="J99" s="4" t="n">
        <v>3.269</v>
      </c>
      <c r="K99" s="4" t="e">
        <f aca="false">(J99-#REF!)/#REF!</f>
        <v>#REF!</v>
      </c>
      <c r="L99" s="1" t="n">
        <v>25</v>
      </c>
      <c r="M99" s="4" t="e">
        <f aca="false">(L99-#REF!)/#REF!</f>
        <v>#REF!</v>
      </c>
      <c r="N99" s="1" t="n">
        <v>33</v>
      </c>
      <c r="O99" s="4" t="e">
        <f aca="false">(N99-#REF!)/#REF!</f>
        <v>#REF!</v>
      </c>
      <c r="P99" s="1" t="n">
        <v>250</v>
      </c>
      <c r="Q99" s="4" t="e">
        <f aca="false">(P99-#REF!)/#REF!</f>
        <v>#REF!</v>
      </c>
      <c r="R99" s="1" t="n">
        <v>333</v>
      </c>
      <c r="S99" s="4" t="e">
        <f aca="false">(R99-#REF!)/#REF!</f>
        <v>#REF!</v>
      </c>
      <c r="T99" s="1" t="n">
        <f aca="false">R99-N99</f>
        <v>300</v>
      </c>
      <c r="U99" s="4" t="e">
        <f aca="false">(T99-#REF!)/#REF!</f>
        <v>#REF!</v>
      </c>
      <c r="V99" s="1" t="n">
        <v>400</v>
      </c>
      <c r="W99" s="4" t="e">
        <f aca="false">(V99-#REF!)/#REF!</f>
        <v>#REF!</v>
      </c>
      <c r="X99" s="28" t="n">
        <v>0.00480480480480481</v>
      </c>
      <c r="Y99" s="4" t="e">
        <f aca="false">(X99-#REF!)/#REF!</f>
        <v>#REF!</v>
      </c>
      <c r="Z99" s="27" t="n">
        <v>291.157762970011</v>
      </c>
      <c r="AA99" s="4" t="e">
        <f aca="false">(Z99-#REF!)/#REF!</f>
        <v>#REF!</v>
      </c>
      <c r="AB99" s="3" t="n">
        <v>500</v>
      </c>
      <c r="AC99" s="4" t="e">
        <f aca="false">(AB99-#REF!)/#REF!</f>
        <v>#REF!</v>
      </c>
      <c r="AD99" s="25" t="n">
        <v>32.09</v>
      </c>
      <c r="AE99" s="4" t="e">
        <f aca="false">(AD99-#REF!)/#REF!</f>
        <v>#REF!</v>
      </c>
      <c r="AF99" s="4" t="n">
        <v>0.23</v>
      </c>
      <c r="AG99" s="4"/>
    </row>
    <row r="100" customFormat="false" ht="14.25" hidden="false" customHeight="false" outlineLevel="0" collapsed="false">
      <c r="B100" s="1" t="n">
        <v>16</v>
      </c>
      <c r="C100" s="4" t="e">
        <f aca="false">(B100-#REF!)/#REF!</f>
        <v>#REF!</v>
      </c>
      <c r="D100" s="1" t="n">
        <v>2</v>
      </c>
      <c r="E100" s="4" t="e">
        <f aca="false">(D100-#REF!)/#REF!</f>
        <v>#REF!</v>
      </c>
      <c r="F100" s="2" t="n">
        <v>168</v>
      </c>
      <c r="G100" s="4" t="e">
        <f aca="false">(F100-#REF!)/#REF!</f>
        <v>#REF!</v>
      </c>
      <c r="H100" s="2" t="n">
        <v>36.3</v>
      </c>
      <c r="I100" s="4" t="e">
        <f aca="false">(H100-#REF!)/#REF!</f>
        <v>#REF!</v>
      </c>
      <c r="J100" s="4" t="n">
        <v>3.269</v>
      </c>
      <c r="K100" s="4" t="e">
        <f aca="false">(J100-#REF!)/#REF!</f>
        <v>#REF!</v>
      </c>
      <c r="L100" s="1" t="n">
        <v>25</v>
      </c>
      <c r="M100" s="4" t="e">
        <f aca="false">(L100-#REF!)/#REF!</f>
        <v>#REF!</v>
      </c>
      <c r="N100" s="1" t="n">
        <v>33</v>
      </c>
      <c r="O100" s="4" t="e">
        <f aca="false">(N100-#REF!)/#REF!</f>
        <v>#REF!</v>
      </c>
      <c r="P100" s="1" t="n">
        <v>250</v>
      </c>
      <c r="Q100" s="4" t="e">
        <f aca="false">(P100-#REF!)/#REF!</f>
        <v>#REF!</v>
      </c>
      <c r="R100" s="1" t="n">
        <v>333</v>
      </c>
      <c r="S100" s="4" t="e">
        <f aca="false">(R100-#REF!)/#REF!</f>
        <v>#REF!</v>
      </c>
      <c r="T100" s="1" t="n">
        <f aca="false">R100-N100</f>
        <v>300</v>
      </c>
      <c r="U100" s="4" t="e">
        <f aca="false">(T100-#REF!)/#REF!</f>
        <v>#REF!</v>
      </c>
      <c r="V100" s="1" t="n">
        <v>400</v>
      </c>
      <c r="W100" s="4" t="e">
        <f aca="false">(V100-#REF!)/#REF!</f>
        <v>#REF!</v>
      </c>
      <c r="X100" s="28" t="n">
        <v>0.00480480480480481</v>
      </c>
      <c r="Y100" s="4" t="e">
        <f aca="false">(X100-#REF!)/#REF!</f>
        <v>#REF!</v>
      </c>
      <c r="Z100" s="27" t="n">
        <v>317.651395499535</v>
      </c>
      <c r="AA100" s="4" t="e">
        <f aca="false">(Z100-#REF!)/#REF!</f>
        <v>#REF!</v>
      </c>
      <c r="AB100" s="3" t="n">
        <v>500</v>
      </c>
      <c r="AC100" s="4" t="e">
        <f aca="false">(AB100-#REF!)/#REF!</f>
        <v>#REF!</v>
      </c>
      <c r="AD100" s="25" t="n">
        <v>35.01</v>
      </c>
      <c r="AE100" s="4" t="e">
        <f aca="false">(AD100-#REF!)/#REF!</f>
        <v>#REF!</v>
      </c>
      <c r="AF100" s="4" t="n">
        <v>0.25</v>
      </c>
      <c r="AG100" s="4"/>
    </row>
    <row r="101" customFormat="false" ht="14.25" hidden="false" customHeight="false" outlineLevel="0" collapsed="false">
      <c r="B101" s="1" t="n">
        <v>16</v>
      </c>
      <c r="C101" s="4" t="e">
        <f aca="false">(B101-#REF!)/#REF!</f>
        <v>#REF!</v>
      </c>
      <c r="D101" s="1" t="n">
        <v>2</v>
      </c>
      <c r="E101" s="4" t="e">
        <f aca="false">(D101-#REF!)/#REF!</f>
        <v>#REF!</v>
      </c>
      <c r="F101" s="2" t="n">
        <v>168</v>
      </c>
      <c r="G101" s="4" t="e">
        <f aca="false">(F101-#REF!)/#REF!</f>
        <v>#REF!</v>
      </c>
      <c r="H101" s="2" t="n">
        <v>36.3</v>
      </c>
      <c r="I101" s="4" t="e">
        <f aca="false">(H101-#REF!)/#REF!</f>
        <v>#REF!</v>
      </c>
      <c r="J101" s="4" t="n">
        <v>3.269</v>
      </c>
      <c r="K101" s="4" t="e">
        <f aca="false">(J101-#REF!)/#REF!</f>
        <v>#REF!</v>
      </c>
      <c r="L101" s="1" t="n">
        <v>25</v>
      </c>
      <c r="M101" s="4" t="e">
        <f aca="false">(L101-#REF!)/#REF!</f>
        <v>#REF!</v>
      </c>
      <c r="N101" s="1" t="n">
        <v>33</v>
      </c>
      <c r="O101" s="4" t="e">
        <f aca="false">(N101-#REF!)/#REF!</f>
        <v>#REF!</v>
      </c>
      <c r="P101" s="1" t="n">
        <v>250</v>
      </c>
      <c r="Q101" s="4" t="e">
        <f aca="false">(P101-#REF!)/#REF!</f>
        <v>#REF!</v>
      </c>
      <c r="R101" s="1" t="n">
        <v>333</v>
      </c>
      <c r="S101" s="4" t="e">
        <f aca="false">(R101-#REF!)/#REF!</f>
        <v>#REF!</v>
      </c>
      <c r="T101" s="1" t="n">
        <f aca="false">R101-N101</f>
        <v>300</v>
      </c>
      <c r="U101" s="4" t="e">
        <f aca="false">(T101-#REF!)/#REF!</f>
        <v>#REF!</v>
      </c>
      <c r="V101" s="1" t="n">
        <v>400</v>
      </c>
      <c r="W101" s="4" t="e">
        <f aca="false">(V101-#REF!)/#REF!</f>
        <v>#REF!</v>
      </c>
      <c r="X101" s="28" t="n">
        <v>0.00480480480480481</v>
      </c>
      <c r="Y101" s="4" t="e">
        <f aca="false">(X101-#REF!)/#REF!</f>
        <v>#REF!</v>
      </c>
      <c r="Z101" s="27" t="n">
        <v>344.145028029059</v>
      </c>
      <c r="AA101" s="4" t="e">
        <f aca="false">(Z101-#REF!)/#REF!</f>
        <v>#REF!</v>
      </c>
      <c r="AB101" s="3" t="n">
        <v>500</v>
      </c>
      <c r="AC101" s="4" t="e">
        <f aca="false">(AB101-#REF!)/#REF!</f>
        <v>#REF!</v>
      </c>
      <c r="AD101" s="25" t="n">
        <v>37.93</v>
      </c>
      <c r="AE101" s="4" t="e">
        <f aca="false">(AD101-#REF!)/#REF!</f>
        <v>#REF!</v>
      </c>
      <c r="AF101" s="4" t="n">
        <v>0.3</v>
      </c>
      <c r="AG101" s="4"/>
    </row>
    <row r="102" customFormat="false" ht="14.25" hidden="false" customHeight="false" outlineLevel="0" collapsed="false">
      <c r="B102" s="1" t="n">
        <v>16</v>
      </c>
      <c r="C102" s="4" t="e">
        <f aca="false">(B102-#REF!)/#REF!</f>
        <v>#REF!</v>
      </c>
      <c r="D102" s="1" t="n">
        <v>2</v>
      </c>
      <c r="E102" s="4" t="e">
        <f aca="false">(D102-#REF!)/#REF!</f>
        <v>#REF!</v>
      </c>
      <c r="F102" s="2" t="n">
        <v>168</v>
      </c>
      <c r="G102" s="4" t="e">
        <f aca="false">(F102-#REF!)/#REF!</f>
        <v>#REF!</v>
      </c>
      <c r="H102" s="2" t="n">
        <v>36.3</v>
      </c>
      <c r="I102" s="4" t="e">
        <f aca="false">(H102-#REF!)/#REF!</f>
        <v>#REF!</v>
      </c>
      <c r="J102" s="4" t="n">
        <v>3.269</v>
      </c>
      <c r="K102" s="4" t="e">
        <f aca="false">(J102-#REF!)/#REF!</f>
        <v>#REF!</v>
      </c>
      <c r="L102" s="1" t="n">
        <v>25</v>
      </c>
      <c r="M102" s="4" t="e">
        <f aca="false">(L102-#REF!)/#REF!</f>
        <v>#REF!</v>
      </c>
      <c r="N102" s="1" t="n">
        <v>33</v>
      </c>
      <c r="O102" s="4" t="e">
        <f aca="false">(N102-#REF!)/#REF!</f>
        <v>#REF!</v>
      </c>
      <c r="P102" s="1" t="n">
        <v>250</v>
      </c>
      <c r="Q102" s="4" t="e">
        <f aca="false">(P102-#REF!)/#REF!</f>
        <v>#REF!</v>
      </c>
      <c r="R102" s="1" t="n">
        <v>333</v>
      </c>
      <c r="S102" s="4" t="e">
        <f aca="false">(R102-#REF!)/#REF!</f>
        <v>#REF!</v>
      </c>
      <c r="T102" s="1" t="n">
        <f aca="false">R102-N102</f>
        <v>300</v>
      </c>
      <c r="U102" s="4" t="e">
        <f aca="false">(T102-#REF!)/#REF!</f>
        <v>#REF!</v>
      </c>
      <c r="V102" s="1" t="n">
        <v>400</v>
      </c>
      <c r="W102" s="4" t="e">
        <f aca="false">(V102-#REF!)/#REF!</f>
        <v>#REF!</v>
      </c>
      <c r="X102" s="28" t="n">
        <v>0.00480480480480481</v>
      </c>
      <c r="Y102" s="4" t="e">
        <f aca="false">(X102-#REF!)/#REF!</f>
        <v>#REF!</v>
      </c>
      <c r="Z102" s="27" t="n">
        <v>370.547928940332</v>
      </c>
      <c r="AA102" s="4" t="e">
        <f aca="false">(Z102-#REF!)/#REF!</f>
        <v>#REF!</v>
      </c>
      <c r="AB102" s="3" t="n">
        <v>500</v>
      </c>
      <c r="AC102" s="4" t="e">
        <f aca="false">(AB102-#REF!)/#REF!</f>
        <v>#REF!</v>
      </c>
      <c r="AD102" s="25" t="n">
        <v>40.84</v>
      </c>
      <c r="AE102" s="4" t="e">
        <f aca="false">(AD102-#REF!)/#REF!</f>
        <v>#REF!</v>
      </c>
      <c r="AF102" s="4" t="n">
        <v>0.3</v>
      </c>
      <c r="AG102" s="4"/>
    </row>
    <row r="103" customFormat="false" ht="14.25" hidden="false" customHeight="false" outlineLevel="0" collapsed="false">
      <c r="A103" s="0" t="s">
        <v>45</v>
      </c>
      <c r="B103" s="1" t="n">
        <v>16</v>
      </c>
      <c r="C103" s="4" t="e">
        <f aca="false">(B103-#REF!)/#REF!</f>
        <v>#REF!</v>
      </c>
      <c r="D103" s="1" t="n">
        <v>2</v>
      </c>
      <c r="E103" s="4" t="e">
        <f aca="false">(D103-#REF!)/#REF!</f>
        <v>#REF!</v>
      </c>
      <c r="F103" s="2" t="n">
        <v>168</v>
      </c>
      <c r="G103" s="4" t="e">
        <f aca="false">(F103-#REF!)/#REF!</f>
        <v>#REF!</v>
      </c>
      <c r="H103" s="2" t="n">
        <v>36.3</v>
      </c>
      <c r="I103" s="4" t="e">
        <f aca="false">(H103-#REF!)/#REF!</f>
        <v>#REF!</v>
      </c>
      <c r="J103" s="4" t="n">
        <v>3.269</v>
      </c>
      <c r="K103" s="4" t="e">
        <f aca="false">(J103-#REF!)/#REF!</f>
        <v>#REF!</v>
      </c>
      <c r="L103" s="1" t="n">
        <v>25</v>
      </c>
      <c r="M103" s="4" t="e">
        <f aca="false">(L103-#REF!)/#REF!</f>
        <v>#REF!</v>
      </c>
      <c r="N103" s="1" t="n">
        <v>33</v>
      </c>
      <c r="O103" s="4" t="e">
        <f aca="false">(N103-#REF!)/#REF!</f>
        <v>#REF!</v>
      </c>
      <c r="P103" s="1" t="n">
        <v>250</v>
      </c>
      <c r="Q103" s="4" t="e">
        <f aca="false">(P103-#REF!)/#REF!</f>
        <v>#REF!</v>
      </c>
      <c r="R103" s="1" t="n">
        <v>333</v>
      </c>
      <c r="S103" s="4" t="e">
        <f aca="false">(R103-#REF!)/#REF!</f>
        <v>#REF!</v>
      </c>
      <c r="T103" s="1" t="n">
        <f aca="false">R103-N103</f>
        <v>300</v>
      </c>
      <c r="U103" s="4" t="e">
        <f aca="false">(T103-#REF!)/#REF!</f>
        <v>#REF!</v>
      </c>
      <c r="V103" s="1" t="n">
        <v>400</v>
      </c>
      <c r="W103" s="4" t="e">
        <f aca="false">(V103-#REF!)/#REF!</f>
        <v>#REF!</v>
      </c>
      <c r="X103" s="28" t="n">
        <v>0.00480480480480481</v>
      </c>
      <c r="Y103" s="4" t="e">
        <f aca="false">(X103-#REF!)/#REF!</f>
        <v>#REF!</v>
      </c>
      <c r="Z103" s="27" t="n">
        <v>185.273964470166</v>
      </c>
      <c r="AA103" s="4" t="e">
        <f aca="false">(Z103-#REF!)/#REF!</f>
        <v>#REF!</v>
      </c>
      <c r="AB103" s="3" t="n">
        <v>500</v>
      </c>
      <c r="AC103" s="4" t="e">
        <f aca="false">(AB103-#REF!)/#REF!</f>
        <v>#REF!</v>
      </c>
      <c r="AD103" s="25" t="n">
        <v>20.42</v>
      </c>
      <c r="AE103" s="4" t="e">
        <f aca="false">(AD103-#REF!)/#REF!</f>
        <v>#REF!</v>
      </c>
      <c r="AF103" s="4" t="n">
        <v>0.15</v>
      </c>
      <c r="AG103" s="4"/>
    </row>
    <row r="104" customFormat="false" ht="14.25" hidden="false" customHeight="false" outlineLevel="0" collapsed="false">
      <c r="B104" s="1" t="n">
        <v>16</v>
      </c>
      <c r="C104" s="4" t="e">
        <f aca="false">(B104-#REF!)/#REF!</f>
        <v>#REF!</v>
      </c>
      <c r="D104" s="1" t="n">
        <v>2</v>
      </c>
      <c r="E104" s="4" t="e">
        <f aca="false">(D104-#REF!)/#REF!</f>
        <v>#REF!</v>
      </c>
      <c r="F104" s="2" t="n">
        <v>168</v>
      </c>
      <c r="G104" s="4" t="e">
        <f aca="false">(F104-#REF!)/#REF!</f>
        <v>#REF!</v>
      </c>
      <c r="H104" s="2" t="n">
        <v>36.3</v>
      </c>
      <c r="I104" s="4" t="e">
        <f aca="false">(H104-#REF!)/#REF!</f>
        <v>#REF!</v>
      </c>
      <c r="J104" s="4" t="n">
        <v>3.269</v>
      </c>
      <c r="K104" s="4" t="e">
        <f aca="false">(J104-#REF!)/#REF!</f>
        <v>#REF!</v>
      </c>
      <c r="L104" s="1" t="n">
        <v>25</v>
      </c>
      <c r="M104" s="4" t="e">
        <f aca="false">(L104-#REF!)/#REF!</f>
        <v>#REF!</v>
      </c>
      <c r="N104" s="1" t="n">
        <v>33</v>
      </c>
      <c r="O104" s="4" t="e">
        <f aca="false">(N104-#REF!)/#REF!</f>
        <v>#REF!</v>
      </c>
      <c r="P104" s="1" t="n">
        <v>250</v>
      </c>
      <c r="Q104" s="4" t="e">
        <f aca="false">(P104-#REF!)/#REF!</f>
        <v>#REF!</v>
      </c>
      <c r="R104" s="1" t="n">
        <v>333</v>
      </c>
      <c r="S104" s="4" t="e">
        <f aca="false">(R104-#REF!)/#REF!</f>
        <v>#REF!</v>
      </c>
      <c r="T104" s="1" t="n">
        <f aca="false">R104-N104</f>
        <v>300</v>
      </c>
      <c r="U104" s="4" t="e">
        <f aca="false">(T104-#REF!)/#REF!</f>
        <v>#REF!</v>
      </c>
      <c r="V104" s="1" t="n">
        <v>400</v>
      </c>
      <c r="W104" s="4" t="e">
        <f aca="false">(V104-#REF!)/#REF!</f>
        <v>#REF!</v>
      </c>
      <c r="X104" s="28" t="n">
        <v>0.00480480480480481</v>
      </c>
      <c r="Y104" s="4" t="e">
        <f aca="false">(X104-#REF!)/#REF!</f>
        <v>#REF!</v>
      </c>
      <c r="Z104" s="27" t="n">
        <v>211.76759699969</v>
      </c>
      <c r="AA104" s="4" t="e">
        <f aca="false">(Z104-#REF!)/#REF!</f>
        <v>#REF!</v>
      </c>
      <c r="AB104" s="3" t="n">
        <v>500</v>
      </c>
      <c r="AC104" s="4" t="e">
        <f aca="false">(AB104-#REF!)/#REF!</f>
        <v>#REF!</v>
      </c>
      <c r="AD104" s="25" t="n">
        <v>23.34</v>
      </c>
      <c r="AE104" s="4" t="e">
        <f aca="false">(AD104-#REF!)/#REF!</f>
        <v>#REF!</v>
      </c>
      <c r="AF104" s="4" t="n">
        <v>0.18</v>
      </c>
      <c r="AG104" s="4"/>
    </row>
    <row r="105" customFormat="false" ht="14.25" hidden="false" customHeight="false" outlineLevel="0" collapsed="false">
      <c r="B105" s="1" t="n">
        <v>16</v>
      </c>
      <c r="C105" s="4" t="e">
        <f aca="false">(B105-#REF!)/#REF!</f>
        <v>#REF!</v>
      </c>
      <c r="D105" s="1" t="n">
        <v>2</v>
      </c>
      <c r="E105" s="4" t="e">
        <f aca="false">(D105-#REF!)/#REF!</f>
        <v>#REF!</v>
      </c>
      <c r="F105" s="2" t="n">
        <v>168</v>
      </c>
      <c r="G105" s="4" t="e">
        <f aca="false">(F105-#REF!)/#REF!</f>
        <v>#REF!</v>
      </c>
      <c r="H105" s="2" t="n">
        <v>36.3</v>
      </c>
      <c r="I105" s="4" t="e">
        <f aca="false">(H105-#REF!)/#REF!</f>
        <v>#REF!</v>
      </c>
      <c r="J105" s="4" t="n">
        <v>3.269</v>
      </c>
      <c r="K105" s="4" t="e">
        <f aca="false">(J105-#REF!)/#REF!</f>
        <v>#REF!</v>
      </c>
      <c r="L105" s="1" t="n">
        <v>25</v>
      </c>
      <c r="M105" s="4" t="e">
        <f aca="false">(L105-#REF!)/#REF!</f>
        <v>#REF!</v>
      </c>
      <c r="N105" s="1" t="n">
        <v>33</v>
      </c>
      <c r="O105" s="4" t="e">
        <f aca="false">(N105-#REF!)/#REF!</f>
        <v>#REF!</v>
      </c>
      <c r="P105" s="1" t="n">
        <v>250</v>
      </c>
      <c r="Q105" s="4" t="e">
        <f aca="false">(P105-#REF!)/#REF!</f>
        <v>#REF!</v>
      </c>
      <c r="R105" s="1" t="n">
        <v>333</v>
      </c>
      <c r="S105" s="4" t="e">
        <f aca="false">(R105-#REF!)/#REF!</f>
        <v>#REF!</v>
      </c>
      <c r="T105" s="1" t="n">
        <f aca="false">R105-N105</f>
        <v>300</v>
      </c>
      <c r="U105" s="4" t="e">
        <f aca="false">(T105-#REF!)/#REF!</f>
        <v>#REF!</v>
      </c>
      <c r="V105" s="1" t="n">
        <v>400</v>
      </c>
      <c r="W105" s="4" t="e">
        <f aca="false">(V105-#REF!)/#REF!</f>
        <v>#REF!</v>
      </c>
      <c r="X105" s="28" t="n">
        <v>0.00480480480480481</v>
      </c>
      <c r="Y105" s="4" t="e">
        <f aca="false">(X105-#REF!)/#REF!</f>
        <v>#REF!</v>
      </c>
      <c r="Z105" s="27" t="n">
        <v>238.261229529214</v>
      </c>
      <c r="AA105" s="4" t="e">
        <f aca="false">(Z105-#REF!)/#REF!</f>
        <v>#REF!</v>
      </c>
      <c r="AB105" s="3" t="n">
        <v>500</v>
      </c>
      <c r="AC105" s="4" t="e">
        <f aca="false">(AB105-#REF!)/#REF!</f>
        <v>#REF!</v>
      </c>
      <c r="AD105" s="25" t="n">
        <v>26.26</v>
      </c>
      <c r="AE105" s="4" t="e">
        <f aca="false">(AD105-#REF!)/#REF!</f>
        <v>#REF!</v>
      </c>
      <c r="AF105" s="4" t="n">
        <v>0.18</v>
      </c>
      <c r="AG105" s="4"/>
    </row>
    <row r="106" customFormat="false" ht="14.25" hidden="false" customHeight="false" outlineLevel="0" collapsed="false">
      <c r="B106" s="1" t="n">
        <v>16</v>
      </c>
      <c r="C106" s="4" t="e">
        <f aca="false">(B106-#REF!)/#REF!</f>
        <v>#REF!</v>
      </c>
      <c r="D106" s="1" t="n">
        <v>2</v>
      </c>
      <c r="E106" s="4" t="e">
        <f aca="false">(D106-#REF!)/#REF!</f>
        <v>#REF!</v>
      </c>
      <c r="F106" s="2" t="n">
        <v>168</v>
      </c>
      <c r="G106" s="4" t="e">
        <f aca="false">(F106-#REF!)/#REF!</f>
        <v>#REF!</v>
      </c>
      <c r="H106" s="2" t="n">
        <v>36.3</v>
      </c>
      <c r="I106" s="4" t="e">
        <f aca="false">(H106-#REF!)/#REF!</f>
        <v>#REF!</v>
      </c>
      <c r="J106" s="4" t="n">
        <v>3.269</v>
      </c>
      <c r="K106" s="4" t="e">
        <f aca="false">(J106-#REF!)/#REF!</f>
        <v>#REF!</v>
      </c>
      <c r="L106" s="1" t="n">
        <v>25</v>
      </c>
      <c r="M106" s="4" t="e">
        <f aca="false">(L106-#REF!)/#REF!</f>
        <v>#REF!</v>
      </c>
      <c r="N106" s="1" t="n">
        <v>33</v>
      </c>
      <c r="O106" s="4" t="e">
        <f aca="false">(N106-#REF!)/#REF!</f>
        <v>#REF!</v>
      </c>
      <c r="P106" s="1" t="n">
        <v>250</v>
      </c>
      <c r="Q106" s="4" t="e">
        <f aca="false">(P106-#REF!)/#REF!</f>
        <v>#REF!</v>
      </c>
      <c r="R106" s="1" t="n">
        <v>333</v>
      </c>
      <c r="S106" s="4" t="e">
        <f aca="false">(R106-#REF!)/#REF!</f>
        <v>#REF!</v>
      </c>
      <c r="T106" s="1" t="n">
        <f aca="false">R106-N106</f>
        <v>300</v>
      </c>
      <c r="U106" s="4" t="e">
        <f aca="false">(T106-#REF!)/#REF!</f>
        <v>#REF!</v>
      </c>
      <c r="V106" s="1" t="n">
        <v>400</v>
      </c>
      <c r="W106" s="4" t="e">
        <f aca="false">(V106-#REF!)/#REF!</f>
        <v>#REF!</v>
      </c>
      <c r="X106" s="28" t="n">
        <v>0.00480480480480481</v>
      </c>
      <c r="Y106" s="4" t="e">
        <f aca="false">(X106-#REF!)/#REF!</f>
        <v>#REF!</v>
      </c>
      <c r="Z106" s="27" t="n">
        <v>264.709496249612</v>
      </c>
      <c r="AA106" s="4" t="e">
        <f aca="false">(Z106-#REF!)/#REF!</f>
        <v>#REF!</v>
      </c>
      <c r="AB106" s="3" t="n">
        <v>500</v>
      </c>
      <c r="AC106" s="4" t="e">
        <f aca="false">(AB106-#REF!)/#REF!</f>
        <v>#REF!</v>
      </c>
      <c r="AD106" s="25" t="n">
        <v>29.175</v>
      </c>
      <c r="AE106" s="4" t="e">
        <f aca="false">(AD106-#REF!)/#REF!</f>
        <v>#REF!</v>
      </c>
      <c r="AF106" s="4" t="n">
        <v>0.25</v>
      </c>
      <c r="AG106" s="4"/>
    </row>
    <row r="107" customFormat="false" ht="14.25" hidden="false" customHeight="false" outlineLevel="0" collapsed="false">
      <c r="B107" s="1" t="n">
        <v>16</v>
      </c>
      <c r="C107" s="4" t="e">
        <f aca="false">(B107-#REF!)/#REF!</f>
        <v>#REF!</v>
      </c>
      <c r="D107" s="1" t="n">
        <v>2</v>
      </c>
      <c r="E107" s="4" t="e">
        <f aca="false">(D107-#REF!)/#REF!</f>
        <v>#REF!</v>
      </c>
      <c r="F107" s="2" t="n">
        <v>168</v>
      </c>
      <c r="G107" s="4" t="e">
        <f aca="false">(F107-#REF!)/#REF!</f>
        <v>#REF!</v>
      </c>
      <c r="H107" s="2" t="n">
        <v>36.3</v>
      </c>
      <c r="I107" s="4" t="e">
        <f aca="false">(H107-#REF!)/#REF!</f>
        <v>#REF!</v>
      </c>
      <c r="J107" s="4" t="n">
        <v>3.269</v>
      </c>
      <c r="K107" s="4" t="e">
        <f aca="false">(J107-#REF!)/#REF!</f>
        <v>#REF!</v>
      </c>
      <c r="L107" s="1" t="n">
        <v>25</v>
      </c>
      <c r="M107" s="4" t="e">
        <f aca="false">(L107-#REF!)/#REF!</f>
        <v>#REF!</v>
      </c>
      <c r="N107" s="1" t="n">
        <v>33</v>
      </c>
      <c r="O107" s="4" t="e">
        <f aca="false">(N107-#REF!)/#REF!</f>
        <v>#REF!</v>
      </c>
      <c r="P107" s="1" t="n">
        <v>250</v>
      </c>
      <c r="Q107" s="4" t="e">
        <f aca="false">(P107-#REF!)/#REF!</f>
        <v>#REF!</v>
      </c>
      <c r="R107" s="1" t="n">
        <v>333</v>
      </c>
      <c r="S107" s="4" t="e">
        <f aca="false">(R107-#REF!)/#REF!</f>
        <v>#REF!</v>
      </c>
      <c r="T107" s="1" t="n">
        <f aca="false">R107-N107</f>
        <v>300</v>
      </c>
      <c r="U107" s="4" t="e">
        <f aca="false">(T107-#REF!)/#REF!</f>
        <v>#REF!</v>
      </c>
      <c r="V107" s="1" t="n">
        <v>400</v>
      </c>
      <c r="W107" s="4" t="e">
        <f aca="false">(V107-#REF!)/#REF!</f>
        <v>#REF!</v>
      </c>
      <c r="X107" s="28" t="n">
        <v>0.00480480480480481</v>
      </c>
      <c r="Y107" s="4" t="e">
        <f aca="false">(X107-#REF!)/#REF!</f>
        <v>#REF!</v>
      </c>
      <c r="Z107" s="27" t="n">
        <v>291.157762970011</v>
      </c>
      <c r="AA107" s="4" t="e">
        <f aca="false">(Z107-#REF!)/#REF!</f>
        <v>#REF!</v>
      </c>
      <c r="AB107" s="3" t="n">
        <v>500</v>
      </c>
      <c r="AC107" s="4" t="e">
        <f aca="false">(AB107-#REF!)/#REF!</f>
        <v>#REF!</v>
      </c>
      <c r="AD107" s="25" t="n">
        <v>32.09</v>
      </c>
      <c r="AE107" s="4" t="e">
        <f aca="false">(AD107-#REF!)/#REF!</f>
        <v>#REF!</v>
      </c>
      <c r="AF107" s="4" t="n">
        <v>0.28</v>
      </c>
      <c r="AG107" s="4"/>
    </row>
    <row r="108" customFormat="false" ht="14.25" hidden="false" customHeight="false" outlineLevel="0" collapsed="false">
      <c r="B108" s="1" t="n">
        <v>16</v>
      </c>
      <c r="C108" s="4" t="e">
        <f aca="false">(B108-#REF!)/#REF!</f>
        <v>#REF!</v>
      </c>
      <c r="D108" s="1" t="n">
        <v>2</v>
      </c>
      <c r="E108" s="4" t="e">
        <f aca="false">(D108-#REF!)/#REF!</f>
        <v>#REF!</v>
      </c>
      <c r="F108" s="2" t="n">
        <v>168</v>
      </c>
      <c r="G108" s="4" t="e">
        <f aca="false">(F108-#REF!)/#REF!</f>
        <v>#REF!</v>
      </c>
      <c r="H108" s="2" t="n">
        <v>36.3</v>
      </c>
      <c r="I108" s="4" t="e">
        <f aca="false">(H108-#REF!)/#REF!</f>
        <v>#REF!</v>
      </c>
      <c r="J108" s="4" t="n">
        <v>3.269</v>
      </c>
      <c r="K108" s="4" t="e">
        <f aca="false">(J108-#REF!)/#REF!</f>
        <v>#REF!</v>
      </c>
      <c r="L108" s="1" t="n">
        <v>25</v>
      </c>
      <c r="M108" s="4" t="e">
        <f aca="false">(L108-#REF!)/#REF!</f>
        <v>#REF!</v>
      </c>
      <c r="N108" s="1" t="n">
        <v>33</v>
      </c>
      <c r="O108" s="4" t="e">
        <f aca="false">(N108-#REF!)/#REF!</f>
        <v>#REF!</v>
      </c>
      <c r="P108" s="1" t="n">
        <v>250</v>
      </c>
      <c r="Q108" s="4" t="e">
        <f aca="false">(P108-#REF!)/#REF!</f>
        <v>#REF!</v>
      </c>
      <c r="R108" s="1" t="n">
        <v>333</v>
      </c>
      <c r="S108" s="4" t="e">
        <f aca="false">(R108-#REF!)/#REF!</f>
        <v>#REF!</v>
      </c>
      <c r="T108" s="1" t="n">
        <f aca="false">R108-N108</f>
        <v>300</v>
      </c>
      <c r="U108" s="4" t="e">
        <f aca="false">(T108-#REF!)/#REF!</f>
        <v>#REF!</v>
      </c>
      <c r="V108" s="1" t="n">
        <v>400</v>
      </c>
      <c r="W108" s="4" t="e">
        <f aca="false">(V108-#REF!)/#REF!</f>
        <v>#REF!</v>
      </c>
      <c r="X108" s="28" t="n">
        <v>0.00480480480480481</v>
      </c>
      <c r="Y108" s="4" t="e">
        <f aca="false">(X108-#REF!)/#REF!</f>
        <v>#REF!</v>
      </c>
      <c r="Z108" s="27" t="n">
        <v>317.651395499535</v>
      </c>
      <c r="AA108" s="4" t="e">
        <f aca="false">(Z108-#REF!)/#REF!</f>
        <v>#REF!</v>
      </c>
      <c r="AB108" s="3" t="n">
        <v>500</v>
      </c>
      <c r="AC108" s="4" t="e">
        <f aca="false">(AB108-#REF!)/#REF!</f>
        <v>#REF!</v>
      </c>
      <c r="AD108" s="25" t="n">
        <v>35.01</v>
      </c>
      <c r="AE108" s="4" t="e">
        <f aca="false">(AD108-#REF!)/#REF!</f>
        <v>#REF!</v>
      </c>
      <c r="AF108" s="4" t="n">
        <v>0.33</v>
      </c>
      <c r="AG108" s="4"/>
    </row>
    <row r="109" customFormat="false" ht="14.25" hidden="false" customHeight="false" outlineLevel="0" collapsed="false">
      <c r="B109" s="1" t="n">
        <v>16</v>
      </c>
      <c r="C109" s="4" t="e">
        <f aca="false">(B109-#REF!)/#REF!</f>
        <v>#REF!</v>
      </c>
      <c r="D109" s="1" t="n">
        <v>2</v>
      </c>
      <c r="E109" s="4" t="e">
        <f aca="false">(D109-#REF!)/#REF!</f>
        <v>#REF!</v>
      </c>
      <c r="F109" s="2" t="n">
        <v>168</v>
      </c>
      <c r="G109" s="4" t="e">
        <f aca="false">(F109-#REF!)/#REF!</f>
        <v>#REF!</v>
      </c>
      <c r="H109" s="2" t="n">
        <v>36.3</v>
      </c>
      <c r="I109" s="4" t="e">
        <f aca="false">(H109-#REF!)/#REF!</f>
        <v>#REF!</v>
      </c>
      <c r="J109" s="4" t="n">
        <v>3.269</v>
      </c>
      <c r="K109" s="4" t="e">
        <f aca="false">(J109-#REF!)/#REF!</f>
        <v>#REF!</v>
      </c>
      <c r="L109" s="1" t="n">
        <v>25</v>
      </c>
      <c r="M109" s="4" t="e">
        <f aca="false">(L109-#REF!)/#REF!</f>
        <v>#REF!</v>
      </c>
      <c r="N109" s="1" t="n">
        <v>33</v>
      </c>
      <c r="O109" s="4" t="e">
        <f aca="false">(N109-#REF!)/#REF!</f>
        <v>#REF!</v>
      </c>
      <c r="P109" s="1" t="n">
        <v>250</v>
      </c>
      <c r="Q109" s="4" t="e">
        <f aca="false">(P109-#REF!)/#REF!</f>
        <v>#REF!</v>
      </c>
      <c r="R109" s="1" t="n">
        <v>333</v>
      </c>
      <c r="S109" s="4" t="e">
        <f aca="false">(R109-#REF!)/#REF!</f>
        <v>#REF!</v>
      </c>
      <c r="T109" s="1" t="n">
        <f aca="false">R109-N109</f>
        <v>300</v>
      </c>
      <c r="U109" s="4" t="e">
        <f aca="false">(T109-#REF!)/#REF!</f>
        <v>#REF!</v>
      </c>
      <c r="V109" s="1" t="n">
        <v>400</v>
      </c>
      <c r="W109" s="4" t="e">
        <f aca="false">(V109-#REF!)/#REF!</f>
        <v>#REF!</v>
      </c>
      <c r="X109" s="28" t="n">
        <v>0.00480480480480481</v>
      </c>
      <c r="Y109" s="4" t="e">
        <f aca="false">(X109-#REF!)/#REF!</f>
        <v>#REF!</v>
      </c>
      <c r="Z109" s="27" t="n">
        <v>344.145028029059</v>
      </c>
      <c r="AA109" s="4" t="e">
        <f aca="false">(Z109-#REF!)/#REF!</f>
        <v>#REF!</v>
      </c>
      <c r="AB109" s="3" t="n">
        <v>500</v>
      </c>
      <c r="AC109" s="4" t="e">
        <f aca="false">(AB109-#REF!)/#REF!</f>
        <v>#REF!</v>
      </c>
      <c r="AD109" s="25" t="n">
        <v>37.93</v>
      </c>
      <c r="AE109" s="4" t="e">
        <f aca="false">(AD109-#REF!)/#REF!</f>
        <v>#REF!</v>
      </c>
      <c r="AF109" s="4" t="n">
        <v>0.38</v>
      </c>
      <c r="AG109" s="4"/>
    </row>
    <row r="110" customFormat="false" ht="14.25" hidden="false" customHeight="false" outlineLevel="0" collapsed="false">
      <c r="B110" s="1" t="n">
        <v>16</v>
      </c>
      <c r="C110" s="4" t="e">
        <f aca="false">(B110-#REF!)/#REF!</f>
        <v>#REF!</v>
      </c>
      <c r="D110" s="1" t="n">
        <v>2</v>
      </c>
      <c r="E110" s="4" t="e">
        <f aca="false">(D110-#REF!)/#REF!</f>
        <v>#REF!</v>
      </c>
      <c r="F110" s="2" t="n">
        <v>168</v>
      </c>
      <c r="G110" s="4" t="e">
        <f aca="false">(F110-#REF!)/#REF!</f>
        <v>#REF!</v>
      </c>
      <c r="H110" s="2" t="n">
        <v>36.3</v>
      </c>
      <c r="I110" s="4" t="e">
        <f aca="false">(H110-#REF!)/#REF!</f>
        <v>#REF!</v>
      </c>
      <c r="J110" s="4" t="n">
        <v>3.269</v>
      </c>
      <c r="K110" s="4" t="e">
        <f aca="false">(J110-#REF!)/#REF!</f>
        <v>#REF!</v>
      </c>
      <c r="L110" s="1" t="n">
        <v>25</v>
      </c>
      <c r="M110" s="4" t="e">
        <f aca="false">(L110-#REF!)/#REF!</f>
        <v>#REF!</v>
      </c>
      <c r="N110" s="1" t="n">
        <v>33</v>
      </c>
      <c r="O110" s="4" t="e">
        <f aca="false">(N110-#REF!)/#REF!</f>
        <v>#REF!</v>
      </c>
      <c r="P110" s="1" t="n">
        <v>250</v>
      </c>
      <c r="Q110" s="4" t="e">
        <f aca="false">(P110-#REF!)/#REF!</f>
        <v>#REF!</v>
      </c>
      <c r="R110" s="1" t="n">
        <v>333</v>
      </c>
      <c r="S110" s="4" t="e">
        <f aca="false">(R110-#REF!)/#REF!</f>
        <v>#REF!</v>
      </c>
      <c r="T110" s="1" t="n">
        <f aca="false">R110-N110</f>
        <v>300</v>
      </c>
      <c r="U110" s="4" t="e">
        <f aca="false">(T110-#REF!)/#REF!</f>
        <v>#REF!</v>
      </c>
      <c r="V110" s="1" t="n">
        <v>400</v>
      </c>
      <c r="W110" s="4" t="e">
        <f aca="false">(V110-#REF!)/#REF!</f>
        <v>#REF!</v>
      </c>
      <c r="X110" s="28" t="n">
        <v>0.00480480480480481</v>
      </c>
      <c r="Y110" s="4" t="e">
        <f aca="false">(X110-#REF!)/#REF!</f>
        <v>#REF!</v>
      </c>
      <c r="Z110" s="27" t="n">
        <v>370.547928940332</v>
      </c>
      <c r="AA110" s="4" t="e">
        <f aca="false">(Z110-#REF!)/#REF!</f>
        <v>#REF!</v>
      </c>
      <c r="AB110" s="3" t="n">
        <v>500</v>
      </c>
      <c r="AC110" s="4" t="e">
        <f aca="false">(AB110-#REF!)/#REF!</f>
        <v>#REF!</v>
      </c>
      <c r="AD110" s="25" t="n">
        <v>40.84</v>
      </c>
      <c r="AE110" s="4" t="e">
        <f aca="false">(AD110-#REF!)/#REF!</f>
        <v>#REF!</v>
      </c>
      <c r="AF110" s="4" t="n">
        <v>0.43</v>
      </c>
      <c r="AG110" s="4"/>
    </row>
    <row r="111" customFormat="false" ht="14.25" hidden="false" customHeight="false" outlineLevel="0" collapsed="false">
      <c r="A111" s="0" t="s">
        <v>46</v>
      </c>
      <c r="B111" s="1" t="n">
        <v>16</v>
      </c>
      <c r="C111" s="4" t="e">
        <f aca="false">(B111-#REF!)/#REF!</f>
        <v>#REF!</v>
      </c>
      <c r="D111" s="1" t="n">
        <v>3</v>
      </c>
      <c r="E111" s="4" t="e">
        <f aca="false">(D111-#REF!)/#REF!</f>
        <v>#REF!</v>
      </c>
      <c r="F111" s="2" t="n">
        <v>76</v>
      </c>
      <c r="G111" s="4" t="e">
        <f aca="false">(F111-#REF!)/#REF!</f>
        <v>#REF!</v>
      </c>
      <c r="H111" s="2" t="n">
        <v>36.3</v>
      </c>
      <c r="I111" s="4" t="e">
        <f aca="false">(H111-#REF!)/#REF!</f>
        <v>#REF!</v>
      </c>
      <c r="J111" s="4" t="n">
        <v>3.269</v>
      </c>
      <c r="K111" s="4" t="e">
        <f aca="false">(J111-#REF!)/#REF!</f>
        <v>#REF!</v>
      </c>
      <c r="L111" s="1" t="n">
        <v>25</v>
      </c>
      <c r="M111" s="4" t="e">
        <f aca="false">(L111-#REF!)/#REF!</f>
        <v>#REF!</v>
      </c>
      <c r="N111" s="1" t="n">
        <v>33</v>
      </c>
      <c r="O111" s="4" t="e">
        <f aca="false">(N111-#REF!)/#REF!</f>
        <v>#REF!</v>
      </c>
      <c r="P111" s="1" t="n">
        <v>250</v>
      </c>
      <c r="Q111" s="4" t="e">
        <f aca="false">(P111-#REF!)/#REF!</f>
        <v>#REF!</v>
      </c>
      <c r="R111" s="1" t="n">
        <v>333</v>
      </c>
      <c r="S111" s="4" t="e">
        <f aca="false">(R111-#REF!)/#REF!</f>
        <v>#REF!</v>
      </c>
      <c r="T111" s="1" t="n">
        <f aca="false">R111-N111</f>
        <v>300</v>
      </c>
      <c r="U111" s="4" t="e">
        <f aca="false">(T111-#REF!)/#REF!</f>
        <v>#REF!</v>
      </c>
      <c r="V111" s="1" t="n">
        <v>600</v>
      </c>
      <c r="W111" s="4" t="e">
        <f aca="false">(V111-#REF!)/#REF!</f>
        <v>#REF!</v>
      </c>
      <c r="X111" s="28" t="n">
        <v>0.00720720720720721</v>
      </c>
      <c r="Y111" s="4" t="e">
        <f aca="false">(X111-#REF!)/#REF!</f>
        <v>#REF!</v>
      </c>
      <c r="Z111" s="27" t="n">
        <v>233.304692064372</v>
      </c>
      <c r="AA111" s="4" t="e">
        <f aca="false">(Z111-#REF!)/#REF!</f>
        <v>#REF!</v>
      </c>
      <c r="AB111" s="3" t="n">
        <v>500</v>
      </c>
      <c r="AC111" s="4" t="e">
        <f aca="false">(AB111-#REF!)/#REF!</f>
        <v>#REF!</v>
      </c>
      <c r="AD111" s="25" t="n">
        <v>37.93</v>
      </c>
      <c r="AE111" s="4" t="e">
        <f aca="false">(AD111-#REF!)/#REF!</f>
        <v>#REF!</v>
      </c>
      <c r="AF111" s="4" t="n">
        <v>0.15</v>
      </c>
      <c r="AG111" s="4"/>
    </row>
    <row r="112" customFormat="false" ht="14.25" hidden="false" customHeight="false" outlineLevel="0" collapsed="false">
      <c r="B112" s="1" t="n">
        <v>16</v>
      </c>
      <c r="C112" s="4" t="e">
        <f aca="false">(B112-#REF!)/#REF!</f>
        <v>#REF!</v>
      </c>
      <c r="D112" s="1" t="n">
        <v>3</v>
      </c>
      <c r="E112" s="4" t="e">
        <f aca="false">(D112-#REF!)/#REF!</f>
        <v>#REF!</v>
      </c>
      <c r="F112" s="2" t="n">
        <v>76</v>
      </c>
      <c r="G112" s="4" t="e">
        <f aca="false">(F112-#REF!)/#REF!</f>
        <v>#REF!</v>
      </c>
      <c r="H112" s="2" t="n">
        <v>36.3</v>
      </c>
      <c r="I112" s="4" t="e">
        <f aca="false">(H112-#REF!)/#REF!</f>
        <v>#REF!</v>
      </c>
      <c r="J112" s="4" t="n">
        <v>3.269</v>
      </c>
      <c r="K112" s="4" t="e">
        <f aca="false">(J112-#REF!)/#REF!</f>
        <v>#REF!</v>
      </c>
      <c r="L112" s="1" t="n">
        <v>25</v>
      </c>
      <c r="M112" s="4" t="e">
        <f aca="false">(L112-#REF!)/#REF!</f>
        <v>#REF!</v>
      </c>
      <c r="N112" s="1" t="n">
        <v>33</v>
      </c>
      <c r="O112" s="4" t="e">
        <f aca="false">(N112-#REF!)/#REF!</f>
        <v>#REF!</v>
      </c>
      <c r="P112" s="1" t="n">
        <v>250</v>
      </c>
      <c r="Q112" s="4" t="e">
        <f aca="false">(P112-#REF!)/#REF!</f>
        <v>#REF!</v>
      </c>
      <c r="R112" s="1" t="n">
        <v>333</v>
      </c>
      <c r="S112" s="4" t="e">
        <f aca="false">(R112-#REF!)/#REF!</f>
        <v>#REF!</v>
      </c>
      <c r="T112" s="1" t="n">
        <f aca="false">R112-N112</f>
        <v>300</v>
      </c>
      <c r="U112" s="4" t="e">
        <f aca="false">(T112-#REF!)/#REF!</f>
        <v>#REF!</v>
      </c>
      <c r="V112" s="1" t="n">
        <v>600</v>
      </c>
      <c r="W112" s="4" t="e">
        <f aca="false">(V112-#REF!)/#REF!</f>
        <v>#REF!</v>
      </c>
      <c r="X112" s="28" t="n">
        <v>0.00720720720720721</v>
      </c>
      <c r="Y112" s="4" t="e">
        <f aca="false">(X112-#REF!)/#REF!</f>
        <v>#REF!</v>
      </c>
      <c r="Z112" s="27" t="n">
        <v>251.2038920092</v>
      </c>
      <c r="AA112" s="4" t="e">
        <f aca="false">(Z112-#REF!)/#REF!</f>
        <v>#REF!</v>
      </c>
      <c r="AB112" s="3" t="n">
        <v>500</v>
      </c>
      <c r="AC112" s="4" t="e">
        <f aca="false">(AB112-#REF!)/#REF!</f>
        <v>#REF!</v>
      </c>
      <c r="AD112" s="25" t="n">
        <v>40.84</v>
      </c>
      <c r="AE112" s="4" t="e">
        <f aca="false">(AD112-#REF!)/#REF!</f>
        <v>#REF!</v>
      </c>
      <c r="AF112" s="4" t="n">
        <v>0.18</v>
      </c>
      <c r="AG112" s="4"/>
    </row>
    <row r="113" customFormat="false" ht="14.25" hidden="false" customHeight="false" outlineLevel="0" collapsed="false">
      <c r="B113" s="1" t="n">
        <v>16</v>
      </c>
      <c r="C113" s="4" t="e">
        <f aca="false">(B113-#REF!)/#REF!</f>
        <v>#REF!</v>
      </c>
      <c r="D113" s="1" t="n">
        <v>3</v>
      </c>
      <c r="E113" s="4" t="e">
        <f aca="false">(D113-#REF!)/#REF!</f>
        <v>#REF!</v>
      </c>
      <c r="F113" s="2" t="n">
        <v>76</v>
      </c>
      <c r="G113" s="4" t="e">
        <f aca="false">(F113-#REF!)/#REF!</f>
        <v>#REF!</v>
      </c>
      <c r="H113" s="2" t="n">
        <v>36.3</v>
      </c>
      <c r="I113" s="4" t="e">
        <f aca="false">(H113-#REF!)/#REF!</f>
        <v>#REF!</v>
      </c>
      <c r="J113" s="4" t="n">
        <v>3.269</v>
      </c>
      <c r="K113" s="4" t="e">
        <f aca="false">(J113-#REF!)/#REF!</f>
        <v>#REF!</v>
      </c>
      <c r="L113" s="1" t="n">
        <v>25</v>
      </c>
      <c r="M113" s="4" t="e">
        <f aca="false">(L113-#REF!)/#REF!</f>
        <v>#REF!</v>
      </c>
      <c r="N113" s="1" t="n">
        <v>33</v>
      </c>
      <c r="O113" s="4" t="e">
        <f aca="false">(N113-#REF!)/#REF!</f>
        <v>#REF!</v>
      </c>
      <c r="P113" s="1" t="n">
        <v>250</v>
      </c>
      <c r="Q113" s="4" t="e">
        <f aca="false">(P113-#REF!)/#REF!</f>
        <v>#REF!</v>
      </c>
      <c r="R113" s="1" t="n">
        <v>333</v>
      </c>
      <c r="S113" s="4" t="e">
        <f aca="false">(R113-#REF!)/#REF!</f>
        <v>#REF!</v>
      </c>
      <c r="T113" s="1" t="n">
        <f aca="false">R113-N113</f>
        <v>300</v>
      </c>
      <c r="U113" s="4" t="e">
        <f aca="false">(T113-#REF!)/#REF!</f>
        <v>#REF!</v>
      </c>
      <c r="V113" s="1" t="n">
        <v>600</v>
      </c>
      <c r="W113" s="4" t="e">
        <f aca="false">(V113-#REF!)/#REF!</f>
        <v>#REF!</v>
      </c>
      <c r="X113" s="28" t="n">
        <v>0.00720720720720721</v>
      </c>
      <c r="Y113" s="4" t="e">
        <f aca="false">(X113-#REF!)/#REF!</f>
        <v>#REF!</v>
      </c>
      <c r="Z113" s="27" t="n">
        <v>269.164601232189</v>
      </c>
      <c r="AA113" s="4" t="e">
        <f aca="false">(Z113-#REF!)/#REF!</f>
        <v>#REF!</v>
      </c>
      <c r="AB113" s="3" t="n">
        <v>500</v>
      </c>
      <c r="AC113" s="4" t="e">
        <f aca="false">(AB113-#REF!)/#REF!</f>
        <v>#REF!</v>
      </c>
      <c r="AD113" s="25" t="n">
        <v>43.76</v>
      </c>
      <c r="AE113" s="4" t="e">
        <f aca="false">(AD113-#REF!)/#REF!</f>
        <v>#REF!</v>
      </c>
      <c r="AF113" s="4" t="n">
        <v>0.18</v>
      </c>
      <c r="AG113" s="4"/>
    </row>
    <row r="114" customFormat="false" ht="14.25" hidden="false" customHeight="false" outlineLevel="0" collapsed="false">
      <c r="B114" s="1" t="n">
        <v>16</v>
      </c>
      <c r="C114" s="4" t="e">
        <f aca="false">(B114-#REF!)/#REF!</f>
        <v>#REF!</v>
      </c>
      <c r="D114" s="1" t="n">
        <v>3</v>
      </c>
      <c r="E114" s="4" t="e">
        <f aca="false">(D114-#REF!)/#REF!</f>
        <v>#REF!</v>
      </c>
      <c r="F114" s="2" t="n">
        <v>76</v>
      </c>
      <c r="G114" s="4" t="e">
        <f aca="false">(F114-#REF!)/#REF!</f>
        <v>#REF!</v>
      </c>
      <c r="H114" s="2" t="n">
        <v>36.3</v>
      </c>
      <c r="I114" s="4" t="e">
        <f aca="false">(H114-#REF!)/#REF!</f>
        <v>#REF!</v>
      </c>
      <c r="J114" s="4" t="n">
        <v>3.269</v>
      </c>
      <c r="K114" s="4" t="e">
        <f aca="false">(J114-#REF!)/#REF!</f>
        <v>#REF!</v>
      </c>
      <c r="L114" s="1" t="n">
        <v>25</v>
      </c>
      <c r="M114" s="4" t="e">
        <f aca="false">(L114-#REF!)/#REF!</f>
        <v>#REF!</v>
      </c>
      <c r="N114" s="1" t="n">
        <v>33</v>
      </c>
      <c r="O114" s="4" t="e">
        <f aca="false">(N114-#REF!)/#REF!</f>
        <v>#REF!</v>
      </c>
      <c r="P114" s="1" t="n">
        <v>250</v>
      </c>
      <c r="Q114" s="4" t="e">
        <f aca="false">(P114-#REF!)/#REF!</f>
        <v>#REF!</v>
      </c>
      <c r="R114" s="1" t="n">
        <v>333</v>
      </c>
      <c r="S114" s="4" t="e">
        <f aca="false">(R114-#REF!)/#REF!</f>
        <v>#REF!</v>
      </c>
      <c r="T114" s="1" t="n">
        <f aca="false">R114-N114</f>
        <v>300</v>
      </c>
      <c r="U114" s="4" t="e">
        <f aca="false">(T114-#REF!)/#REF!</f>
        <v>#REF!</v>
      </c>
      <c r="V114" s="1" t="n">
        <v>600</v>
      </c>
      <c r="W114" s="4" t="e">
        <f aca="false">(V114-#REF!)/#REF!</f>
        <v>#REF!</v>
      </c>
      <c r="X114" s="28" t="n">
        <v>0.00720720720720721</v>
      </c>
      <c r="Y114" s="4" t="e">
        <f aca="false">(X114-#REF!)/#REF!</f>
        <v>#REF!</v>
      </c>
      <c r="Z114" s="27" t="n">
        <v>287.125310455178</v>
      </c>
      <c r="AA114" s="4" t="e">
        <f aca="false">(Z114-#REF!)/#REF!</f>
        <v>#REF!</v>
      </c>
      <c r="AB114" s="3" t="n">
        <v>500</v>
      </c>
      <c r="AC114" s="4" t="e">
        <f aca="false">(AB114-#REF!)/#REF!</f>
        <v>#REF!</v>
      </c>
      <c r="AD114" s="25" t="n">
        <v>46.68</v>
      </c>
      <c r="AE114" s="4" t="e">
        <f aca="false">(AD114-#REF!)/#REF!</f>
        <v>#REF!</v>
      </c>
      <c r="AF114" s="4" t="n">
        <v>0.2</v>
      </c>
      <c r="AG114" s="4"/>
    </row>
    <row r="115" customFormat="false" ht="14.25" hidden="false" customHeight="false" outlineLevel="0" collapsed="false">
      <c r="B115" s="1" t="n">
        <v>16</v>
      </c>
      <c r="C115" s="4" t="e">
        <f aca="false">(B115-#REF!)/#REF!</f>
        <v>#REF!</v>
      </c>
      <c r="D115" s="1" t="n">
        <v>3</v>
      </c>
      <c r="E115" s="4" t="e">
        <f aca="false">(D115-#REF!)/#REF!</f>
        <v>#REF!</v>
      </c>
      <c r="F115" s="2" t="n">
        <v>76</v>
      </c>
      <c r="G115" s="4" t="e">
        <f aca="false">(F115-#REF!)/#REF!</f>
        <v>#REF!</v>
      </c>
      <c r="H115" s="2" t="n">
        <v>36.3</v>
      </c>
      <c r="I115" s="4" t="e">
        <f aca="false">(H115-#REF!)/#REF!</f>
        <v>#REF!</v>
      </c>
      <c r="J115" s="4" t="n">
        <v>3.269</v>
      </c>
      <c r="K115" s="4" t="e">
        <f aca="false">(J115-#REF!)/#REF!</f>
        <v>#REF!</v>
      </c>
      <c r="L115" s="1" t="n">
        <v>25</v>
      </c>
      <c r="M115" s="4" t="e">
        <f aca="false">(L115-#REF!)/#REF!</f>
        <v>#REF!</v>
      </c>
      <c r="N115" s="1" t="n">
        <v>33</v>
      </c>
      <c r="O115" s="4" t="e">
        <f aca="false">(N115-#REF!)/#REF!</f>
        <v>#REF!</v>
      </c>
      <c r="P115" s="1" t="n">
        <v>250</v>
      </c>
      <c r="Q115" s="4" t="e">
        <f aca="false">(P115-#REF!)/#REF!</f>
        <v>#REF!</v>
      </c>
      <c r="R115" s="1" t="n">
        <v>333</v>
      </c>
      <c r="S115" s="4" t="e">
        <f aca="false">(R115-#REF!)/#REF!</f>
        <v>#REF!</v>
      </c>
      <c r="T115" s="1" t="n">
        <f aca="false">R115-N115</f>
        <v>300</v>
      </c>
      <c r="U115" s="4" t="e">
        <f aca="false">(T115-#REF!)/#REF!</f>
        <v>#REF!</v>
      </c>
      <c r="V115" s="1" t="n">
        <v>600</v>
      </c>
      <c r="W115" s="4" t="e">
        <f aca="false">(V115-#REF!)/#REF!</f>
        <v>#REF!</v>
      </c>
      <c r="X115" s="28" t="n">
        <v>0.00720720720720721</v>
      </c>
      <c r="Y115" s="4" t="e">
        <f aca="false">(X115-#REF!)/#REF!</f>
        <v>#REF!</v>
      </c>
      <c r="Z115" s="27" t="n">
        <v>305.086019678167</v>
      </c>
      <c r="AA115" s="4" t="e">
        <f aca="false">(Z115-#REF!)/#REF!</f>
        <v>#REF!</v>
      </c>
      <c r="AB115" s="3" t="n">
        <v>500</v>
      </c>
      <c r="AC115" s="4" t="e">
        <f aca="false">(AB115-#REF!)/#REF!</f>
        <v>#REF!</v>
      </c>
      <c r="AD115" s="25" t="n">
        <v>49.6</v>
      </c>
      <c r="AE115" s="4" t="e">
        <f aca="false">(AD115-#REF!)/#REF!</f>
        <v>#REF!</v>
      </c>
      <c r="AF115" s="4" t="n">
        <v>0.2</v>
      </c>
      <c r="AG115" s="4"/>
    </row>
    <row r="116" customFormat="false" ht="14.25" hidden="false" customHeight="false" outlineLevel="0" collapsed="false">
      <c r="A116" s="0" t="s">
        <v>47</v>
      </c>
      <c r="B116" s="1" t="n">
        <v>16</v>
      </c>
      <c r="C116" s="4" t="e">
        <f aca="false">(B116-#REF!)/#REF!</f>
        <v>#REF!</v>
      </c>
      <c r="D116" s="1" t="n">
        <v>3</v>
      </c>
      <c r="E116" s="4" t="e">
        <f aca="false">(D116-#REF!)/#REF!</f>
        <v>#REF!</v>
      </c>
      <c r="F116" s="2" t="n">
        <v>76</v>
      </c>
      <c r="G116" s="4" t="e">
        <f aca="false">(F116-#REF!)/#REF!</f>
        <v>#REF!</v>
      </c>
      <c r="H116" s="2" t="n">
        <v>36.3</v>
      </c>
      <c r="I116" s="4" t="e">
        <f aca="false">(H116-#REF!)/#REF!</f>
        <v>#REF!</v>
      </c>
      <c r="J116" s="4" t="n">
        <v>3.269</v>
      </c>
      <c r="K116" s="4" t="e">
        <f aca="false">(J116-#REF!)/#REF!</f>
        <v>#REF!</v>
      </c>
      <c r="L116" s="1" t="n">
        <v>25</v>
      </c>
      <c r="M116" s="4" t="e">
        <f aca="false">(L116-#REF!)/#REF!</f>
        <v>#REF!</v>
      </c>
      <c r="N116" s="1" t="n">
        <v>33</v>
      </c>
      <c r="O116" s="4" t="e">
        <f aca="false">(N116-#REF!)/#REF!</f>
        <v>#REF!</v>
      </c>
      <c r="P116" s="1" t="n">
        <v>250</v>
      </c>
      <c r="Q116" s="4" t="e">
        <f aca="false">(P116-#REF!)/#REF!</f>
        <v>#REF!</v>
      </c>
      <c r="R116" s="1" t="n">
        <v>333</v>
      </c>
      <c r="S116" s="4" t="e">
        <f aca="false">(R116-#REF!)/#REF!</f>
        <v>#REF!</v>
      </c>
      <c r="T116" s="1" t="n">
        <f aca="false">R116-N116</f>
        <v>300</v>
      </c>
      <c r="U116" s="4" t="e">
        <f aca="false">(T116-#REF!)/#REF!</f>
        <v>#REF!</v>
      </c>
      <c r="V116" s="1" t="n">
        <v>600</v>
      </c>
      <c r="W116" s="4" t="e">
        <f aca="false">(V116-#REF!)/#REF!</f>
        <v>#REF!</v>
      </c>
      <c r="X116" s="28" t="n">
        <v>0.00720720720720721</v>
      </c>
      <c r="Y116" s="4" t="e">
        <f aca="false">(X116-#REF!)/#REF!</f>
        <v>#REF!</v>
      </c>
      <c r="Z116" s="27" t="n">
        <v>251.2038920092</v>
      </c>
      <c r="AA116" s="4" t="e">
        <f aca="false">(Z116-#REF!)/#REF!</f>
        <v>#REF!</v>
      </c>
      <c r="AB116" s="3" t="n">
        <v>500</v>
      </c>
      <c r="AC116" s="4" t="e">
        <f aca="false">(AB116-#REF!)/#REF!</f>
        <v>#REF!</v>
      </c>
      <c r="AD116" s="25" t="n">
        <v>40.84</v>
      </c>
      <c r="AE116" s="4" t="e">
        <f aca="false">(AD116-#REF!)/#REF!</f>
        <v>#REF!</v>
      </c>
      <c r="AF116" s="4" t="n">
        <v>0.15</v>
      </c>
      <c r="AG116" s="4"/>
    </row>
    <row r="117" customFormat="false" ht="14.25" hidden="false" customHeight="false" outlineLevel="0" collapsed="false">
      <c r="B117" s="1" t="n">
        <v>16</v>
      </c>
      <c r="C117" s="4" t="e">
        <f aca="false">(B117-#REF!)/#REF!</f>
        <v>#REF!</v>
      </c>
      <c r="D117" s="1" t="n">
        <v>3</v>
      </c>
      <c r="E117" s="4" t="e">
        <f aca="false">(D117-#REF!)/#REF!</f>
        <v>#REF!</v>
      </c>
      <c r="F117" s="2" t="n">
        <v>76</v>
      </c>
      <c r="G117" s="4" t="e">
        <f aca="false">(F117-#REF!)/#REF!</f>
        <v>#REF!</v>
      </c>
      <c r="H117" s="2" t="n">
        <v>36.3</v>
      </c>
      <c r="I117" s="4" t="e">
        <f aca="false">(H117-#REF!)/#REF!</f>
        <v>#REF!</v>
      </c>
      <c r="J117" s="4" t="n">
        <v>3.269</v>
      </c>
      <c r="K117" s="4" t="e">
        <f aca="false">(J117-#REF!)/#REF!</f>
        <v>#REF!</v>
      </c>
      <c r="L117" s="1" t="n">
        <v>25</v>
      </c>
      <c r="M117" s="4" t="e">
        <f aca="false">(L117-#REF!)/#REF!</f>
        <v>#REF!</v>
      </c>
      <c r="N117" s="1" t="n">
        <v>33</v>
      </c>
      <c r="O117" s="4" t="e">
        <f aca="false">(N117-#REF!)/#REF!</f>
        <v>#REF!</v>
      </c>
      <c r="P117" s="1" t="n">
        <v>250</v>
      </c>
      <c r="Q117" s="4" t="e">
        <f aca="false">(P117-#REF!)/#REF!</f>
        <v>#REF!</v>
      </c>
      <c r="R117" s="1" t="n">
        <v>333</v>
      </c>
      <c r="S117" s="4" t="e">
        <f aca="false">(R117-#REF!)/#REF!</f>
        <v>#REF!</v>
      </c>
      <c r="T117" s="1" t="n">
        <f aca="false">R117-N117</f>
        <v>300</v>
      </c>
      <c r="U117" s="4" t="e">
        <f aca="false">(T117-#REF!)/#REF!</f>
        <v>#REF!</v>
      </c>
      <c r="V117" s="1" t="n">
        <v>600</v>
      </c>
      <c r="W117" s="4" t="e">
        <f aca="false">(V117-#REF!)/#REF!</f>
        <v>#REF!</v>
      </c>
      <c r="X117" s="28" t="n">
        <v>0.00720720720720721</v>
      </c>
      <c r="Y117" s="4" t="e">
        <f aca="false">(X117-#REF!)/#REF!</f>
        <v>#REF!</v>
      </c>
      <c r="Z117" s="27" t="n">
        <v>269.164601232189</v>
      </c>
      <c r="AA117" s="4" t="e">
        <f aca="false">(Z117-#REF!)/#REF!</f>
        <v>#REF!</v>
      </c>
      <c r="AB117" s="3" t="n">
        <v>500</v>
      </c>
      <c r="AC117" s="4" t="e">
        <f aca="false">(AB117-#REF!)/#REF!</f>
        <v>#REF!</v>
      </c>
      <c r="AD117" s="25" t="n">
        <v>43.76</v>
      </c>
      <c r="AE117" s="4" t="e">
        <f aca="false">(AD117-#REF!)/#REF!</f>
        <v>#REF!</v>
      </c>
      <c r="AF117" s="4" t="n">
        <v>0.18</v>
      </c>
      <c r="AG117" s="4"/>
    </row>
    <row r="118" customFormat="false" ht="14.25" hidden="false" customHeight="false" outlineLevel="0" collapsed="false">
      <c r="B118" s="1" t="n">
        <v>16</v>
      </c>
      <c r="C118" s="4" t="e">
        <f aca="false">(B118-#REF!)/#REF!</f>
        <v>#REF!</v>
      </c>
      <c r="D118" s="1" t="n">
        <v>3</v>
      </c>
      <c r="E118" s="4" t="e">
        <f aca="false">(D118-#REF!)/#REF!</f>
        <v>#REF!</v>
      </c>
      <c r="F118" s="2" t="n">
        <v>76</v>
      </c>
      <c r="G118" s="4" t="e">
        <f aca="false">(F118-#REF!)/#REF!</f>
        <v>#REF!</v>
      </c>
      <c r="H118" s="2" t="n">
        <v>36.3</v>
      </c>
      <c r="I118" s="4" t="e">
        <f aca="false">(H118-#REF!)/#REF!</f>
        <v>#REF!</v>
      </c>
      <c r="J118" s="4" t="n">
        <v>3.269</v>
      </c>
      <c r="K118" s="4" t="e">
        <f aca="false">(J118-#REF!)/#REF!</f>
        <v>#REF!</v>
      </c>
      <c r="L118" s="1" t="n">
        <v>25</v>
      </c>
      <c r="M118" s="4" t="e">
        <f aca="false">(L118-#REF!)/#REF!</f>
        <v>#REF!</v>
      </c>
      <c r="N118" s="1" t="n">
        <v>33</v>
      </c>
      <c r="O118" s="4" t="e">
        <f aca="false">(N118-#REF!)/#REF!</f>
        <v>#REF!</v>
      </c>
      <c r="P118" s="1" t="n">
        <v>250</v>
      </c>
      <c r="Q118" s="4" t="e">
        <f aca="false">(P118-#REF!)/#REF!</f>
        <v>#REF!</v>
      </c>
      <c r="R118" s="1" t="n">
        <v>333</v>
      </c>
      <c r="S118" s="4" t="e">
        <f aca="false">(R118-#REF!)/#REF!</f>
        <v>#REF!</v>
      </c>
      <c r="T118" s="1" t="n">
        <f aca="false">R118-N118</f>
        <v>300</v>
      </c>
      <c r="U118" s="4" t="e">
        <f aca="false">(T118-#REF!)/#REF!</f>
        <v>#REF!</v>
      </c>
      <c r="V118" s="1" t="n">
        <v>600</v>
      </c>
      <c r="W118" s="4" t="e">
        <f aca="false">(V118-#REF!)/#REF!</f>
        <v>#REF!</v>
      </c>
      <c r="X118" s="28" t="n">
        <v>0.00720720720720721</v>
      </c>
      <c r="Y118" s="4" t="e">
        <f aca="false">(X118-#REF!)/#REF!</f>
        <v>#REF!</v>
      </c>
      <c r="Z118" s="27" t="n">
        <v>287.125310455178</v>
      </c>
      <c r="AA118" s="4" t="e">
        <f aca="false">(Z118-#REF!)/#REF!</f>
        <v>#REF!</v>
      </c>
      <c r="AB118" s="3" t="n">
        <v>500</v>
      </c>
      <c r="AC118" s="4" t="e">
        <f aca="false">(AB118-#REF!)/#REF!</f>
        <v>#REF!</v>
      </c>
      <c r="AD118" s="25" t="n">
        <v>46.68</v>
      </c>
      <c r="AE118" s="4" t="e">
        <f aca="false">(AD118-#REF!)/#REF!</f>
        <v>#REF!</v>
      </c>
      <c r="AF118" s="4" t="n">
        <v>0.2</v>
      </c>
      <c r="AG118" s="4"/>
    </row>
    <row r="119" customFormat="false" ht="14.25" hidden="false" customHeight="false" outlineLevel="0" collapsed="false">
      <c r="B119" s="1" t="n">
        <v>16</v>
      </c>
      <c r="C119" s="4" t="e">
        <f aca="false">(B119-#REF!)/#REF!</f>
        <v>#REF!</v>
      </c>
      <c r="D119" s="1" t="n">
        <v>3</v>
      </c>
      <c r="E119" s="4" t="e">
        <f aca="false">(D119-#REF!)/#REF!</f>
        <v>#REF!</v>
      </c>
      <c r="F119" s="2" t="n">
        <v>76</v>
      </c>
      <c r="G119" s="4" t="e">
        <f aca="false">(F119-#REF!)/#REF!</f>
        <v>#REF!</v>
      </c>
      <c r="H119" s="2" t="n">
        <v>36.3</v>
      </c>
      <c r="I119" s="4" t="e">
        <f aca="false">(H119-#REF!)/#REF!</f>
        <v>#REF!</v>
      </c>
      <c r="J119" s="4" t="n">
        <v>3.269</v>
      </c>
      <c r="K119" s="4" t="e">
        <f aca="false">(J119-#REF!)/#REF!</f>
        <v>#REF!</v>
      </c>
      <c r="L119" s="1" t="n">
        <v>25</v>
      </c>
      <c r="M119" s="4" t="e">
        <f aca="false">(L119-#REF!)/#REF!</f>
        <v>#REF!</v>
      </c>
      <c r="N119" s="1" t="n">
        <v>33</v>
      </c>
      <c r="O119" s="4" t="e">
        <f aca="false">(N119-#REF!)/#REF!</f>
        <v>#REF!</v>
      </c>
      <c r="P119" s="1" t="n">
        <v>250</v>
      </c>
      <c r="Q119" s="4" t="e">
        <f aca="false">(P119-#REF!)/#REF!</f>
        <v>#REF!</v>
      </c>
      <c r="R119" s="1" t="n">
        <v>333</v>
      </c>
      <c r="S119" s="4" t="e">
        <f aca="false">(R119-#REF!)/#REF!</f>
        <v>#REF!</v>
      </c>
      <c r="T119" s="1" t="n">
        <f aca="false">R119-N119</f>
        <v>300</v>
      </c>
      <c r="U119" s="4" t="e">
        <f aca="false">(T119-#REF!)/#REF!</f>
        <v>#REF!</v>
      </c>
      <c r="V119" s="1" t="n">
        <v>600</v>
      </c>
      <c r="W119" s="4" t="e">
        <f aca="false">(V119-#REF!)/#REF!</f>
        <v>#REF!</v>
      </c>
      <c r="X119" s="28" t="n">
        <v>0.00720720720720721</v>
      </c>
      <c r="Y119" s="4" t="e">
        <f aca="false">(X119-#REF!)/#REF!</f>
        <v>#REF!</v>
      </c>
      <c r="Z119" s="27" t="n">
        <v>305.086019678167</v>
      </c>
      <c r="AA119" s="4" t="e">
        <f aca="false">(Z119-#REF!)/#REF!</f>
        <v>#REF!</v>
      </c>
      <c r="AB119" s="3" t="n">
        <v>500</v>
      </c>
      <c r="AC119" s="4" t="e">
        <f aca="false">(AB119-#REF!)/#REF!</f>
        <v>#REF!</v>
      </c>
      <c r="AD119" s="25" t="n">
        <v>49.6</v>
      </c>
      <c r="AE119" s="4" t="e">
        <f aca="false">(AD119-#REF!)/#REF!</f>
        <v>#REF!</v>
      </c>
      <c r="AF119" s="4" t="n">
        <v>0.2</v>
      </c>
      <c r="AG119" s="4"/>
    </row>
    <row r="120" customFormat="false" ht="14.25" hidden="false" customHeight="false" outlineLevel="0" collapsed="false">
      <c r="A120" s="0" t="s">
        <v>48</v>
      </c>
      <c r="B120" s="1" t="n">
        <v>12</v>
      </c>
      <c r="C120" s="4" t="e">
        <f aca="false">(B120-#REF!)/#REF!</f>
        <v>#REF!</v>
      </c>
      <c r="D120" s="1" t="n">
        <v>2</v>
      </c>
      <c r="E120" s="4" t="e">
        <f aca="false">(D120-#REF!)/#REF!</f>
        <v>#REF!</v>
      </c>
      <c r="F120" s="2" t="n">
        <v>296</v>
      </c>
      <c r="G120" s="4" t="e">
        <f aca="false">(F120-#REF!)/#REF!</f>
        <v>#REF!</v>
      </c>
      <c r="H120" s="2" t="n">
        <v>36.3</v>
      </c>
      <c r="I120" s="4" t="e">
        <f aca="false">(H120-#REF!)/#REF!</f>
        <v>#REF!</v>
      </c>
      <c r="J120" s="4" t="n">
        <v>3.269</v>
      </c>
      <c r="K120" s="4" t="e">
        <f aca="false">(J120-#REF!)/#REF!</f>
        <v>#REF!</v>
      </c>
      <c r="L120" s="1" t="n">
        <v>25</v>
      </c>
      <c r="M120" s="4" t="e">
        <f aca="false">(L120-#REF!)/#REF!</f>
        <v>#REF!</v>
      </c>
      <c r="N120" s="1" t="n">
        <v>31</v>
      </c>
      <c r="O120" s="4" t="e">
        <f aca="false">(N120-#REF!)/#REF!</f>
        <v>#REF!</v>
      </c>
      <c r="P120" s="1" t="n">
        <v>400</v>
      </c>
      <c r="Q120" s="4" t="e">
        <f aca="false">(P120-#REF!)/#REF!</f>
        <v>#REF!</v>
      </c>
      <c r="R120" s="1" t="n">
        <v>161</v>
      </c>
      <c r="S120" s="4" t="e">
        <f aca="false">(R120-#REF!)/#REF!</f>
        <v>#REF!</v>
      </c>
      <c r="T120" s="1" t="n">
        <f aca="false">R120-N120</f>
        <v>130</v>
      </c>
      <c r="U120" s="4" t="e">
        <f aca="false">(T120-#REF!)/#REF!</f>
        <v>#REF!</v>
      </c>
      <c r="V120" s="1" t="n">
        <v>220</v>
      </c>
      <c r="W120" s="4" t="e">
        <f aca="false">(V120-#REF!)/#REF!</f>
        <v>#REF!</v>
      </c>
      <c r="X120" s="28" t="n">
        <v>0.00341614906832298</v>
      </c>
      <c r="Y120" s="4" t="e">
        <f aca="false">(X120-#REF!)/#REF!</f>
        <v>#REF!</v>
      </c>
      <c r="Z120" s="27" t="n">
        <v>176.286173520268</v>
      </c>
      <c r="AA120" s="4" t="e">
        <f aca="false">(Z120-#REF!)/#REF!</f>
        <v>#REF!</v>
      </c>
      <c r="AB120" s="3" t="n">
        <v>500</v>
      </c>
      <c r="AC120" s="4" t="e">
        <f aca="false">(AB120-#REF!)/#REF!</f>
        <v>#REF!</v>
      </c>
      <c r="AD120" s="25" t="n">
        <v>4.67</v>
      </c>
      <c r="AE120" s="4" t="e">
        <f aca="false">(AD120-#REF!)/#REF!</f>
        <v>#REF!</v>
      </c>
      <c r="AF120" s="4" t="n">
        <v>0.2</v>
      </c>
      <c r="AG120" s="4"/>
    </row>
    <row r="121" customFormat="false" ht="14.25" hidden="false" customHeight="false" outlineLevel="0" collapsed="false">
      <c r="B121" s="1" t="n">
        <v>12</v>
      </c>
      <c r="C121" s="4" t="e">
        <f aca="false">(B121-#REF!)/#REF!</f>
        <v>#REF!</v>
      </c>
      <c r="D121" s="1" t="n">
        <v>2</v>
      </c>
      <c r="E121" s="4" t="e">
        <f aca="false">(D121-#REF!)/#REF!</f>
        <v>#REF!</v>
      </c>
      <c r="F121" s="2" t="n">
        <v>296</v>
      </c>
      <c r="G121" s="4" t="e">
        <f aca="false">(F121-#REF!)/#REF!</f>
        <v>#REF!</v>
      </c>
      <c r="H121" s="2" t="n">
        <v>36.3</v>
      </c>
      <c r="I121" s="4" t="e">
        <f aca="false">(H121-#REF!)/#REF!</f>
        <v>#REF!</v>
      </c>
      <c r="J121" s="4" t="n">
        <v>3.269</v>
      </c>
      <c r="K121" s="4" t="e">
        <f aca="false">(J121-#REF!)/#REF!</f>
        <v>#REF!</v>
      </c>
      <c r="L121" s="1" t="n">
        <v>25</v>
      </c>
      <c r="M121" s="4" t="e">
        <f aca="false">(L121-#REF!)/#REF!</f>
        <v>#REF!</v>
      </c>
      <c r="N121" s="1" t="n">
        <v>31</v>
      </c>
      <c r="O121" s="4" t="e">
        <f aca="false">(N121-#REF!)/#REF!</f>
        <v>#REF!</v>
      </c>
      <c r="P121" s="1" t="n">
        <v>400</v>
      </c>
      <c r="Q121" s="4" t="e">
        <f aca="false">(P121-#REF!)/#REF!</f>
        <v>#REF!</v>
      </c>
      <c r="R121" s="1" t="n">
        <v>161</v>
      </c>
      <c r="S121" s="4" t="e">
        <f aca="false">(R121-#REF!)/#REF!</f>
        <v>#REF!</v>
      </c>
      <c r="T121" s="1" t="n">
        <f aca="false">R121-N121</f>
        <v>130</v>
      </c>
      <c r="U121" s="4" t="e">
        <f aca="false">(T121-#REF!)/#REF!</f>
        <v>#REF!</v>
      </c>
      <c r="V121" s="1" t="n">
        <v>220</v>
      </c>
      <c r="W121" s="4" t="e">
        <f aca="false">(V121-#REF!)/#REF!</f>
        <v>#REF!</v>
      </c>
      <c r="X121" s="28" t="n">
        <v>0.00341614906832298</v>
      </c>
      <c r="Y121" s="4" t="e">
        <f aca="false">(X121-#REF!)/#REF!</f>
        <v>#REF!</v>
      </c>
      <c r="Z121" s="27" t="n">
        <v>242.346302783752</v>
      </c>
      <c r="AA121" s="4" t="e">
        <f aca="false">(Z121-#REF!)/#REF!</f>
        <v>#REF!</v>
      </c>
      <c r="AB121" s="3" t="n">
        <v>500</v>
      </c>
      <c r="AC121" s="4" t="e">
        <f aca="false">(AB121-#REF!)/#REF!</f>
        <v>#REF!</v>
      </c>
      <c r="AD121" s="25" t="n">
        <v>6.42</v>
      </c>
      <c r="AE121" s="4" t="e">
        <f aca="false">(AD121-#REF!)/#REF!</f>
        <v>#REF!</v>
      </c>
      <c r="AF121" s="4" t="n">
        <v>0.25</v>
      </c>
      <c r="AG121" s="4"/>
    </row>
    <row r="122" customFormat="false" ht="14.25" hidden="false" customHeight="false" outlineLevel="0" collapsed="false">
      <c r="B122" s="1" t="n">
        <v>12</v>
      </c>
      <c r="C122" s="4" t="e">
        <f aca="false">(B122-#REF!)/#REF!</f>
        <v>#REF!</v>
      </c>
      <c r="D122" s="1" t="n">
        <v>2</v>
      </c>
      <c r="E122" s="4" t="e">
        <f aca="false">(D122-#REF!)/#REF!</f>
        <v>#REF!</v>
      </c>
      <c r="F122" s="2" t="n">
        <v>296</v>
      </c>
      <c r="G122" s="4" t="e">
        <f aca="false">(F122-#REF!)/#REF!</f>
        <v>#REF!</v>
      </c>
      <c r="H122" s="2" t="n">
        <v>36.3</v>
      </c>
      <c r="I122" s="4" t="e">
        <f aca="false">(H122-#REF!)/#REF!</f>
        <v>#REF!</v>
      </c>
      <c r="J122" s="4" t="n">
        <v>3.269</v>
      </c>
      <c r="K122" s="4" t="e">
        <f aca="false">(J122-#REF!)/#REF!</f>
        <v>#REF!</v>
      </c>
      <c r="L122" s="1" t="n">
        <v>25</v>
      </c>
      <c r="M122" s="4" t="e">
        <f aca="false">(L122-#REF!)/#REF!</f>
        <v>#REF!</v>
      </c>
      <c r="N122" s="1" t="n">
        <v>31</v>
      </c>
      <c r="O122" s="4" t="e">
        <f aca="false">(N122-#REF!)/#REF!</f>
        <v>#REF!</v>
      </c>
      <c r="P122" s="1" t="n">
        <v>400</v>
      </c>
      <c r="Q122" s="4" t="e">
        <f aca="false">(P122-#REF!)/#REF!</f>
        <v>#REF!</v>
      </c>
      <c r="R122" s="1" t="n">
        <v>161</v>
      </c>
      <c r="S122" s="4" t="e">
        <f aca="false">(R122-#REF!)/#REF!</f>
        <v>#REF!</v>
      </c>
      <c r="T122" s="1" t="n">
        <f aca="false">R122-N122</f>
        <v>130</v>
      </c>
      <c r="U122" s="4" t="e">
        <f aca="false">(T122-#REF!)/#REF!</f>
        <v>#REF!</v>
      </c>
      <c r="V122" s="1" t="n">
        <v>220</v>
      </c>
      <c r="W122" s="4" t="e">
        <f aca="false">(V122-#REF!)/#REF!</f>
        <v>#REF!</v>
      </c>
      <c r="X122" s="28" t="n">
        <v>0.00341614906832298</v>
      </c>
      <c r="Y122" s="4" t="e">
        <f aca="false">(X122-#REF!)/#REF!</f>
        <v>#REF!</v>
      </c>
      <c r="Z122" s="27" t="n">
        <v>308.406432047236</v>
      </c>
      <c r="AA122" s="4" t="e">
        <f aca="false">(Z122-#REF!)/#REF!</f>
        <v>#REF!</v>
      </c>
      <c r="AB122" s="3" t="n">
        <v>500</v>
      </c>
      <c r="AC122" s="4" t="e">
        <f aca="false">(AB122-#REF!)/#REF!</f>
        <v>#REF!</v>
      </c>
      <c r="AD122" s="25" t="n">
        <v>8.17</v>
      </c>
      <c r="AE122" s="4" t="e">
        <f aca="false">(AD122-#REF!)/#REF!</f>
        <v>#REF!</v>
      </c>
      <c r="AF122" s="4" t="n">
        <v>0.33</v>
      </c>
      <c r="AG122" s="4"/>
    </row>
    <row r="123" customFormat="false" ht="14.25" hidden="false" customHeight="false" outlineLevel="0" collapsed="false">
      <c r="A123" s="0" t="s">
        <v>49</v>
      </c>
      <c r="B123" s="1" t="n">
        <v>12</v>
      </c>
      <c r="C123" s="4" t="e">
        <f aca="false">(B123-#REF!)/#REF!</f>
        <v>#REF!</v>
      </c>
      <c r="D123" s="1" t="n">
        <v>2</v>
      </c>
      <c r="E123" s="4" t="e">
        <f aca="false">(D123-#REF!)/#REF!</f>
        <v>#REF!</v>
      </c>
      <c r="F123" s="2" t="n">
        <v>296</v>
      </c>
      <c r="G123" s="4" t="e">
        <f aca="false">(F123-#REF!)/#REF!</f>
        <v>#REF!</v>
      </c>
      <c r="H123" s="2" t="n">
        <v>36.3</v>
      </c>
      <c r="I123" s="4" t="e">
        <f aca="false">(H123-#REF!)/#REF!</f>
        <v>#REF!</v>
      </c>
      <c r="J123" s="4" t="n">
        <v>3.269</v>
      </c>
      <c r="K123" s="4" t="e">
        <f aca="false">(J123-#REF!)/#REF!</f>
        <v>#REF!</v>
      </c>
      <c r="L123" s="1" t="n">
        <v>25</v>
      </c>
      <c r="M123" s="4" t="e">
        <f aca="false">(L123-#REF!)/#REF!</f>
        <v>#REF!</v>
      </c>
      <c r="N123" s="1" t="n">
        <v>31</v>
      </c>
      <c r="O123" s="4" t="e">
        <f aca="false">(N123-#REF!)/#REF!</f>
        <v>#REF!</v>
      </c>
      <c r="P123" s="1" t="n">
        <v>400</v>
      </c>
      <c r="Q123" s="4" t="e">
        <f aca="false">(P123-#REF!)/#REF!</f>
        <v>#REF!</v>
      </c>
      <c r="R123" s="1" t="n">
        <v>161</v>
      </c>
      <c r="S123" s="4" t="e">
        <f aca="false">(R123-#REF!)/#REF!</f>
        <v>#REF!</v>
      </c>
      <c r="T123" s="1" t="n">
        <f aca="false">R123-N123</f>
        <v>130</v>
      </c>
      <c r="U123" s="4" t="e">
        <f aca="false">(T123-#REF!)/#REF!</f>
        <v>#REF!</v>
      </c>
      <c r="V123" s="1" t="n">
        <v>220</v>
      </c>
      <c r="W123" s="4" t="e">
        <f aca="false">(V123-#REF!)/#REF!</f>
        <v>#REF!</v>
      </c>
      <c r="X123" s="28" t="n">
        <v>0.00341614906832298</v>
      </c>
      <c r="Y123" s="4" t="e">
        <f aca="false">(X123-#REF!)/#REF!</f>
        <v>#REF!</v>
      </c>
      <c r="Z123" s="27" t="n">
        <v>242.346302783752</v>
      </c>
      <c r="AA123" s="4" t="e">
        <f aca="false">(Z123-#REF!)/#REF!</f>
        <v>#REF!</v>
      </c>
      <c r="AB123" s="3" t="n">
        <v>500</v>
      </c>
      <c r="AC123" s="4" t="e">
        <f aca="false">(AB123-#REF!)/#REF!</f>
        <v>#REF!</v>
      </c>
      <c r="AD123" s="25" t="n">
        <v>6.42</v>
      </c>
      <c r="AE123" s="4" t="e">
        <f aca="false">(AD123-#REF!)/#REF!</f>
        <v>#REF!</v>
      </c>
      <c r="AF123" s="4" t="n">
        <v>0.23</v>
      </c>
      <c r="AG123" s="4"/>
    </row>
    <row r="124" customFormat="false" ht="14.25" hidden="false" customHeight="false" outlineLevel="0" collapsed="false">
      <c r="B124" s="1" t="n">
        <v>12</v>
      </c>
      <c r="C124" s="4" t="e">
        <f aca="false">(B124-#REF!)/#REF!</f>
        <v>#REF!</v>
      </c>
      <c r="D124" s="1" t="n">
        <v>2</v>
      </c>
      <c r="E124" s="4" t="e">
        <f aca="false">(D124-#REF!)/#REF!</f>
        <v>#REF!</v>
      </c>
      <c r="F124" s="2" t="n">
        <v>296</v>
      </c>
      <c r="G124" s="4" t="e">
        <f aca="false">(F124-#REF!)/#REF!</f>
        <v>#REF!</v>
      </c>
      <c r="H124" s="2" t="n">
        <v>36.3</v>
      </c>
      <c r="I124" s="4" t="e">
        <f aca="false">(H124-#REF!)/#REF!</f>
        <v>#REF!</v>
      </c>
      <c r="J124" s="4" t="n">
        <v>3.269</v>
      </c>
      <c r="K124" s="4" t="e">
        <f aca="false">(J124-#REF!)/#REF!</f>
        <v>#REF!</v>
      </c>
      <c r="L124" s="1" t="n">
        <v>25</v>
      </c>
      <c r="M124" s="4" t="e">
        <f aca="false">(L124-#REF!)/#REF!</f>
        <v>#REF!</v>
      </c>
      <c r="N124" s="1" t="n">
        <v>31</v>
      </c>
      <c r="O124" s="4" t="e">
        <f aca="false">(N124-#REF!)/#REF!</f>
        <v>#REF!</v>
      </c>
      <c r="P124" s="1" t="n">
        <v>400</v>
      </c>
      <c r="Q124" s="4" t="e">
        <f aca="false">(P124-#REF!)/#REF!</f>
        <v>#REF!</v>
      </c>
      <c r="R124" s="1" t="n">
        <v>161</v>
      </c>
      <c r="S124" s="4" t="e">
        <f aca="false">(R124-#REF!)/#REF!</f>
        <v>#REF!</v>
      </c>
      <c r="T124" s="1" t="n">
        <f aca="false">R124-N124</f>
        <v>130</v>
      </c>
      <c r="U124" s="4" t="e">
        <f aca="false">(T124-#REF!)/#REF!</f>
        <v>#REF!</v>
      </c>
      <c r="V124" s="1" t="n">
        <v>220</v>
      </c>
      <c r="W124" s="4" t="e">
        <f aca="false">(V124-#REF!)/#REF!</f>
        <v>#REF!</v>
      </c>
      <c r="X124" s="28" t="n">
        <v>0.00341614906832298</v>
      </c>
      <c r="Y124" s="4" t="e">
        <f aca="false">(X124-#REF!)/#REF!</f>
        <v>#REF!</v>
      </c>
      <c r="Z124" s="27" t="n">
        <v>308.406432047236</v>
      </c>
      <c r="AA124" s="4" t="e">
        <f aca="false">(Z124-#REF!)/#REF!</f>
        <v>#REF!</v>
      </c>
      <c r="AB124" s="3" t="n">
        <v>500</v>
      </c>
      <c r="AC124" s="4" t="e">
        <f aca="false">(AB124-#REF!)/#REF!</f>
        <v>#REF!</v>
      </c>
      <c r="AD124" s="25" t="n">
        <v>8.17</v>
      </c>
      <c r="AE124" s="4" t="e">
        <f aca="false">(AD124-#REF!)/#REF!</f>
        <v>#REF!</v>
      </c>
      <c r="AF124" s="4" t="n">
        <v>0.28</v>
      </c>
      <c r="AG124" s="4"/>
    </row>
    <row r="125" customFormat="false" ht="14.25" hidden="false" customHeight="false" outlineLevel="0" collapsed="false">
      <c r="A125" s="0" t="s">
        <v>50</v>
      </c>
      <c r="B125" s="1" t="n">
        <v>12</v>
      </c>
      <c r="C125" s="4" t="e">
        <f aca="false">(B125-#REF!)/#REF!</f>
        <v>#REF!</v>
      </c>
      <c r="D125" s="1" t="n">
        <v>3</v>
      </c>
      <c r="E125" s="4" t="e">
        <f aca="false">(D125-#REF!)/#REF!</f>
        <v>#REF!</v>
      </c>
      <c r="F125" s="2" t="n">
        <v>142</v>
      </c>
      <c r="G125" s="4" t="e">
        <f aca="false">(F125-#REF!)/#REF!</f>
        <v>#REF!</v>
      </c>
      <c r="H125" s="2" t="n">
        <v>36.3</v>
      </c>
      <c r="I125" s="4" t="e">
        <f aca="false">(H125-#REF!)/#REF!</f>
        <v>#REF!</v>
      </c>
      <c r="J125" s="4" t="n">
        <v>3.269</v>
      </c>
      <c r="K125" s="4" t="e">
        <f aca="false">(J125-#REF!)/#REF!</f>
        <v>#REF!</v>
      </c>
      <c r="L125" s="1" t="n">
        <v>25</v>
      </c>
      <c r="M125" s="4" t="e">
        <f aca="false">(L125-#REF!)/#REF!</f>
        <v>#REF!</v>
      </c>
      <c r="N125" s="1" t="n">
        <v>31</v>
      </c>
      <c r="O125" s="4" t="e">
        <f aca="false">(N125-#REF!)/#REF!</f>
        <v>#REF!</v>
      </c>
      <c r="P125" s="1" t="n">
        <v>400</v>
      </c>
      <c r="Q125" s="4" t="e">
        <f aca="false">(P125-#REF!)/#REF!</f>
        <v>#REF!</v>
      </c>
      <c r="R125" s="1" t="n">
        <v>161</v>
      </c>
      <c r="S125" s="4" t="e">
        <f aca="false">(R125-#REF!)/#REF!</f>
        <v>#REF!</v>
      </c>
      <c r="T125" s="1" t="n">
        <f aca="false">R125-N125</f>
        <v>130</v>
      </c>
      <c r="U125" s="4" t="e">
        <f aca="false">(T125-#REF!)/#REF!</f>
        <v>#REF!</v>
      </c>
      <c r="V125" s="1" t="n">
        <v>330</v>
      </c>
      <c r="W125" s="4" t="e">
        <f aca="false">(V125-#REF!)/#REF!</f>
        <v>#REF!</v>
      </c>
      <c r="X125" s="28" t="n">
        <v>0.00512422360248447</v>
      </c>
      <c r="Y125" s="4" t="e">
        <f aca="false">(X125-#REF!)/#REF!</f>
        <v>#REF!</v>
      </c>
      <c r="Z125" s="27" t="n">
        <v>208.779739289304</v>
      </c>
      <c r="AA125" s="4" t="e">
        <f aca="false">(Z125-#REF!)/#REF!</f>
        <v>#REF!</v>
      </c>
      <c r="AB125" s="3" t="n">
        <v>500</v>
      </c>
      <c r="AC125" s="4" t="e">
        <f aca="false">(AB125-#REF!)/#REF!</f>
        <v>#REF!</v>
      </c>
      <c r="AD125" s="25" t="n">
        <v>8.17</v>
      </c>
      <c r="AE125" s="4" t="e">
        <f aca="false">(AD125-#REF!)/#REF!</f>
        <v>#REF!</v>
      </c>
      <c r="AF125" s="4" t="n">
        <v>0.18</v>
      </c>
      <c r="AG125" s="4"/>
    </row>
    <row r="126" customFormat="false" ht="14.25" hidden="false" customHeight="false" outlineLevel="0" collapsed="false">
      <c r="B126" s="1" t="n">
        <v>12</v>
      </c>
      <c r="C126" s="4" t="e">
        <f aca="false">(B126-#REF!)/#REF!</f>
        <v>#REF!</v>
      </c>
      <c r="D126" s="1" t="n">
        <v>3</v>
      </c>
      <c r="E126" s="4" t="e">
        <f aca="false">(D126-#REF!)/#REF!</f>
        <v>#REF!</v>
      </c>
      <c r="F126" s="2" t="n">
        <v>142</v>
      </c>
      <c r="G126" s="4" t="e">
        <f aca="false">(F126-#REF!)/#REF!</f>
        <v>#REF!</v>
      </c>
      <c r="H126" s="2" t="n">
        <v>36.3</v>
      </c>
      <c r="I126" s="4" t="e">
        <f aca="false">(H126-#REF!)/#REF!</f>
        <v>#REF!</v>
      </c>
      <c r="J126" s="4" t="n">
        <v>3.269</v>
      </c>
      <c r="K126" s="4" t="e">
        <f aca="false">(J126-#REF!)/#REF!</f>
        <v>#REF!</v>
      </c>
      <c r="L126" s="1" t="n">
        <v>25</v>
      </c>
      <c r="M126" s="4" t="e">
        <f aca="false">(L126-#REF!)/#REF!</f>
        <v>#REF!</v>
      </c>
      <c r="N126" s="1" t="n">
        <v>31</v>
      </c>
      <c r="O126" s="4" t="e">
        <f aca="false">(N126-#REF!)/#REF!</f>
        <v>#REF!</v>
      </c>
      <c r="P126" s="1" t="n">
        <v>400</v>
      </c>
      <c r="Q126" s="4" t="e">
        <f aca="false">(P126-#REF!)/#REF!</f>
        <v>#REF!</v>
      </c>
      <c r="R126" s="1" t="n">
        <v>161</v>
      </c>
      <c r="S126" s="4" t="e">
        <f aca="false">(R126-#REF!)/#REF!</f>
        <v>#REF!</v>
      </c>
      <c r="T126" s="1" t="n">
        <f aca="false">R126-N126</f>
        <v>130</v>
      </c>
      <c r="U126" s="4" t="e">
        <f aca="false">(T126-#REF!)/#REF!</f>
        <v>#REF!</v>
      </c>
      <c r="V126" s="1" t="n">
        <v>330</v>
      </c>
      <c r="W126" s="4" t="e">
        <f aca="false">(V126-#REF!)/#REF!</f>
        <v>#REF!</v>
      </c>
      <c r="X126" s="28" t="n">
        <v>0.00512422360248447</v>
      </c>
      <c r="Y126" s="4" t="e">
        <f aca="false">(X126-#REF!)/#REF!</f>
        <v>#REF!</v>
      </c>
      <c r="Z126" s="27" t="n">
        <v>253.500001682973</v>
      </c>
      <c r="AA126" s="4" t="e">
        <f aca="false">(Z126-#REF!)/#REF!</f>
        <v>#REF!</v>
      </c>
      <c r="AB126" s="3" t="n">
        <v>500</v>
      </c>
      <c r="AC126" s="4" t="e">
        <f aca="false">(AB126-#REF!)/#REF!</f>
        <v>#REF!</v>
      </c>
      <c r="AD126" s="25" t="n">
        <v>9.92</v>
      </c>
      <c r="AE126" s="4" t="e">
        <f aca="false">(AD126-#REF!)/#REF!</f>
        <v>#REF!</v>
      </c>
      <c r="AF126" s="4" t="n">
        <v>0.23</v>
      </c>
      <c r="AG126" s="4"/>
    </row>
    <row r="127" customFormat="false" ht="14.25" hidden="false" customHeight="false" outlineLevel="0" collapsed="false">
      <c r="B127" s="1" t="n">
        <v>12</v>
      </c>
      <c r="C127" s="4" t="e">
        <f aca="false">(B127-#REF!)/#REF!</f>
        <v>#REF!</v>
      </c>
      <c r="D127" s="1" t="n">
        <v>3</v>
      </c>
      <c r="E127" s="4" t="e">
        <f aca="false">(D127-#REF!)/#REF!</f>
        <v>#REF!</v>
      </c>
      <c r="F127" s="2" t="n">
        <v>142</v>
      </c>
      <c r="G127" s="4" t="e">
        <f aca="false">(F127-#REF!)/#REF!</f>
        <v>#REF!</v>
      </c>
      <c r="H127" s="2" t="n">
        <v>36.3</v>
      </c>
      <c r="I127" s="4" t="e">
        <f aca="false">(H127-#REF!)/#REF!</f>
        <v>#REF!</v>
      </c>
      <c r="J127" s="4" t="n">
        <v>3.269</v>
      </c>
      <c r="K127" s="4" t="e">
        <f aca="false">(J127-#REF!)/#REF!</f>
        <v>#REF!</v>
      </c>
      <c r="L127" s="1" t="n">
        <v>25</v>
      </c>
      <c r="M127" s="4" t="e">
        <f aca="false">(L127-#REF!)/#REF!</f>
        <v>#REF!</v>
      </c>
      <c r="N127" s="1" t="n">
        <v>31</v>
      </c>
      <c r="O127" s="4" t="e">
        <f aca="false">(N127-#REF!)/#REF!</f>
        <v>#REF!</v>
      </c>
      <c r="P127" s="1" t="n">
        <v>400</v>
      </c>
      <c r="Q127" s="4" t="e">
        <f aca="false">(P127-#REF!)/#REF!</f>
        <v>#REF!</v>
      </c>
      <c r="R127" s="1" t="n">
        <v>161</v>
      </c>
      <c r="S127" s="4" t="e">
        <f aca="false">(R127-#REF!)/#REF!</f>
        <v>#REF!</v>
      </c>
      <c r="T127" s="1" t="n">
        <f aca="false">R127-N127</f>
        <v>130</v>
      </c>
      <c r="U127" s="4" t="e">
        <f aca="false">(T127-#REF!)/#REF!</f>
        <v>#REF!</v>
      </c>
      <c r="V127" s="1" t="n">
        <v>330</v>
      </c>
      <c r="W127" s="4" t="e">
        <f aca="false">(V127-#REF!)/#REF!</f>
        <v>#REF!</v>
      </c>
      <c r="X127" s="28" t="n">
        <v>0.00512422360248447</v>
      </c>
      <c r="Y127" s="4" t="e">
        <f aca="false">(X127-#REF!)/#REF!</f>
        <v>#REF!</v>
      </c>
      <c r="Z127" s="27" t="n">
        <v>298.220264076643</v>
      </c>
      <c r="AA127" s="4" t="e">
        <f aca="false">(Z127-#REF!)/#REF!</f>
        <v>#REF!</v>
      </c>
      <c r="AB127" s="3" t="n">
        <v>500</v>
      </c>
      <c r="AC127" s="4" t="e">
        <f aca="false">(AB127-#REF!)/#REF!</f>
        <v>#REF!</v>
      </c>
      <c r="AD127" s="25" t="n">
        <v>11.67</v>
      </c>
      <c r="AE127" s="4" t="e">
        <f aca="false">(AD127-#REF!)/#REF!</f>
        <v>#REF!</v>
      </c>
      <c r="AF127" s="4" t="n">
        <v>0.25</v>
      </c>
      <c r="AG127" s="4"/>
    </row>
    <row r="128" customFormat="false" ht="14.25" hidden="false" customHeight="false" outlineLevel="0" collapsed="false">
      <c r="A128" s="0" t="s">
        <v>51</v>
      </c>
      <c r="B128" s="1" t="n">
        <v>12</v>
      </c>
      <c r="C128" s="4" t="e">
        <f aca="false">(B128-#REF!)/#REF!</f>
        <v>#REF!</v>
      </c>
      <c r="D128" s="1" t="n">
        <v>3</v>
      </c>
      <c r="E128" s="4" t="e">
        <f aca="false">(D128-#REF!)/#REF!</f>
        <v>#REF!</v>
      </c>
      <c r="F128" s="2" t="n">
        <v>142</v>
      </c>
      <c r="G128" s="4" t="e">
        <f aca="false">(F128-#REF!)/#REF!</f>
        <v>#REF!</v>
      </c>
      <c r="H128" s="2" t="n">
        <v>36.3</v>
      </c>
      <c r="I128" s="4" t="e">
        <f aca="false">(H128-#REF!)/#REF!</f>
        <v>#REF!</v>
      </c>
      <c r="J128" s="4" t="n">
        <v>3.269</v>
      </c>
      <c r="K128" s="4" t="e">
        <f aca="false">(J128-#REF!)/#REF!</f>
        <v>#REF!</v>
      </c>
      <c r="L128" s="1" t="n">
        <v>25</v>
      </c>
      <c r="M128" s="4" t="e">
        <f aca="false">(L128-#REF!)/#REF!</f>
        <v>#REF!</v>
      </c>
      <c r="N128" s="1" t="n">
        <v>31</v>
      </c>
      <c r="O128" s="4" t="e">
        <f aca="false">(N128-#REF!)/#REF!</f>
        <v>#REF!</v>
      </c>
      <c r="P128" s="1" t="n">
        <v>400</v>
      </c>
      <c r="Q128" s="4" t="e">
        <f aca="false">(P128-#REF!)/#REF!</f>
        <v>#REF!</v>
      </c>
      <c r="R128" s="1" t="n">
        <v>161</v>
      </c>
      <c r="S128" s="4" t="e">
        <f aca="false">(R128-#REF!)/#REF!</f>
        <v>#REF!</v>
      </c>
      <c r="T128" s="1" t="n">
        <f aca="false">R128-N128</f>
        <v>130</v>
      </c>
      <c r="U128" s="4" t="e">
        <f aca="false">(T128-#REF!)/#REF!</f>
        <v>#REF!</v>
      </c>
      <c r="V128" s="1" t="n">
        <v>330</v>
      </c>
      <c r="W128" s="4" t="e">
        <f aca="false">(V128-#REF!)/#REF!</f>
        <v>#REF!</v>
      </c>
      <c r="X128" s="28" t="n">
        <v>0.00512422360248447</v>
      </c>
      <c r="Y128" s="4" t="e">
        <f aca="false">(X128-#REF!)/#REF!</f>
        <v>#REF!</v>
      </c>
      <c r="Z128" s="27" t="n">
        <v>208.779739289304</v>
      </c>
      <c r="AA128" s="4" t="e">
        <f aca="false">(Z128-#REF!)/#REF!</f>
        <v>#REF!</v>
      </c>
      <c r="AB128" s="3" t="n">
        <v>500</v>
      </c>
      <c r="AC128" s="4" t="e">
        <f aca="false">(AB128-#REF!)/#REF!</f>
        <v>#REF!</v>
      </c>
      <c r="AD128" s="25" t="n">
        <v>8.17</v>
      </c>
      <c r="AE128" s="4" t="e">
        <f aca="false">(AD128-#REF!)/#REF!</f>
        <v>#REF!</v>
      </c>
      <c r="AF128" s="4" t="n">
        <v>0.18</v>
      </c>
      <c r="AG128" s="4"/>
    </row>
    <row r="129" customFormat="false" ht="14.25" hidden="false" customHeight="false" outlineLevel="0" collapsed="false">
      <c r="B129" s="1" t="n">
        <v>12</v>
      </c>
      <c r="C129" s="4" t="e">
        <f aca="false">(B129-#REF!)/#REF!</f>
        <v>#REF!</v>
      </c>
      <c r="D129" s="1" t="n">
        <v>3</v>
      </c>
      <c r="E129" s="4" t="e">
        <f aca="false">(D129-#REF!)/#REF!</f>
        <v>#REF!</v>
      </c>
      <c r="F129" s="2" t="n">
        <v>142</v>
      </c>
      <c r="G129" s="4" t="e">
        <f aca="false">(F129-#REF!)/#REF!</f>
        <v>#REF!</v>
      </c>
      <c r="H129" s="2" t="n">
        <v>36.3</v>
      </c>
      <c r="I129" s="4" t="e">
        <f aca="false">(H129-#REF!)/#REF!</f>
        <v>#REF!</v>
      </c>
      <c r="J129" s="4" t="n">
        <v>3.269</v>
      </c>
      <c r="K129" s="4" t="e">
        <f aca="false">(J129-#REF!)/#REF!</f>
        <v>#REF!</v>
      </c>
      <c r="L129" s="1" t="n">
        <v>25</v>
      </c>
      <c r="M129" s="4" t="e">
        <f aca="false">(L129-#REF!)/#REF!</f>
        <v>#REF!</v>
      </c>
      <c r="N129" s="1" t="n">
        <v>31</v>
      </c>
      <c r="O129" s="4" t="e">
        <f aca="false">(N129-#REF!)/#REF!</f>
        <v>#REF!</v>
      </c>
      <c r="P129" s="1" t="n">
        <v>400</v>
      </c>
      <c r="Q129" s="4" t="e">
        <f aca="false">(P129-#REF!)/#REF!</f>
        <v>#REF!</v>
      </c>
      <c r="R129" s="1" t="n">
        <v>161</v>
      </c>
      <c r="S129" s="4" t="e">
        <f aca="false">(R129-#REF!)/#REF!</f>
        <v>#REF!</v>
      </c>
      <c r="T129" s="1" t="n">
        <f aca="false">R129-N129</f>
        <v>130</v>
      </c>
      <c r="U129" s="4" t="e">
        <f aca="false">(T129-#REF!)/#REF!</f>
        <v>#REF!</v>
      </c>
      <c r="V129" s="1" t="n">
        <v>330</v>
      </c>
      <c r="W129" s="4" t="e">
        <f aca="false">(V129-#REF!)/#REF!</f>
        <v>#REF!</v>
      </c>
      <c r="X129" s="28" t="n">
        <v>0.00512422360248447</v>
      </c>
      <c r="Y129" s="4" t="e">
        <f aca="false">(X129-#REF!)/#REF!</f>
        <v>#REF!</v>
      </c>
      <c r="Z129" s="27" t="n">
        <v>253.500001682973</v>
      </c>
      <c r="AA129" s="4" t="e">
        <f aca="false">(Z129-#REF!)/#REF!</f>
        <v>#REF!</v>
      </c>
      <c r="AB129" s="3" t="n">
        <v>500</v>
      </c>
      <c r="AC129" s="4" t="e">
        <f aca="false">(AB129-#REF!)/#REF!</f>
        <v>#REF!</v>
      </c>
      <c r="AD129" s="25" t="n">
        <v>9.92</v>
      </c>
      <c r="AE129" s="4" t="e">
        <f aca="false">(AD129-#REF!)/#REF!</f>
        <v>#REF!</v>
      </c>
      <c r="AF129" s="4" t="n">
        <v>0.23</v>
      </c>
      <c r="AG129" s="4"/>
    </row>
    <row r="130" customFormat="false" ht="14.25" hidden="false" customHeight="false" outlineLevel="0" collapsed="false">
      <c r="B130" s="1" t="n">
        <v>12</v>
      </c>
      <c r="C130" s="4" t="e">
        <f aca="false">(B130-#REF!)/#REF!</f>
        <v>#REF!</v>
      </c>
      <c r="D130" s="1" t="n">
        <v>3</v>
      </c>
      <c r="E130" s="4" t="e">
        <f aca="false">(D130-#REF!)/#REF!</f>
        <v>#REF!</v>
      </c>
      <c r="F130" s="2" t="n">
        <v>142</v>
      </c>
      <c r="G130" s="4" t="e">
        <f aca="false">(F130-#REF!)/#REF!</f>
        <v>#REF!</v>
      </c>
      <c r="H130" s="2" t="n">
        <v>36.3</v>
      </c>
      <c r="I130" s="4" t="e">
        <f aca="false">(H130-#REF!)/#REF!</f>
        <v>#REF!</v>
      </c>
      <c r="J130" s="4" t="n">
        <v>3.269</v>
      </c>
      <c r="K130" s="4" t="e">
        <f aca="false">(J130-#REF!)/#REF!</f>
        <v>#REF!</v>
      </c>
      <c r="L130" s="1" t="n">
        <v>25</v>
      </c>
      <c r="M130" s="4" t="e">
        <f aca="false">(L130-#REF!)/#REF!</f>
        <v>#REF!</v>
      </c>
      <c r="N130" s="1" t="n">
        <v>31</v>
      </c>
      <c r="O130" s="4" t="e">
        <f aca="false">(N130-#REF!)/#REF!</f>
        <v>#REF!</v>
      </c>
      <c r="P130" s="1" t="n">
        <v>400</v>
      </c>
      <c r="Q130" s="4" t="e">
        <f aca="false">(P130-#REF!)/#REF!</f>
        <v>#REF!</v>
      </c>
      <c r="R130" s="1" t="n">
        <v>161</v>
      </c>
      <c r="S130" s="4" t="e">
        <f aca="false">(R130-#REF!)/#REF!</f>
        <v>#REF!</v>
      </c>
      <c r="T130" s="1" t="n">
        <f aca="false">R130-N130</f>
        <v>130</v>
      </c>
      <c r="U130" s="4" t="e">
        <f aca="false">(T130-#REF!)/#REF!</f>
        <v>#REF!</v>
      </c>
      <c r="V130" s="1" t="n">
        <v>330</v>
      </c>
      <c r="W130" s="4" t="e">
        <f aca="false">(V130-#REF!)/#REF!</f>
        <v>#REF!</v>
      </c>
      <c r="X130" s="28" t="n">
        <v>0.00512422360248447</v>
      </c>
      <c r="Y130" s="4" t="e">
        <f aca="false">(X130-#REF!)/#REF!</f>
        <v>#REF!</v>
      </c>
      <c r="Z130" s="27" t="n">
        <v>298.220264076643</v>
      </c>
      <c r="AA130" s="4" t="e">
        <f aca="false">(Z130-#REF!)/#REF!</f>
        <v>#REF!</v>
      </c>
      <c r="AB130" s="3" t="n">
        <v>500</v>
      </c>
      <c r="AC130" s="4" t="e">
        <f aca="false">(AB130-#REF!)/#REF!</f>
        <v>#REF!</v>
      </c>
      <c r="AD130" s="25" t="n">
        <v>11.67</v>
      </c>
      <c r="AE130" s="4" t="e">
        <f aca="false">(AD130-#REF!)/#REF!</f>
        <v>#REF!</v>
      </c>
      <c r="AF130" s="4" t="n">
        <v>0.25</v>
      </c>
      <c r="AG130" s="4"/>
    </row>
    <row r="131" customFormat="false" ht="14.25" hidden="false" customHeight="false" outlineLevel="0" collapsed="false">
      <c r="A131" s="0" t="s">
        <v>52</v>
      </c>
      <c r="B131" s="1" t="n">
        <v>12</v>
      </c>
      <c r="C131" s="4" t="e">
        <f aca="false">(B131-#REF!)/#REF!</f>
        <v>#REF!</v>
      </c>
      <c r="D131" s="1" t="n">
        <v>4</v>
      </c>
      <c r="E131" s="4" t="e">
        <f aca="false">(D131-#REF!)/#REF!</f>
        <v>#REF!</v>
      </c>
      <c r="F131" s="2" t="n">
        <v>90.67</v>
      </c>
      <c r="G131" s="4" t="e">
        <f aca="false">(F131-#REF!)/#REF!</f>
        <v>#REF!</v>
      </c>
      <c r="H131" s="2" t="n">
        <v>36.3</v>
      </c>
      <c r="I131" s="4" t="e">
        <f aca="false">(H131-#REF!)/#REF!</f>
        <v>#REF!</v>
      </c>
      <c r="J131" s="4" t="n">
        <v>3.269</v>
      </c>
      <c r="K131" s="4" t="e">
        <f aca="false">(J131-#REF!)/#REF!</f>
        <v>#REF!</v>
      </c>
      <c r="L131" s="1" t="n">
        <v>25</v>
      </c>
      <c r="M131" s="4" t="e">
        <f aca="false">(L131-#REF!)/#REF!</f>
        <v>#REF!</v>
      </c>
      <c r="N131" s="1" t="n">
        <v>31</v>
      </c>
      <c r="O131" s="4" t="e">
        <f aca="false">(N131-#REF!)/#REF!</f>
        <v>#REF!</v>
      </c>
      <c r="P131" s="1" t="n">
        <v>400</v>
      </c>
      <c r="Q131" s="4" t="e">
        <f aca="false">(P131-#REF!)/#REF!</f>
        <v>#REF!</v>
      </c>
      <c r="R131" s="1" t="n">
        <v>161</v>
      </c>
      <c r="S131" s="4" t="e">
        <f aca="false">(R131-#REF!)/#REF!</f>
        <v>#REF!</v>
      </c>
      <c r="T131" s="1" t="n">
        <f aca="false">R131-N131</f>
        <v>130</v>
      </c>
      <c r="U131" s="4" t="e">
        <f aca="false">(T131-#REF!)/#REF!</f>
        <v>#REF!</v>
      </c>
      <c r="V131" s="1" t="n">
        <v>440</v>
      </c>
      <c r="W131" s="4" t="e">
        <f aca="false">(V131-#REF!)/#REF!</f>
        <v>#REF!</v>
      </c>
      <c r="X131" s="28" t="n">
        <v>0.00683229813664596</v>
      </c>
      <c r="Y131" s="4" t="e">
        <f aca="false">(X131-#REF!)/#REF!</f>
        <v>#REF!</v>
      </c>
      <c r="Z131" s="27" t="n">
        <v>226.45530266576</v>
      </c>
      <c r="AA131" s="4" t="e">
        <f aca="false">(Z131-#REF!)/#REF!</f>
        <v>#REF!</v>
      </c>
      <c r="AB131" s="3" t="n">
        <v>500</v>
      </c>
      <c r="AC131" s="4" t="e">
        <f aca="false">(AB131-#REF!)/#REF!</f>
        <v>#REF!</v>
      </c>
      <c r="AD131" s="25" t="n">
        <v>11.67</v>
      </c>
      <c r="AE131" s="4" t="e">
        <f aca="false">(AD131-#REF!)/#REF!</f>
        <v>#REF!</v>
      </c>
      <c r="AF131" s="4" t="n">
        <v>0.15</v>
      </c>
      <c r="AG131" s="4"/>
    </row>
    <row r="132" customFormat="false" ht="14.25" hidden="false" customHeight="false" outlineLevel="0" collapsed="false">
      <c r="B132" s="1" t="n">
        <v>12</v>
      </c>
      <c r="C132" s="4" t="e">
        <f aca="false">(B132-#REF!)/#REF!</f>
        <v>#REF!</v>
      </c>
      <c r="D132" s="1" t="n">
        <v>4</v>
      </c>
      <c r="E132" s="4" t="e">
        <f aca="false">(D132-#REF!)/#REF!</f>
        <v>#REF!</v>
      </c>
      <c r="F132" s="2" t="n">
        <v>90.67</v>
      </c>
      <c r="G132" s="4" t="e">
        <f aca="false">(F132-#REF!)/#REF!</f>
        <v>#REF!</v>
      </c>
      <c r="H132" s="2" t="n">
        <v>36.3</v>
      </c>
      <c r="I132" s="4" t="e">
        <f aca="false">(H132-#REF!)/#REF!</f>
        <v>#REF!</v>
      </c>
      <c r="J132" s="4" t="n">
        <v>3.269</v>
      </c>
      <c r="K132" s="4" t="e">
        <f aca="false">(J132-#REF!)/#REF!</f>
        <v>#REF!</v>
      </c>
      <c r="L132" s="1" t="n">
        <v>25</v>
      </c>
      <c r="M132" s="4" t="e">
        <f aca="false">(L132-#REF!)/#REF!</f>
        <v>#REF!</v>
      </c>
      <c r="N132" s="1" t="n">
        <v>31</v>
      </c>
      <c r="O132" s="4" t="e">
        <f aca="false">(N132-#REF!)/#REF!</f>
        <v>#REF!</v>
      </c>
      <c r="P132" s="1" t="n">
        <v>400</v>
      </c>
      <c r="Q132" s="4" t="e">
        <f aca="false">(P132-#REF!)/#REF!</f>
        <v>#REF!</v>
      </c>
      <c r="R132" s="1" t="n">
        <v>161</v>
      </c>
      <c r="S132" s="4" t="e">
        <f aca="false">(R132-#REF!)/#REF!</f>
        <v>#REF!</v>
      </c>
      <c r="T132" s="1" t="n">
        <f aca="false">R132-N132</f>
        <v>130</v>
      </c>
      <c r="U132" s="4" t="e">
        <f aca="false">(T132-#REF!)/#REF!</f>
        <v>#REF!</v>
      </c>
      <c r="V132" s="1" t="n">
        <v>440</v>
      </c>
      <c r="W132" s="4" t="e">
        <f aca="false">(V132-#REF!)/#REF!</f>
        <v>#REF!</v>
      </c>
      <c r="X132" s="28" t="n">
        <v>0.00683229813664596</v>
      </c>
      <c r="Y132" s="4" t="e">
        <f aca="false">(X132-#REF!)/#REF!</f>
        <v>#REF!</v>
      </c>
      <c r="Z132" s="27" t="n">
        <v>260.413895610496</v>
      </c>
      <c r="AA132" s="4" t="e">
        <f aca="false">(Z132-#REF!)/#REF!</f>
        <v>#REF!</v>
      </c>
      <c r="AB132" s="3" t="n">
        <v>500</v>
      </c>
      <c r="AC132" s="4" t="e">
        <f aca="false">(AB132-#REF!)/#REF!</f>
        <v>#REF!</v>
      </c>
      <c r="AD132" s="25" t="n">
        <v>13.42</v>
      </c>
      <c r="AE132" s="4" t="e">
        <f aca="false">(AD132-#REF!)/#REF!</f>
        <v>#REF!</v>
      </c>
      <c r="AF132" s="4" t="n">
        <v>0.15</v>
      </c>
      <c r="AG132" s="4"/>
    </row>
    <row r="133" customFormat="false" ht="14.25" hidden="false" customHeight="false" outlineLevel="0" collapsed="false">
      <c r="B133" s="1" t="n">
        <v>12</v>
      </c>
      <c r="C133" s="4" t="e">
        <f aca="false">(B133-#REF!)/#REF!</f>
        <v>#REF!</v>
      </c>
      <c r="D133" s="1" t="n">
        <v>4</v>
      </c>
      <c r="E133" s="4" t="e">
        <f aca="false">(D133-#REF!)/#REF!</f>
        <v>#REF!</v>
      </c>
      <c r="F133" s="2" t="n">
        <v>90.67</v>
      </c>
      <c r="G133" s="4" t="e">
        <f aca="false">(F133-#REF!)/#REF!</f>
        <v>#REF!</v>
      </c>
      <c r="H133" s="2" t="n">
        <v>36.3</v>
      </c>
      <c r="I133" s="4" t="e">
        <f aca="false">(H133-#REF!)/#REF!</f>
        <v>#REF!</v>
      </c>
      <c r="J133" s="4" t="n">
        <v>3.269</v>
      </c>
      <c r="K133" s="4" t="e">
        <f aca="false">(J133-#REF!)/#REF!</f>
        <v>#REF!</v>
      </c>
      <c r="L133" s="1" t="n">
        <v>25</v>
      </c>
      <c r="M133" s="4" t="e">
        <f aca="false">(L133-#REF!)/#REF!</f>
        <v>#REF!</v>
      </c>
      <c r="N133" s="1" t="n">
        <v>31</v>
      </c>
      <c r="O133" s="4" t="e">
        <f aca="false">(N133-#REF!)/#REF!</f>
        <v>#REF!</v>
      </c>
      <c r="P133" s="1" t="n">
        <v>400</v>
      </c>
      <c r="Q133" s="4" t="e">
        <f aca="false">(P133-#REF!)/#REF!</f>
        <v>#REF!</v>
      </c>
      <c r="R133" s="1" t="n">
        <v>161</v>
      </c>
      <c r="S133" s="4" t="e">
        <f aca="false">(R133-#REF!)/#REF!</f>
        <v>#REF!</v>
      </c>
      <c r="T133" s="1" t="n">
        <f aca="false">R133-N133</f>
        <v>130</v>
      </c>
      <c r="U133" s="4" t="e">
        <f aca="false">(T133-#REF!)/#REF!</f>
        <v>#REF!</v>
      </c>
      <c r="V133" s="1" t="n">
        <v>440</v>
      </c>
      <c r="W133" s="4" t="e">
        <f aca="false">(V133-#REF!)/#REF!</f>
        <v>#REF!</v>
      </c>
      <c r="X133" s="28" t="n">
        <v>0.00683229813664596</v>
      </c>
      <c r="Y133" s="4" t="e">
        <f aca="false">(X133-#REF!)/#REF!</f>
        <v>#REF!</v>
      </c>
      <c r="Z133" s="27" t="n">
        <v>294.372488555233</v>
      </c>
      <c r="AA133" s="4" t="e">
        <f aca="false">(Z133-#REF!)/#REF!</f>
        <v>#REF!</v>
      </c>
      <c r="AB133" s="3" t="n">
        <v>500</v>
      </c>
      <c r="AC133" s="4" t="e">
        <f aca="false">(AB133-#REF!)/#REF!</f>
        <v>#REF!</v>
      </c>
      <c r="AD133" s="25" t="n">
        <v>15.17</v>
      </c>
      <c r="AE133" s="4" t="e">
        <f aca="false">(AD133-#REF!)/#REF!</f>
        <v>#REF!</v>
      </c>
      <c r="AF133" s="4" t="n">
        <v>0.18</v>
      </c>
      <c r="AG133" s="4"/>
    </row>
    <row r="134" customFormat="false" ht="14.25" hidden="false" customHeight="false" outlineLevel="0" collapsed="false">
      <c r="A134" s="0" t="s">
        <v>53</v>
      </c>
      <c r="B134" s="1" t="n">
        <v>12</v>
      </c>
      <c r="C134" s="4" t="e">
        <f aca="false">(B134-#REF!)/#REF!</f>
        <v>#REF!</v>
      </c>
      <c r="D134" s="1" t="n">
        <v>4</v>
      </c>
      <c r="E134" s="4" t="e">
        <f aca="false">(D134-#REF!)/#REF!</f>
        <v>#REF!</v>
      </c>
      <c r="F134" s="2" t="n">
        <v>90.67</v>
      </c>
      <c r="G134" s="4" t="e">
        <f aca="false">(F134-#REF!)/#REF!</f>
        <v>#REF!</v>
      </c>
      <c r="H134" s="2" t="n">
        <v>36.3</v>
      </c>
      <c r="I134" s="4" t="e">
        <f aca="false">(H134-#REF!)/#REF!</f>
        <v>#REF!</v>
      </c>
      <c r="J134" s="4" t="n">
        <v>3.269</v>
      </c>
      <c r="K134" s="4" t="e">
        <f aca="false">(J134-#REF!)/#REF!</f>
        <v>#REF!</v>
      </c>
      <c r="L134" s="1" t="n">
        <v>25</v>
      </c>
      <c r="M134" s="4" t="e">
        <f aca="false">(L134-#REF!)/#REF!</f>
        <v>#REF!</v>
      </c>
      <c r="N134" s="1" t="n">
        <v>31</v>
      </c>
      <c r="O134" s="4" t="e">
        <f aca="false">(N134-#REF!)/#REF!</f>
        <v>#REF!</v>
      </c>
      <c r="P134" s="1" t="n">
        <v>400</v>
      </c>
      <c r="Q134" s="4" t="e">
        <f aca="false">(P134-#REF!)/#REF!</f>
        <v>#REF!</v>
      </c>
      <c r="R134" s="1" t="n">
        <v>161</v>
      </c>
      <c r="S134" s="4" t="e">
        <f aca="false">(R134-#REF!)/#REF!</f>
        <v>#REF!</v>
      </c>
      <c r="T134" s="1" t="n">
        <f aca="false">R134-N134</f>
        <v>130</v>
      </c>
      <c r="U134" s="4" t="e">
        <f aca="false">(T134-#REF!)/#REF!</f>
        <v>#REF!</v>
      </c>
      <c r="V134" s="1" t="n">
        <v>440</v>
      </c>
      <c r="W134" s="4" t="e">
        <f aca="false">(V134-#REF!)/#REF!</f>
        <v>#REF!</v>
      </c>
      <c r="X134" s="28" t="n">
        <v>0.00683229813664596</v>
      </c>
      <c r="Y134" s="4" t="e">
        <f aca="false">(X134-#REF!)/#REF!</f>
        <v>#REF!</v>
      </c>
      <c r="Z134" s="27" t="n">
        <v>226.45530266576</v>
      </c>
      <c r="AA134" s="4" t="e">
        <f aca="false">(Z134-#REF!)/#REF!</f>
        <v>#REF!</v>
      </c>
      <c r="AB134" s="3" t="n">
        <v>500</v>
      </c>
      <c r="AC134" s="4" t="e">
        <f aca="false">(AB134-#REF!)/#REF!</f>
        <v>#REF!</v>
      </c>
      <c r="AD134" s="25" t="n">
        <v>11.67</v>
      </c>
      <c r="AE134" s="4" t="e">
        <f aca="false">(AD134-#REF!)/#REF!</f>
        <v>#REF!</v>
      </c>
      <c r="AF134" s="4" t="n">
        <v>0.18</v>
      </c>
      <c r="AG134" s="4"/>
    </row>
    <row r="135" customFormat="false" ht="14.25" hidden="false" customHeight="false" outlineLevel="0" collapsed="false">
      <c r="B135" s="1" t="n">
        <v>12</v>
      </c>
      <c r="C135" s="4" t="e">
        <f aca="false">(B135-#REF!)/#REF!</f>
        <v>#REF!</v>
      </c>
      <c r="D135" s="1" t="n">
        <v>4</v>
      </c>
      <c r="E135" s="4" t="e">
        <f aca="false">(D135-#REF!)/#REF!</f>
        <v>#REF!</v>
      </c>
      <c r="F135" s="2" t="n">
        <v>90.67</v>
      </c>
      <c r="G135" s="4" t="e">
        <f aca="false">(F135-#REF!)/#REF!</f>
        <v>#REF!</v>
      </c>
      <c r="H135" s="2" t="n">
        <v>36.3</v>
      </c>
      <c r="I135" s="4" t="e">
        <f aca="false">(H135-#REF!)/#REF!</f>
        <v>#REF!</v>
      </c>
      <c r="J135" s="4" t="n">
        <v>3.269</v>
      </c>
      <c r="K135" s="4" t="e">
        <f aca="false">(J135-#REF!)/#REF!</f>
        <v>#REF!</v>
      </c>
      <c r="L135" s="1" t="n">
        <v>25</v>
      </c>
      <c r="M135" s="4" t="e">
        <f aca="false">(L135-#REF!)/#REF!</f>
        <v>#REF!</v>
      </c>
      <c r="N135" s="1" t="n">
        <v>31</v>
      </c>
      <c r="O135" s="4" t="e">
        <f aca="false">(N135-#REF!)/#REF!</f>
        <v>#REF!</v>
      </c>
      <c r="P135" s="1" t="n">
        <v>400</v>
      </c>
      <c r="Q135" s="4" t="e">
        <f aca="false">(P135-#REF!)/#REF!</f>
        <v>#REF!</v>
      </c>
      <c r="R135" s="1" t="n">
        <v>161</v>
      </c>
      <c r="S135" s="4" t="e">
        <f aca="false">(R135-#REF!)/#REF!</f>
        <v>#REF!</v>
      </c>
      <c r="T135" s="1" t="n">
        <f aca="false">R135-N135</f>
        <v>130</v>
      </c>
      <c r="U135" s="4" t="e">
        <f aca="false">(T135-#REF!)/#REF!</f>
        <v>#REF!</v>
      </c>
      <c r="V135" s="1" t="n">
        <v>440</v>
      </c>
      <c r="W135" s="4" t="e">
        <f aca="false">(V135-#REF!)/#REF!</f>
        <v>#REF!</v>
      </c>
      <c r="X135" s="28" t="n">
        <v>0.00683229813664596</v>
      </c>
      <c r="Y135" s="4" t="e">
        <f aca="false">(X135-#REF!)/#REF!</f>
        <v>#REF!</v>
      </c>
      <c r="Z135" s="27" t="n">
        <v>260.413895610496</v>
      </c>
      <c r="AA135" s="4" t="e">
        <f aca="false">(Z135-#REF!)/#REF!</f>
        <v>#REF!</v>
      </c>
      <c r="AB135" s="3" t="n">
        <v>500</v>
      </c>
      <c r="AC135" s="4" t="e">
        <f aca="false">(AB135-#REF!)/#REF!</f>
        <v>#REF!</v>
      </c>
      <c r="AD135" s="25" t="n">
        <v>13.42</v>
      </c>
      <c r="AE135" s="4" t="e">
        <f aca="false">(AD135-#REF!)/#REF!</f>
        <v>#REF!</v>
      </c>
      <c r="AF135" s="4" t="n">
        <v>0.2</v>
      </c>
      <c r="AG135" s="4"/>
    </row>
    <row r="136" customFormat="false" ht="14.25" hidden="false" customHeight="false" outlineLevel="0" collapsed="false">
      <c r="B136" s="1" t="n">
        <v>12</v>
      </c>
      <c r="C136" s="4" t="e">
        <f aca="false">(B136-#REF!)/#REF!</f>
        <v>#REF!</v>
      </c>
      <c r="D136" s="1" t="n">
        <v>4</v>
      </c>
      <c r="E136" s="4" t="e">
        <f aca="false">(D136-#REF!)/#REF!</f>
        <v>#REF!</v>
      </c>
      <c r="F136" s="2" t="n">
        <v>90.67</v>
      </c>
      <c r="G136" s="4" t="e">
        <f aca="false">(F136-#REF!)/#REF!</f>
        <v>#REF!</v>
      </c>
      <c r="H136" s="2" t="n">
        <v>36.3</v>
      </c>
      <c r="I136" s="4" t="e">
        <f aca="false">(H136-#REF!)/#REF!</f>
        <v>#REF!</v>
      </c>
      <c r="J136" s="4" t="n">
        <v>3.269</v>
      </c>
      <c r="K136" s="4" t="e">
        <f aca="false">(J136-#REF!)/#REF!</f>
        <v>#REF!</v>
      </c>
      <c r="L136" s="1" t="n">
        <v>25</v>
      </c>
      <c r="M136" s="4" t="e">
        <f aca="false">(L136-#REF!)/#REF!</f>
        <v>#REF!</v>
      </c>
      <c r="N136" s="1" t="n">
        <v>31</v>
      </c>
      <c r="O136" s="4" t="e">
        <f aca="false">(N136-#REF!)/#REF!</f>
        <v>#REF!</v>
      </c>
      <c r="P136" s="1" t="n">
        <v>400</v>
      </c>
      <c r="Q136" s="4" t="e">
        <f aca="false">(P136-#REF!)/#REF!</f>
        <v>#REF!</v>
      </c>
      <c r="R136" s="1" t="n">
        <v>161</v>
      </c>
      <c r="S136" s="4" t="e">
        <f aca="false">(R136-#REF!)/#REF!</f>
        <v>#REF!</v>
      </c>
      <c r="T136" s="1" t="n">
        <f aca="false">R136-N136</f>
        <v>130</v>
      </c>
      <c r="U136" s="4" t="e">
        <f aca="false">(T136-#REF!)/#REF!</f>
        <v>#REF!</v>
      </c>
      <c r="V136" s="1" t="n">
        <v>440</v>
      </c>
      <c r="W136" s="4" t="e">
        <f aca="false">(V136-#REF!)/#REF!</f>
        <v>#REF!</v>
      </c>
      <c r="X136" s="28" t="n">
        <v>0.00683229813664596</v>
      </c>
      <c r="Y136" s="4" t="e">
        <f aca="false">(X136-#REF!)/#REF!</f>
        <v>#REF!</v>
      </c>
      <c r="Z136" s="27" t="n">
        <v>294.372488555233</v>
      </c>
      <c r="AA136" s="4" t="e">
        <f aca="false">(Z136-#REF!)/#REF!</f>
        <v>#REF!</v>
      </c>
      <c r="AB136" s="3" t="n">
        <v>500</v>
      </c>
      <c r="AC136" s="4" t="e">
        <f aca="false">(AB136-#REF!)/#REF!</f>
        <v>#REF!</v>
      </c>
      <c r="AD136" s="25" t="n">
        <v>15.17</v>
      </c>
      <c r="AE136" s="4" t="e">
        <f aca="false">(AD136-#REF!)/#REF!</f>
        <v>#REF!</v>
      </c>
      <c r="AF136" s="4" t="n">
        <v>0.23</v>
      </c>
      <c r="AG136" s="4"/>
    </row>
    <row r="137" customFormat="false" ht="14.25" hidden="false" customHeight="false" outlineLevel="0" collapsed="false">
      <c r="A137" s="0" t="s">
        <v>54</v>
      </c>
      <c r="B137" s="1" t="n">
        <v>10</v>
      </c>
      <c r="C137" s="4" t="e">
        <f aca="false">(B137-#REF!)/#REF!</f>
        <v>#REF!</v>
      </c>
      <c r="D137" s="1" t="n">
        <v>1</v>
      </c>
      <c r="E137" s="4" t="e">
        <f aca="false">(D137-#REF!)/#REF!</f>
        <v>#REF!</v>
      </c>
      <c r="F137" s="2" t="n">
        <v>45</v>
      </c>
      <c r="G137" s="4" t="e">
        <f aca="false">(F137-#REF!)/#REF!</f>
        <v>#REF!</v>
      </c>
      <c r="H137" s="2" t="n">
        <v>36.1</v>
      </c>
      <c r="I137" s="4" t="e">
        <f aca="false">(H137-#REF!)/#REF!</f>
        <v>#REF!</v>
      </c>
      <c r="J137" s="4" t="n">
        <v>2.8</v>
      </c>
      <c r="K137" s="4" t="e">
        <f aca="false">(J137-#REF!)/#REF!</f>
        <v>#REF!</v>
      </c>
      <c r="L137" s="1" t="n">
        <v>40</v>
      </c>
      <c r="M137" s="4" t="e">
        <f aca="false">(L137-#REF!)/#REF!</f>
        <v>#REF!</v>
      </c>
      <c r="N137" s="1" t="n">
        <v>45</v>
      </c>
      <c r="O137" s="4" t="e">
        <f aca="false">(N137-#REF!)/#REF!</f>
        <v>#REF!</v>
      </c>
      <c r="P137" s="1" t="n">
        <v>100</v>
      </c>
      <c r="Q137" s="4" t="e">
        <f aca="false">(P137-#REF!)/#REF!</f>
        <v>#REF!</v>
      </c>
      <c r="R137" s="1" t="n">
        <v>250</v>
      </c>
      <c r="S137" s="4" t="e">
        <f aca="false">(R137-#REF!)/#REF!</f>
        <v>#REF!</v>
      </c>
      <c r="T137" s="1" t="n">
        <f aca="false">R137-N137</f>
        <v>205</v>
      </c>
      <c r="U137" s="4" t="e">
        <f aca="false">(T137-#REF!)/#REF!</f>
        <v>#REF!</v>
      </c>
      <c r="V137" s="1" t="n">
        <v>78.5</v>
      </c>
      <c r="W137" s="4" t="e">
        <f aca="false">(V137-#REF!)/#REF!</f>
        <v>#REF!</v>
      </c>
      <c r="X137" s="28" t="n">
        <v>0.00314</v>
      </c>
      <c r="Y137" s="4" t="e">
        <f aca="false">(X137-#REF!)/#REF!</f>
        <v>#REF!</v>
      </c>
      <c r="Z137" s="27" t="n">
        <v>274.143632212731</v>
      </c>
      <c r="AA137" s="4" t="e">
        <f aca="false">(Z137-#REF!)/#REF!</f>
        <v>#REF!</v>
      </c>
      <c r="AB137" s="3" t="n">
        <v>528</v>
      </c>
      <c r="AC137" s="4" t="e">
        <f aca="false">(AB137-#REF!)/#REF!</f>
        <v>#REF!</v>
      </c>
      <c r="AD137" s="25" t="n">
        <v>4.1</v>
      </c>
      <c r="AE137" s="4" t="e">
        <f aca="false">(AD137-#REF!)/#REF!</f>
        <v>#REF!</v>
      </c>
      <c r="AF137" s="4" t="n">
        <v>0.16</v>
      </c>
      <c r="AG137" s="4"/>
    </row>
    <row r="138" customFormat="false" ht="14.25" hidden="false" customHeight="false" outlineLevel="0" collapsed="false">
      <c r="B138" s="1" t="n">
        <v>10</v>
      </c>
      <c r="C138" s="4" t="e">
        <f aca="false">(B138-#REF!)/#REF!</f>
        <v>#REF!</v>
      </c>
      <c r="D138" s="1" t="n">
        <v>1</v>
      </c>
      <c r="E138" s="4" t="e">
        <f aca="false">(D138-#REF!)/#REF!</f>
        <v>#REF!</v>
      </c>
      <c r="F138" s="2" t="n">
        <v>45</v>
      </c>
      <c r="G138" s="4" t="e">
        <f aca="false">(F138-#REF!)/#REF!</f>
        <v>#REF!</v>
      </c>
      <c r="H138" s="2" t="n">
        <v>36.1</v>
      </c>
      <c r="I138" s="4" t="e">
        <f aca="false">(H138-#REF!)/#REF!</f>
        <v>#REF!</v>
      </c>
      <c r="J138" s="4" t="n">
        <v>2.8</v>
      </c>
      <c r="K138" s="4" t="e">
        <f aca="false">(J138-#REF!)/#REF!</f>
        <v>#REF!</v>
      </c>
      <c r="L138" s="1" t="n">
        <v>40</v>
      </c>
      <c r="M138" s="4" t="e">
        <f aca="false">(L138-#REF!)/#REF!</f>
        <v>#REF!</v>
      </c>
      <c r="N138" s="1" t="n">
        <v>45</v>
      </c>
      <c r="O138" s="4" t="e">
        <f aca="false">(N138-#REF!)/#REF!</f>
        <v>#REF!</v>
      </c>
      <c r="P138" s="1" t="n">
        <v>100</v>
      </c>
      <c r="Q138" s="4" t="e">
        <f aca="false">(P138-#REF!)/#REF!</f>
        <v>#REF!</v>
      </c>
      <c r="R138" s="1" t="n">
        <v>250</v>
      </c>
      <c r="S138" s="4" t="e">
        <f aca="false">(R138-#REF!)/#REF!</f>
        <v>#REF!</v>
      </c>
      <c r="T138" s="1" t="n">
        <f aca="false">R138-N138</f>
        <v>205</v>
      </c>
      <c r="U138" s="4" t="e">
        <f aca="false">(T138-#REF!)/#REF!</f>
        <v>#REF!</v>
      </c>
      <c r="V138" s="1" t="n">
        <v>78.5</v>
      </c>
      <c r="W138" s="4" t="e">
        <f aca="false">(V138-#REF!)/#REF!</f>
        <v>#REF!</v>
      </c>
      <c r="X138" s="28" t="n">
        <v>0.00314</v>
      </c>
      <c r="Y138" s="4" t="e">
        <f aca="false">(X138-#REF!)/#REF!</f>
        <v>#REF!</v>
      </c>
      <c r="Z138" s="27" t="n">
        <v>294.202922374639</v>
      </c>
      <c r="AA138" s="4" t="e">
        <f aca="false">(Z138-#REF!)/#REF!</f>
        <v>#REF!</v>
      </c>
      <c r="AB138" s="3" t="n">
        <v>528</v>
      </c>
      <c r="AC138" s="4" t="e">
        <f aca="false">(AB138-#REF!)/#REF!</f>
        <v>#REF!</v>
      </c>
      <c r="AD138" s="25" t="n">
        <v>4.4</v>
      </c>
      <c r="AE138" s="4" t="e">
        <f aca="false">(AD138-#REF!)/#REF!</f>
        <v>#REF!</v>
      </c>
      <c r="AF138" s="4" t="n">
        <v>0.18</v>
      </c>
      <c r="AG138" s="4"/>
    </row>
    <row r="139" customFormat="false" ht="14.25" hidden="false" customHeight="false" outlineLevel="0" collapsed="false">
      <c r="B139" s="1" t="n">
        <v>10</v>
      </c>
      <c r="C139" s="4" t="e">
        <f aca="false">(B139-#REF!)/#REF!</f>
        <v>#REF!</v>
      </c>
      <c r="D139" s="1" t="n">
        <v>1</v>
      </c>
      <c r="E139" s="4" t="e">
        <f aca="false">(D139-#REF!)/#REF!</f>
        <v>#REF!</v>
      </c>
      <c r="F139" s="2" t="n">
        <v>45</v>
      </c>
      <c r="G139" s="4" t="e">
        <f aca="false">(F139-#REF!)/#REF!</f>
        <v>#REF!</v>
      </c>
      <c r="H139" s="2" t="n">
        <v>36.1</v>
      </c>
      <c r="I139" s="4" t="e">
        <f aca="false">(H139-#REF!)/#REF!</f>
        <v>#REF!</v>
      </c>
      <c r="J139" s="4" t="n">
        <v>2.8</v>
      </c>
      <c r="K139" s="4" t="e">
        <f aca="false">(J139-#REF!)/#REF!</f>
        <v>#REF!</v>
      </c>
      <c r="L139" s="1" t="n">
        <v>40</v>
      </c>
      <c r="M139" s="4" t="e">
        <f aca="false">(L139-#REF!)/#REF!</f>
        <v>#REF!</v>
      </c>
      <c r="N139" s="1" t="n">
        <v>45</v>
      </c>
      <c r="O139" s="4" t="e">
        <f aca="false">(N139-#REF!)/#REF!</f>
        <v>#REF!</v>
      </c>
      <c r="P139" s="1" t="n">
        <v>100</v>
      </c>
      <c r="Q139" s="4" t="e">
        <f aca="false">(P139-#REF!)/#REF!</f>
        <v>#REF!</v>
      </c>
      <c r="R139" s="1" t="n">
        <v>250</v>
      </c>
      <c r="S139" s="4" t="e">
        <f aca="false">(R139-#REF!)/#REF!</f>
        <v>#REF!</v>
      </c>
      <c r="T139" s="1" t="n">
        <f aca="false">R139-N139</f>
        <v>205</v>
      </c>
      <c r="U139" s="4" t="e">
        <f aca="false">(T139-#REF!)/#REF!</f>
        <v>#REF!</v>
      </c>
      <c r="V139" s="1" t="n">
        <v>78.5</v>
      </c>
      <c r="W139" s="4" t="e">
        <f aca="false">(V139-#REF!)/#REF!</f>
        <v>#REF!</v>
      </c>
      <c r="X139" s="28" t="n">
        <v>0.00314</v>
      </c>
      <c r="Y139" s="4" t="e">
        <f aca="false">(X139-#REF!)/#REF!</f>
        <v>#REF!</v>
      </c>
      <c r="Z139" s="27" t="n">
        <v>316.936784558133</v>
      </c>
      <c r="AA139" s="4" t="e">
        <f aca="false">(Z139-#REF!)/#REF!</f>
        <v>#REF!</v>
      </c>
      <c r="AB139" s="3" t="n">
        <v>528</v>
      </c>
      <c r="AC139" s="4" t="e">
        <f aca="false">(AB139-#REF!)/#REF!</f>
        <v>#REF!</v>
      </c>
      <c r="AD139" s="25" t="n">
        <v>4.74</v>
      </c>
      <c r="AE139" s="4" t="e">
        <f aca="false">(AD139-#REF!)/#REF!</f>
        <v>#REF!</v>
      </c>
      <c r="AF139" s="4" t="n">
        <v>0.2</v>
      </c>
      <c r="AG139" s="4"/>
    </row>
    <row r="140" customFormat="false" ht="14.25" hidden="false" customHeight="false" outlineLevel="0" collapsed="false">
      <c r="B140" s="1" t="n">
        <v>10</v>
      </c>
      <c r="C140" s="4" t="e">
        <f aca="false">(B140-#REF!)/#REF!</f>
        <v>#REF!</v>
      </c>
      <c r="D140" s="1" t="n">
        <v>1</v>
      </c>
      <c r="E140" s="4" t="e">
        <f aca="false">(D140-#REF!)/#REF!</f>
        <v>#REF!</v>
      </c>
      <c r="F140" s="2" t="n">
        <v>45</v>
      </c>
      <c r="G140" s="4" t="e">
        <f aca="false">(F140-#REF!)/#REF!</f>
        <v>#REF!</v>
      </c>
      <c r="H140" s="2" t="n">
        <v>36.1</v>
      </c>
      <c r="I140" s="4" t="e">
        <f aca="false">(H140-#REF!)/#REF!</f>
        <v>#REF!</v>
      </c>
      <c r="J140" s="4" t="n">
        <v>2.8</v>
      </c>
      <c r="K140" s="4" t="e">
        <f aca="false">(J140-#REF!)/#REF!</f>
        <v>#REF!</v>
      </c>
      <c r="L140" s="1" t="n">
        <v>40</v>
      </c>
      <c r="M140" s="4" t="e">
        <f aca="false">(L140-#REF!)/#REF!</f>
        <v>#REF!</v>
      </c>
      <c r="N140" s="1" t="n">
        <v>45</v>
      </c>
      <c r="O140" s="4" t="e">
        <f aca="false">(N140-#REF!)/#REF!</f>
        <v>#REF!</v>
      </c>
      <c r="P140" s="1" t="n">
        <v>100</v>
      </c>
      <c r="Q140" s="4" t="e">
        <f aca="false">(P140-#REF!)/#REF!</f>
        <v>#REF!</v>
      </c>
      <c r="R140" s="1" t="n">
        <v>250</v>
      </c>
      <c r="S140" s="4" t="e">
        <f aca="false">(R140-#REF!)/#REF!</f>
        <v>#REF!</v>
      </c>
      <c r="T140" s="1" t="n">
        <f aca="false">R140-N140</f>
        <v>205</v>
      </c>
      <c r="U140" s="4" t="e">
        <f aca="false">(T140-#REF!)/#REF!</f>
        <v>#REF!</v>
      </c>
      <c r="V140" s="1" t="n">
        <v>78.5</v>
      </c>
      <c r="W140" s="4" t="e">
        <f aca="false">(V140-#REF!)/#REF!</f>
        <v>#REF!</v>
      </c>
      <c r="X140" s="28" t="n">
        <v>0.00314</v>
      </c>
      <c r="Y140" s="4" t="e">
        <f aca="false">(X140-#REF!)/#REF!</f>
        <v>#REF!</v>
      </c>
      <c r="Z140" s="27" t="n">
        <v>336.996074720041</v>
      </c>
      <c r="AA140" s="4" t="e">
        <f aca="false">(Z140-#REF!)/#REF!</f>
        <v>#REF!</v>
      </c>
      <c r="AB140" s="3" t="n">
        <v>528</v>
      </c>
      <c r="AC140" s="4" t="e">
        <f aca="false">(AB140-#REF!)/#REF!</f>
        <v>#REF!</v>
      </c>
      <c r="AD140" s="25" t="n">
        <v>5.04</v>
      </c>
      <c r="AE140" s="4" t="e">
        <f aca="false">(AD140-#REF!)/#REF!</f>
        <v>#REF!</v>
      </c>
      <c r="AF140" s="4" t="n">
        <v>0.22</v>
      </c>
      <c r="AG140" s="4"/>
    </row>
    <row r="141" customFormat="false" ht="14.25" hidden="false" customHeight="false" outlineLevel="0" collapsed="false">
      <c r="B141" s="1" t="n">
        <v>10</v>
      </c>
      <c r="C141" s="4" t="e">
        <f aca="false">(B141-#REF!)/#REF!</f>
        <v>#REF!</v>
      </c>
      <c r="D141" s="1" t="n">
        <v>1</v>
      </c>
      <c r="E141" s="4" t="e">
        <f aca="false">(D141-#REF!)/#REF!</f>
        <v>#REF!</v>
      </c>
      <c r="F141" s="2" t="n">
        <v>45</v>
      </c>
      <c r="G141" s="4" t="e">
        <f aca="false">(F141-#REF!)/#REF!</f>
        <v>#REF!</v>
      </c>
      <c r="H141" s="2" t="n">
        <v>36.1</v>
      </c>
      <c r="I141" s="4" t="e">
        <f aca="false">(H141-#REF!)/#REF!</f>
        <v>#REF!</v>
      </c>
      <c r="J141" s="4" t="n">
        <v>2.8</v>
      </c>
      <c r="K141" s="4" t="e">
        <f aca="false">(J141-#REF!)/#REF!</f>
        <v>#REF!</v>
      </c>
      <c r="L141" s="1" t="n">
        <v>40</v>
      </c>
      <c r="M141" s="4" t="e">
        <f aca="false">(L141-#REF!)/#REF!</f>
        <v>#REF!</v>
      </c>
      <c r="N141" s="1" t="n">
        <v>45</v>
      </c>
      <c r="O141" s="4" t="e">
        <f aca="false">(N141-#REF!)/#REF!</f>
        <v>#REF!</v>
      </c>
      <c r="P141" s="1" t="n">
        <v>100</v>
      </c>
      <c r="Q141" s="4" t="e">
        <f aca="false">(P141-#REF!)/#REF!</f>
        <v>#REF!</v>
      </c>
      <c r="R141" s="1" t="n">
        <v>250</v>
      </c>
      <c r="S141" s="4" t="e">
        <f aca="false">(R141-#REF!)/#REF!</f>
        <v>#REF!</v>
      </c>
      <c r="T141" s="1" t="n">
        <f aca="false">R141-N141</f>
        <v>205</v>
      </c>
      <c r="U141" s="4" t="e">
        <f aca="false">(T141-#REF!)/#REF!</f>
        <v>#REF!</v>
      </c>
      <c r="V141" s="1" t="n">
        <v>78.5</v>
      </c>
      <c r="W141" s="4" t="e">
        <f aca="false">(V141-#REF!)/#REF!</f>
        <v>#REF!</v>
      </c>
      <c r="X141" s="28" t="n">
        <v>0.00314</v>
      </c>
      <c r="Y141" s="4" t="e">
        <f aca="false">(X141-#REF!)/#REF!</f>
        <v>#REF!</v>
      </c>
      <c r="Z141" s="27" t="n">
        <v>359.729936903535</v>
      </c>
      <c r="AA141" s="4" t="e">
        <f aca="false">(Z141-#REF!)/#REF!</f>
        <v>#REF!</v>
      </c>
      <c r="AB141" s="3" t="n">
        <v>528</v>
      </c>
      <c r="AC141" s="4" t="e">
        <f aca="false">(AB141-#REF!)/#REF!</f>
        <v>#REF!</v>
      </c>
      <c r="AD141" s="25" t="n">
        <v>5.38</v>
      </c>
      <c r="AE141" s="4" t="e">
        <f aca="false">(AD141-#REF!)/#REF!</f>
        <v>#REF!</v>
      </c>
      <c r="AF141" s="4" t="n">
        <v>0.24</v>
      </c>
      <c r="AG141" s="4"/>
    </row>
    <row r="142" customFormat="false" ht="14.25" hidden="false" customHeight="false" outlineLevel="0" collapsed="false">
      <c r="B142" s="1" t="n">
        <v>10</v>
      </c>
      <c r="C142" s="4" t="e">
        <f aca="false">(B142-#REF!)/#REF!</f>
        <v>#REF!</v>
      </c>
      <c r="D142" s="1" t="n">
        <v>1</v>
      </c>
      <c r="E142" s="4" t="e">
        <f aca="false">(D142-#REF!)/#REF!</f>
        <v>#REF!</v>
      </c>
      <c r="F142" s="2" t="n">
        <v>45</v>
      </c>
      <c r="G142" s="4" t="e">
        <f aca="false">(F142-#REF!)/#REF!</f>
        <v>#REF!</v>
      </c>
      <c r="H142" s="2" t="n">
        <v>36.1</v>
      </c>
      <c r="I142" s="4" t="e">
        <f aca="false">(H142-#REF!)/#REF!</f>
        <v>#REF!</v>
      </c>
      <c r="J142" s="4" t="n">
        <v>2.8</v>
      </c>
      <c r="K142" s="4" t="e">
        <f aca="false">(J142-#REF!)/#REF!</f>
        <v>#REF!</v>
      </c>
      <c r="L142" s="1" t="n">
        <v>40</v>
      </c>
      <c r="M142" s="4" t="e">
        <f aca="false">(L142-#REF!)/#REF!</f>
        <v>#REF!</v>
      </c>
      <c r="N142" s="1" t="n">
        <v>45</v>
      </c>
      <c r="O142" s="4" t="e">
        <f aca="false">(N142-#REF!)/#REF!</f>
        <v>#REF!</v>
      </c>
      <c r="P142" s="1" t="n">
        <v>100</v>
      </c>
      <c r="Q142" s="4" t="e">
        <f aca="false">(P142-#REF!)/#REF!</f>
        <v>#REF!</v>
      </c>
      <c r="R142" s="1" t="n">
        <v>250</v>
      </c>
      <c r="S142" s="4" t="e">
        <f aca="false">(R142-#REF!)/#REF!</f>
        <v>#REF!</v>
      </c>
      <c r="T142" s="1" t="n">
        <f aca="false">R142-N142</f>
        <v>205</v>
      </c>
      <c r="U142" s="4" t="e">
        <f aca="false">(T142-#REF!)/#REF!</f>
        <v>#REF!</v>
      </c>
      <c r="V142" s="1" t="n">
        <v>78.5</v>
      </c>
      <c r="W142" s="4" t="e">
        <f aca="false">(V142-#REF!)/#REF!</f>
        <v>#REF!</v>
      </c>
      <c r="X142" s="28" t="n">
        <v>0.00314</v>
      </c>
      <c r="Y142" s="4" t="e">
        <f aca="false">(X142-#REF!)/#REF!</f>
        <v>#REF!</v>
      </c>
      <c r="Z142" s="27" t="n">
        <v>379.789227065442</v>
      </c>
      <c r="AA142" s="4" t="e">
        <f aca="false">(Z142-#REF!)/#REF!</f>
        <v>#REF!</v>
      </c>
      <c r="AB142" s="3" t="n">
        <v>528</v>
      </c>
      <c r="AC142" s="4" t="e">
        <f aca="false">(AB142-#REF!)/#REF!</f>
        <v>#REF!</v>
      </c>
      <c r="AD142" s="25" t="n">
        <v>5.68</v>
      </c>
      <c r="AE142" s="4" t="e">
        <f aca="false">(AD142-#REF!)/#REF!</f>
        <v>#REF!</v>
      </c>
      <c r="AF142" s="4" t="n">
        <v>0.26</v>
      </c>
      <c r="AG142" s="4"/>
    </row>
    <row r="143" customFormat="false" ht="14.25" hidden="false" customHeight="false" outlineLevel="0" collapsed="false">
      <c r="B143" s="1" t="n">
        <v>10</v>
      </c>
      <c r="C143" s="4" t="e">
        <f aca="false">(B143-#REF!)/#REF!</f>
        <v>#REF!</v>
      </c>
      <c r="D143" s="1" t="n">
        <v>1</v>
      </c>
      <c r="E143" s="4" t="e">
        <f aca="false">(D143-#REF!)/#REF!</f>
        <v>#REF!</v>
      </c>
      <c r="F143" s="2" t="n">
        <v>45</v>
      </c>
      <c r="G143" s="4" t="e">
        <f aca="false">(F143-#REF!)/#REF!</f>
        <v>#REF!</v>
      </c>
      <c r="H143" s="2" t="n">
        <v>36.1</v>
      </c>
      <c r="I143" s="4" t="e">
        <f aca="false">(H143-#REF!)/#REF!</f>
        <v>#REF!</v>
      </c>
      <c r="J143" s="4" t="n">
        <v>2.8</v>
      </c>
      <c r="K143" s="4" t="e">
        <f aca="false">(J143-#REF!)/#REF!</f>
        <v>#REF!</v>
      </c>
      <c r="L143" s="1" t="n">
        <v>40</v>
      </c>
      <c r="M143" s="4" t="e">
        <f aca="false">(L143-#REF!)/#REF!</f>
        <v>#REF!</v>
      </c>
      <c r="N143" s="1" t="n">
        <v>45</v>
      </c>
      <c r="O143" s="4" t="e">
        <f aca="false">(N143-#REF!)/#REF!</f>
        <v>#REF!</v>
      </c>
      <c r="P143" s="1" t="n">
        <v>100</v>
      </c>
      <c r="Q143" s="4" t="e">
        <f aca="false">(P143-#REF!)/#REF!</f>
        <v>#REF!</v>
      </c>
      <c r="R143" s="1" t="n">
        <v>250</v>
      </c>
      <c r="S143" s="4" t="e">
        <f aca="false">(R143-#REF!)/#REF!</f>
        <v>#REF!</v>
      </c>
      <c r="T143" s="1" t="n">
        <f aca="false">R143-N143</f>
        <v>205</v>
      </c>
      <c r="U143" s="4" t="e">
        <f aca="false">(T143-#REF!)/#REF!</f>
        <v>#REF!</v>
      </c>
      <c r="V143" s="1" t="n">
        <v>78.5</v>
      </c>
      <c r="W143" s="4" t="e">
        <f aca="false">(V143-#REF!)/#REF!</f>
        <v>#REF!</v>
      </c>
      <c r="X143" s="28" t="n">
        <v>0.00314</v>
      </c>
      <c r="Y143" s="4" t="e">
        <f aca="false">(X143-#REF!)/#REF!</f>
        <v>#REF!</v>
      </c>
      <c r="Z143" s="27" t="n">
        <v>403.860375259731</v>
      </c>
      <c r="AA143" s="4" t="e">
        <f aca="false">(Z143-#REF!)/#REF!</f>
        <v>#REF!</v>
      </c>
      <c r="AB143" s="3" t="n">
        <v>528</v>
      </c>
      <c r="AC143" s="4" t="e">
        <f aca="false">(AB143-#REF!)/#REF!</f>
        <v>#REF!</v>
      </c>
      <c r="AD143" s="25" t="n">
        <v>6.04</v>
      </c>
      <c r="AE143" s="4" t="e">
        <f aca="false">(AD143-#REF!)/#REF!</f>
        <v>#REF!</v>
      </c>
      <c r="AF143" s="4" t="n">
        <v>0.28</v>
      </c>
      <c r="AG143" s="4"/>
    </row>
    <row r="144" customFormat="false" ht="14.25" hidden="false" customHeight="false" outlineLevel="0" collapsed="false">
      <c r="A144" s="0" t="s">
        <v>55</v>
      </c>
      <c r="B144" s="1" t="n">
        <v>10</v>
      </c>
      <c r="C144" s="4" t="e">
        <f aca="false">(B144-#REF!)/#REF!</f>
        <v>#REF!</v>
      </c>
      <c r="D144" s="1" t="n">
        <v>1</v>
      </c>
      <c r="E144" s="4" t="e">
        <f aca="false">(D144-#REF!)/#REF!</f>
        <v>#REF!</v>
      </c>
      <c r="F144" s="2" t="n">
        <v>45</v>
      </c>
      <c r="G144" s="4" t="e">
        <f aca="false">(F144-#REF!)/#REF!</f>
        <v>#REF!</v>
      </c>
      <c r="H144" s="2" t="n">
        <v>36.1</v>
      </c>
      <c r="I144" s="4" t="e">
        <f aca="false">(H144-#REF!)/#REF!</f>
        <v>#REF!</v>
      </c>
      <c r="J144" s="4" t="n">
        <v>2.8</v>
      </c>
      <c r="K144" s="4" t="e">
        <f aca="false">(J144-#REF!)/#REF!</f>
        <v>#REF!</v>
      </c>
      <c r="L144" s="1" t="n">
        <v>40</v>
      </c>
      <c r="M144" s="4" t="e">
        <f aca="false">(L144-#REF!)/#REF!</f>
        <v>#REF!</v>
      </c>
      <c r="N144" s="1" t="n">
        <v>45</v>
      </c>
      <c r="O144" s="4" t="e">
        <f aca="false">(N144-#REF!)/#REF!</f>
        <v>#REF!</v>
      </c>
      <c r="P144" s="1" t="n">
        <v>100</v>
      </c>
      <c r="Q144" s="4" t="e">
        <f aca="false">(P144-#REF!)/#REF!</f>
        <v>#REF!</v>
      </c>
      <c r="R144" s="1" t="n">
        <v>250</v>
      </c>
      <c r="S144" s="4" t="e">
        <f aca="false">(R144-#REF!)/#REF!</f>
        <v>#REF!</v>
      </c>
      <c r="T144" s="1" t="n">
        <f aca="false">R144-N144</f>
        <v>205</v>
      </c>
      <c r="U144" s="4" t="e">
        <f aca="false">(T144-#REF!)/#REF!</f>
        <v>#REF!</v>
      </c>
      <c r="V144" s="1" t="n">
        <v>78.5</v>
      </c>
      <c r="W144" s="4" t="e">
        <f aca="false">(V144-#REF!)/#REF!</f>
        <v>#REF!</v>
      </c>
      <c r="X144" s="28" t="n">
        <v>0.00314</v>
      </c>
      <c r="Y144" s="4" t="e">
        <f aca="false">(X144-#REF!)/#REF!</f>
        <v>#REF!</v>
      </c>
      <c r="Z144" s="27" t="n">
        <v>251.409770029237</v>
      </c>
      <c r="AA144" s="4" t="e">
        <f aca="false">(Z144-#REF!)/#REF!</f>
        <v>#REF!</v>
      </c>
      <c r="AB144" s="3" t="n">
        <v>528</v>
      </c>
      <c r="AC144" s="4" t="e">
        <f aca="false">(AB144-#REF!)/#REF!</f>
        <v>#REF!</v>
      </c>
      <c r="AD144" s="25" t="n">
        <v>3.76</v>
      </c>
      <c r="AE144" s="4" t="e">
        <f aca="false">(AD144-#REF!)/#REF!</f>
        <v>#REF!</v>
      </c>
      <c r="AF144" s="4" t="n">
        <v>0.15</v>
      </c>
      <c r="AG144" s="4"/>
    </row>
    <row r="145" customFormat="false" ht="14.25" hidden="false" customHeight="false" outlineLevel="0" collapsed="false">
      <c r="B145" s="1" t="n">
        <v>10</v>
      </c>
      <c r="C145" s="4" t="e">
        <f aca="false">(B145-#REF!)/#REF!</f>
        <v>#REF!</v>
      </c>
      <c r="D145" s="1" t="n">
        <v>1</v>
      </c>
      <c r="E145" s="4" t="e">
        <f aca="false">(D145-#REF!)/#REF!</f>
        <v>#REF!</v>
      </c>
      <c r="F145" s="2" t="n">
        <v>45</v>
      </c>
      <c r="G145" s="4" t="e">
        <f aca="false">(F145-#REF!)/#REF!</f>
        <v>#REF!</v>
      </c>
      <c r="H145" s="2" t="n">
        <v>36.1</v>
      </c>
      <c r="I145" s="4" t="e">
        <f aca="false">(H145-#REF!)/#REF!</f>
        <v>#REF!</v>
      </c>
      <c r="J145" s="4" t="n">
        <v>2.8</v>
      </c>
      <c r="K145" s="4" t="e">
        <f aca="false">(J145-#REF!)/#REF!</f>
        <v>#REF!</v>
      </c>
      <c r="L145" s="1" t="n">
        <v>40</v>
      </c>
      <c r="M145" s="4" t="e">
        <f aca="false">(L145-#REF!)/#REF!</f>
        <v>#REF!</v>
      </c>
      <c r="N145" s="1" t="n">
        <v>45</v>
      </c>
      <c r="O145" s="4" t="e">
        <f aca="false">(N145-#REF!)/#REF!</f>
        <v>#REF!</v>
      </c>
      <c r="P145" s="1" t="n">
        <v>100</v>
      </c>
      <c r="Q145" s="4" t="e">
        <f aca="false">(P145-#REF!)/#REF!</f>
        <v>#REF!</v>
      </c>
      <c r="R145" s="1" t="n">
        <v>250</v>
      </c>
      <c r="S145" s="4" t="e">
        <f aca="false">(R145-#REF!)/#REF!</f>
        <v>#REF!</v>
      </c>
      <c r="T145" s="1" t="n">
        <f aca="false">R145-N145</f>
        <v>205</v>
      </c>
      <c r="U145" s="4" t="e">
        <f aca="false">(T145-#REF!)/#REF!</f>
        <v>#REF!</v>
      </c>
      <c r="V145" s="1" t="n">
        <v>78.5</v>
      </c>
      <c r="W145" s="4" t="e">
        <f aca="false">(V145-#REF!)/#REF!</f>
        <v>#REF!</v>
      </c>
      <c r="X145" s="28" t="n">
        <v>0.00314</v>
      </c>
      <c r="Y145" s="4" t="e">
        <f aca="false">(X145-#REF!)/#REF!</f>
        <v>#REF!</v>
      </c>
      <c r="Z145" s="27" t="n">
        <v>274.143632212731</v>
      </c>
      <c r="AA145" s="4" t="e">
        <f aca="false">(Z145-#REF!)/#REF!</f>
        <v>#REF!</v>
      </c>
      <c r="AB145" s="3" t="n">
        <v>528</v>
      </c>
      <c r="AC145" s="4" t="e">
        <f aca="false">(AB145-#REF!)/#REF!</f>
        <v>#REF!</v>
      </c>
      <c r="AD145" s="25" t="n">
        <v>4.1</v>
      </c>
      <c r="AE145" s="4" t="e">
        <f aca="false">(AD145-#REF!)/#REF!</f>
        <v>#REF!</v>
      </c>
      <c r="AF145" s="4" t="n">
        <v>0.17</v>
      </c>
      <c r="AG145" s="4"/>
    </row>
    <row r="146" customFormat="false" ht="14.25" hidden="false" customHeight="false" outlineLevel="0" collapsed="false">
      <c r="B146" s="1" t="n">
        <v>10</v>
      </c>
      <c r="C146" s="4" t="e">
        <f aca="false">(B146-#REF!)/#REF!</f>
        <v>#REF!</v>
      </c>
      <c r="D146" s="1" t="n">
        <v>1</v>
      </c>
      <c r="E146" s="4" t="e">
        <f aca="false">(D146-#REF!)/#REF!</f>
        <v>#REF!</v>
      </c>
      <c r="F146" s="2" t="n">
        <v>45</v>
      </c>
      <c r="G146" s="4" t="e">
        <f aca="false">(F146-#REF!)/#REF!</f>
        <v>#REF!</v>
      </c>
      <c r="H146" s="2" t="n">
        <v>36.1</v>
      </c>
      <c r="I146" s="4" t="e">
        <f aca="false">(H146-#REF!)/#REF!</f>
        <v>#REF!</v>
      </c>
      <c r="J146" s="4" t="n">
        <v>2.8</v>
      </c>
      <c r="K146" s="4" t="e">
        <f aca="false">(J146-#REF!)/#REF!</f>
        <v>#REF!</v>
      </c>
      <c r="L146" s="1" t="n">
        <v>40</v>
      </c>
      <c r="M146" s="4" t="e">
        <f aca="false">(L146-#REF!)/#REF!</f>
        <v>#REF!</v>
      </c>
      <c r="N146" s="1" t="n">
        <v>45</v>
      </c>
      <c r="O146" s="4" t="e">
        <f aca="false">(N146-#REF!)/#REF!</f>
        <v>#REF!</v>
      </c>
      <c r="P146" s="1" t="n">
        <v>100</v>
      </c>
      <c r="Q146" s="4" t="e">
        <f aca="false">(P146-#REF!)/#REF!</f>
        <v>#REF!</v>
      </c>
      <c r="R146" s="1" t="n">
        <v>250</v>
      </c>
      <c r="S146" s="4" t="e">
        <f aca="false">(R146-#REF!)/#REF!</f>
        <v>#REF!</v>
      </c>
      <c r="T146" s="1" t="n">
        <f aca="false">R146-N146</f>
        <v>205</v>
      </c>
      <c r="U146" s="4" t="e">
        <f aca="false">(T146-#REF!)/#REF!</f>
        <v>#REF!</v>
      </c>
      <c r="V146" s="1" t="n">
        <v>78.5</v>
      </c>
      <c r="W146" s="4" t="e">
        <f aca="false">(V146-#REF!)/#REF!</f>
        <v>#REF!</v>
      </c>
      <c r="X146" s="28" t="n">
        <v>0.00314</v>
      </c>
      <c r="Y146" s="4" t="e">
        <f aca="false">(X146-#REF!)/#REF!</f>
        <v>#REF!</v>
      </c>
      <c r="Z146" s="27" t="n">
        <v>295.540208385432</v>
      </c>
      <c r="AA146" s="4" t="e">
        <f aca="false">(Z146-#REF!)/#REF!</f>
        <v>#REF!</v>
      </c>
      <c r="AB146" s="3" t="n">
        <v>528</v>
      </c>
      <c r="AC146" s="4" t="e">
        <f aca="false">(AB146-#REF!)/#REF!</f>
        <v>#REF!</v>
      </c>
      <c r="AD146" s="25" t="n">
        <v>4.42</v>
      </c>
      <c r="AE146" s="4" t="e">
        <f aca="false">(AD146-#REF!)/#REF!</f>
        <v>#REF!</v>
      </c>
      <c r="AF146" s="4" t="n">
        <v>0.19</v>
      </c>
      <c r="AG146" s="4"/>
    </row>
    <row r="147" customFormat="false" ht="14.25" hidden="false" customHeight="false" outlineLevel="0" collapsed="false">
      <c r="B147" s="1" t="n">
        <v>10</v>
      </c>
      <c r="C147" s="4" t="e">
        <f aca="false">(B147-#REF!)/#REF!</f>
        <v>#REF!</v>
      </c>
      <c r="D147" s="1" t="n">
        <v>1</v>
      </c>
      <c r="E147" s="4" t="e">
        <f aca="false">(D147-#REF!)/#REF!</f>
        <v>#REF!</v>
      </c>
      <c r="F147" s="2" t="n">
        <v>45</v>
      </c>
      <c r="G147" s="4" t="e">
        <f aca="false">(F147-#REF!)/#REF!</f>
        <v>#REF!</v>
      </c>
      <c r="H147" s="2" t="n">
        <v>36.1</v>
      </c>
      <c r="I147" s="4" t="e">
        <f aca="false">(H147-#REF!)/#REF!</f>
        <v>#REF!</v>
      </c>
      <c r="J147" s="4" t="n">
        <v>2.8</v>
      </c>
      <c r="K147" s="4" t="e">
        <f aca="false">(J147-#REF!)/#REF!</f>
        <v>#REF!</v>
      </c>
      <c r="L147" s="1" t="n">
        <v>40</v>
      </c>
      <c r="M147" s="4" t="e">
        <f aca="false">(L147-#REF!)/#REF!</f>
        <v>#REF!</v>
      </c>
      <c r="N147" s="1" t="n">
        <v>45</v>
      </c>
      <c r="O147" s="4" t="e">
        <f aca="false">(N147-#REF!)/#REF!</f>
        <v>#REF!</v>
      </c>
      <c r="P147" s="1" t="n">
        <v>100</v>
      </c>
      <c r="Q147" s="4" t="e">
        <f aca="false">(P147-#REF!)/#REF!</f>
        <v>#REF!</v>
      </c>
      <c r="R147" s="1" t="n">
        <v>250</v>
      </c>
      <c r="S147" s="4" t="e">
        <f aca="false">(R147-#REF!)/#REF!</f>
        <v>#REF!</v>
      </c>
      <c r="T147" s="1" t="n">
        <f aca="false">R147-N147</f>
        <v>205</v>
      </c>
      <c r="U147" s="4" t="e">
        <f aca="false">(T147-#REF!)/#REF!</f>
        <v>#REF!</v>
      </c>
      <c r="V147" s="1" t="n">
        <v>78.5</v>
      </c>
      <c r="W147" s="4" t="e">
        <f aca="false">(V147-#REF!)/#REF!</f>
        <v>#REF!</v>
      </c>
      <c r="X147" s="28" t="n">
        <v>0.00314</v>
      </c>
      <c r="Y147" s="4" t="e">
        <f aca="false">(X147-#REF!)/#REF!</f>
        <v>#REF!</v>
      </c>
      <c r="Z147" s="27" t="n">
        <v>314.930855541943</v>
      </c>
      <c r="AA147" s="4" t="e">
        <f aca="false">(Z147-#REF!)/#REF!</f>
        <v>#REF!</v>
      </c>
      <c r="AB147" s="3" t="n">
        <v>528</v>
      </c>
      <c r="AC147" s="4" t="e">
        <f aca="false">(AB147-#REF!)/#REF!</f>
        <v>#REF!</v>
      </c>
      <c r="AD147" s="25" t="n">
        <v>4.71</v>
      </c>
      <c r="AE147" s="4" t="e">
        <f aca="false">(AD147-#REF!)/#REF!</f>
        <v>#REF!</v>
      </c>
      <c r="AF147" s="4" t="n">
        <v>0.2</v>
      </c>
      <c r="AG147" s="4"/>
    </row>
    <row r="148" customFormat="false" ht="14.25" hidden="false" customHeight="false" outlineLevel="0" collapsed="false">
      <c r="B148" s="1" t="n">
        <v>10</v>
      </c>
      <c r="C148" s="4" t="e">
        <f aca="false">(B148-#REF!)/#REF!</f>
        <v>#REF!</v>
      </c>
      <c r="D148" s="1" t="n">
        <v>1</v>
      </c>
      <c r="E148" s="4" t="e">
        <f aca="false">(D148-#REF!)/#REF!</f>
        <v>#REF!</v>
      </c>
      <c r="F148" s="2" t="n">
        <v>45</v>
      </c>
      <c r="G148" s="4" t="e">
        <f aca="false">(F148-#REF!)/#REF!</f>
        <v>#REF!</v>
      </c>
      <c r="H148" s="2" t="n">
        <v>36.1</v>
      </c>
      <c r="I148" s="4" t="e">
        <f aca="false">(H148-#REF!)/#REF!</f>
        <v>#REF!</v>
      </c>
      <c r="J148" s="4" t="n">
        <v>2.8</v>
      </c>
      <c r="K148" s="4" t="e">
        <f aca="false">(J148-#REF!)/#REF!</f>
        <v>#REF!</v>
      </c>
      <c r="L148" s="1" t="n">
        <v>40</v>
      </c>
      <c r="M148" s="4" t="e">
        <f aca="false">(L148-#REF!)/#REF!</f>
        <v>#REF!</v>
      </c>
      <c r="N148" s="1" t="n">
        <v>45</v>
      </c>
      <c r="O148" s="4" t="e">
        <f aca="false">(N148-#REF!)/#REF!</f>
        <v>#REF!</v>
      </c>
      <c r="P148" s="1" t="n">
        <v>100</v>
      </c>
      <c r="Q148" s="4" t="e">
        <f aca="false">(P148-#REF!)/#REF!</f>
        <v>#REF!</v>
      </c>
      <c r="R148" s="1" t="n">
        <v>250</v>
      </c>
      <c r="S148" s="4" t="e">
        <f aca="false">(R148-#REF!)/#REF!</f>
        <v>#REF!</v>
      </c>
      <c r="T148" s="1" t="n">
        <f aca="false">R148-N148</f>
        <v>205</v>
      </c>
      <c r="U148" s="4" t="e">
        <f aca="false">(T148-#REF!)/#REF!</f>
        <v>#REF!</v>
      </c>
      <c r="V148" s="1" t="n">
        <v>78.5</v>
      </c>
      <c r="W148" s="4" t="e">
        <f aca="false">(V148-#REF!)/#REF!</f>
        <v>#REF!</v>
      </c>
      <c r="X148" s="28" t="n">
        <v>0.00314</v>
      </c>
      <c r="Y148" s="4" t="e">
        <f aca="false">(X148-#REF!)/#REF!</f>
        <v>#REF!</v>
      </c>
      <c r="Z148" s="27" t="n">
        <v>336.996074720041</v>
      </c>
      <c r="AA148" s="4" t="e">
        <f aca="false">(Z148-#REF!)/#REF!</f>
        <v>#REF!</v>
      </c>
      <c r="AB148" s="3" t="n">
        <v>528</v>
      </c>
      <c r="AC148" s="4" t="e">
        <f aca="false">(AB148-#REF!)/#REF!</f>
        <v>#REF!</v>
      </c>
      <c r="AD148" s="25" t="n">
        <v>5.04</v>
      </c>
      <c r="AE148" s="4" t="e">
        <f aca="false">(AD148-#REF!)/#REF!</f>
        <v>#REF!</v>
      </c>
      <c r="AF148" s="4" t="n">
        <v>0.22</v>
      </c>
      <c r="AG148" s="4"/>
    </row>
    <row r="149" customFormat="false" ht="14.25" hidden="false" customHeight="false" outlineLevel="0" collapsed="false">
      <c r="B149" s="1" t="n">
        <v>10</v>
      </c>
      <c r="C149" s="4" t="e">
        <f aca="false">(B149-#REF!)/#REF!</f>
        <v>#REF!</v>
      </c>
      <c r="D149" s="1" t="n">
        <v>1</v>
      </c>
      <c r="E149" s="4" t="e">
        <f aca="false">(D149-#REF!)/#REF!</f>
        <v>#REF!</v>
      </c>
      <c r="F149" s="2" t="n">
        <v>45</v>
      </c>
      <c r="G149" s="4" t="e">
        <f aca="false">(F149-#REF!)/#REF!</f>
        <v>#REF!</v>
      </c>
      <c r="H149" s="2" t="n">
        <v>36.1</v>
      </c>
      <c r="I149" s="4" t="e">
        <f aca="false">(H149-#REF!)/#REF!</f>
        <v>#REF!</v>
      </c>
      <c r="J149" s="4" t="n">
        <v>2.8</v>
      </c>
      <c r="K149" s="4" t="e">
        <f aca="false">(J149-#REF!)/#REF!</f>
        <v>#REF!</v>
      </c>
      <c r="L149" s="1" t="n">
        <v>40</v>
      </c>
      <c r="M149" s="4" t="e">
        <f aca="false">(L149-#REF!)/#REF!</f>
        <v>#REF!</v>
      </c>
      <c r="N149" s="1" t="n">
        <v>45</v>
      </c>
      <c r="O149" s="4" t="e">
        <f aca="false">(N149-#REF!)/#REF!</f>
        <v>#REF!</v>
      </c>
      <c r="P149" s="1" t="n">
        <v>100</v>
      </c>
      <c r="Q149" s="4" t="e">
        <f aca="false">(P149-#REF!)/#REF!</f>
        <v>#REF!</v>
      </c>
      <c r="R149" s="1" t="n">
        <v>250</v>
      </c>
      <c r="S149" s="4" t="e">
        <f aca="false">(R149-#REF!)/#REF!</f>
        <v>#REF!</v>
      </c>
      <c r="T149" s="1" t="n">
        <f aca="false">R149-N149</f>
        <v>205</v>
      </c>
      <c r="U149" s="4" t="e">
        <f aca="false">(T149-#REF!)/#REF!</f>
        <v>#REF!</v>
      </c>
      <c r="V149" s="1" t="n">
        <v>78.5</v>
      </c>
      <c r="W149" s="4" t="e">
        <f aca="false">(V149-#REF!)/#REF!</f>
        <v>#REF!</v>
      </c>
      <c r="X149" s="28" t="n">
        <v>0.00314</v>
      </c>
      <c r="Y149" s="4" t="e">
        <f aca="false">(X149-#REF!)/#REF!</f>
        <v>#REF!</v>
      </c>
      <c r="Z149" s="27" t="n">
        <v>359.061293898138</v>
      </c>
      <c r="AA149" s="4" t="e">
        <f aca="false">(Z149-#REF!)/#REF!</f>
        <v>#REF!</v>
      </c>
      <c r="AB149" s="3" t="n">
        <v>528</v>
      </c>
      <c r="AC149" s="4" t="e">
        <f aca="false">(AB149-#REF!)/#REF!</f>
        <v>#REF!</v>
      </c>
      <c r="AD149" s="25" t="n">
        <v>5.37</v>
      </c>
      <c r="AE149" s="4" t="e">
        <f aca="false">(AD149-#REF!)/#REF!</f>
        <v>#REF!</v>
      </c>
      <c r="AF149" s="4" t="n">
        <v>0.24</v>
      </c>
      <c r="AG149" s="4"/>
    </row>
    <row r="150" customFormat="false" ht="14.25" hidden="false" customHeight="false" outlineLevel="0" collapsed="false">
      <c r="B150" s="1" t="n">
        <v>10</v>
      </c>
      <c r="C150" s="4" t="e">
        <f aca="false">(B150-#REF!)/#REF!</f>
        <v>#REF!</v>
      </c>
      <c r="D150" s="1" t="n">
        <v>1</v>
      </c>
      <c r="E150" s="4" t="e">
        <f aca="false">(D150-#REF!)/#REF!</f>
        <v>#REF!</v>
      </c>
      <c r="F150" s="2" t="n">
        <v>45</v>
      </c>
      <c r="G150" s="4" t="e">
        <f aca="false">(F150-#REF!)/#REF!</f>
        <v>#REF!</v>
      </c>
      <c r="H150" s="2" t="n">
        <v>36.1</v>
      </c>
      <c r="I150" s="4" t="e">
        <f aca="false">(H150-#REF!)/#REF!</f>
        <v>#REF!</v>
      </c>
      <c r="J150" s="4" t="n">
        <v>2.8</v>
      </c>
      <c r="K150" s="4" t="e">
        <f aca="false">(J150-#REF!)/#REF!</f>
        <v>#REF!</v>
      </c>
      <c r="L150" s="1" t="n">
        <v>40</v>
      </c>
      <c r="M150" s="4" t="e">
        <f aca="false">(L150-#REF!)/#REF!</f>
        <v>#REF!</v>
      </c>
      <c r="N150" s="1" t="n">
        <v>45</v>
      </c>
      <c r="O150" s="4" t="e">
        <f aca="false">(N150-#REF!)/#REF!</f>
        <v>#REF!</v>
      </c>
      <c r="P150" s="1" t="n">
        <v>100</v>
      </c>
      <c r="Q150" s="4" t="e">
        <f aca="false">(P150-#REF!)/#REF!</f>
        <v>#REF!</v>
      </c>
      <c r="R150" s="1" t="n">
        <v>250</v>
      </c>
      <c r="S150" s="4" t="e">
        <f aca="false">(R150-#REF!)/#REF!</f>
        <v>#REF!</v>
      </c>
      <c r="T150" s="1" t="n">
        <f aca="false">R150-N150</f>
        <v>205</v>
      </c>
      <c r="U150" s="4" t="e">
        <f aca="false">(T150-#REF!)/#REF!</f>
        <v>#REF!</v>
      </c>
      <c r="V150" s="1" t="n">
        <v>78.5</v>
      </c>
      <c r="W150" s="4" t="e">
        <f aca="false">(V150-#REF!)/#REF!</f>
        <v>#REF!</v>
      </c>
      <c r="X150" s="28" t="n">
        <v>0.00314</v>
      </c>
      <c r="Y150" s="4" t="e">
        <f aca="false">(X150-#REF!)/#REF!</f>
        <v>#REF!</v>
      </c>
      <c r="Z150" s="27" t="n">
        <v>377.783298049252</v>
      </c>
      <c r="AA150" s="4" t="e">
        <f aca="false">(Z150-#REF!)/#REF!</f>
        <v>#REF!</v>
      </c>
      <c r="AB150" s="3" t="n">
        <v>528</v>
      </c>
      <c r="AC150" s="4" t="e">
        <f aca="false">(AB150-#REF!)/#REF!</f>
        <v>#REF!</v>
      </c>
      <c r="AD150" s="25" t="n">
        <v>5.65</v>
      </c>
      <c r="AE150" s="4" t="e">
        <f aca="false">(AD150-#REF!)/#REF!</f>
        <v>#REF!</v>
      </c>
      <c r="AF150" s="4" t="n">
        <v>0.26</v>
      </c>
      <c r="AG150" s="4"/>
    </row>
    <row r="151" customFormat="false" ht="14.25" hidden="false" customHeight="false" outlineLevel="0" collapsed="false">
      <c r="B151" s="1" t="n">
        <v>10</v>
      </c>
      <c r="C151" s="4" t="e">
        <f aca="false">(B151-#REF!)/#REF!</f>
        <v>#REF!</v>
      </c>
      <c r="D151" s="1" t="n">
        <v>1</v>
      </c>
      <c r="E151" s="4" t="e">
        <f aca="false">(D151-#REF!)/#REF!</f>
        <v>#REF!</v>
      </c>
      <c r="F151" s="2" t="n">
        <v>45</v>
      </c>
      <c r="G151" s="4" t="e">
        <f aca="false">(F151-#REF!)/#REF!</f>
        <v>#REF!</v>
      </c>
      <c r="H151" s="2" t="n">
        <v>36.1</v>
      </c>
      <c r="I151" s="4" t="e">
        <f aca="false">(H151-#REF!)/#REF!</f>
        <v>#REF!</v>
      </c>
      <c r="J151" s="4" t="n">
        <v>2.8</v>
      </c>
      <c r="K151" s="4" t="e">
        <f aca="false">(J151-#REF!)/#REF!</f>
        <v>#REF!</v>
      </c>
      <c r="L151" s="1" t="n">
        <v>40</v>
      </c>
      <c r="M151" s="4" t="e">
        <f aca="false">(L151-#REF!)/#REF!</f>
        <v>#REF!</v>
      </c>
      <c r="N151" s="1" t="n">
        <v>45</v>
      </c>
      <c r="O151" s="4" t="e">
        <f aca="false">(N151-#REF!)/#REF!</f>
        <v>#REF!</v>
      </c>
      <c r="P151" s="1" t="n">
        <v>100</v>
      </c>
      <c r="Q151" s="4" t="e">
        <f aca="false">(P151-#REF!)/#REF!</f>
        <v>#REF!</v>
      </c>
      <c r="R151" s="1" t="n">
        <v>250</v>
      </c>
      <c r="S151" s="4" t="e">
        <f aca="false">(R151-#REF!)/#REF!</f>
        <v>#REF!</v>
      </c>
      <c r="T151" s="1" t="n">
        <f aca="false">R151-N151</f>
        <v>205</v>
      </c>
      <c r="U151" s="4" t="e">
        <f aca="false">(T151-#REF!)/#REF!</f>
        <v>#REF!</v>
      </c>
      <c r="V151" s="1" t="n">
        <v>78.5</v>
      </c>
      <c r="W151" s="4" t="e">
        <f aca="false">(V151-#REF!)/#REF!</f>
        <v>#REF!</v>
      </c>
      <c r="X151" s="28" t="n">
        <v>0.00314</v>
      </c>
      <c r="Y151" s="4" t="e">
        <f aca="false">(X151-#REF!)/#REF!</f>
        <v>#REF!</v>
      </c>
      <c r="Z151" s="27" t="n">
        <v>395.836659194968</v>
      </c>
      <c r="AA151" s="4" t="e">
        <f aca="false">(Z151-#REF!)/#REF!</f>
        <v>#REF!</v>
      </c>
      <c r="AB151" s="3" t="n">
        <v>528</v>
      </c>
      <c r="AC151" s="4" t="e">
        <f aca="false">(AB151-#REF!)/#REF!</f>
        <v>#REF!</v>
      </c>
      <c r="AD151" s="25" t="n">
        <v>5.92</v>
      </c>
      <c r="AE151" s="4" t="e">
        <f aca="false">(AD151-#REF!)/#REF!</f>
        <v>#REF!</v>
      </c>
      <c r="AF151" s="4" t="n">
        <v>0.29</v>
      </c>
      <c r="AG151" s="4"/>
    </row>
    <row r="152" customFormat="false" ht="14.25" hidden="false" customHeight="false" outlineLevel="0" collapsed="false">
      <c r="A152" s="0" t="s">
        <v>56</v>
      </c>
      <c r="B152" s="1" t="n">
        <v>20</v>
      </c>
      <c r="C152" s="4" t="e">
        <f aca="false">(B152-#REF!)/#REF!</f>
        <v>#REF!</v>
      </c>
      <c r="D152" s="1" t="n">
        <v>1</v>
      </c>
      <c r="E152" s="4" t="e">
        <f aca="false">(D152-#REF!)/#REF!</f>
        <v>#REF!</v>
      </c>
      <c r="F152" s="2" t="n">
        <v>40</v>
      </c>
      <c r="G152" s="4" t="e">
        <f aca="false">(F152-#REF!)/#REF!</f>
        <v>#REF!</v>
      </c>
      <c r="H152" s="2" t="n">
        <v>36.1</v>
      </c>
      <c r="I152" s="4" t="e">
        <f aca="false">(H152-#REF!)/#REF!</f>
        <v>#REF!</v>
      </c>
      <c r="J152" s="4" t="n">
        <v>2.8</v>
      </c>
      <c r="K152" s="4" t="e">
        <f aca="false">(J152-#REF!)/#REF!</f>
        <v>#REF!</v>
      </c>
      <c r="L152" s="1" t="n">
        <v>40</v>
      </c>
      <c r="M152" s="4" t="e">
        <f aca="false">(L152-#REF!)/#REF!</f>
        <v>#REF!</v>
      </c>
      <c r="N152" s="1" t="n">
        <v>50</v>
      </c>
      <c r="O152" s="4" t="e">
        <f aca="false">(N152-#REF!)/#REF!</f>
        <v>#REF!</v>
      </c>
      <c r="P152" s="1" t="n">
        <v>100</v>
      </c>
      <c r="Q152" s="4" t="e">
        <f aca="false">(P152-#REF!)/#REF!</f>
        <v>#REF!</v>
      </c>
      <c r="R152" s="1" t="n">
        <v>250</v>
      </c>
      <c r="S152" s="4" t="e">
        <f aca="false">(R152-#REF!)/#REF!</f>
        <v>#REF!</v>
      </c>
      <c r="T152" s="1" t="n">
        <f aca="false">R152-N152</f>
        <v>200</v>
      </c>
      <c r="U152" s="4" t="e">
        <f aca="false">(T152-#REF!)/#REF!</f>
        <v>#REF!</v>
      </c>
      <c r="V152" s="1" t="n">
        <v>315</v>
      </c>
      <c r="W152" s="4" t="e">
        <f aca="false">(V152-#REF!)/#REF!</f>
        <v>#REF!</v>
      </c>
      <c r="X152" s="28" t="n">
        <v>0.0126</v>
      </c>
      <c r="Y152" s="4" t="e">
        <f aca="false">(X152-#REF!)/#REF!</f>
        <v>#REF!</v>
      </c>
      <c r="Z152" s="27" t="n">
        <v>201.33268539096</v>
      </c>
      <c r="AA152" s="4" t="e">
        <f aca="false">(Z152-#REF!)/#REF!</f>
        <v>#REF!</v>
      </c>
      <c r="AB152" s="3" t="n">
        <v>598</v>
      </c>
      <c r="AC152" s="4" t="e">
        <f aca="false">(AB152-#REF!)/#REF!</f>
        <v>#REF!</v>
      </c>
      <c r="AD152" s="25" t="n">
        <v>11.09</v>
      </c>
      <c r="AE152" s="4" t="e">
        <f aca="false">(AD152-#REF!)/#REF!</f>
        <v>#REF!</v>
      </c>
      <c r="AF152" s="4" t="n">
        <v>0.17</v>
      </c>
      <c r="AG152" s="4"/>
    </row>
    <row r="153" customFormat="false" ht="14.25" hidden="false" customHeight="false" outlineLevel="0" collapsed="false">
      <c r="B153" s="1" t="n">
        <v>20</v>
      </c>
      <c r="C153" s="4" t="e">
        <f aca="false">(B153-#REF!)/#REF!</f>
        <v>#REF!</v>
      </c>
      <c r="D153" s="1" t="n">
        <v>1</v>
      </c>
      <c r="E153" s="4" t="e">
        <f aca="false">(D153-#REF!)/#REF!</f>
        <v>#REF!</v>
      </c>
      <c r="F153" s="2" t="n">
        <v>40</v>
      </c>
      <c r="G153" s="4" t="e">
        <f aca="false">(F153-#REF!)/#REF!</f>
        <v>#REF!</v>
      </c>
      <c r="H153" s="2" t="n">
        <v>36.1</v>
      </c>
      <c r="I153" s="4" t="e">
        <f aca="false">(H153-#REF!)/#REF!</f>
        <v>#REF!</v>
      </c>
      <c r="J153" s="4" t="n">
        <v>2.8</v>
      </c>
      <c r="K153" s="4" t="e">
        <f aca="false">(J153-#REF!)/#REF!</f>
        <v>#REF!</v>
      </c>
      <c r="L153" s="1" t="n">
        <v>40</v>
      </c>
      <c r="M153" s="4" t="e">
        <f aca="false">(L153-#REF!)/#REF!</f>
        <v>#REF!</v>
      </c>
      <c r="N153" s="1" t="n">
        <v>50</v>
      </c>
      <c r="O153" s="4" t="e">
        <f aca="false">(N153-#REF!)/#REF!</f>
        <v>#REF!</v>
      </c>
      <c r="P153" s="1" t="n">
        <v>100</v>
      </c>
      <c r="Q153" s="4" t="e">
        <f aca="false">(P153-#REF!)/#REF!</f>
        <v>#REF!</v>
      </c>
      <c r="R153" s="1" t="n">
        <v>250</v>
      </c>
      <c r="S153" s="4" t="e">
        <f aca="false">(R153-#REF!)/#REF!</f>
        <v>#REF!</v>
      </c>
      <c r="T153" s="1" t="n">
        <f aca="false">R153-N153</f>
        <v>200</v>
      </c>
      <c r="U153" s="4" t="e">
        <f aca="false">(T153-#REF!)/#REF!</f>
        <v>#REF!</v>
      </c>
      <c r="V153" s="1" t="n">
        <v>315</v>
      </c>
      <c r="W153" s="4" t="e">
        <f aca="false">(V153-#REF!)/#REF!</f>
        <v>#REF!</v>
      </c>
      <c r="X153" s="28" t="n">
        <v>0.0126</v>
      </c>
      <c r="Y153" s="4" t="e">
        <f aca="false">(X153-#REF!)/#REF!</f>
        <v>#REF!</v>
      </c>
      <c r="Z153" s="27" t="n">
        <v>235.281479050211</v>
      </c>
      <c r="AA153" s="4" t="e">
        <f aca="false">(Z153-#REF!)/#REF!</f>
        <v>#REF!</v>
      </c>
      <c r="AB153" s="3" t="n">
        <v>598</v>
      </c>
      <c r="AC153" s="4" t="e">
        <f aca="false">(AB153-#REF!)/#REF!</f>
        <v>#REF!</v>
      </c>
      <c r="AD153" s="25" t="n">
        <v>12.96</v>
      </c>
      <c r="AE153" s="4" t="e">
        <f aca="false">(AD153-#REF!)/#REF!</f>
        <v>#REF!</v>
      </c>
      <c r="AF153" s="4" t="n">
        <v>0.2</v>
      </c>
      <c r="AG153" s="4"/>
    </row>
    <row r="154" customFormat="false" ht="14.25" hidden="false" customHeight="false" outlineLevel="0" collapsed="false">
      <c r="B154" s="1" t="n">
        <v>20</v>
      </c>
      <c r="C154" s="4" t="e">
        <f aca="false">(B154-#REF!)/#REF!</f>
        <v>#REF!</v>
      </c>
      <c r="D154" s="1" t="n">
        <v>1</v>
      </c>
      <c r="E154" s="4" t="e">
        <f aca="false">(D154-#REF!)/#REF!</f>
        <v>#REF!</v>
      </c>
      <c r="F154" s="2" t="n">
        <v>40</v>
      </c>
      <c r="G154" s="4" t="e">
        <f aca="false">(F154-#REF!)/#REF!</f>
        <v>#REF!</v>
      </c>
      <c r="H154" s="2" t="n">
        <v>36.1</v>
      </c>
      <c r="I154" s="4" t="e">
        <f aca="false">(H154-#REF!)/#REF!</f>
        <v>#REF!</v>
      </c>
      <c r="J154" s="4" t="n">
        <v>2.8</v>
      </c>
      <c r="K154" s="4" t="e">
        <f aca="false">(J154-#REF!)/#REF!</f>
        <v>#REF!</v>
      </c>
      <c r="L154" s="1" t="n">
        <v>40</v>
      </c>
      <c r="M154" s="4" t="e">
        <f aca="false">(L154-#REF!)/#REF!</f>
        <v>#REF!</v>
      </c>
      <c r="N154" s="1" t="n">
        <v>50</v>
      </c>
      <c r="O154" s="4" t="e">
        <f aca="false">(N154-#REF!)/#REF!</f>
        <v>#REF!</v>
      </c>
      <c r="P154" s="1" t="n">
        <v>100</v>
      </c>
      <c r="Q154" s="4" t="e">
        <f aca="false">(P154-#REF!)/#REF!</f>
        <v>#REF!</v>
      </c>
      <c r="R154" s="1" t="n">
        <v>250</v>
      </c>
      <c r="S154" s="4" t="e">
        <f aca="false">(R154-#REF!)/#REF!</f>
        <v>#REF!</v>
      </c>
      <c r="T154" s="1" t="n">
        <f aca="false">R154-N154</f>
        <v>200</v>
      </c>
      <c r="U154" s="4" t="e">
        <f aca="false">(T154-#REF!)/#REF!</f>
        <v>#REF!</v>
      </c>
      <c r="V154" s="1" t="n">
        <v>315</v>
      </c>
      <c r="W154" s="4" t="e">
        <f aca="false">(V154-#REF!)/#REF!</f>
        <v>#REF!</v>
      </c>
      <c r="X154" s="28" t="n">
        <v>0.0126</v>
      </c>
      <c r="Y154" s="4" t="e">
        <f aca="false">(X154-#REF!)/#REF!</f>
        <v>#REF!</v>
      </c>
      <c r="Z154" s="27" t="n">
        <v>268.141006602748</v>
      </c>
      <c r="AA154" s="4" t="e">
        <f aca="false">(Z154-#REF!)/#REF!</f>
        <v>#REF!</v>
      </c>
      <c r="AB154" s="3" t="n">
        <v>598</v>
      </c>
      <c r="AC154" s="4" t="e">
        <f aca="false">(AB154-#REF!)/#REF!</f>
        <v>#REF!</v>
      </c>
      <c r="AD154" s="25" t="n">
        <v>14.77</v>
      </c>
      <c r="AE154" s="4" t="e">
        <f aca="false">(AD154-#REF!)/#REF!</f>
        <v>#REF!</v>
      </c>
      <c r="AF154" s="4" t="n">
        <v>0.24</v>
      </c>
      <c r="AG154" s="4"/>
    </row>
    <row r="155" customFormat="false" ht="14.25" hidden="false" customHeight="false" outlineLevel="0" collapsed="false">
      <c r="B155" s="1" t="n">
        <v>20</v>
      </c>
      <c r="C155" s="4" t="e">
        <f aca="false">(B155-#REF!)/#REF!</f>
        <v>#REF!</v>
      </c>
      <c r="D155" s="1" t="n">
        <v>1</v>
      </c>
      <c r="E155" s="4" t="e">
        <f aca="false">(D155-#REF!)/#REF!</f>
        <v>#REF!</v>
      </c>
      <c r="F155" s="2" t="n">
        <v>40</v>
      </c>
      <c r="G155" s="4" t="e">
        <f aca="false">(F155-#REF!)/#REF!</f>
        <v>#REF!</v>
      </c>
      <c r="H155" s="2" t="n">
        <v>36.1</v>
      </c>
      <c r="I155" s="4" t="e">
        <f aca="false">(H155-#REF!)/#REF!</f>
        <v>#REF!</v>
      </c>
      <c r="J155" s="4" t="n">
        <v>2.8</v>
      </c>
      <c r="K155" s="4" t="e">
        <f aca="false">(J155-#REF!)/#REF!</f>
        <v>#REF!</v>
      </c>
      <c r="L155" s="1" t="n">
        <v>40</v>
      </c>
      <c r="M155" s="4" t="e">
        <f aca="false">(L155-#REF!)/#REF!</f>
        <v>#REF!</v>
      </c>
      <c r="N155" s="1" t="n">
        <v>50</v>
      </c>
      <c r="O155" s="4" t="e">
        <f aca="false">(N155-#REF!)/#REF!</f>
        <v>#REF!</v>
      </c>
      <c r="P155" s="1" t="n">
        <v>100</v>
      </c>
      <c r="Q155" s="4" t="e">
        <f aca="false">(P155-#REF!)/#REF!</f>
        <v>#REF!</v>
      </c>
      <c r="R155" s="1" t="n">
        <v>250</v>
      </c>
      <c r="S155" s="4" t="e">
        <f aca="false">(R155-#REF!)/#REF!</f>
        <v>#REF!</v>
      </c>
      <c r="T155" s="1" t="n">
        <f aca="false">R155-N155</f>
        <v>200</v>
      </c>
      <c r="U155" s="4" t="e">
        <f aca="false">(T155-#REF!)/#REF!</f>
        <v>#REF!</v>
      </c>
      <c r="V155" s="1" t="n">
        <v>315</v>
      </c>
      <c r="W155" s="4" t="e">
        <f aca="false">(V155-#REF!)/#REF!</f>
        <v>#REF!</v>
      </c>
      <c r="X155" s="28" t="n">
        <v>0.0126</v>
      </c>
      <c r="Y155" s="4" t="e">
        <f aca="false">(X155-#REF!)/#REF!</f>
        <v>#REF!</v>
      </c>
      <c r="Z155" s="27" t="n">
        <v>300.818989804166</v>
      </c>
      <c r="AA155" s="4" t="e">
        <f aca="false">(Z155-#REF!)/#REF!</f>
        <v>#REF!</v>
      </c>
      <c r="AB155" s="3" t="n">
        <v>598</v>
      </c>
      <c r="AC155" s="4" t="e">
        <f aca="false">(AB155-#REF!)/#REF!</f>
        <v>#REF!</v>
      </c>
      <c r="AD155" s="25" t="n">
        <v>16.57</v>
      </c>
      <c r="AE155" s="4" t="e">
        <f aca="false">(AD155-#REF!)/#REF!</f>
        <v>#REF!</v>
      </c>
      <c r="AF155" s="4" t="n">
        <v>0.27</v>
      </c>
      <c r="AG155" s="4"/>
    </row>
    <row r="156" customFormat="false" ht="14.25" hidden="false" customHeight="false" outlineLevel="0" collapsed="false">
      <c r="B156" s="1" t="n">
        <v>20</v>
      </c>
      <c r="C156" s="4" t="e">
        <f aca="false">(B156-#REF!)/#REF!</f>
        <v>#REF!</v>
      </c>
      <c r="D156" s="1" t="n">
        <v>1</v>
      </c>
      <c r="E156" s="4" t="e">
        <f aca="false">(D156-#REF!)/#REF!</f>
        <v>#REF!</v>
      </c>
      <c r="F156" s="2" t="n">
        <v>40</v>
      </c>
      <c r="G156" s="4" t="e">
        <f aca="false">(F156-#REF!)/#REF!</f>
        <v>#REF!</v>
      </c>
      <c r="H156" s="2" t="n">
        <v>36.1</v>
      </c>
      <c r="I156" s="4" t="e">
        <f aca="false">(H156-#REF!)/#REF!</f>
        <v>#REF!</v>
      </c>
      <c r="J156" s="4" t="n">
        <v>2.8</v>
      </c>
      <c r="K156" s="4" t="e">
        <f aca="false">(J156-#REF!)/#REF!</f>
        <v>#REF!</v>
      </c>
      <c r="L156" s="1" t="n">
        <v>40</v>
      </c>
      <c r="M156" s="4" t="e">
        <f aca="false">(L156-#REF!)/#REF!</f>
        <v>#REF!</v>
      </c>
      <c r="N156" s="1" t="n">
        <v>50</v>
      </c>
      <c r="O156" s="4" t="e">
        <f aca="false">(N156-#REF!)/#REF!</f>
        <v>#REF!</v>
      </c>
      <c r="P156" s="1" t="n">
        <v>100</v>
      </c>
      <c r="Q156" s="4" t="e">
        <f aca="false">(P156-#REF!)/#REF!</f>
        <v>#REF!</v>
      </c>
      <c r="R156" s="1" t="n">
        <v>250</v>
      </c>
      <c r="S156" s="4" t="e">
        <f aca="false">(R156-#REF!)/#REF!</f>
        <v>#REF!</v>
      </c>
      <c r="T156" s="1" t="n">
        <f aca="false">R156-N156</f>
        <v>200</v>
      </c>
      <c r="U156" s="4" t="e">
        <f aca="false">(T156-#REF!)/#REF!</f>
        <v>#REF!</v>
      </c>
      <c r="V156" s="1" t="n">
        <v>315</v>
      </c>
      <c r="W156" s="4" t="e">
        <f aca="false">(V156-#REF!)/#REF!</f>
        <v>#REF!</v>
      </c>
      <c r="X156" s="28" t="n">
        <v>0.0126</v>
      </c>
      <c r="Y156" s="4" t="e">
        <f aca="false">(X156-#REF!)/#REF!</f>
        <v>#REF!</v>
      </c>
      <c r="Z156" s="27" t="n">
        <v>333.133884303346</v>
      </c>
      <c r="AA156" s="4" t="e">
        <f aca="false">(Z156-#REF!)/#REF!</f>
        <v>#REF!</v>
      </c>
      <c r="AB156" s="3" t="n">
        <v>598</v>
      </c>
      <c r="AC156" s="4" t="e">
        <f aca="false">(AB156-#REF!)/#REF!</f>
        <v>#REF!</v>
      </c>
      <c r="AD156" s="25" t="n">
        <v>18.35</v>
      </c>
      <c r="AE156" s="4" t="e">
        <f aca="false">(AD156-#REF!)/#REF!</f>
        <v>#REF!</v>
      </c>
      <c r="AF156" s="4" t="n">
        <v>0.32</v>
      </c>
      <c r="AG156" s="4"/>
    </row>
    <row r="157" customFormat="false" ht="14.25" hidden="false" customHeight="false" outlineLevel="0" collapsed="false">
      <c r="B157" s="1" t="n">
        <v>20</v>
      </c>
      <c r="C157" s="4" t="e">
        <f aca="false">(B157-#REF!)/#REF!</f>
        <v>#REF!</v>
      </c>
      <c r="D157" s="1" t="n">
        <v>1</v>
      </c>
      <c r="E157" s="4" t="e">
        <f aca="false">(D157-#REF!)/#REF!</f>
        <v>#REF!</v>
      </c>
      <c r="F157" s="2" t="n">
        <v>40</v>
      </c>
      <c r="G157" s="4" t="e">
        <f aca="false">(F157-#REF!)/#REF!</f>
        <v>#REF!</v>
      </c>
      <c r="H157" s="2" t="n">
        <v>36.1</v>
      </c>
      <c r="I157" s="4" t="e">
        <f aca="false">(H157-#REF!)/#REF!</f>
        <v>#REF!</v>
      </c>
      <c r="J157" s="4" t="n">
        <v>2.8</v>
      </c>
      <c r="K157" s="4" t="e">
        <f aca="false">(J157-#REF!)/#REF!</f>
        <v>#REF!</v>
      </c>
      <c r="L157" s="1" t="n">
        <v>40</v>
      </c>
      <c r="M157" s="4" t="e">
        <f aca="false">(L157-#REF!)/#REF!</f>
        <v>#REF!</v>
      </c>
      <c r="N157" s="1" t="n">
        <v>50</v>
      </c>
      <c r="O157" s="4" t="e">
        <f aca="false">(N157-#REF!)/#REF!</f>
        <v>#REF!</v>
      </c>
      <c r="P157" s="1" t="n">
        <v>100</v>
      </c>
      <c r="Q157" s="4" t="e">
        <f aca="false">(P157-#REF!)/#REF!</f>
        <v>#REF!</v>
      </c>
      <c r="R157" s="1" t="n">
        <v>250</v>
      </c>
      <c r="S157" s="4" t="e">
        <f aca="false">(R157-#REF!)/#REF!</f>
        <v>#REF!</v>
      </c>
      <c r="T157" s="1" t="n">
        <f aca="false">R157-N157</f>
        <v>200</v>
      </c>
      <c r="U157" s="4" t="e">
        <f aca="false">(T157-#REF!)/#REF!</f>
        <v>#REF!</v>
      </c>
      <c r="V157" s="1" t="n">
        <v>315</v>
      </c>
      <c r="W157" s="4" t="e">
        <f aca="false">(V157-#REF!)/#REF!</f>
        <v>#REF!</v>
      </c>
      <c r="X157" s="28" t="n">
        <v>0.0126</v>
      </c>
      <c r="Y157" s="4" t="e">
        <f aca="false">(X157-#REF!)/#REF!</f>
        <v>#REF!</v>
      </c>
      <c r="Z157" s="27" t="n">
        <v>366.356500558121</v>
      </c>
      <c r="AA157" s="4" t="e">
        <f aca="false">(Z157-#REF!)/#REF!</f>
        <v>#REF!</v>
      </c>
      <c r="AB157" s="3" t="n">
        <v>598</v>
      </c>
      <c r="AC157" s="4" t="e">
        <f aca="false">(AB157-#REF!)/#REF!</f>
        <v>#REF!</v>
      </c>
      <c r="AD157" s="25" t="n">
        <v>20.18</v>
      </c>
      <c r="AE157" s="4" t="e">
        <f aca="false">(AD157-#REF!)/#REF!</f>
        <v>#REF!</v>
      </c>
      <c r="AF157" s="4" t="n">
        <v>0.34</v>
      </c>
      <c r="AG157" s="4"/>
    </row>
    <row r="158" customFormat="false" ht="14.25" hidden="false" customHeight="false" outlineLevel="0" collapsed="false">
      <c r="A158" s="0" t="s">
        <v>57</v>
      </c>
      <c r="B158" s="1" t="n">
        <v>20</v>
      </c>
      <c r="C158" s="4" t="e">
        <f aca="false">(B158-#REF!)/#REF!</f>
        <v>#REF!</v>
      </c>
      <c r="D158" s="1" t="n">
        <v>1</v>
      </c>
      <c r="E158" s="4" t="e">
        <f aca="false">(D158-#REF!)/#REF!</f>
        <v>#REF!</v>
      </c>
      <c r="F158" s="2" t="n">
        <v>40</v>
      </c>
      <c r="G158" s="4" t="e">
        <f aca="false">(F158-#REF!)/#REF!</f>
        <v>#REF!</v>
      </c>
      <c r="H158" s="2" t="n">
        <v>36.1</v>
      </c>
      <c r="I158" s="4" t="e">
        <f aca="false">(H158-#REF!)/#REF!</f>
        <v>#REF!</v>
      </c>
      <c r="J158" s="4" t="n">
        <v>2.8</v>
      </c>
      <c r="K158" s="4" t="e">
        <f aca="false">(J158-#REF!)/#REF!</f>
        <v>#REF!</v>
      </c>
      <c r="L158" s="1" t="n">
        <v>40</v>
      </c>
      <c r="M158" s="4" t="e">
        <f aca="false">(L158-#REF!)/#REF!</f>
        <v>#REF!</v>
      </c>
      <c r="N158" s="1" t="n">
        <v>50</v>
      </c>
      <c r="O158" s="4" t="e">
        <f aca="false">(N158-#REF!)/#REF!</f>
        <v>#REF!</v>
      </c>
      <c r="P158" s="1" t="n">
        <v>100</v>
      </c>
      <c r="Q158" s="4" t="e">
        <f aca="false">(P158-#REF!)/#REF!</f>
        <v>#REF!</v>
      </c>
      <c r="R158" s="1" t="n">
        <v>250</v>
      </c>
      <c r="S158" s="4" t="e">
        <f aca="false">(R158-#REF!)/#REF!</f>
        <v>#REF!</v>
      </c>
      <c r="T158" s="1" t="n">
        <f aca="false">R158-N158</f>
        <v>200</v>
      </c>
      <c r="U158" s="4" t="e">
        <f aca="false">(T158-#REF!)/#REF!</f>
        <v>#REF!</v>
      </c>
      <c r="V158" s="1" t="n">
        <v>315</v>
      </c>
      <c r="W158" s="4" t="e">
        <f aca="false">(V158-#REF!)/#REF!</f>
        <v>#REF!</v>
      </c>
      <c r="X158" s="28" t="n">
        <v>0.0126</v>
      </c>
      <c r="Y158" s="4" t="e">
        <f aca="false">(X158-#REF!)/#REF!</f>
        <v>#REF!</v>
      </c>
      <c r="Z158" s="27" t="n">
        <v>169.743968296255</v>
      </c>
      <c r="AA158" s="4" t="e">
        <f aca="false">(Z158-#REF!)/#REF!</f>
        <v>#REF!</v>
      </c>
      <c r="AB158" s="3" t="n">
        <v>598</v>
      </c>
      <c r="AC158" s="4" t="e">
        <f aca="false">(AB158-#REF!)/#REF!</f>
        <v>#REF!</v>
      </c>
      <c r="AD158" s="25" t="n">
        <v>9.35</v>
      </c>
      <c r="AE158" s="4" t="e">
        <f aca="false">(AD158-#REF!)/#REF!</f>
        <v>#REF!</v>
      </c>
      <c r="AF158" s="4" t="n">
        <v>0.16</v>
      </c>
      <c r="AG158" s="4"/>
    </row>
    <row r="159" customFormat="false" ht="14.25" hidden="false" customHeight="false" outlineLevel="0" collapsed="false">
      <c r="B159" s="1" t="n">
        <v>20</v>
      </c>
      <c r="C159" s="4" t="e">
        <f aca="false">(B159-#REF!)/#REF!</f>
        <v>#REF!</v>
      </c>
      <c r="D159" s="1" t="n">
        <v>1</v>
      </c>
      <c r="E159" s="4" t="e">
        <f aca="false">(D159-#REF!)/#REF!</f>
        <v>#REF!</v>
      </c>
      <c r="F159" s="2" t="n">
        <v>40</v>
      </c>
      <c r="G159" s="4" t="e">
        <f aca="false">(F159-#REF!)/#REF!</f>
        <v>#REF!</v>
      </c>
      <c r="H159" s="2" t="n">
        <v>36.1</v>
      </c>
      <c r="I159" s="4" t="e">
        <f aca="false">(H159-#REF!)/#REF!</f>
        <v>#REF!</v>
      </c>
      <c r="J159" s="4" t="n">
        <v>2.8</v>
      </c>
      <c r="K159" s="4" t="e">
        <f aca="false">(J159-#REF!)/#REF!</f>
        <v>#REF!</v>
      </c>
      <c r="L159" s="1" t="n">
        <v>40</v>
      </c>
      <c r="M159" s="4" t="e">
        <f aca="false">(L159-#REF!)/#REF!</f>
        <v>#REF!</v>
      </c>
      <c r="N159" s="1" t="n">
        <v>50</v>
      </c>
      <c r="O159" s="4" t="e">
        <f aca="false">(N159-#REF!)/#REF!</f>
        <v>#REF!</v>
      </c>
      <c r="P159" s="1" t="n">
        <v>100</v>
      </c>
      <c r="Q159" s="4" t="e">
        <f aca="false">(P159-#REF!)/#REF!</f>
        <v>#REF!</v>
      </c>
      <c r="R159" s="1" t="n">
        <v>250</v>
      </c>
      <c r="S159" s="4" t="e">
        <f aca="false">(R159-#REF!)/#REF!</f>
        <v>#REF!</v>
      </c>
      <c r="T159" s="1" t="n">
        <f aca="false">R159-N159</f>
        <v>200</v>
      </c>
      <c r="U159" s="4" t="e">
        <f aca="false">(T159-#REF!)/#REF!</f>
        <v>#REF!</v>
      </c>
      <c r="V159" s="1" t="n">
        <v>315</v>
      </c>
      <c r="W159" s="4" t="e">
        <f aca="false">(V159-#REF!)/#REF!</f>
        <v>#REF!</v>
      </c>
      <c r="X159" s="28" t="n">
        <v>0.0126</v>
      </c>
      <c r="Y159" s="4" t="e">
        <f aca="false">(X159-#REF!)/#REF!</f>
        <v>#REF!</v>
      </c>
      <c r="Z159" s="27" t="n">
        <v>201.877318444317</v>
      </c>
      <c r="AA159" s="4" t="e">
        <f aca="false">(Z159-#REF!)/#REF!</f>
        <v>#REF!</v>
      </c>
      <c r="AB159" s="3" t="n">
        <v>598</v>
      </c>
      <c r="AC159" s="4" t="e">
        <f aca="false">(AB159-#REF!)/#REF!</f>
        <v>#REF!</v>
      </c>
      <c r="AD159" s="25" t="n">
        <v>11.12</v>
      </c>
      <c r="AE159" s="4" t="e">
        <f aca="false">(AD159-#REF!)/#REF!</f>
        <v>#REF!</v>
      </c>
      <c r="AF159" s="4" t="n">
        <v>0.2</v>
      </c>
      <c r="AG159" s="4"/>
    </row>
    <row r="160" customFormat="false" ht="14.25" hidden="false" customHeight="false" outlineLevel="0" collapsed="false">
      <c r="B160" s="1" t="n">
        <v>20</v>
      </c>
      <c r="C160" s="4" t="e">
        <f aca="false">(B160-#REF!)/#REF!</f>
        <v>#REF!</v>
      </c>
      <c r="D160" s="1" t="n">
        <v>1</v>
      </c>
      <c r="E160" s="4" t="e">
        <f aca="false">(D160-#REF!)/#REF!</f>
        <v>#REF!</v>
      </c>
      <c r="F160" s="2" t="n">
        <v>40</v>
      </c>
      <c r="G160" s="4" t="e">
        <f aca="false">(F160-#REF!)/#REF!</f>
        <v>#REF!</v>
      </c>
      <c r="H160" s="2" t="n">
        <v>36.1</v>
      </c>
      <c r="I160" s="4" t="e">
        <f aca="false">(H160-#REF!)/#REF!</f>
        <v>#REF!</v>
      </c>
      <c r="J160" s="4" t="n">
        <v>2.8</v>
      </c>
      <c r="K160" s="4" t="e">
        <f aca="false">(J160-#REF!)/#REF!</f>
        <v>#REF!</v>
      </c>
      <c r="L160" s="1" t="n">
        <v>40</v>
      </c>
      <c r="M160" s="4" t="e">
        <f aca="false">(L160-#REF!)/#REF!</f>
        <v>#REF!</v>
      </c>
      <c r="N160" s="1" t="n">
        <v>50</v>
      </c>
      <c r="O160" s="4" t="e">
        <f aca="false">(N160-#REF!)/#REF!</f>
        <v>#REF!</v>
      </c>
      <c r="P160" s="1" t="n">
        <v>100</v>
      </c>
      <c r="Q160" s="4" t="e">
        <f aca="false">(P160-#REF!)/#REF!</f>
        <v>#REF!</v>
      </c>
      <c r="R160" s="1" t="n">
        <v>250</v>
      </c>
      <c r="S160" s="4" t="e">
        <f aca="false">(R160-#REF!)/#REF!</f>
        <v>#REF!</v>
      </c>
      <c r="T160" s="1" t="n">
        <f aca="false">R160-N160</f>
        <v>200</v>
      </c>
      <c r="U160" s="4" t="e">
        <f aca="false">(T160-#REF!)/#REF!</f>
        <v>#REF!</v>
      </c>
      <c r="V160" s="1" t="n">
        <v>315</v>
      </c>
      <c r="W160" s="4" t="e">
        <f aca="false">(V160-#REF!)/#REF!</f>
        <v>#REF!</v>
      </c>
      <c r="X160" s="28" t="n">
        <v>0.0126</v>
      </c>
      <c r="Y160" s="4" t="e">
        <f aca="false">(X160-#REF!)/#REF!</f>
        <v>#REF!</v>
      </c>
      <c r="Z160" s="27" t="n">
        <v>234.736845996854</v>
      </c>
      <c r="AA160" s="4" t="e">
        <f aca="false">(Z160-#REF!)/#REF!</f>
        <v>#REF!</v>
      </c>
      <c r="AB160" s="3" t="n">
        <v>598</v>
      </c>
      <c r="AC160" s="4" t="e">
        <f aca="false">(AB160-#REF!)/#REF!</f>
        <v>#REF!</v>
      </c>
      <c r="AD160" s="25" t="n">
        <v>12.93</v>
      </c>
      <c r="AE160" s="4" t="e">
        <f aca="false">(AD160-#REF!)/#REF!</f>
        <v>#REF!</v>
      </c>
      <c r="AF160" s="4" t="n">
        <v>0.24</v>
      </c>
      <c r="AG160" s="4"/>
    </row>
    <row r="161" customFormat="false" ht="14.25" hidden="false" customHeight="false" outlineLevel="0" collapsed="false">
      <c r="B161" s="1" t="n">
        <v>20</v>
      </c>
      <c r="C161" s="4" t="e">
        <f aca="false">(B161-#REF!)/#REF!</f>
        <v>#REF!</v>
      </c>
      <c r="D161" s="1" t="n">
        <v>1</v>
      </c>
      <c r="E161" s="4" t="e">
        <f aca="false">(D161-#REF!)/#REF!</f>
        <v>#REF!</v>
      </c>
      <c r="F161" s="2" t="n">
        <v>40</v>
      </c>
      <c r="G161" s="4" t="e">
        <f aca="false">(F161-#REF!)/#REF!</f>
        <v>#REF!</v>
      </c>
      <c r="H161" s="2" t="n">
        <v>36.1</v>
      </c>
      <c r="I161" s="4" t="e">
        <f aca="false">(H161-#REF!)/#REF!</f>
        <v>#REF!</v>
      </c>
      <c r="J161" s="4" t="n">
        <v>2.8</v>
      </c>
      <c r="K161" s="4" t="e">
        <f aca="false">(J161-#REF!)/#REF!</f>
        <v>#REF!</v>
      </c>
      <c r="L161" s="1" t="n">
        <v>40</v>
      </c>
      <c r="M161" s="4" t="e">
        <f aca="false">(L161-#REF!)/#REF!</f>
        <v>#REF!</v>
      </c>
      <c r="N161" s="1" t="n">
        <v>50</v>
      </c>
      <c r="O161" s="4" t="e">
        <f aca="false">(N161-#REF!)/#REF!</f>
        <v>#REF!</v>
      </c>
      <c r="P161" s="1" t="n">
        <v>100</v>
      </c>
      <c r="Q161" s="4" t="e">
        <f aca="false">(P161-#REF!)/#REF!</f>
        <v>#REF!</v>
      </c>
      <c r="R161" s="1" t="n">
        <v>250</v>
      </c>
      <c r="S161" s="4" t="e">
        <f aca="false">(R161-#REF!)/#REF!</f>
        <v>#REF!</v>
      </c>
      <c r="T161" s="1" t="n">
        <f aca="false">R161-N161</f>
        <v>200</v>
      </c>
      <c r="U161" s="4" t="e">
        <f aca="false">(T161-#REF!)/#REF!</f>
        <v>#REF!</v>
      </c>
      <c r="V161" s="1" t="n">
        <v>315</v>
      </c>
      <c r="W161" s="4" t="e">
        <f aca="false">(V161-#REF!)/#REF!</f>
        <v>#REF!</v>
      </c>
      <c r="X161" s="28" t="n">
        <v>0.0126</v>
      </c>
      <c r="Y161" s="4" t="e">
        <f aca="false">(X161-#REF!)/#REF!</f>
        <v>#REF!</v>
      </c>
      <c r="Z161" s="27" t="n">
        <v>267.233284847153</v>
      </c>
      <c r="AA161" s="4" t="e">
        <f aca="false">(Z161-#REF!)/#REF!</f>
        <v>#REF!</v>
      </c>
      <c r="AB161" s="3" t="n">
        <v>598</v>
      </c>
      <c r="AC161" s="4" t="e">
        <f aca="false">(AB161-#REF!)/#REF!</f>
        <v>#REF!</v>
      </c>
      <c r="AD161" s="25" t="n">
        <v>14.72</v>
      </c>
      <c r="AE161" s="4" t="e">
        <f aca="false">(AD161-#REF!)/#REF!</f>
        <v>#REF!</v>
      </c>
      <c r="AF161" s="4" t="n">
        <v>0.27</v>
      </c>
      <c r="AG161" s="4"/>
    </row>
    <row r="162" customFormat="false" ht="14.25" hidden="false" customHeight="false" outlineLevel="0" collapsed="false">
      <c r="B162" s="1" t="n">
        <v>20</v>
      </c>
      <c r="C162" s="4" t="e">
        <f aca="false">(B162-#REF!)/#REF!</f>
        <v>#REF!</v>
      </c>
      <c r="D162" s="1" t="n">
        <v>1</v>
      </c>
      <c r="E162" s="4" t="e">
        <f aca="false">(D162-#REF!)/#REF!</f>
        <v>#REF!</v>
      </c>
      <c r="F162" s="2" t="n">
        <v>40</v>
      </c>
      <c r="G162" s="4" t="e">
        <f aca="false">(F162-#REF!)/#REF!</f>
        <v>#REF!</v>
      </c>
      <c r="H162" s="2" t="n">
        <v>36.1</v>
      </c>
      <c r="I162" s="4" t="e">
        <f aca="false">(H162-#REF!)/#REF!</f>
        <v>#REF!</v>
      </c>
      <c r="J162" s="4" t="n">
        <v>2.8</v>
      </c>
      <c r="K162" s="4" t="e">
        <f aca="false">(J162-#REF!)/#REF!</f>
        <v>#REF!</v>
      </c>
      <c r="L162" s="1" t="n">
        <v>40</v>
      </c>
      <c r="M162" s="4" t="e">
        <f aca="false">(L162-#REF!)/#REF!</f>
        <v>#REF!</v>
      </c>
      <c r="N162" s="1" t="n">
        <v>50</v>
      </c>
      <c r="O162" s="4" t="e">
        <f aca="false">(N162-#REF!)/#REF!</f>
        <v>#REF!</v>
      </c>
      <c r="P162" s="1" t="n">
        <v>100</v>
      </c>
      <c r="Q162" s="4" t="e">
        <f aca="false">(P162-#REF!)/#REF!</f>
        <v>#REF!</v>
      </c>
      <c r="R162" s="1" t="n">
        <v>250</v>
      </c>
      <c r="S162" s="4" t="e">
        <f aca="false">(R162-#REF!)/#REF!</f>
        <v>#REF!</v>
      </c>
      <c r="T162" s="1" t="n">
        <f aca="false">R162-N162</f>
        <v>200</v>
      </c>
      <c r="U162" s="4" t="e">
        <f aca="false">(T162-#REF!)/#REF!</f>
        <v>#REF!</v>
      </c>
      <c r="V162" s="1" t="n">
        <v>315</v>
      </c>
      <c r="W162" s="4" t="e">
        <f aca="false">(V162-#REF!)/#REF!</f>
        <v>#REF!</v>
      </c>
      <c r="X162" s="28" t="n">
        <v>0.0126</v>
      </c>
      <c r="Y162" s="4" t="e">
        <f aca="false">(X162-#REF!)/#REF!</f>
        <v>#REF!</v>
      </c>
      <c r="Z162" s="27" t="n">
        <v>301.000534155285</v>
      </c>
      <c r="AA162" s="4" t="e">
        <f aca="false">(Z162-#REF!)/#REF!</f>
        <v>#REF!</v>
      </c>
      <c r="AB162" s="3" t="n">
        <v>598</v>
      </c>
      <c r="AC162" s="4" t="e">
        <f aca="false">(AB162-#REF!)/#REF!</f>
        <v>#REF!</v>
      </c>
      <c r="AD162" s="25" t="n">
        <v>16.58</v>
      </c>
      <c r="AE162" s="4" t="e">
        <f aca="false">(AD162-#REF!)/#REF!</f>
        <v>#REF!</v>
      </c>
      <c r="AF162" s="4" t="n">
        <v>0.29</v>
      </c>
      <c r="AG162" s="4"/>
    </row>
    <row r="163" customFormat="false" ht="14.25" hidden="false" customHeight="false" outlineLevel="0" collapsed="false">
      <c r="B163" s="1" t="n">
        <v>20</v>
      </c>
      <c r="C163" s="4" t="e">
        <f aca="false">(B163-#REF!)/#REF!</f>
        <v>#REF!</v>
      </c>
      <c r="D163" s="1" t="n">
        <v>1</v>
      </c>
      <c r="E163" s="4" t="e">
        <f aca="false">(D163-#REF!)/#REF!</f>
        <v>#REF!</v>
      </c>
      <c r="F163" s="2" t="n">
        <v>40</v>
      </c>
      <c r="G163" s="4" t="e">
        <f aca="false">(F163-#REF!)/#REF!</f>
        <v>#REF!</v>
      </c>
      <c r="H163" s="2" t="n">
        <v>36.1</v>
      </c>
      <c r="I163" s="4" t="e">
        <f aca="false">(H163-#REF!)/#REF!</f>
        <v>#REF!</v>
      </c>
      <c r="J163" s="4" t="n">
        <v>2.8</v>
      </c>
      <c r="K163" s="4" t="e">
        <f aca="false">(J163-#REF!)/#REF!</f>
        <v>#REF!</v>
      </c>
      <c r="L163" s="1" t="n">
        <v>40</v>
      </c>
      <c r="M163" s="4" t="e">
        <f aca="false">(L163-#REF!)/#REF!</f>
        <v>#REF!</v>
      </c>
      <c r="N163" s="1" t="n">
        <v>50</v>
      </c>
      <c r="O163" s="4" t="e">
        <f aca="false">(N163-#REF!)/#REF!</f>
        <v>#REF!</v>
      </c>
      <c r="P163" s="1" t="n">
        <v>100</v>
      </c>
      <c r="Q163" s="4" t="e">
        <f aca="false">(P163-#REF!)/#REF!</f>
        <v>#REF!</v>
      </c>
      <c r="R163" s="1" t="n">
        <v>250</v>
      </c>
      <c r="S163" s="4" t="e">
        <f aca="false">(R163-#REF!)/#REF!</f>
        <v>#REF!</v>
      </c>
      <c r="T163" s="1" t="n">
        <f aca="false">R163-N163</f>
        <v>200</v>
      </c>
      <c r="U163" s="4" t="e">
        <f aca="false">(T163-#REF!)/#REF!</f>
        <v>#REF!</v>
      </c>
      <c r="V163" s="1" t="n">
        <v>315</v>
      </c>
      <c r="W163" s="4" t="e">
        <f aca="false">(V163-#REF!)/#REF!</f>
        <v>#REF!</v>
      </c>
      <c r="X163" s="28" t="n">
        <v>0.0126</v>
      </c>
      <c r="Y163" s="4" t="e">
        <f aca="false">(X163-#REF!)/#REF!</f>
        <v>#REF!</v>
      </c>
      <c r="Z163" s="27" t="n">
        <v>333.133884303346</v>
      </c>
      <c r="AA163" s="4" t="e">
        <f aca="false">(Z163-#REF!)/#REF!</f>
        <v>#REF!</v>
      </c>
      <c r="AB163" s="3" t="n">
        <v>598</v>
      </c>
      <c r="AC163" s="4" t="e">
        <f aca="false">(AB163-#REF!)/#REF!</f>
        <v>#REF!</v>
      </c>
      <c r="AD163" s="25" t="n">
        <v>18.35</v>
      </c>
      <c r="AE163" s="4" t="e">
        <f aca="false">(AD163-#REF!)/#REF!</f>
        <v>#REF!</v>
      </c>
      <c r="AF163" s="4" t="n">
        <v>0.32</v>
      </c>
      <c r="AG163" s="4"/>
    </row>
    <row r="164" customFormat="false" ht="14.25" hidden="false" customHeight="false" outlineLevel="0" collapsed="false">
      <c r="B164" s="1" t="n">
        <v>20</v>
      </c>
      <c r="C164" s="4" t="e">
        <f aca="false">(B164-#REF!)/#REF!</f>
        <v>#REF!</v>
      </c>
      <c r="D164" s="1" t="n">
        <v>1</v>
      </c>
      <c r="E164" s="4" t="e">
        <f aca="false">(D164-#REF!)/#REF!</f>
        <v>#REF!</v>
      </c>
      <c r="F164" s="2" t="n">
        <v>40</v>
      </c>
      <c r="G164" s="4" t="e">
        <f aca="false">(F164-#REF!)/#REF!</f>
        <v>#REF!</v>
      </c>
      <c r="H164" s="2" t="n">
        <v>36.1</v>
      </c>
      <c r="I164" s="4" t="e">
        <f aca="false">(H164-#REF!)/#REF!</f>
        <v>#REF!</v>
      </c>
      <c r="J164" s="4" t="n">
        <v>2.8</v>
      </c>
      <c r="K164" s="4" t="e">
        <f aca="false">(J164-#REF!)/#REF!</f>
        <v>#REF!</v>
      </c>
      <c r="L164" s="1" t="n">
        <v>40</v>
      </c>
      <c r="M164" s="4" t="e">
        <f aca="false">(L164-#REF!)/#REF!</f>
        <v>#REF!</v>
      </c>
      <c r="N164" s="1" t="n">
        <v>50</v>
      </c>
      <c r="O164" s="4" t="e">
        <f aca="false">(N164-#REF!)/#REF!</f>
        <v>#REF!</v>
      </c>
      <c r="P164" s="1" t="n">
        <v>100</v>
      </c>
      <c r="Q164" s="4" t="e">
        <f aca="false">(P164-#REF!)/#REF!</f>
        <v>#REF!</v>
      </c>
      <c r="R164" s="1" t="n">
        <v>250</v>
      </c>
      <c r="S164" s="4" t="e">
        <f aca="false">(R164-#REF!)/#REF!</f>
        <v>#REF!</v>
      </c>
      <c r="T164" s="1" t="n">
        <f aca="false">R164-N164</f>
        <v>200</v>
      </c>
      <c r="U164" s="4" t="e">
        <f aca="false">(T164-#REF!)/#REF!</f>
        <v>#REF!</v>
      </c>
      <c r="V164" s="1" t="n">
        <v>315</v>
      </c>
      <c r="W164" s="4" t="e">
        <f aca="false">(V164-#REF!)/#REF!</f>
        <v>#REF!</v>
      </c>
      <c r="X164" s="28" t="n">
        <v>0.0126</v>
      </c>
      <c r="Y164" s="4" t="e">
        <f aca="false">(X164-#REF!)/#REF!</f>
        <v>#REF!</v>
      </c>
      <c r="Z164" s="27" t="n">
        <v>348.746698499579</v>
      </c>
      <c r="AA164" s="4" t="e">
        <f aca="false">(Z164-#REF!)/#REF!</f>
        <v>#REF!</v>
      </c>
      <c r="AB164" s="3" t="n">
        <v>598</v>
      </c>
      <c r="AC164" s="4" t="e">
        <f aca="false">(AB164-#REF!)/#REF!</f>
        <v>#REF!</v>
      </c>
      <c r="AD164" s="25" t="n">
        <v>19.21</v>
      </c>
      <c r="AE164" s="4" t="e">
        <f aca="false">(AD164-#REF!)/#REF!</f>
        <v>#REF!</v>
      </c>
      <c r="AF164" s="4" t="n">
        <v>0.33</v>
      </c>
      <c r="AG164" s="4"/>
    </row>
    <row r="165" customFormat="false" ht="14.25" hidden="false" customHeight="false" outlineLevel="0" collapsed="false">
      <c r="A165" s="0" t="s">
        <v>58</v>
      </c>
      <c r="B165" s="1" t="n">
        <v>10</v>
      </c>
      <c r="C165" s="4" t="e">
        <f aca="false">(B165-#REF!)/#REF!</f>
        <v>#REF!</v>
      </c>
      <c r="D165" s="1" t="n">
        <v>1</v>
      </c>
      <c r="E165" s="4" t="e">
        <f aca="false">(D165-#REF!)/#REF!</f>
        <v>#REF!</v>
      </c>
      <c r="F165" s="2" t="n">
        <v>45</v>
      </c>
      <c r="G165" s="4" t="e">
        <f aca="false">(F165-#REF!)/#REF!</f>
        <v>#REF!</v>
      </c>
      <c r="H165" s="2" t="n">
        <v>36.1</v>
      </c>
      <c r="I165" s="4" t="e">
        <f aca="false">(H165-#REF!)/#REF!</f>
        <v>#REF!</v>
      </c>
      <c r="J165" s="4" t="n">
        <v>2.8</v>
      </c>
      <c r="K165" s="4" t="e">
        <f aca="false">(J165-#REF!)/#REF!</f>
        <v>#REF!</v>
      </c>
      <c r="L165" s="1" t="n">
        <v>40</v>
      </c>
      <c r="M165" s="4" t="e">
        <f aca="false">(L165-#REF!)/#REF!</f>
        <v>#REF!</v>
      </c>
      <c r="N165" s="1" t="n">
        <v>45</v>
      </c>
      <c r="O165" s="4" t="e">
        <f aca="false">(N165-#REF!)/#REF!</f>
        <v>#REF!</v>
      </c>
      <c r="P165" s="1" t="n">
        <v>100</v>
      </c>
      <c r="Q165" s="4" t="e">
        <f aca="false">(P165-#REF!)/#REF!</f>
        <v>#REF!</v>
      </c>
      <c r="R165" s="1" t="n">
        <v>350</v>
      </c>
      <c r="S165" s="4" t="e">
        <f aca="false">(R165-#REF!)/#REF!</f>
        <v>#REF!</v>
      </c>
      <c r="T165" s="1" t="n">
        <f aca="false">R165-N165</f>
        <v>305</v>
      </c>
      <c r="U165" s="4" t="e">
        <f aca="false">(T165-#REF!)/#REF!</f>
        <v>#REF!</v>
      </c>
      <c r="V165" s="1" t="n">
        <v>78.5</v>
      </c>
      <c r="W165" s="4" t="e">
        <f aca="false">(V165-#REF!)/#REF!</f>
        <v>#REF!</v>
      </c>
      <c r="X165" s="28" t="n">
        <v>0.00224285714285714</v>
      </c>
      <c r="Y165" s="4" t="e">
        <f aca="false">(X165-#REF!)/#REF!</f>
        <v>#REF!</v>
      </c>
      <c r="Z165" s="27" t="n">
        <v>310.309853574738</v>
      </c>
      <c r="AA165" s="4" t="e">
        <f aca="false">(Z165-#REF!)/#REF!</f>
        <v>#REF!</v>
      </c>
      <c r="AB165" s="3" t="n">
        <v>528</v>
      </c>
      <c r="AC165" s="4" t="e">
        <f aca="false">(AB165-#REF!)/#REF!</f>
        <v>#REF!</v>
      </c>
      <c r="AD165" s="25" t="n">
        <v>6.99</v>
      </c>
      <c r="AE165" s="4" t="e">
        <f aca="false">(AD165-#REF!)/#REF!</f>
        <v>#REF!</v>
      </c>
      <c r="AF165" s="4" t="n">
        <v>0.15</v>
      </c>
      <c r="AG165" s="4"/>
    </row>
    <row r="166" customFormat="false" ht="14.25" hidden="false" customHeight="false" outlineLevel="0" collapsed="false">
      <c r="B166" s="1" t="n">
        <v>10</v>
      </c>
      <c r="C166" s="4" t="e">
        <f aca="false">(B166-#REF!)/#REF!</f>
        <v>#REF!</v>
      </c>
      <c r="D166" s="1" t="n">
        <v>1</v>
      </c>
      <c r="E166" s="4" t="e">
        <f aca="false">(D166-#REF!)/#REF!</f>
        <v>#REF!</v>
      </c>
      <c r="F166" s="2" t="n">
        <v>45</v>
      </c>
      <c r="G166" s="4" t="e">
        <f aca="false">(F166-#REF!)/#REF!</f>
        <v>#REF!</v>
      </c>
      <c r="H166" s="2" t="n">
        <v>36.1</v>
      </c>
      <c r="I166" s="4" t="e">
        <f aca="false">(H166-#REF!)/#REF!</f>
        <v>#REF!</v>
      </c>
      <c r="J166" s="4" t="n">
        <v>2.8</v>
      </c>
      <c r="K166" s="4" t="e">
        <f aca="false">(J166-#REF!)/#REF!</f>
        <v>#REF!</v>
      </c>
      <c r="L166" s="1" t="n">
        <v>40</v>
      </c>
      <c r="M166" s="4" t="e">
        <f aca="false">(L166-#REF!)/#REF!</f>
        <v>#REF!</v>
      </c>
      <c r="N166" s="1" t="n">
        <v>45</v>
      </c>
      <c r="O166" s="4" t="e">
        <f aca="false">(N166-#REF!)/#REF!</f>
        <v>#REF!</v>
      </c>
      <c r="P166" s="1" t="n">
        <v>100</v>
      </c>
      <c r="Q166" s="4" t="e">
        <f aca="false">(P166-#REF!)/#REF!</f>
        <v>#REF!</v>
      </c>
      <c r="R166" s="1" t="n">
        <v>350</v>
      </c>
      <c r="S166" s="4" t="e">
        <f aca="false">(R166-#REF!)/#REF!</f>
        <v>#REF!</v>
      </c>
      <c r="T166" s="1" t="n">
        <f aca="false">R166-N166</f>
        <v>305</v>
      </c>
      <c r="U166" s="4" t="e">
        <f aca="false">(T166-#REF!)/#REF!</f>
        <v>#REF!</v>
      </c>
      <c r="V166" s="1" t="n">
        <v>78.5</v>
      </c>
      <c r="W166" s="4" t="e">
        <f aca="false">(V166-#REF!)/#REF!</f>
        <v>#REF!</v>
      </c>
      <c r="X166" s="28" t="n">
        <v>0.00224285714285714</v>
      </c>
      <c r="Y166" s="4" t="e">
        <f aca="false">(X166-#REF!)/#REF!</f>
        <v>#REF!</v>
      </c>
      <c r="Z166" s="27" t="n">
        <v>330.286882774829</v>
      </c>
      <c r="AA166" s="4" t="e">
        <f aca="false">(Z166-#REF!)/#REF!</f>
        <v>#REF!</v>
      </c>
      <c r="AB166" s="3" t="n">
        <v>528</v>
      </c>
      <c r="AC166" s="4" t="e">
        <f aca="false">(AB166-#REF!)/#REF!</f>
        <v>#REF!</v>
      </c>
      <c r="AD166" s="25" t="n">
        <v>7.44</v>
      </c>
      <c r="AE166" s="4" t="e">
        <f aca="false">(AD166-#REF!)/#REF!</f>
        <v>#REF!</v>
      </c>
      <c r="AF166" s="4" t="n">
        <v>0.19</v>
      </c>
      <c r="AG166" s="4"/>
    </row>
    <row r="167" customFormat="false" ht="14.25" hidden="false" customHeight="false" outlineLevel="0" collapsed="false">
      <c r="B167" s="1" t="n">
        <v>10</v>
      </c>
      <c r="C167" s="4" t="e">
        <f aca="false">(B167-#REF!)/#REF!</f>
        <v>#REF!</v>
      </c>
      <c r="D167" s="1" t="n">
        <v>1</v>
      </c>
      <c r="E167" s="4" t="e">
        <f aca="false">(D167-#REF!)/#REF!</f>
        <v>#REF!</v>
      </c>
      <c r="F167" s="2" t="n">
        <v>45</v>
      </c>
      <c r="G167" s="4" t="e">
        <f aca="false">(F167-#REF!)/#REF!</f>
        <v>#REF!</v>
      </c>
      <c r="H167" s="2" t="n">
        <v>36.1</v>
      </c>
      <c r="I167" s="4" t="e">
        <f aca="false">(H167-#REF!)/#REF!</f>
        <v>#REF!</v>
      </c>
      <c r="J167" s="4" t="n">
        <v>2.8</v>
      </c>
      <c r="K167" s="4" t="e">
        <f aca="false">(J167-#REF!)/#REF!</f>
        <v>#REF!</v>
      </c>
      <c r="L167" s="1" t="n">
        <v>40</v>
      </c>
      <c r="M167" s="4" t="e">
        <f aca="false">(L167-#REF!)/#REF!</f>
        <v>#REF!</v>
      </c>
      <c r="N167" s="1" t="n">
        <v>45</v>
      </c>
      <c r="O167" s="4" t="e">
        <f aca="false">(N167-#REF!)/#REF!</f>
        <v>#REF!</v>
      </c>
      <c r="P167" s="1" t="n">
        <v>100</v>
      </c>
      <c r="Q167" s="4" t="e">
        <f aca="false">(P167-#REF!)/#REF!</f>
        <v>#REF!</v>
      </c>
      <c r="R167" s="1" t="n">
        <v>350</v>
      </c>
      <c r="S167" s="4" t="e">
        <f aca="false">(R167-#REF!)/#REF!</f>
        <v>#REF!</v>
      </c>
      <c r="T167" s="1" t="n">
        <f aca="false">R167-N167</f>
        <v>305</v>
      </c>
      <c r="U167" s="4" t="e">
        <f aca="false">(T167-#REF!)/#REF!</f>
        <v>#REF!</v>
      </c>
      <c r="V167" s="1" t="n">
        <v>78.5</v>
      </c>
      <c r="W167" s="4" t="e">
        <f aca="false">(V167-#REF!)/#REF!</f>
        <v>#REF!</v>
      </c>
      <c r="X167" s="28" t="n">
        <v>0.00224285714285714</v>
      </c>
      <c r="Y167" s="4" t="e">
        <f aca="false">(X167-#REF!)/#REF!</f>
        <v>#REF!</v>
      </c>
      <c r="Z167" s="27" t="n">
        <v>334.282288614847</v>
      </c>
      <c r="AA167" s="4" t="e">
        <f aca="false">(Z167-#REF!)/#REF!</f>
        <v>#REF!</v>
      </c>
      <c r="AB167" s="3" t="n">
        <v>528</v>
      </c>
      <c r="AC167" s="4" t="e">
        <f aca="false">(AB167-#REF!)/#REF!</f>
        <v>#REF!</v>
      </c>
      <c r="AD167" s="25" t="n">
        <v>7.53</v>
      </c>
      <c r="AE167" s="4" t="e">
        <f aca="false">(AD167-#REF!)/#REF!</f>
        <v>#REF!</v>
      </c>
      <c r="AF167" s="4" t="n">
        <v>0.2</v>
      </c>
      <c r="AG167" s="4"/>
    </row>
    <row r="168" customFormat="false" ht="14.25" hidden="false" customHeight="false" outlineLevel="0" collapsed="false">
      <c r="B168" s="1" t="n">
        <v>10</v>
      </c>
      <c r="C168" s="4" t="e">
        <f aca="false">(B168-#REF!)/#REF!</f>
        <v>#REF!</v>
      </c>
      <c r="D168" s="1" t="n">
        <v>1</v>
      </c>
      <c r="E168" s="4" t="e">
        <f aca="false">(D168-#REF!)/#REF!</f>
        <v>#REF!</v>
      </c>
      <c r="F168" s="2" t="n">
        <v>45</v>
      </c>
      <c r="G168" s="4" t="e">
        <f aca="false">(F168-#REF!)/#REF!</f>
        <v>#REF!</v>
      </c>
      <c r="H168" s="2" t="n">
        <v>36.1</v>
      </c>
      <c r="I168" s="4" t="e">
        <f aca="false">(H168-#REF!)/#REF!</f>
        <v>#REF!</v>
      </c>
      <c r="J168" s="4" t="n">
        <v>2.8</v>
      </c>
      <c r="K168" s="4" t="e">
        <f aca="false">(J168-#REF!)/#REF!</f>
        <v>#REF!</v>
      </c>
      <c r="L168" s="1" t="n">
        <v>40</v>
      </c>
      <c r="M168" s="4" t="e">
        <f aca="false">(L168-#REF!)/#REF!</f>
        <v>#REF!</v>
      </c>
      <c r="N168" s="1" t="n">
        <v>45</v>
      </c>
      <c r="O168" s="4" t="e">
        <f aca="false">(N168-#REF!)/#REF!</f>
        <v>#REF!</v>
      </c>
      <c r="P168" s="1" t="n">
        <v>100</v>
      </c>
      <c r="Q168" s="4" t="e">
        <f aca="false">(P168-#REF!)/#REF!</f>
        <v>#REF!</v>
      </c>
      <c r="R168" s="1" t="n">
        <v>350</v>
      </c>
      <c r="S168" s="4" t="e">
        <f aca="false">(R168-#REF!)/#REF!</f>
        <v>#REF!</v>
      </c>
      <c r="T168" s="1" t="n">
        <f aca="false">R168-N168</f>
        <v>305</v>
      </c>
      <c r="U168" s="4" t="e">
        <f aca="false">(T168-#REF!)/#REF!</f>
        <v>#REF!</v>
      </c>
      <c r="V168" s="1" t="n">
        <v>78.5</v>
      </c>
      <c r="W168" s="4" t="e">
        <f aca="false">(V168-#REF!)/#REF!</f>
        <v>#REF!</v>
      </c>
      <c r="X168" s="28" t="n">
        <v>0.00224285714285714</v>
      </c>
      <c r="Y168" s="4" t="e">
        <f aca="false">(X168-#REF!)/#REF!</f>
        <v>#REF!</v>
      </c>
      <c r="Z168" s="27" t="n">
        <v>351.151779939368</v>
      </c>
      <c r="AA168" s="4" t="e">
        <f aca="false">(Z168-#REF!)/#REF!</f>
        <v>#REF!</v>
      </c>
      <c r="AB168" s="3" t="n">
        <v>528</v>
      </c>
      <c r="AC168" s="4" t="e">
        <f aca="false">(AB168-#REF!)/#REF!</f>
        <v>#REF!</v>
      </c>
      <c r="AD168" s="25" t="n">
        <v>7.91</v>
      </c>
      <c r="AE168" s="4" t="e">
        <f aca="false">(AD168-#REF!)/#REF!</f>
        <v>#REF!</v>
      </c>
      <c r="AF168" s="4" t="n">
        <v>0.23</v>
      </c>
      <c r="AG168" s="4"/>
    </row>
    <row r="169" customFormat="false" ht="14.25" hidden="false" customHeight="false" outlineLevel="0" collapsed="false">
      <c r="B169" s="1" t="n">
        <v>10</v>
      </c>
      <c r="C169" s="4" t="e">
        <f aca="false">(B169-#REF!)/#REF!</f>
        <v>#REF!</v>
      </c>
      <c r="D169" s="1" t="n">
        <v>1</v>
      </c>
      <c r="E169" s="4" t="e">
        <f aca="false">(D169-#REF!)/#REF!</f>
        <v>#REF!</v>
      </c>
      <c r="F169" s="2" t="n">
        <v>45</v>
      </c>
      <c r="G169" s="4" t="e">
        <f aca="false">(F169-#REF!)/#REF!</f>
        <v>#REF!</v>
      </c>
      <c r="H169" s="2" t="n">
        <v>36.1</v>
      </c>
      <c r="I169" s="4" t="e">
        <f aca="false">(H169-#REF!)/#REF!</f>
        <v>#REF!</v>
      </c>
      <c r="J169" s="4" t="n">
        <v>2.8</v>
      </c>
      <c r="K169" s="4" t="e">
        <f aca="false">(J169-#REF!)/#REF!</f>
        <v>#REF!</v>
      </c>
      <c r="L169" s="1" t="n">
        <v>40</v>
      </c>
      <c r="M169" s="4" t="e">
        <f aca="false">(L169-#REF!)/#REF!</f>
        <v>#REF!</v>
      </c>
      <c r="N169" s="1" t="n">
        <v>45</v>
      </c>
      <c r="O169" s="4" t="e">
        <f aca="false">(N169-#REF!)/#REF!</f>
        <v>#REF!</v>
      </c>
      <c r="P169" s="1" t="n">
        <v>100</v>
      </c>
      <c r="Q169" s="4" t="e">
        <f aca="false">(P169-#REF!)/#REF!</f>
        <v>#REF!</v>
      </c>
      <c r="R169" s="1" t="n">
        <v>350</v>
      </c>
      <c r="S169" s="4" t="e">
        <f aca="false">(R169-#REF!)/#REF!</f>
        <v>#REF!</v>
      </c>
      <c r="T169" s="1" t="n">
        <f aca="false">R169-N169</f>
        <v>305</v>
      </c>
      <c r="U169" s="4" t="e">
        <f aca="false">(T169-#REF!)/#REF!</f>
        <v>#REF!</v>
      </c>
      <c r="V169" s="1" t="n">
        <v>78.5</v>
      </c>
      <c r="W169" s="4" t="e">
        <f aca="false">(V169-#REF!)/#REF!</f>
        <v>#REF!</v>
      </c>
      <c r="X169" s="28" t="n">
        <v>0.00224285714285714</v>
      </c>
      <c r="Y169" s="4" t="e">
        <f aca="false">(X169-#REF!)/#REF!</f>
        <v>#REF!</v>
      </c>
      <c r="Z169" s="27" t="n">
        <v>362.694063477198</v>
      </c>
      <c r="AA169" s="4" t="e">
        <f aca="false">(Z169-#REF!)/#REF!</f>
        <v>#REF!</v>
      </c>
      <c r="AB169" s="3" t="n">
        <v>528</v>
      </c>
      <c r="AC169" s="4" t="e">
        <f aca="false">(AB169-#REF!)/#REF!</f>
        <v>#REF!</v>
      </c>
      <c r="AD169" s="25" t="n">
        <v>8.17</v>
      </c>
      <c r="AE169" s="4" t="e">
        <f aca="false">(AD169-#REF!)/#REF!</f>
        <v>#REF!</v>
      </c>
      <c r="AF169" s="4" t="n">
        <v>0.25</v>
      </c>
      <c r="AG169" s="4"/>
    </row>
    <row r="170" customFormat="false" ht="14.25" hidden="false" customHeight="false" outlineLevel="0" collapsed="false">
      <c r="B170" s="1" t="n">
        <v>10</v>
      </c>
      <c r="C170" s="4" t="e">
        <f aca="false">(B170-#REF!)/#REF!</f>
        <v>#REF!</v>
      </c>
      <c r="D170" s="1" t="n">
        <v>1</v>
      </c>
      <c r="E170" s="4" t="e">
        <f aca="false">(D170-#REF!)/#REF!</f>
        <v>#REF!</v>
      </c>
      <c r="F170" s="2" t="n">
        <v>45</v>
      </c>
      <c r="G170" s="4" t="e">
        <f aca="false">(F170-#REF!)/#REF!</f>
        <v>#REF!</v>
      </c>
      <c r="H170" s="2" t="n">
        <v>36.1</v>
      </c>
      <c r="I170" s="4" t="e">
        <f aca="false">(H170-#REF!)/#REF!</f>
        <v>#REF!</v>
      </c>
      <c r="J170" s="4" t="n">
        <v>2.8</v>
      </c>
      <c r="K170" s="4" t="e">
        <f aca="false">(J170-#REF!)/#REF!</f>
        <v>#REF!</v>
      </c>
      <c r="L170" s="1" t="n">
        <v>40</v>
      </c>
      <c r="M170" s="4" t="e">
        <f aca="false">(L170-#REF!)/#REF!</f>
        <v>#REF!</v>
      </c>
      <c r="N170" s="1" t="n">
        <v>45</v>
      </c>
      <c r="O170" s="4" t="e">
        <f aca="false">(N170-#REF!)/#REF!</f>
        <v>#REF!</v>
      </c>
      <c r="P170" s="1" t="n">
        <v>100</v>
      </c>
      <c r="Q170" s="4" t="e">
        <f aca="false">(P170-#REF!)/#REF!</f>
        <v>#REF!</v>
      </c>
      <c r="R170" s="1" t="n">
        <v>350</v>
      </c>
      <c r="S170" s="4" t="e">
        <f aca="false">(R170-#REF!)/#REF!</f>
        <v>#REF!</v>
      </c>
      <c r="T170" s="1" t="n">
        <f aca="false">R170-N170</f>
        <v>305</v>
      </c>
      <c r="U170" s="4" t="e">
        <f aca="false">(T170-#REF!)/#REF!</f>
        <v>#REF!</v>
      </c>
      <c r="V170" s="1" t="n">
        <v>78.5</v>
      </c>
      <c r="W170" s="4" t="e">
        <f aca="false">(V170-#REF!)/#REF!</f>
        <v>#REF!</v>
      </c>
      <c r="X170" s="28" t="n">
        <v>0.00224285714285714</v>
      </c>
      <c r="Y170" s="4" t="e">
        <f aca="false">(X170-#REF!)/#REF!</f>
        <v>#REF!</v>
      </c>
      <c r="Z170" s="27" t="n">
        <v>375.568148961701</v>
      </c>
      <c r="AA170" s="4" t="e">
        <f aca="false">(Z170-#REF!)/#REF!</f>
        <v>#REF!</v>
      </c>
      <c r="AB170" s="3" t="n">
        <v>528</v>
      </c>
      <c r="AC170" s="4" t="e">
        <f aca="false">(AB170-#REF!)/#REF!</f>
        <v>#REF!</v>
      </c>
      <c r="AD170" s="25" t="n">
        <v>8.46</v>
      </c>
      <c r="AE170" s="4" t="e">
        <f aca="false">(AD170-#REF!)/#REF!</f>
        <v>#REF!</v>
      </c>
      <c r="AF170" s="4" t="n">
        <v>0.28</v>
      </c>
      <c r="AG170" s="4"/>
    </row>
    <row r="171" customFormat="false" ht="14.25" hidden="false" customHeight="false" outlineLevel="0" collapsed="false">
      <c r="B171" s="1" t="n">
        <v>10</v>
      </c>
      <c r="C171" s="4" t="e">
        <f aca="false">(B171-#REF!)/#REF!</f>
        <v>#REF!</v>
      </c>
      <c r="D171" s="1" t="n">
        <v>1</v>
      </c>
      <c r="E171" s="4" t="e">
        <f aca="false">(D171-#REF!)/#REF!</f>
        <v>#REF!</v>
      </c>
      <c r="F171" s="2" t="n">
        <v>45</v>
      </c>
      <c r="G171" s="4" t="e">
        <f aca="false">(F171-#REF!)/#REF!</f>
        <v>#REF!</v>
      </c>
      <c r="H171" s="2" t="n">
        <v>36.1</v>
      </c>
      <c r="I171" s="4" t="e">
        <f aca="false">(H171-#REF!)/#REF!</f>
        <v>#REF!</v>
      </c>
      <c r="J171" s="4" t="n">
        <v>2.8</v>
      </c>
      <c r="K171" s="4" t="e">
        <f aca="false">(J171-#REF!)/#REF!</f>
        <v>#REF!</v>
      </c>
      <c r="L171" s="1" t="n">
        <v>40</v>
      </c>
      <c r="M171" s="4" t="e">
        <f aca="false">(L171-#REF!)/#REF!</f>
        <v>#REF!</v>
      </c>
      <c r="N171" s="1" t="n">
        <v>45</v>
      </c>
      <c r="O171" s="4" t="e">
        <f aca="false">(N171-#REF!)/#REF!</f>
        <v>#REF!</v>
      </c>
      <c r="P171" s="1" t="n">
        <v>100</v>
      </c>
      <c r="Q171" s="4" t="e">
        <f aca="false">(P171-#REF!)/#REF!</f>
        <v>#REF!</v>
      </c>
      <c r="R171" s="1" t="n">
        <v>350</v>
      </c>
      <c r="S171" s="4" t="e">
        <f aca="false">(R171-#REF!)/#REF!</f>
        <v>#REF!</v>
      </c>
      <c r="T171" s="1" t="n">
        <f aca="false">R171-N171</f>
        <v>305</v>
      </c>
      <c r="U171" s="4" t="e">
        <f aca="false">(T171-#REF!)/#REF!</f>
        <v>#REF!</v>
      </c>
      <c r="V171" s="1" t="n">
        <v>78.5</v>
      </c>
      <c r="W171" s="4" t="e">
        <f aca="false">(V171-#REF!)/#REF!</f>
        <v>#REF!</v>
      </c>
      <c r="X171" s="28" t="n">
        <v>0.00224285714285714</v>
      </c>
      <c r="Y171" s="4" t="e">
        <f aca="false">(X171-#REF!)/#REF!</f>
        <v>#REF!</v>
      </c>
      <c r="Z171" s="27" t="n">
        <v>387.110432499531</v>
      </c>
      <c r="AA171" s="4" t="e">
        <f aca="false">(Z171-#REF!)/#REF!</f>
        <v>#REF!</v>
      </c>
      <c r="AB171" s="3" t="n">
        <v>528</v>
      </c>
      <c r="AC171" s="4" t="e">
        <f aca="false">(AB171-#REF!)/#REF!</f>
        <v>#REF!</v>
      </c>
      <c r="AD171" s="25" t="n">
        <v>8.72</v>
      </c>
      <c r="AE171" s="4" t="e">
        <f aca="false">(AD171-#REF!)/#REF!</f>
        <v>#REF!</v>
      </c>
      <c r="AF171" s="4" t="n">
        <v>0.31</v>
      </c>
      <c r="AG171" s="4"/>
    </row>
    <row r="172" customFormat="false" ht="14.25" hidden="false" customHeight="false" outlineLevel="0" collapsed="false">
      <c r="B172" s="1" t="n">
        <v>10</v>
      </c>
      <c r="C172" s="4" t="e">
        <f aca="false">(B172-#REF!)/#REF!</f>
        <v>#REF!</v>
      </c>
      <c r="D172" s="1" t="n">
        <v>1</v>
      </c>
      <c r="E172" s="4" t="e">
        <f aca="false">(D172-#REF!)/#REF!</f>
        <v>#REF!</v>
      </c>
      <c r="F172" s="2" t="n">
        <v>45</v>
      </c>
      <c r="G172" s="4" t="e">
        <f aca="false">(F172-#REF!)/#REF!</f>
        <v>#REF!</v>
      </c>
      <c r="H172" s="2" t="n">
        <v>36.1</v>
      </c>
      <c r="I172" s="4" t="e">
        <f aca="false">(H172-#REF!)/#REF!</f>
        <v>#REF!</v>
      </c>
      <c r="J172" s="4" t="n">
        <v>2.8</v>
      </c>
      <c r="K172" s="4" t="e">
        <f aca="false">(J172-#REF!)/#REF!</f>
        <v>#REF!</v>
      </c>
      <c r="L172" s="1" t="n">
        <v>40</v>
      </c>
      <c r="M172" s="4" t="e">
        <f aca="false">(L172-#REF!)/#REF!</f>
        <v>#REF!</v>
      </c>
      <c r="N172" s="1" t="n">
        <v>45</v>
      </c>
      <c r="O172" s="4" t="e">
        <f aca="false">(N172-#REF!)/#REF!</f>
        <v>#REF!</v>
      </c>
      <c r="P172" s="1" t="n">
        <v>100</v>
      </c>
      <c r="Q172" s="4" t="e">
        <f aca="false">(P172-#REF!)/#REF!</f>
        <v>#REF!</v>
      </c>
      <c r="R172" s="1" t="n">
        <v>350</v>
      </c>
      <c r="S172" s="4" t="e">
        <f aca="false">(R172-#REF!)/#REF!</f>
        <v>#REF!</v>
      </c>
      <c r="T172" s="1" t="n">
        <f aca="false">R172-N172</f>
        <v>305</v>
      </c>
      <c r="U172" s="4" t="e">
        <f aca="false">(T172-#REF!)/#REF!</f>
        <v>#REF!</v>
      </c>
      <c r="V172" s="1" t="n">
        <v>78.5</v>
      </c>
      <c r="W172" s="4" t="e">
        <f aca="false">(V172-#REF!)/#REF!</f>
        <v>#REF!</v>
      </c>
      <c r="X172" s="28" t="n">
        <v>0.00224285714285714</v>
      </c>
      <c r="Y172" s="4" t="e">
        <f aca="false">(X172-#REF!)/#REF!</f>
        <v>#REF!</v>
      </c>
      <c r="Z172" s="27" t="n">
        <v>400.872385948482</v>
      </c>
      <c r="AA172" s="4" t="e">
        <f aca="false">(Z172-#REF!)/#REF!</f>
        <v>#REF!</v>
      </c>
      <c r="AB172" s="3" t="n">
        <v>528</v>
      </c>
      <c r="AC172" s="4" t="e">
        <f aca="false">(AB172-#REF!)/#REF!</f>
        <v>#REF!</v>
      </c>
      <c r="AD172" s="25" t="n">
        <v>9.03</v>
      </c>
      <c r="AE172" s="4" t="e">
        <f aca="false">(AD172-#REF!)/#REF!</f>
        <v>#REF!</v>
      </c>
      <c r="AF172" s="4" t="n">
        <v>0.36</v>
      </c>
      <c r="AG172" s="4"/>
    </row>
    <row r="173" customFormat="false" ht="14.25" hidden="false" customHeight="false" outlineLevel="0" collapsed="false">
      <c r="A173" s="0" t="s">
        <v>59</v>
      </c>
      <c r="B173" s="1" t="n">
        <v>10</v>
      </c>
      <c r="C173" s="4" t="e">
        <f aca="false">(B173-#REF!)/#REF!</f>
        <v>#REF!</v>
      </c>
      <c r="D173" s="1" t="n">
        <v>1</v>
      </c>
      <c r="E173" s="4" t="e">
        <f aca="false">(D173-#REF!)/#REF!</f>
        <v>#REF!</v>
      </c>
      <c r="F173" s="2" t="n">
        <v>45</v>
      </c>
      <c r="G173" s="4" t="e">
        <f aca="false">(F173-#REF!)/#REF!</f>
        <v>#REF!</v>
      </c>
      <c r="H173" s="2" t="n">
        <v>36.1</v>
      </c>
      <c r="I173" s="4" t="e">
        <f aca="false">(H173-#REF!)/#REF!</f>
        <v>#REF!</v>
      </c>
      <c r="J173" s="4" t="n">
        <v>2.8</v>
      </c>
      <c r="K173" s="4" t="e">
        <f aca="false">(J173-#REF!)/#REF!</f>
        <v>#REF!</v>
      </c>
      <c r="L173" s="1" t="n">
        <v>40</v>
      </c>
      <c r="M173" s="4" t="e">
        <f aca="false">(L173-#REF!)/#REF!</f>
        <v>#REF!</v>
      </c>
      <c r="N173" s="1" t="n">
        <v>45</v>
      </c>
      <c r="O173" s="4" t="e">
        <f aca="false">(N173-#REF!)/#REF!</f>
        <v>#REF!</v>
      </c>
      <c r="P173" s="1" t="n">
        <v>100</v>
      </c>
      <c r="Q173" s="4" t="e">
        <f aca="false">(P173-#REF!)/#REF!</f>
        <v>#REF!</v>
      </c>
      <c r="R173" s="1" t="n">
        <v>350</v>
      </c>
      <c r="S173" s="4" t="e">
        <f aca="false">(R173-#REF!)/#REF!</f>
        <v>#REF!</v>
      </c>
      <c r="T173" s="1" t="n">
        <f aca="false">R173-N173</f>
        <v>305</v>
      </c>
      <c r="U173" s="4" t="e">
        <f aca="false">(T173-#REF!)/#REF!</f>
        <v>#REF!</v>
      </c>
      <c r="V173" s="1" t="n">
        <v>78.5</v>
      </c>
      <c r="W173" s="4" t="e">
        <f aca="false">(V173-#REF!)/#REF!</f>
        <v>#REF!</v>
      </c>
      <c r="X173" s="28" t="n">
        <v>0.00224285714285714</v>
      </c>
      <c r="Y173" s="4" t="e">
        <f aca="false">(X173-#REF!)/#REF!</f>
        <v>#REF!</v>
      </c>
      <c r="Z173" s="27" t="n">
        <v>308.978051628066</v>
      </c>
      <c r="AA173" s="4" t="e">
        <f aca="false">(Z173-#REF!)/#REF!</f>
        <v>#REF!</v>
      </c>
      <c r="AB173" s="3" t="n">
        <v>528</v>
      </c>
      <c r="AC173" s="4" t="e">
        <f aca="false">(AB173-#REF!)/#REF!</f>
        <v>#REF!</v>
      </c>
      <c r="AD173" s="25" t="n">
        <v>6.96</v>
      </c>
      <c r="AE173" s="4" t="e">
        <f aca="false">(AD173-#REF!)/#REF!</f>
        <v>#REF!</v>
      </c>
      <c r="AF173" s="4" t="n">
        <v>0.16</v>
      </c>
      <c r="AG173" s="4"/>
    </row>
    <row r="174" customFormat="false" ht="14.25" hidden="false" customHeight="false" outlineLevel="0" collapsed="false">
      <c r="B174" s="1" t="n">
        <v>10</v>
      </c>
      <c r="C174" s="4" t="e">
        <f aca="false">(B174-#REF!)/#REF!</f>
        <v>#REF!</v>
      </c>
      <c r="D174" s="1" t="n">
        <v>1</v>
      </c>
      <c r="E174" s="4" t="e">
        <f aca="false">(D174-#REF!)/#REF!</f>
        <v>#REF!</v>
      </c>
      <c r="F174" s="2" t="n">
        <v>45</v>
      </c>
      <c r="G174" s="4" t="e">
        <f aca="false">(F174-#REF!)/#REF!</f>
        <v>#REF!</v>
      </c>
      <c r="H174" s="2" t="n">
        <v>36.1</v>
      </c>
      <c r="I174" s="4" t="e">
        <f aca="false">(H174-#REF!)/#REF!</f>
        <v>#REF!</v>
      </c>
      <c r="J174" s="4" t="n">
        <v>2.8</v>
      </c>
      <c r="K174" s="4" t="e">
        <f aca="false">(J174-#REF!)/#REF!</f>
        <v>#REF!</v>
      </c>
      <c r="L174" s="1" t="n">
        <v>40</v>
      </c>
      <c r="M174" s="4" t="e">
        <f aca="false">(L174-#REF!)/#REF!</f>
        <v>#REF!</v>
      </c>
      <c r="N174" s="1" t="n">
        <v>45</v>
      </c>
      <c r="O174" s="4" t="e">
        <f aca="false">(N174-#REF!)/#REF!</f>
        <v>#REF!</v>
      </c>
      <c r="P174" s="1" t="n">
        <v>100</v>
      </c>
      <c r="Q174" s="4" t="e">
        <f aca="false">(P174-#REF!)/#REF!</f>
        <v>#REF!</v>
      </c>
      <c r="R174" s="1" t="n">
        <v>350</v>
      </c>
      <c r="S174" s="4" t="e">
        <f aca="false">(R174-#REF!)/#REF!</f>
        <v>#REF!</v>
      </c>
      <c r="T174" s="1" t="n">
        <f aca="false">R174-N174</f>
        <v>305</v>
      </c>
      <c r="U174" s="4" t="e">
        <f aca="false">(T174-#REF!)/#REF!</f>
        <v>#REF!</v>
      </c>
      <c r="V174" s="1" t="n">
        <v>78.5</v>
      </c>
      <c r="W174" s="4" t="e">
        <f aca="false">(V174-#REF!)/#REF!</f>
        <v>#REF!</v>
      </c>
      <c r="X174" s="28" t="n">
        <v>0.00224285714285714</v>
      </c>
      <c r="Y174" s="4" t="e">
        <f aca="false">(X174-#REF!)/#REF!</f>
        <v>#REF!</v>
      </c>
      <c r="Z174" s="27" t="n">
        <v>322.296071094793</v>
      </c>
      <c r="AA174" s="4" t="e">
        <f aca="false">(Z174-#REF!)/#REF!</f>
        <v>#REF!</v>
      </c>
      <c r="AB174" s="3" t="n">
        <v>528</v>
      </c>
      <c r="AC174" s="4" t="e">
        <f aca="false">(AB174-#REF!)/#REF!</f>
        <v>#REF!</v>
      </c>
      <c r="AD174" s="25" t="n">
        <v>7.26</v>
      </c>
      <c r="AE174" s="4" t="e">
        <f aca="false">(AD174-#REF!)/#REF!</f>
        <v>#REF!</v>
      </c>
      <c r="AF174" s="4" t="n">
        <v>0.18</v>
      </c>
      <c r="AG174" s="4"/>
    </row>
    <row r="175" customFormat="false" ht="14.25" hidden="false" customHeight="false" outlineLevel="0" collapsed="false">
      <c r="B175" s="1" t="n">
        <v>10</v>
      </c>
      <c r="C175" s="4" t="e">
        <f aca="false">(B175-#REF!)/#REF!</f>
        <v>#REF!</v>
      </c>
      <c r="D175" s="1" t="n">
        <v>1</v>
      </c>
      <c r="E175" s="4" t="e">
        <f aca="false">(D175-#REF!)/#REF!</f>
        <v>#REF!</v>
      </c>
      <c r="F175" s="2" t="n">
        <v>45</v>
      </c>
      <c r="G175" s="4" t="e">
        <f aca="false">(F175-#REF!)/#REF!</f>
        <v>#REF!</v>
      </c>
      <c r="H175" s="2" t="n">
        <v>36.1</v>
      </c>
      <c r="I175" s="4" t="e">
        <f aca="false">(H175-#REF!)/#REF!</f>
        <v>#REF!</v>
      </c>
      <c r="J175" s="4" t="n">
        <v>2.8</v>
      </c>
      <c r="K175" s="4" t="e">
        <f aca="false">(J175-#REF!)/#REF!</f>
        <v>#REF!</v>
      </c>
      <c r="L175" s="1" t="n">
        <v>40</v>
      </c>
      <c r="M175" s="4" t="e">
        <f aca="false">(L175-#REF!)/#REF!</f>
        <v>#REF!</v>
      </c>
      <c r="N175" s="1" t="n">
        <v>45</v>
      </c>
      <c r="O175" s="4" t="e">
        <f aca="false">(N175-#REF!)/#REF!</f>
        <v>#REF!</v>
      </c>
      <c r="P175" s="1" t="n">
        <v>100</v>
      </c>
      <c r="Q175" s="4" t="e">
        <f aca="false">(P175-#REF!)/#REF!</f>
        <v>#REF!</v>
      </c>
      <c r="R175" s="1" t="n">
        <v>350</v>
      </c>
      <c r="S175" s="4" t="e">
        <f aca="false">(R175-#REF!)/#REF!</f>
        <v>#REF!</v>
      </c>
      <c r="T175" s="1" t="n">
        <f aca="false">R175-N175</f>
        <v>305</v>
      </c>
      <c r="U175" s="4" t="e">
        <f aca="false">(T175-#REF!)/#REF!</f>
        <v>#REF!</v>
      </c>
      <c r="V175" s="1" t="n">
        <v>78.5</v>
      </c>
      <c r="W175" s="4" t="e">
        <f aca="false">(V175-#REF!)/#REF!</f>
        <v>#REF!</v>
      </c>
      <c r="X175" s="28" t="n">
        <v>0.00224285714285714</v>
      </c>
      <c r="Y175" s="4" t="e">
        <f aca="false">(X175-#REF!)/#REF!</f>
        <v>#REF!</v>
      </c>
      <c r="Z175" s="27" t="n">
        <v>334.726222597071</v>
      </c>
      <c r="AA175" s="4" t="e">
        <f aca="false">(Z175-#REF!)/#REF!</f>
        <v>#REF!</v>
      </c>
      <c r="AB175" s="3" t="n">
        <v>528</v>
      </c>
      <c r="AC175" s="4" t="e">
        <f aca="false">(AB175-#REF!)/#REF!</f>
        <v>#REF!</v>
      </c>
      <c r="AD175" s="25" t="n">
        <v>7.54</v>
      </c>
      <c r="AE175" s="4" t="e">
        <f aca="false">(AD175-#REF!)/#REF!</f>
        <v>#REF!</v>
      </c>
      <c r="AF175" s="4" t="n">
        <v>0.2</v>
      </c>
      <c r="AG175" s="4"/>
    </row>
    <row r="176" customFormat="false" ht="14.25" hidden="false" customHeight="false" outlineLevel="0" collapsed="false">
      <c r="B176" s="1" t="n">
        <v>10</v>
      </c>
      <c r="C176" s="4" t="e">
        <f aca="false">(B176-#REF!)/#REF!</f>
        <v>#REF!</v>
      </c>
      <c r="D176" s="1" t="n">
        <v>1</v>
      </c>
      <c r="E176" s="4" t="e">
        <f aca="false">(D176-#REF!)/#REF!</f>
        <v>#REF!</v>
      </c>
      <c r="F176" s="2" t="n">
        <v>45</v>
      </c>
      <c r="G176" s="4" t="e">
        <f aca="false">(F176-#REF!)/#REF!</f>
        <v>#REF!</v>
      </c>
      <c r="H176" s="2" t="n">
        <v>36.1</v>
      </c>
      <c r="I176" s="4" t="e">
        <f aca="false">(H176-#REF!)/#REF!</f>
        <v>#REF!</v>
      </c>
      <c r="J176" s="4" t="n">
        <v>2.8</v>
      </c>
      <c r="K176" s="4" t="e">
        <f aca="false">(J176-#REF!)/#REF!</f>
        <v>#REF!</v>
      </c>
      <c r="L176" s="1" t="n">
        <v>40</v>
      </c>
      <c r="M176" s="4" t="e">
        <f aca="false">(L176-#REF!)/#REF!</f>
        <v>#REF!</v>
      </c>
      <c r="N176" s="1" t="n">
        <v>45</v>
      </c>
      <c r="O176" s="4" t="e">
        <f aca="false">(N176-#REF!)/#REF!</f>
        <v>#REF!</v>
      </c>
      <c r="P176" s="1" t="n">
        <v>100</v>
      </c>
      <c r="Q176" s="4" t="e">
        <f aca="false">(P176-#REF!)/#REF!</f>
        <v>#REF!</v>
      </c>
      <c r="R176" s="1" t="n">
        <v>350</v>
      </c>
      <c r="S176" s="4" t="e">
        <f aca="false">(R176-#REF!)/#REF!</f>
        <v>#REF!</v>
      </c>
      <c r="T176" s="1" t="n">
        <f aca="false">R176-N176</f>
        <v>305</v>
      </c>
      <c r="U176" s="4" t="e">
        <f aca="false">(T176-#REF!)/#REF!</f>
        <v>#REF!</v>
      </c>
      <c r="V176" s="1" t="n">
        <v>78.5</v>
      </c>
      <c r="W176" s="4" t="e">
        <f aca="false">(V176-#REF!)/#REF!</f>
        <v>#REF!</v>
      </c>
      <c r="X176" s="28" t="n">
        <v>0.00224285714285714</v>
      </c>
      <c r="Y176" s="4" t="e">
        <f aca="false">(X176-#REF!)/#REF!</f>
        <v>#REF!</v>
      </c>
      <c r="Z176" s="27" t="n">
        <v>347.600308081574</v>
      </c>
      <c r="AA176" s="4" t="e">
        <f aca="false">(Z176-#REF!)/#REF!</f>
        <v>#REF!</v>
      </c>
      <c r="AB176" s="3" t="n">
        <v>528</v>
      </c>
      <c r="AC176" s="4" t="e">
        <f aca="false">(AB176-#REF!)/#REF!</f>
        <v>#REF!</v>
      </c>
      <c r="AD176" s="25" t="n">
        <v>7.83</v>
      </c>
      <c r="AE176" s="4" t="e">
        <f aca="false">(AD176-#REF!)/#REF!</f>
        <v>#REF!</v>
      </c>
      <c r="AF176" s="4" t="n">
        <v>0.23</v>
      </c>
      <c r="AG176" s="4"/>
    </row>
    <row r="177" customFormat="false" ht="14.25" hidden="false" customHeight="false" outlineLevel="0" collapsed="false">
      <c r="B177" s="1" t="n">
        <v>10</v>
      </c>
      <c r="C177" s="4" t="e">
        <f aca="false">(B177-#REF!)/#REF!</f>
        <v>#REF!</v>
      </c>
      <c r="D177" s="1" t="n">
        <v>1</v>
      </c>
      <c r="E177" s="4" t="e">
        <f aca="false">(D177-#REF!)/#REF!</f>
        <v>#REF!</v>
      </c>
      <c r="F177" s="2" t="n">
        <v>45</v>
      </c>
      <c r="G177" s="4" t="e">
        <f aca="false">(F177-#REF!)/#REF!</f>
        <v>#REF!</v>
      </c>
      <c r="H177" s="2" t="n">
        <v>36.1</v>
      </c>
      <c r="I177" s="4" t="e">
        <f aca="false">(H177-#REF!)/#REF!</f>
        <v>#REF!</v>
      </c>
      <c r="J177" s="4" t="n">
        <v>2.8</v>
      </c>
      <c r="K177" s="4" t="e">
        <f aca="false">(J177-#REF!)/#REF!</f>
        <v>#REF!</v>
      </c>
      <c r="L177" s="1" t="n">
        <v>40</v>
      </c>
      <c r="M177" s="4" t="e">
        <f aca="false">(L177-#REF!)/#REF!</f>
        <v>#REF!</v>
      </c>
      <c r="N177" s="1" t="n">
        <v>45</v>
      </c>
      <c r="O177" s="4" t="e">
        <f aca="false">(N177-#REF!)/#REF!</f>
        <v>#REF!</v>
      </c>
      <c r="P177" s="1" t="n">
        <v>100</v>
      </c>
      <c r="Q177" s="4" t="e">
        <f aca="false">(P177-#REF!)/#REF!</f>
        <v>#REF!</v>
      </c>
      <c r="R177" s="1" t="n">
        <v>350</v>
      </c>
      <c r="S177" s="4" t="e">
        <f aca="false">(R177-#REF!)/#REF!</f>
        <v>#REF!</v>
      </c>
      <c r="T177" s="1" t="n">
        <f aca="false">R177-N177</f>
        <v>305</v>
      </c>
      <c r="U177" s="4" t="e">
        <f aca="false">(T177-#REF!)/#REF!</f>
        <v>#REF!</v>
      </c>
      <c r="V177" s="1" t="n">
        <v>78.5</v>
      </c>
      <c r="W177" s="4" t="e">
        <f aca="false">(V177-#REF!)/#REF!</f>
        <v>#REF!</v>
      </c>
      <c r="X177" s="28" t="n">
        <v>0.00224285714285714</v>
      </c>
      <c r="Y177" s="4" t="e">
        <f aca="false">(X177-#REF!)/#REF!</f>
        <v>#REF!</v>
      </c>
      <c r="Z177" s="27" t="n">
        <v>361.362261530525</v>
      </c>
      <c r="AA177" s="4" t="e">
        <f aca="false">(Z177-#REF!)/#REF!</f>
        <v>#REF!</v>
      </c>
      <c r="AB177" s="3" t="n">
        <v>528</v>
      </c>
      <c r="AC177" s="4" t="e">
        <f aca="false">(AB177-#REF!)/#REF!</f>
        <v>#REF!</v>
      </c>
      <c r="AD177" s="25" t="n">
        <v>8.14</v>
      </c>
      <c r="AE177" s="4" t="e">
        <f aca="false">(AD177-#REF!)/#REF!</f>
        <v>#REF!</v>
      </c>
      <c r="AF177" s="4" t="n">
        <v>0.24</v>
      </c>
      <c r="AG177" s="4"/>
    </row>
    <row r="178" customFormat="false" ht="14.25" hidden="false" customHeight="false" outlineLevel="0" collapsed="false">
      <c r="B178" s="1" t="n">
        <v>10</v>
      </c>
      <c r="C178" s="4" t="e">
        <f aca="false">(B178-#REF!)/#REF!</f>
        <v>#REF!</v>
      </c>
      <c r="D178" s="1" t="n">
        <v>1</v>
      </c>
      <c r="E178" s="4" t="e">
        <f aca="false">(D178-#REF!)/#REF!</f>
        <v>#REF!</v>
      </c>
      <c r="F178" s="2" t="n">
        <v>45</v>
      </c>
      <c r="G178" s="4" t="e">
        <f aca="false">(F178-#REF!)/#REF!</f>
        <v>#REF!</v>
      </c>
      <c r="H178" s="2" t="n">
        <v>36.1</v>
      </c>
      <c r="I178" s="4" t="e">
        <f aca="false">(H178-#REF!)/#REF!</f>
        <v>#REF!</v>
      </c>
      <c r="J178" s="4" t="n">
        <v>2.8</v>
      </c>
      <c r="K178" s="4" t="e">
        <f aca="false">(J178-#REF!)/#REF!</f>
        <v>#REF!</v>
      </c>
      <c r="L178" s="1" t="n">
        <v>40</v>
      </c>
      <c r="M178" s="4" t="e">
        <f aca="false">(L178-#REF!)/#REF!</f>
        <v>#REF!</v>
      </c>
      <c r="N178" s="1" t="n">
        <v>45</v>
      </c>
      <c r="O178" s="4" t="e">
        <f aca="false">(N178-#REF!)/#REF!</f>
        <v>#REF!</v>
      </c>
      <c r="P178" s="1" t="n">
        <v>100</v>
      </c>
      <c r="Q178" s="4" t="e">
        <f aca="false">(P178-#REF!)/#REF!</f>
        <v>#REF!</v>
      </c>
      <c r="R178" s="1" t="n">
        <v>350</v>
      </c>
      <c r="S178" s="4" t="e">
        <f aca="false">(R178-#REF!)/#REF!</f>
        <v>#REF!</v>
      </c>
      <c r="T178" s="1" t="n">
        <f aca="false">R178-N178</f>
        <v>305</v>
      </c>
      <c r="U178" s="4" t="e">
        <f aca="false">(T178-#REF!)/#REF!</f>
        <v>#REF!</v>
      </c>
      <c r="V178" s="1" t="n">
        <v>78.5</v>
      </c>
      <c r="W178" s="4" t="e">
        <f aca="false">(V178-#REF!)/#REF!</f>
        <v>#REF!</v>
      </c>
      <c r="X178" s="28" t="n">
        <v>0.00224285714285714</v>
      </c>
      <c r="Y178" s="4" t="e">
        <f aca="false">(X178-#REF!)/#REF!</f>
        <v>#REF!</v>
      </c>
      <c r="Z178" s="27" t="n">
        <v>375.568148961701</v>
      </c>
      <c r="AA178" s="4" t="e">
        <f aca="false">(Z178-#REF!)/#REF!</f>
        <v>#REF!</v>
      </c>
      <c r="AB178" s="3" t="n">
        <v>528</v>
      </c>
      <c r="AC178" s="4" t="e">
        <f aca="false">(AB178-#REF!)/#REF!</f>
        <v>#REF!</v>
      </c>
      <c r="AD178" s="25" t="n">
        <v>8.46</v>
      </c>
      <c r="AE178" s="4" t="e">
        <f aca="false">(AD178-#REF!)/#REF!</f>
        <v>#REF!</v>
      </c>
      <c r="AF178" s="4" t="n">
        <v>0.25</v>
      </c>
      <c r="AG178" s="4"/>
    </row>
    <row r="179" customFormat="false" ht="14.25" hidden="false" customHeight="false" outlineLevel="0" collapsed="false">
      <c r="B179" s="1" t="n">
        <v>10</v>
      </c>
      <c r="C179" s="4" t="e">
        <f aca="false">(B179-#REF!)/#REF!</f>
        <v>#REF!</v>
      </c>
      <c r="D179" s="1" t="n">
        <v>1</v>
      </c>
      <c r="E179" s="4" t="e">
        <f aca="false">(D179-#REF!)/#REF!</f>
        <v>#REF!</v>
      </c>
      <c r="F179" s="2" t="n">
        <v>45</v>
      </c>
      <c r="G179" s="4" t="e">
        <f aca="false">(F179-#REF!)/#REF!</f>
        <v>#REF!</v>
      </c>
      <c r="H179" s="2" t="n">
        <v>36.1</v>
      </c>
      <c r="I179" s="4" t="e">
        <f aca="false">(H179-#REF!)/#REF!</f>
        <v>#REF!</v>
      </c>
      <c r="J179" s="4" t="n">
        <v>2.8</v>
      </c>
      <c r="K179" s="4" t="e">
        <f aca="false">(J179-#REF!)/#REF!</f>
        <v>#REF!</v>
      </c>
      <c r="L179" s="1" t="n">
        <v>40</v>
      </c>
      <c r="M179" s="4" t="e">
        <f aca="false">(L179-#REF!)/#REF!</f>
        <v>#REF!</v>
      </c>
      <c r="N179" s="1" t="n">
        <v>45</v>
      </c>
      <c r="O179" s="4" t="e">
        <f aca="false">(N179-#REF!)/#REF!</f>
        <v>#REF!</v>
      </c>
      <c r="P179" s="1" t="n">
        <v>100</v>
      </c>
      <c r="Q179" s="4" t="e">
        <f aca="false">(P179-#REF!)/#REF!</f>
        <v>#REF!</v>
      </c>
      <c r="R179" s="1" t="n">
        <v>350</v>
      </c>
      <c r="S179" s="4" t="e">
        <f aca="false">(R179-#REF!)/#REF!</f>
        <v>#REF!</v>
      </c>
      <c r="T179" s="1" t="n">
        <f aca="false">R179-N179</f>
        <v>305</v>
      </c>
      <c r="U179" s="4" t="e">
        <f aca="false">(T179-#REF!)/#REF!</f>
        <v>#REF!</v>
      </c>
      <c r="V179" s="1" t="n">
        <v>78.5</v>
      </c>
      <c r="W179" s="4" t="e">
        <f aca="false">(V179-#REF!)/#REF!</f>
        <v>#REF!</v>
      </c>
      <c r="X179" s="28" t="n">
        <v>0.00224285714285714</v>
      </c>
      <c r="Y179" s="4" t="e">
        <f aca="false">(X179-#REF!)/#REF!</f>
        <v>#REF!</v>
      </c>
      <c r="Z179" s="27" t="n">
        <v>388.442234446203</v>
      </c>
      <c r="AA179" s="4" t="e">
        <f aca="false">(Z179-#REF!)/#REF!</f>
        <v>#REF!</v>
      </c>
      <c r="AB179" s="3" t="n">
        <v>528</v>
      </c>
      <c r="AC179" s="4" t="e">
        <f aca="false">(AB179-#REF!)/#REF!</f>
        <v>#REF!</v>
      </c>
      <c r="AD179" s="25" t="n">
        <v>8.75</v>
      </c>
      <c r="AE179" s="4" t="e">
        <f aca="false">(AD179-#REF!)/#REF!</f>
        <v>#REF!</v>
      </c>
      <c r="AF179" s="4" t="n">
        <v>0.27</v>
      </c>
      <c r="AG179" s="4"/>
    </row>
    <row r="180" customFormat="false" ht="14.25" hidden="false" customHeight="false" outlineLevel="0" collapsed="false">
      <c r="B180" s="1" t="n">
        <v>10</v>
      </c>
      <c r="C180" s="4" t="e">
        <f aca="false">(B180-#REF!)/#REF!</f>
        <v>#REF!</v>
      </c>
      <c r="D180" s="1" t="n">
        <v>1</v>
      </c>
      <c r="E180" s="4" t="e">
        <f aca="false">(D180-#REF!)/#REF!</f>
        <v>#REF!</v>
      </c>
      <c r="F180" s="2" t="n">
        <v>45</v>
      </c>
      <c r="G180" s="4" t="e">
        <f aca="false">(F180-#REF!)/#REF!</f>
        <v>#REF!</v>
      </c>
      <c r="H180" s="2" t="n">
        <v>36.1</v>
      </c>
      <c r="I180" s="4" t="e">
        <f aca="false">(H180-#REF!)/#REF!</f>
        <v>#REF!</v>
      </c>
      <c r="J180" s="4" t="n">
        <v>2.8</v>
      </c>
      <c r="K180" s="4" t="e">
        <f aca="false">(J180-#REF!)/#REF!</f>
        <v>#REF!</v>
      </c>
      <c r="L180" s="1" t="n">
        <v>40</v>
      </c>
      <c r="M180" s="4" t="e">
        <f aca="false">(L180-#REF!)/#REF!</f>
        <v>#REF!</v>
      </c>
      <c r="N180" s="1" t="n">
        <v>45</v>
      </c>
      <c r="O180" s="4" t="e">
        <f aca="false">(N180-#REF!)/#REF!</f>
        <v>#REF!</v>
      </c>
      <c r="P180" s="1" t="n">
        <v>100</v>
      </c>
      <c r="Q180" s="4" t="e">
        <f aca="false">(P180-#REF!)/#REF!</f>
        <v>#REF!</v>
      </c>
      <c r="R180" s="1" t="n">
        <v>350</v>
      </c>
      <c r="S180" s="4" t="e">
        <f aca="false">(R180-#REF!)/#REF!</f>
        <v>#REF!</v>
      </c>
      <c r="T180" s="1" t="n">
        <f aca="false">R180-N180</f>
        <v>305</v>
      </c>
      <c r="U180" s="4" t="e">
        <f aca="false">(T180-#REF!)/#REF!</f>
        <v>#REF!</v>
      </c>
      <c r="V180" s="1" t="n">
        <v>78.5</v>
      </c>
      <c r="W180" s="4" t="e">
        <f aca="false">(V180-#REF!)/#REF!</f>
        <v>#REF!</v>
      </c>
      <c r="X180" s="28" t="n">
        <v>0.00224285714285714</v>
      </c>
      <c r="Y180" s="4" t="e">
        <f aca="false">(X180-#REF!)/#REF!</f>
        <v>#REF!</v>
      </c>
      <c r="Z180" s="27" t="n">
        <v>399.984517984033</v>
      </c>
      <c r="AA180" s="4" t="e">
        <f aca="false">(Z180-#REF!)/#REF!</f>
        <v>#REF!</v>
      </c>
      <c r="AB180" s="3" t="n">
        <v>528</v>
      </c>
      <c r="AC180" s="4" t="e">
        <f aca="false">(AB180-#REF!)/#REF!</f>
        <v>#REF!</v>
      </c>
      <c r="AD180" s="25" t="n">
        <v>9.01</v>
      </c>
      <c r="AE180" s="4" t="e">
        <f aca="false">(AD180-#REF!)/#REF!</f>
        <v>#REF!</v>
      </c>
      <c r="AF180" s="4" t="n">
        <v>0.29</v>
      </c>
      <c r="AG180" s="4"/>
    </row>
    <row r="181" customFormat="false" ht="14.25" hidden="false" customHeight="false" outlineLevel="0" collapsed="false">
      <c r="A181" s="0" t="s">
        <v>60</v>
      </c>
      <c r="B181" s="1" t="n">
        <v>10</v>
      </c>
      <c r="C181" s="4" t="e">
        <f aca="false">(B181-#REF!)/#REF!</f>
        <v>#REF!</v>
      </c>
      <c r="D181" s="1" t="n">
        <v>1</v>
      </c>
      <c r="E181" s="4" t="e">
        <f aca="false">(D181-#REF!)/#REF!</f>
        <v>#REF!</v>
      </c>
      <c r="F181" s="2" t="n">
        <v>45</v>
      </c>
      <c r="G181" s="4" t="e">
        <f aca="false">(F181-#REF!)/#REF!</f>
        <v>#REF!</v>
      </c>
      <c r="H181" s="2" t="n">
        <v>36.1</v>
      </c>
      <c r="I181" s="4" t="e">
        <f aca="false">(H181-#REF!)/#REF!</f>
        <v>#REF!</v>
      </c>
      <c r="J181" s="4" t="n">
        <v>2.8</v>
      </c>
      <c r="K181" s="4" t="e">
        <f aca="false">(J181-#REF!)/#REF!</f>
        <v>#REF!</v>
      </c>
      <c r="L181" s="1" t="n">
        <v>40</v>
      </c>
      <c r="M181" s="4" t="e">
        <f aca="false">(L181-#REF!)/#REF!</f>
        <v>#REF!</v>
      </c>
      <c r="N181" s="1" t="n">
        <v>45</v>
      </c>
      <c r="O181" s="4" t="e">
        <f aca="false">(N181-#REF!)/#REF!</f>
        <v>#REF!</v>
      </c>
      <c r="P181" s="1" t="n">
        <v>100</v>
      </c>
      <c r="Q181" s="4" t="e">
        <f aca="false">(P181-#REF!)/#REF!</f>
        <v>#REF!</v>
      </c>
      <c r="R181" s="1" t="n">
        <v>350</v>
      </c>
      <c r="S181" s="4" t="e">
        <f aca="false">(R181-#REF!)/#REF!</f>
        <v>#REF!</v>
      </c>
      <c r="T181" s="1" t="n">
        <f aca="false">R181-N181</f>
        <v>305</v>
      </c>
      <c r="U181" s="4" t="e">
        <f aca="false">(T181-#REF!)/#REF!</f>
        <v>#REF!</v>
      </c>
      <c r="V181" s="1" t="n">
        <v>78.5</v>
      </c>
      <c r="W181" s="4" t="e">
        <f aca="false">(V181-#REF!)/#REF!</f>
        <v>#REF!</v>
      </c>
      <c r="X181" s="28" t="n">
        <v>0.00224285714285714</v>
      </c>
      <c r="Y181" s="4" t="e">
        <f aca="false">(X181-#REF!)/#REF!</f>
        <v>#REF!</v>
      </c>
      <c r="Z181" s="27" t="n">
        <v>323.627873041465</v>
      </c>
      <c r="AA181" s="4" t="e">
        <f aca="false">(Z181-#REF!)/#REF!</f>
        <v>#REF!</v>
      </c>
      <c r="AB181" s="3" t="n">
        <v>528</v>
      </c>
      <c r="AC181" s="4" t="e">
        <f aca="false">(AB181-#REF!)/#REF!</f>
        <v>#REF!</v>
      </c>
      <c r="AD181" s="25" t="n">
        <v>7.29</v>
      </c>
      <c r="AE181" s="4" t="e">
        <f aca="false">(AD181-#REF!)/#REF!</f>
        <v>#REF!</v>
      </c>
      <c r="AF181" s="4" t="n">
        <v>0.15</v>
      </c>
      <c r="AG181" s="4"/>
    </row>
    <row r="182" customFormat="false" ht="14.25" hidden="false" customHeight="false" outlineLevel="0" collapsed="false">
      <c r="B182" s="1" t="n">
        <v>10</v>
      </c>
      <c r="C182" s="4" t="e">
        <f aca="false">(B182-#REF!)/#REF!</f>
        <v>#REF!</v>
      </c>
      <c r="D182" s="1" t="n">
        <v>1</v>
      </c>
      <c r="E182" s="4" t="e">
        <f aca="false">(D182-#REF!)/#REF!</f>
        <v>#REF!</v>
      </c>
      <c r="F182" s="2" t="n">
        <v>45</v>
      </c>
      <c r="G182" s="4" t="e">
        <f aca="false">(F182-#REF!)/#REF!</f>
        <v>#REF!</v>
      </c>
      <c r="H182" s="2" t="n">
        <v>36.1</v>
      </c>
      <c r="I182" s="4" t="e">
        <f aca="false">(H182-#REF!)/#REF!</f>
        <v>#REF!</v>
      </c>
      <c r="J182" s="4" t="n">
        <v>2.8</v>
      </c>
      <c r="K182" s="4" t="e">
        <f aca="false">(J182-#REF!)/#REF!</f>
        <v>#REF!</v>
      </c>
      <c r="L182" s="1" t="n">
        <v>40</v>
      </c>
      <c r="M182" s="4" t="e">
        <f aca="false">(L182-#REF!)/#REF!</f>
        <v>#REF!</v>
      </c>
      <c r="N182" s="1" t="n">
        <v>45</v>
      </c>
      <c r="O182" s="4" t="e">
        <f aca="false">(N182-#REF!)/#REF!</f>
        <v>#REF!</v>
      </c>
      <c r="P182" s="1" t="n">
        <v>100</v>
      </c>
      <c r="Q182" s="4" t="e">
        <f aca="false">(P182-#REF!)/#REF!</f>
        <v>#REF!</v>
      </c>
      <c r="R182" s="1" t="n">
        <v>350</v>
      </c>
      <c r="S182" s="4" t="e">
        <f aca="false">(R182-#REF!)/#REF!</f>
        <v>#REF!</v>
      </c>
      <c r="T182" s="1" t="n">
        <f aca="false">R182-N182</f>
        <v>305</v>
      </c>
      <c r="U182" s="4" t="e">
        <f aca="false">(T182-#REF!)/#REF!</f>
        <v>#REF!</v>
      </c>
      <c r="V182" s="1" t="n">
        <v>78.5</v>
      </c>
      <c r="W182" s="4" t="e">
        <f aca="false">(V182-#REF!)/#REF!</f>
        <v>#REF!</v>
      </c>
      <c r="X182" s="28" t="n">
        <v>0.00224285714285714</v>
      </c>
      <c r="Y182" s="4" t="e">
        <f aca="false">(X182-#REF!)/#REF!</f>
        <v>#REF!</v>
      </c>
      <c r="Z182" s="27" t="n">
        <v>336.501958525968</v>
      </c>
      <c r="AA182" s="4" t="e">
        <f aca="false">(Z182-#REF!)/#REF!</f>
        <v>#REF!</v>
      </c>
      <c r="AB182" s="3" t="n">
        <v>528</v>
      </c>
      <c r="AC182" s="4" t="e">
        <f aca="false">(AB182-#REF!)/#REF!</f>
        <v>#REF!</v>
      </c>
      <c r="AD182" s="25" t="n">
        <v>7.58</v>
      </c>
      <c r="AE182" s="4" t="e">
        <f aca="false">(AD182-#REF!)/#REF!</f>
        <v>#REF!</v>
      </c>
      <c r="AF182" s="4" t="n">
        <v>0.16</v>
      </c>
      <c r="AG182" s="4"/>
    </row>
    <row r="183" customFormat="false" ht="14.25" hidden="false" customHeight="false" outlineLevel="0" collapsed="false">
      <c r="B183" s="1" t="n">
        <v>10</v>
      </c>
      <c r="C183" s="4" t="e">
        <f aca="false">(B183-#REF!)/#REF!</f>
        <v>#REF!</v>
      </c>
      <c r="D183" s="1" t="n">
        <v>1</v>
      </c>
      <c r="E183" s="4" t="e">
        <f aca="false">(D183-#REF!)/#REF!</f>
        <v>#REF!</v>
      </c>
      <c r="F183" s="2" t="n">
        <v>45</v>
      </c>
      <c r="G183" s="4" t="e">
        <f aca="false">(F183-#REF!)/#REF!</f>
        <v>#REF!</v>
      </c>
      <c r="H183" s="2" t="n">
        <v>36.1</v>
      </c>
      <c r="I183" s="4" t="e">
        <f aca="false">(H183-#REF!)/#REF!</f>
        <v>#REF!</v>
      </c>
      <c r="J183" s="4" t="n">
        <v>2.8</v>
      </c>
      <c r="K183" s="4" t="e">
        <f aca="false">(J183-#REF!)/#REF!</f>
        <v>#REF!</v>
      </c>
      <c r="L183" s="1" t="n">
        <v>40</v>
      </c>
      <c r="M183" s="4" t="e">
        <f aca="false">(L183-#REF!)/#REF!</f>
        <v>#REF!</v>
      </c>
      <c r="N183" s="1" t="n">
        <v>45</v>
      </c>
      <c r="O183" s="4" t="e">
        <f aca="false">(N183-#REF!)/#REF!</f>
        <v>#REF!</v>
      </c>
      <c r="P183" s="1" t="n">
        <v>100</v>
      </c>
      <c r="Q183" s="4" t="e">
        <f aca="false">(P183-#REF!)/#REF!</f>
        <v>#REF!</v>
      </c>
      <c r="R183" s="1" t="n">
        <v>350</v>
      </c>
      <c r="S183" s="4" t="e">
        <f aca="false">(R183-#REF!)/#REF!</f>
        <v>#REF!</v>
      </c>
      <c r="T183" s="1" t="n">
        <f aca="false">R183-N183</f>
        <v>305</v>
      </c>
      <c r="U183" s="4" t="e">
        <f aca="false">(T183-#REF!)/#REF!</f>
        <v>#REF!</v>
      </c>
      <c r="V183" s="1" t="n">
        <v>78.5</v>
      </c>
      <c r="W183" s="4" t="e">
        <f aca="false">(V183-#REF!)/#REF!</f>
        <v>#REF!</v>
      </c>
      <c r="X183" s="28" t="n">
        <v>0.00224285714285714</v>
      </c>
      <c r="Y183" s="4" t="e">
        <f aca="false">(X183-#REF!)/#REF!</f>
        <v>#REF!</v>
      </c>
      <c r="Z183" s="27" t="n">
        <v>354.703251797162</v>
      </c>
      <c r="AA183" s="4" t="e">
        <f aca="false">(Z183-#REF!)/#REF!</f>
        <v>#REF!</v>
      </c>
      <c r="AB183" s="3" t="n">
        <v>528</v>
      </c>
      <c r="AC183" s="4" t="e">
        <f aca="false">(AB183-#REF!)/#REF!</f>
        <v>#REF!</v>
      </c>
      <c r="AD183" s="25" t="n">
        <v>7.99</v>
      </c>
      <c r="AE183" s="4" t="e">
        <f aca="false">(AD183-#REF!)/#REF!</f>
        <v>#REF!</v>
      </c>
      <c r="AF183" s="4" t="n">
        <v>0.18</v>
      </c>
      <c r="AG183" s="4"/>
    </row>
    <row r="184" customFormat="false" ht="14.25" hidden="false" customHeight="false" outlineLevel="0" collapsed="false">
      <c r="B184" s="1" t="n">
        <v>10</v>
      </c>
      <c r="C184" s="4" t="e">
        <f aca="false">(B184-#REF!)/#REF!</f>
        <v>#REF!</v>
      </c>
      <c r="D184" s="1" t="n">
        <v>1</v>
      </c>
      <c r="E184" s="4" t="e">
        <f aca="false">(D184-#REF!)/#REF!</f>
        <v>#REF!</v>
      </c>
      <c r="F184" s="2" t="n">
        <v>45</v>
      </c>
      <c r="G184" s="4" t="e">
        <f aca="false">(F184-#REF!)/#REF!</f>
        <v>#REF!</v>
      </c>
      <c r="H184" s="2" t="n">
        <v>36.1</v>
      </c>
      <c r="I184" s="4" t="e">
        <f aca="false">(H184-#REF!)/#REF!</f>
        <v>#REF!</v>
      </c>
      <c r="J184" s="4" t="n">
        <v>2.8</v>
      </c>
      <c r="K184" s="4" t="e">
        <f aca="false">(J184-#REF!)/#REF!</f>
        <v>#REF!</v>
      </c>
      <c r="L184" s="1" t="n">
        <v>40</v>
      </c>
      <c r="M184" s="4" t="e">
        <f aca="false">(L184-#REF!)/#REF!</f>
        <v>#REF!</v>
      </c>
      <c r="N184" s="1" t="n">
        <v>45</v>
      </c>
      <c r="O184" s="4" t="e">
        <f aca="false">(N184-#REF!)/#REF!</f>
        <v>#REF!</v>
      </c>
      <c r="P184" s="1" t="n">
        <v>100</v>
      </c>
      <c r="Q184" s="4" t="e">
        <f aca="false">(P184-#REF!)/#REF!</f>
        <v>#REF!</v>
      </c>
      <c r="R184" s="1" t="n">
        <v>350</v>
      </c>
      <c r="S184" s="4" t="e">
        <f aca="false">(R184-#REF!)/#REF!</f>
        <v>#REF!</v>
      </c>
      <c r="T184" s="1" t="n">
        <f aca="false">R184-N184</f>
        <v>305</v>
      </c>
      <c r="U184" s="4" t="e">
        <f aca="false">(T184-#REF!)/#REF!</f>
        <v>#REF!</v>
      </c>
      <c r="V184" s="1" t="n">
        <v>78.5</v>
      </c>
      <c r="W184" s="4" t="e">
        <f aca="false">(V184-#REF!)/#REF!</f>
        <v>#REF!</v>
      </c>
      <c r="X184" s="28" t="n">
        <v>0.00224285714285714</v>
      </c>
      <c r="Y184" s="4" t="e">
        <f aca="false">(X184-#REF!)/#REF!</f>
        <v>#REF!</v>
      </c>
      <c r="Z184" s="27" t="n">
        <v>365.357667370543</v>
      </c>
      <c r="AA184" s="4" t="e">
        <f aca="false">(Z184-#REF!)/#REF!</f>
        <v>#REF!</v>
      </c>
      <c r="AB184" s="3" t="n">
        <v>528</v>
      </c>
      <c r="AC184" s="4" t="e">
        <f aca="false">(AB184-#REF!)/#REF!</f>
        <v>#REF!</v>
      </c>
      <c r="AD184" s="25" t="n">
        <v>8.23</v>
      </c>
      <c r="AE184" s="4" t="e">
        <f aca="false">(AD184-#REF!)/#REF!</f>
        <v>#REF!</v>
      </c>
      <c r="AF184" s="4" t="n">
        <v>0.18</v>
      </c>
      <c r="AG184" s="4"/>
    </row>
    <row r="185" customFormat="false" ht="14.25" hidden="false" customHeight="false" outlineLevel="0" collapsed="false">
      <c r="B185" s="1" t="n">
        <v>10</v>
      </c>
      <c r="C185" s="4" t="e">
        <f aca="false">(B185-#REF!)/#REF!</f>
        <v>#REF!</v>
      </c>
      <c r="D185" s="1" t="n">
        <v>1</v>
      </c>
      <c r="E185" s="4" t="e">
        <f aca="false">(D185-#REF!)/#REF!</f>
        <v>#REF!</v>
      </c>
      <c r="F185" s="2" t="n">
        <v>45</v>
      </c>
      <c r="G185" s="4" t="e">
        <f aca="false">(F185-#REF!)/#REF!</f>
        <v>#REF!</v>
      </c>
      <c r="H185" s="2" t="n">
        <v>36.1</v>
      </c>
      <c r="I185" s="4" t="e">
        <f aca="false">(H185-#REF!)/#REF!</f>
        <v>#REF!</v>
      </c>
      <c r="J185" s="4" t="n">
        <v>2.8</v>
      </c>
      <c r="K185" s="4" t="e">
        <f aca="false">(J185-#REF!)/#REF!</f>
        <v>#REF!</v>
      </c>
      <c r="L185" s="1" t="n">
        <v>40</v>
      </c>
      <c r="M185" s="4" t="e">
        <f aca="false">(L185-#REF!)/#REF!</f>
        <v>#REF!</v>
      </c>
      <c r="N185" s="1" t="n">
        <v>45</v>
      </c>
      <c r="O185" s="4" t="e">
        <f aca="false">(N185-#REF!)/#REF!</f>
        <v>#REF!</v>
      </c>
      <c r="P185" s="1" t="n">
        <v>100</v>
      </c>
      <c r="Q185" s="4" t="e">
        <f aca="false">(P185-#REF!)/#REF!</f>
        <v>#REF!</v>
      </c>
      <c r="R185" s="1" t="n">
        <v>350</v>
      </c>
      <c r="S185" s="4" t="e">
        <f aca="false">(R185-#REF!)/#REF!</f>
        <v>#REF!</v>
      </c>
      <c r="T185" s="1" t="n">
        <f aca="false">R185-N185</f>
        <v>305</v>
      </c>
      <c r="U185" s="4" t="e">
        <f aca="false">(T185-#REF!)/#REF!</f>
        <v>#REF!</v>
      </c>
      <c r="V185" s="1" t="n">
        <v>78.5</v>
      </c>
      <c r="W185" s="4" t="e">
        <f aca="false">(V185-#REF!)/#REF!</f>
        <v>#REF!</v>
      </c>
      <c r="X185" s="28" t="n">
        <v>0.00224285714285714</v>
      </c>
      <c r="Y185" s="4" t="e">
        <f aca="false">(X185-#REF!)/#REF!</f>
        <v>#REF!</v>
      </c>
      <c r="Z185" s="27" t="n">
        <v>375.568148961701</v>
      </c>
      <c r="AA185" s="4" t="e">
        <f aca="false">(Z185-#REF!)/#REF!</f>
        <v>#REF!</v>
      </c>
      <c r="AB185" s="3" t="n">
        <v>528</v>
      </c>
      <c r="AC185" s="4" t="e">
        <f aca="false">(AB185-#REF!)/#REF!</f>
        <v>#REF!</v>
      </c>
      <c r="AD185" s="25" t="n">
        <v>8.46</v>
      </c>
      <c r="AE185" s="4" t="e">
        <f aca="false">(AD185-#REF!)/#REF!</f>
        <v>#REF!</v>
      </c>
      <c r="AF185" s="4" t="n">
        <v>0.19</v>
      </c>
      <c r="AG185" s="4"/>
    </row>
    <row r="186" customFormat="false" ht="14.25" hidden="false" customHeight="false" outlineLevel="0" collapsed="false">
      <c r="B186" s="1" t="n">
        <v>10</v>
      </c>
      <c r="C186" s="4" t="e">
        <f aca="false">(B186-#REF!)/#REF!</f>
        <v>#REF!</v>
      </c>
      <c r="D186" s="1" t="n">
        <v>1</v>
      </c>
      <c r="E186" s="4" t="e">
        <f aca="false">(D186-#REF!)/#REF!</f>
        <v>#REF!</v>
      </c>
      <c r="F186" s="2" t="n">
        <v>45</v>
      </c>
      <c r="G186" s="4" t="e">
        <f aca="false">(F186-#REF!)/#REF!</f>
        <v>#REF!</v>
      </c>
      <c r="H186" s="2" t="n">
        <v>36.1</v>
      </c>
      <c r="I186" s="4" t="e">
        <f aca="false">(H186-#REF!)/#REF!</f>
        <v>#REF!</v>
      </c>
      <c r="J186" s="4" t="n">
        <v>2.8</v>
      </c>
      <c r="K186" s="4" t="e">
        <f aca="false">(J186-#REF!)/#REF!</f>
        <v>#REF!</v>
      </c>
      <c r="L186" s="1" t="n">
        <v>40</v>
      </c>
      <c r="M186" s="4" t="e">
        <f aca="false">(L186-#REF!)/#REF!</f>
        <v>#REF!</v>
      </c>
      <c r="N186" s="1" t="n">
        <v>45</v>
      </c>
      <c r="O186" s="4" t="e">
        <f aca="false">(N186-#REF!)/#REF!</f>
        <v>#REF!</v>
      </c>
      <c r="P186" s="1" t="n">
        <v>100</v>
      </c>
      <c r="Q186" s="4" t="e">
        <f aca="false">(P186-#REF!)/#REF!</f>
        <v>#REF!</v>
      </c>
      <c r="R186" s="1" t="n">
        <v>350</v>
      </c>
      <c r="S186" s="4" t="e">
        <f aca="false">(R186-#REF!)/#REF!</f>
        <v>#REF!</v>
      </c>
      <c r="T186" s="1" t="n">
        <f aca="false">R186-N186</f>
        <v>305</v>
      </c>
      <c r="U186" s="4" t="e">
        <f aca="false">(T186-#REF!)/#REF!</f>
        <v>#REF!</v>
      </c>
      <c r="V186" s="1" t="n">
        <v>78.5</v>
      </c>
      <c r="W186" s="4" t="e">
        <f aca="false">(V186-#REF!)/#REF!</f>
        <v>#REF!</v>
      </c>
      <c r="X186" s="28" t="n">
        <v>0.00224285714285714</v>
      </c>
      <c r="Y186" s="4" t="e">
        <f aca="false">(X186-#REF!)/#REF!</f>
        <v>#REF!</v>
      </c>
      <c r="Z186" s="27" t="n">
        <v>386.666498517306</v>
      </c>
      <c r="AA186" s="4" t="e">
        <f aca="false">(Z186-#REF!)/#REF!</f>
        <v>#REF!</v>
      </c>
      <c r="AB186" s="3" t="n">
        <v>528</v>
      </c>
      <c r="AC186" s="4" t="e">
        <f aca="false">(AB186-#REF!)/#REF!</f>
        <v>#REF!</v>
      </c>
      <c r="AD186" s="25" t="n">
        <v>8.71</v>
      </c>
      <c r="AE186" s="4" t="e">
        <f aca="false">(AD186-#REF!)/#REF!</f>
        <v>#REF!</v>
      </c>
      <c r="AF186" s="4" t="n">
        <v>0.2</v>
      </c>
      <c r="AG186" s="4"/>
    </row>
    <row r="187" customFormat="false" ht="14.25" hidden="false" customHeight="false" outlineLevel="0" collapsed="false">
      <c r="B187" s="1" t="n">
        <v>10</v>
      </c>
      <c r="C187" s="4" t="e">
        <f aca="false">(B187-#REF!)/#REF!</f>
        <v>#REF!</v>
      </c>
      <c r="D187" s="1" t="n">
        <v>1</v>
      </c>
      <c r="E187" s="4" t="e">
        <f aca="false">(D187-#REF!)/#REF!</f>
        <v>#REF!</v>
      </c>
      <c r="F187" s="2" t="n">
        <v>45</v>
      </c>
      <c r="G187" s="4" t="e">
        <f aca="false">(F187-#REF!)/#REF!</f>
        <v>#REF!</v>
      </c>
      <c r="H187" s="2" t="n">
        <v>36.1</v>
      </c>
      <c r="I187" s="4" t="e">
        <f aca="false">(H187-#REF!)/#REF!</f>
        <v>#REF!</v>
      </c>
      <c r="J187" s="4" t="n">
        <v>2.8</v>
      </c>
      <c r="K187" s="4" t="e">
        <f aca="false">(J187-#REF!)/#REF!</f>
        <v>#REF!</v>
      </c>
      <c r="L187" s="1" t="n">
        <v>40</v>
      </c>
      <c r="M187" s="4" t="e">
        <f aca="false">(L187-#REF!)/#REF!</f>
        <v>#REF!</v>
      </c>
      <c r="N187" s="1" t="n">
        <v>45</v>
      </c>
      <c r="O187" s="4" t="e">
        <f aca="false">(N187-#REF!)/#REF!</f>
        <v>#REF!</v>
      </c>
      <c r="P187" s="1" t="n">
        <v>100</v>
      </c>
      <c r="Q187" s="4" t="e">
        <f aca="false">(P187-#REF!)/#REF!</f>
        <v>#REF!</v>
      </c>
      <c r="R187" s="1" t="n">
        <v>350</v>
      </c>
      <c r="S187" s="4" t="e">
        <f aca="false">(R187-#REF!)/#REF!</f>
        <v>#REF!</v>
      </c>
      <c r="T187" s="1" t="n">
        <f aca="false">R187-N187</f>
        <v>305</v>
      </c>
      <c r="U187" s="4" t="e">
        <f aca="false">(T187-#REF!)/#REF!</f>
        <v>#REF!</v>
      </c>
      <c r="V187" s="1" t="n">
        <v>78.5</v>
      </c>
      <c r="W187" s="4" t="e">
        <f aca="false">(V187-#REF!)/#REF!</f>
        <v>#REF!</v>
      </c>
      <c r="X187" s="28" t="n">
        <v>0.00224285714285714</v>
      </c>
      <c r="Y187" s="4" t="e">
        <f aca="false">(X187-#REF!)/#REF!</f>
        <v>#REF!</v>
      </c>
      <c r="Z187" s="27" t="n">
        <v>401.316319930706</v>
      </c>
      <c r="AA187" s="4" t="e">
        <f aca="false">(Z187-#REF!)/#REF!</f>
        <v>#REF!</v>
      </c>
      <c r="AB187" s="3" t="n">
        <v>528</v>
      </c>
      <c r="AC187" s="4" t="e">
        <f aca="false">(AB187-#REF!)/#REF!</f>
        <v>#REF!</v>
      </c>
      <c r="AD187" s="25" t="n">
        <v>9.04</v>
      </c>
      <c r="AE187" s="4" t="e">
        <f aca="false">(AD187-#REF!)/#REF!</f>
        <v>#REF!</v>
      </c>
      <c r="AF187" s="4" t="n">
        <v>0.22</v>
      </c>
      <c r="AG187" s="4"/>
    </row>
    <row r="188" customFormat="false" ht="14.25" hidden="false" customHeight="false" outlineLevel="0" collapsed="false">
      <c r="A188" s="0" t="s">
        <v>61</v>
      </c>
      <c r="B188" s="1" t="n">
        <v>20</v>
      </c>
      <c r="C188" s="4" t="e">
        <f aca="false">(B188-#REF!)/#REF!</f>
        <v>#REF!</v>
      </c>
      <c r="D188" s="1" t="n">
        <v>1</v>
      </c>
      <c r="E188" s="4" t="e">
        <f aca="false">(D188-#REF!)/#REF!</f>
        <v>#REF!</v>
      </c>
      <c r="F188" s="2" t="n">
        <v>40</v>
      </c>
      <c r="G188" s="4" t="e">
        <f aca="false">(F188-#REF!)/#REF!</f>
        <v>#REF!</v>
      </c>
      <c r="H188" s="2" t="n">
        <v>36.1</v>
      </c>
      <c r="I188" s="4" t="e">
        <f aca="false">(H188-#REF!)/#REF!</f>
        <v>#REF!</v>
      </c>
      <c r="J188" s="4" t="n">
        <v>2.8</v>
      </c>
      <c r="K188" s="4" t="e">
        <f aca="false">(J188-#REF!)/#REF!</f>
        <v>#REF!</v>
      </c>
      <c r="L188" s="1" t="n">
        <v>40</v>
      </c>
      <c r="M188" s="4" t="e">
        <f aca="false">(L188-#REF!)/#REF!</f>
        <v>#REF!</v>
      </c>
      <c r="N188" s="1" t="n">
        <v>50</v>
      </c>
      <c r="O188" s="4" t="e">
        <f aca="false">(N188-#REF!)/#REF!</f>
        <v>#REF!</v>
      </c>
      <c r="P188" s="1" t="n">
        <v>100</v>
      </c>
      <c r="Q188" s="4" t="e">
        <f aca="false">(P188-#REF!)/#REF!</f>
        <v>#REF!</v>
      </c>
      <c r="R188" s="1" t="n">
        <v>350</v>
      </c>
      <c r="S188" s="4" t="e">
        <f aca="false">(R188-#REF!)/#REF!</f>
        <v>#REF!</v>
      </c>
      <c r="T188" s="1" t="n">
        <f aca="false">R188-N188</f>
        <v>300</v>
      </c>
      <c r="U188" s="4" t="e">
        <f aca="false">(T188-#REF!)/#REF!</f>
        <v>#REF!</v>
      </c>
      <c r="V188" s="1" t="n">
        <v>315</v>
      </c>
      <c r="W188" s="4" t="e">
        <f aca="false">(V188-#REF!)/#REF!</f>
        <v>#REF!</v>
      </c>
      <c r="X188" s="28" t="n">
        <v>0.009</v>
      </c>
      <c r="Y188" s="4" t="e">
        <f aca="false">(X188-#REF!)/#REF!</f>
        <v>#REF!</v>
      </c>
      <c r="Z188" s="27" t="n">
        <v>224.936489423332</v>
      </c>
      <c r="AA188" s="4" t="e">
        <f aca="false">(Z188-#REF!)/#REF!</f>
        <v>#REF!</v>
      </c>
      <c r="AB188" s="3" t="n">
        <v>598</v>
      </c>
      <c r="AC188" s="4" t="e">
        <f aca="false">(AB188-#REF!)/#REF!</f>
        <v>#REF!</v>
      </c>
      <c r="AD188" s="25" t="n">
        <v>18.98</v>
      </c>
      <c r="AE188" s="4" t="e">
        <f aca="false">(AD188-#REF!)/#REF!</f>
        <v>#REF!</v>
      </c>
      <c r="AF188" s="4" t="n">
        <v>0.16</v>
      </c>
      <c r="AG188" s="4"/>
    </row>
    <row r="189" customFormat="false" ht="14.25" hidden="false" customHeight="false" outlineLevel="0" collapsed="false">
      <c r="B189" s="1" t="n">
        <v>20</v>
      </c>
      <c r="C189" s="4" t="e">
        <f aca="false">(B189-#REF!)/#REF!</f>
        <v>#REF!</v>
      </c>
      <c r="D189" s="1" t="n">
        <v>1</v>
      </c>
      <c r="E189" s="4" t="e">
        <f aca="false">(D189-#REF!)/#REF!</f>
        <v>#REF!</v>
      </c>
      <c r="F189" s="2" t="n">
        <v>40</v>
      </c>
      <c r="G189" s="4" t="e">
        <f aca="false">(F189-#REF!)/#REF!</f>
        <v>#REF!</v>
      </c>
      <c r="H189" s="2" t="n">
        <v>36.1</v>
      </c>
      <c r="I189" s="4" t="e">
        <f aca="false">(H189-#REF!)/#REF!</f>
        <v>#REF!</v>
      </c>
      <c r="J189" s="4" t="n">
        <v>2.8</v>
      </c>
      <c r="K189" s="4" t="e">
        <f aca="false">(J189-#REF!)/#REF!</f>
        <v>#REF!</v>
      </c>
      <c r="L189" s="1" t="n">
        <v>40</v>
      </c>
      <c r="M189" s="4" t="e">
        <f aca="false">(L189-#REF!)/#REF!</f>
        <v>#REF!</v>
      </c>
      <c r="N189" s="1" t="n">
        <v>50</v>
      </c>
      <c r="O189" s="4" t="e">
        <f aca="false">(N189-#REF!)/#REF!</f>
        <v>#REF!</v>
      </c>
      <c r="P189" s="1" t="n">
        <v>100</v>
      </c>
      <c r="Q189" s="4" t="e">
        <f aca="false">(P189-#REF!)/#REF!</f>
        <v>#REF!</v>
      </c>
      <c r="R189" s="1" t="n">
        <v>350</v>
      </c>
      <c r="S189" s="4" t="e">
        <f aca="false">(R189-#REF!)/#REF!</f>
        <v>#REF!</v>
      </c>
      <c r="T189" s="1" t="n">
        <f aca="false">R189-N189</f>
        <v>300</v>
      </c>
      <c r="U189" s="4" t="e">
        <f aca="false">(T189-#REF!)/#REF!</f>
        <v>#REF!</v>
      </c>
      <c r="V189" s="1" t="n">
        <v>315</v>
      </c>
      <c r="W189" s="4" t="e">
        <f aca="false">(V189-#REF!)/#REF!</f>
        <v>#REF!</v>
      </c>
      <c r="X189" s="28" t="n">
        <v>0.009</v>
      </c>
      <c r="Y189" s="4" t="e">
        <f aca="false">(X189-#REF!)/#REF!</f>
        <v>#REF!</v>
      </c>
      <c r="Z189" s="27" t="n">
        <v>259.897640308412</v>
      </c>
      <c r="AA189" s="4" t="e">
        <f aca="false">(Z189-#REF!)/#REF!</f>
        <v>#REF!</v>
      </c>
      <c r="AB189" s="3" t="n">
        <v>598</v>
      </c>
      <c r="AC189" s="4" t="e">
        <f aca="false">(AB189-#REF!)/#REF!</f>
        <v>#REF!</v>
      </c>
      <c r="AD189" s="25" t="n">
        <v>21.93</v>
      </c>
      <c r="AE189" s="4" t="e">
        <f aca="false">(AD189-#REF!)/#REF!</f>
        <v>#REF!</v>
      </c>
      <c r="AF189" s="4" t="n">
        <v>0.2</v>
      </c>
      <c r="AG189" s="4"/>
    </row>
    <row r="190" customFormat="false" ht="14.25" hidden="false" customHeight="false" outlineLevel="0" collapsed="false">
      <c r="B190" s="1" t="n">
        <v>20</v>
      </c>
      <c r="C190" s="4" t="e">
        <f aca="false">(B190-#REF!)/#REF!</f>
        <v>#REF!</v>
      </c>
      <c r="D190" s="1" t="n">
        <v>1</v>
      </c>
      <c r="E190" s="4" t="e">
        <f aca="false">(D190-#REF!)/#REF!</f>
        <v>#REF!</v>
      </c>
      <c r="F190" s="2" t="n">
        <v>40</v>
      </c>
      <c r="G190" s="4" t="e">
        <f aca="false">(F190-#REF!)/#REF!</f>
        <v>#REF!</v>
      </c>
      <c r="H190" s="2" t="n">
        <v>36.1</v>
      </c>
      <c r="I190" s="4" t="e">
        <f aca="false">(H190-#REF!)/#REF!</f>
        <v>#REF!</v>
      </c>
      <c r="J190" s="4" t="n">
        <v>2.8</v>
      </c>
      <c r="K190" s="4" t="e">
        <f aca="false">(J190-#REF!)/#REF!</f>
        <v>#REF!</v>
      </c>
      <c r="L190" s="1" t="n">
        <v>40</v>
      </c>
      <c r="M190" s="4" t="e">
        <f aca="false">(L190-#REF!)/#REF!</f>
        <v>#REF!</v>
      </c>
      <c r="N190" s="1" t="n">
        <v>50</v>
      </c>
      <c r="O190" s="4" t="e">
        <f aca="false">(N190-#REF!)/#REF!</f>
        <v>#REF!</v>
      </c>
      <c r="P190" s="1" t="n">
        <v>100</v>
      </c>
      <c r="Q190" s="4" t="e">
        <f aca="false">(P190-#REF!)/#REF!</f>
        <v>#REF!</v>
      </c>
      <c r="R190" s="1" t="n">
        <v>350</v>
      </c>
      <c r="S190" s="4" t="e">
        <f aca="false">(R190-#REF!)/#REF!</f>
        <v>#REF!</v>
      </c>
      <c r="T190" s="1" t="n">
        <f aca="false">R190-N190</f>
        <v>300</v>
      </c>
      <c r="U190" s="4" t="e">
        <f aca="false">(T190-#REF!)/#REF!</f>
        <v>#REF!</v>
      </c>
      <c r="V190" s="1" t="n">
        <v>315</v>
      </c>
      <c r="W190" s="4" t="e">
        <f aca="false">(V190-#REF!)/#REF!</f>
        <v>#REF!</v>
      </c>
      <c r="X190" s="28" t="n">
        <v>0.009</v>
      </c>
      <c r="Y190" s="4" t="e">
        <f aca="false">(X190-#REF!)/#REF!</f>
        <v>#REF!</v>
      </c>
      <c r="Z190" s="27" t="n">
        <v>294.740278817611</v>
      </c>
      <c r="AA190" s="4" t="e">
        <f aca="false">(Z190-#REF!)/#REF!</f>
        <v>#REF!</v>
      </c>
      <c r="AB190" s="3" t="n">
        <v>598</v>
      </c>
      <c r="AC190" s="4" t="e">
        <f aca="false">(AB190-#REF!)/#REF!</f>
        <v>#REF!</v>
      </c>
      <c r="AD190" s="25" t="n">
        <v>24.87</v>
      </c>
      <c r="AE190" s="4" t="e">
        <f aca="false">(AD190-#REF!)/#REF!</f>
        <v>#REF!</v>
      </c>
      <c r="AF190" s="4" t="n">
        <v>0.23</v>
      </c>
      <c r="AG190" s="4"/>
    </row>
    <row r="191" customFormat="false" ht="14.25" hidden="false" customHeight="false" outlineLevel="0" collapsed="false">
      <c r="A191" s="0" t="s">
        <v>62</v>
      </c>
      <c r="B191" s="1" t="n">
        <v>20</v>
      </c>
      <c r="C191" s="4" t="e">
        <f aca="false">(B191-#REF!)/#REF!</f>
        <v>#REF!</v>
      </c>
      <c r="D191" s="1" t="n">
        <v>1</v>
      </c>
      <c r="E191" s="4" t="e">
        <f aca="false">(D191-#REF!)/#REF!</f>
        <v>#REF!</v>
      </c>
      <c r="F191" s="2" t="n">
        <v>40</v>
      </c>
      <c r="G191" s="4" t="e">
        <f aca="false">(F191-#REF!)/#REF!</f>
        <v>#REF!</v>
      </c>
      <c r="H191" s="2" t="n">
        <v>36.1</v>
      </c>
      <c r="I191" s="4" t="e">
        <f aca="false">(H191-#REF!)/#REF!</f>
        <v>#REF!</v>
      </c>
      <c r="J191" s="4" t="n">
        <v>2.8</v>
      </c>
      <c r="K191" s="4" t="e">
        <f aca="false">(J191-#REF!)/#REF!</f>
        <v>#REF!</v>
      </c>
      <c r="L191" s="1" t="n">
        <v>40</v>
      </c>
      <c r="M191" s="4" t="e">
        <f aca="false">(L191-#REF!)/#REF!</f>
        <v>#REF!</v>
      </c>
      <c r="N191" s="1" t="n">
        <v>50</v>
      </c>
      <c r="O191" s="4" t="e">
        <f aca="false">(N191-#REF!)/#REF!</f>
        <v>#REF!</v>
      </c>
      <c r="P191" s="1" t="n">
        <v>100</v>
      </c>
      <c r="Q191" s="4" t="e">
        <f aca="false">(P191-#REF!)/#REF!</f>
        <v>#REF!</v>
      </c>
      <c r="R191" s="1" t="n">
        <v>350</v>
      </c>
      <c r="S191" s="4" t="e">
        <f aca="false">(R191-#REF!)/#REF!</f>
        <v>#REF!</v>
      </c>
      <c r="T191" s="1" t="n">
        <f aca="false">R191-N191</f>
        <v>300</v>
      </c>
      <c r="U191" s="4" t="e">
        <f aca="false">(T191-#REF!)/#REF!</f>
        <v>#REF!</v>
      </c>
      <c r="V191" s="1" t="n">
        <v>315</v>
      </c>
      <c r="W191" s="4" t="e">
        <f aca="false">(V191-#REF!)/#REF!</f>
        <v>#REF!</v>
      </c>
      <c r="X191" s="28" t="n">
        <v>0.009</v>
      </c>
      <c r="Y191" s="4" t="e">
        <f aca="false">(X191-#REF!)/#REF!</f>
        <v>#REF!</v>
      </c>
      <c r="Z191" s="27" t="n">
        <v>224.936489423332</v>
      </c>
      <c r="AA191" s="4" t="e">
        <f aca="false">(Z191-#REF!)/#REF!</f>
        <v>#REF!</v>
      </c>
      <c r="AB191" s="3" t="n">
        <v>598</v>
      </c>
      <c r="AC191" s="4" t="e">
        <f aca="false">(AB191-#REF!)/#REF!</f>
        <v>#REF!</v>
      </c>
      <c r="AD191" s="25" t="n">
        <v>18.98</v>
      </c>
      <c r="AE191" s="4" t="e">
        <f aca="false">(AD191-#REF!)/#REF!</f>
        <v>#REF!</v>
      </c>
      <c r="AF191" s="4" t="n">
        <v>0.14</v>
      </c>
      <c r="AG191" s="4"/>
    </row>
    <row r="192" customFormat="false" ht="14.25" hidden="false" customHeight="false" outlineLevel="0" collapsed="false">
      <c r="B192" s="1" t="n">
        <v>20</v>
      </c>
      <c r="C192" s="4" t="e">
        <f aca="false">(B192-#REF!)/#REF!</f>
        <v>#REF!</v>
      </c>
      <c r="D192" s="1" t="n">
        <v>1</v>
      </c>
      <c r="E192" s="4" t="e">
        <f aca="false">(D192-#REF!)/#REF!</f>
        <v>#REF!</v>
      </c>
      <c r="F192" s="2" t="n">
        <v>40</v>
      </c>
      <c r="G192" s="4" t="e">
        <f aca="false">(F192-#REF!)/#REF!</f>
        <v>#REF!</v>
      </c>
      <c r="H192" s="2" t="n">
        <v>36.1</v>
      </c>
      <c r="I192" s="4" t="e">
        <f aca="false">(H192-#REF!)/#REF!</f>
        <v>#REF!</v>
      </c>
      <c r="J192" s="4" t="n">
        <v>2.8</v>
      </c>
      <c r="K192" s="4" t="e">
        <f aca="false">(J192-#REF!)/#REF!</f>
        <v>#REF!</v>
      </c>
      <c r="L192" s="1" t="n">
        <v>40</v>
      </c>
      <c r="M192" s="4" t="e">
        <f aca="false">(L192-#REF!)/#REF!</f>
        <v>#REF!</v>
      </c>
      <c r="N192" s="1" t="n">
        <v>50</v>
      </c>
      <c r="O192" s="4" t="e">
        <f aca="false">(N192-#REF!)/#REF!</f>
        <v>#REF!</v>
      </c>
      <c r="P192" s="1" t="n">
        <v>100</v>
      </c>
      <c r="Q192" s="4" t="e">
        <f aca="false">(P192-#REF!)/#REF!</f>
        <v>#REF!</v>
      </c>
      <c r="R192" s="1" t="n">
        <v>350</v>
      </c>
      <c r="S192" s="4" t="e">
        <f aca="false">(R192-#REF!)/#REF!</f>
        <v>#REF!</v>
      </c>
      <c r="T192" s="1" t="n">
        <f aca="false">R192-N192</f>
        <v>300</v>
      </c>
      <c r="U192" s="4" t="e">
        <f aca="false">(T192-#REF!)/#REF!</f>
        <v>#REF!</v>
      </c>
      <c r="V192" s="1" t="n">
        <v>315</v>
      </c>
      <c r="W192" s="4" t="e">
        <f aca="false">(V192-#REF!)/#REF!</f>
        <v>#REF!</v>
      </c>
      <c r="X192" s="28" t="n">
        <v>0.009</v>
      </c>
      <c r="Y192" s="4" t="e">
        <f aca="false">(X192-#REF!)/#REF!</f>
        <v>#REF!</v>
      </c>
      <c r="Z192" s="27" t="n">
        <v>259.423590804886</v>
      </c>
      <c r="AA192" s="4" t="e">
        <f aca="false">(Z192-#REF!)/#REF!</f>
        <v>#REF!</v>
      </c>
      <c r="AB192" s="3" t="n">
        <v>598</v>
      </c>
      <c r="AC192" s="4" t="e">
        <f aca="false">(AB192-#REF!)/#REF!</f>
        <v>#REF!</v>
      </c>
      <c r="AD192" s="25" t="n">
        <v>21.89</v>
      </c>
      <c r="AE192" s="4" t="e">
        <f aca="false">(AD192-#REF!)/#REF!</f>
        <v>#REF!</v>
      </c>
      <c r="AF192" s="4" t="n">
        <v>0.17</v>
      </c>
      <c r="AG192" s="4"/>
    </row>
    <row r="193" customFormat="false" ht="14.25" hidden="false" customHeight="false" outlineLevel="0" collapsed="false">
      <c r="B193" s="1" t="n">
        <v>20</v>
      </c>
      <c r="C193" s="4" t="e">
        <f aca="false">(B193-#REF!)/#REF!</f>
        <v>#REF!</v>
      </c>
      <c r="D193" s="1" t="n">
        <v>1</v>
      </c>
      <c r="E193" s="4" t="e">
        <f aca="false">(D193-#REF!)/#REF!</f>
        <v>#REF!</v>
      </c>
      <c r="F193" s="2" t="n">
        <v>40</v>
      </c>
      <c r="G193" s="4" t="e">
        <f aca="false">(F193-#REF!)/#REF!</f>
        <v>#REF!</v>
      </c>
      <c r="H193" s="2" t="n">
        <v>36.1</v>
      </c>
      <c r="I193" s="4" t="e">
        <f aca="false">(H193-#REF!)/#REF!</f>
        <v>#REF!</v>
      </c>
      <c r="J193" s="4" t="n">
        <v>2.8</v>
      </c>
      <c r="K193" s="4" t="e">
        <f aca="false">(J193-#REF!)/#REF!</f>
        <v>#REF!</v>
      </c>
      <c r="L193" s="1" t="n">
        <v>40</v>
      </c>
      <c r="M193" s="4" t="e">
        <f aca="false">(L193-#REF!)/#REF!</f>
        <v>#REF!</v>
      </c>
      <c r="N193" s="1" t="n">
        <v>50</v>
      </c>
      <c r="O193" s="4" t="e">
        <f aca="false">(N193-#REF!)/#REF!</f>
        <v>#REF!</v>
      </c>
      <c r="P193" s="1" t="n">
        <v>100</v>
      </c>
      <c r="Q193" s="4" t="e">
        <f aca="false">(P193-#REF!)/#REF!</f>
        <v>#REF!</v>
      </c>
      <c r="R193" s="1" t="n">
        <v>350</v>
      </c>
      <c r="S193" s="4" t="e">
        <f aca="false">(R193-#REF!)/#REF!</f>
        <v>#REF!</v>
      </c>
      <c r="T193" s="1" t="n">
        <f aca="false">R193-N193</f>
        <v>300</v>
      </c>
      <c r="U193" s="4" t="e">
        <f aca="false">(T193-#REF!)/#REF!</f>
        <v>#REF!</v>
      </c>
      <c r="V193" s="1" t="n">
        <v>315</v>
      </c>
      <c r="W193" s="4" t="e">
        <f aca="false">(V193-#REF!)/#REF!</f>
        <v>#REF!</v>
      </c>
      <c r="X193" s="28" t="n">
        <v>0.009</v>
      </c>
      <c r="Y193" s="4" t="e">
        <f aca="false">(X193-#REF!)/#REF!</f>
        <v>#REF!</v>
      </c>
      <c r="Z193" s="27" t="n">
        <v>294.147716938203</v>
      </c>
      <c r="AA193" s="4" t="e">
        <f aca="false">(Z193-#REF!)/#REF!</f>
        <v>#REF!</v>
      </c>
      <c r="AB193" s="3" t="n">
        <v>598</v>
      </c>
      <c r="AC193" s="4" t="e">
        <f aca="false">(AB193-#REF!)/#REF!</f>
        <v>#REF!</v>
      </c>
      <c r="AD193" s="25" t="n">
        <v>24.82</v>
      </c>
      <c r="AE193" s="4" t="e">
        <f aca="false">(AD193-#REF!)/#REF!</f>
        <v>#REF!</v>
      </c>
      <c r="AF193" s="4" t="n">
        <v>0.21</v>
      </c>
      <c r="AG193" s="4"/>
    </row>
    <row r="194" customFormat="false" ht="14.25" hidden="false" customHeight="false" outlineLevel="0" collapsed="false">
      <c r="A194" s="0" t="s">
        <v>63</v>
      </c>
      <c r="B194" s="1" t="n">
        <v>20</v>
      </c>
      <c r="C194" s="4" t="e">
        <f aca="false">(B194-#REF!)/#REF!</f>
        <v>#REF!</v>
      </c>
      <c r="D194" s="1" t="n">
        <v>1</v>
      </c>
      <c r="E194" s="4" t="e">
        <f aca="false">(D194-#REF!)/#REF!</f>
        <v>#REF!</v>
      </c>
      <c r="F194" s="2" t="n">
        <v>40</v>
      </c>
      <c r="G194" s="4" t="e">
        <f aca="false">(F194-#REF!)/#REF!</f>
        <v>#REF!</v>
      </c>
      <c r="H194" s="2" t="n">
        <v>36.1</v>
      </c>
      <c r="I194" s="4" t="e">
        <f aca="false">(H194-#REF!)/#REF!</f>
        <v>#REF!</v>
      </c>
      <c r="J194" s="4" t="n">
        <v>2.8</v>
      </c>
      <c r="K194" s="4" t="e">
        <f aca="false">(J194-#REF!)/#REF!</f>
        <v>#REF!</v>
      </c>
      <c r="L194" s="1" t="n">
        <v>40</v>
      </c>
      <c r="M194" s="4" t="e">
        <f aca="false">(L194-#REF!)/#REF!</f>
        <v>#REF!</v>
      </c>
      <c r="N194" s="1" t="n">
        <v>50</v>
      </c>
      <c r="O194" s="4" t="e">
        <f aca="false">(N194-#REF!)/#REF!</f>
        <v>#REF!</v>
      </c>
      <c r="P194" s="1" t="n">
        <v>100</v>
      </c>
      <c r="Q194" s="4" t="e">
        <f aca="false">(P194-#REF!)/#REF!</f>
        <v>#REF!</v>
      </c>
      <c r="R194" s="1" t="n">
        <v>350</v>
      </c>
      <c r="S194" s="4" t="e">
        <f aca="false">(R194-#REF!)/#REF!</f>
        <v>#REF!</v>
      </c>
      <c r="T194" s="1" t="n">
        <f aca="false">R194-N194</f>
        <v>300</v>
      </c>
      <c r="U194" s="4" t="e">
        <f aca="false">(T194-#REF!)/#REF!</f>
        <v>#REF!</v>
      </c>
      <c r="V194" s="1" t="n">
        <v>315</v>
      </c>
      <c r="W194" s="4" t="e">
        <f aca="false">(V194-#REF!)/#REF!</f>
        <v>#REF!</v>
      </c>
      <c r="X194" s="28" t="n">
        <v>0.009</v>
      </c>
      <c r="Y194" s="4" t="e">
        <f aca="false">(X194-#REF!)/#REF!</f>
        <v>#REF!</v>
      </c>
      <c r="Z194" s="27" t="n">
        <v>154.303113397881</v>
      </c>
      <c r="AA194" s="4" t="e">
        <f aca="false">(Z194-#REF!)/#REF!</f>
        <v>#REF!</v>
      </c>
      <c r="AB194" s="3" t="n">
        <v>598</v>
      </c>
      <c r="AC194" s="4" t="e">
        <f aca="false">(AB194-#REF!)/#REF!</f>
        <v>#REF!</v>
      </c>
      <c r="AD194" s="25" t="n">
        <v>13.02</v>
      </c>
      <c r="AE194" s="4" t="e">
        <f aca="false">(AD194-#REF!)/#REF!</f>
        <v>#REF!</v>
      </c>
      <c r="AF194" s="4" t="n">
        <v>0.21</v>
      </c>
      <c r="AG194" s="4"/>
    </row>
    <row r="195" customFormat="false" ht="14.25" hidden="false" customHeight="false" outlineLevel="0" collapsed="false">
      <c r="B195" s="1" t="n">
        <v>20</v>
      </c>
      <c r="C195" s="4" t="e">
        <f aca="false">(B195-#REF!)/#REF!</f>
        <v>#REF!</v>
      </c>
      <c r="D195" s="1" t="n">
        <v>1</v>
      </c>
      <c r="E195" s="4" t="e">
        <f aca="false">(D195-#REF!)/#REF!</f>
        <v>#REF!</v>
      </c>
      <c r="F195" s="2" t="n">
        <v>40</v>
      </c>
      <c r="G195" s="4" t="e">
        <f aca="false">(F195-#REF!)/#REF!</f>
        <v>#REF!</v>
      </c>
      <c r="H195" s="2" t="n">
        <v>36.1</v>
      </c>
      <c r="I195" s="4" t="e">
        <f aca="false">(H195-#REF!)/#REF!</f>
        <v>#REF!</v>
      </c>
      <c r="J195" s="4" t="n">
        <v>2.8</v>
      </c>
      <c r="K195" s="4" t="e">
        <f aca="false">(J195-#REF!)/#REF!</f>
        <v>#REF!</v>
      </c>
      <c r="L195" s="1" t="n">
        <v>40</v>
      </c>
      <c r="M195" s="4" t="e">
        <f aca="false">(L195-#REF!)/#REF!</f>
        <v>#REF!</v>
      </c>
      <c r="N195" s="1" t="n">
        <v>50</v>
      </c>
      <c r="O195" s="4" t="e">
        <f aca="false">(N195-#REF!)/#REF!</f>
        <v>#REF!</v>
      </c>
      <c r="P195" s="1" t="n">
        <v>100</v>
      </c>
      <c r="Q195" s="4" t="e">
        <f aca="false">(P195-#REF!)/#REF!</f>
        <v>#REF!</v>
      </c>
      <c r="R195" s="1" t="n">
        <v>350</v>
      </c>
      <c r="S195" s="4" t="e">
        <f aca="false">(R195-#REF!)/#REF!</f>
        <v>#REF!</v>
      </c>
      <c r="T195" s="1" t="n">
        <f aca="false">R195-N195</f>
        <v>300</v>
      </c>
      <c r="U195" s="4" t="e">
        <f aca="false">(T195-#REF!)/#REF!</f>
        <v>#REF!</v>
      </c>
      <c r="V195" s="1" t="n">
        <v>315</v>
      </c>
      <c r="W195" s="4" t="e">
        <f aca="false">(V195-#REF!)/#REF!</f>
        <v>#REF!</v>
      </c>
      <c r="X195" s="28" t="n">
        <v>0.009</v>
      </c>
      <c r="Y195" s="4" t="e">
        <f aca="false">(X195-#REF!)/#REF!</f>
        <v>#REF!</v>
      </c>
      <c r="Z195" s="27" t="n">
        <v>190.330875665896</v>
      </c>
      <c r="AA195" s="4" t="e">
        <f aca="false">(Z195-#REF!)/#REF!</f>
        <v>#REF!</v>
      </c>
      <c r="AB195" s="3" t="n">
        <v>598</v>
      </c>
      <c r="AC195" s="4" t="e">
        <f aca="false">(AB195-#REF!)/#REF!</f>
        <v>#REF!</v>
      </c>
      <c r="AD195" s="25" t="n">
        <v>16.06</v>
      </c>
      <c r="AE195" s="4" t="e">
        <f aca="false">(AD195-#REF!)/#REF!</f>
        <v>#REF!</v>
      </c>
      <c r="AF195" s="4" t="n">
        <v>0.25</v>
      </c>
      <c r="AG195" s="4"/>
    </row>
    <row r="196" customFormat="false" ht="14.25" hidden="false" customHeight="false" outlineLevel="0" collapsed="false">
      <c r="B196" s="1" t="n">
        <v>20</v>
      </c>
      <c r="C196" s="4" t="e">
        <f aca="false">(B196-#REF!)/#REF!</f>
        <v>#REF!</v>
      </c>
      <c r="D196" s="1" t="n">
        <v>1</v>
      </c>
      <c r="E196" s="4" t="e">
        <f aca="false">(D196-#REF!)/#REF!</f>
        <v>#REF!</v>
      </c>
      <c r="F196" s="2" t="n">
        <v>40</v>
      </c>
      <c r="G196" s="4" t="e">
        <f aca="false">(F196-#REF!)/#REF!</f>
        <v>#REF!</v>
      </c>
      <c r="H196" s="2" t="n">
        <v>36.1</v>
      </c>
      <c r="I196" s="4" t="e">
        <f aca="false">(H196-#REF!)/#REF!</f>
        <v>#REF!</v>
      </c>
      <c r="J196" s="4" t="n">
        <v>2.8</v>
      </c>
      <c r="K196" s="4" t="e">
        <f aca="false">(J196-#REF!)/#REF!</f>
        <v>#REF!</v>
      </c>
      <c r="L196" s="1" t="n">
        <v>40</v>
      </c>
      <c r="M196" s="4" t="e">
        <f aca="false">(L196-#REF!)/#REF!</f>
        <v>#REF!</v>
      </c>
      <c r="N196" s="1" t="n">
        <v>50</v>
      </c>
      <c r="O196" s="4" t="e">
        <f aca="false">(N196-#REF!)/#REF!</f>
        <v>#REF!</v>
      </c>
      <c r="P196" s="1" t="n">
        <v>100</v>
      </c>
      <c r="Q196" s="4" t="e">
        <f aca="false">(P196-#REF!)/#REF!</f>
        <v>#REF!</v>
      </c>
      <c r="R196" s="1" t="n">
        <v>350</v>
      </c>
      <c r="S196" s="4" t="e">
        <f aca="false">(R196-#REF!)/#REF!</f>
        <v>#REF!</v>
      </c>
      <c r="T196" s="1" t="n">
        <f aca="false">R196-N196</f>
        <v>300</v>
      </c>
      <c r="U196" s="4" t="e">
        <f aca="false">(T196-#REF!)/#REF!</f>
        <v>#REF!</v>
      </c>
      <c r="V196" s="1" t="n">
        <v>315</v>
      </c>
      <c r="W196" s="4" t="e">
        <f aca="false">(V196-#REF!)/#REF!</f>
        <v>#REF!</v>
      </c>
      <c r="X196" s="28" t="n">
        <v>0.009</v>
      </c>
      <c r="Y196" s="4" t="e">
        <f aca="false">(X196-#REF!)/#REF!</f>
        <v>#REF!</v>
      </c>
      <c r="Z196" s="27" t="n">
        <v>224.343927543924</v>
      </c>
      <c r="AA196" s="4" t="e">
        <f aca="false">(Z196-#REF!)/#REF!</f>
        <v>#REF!</v>
      </c>
      <c r="AB196" s="3" t="n">
        <v>598</v>
      </c>
      <c r="AC196" s="4" t="e">
        <f aca="false">(AB196-#REF!)/#REF!</f>
        <v>#REF!</v>
      </c>
      <c r="AD196" s="25" t="n">
        <v>18.93</v>
      </c>
      <c r="AE196" s="4" t="e">
        <f aca="false">(AD196-#REF!)/#REF!</f>
        <v>#REF!</v>
      </c>
      <c r="AF196" s="4" t="n">
        <v>0.29</v>
      </c>
      <c r="AG196" s="4"/>
    </row>
    <row r="197" customFormat="false" ht="14.25" hidden="false" customHeight="false" outlineLevel="0" collapsed="false">
      <c r="B197" s="1" t="n">
        <v>20</v>
      </c>
      <c r="C197" s="4" t="e">
        <f aca="false">(B197-#REF!)/#REF!</f>
        <v>#REF!</v>
      </c>
      <c r="D197" s="1" t="n">
        <v>1</v>
      </c>
      <c r="E197" s="4" t="e">
        <f aca="false">(D197-#REF!)/#REF!</f>
        <v>#REF!</v>
      </c>
      <c r="F197" s="2" t="n">
        <v>40</v>
      </c>
      <c r="G197" s="4" t="e">
        <f aca="false">(F197-#REF!)/#REF!</f>
        <v>#REF!</v>
      </c>
      <c r="H197" s="2" t="n">
        <v>36.1</v>
      </c>
      <c r="I197" s="4" t="e">
        <f aca="false">(H197-#REF!)/#REF!</f>
        <v>#REF!</v>
      </c>
      <c r="J197" s="4" t="n">
        <v>2.8</v>
      </c>
      <c r="K197" s="4" t="e">
        <f aca="false">(J197-#REF!)/#REF!</f>
        <v>#REF!</v>
      </c>
      <c r="L197" s="1" t="n">
        <v>40</v>
      </c>
      <c r="M197" s="4" t="e">
        <f aca="false">(L197-#REF!)/#REF!</f>
        <v>#REF!</v>
      </c>
      <c r="N197" s="1" t="n">
        <v>50</v>
      </c>
      <c r="O197" s="4" t="e">
        <f aca="false">(N197-#REF!)/#REF!</f>
        <v>#REF!</v>
      </c>
      <c r="P197" s="1" t="n">
        <v>100</v>
      </c>
      <c r="Q197" s="4" t="e">
        <f aca="false">(P197-#REF!)/#REF!</f>
        <v>#REF!</v>
      </c>
      <c r="R197" s="1" t="n">
        <v>350</v>
      </c>
      <c r="S197" s="4" t="e">
        <f aca="false">(R197-#REF!)/#REF!</f>
        <v>#REF!</v>
      </c>
      <c r="T197" s="1" t="n">
        <f aca="false">R197-N197</f>
        <v>300</v>
      </c>
      <c r="U197" s="4" t="e">
        <f aca="false">(T197-#REF!)/#REF!</f>
        <v>#REF!</v>
      </c>
      <c r="V197" s="1" t="n">
        <v>315</v>
      </c>
      <c r="W197" s="4" t="e">
        <f aca="false">(V197-#REF!)/#REF!</f>
        <v>#REF!</v>
      </c>
      <c r="X197" s="28" t="n">
        <v>0.009</v>
      </c>
      <c r="Y197" s="4" t="e">
        <f aca="false">(X197-#REF!)/#REF!</f>
        <v>#REF!</v>
      </c>
      <c r="Z197" s="27" t="n">
        <v>258.475491797833</v>
      </c>
      <c r="AA197" s="4" t="e">
        <f aca="false">(Z197-#REF!)/#REF!</f>
        <v>#REF!</v>
      </c>
      <c r="AB197" s="3" t="n">
        <v>598</v>
      </c>
      <c r="AC197" s="4" t="e">
        <f aca="false">(AB197-#REF!)/#REF!</f>
        <v>#REF!</v>
      </c>
      <c r="AD197" s="25" t="n">
        <v>21.81</v>
      </c>
      <c r="AE197" s="4" t="e">
        <f aca="false">(AD197-#REF!)/#REF!</f>
        <v>#REF!</v>
      </c>
      <c r="AF197" s="4" t="n">
        <v>0.33</v>
      </c>
      <c r="AG197" s="4"/>
    </row>
    <row r="198" customFormat="false" ht="14.25" hidden="false" customHeight="false" outlineLevel="0" collapsed="false">
      <c r="B198" s="1" t="n">
        <v>20</v>
      </c>
      <c r="C198" s="4" t="e">
        <f aca="false">(B198-#REF!)/#REF!</f>
        <v>#REF!</v>
      </c>
      <c r="D198" s="1" t="n">
        <v>1</v>
      </c>
      <c r="E198" s="4" t="e">
        <f aca="false">(D198-#REF!)/#REF!</f>
        <v>#REF!</v>
      </c>
      <c r="F198" s="2" t="n">
        <v>40</v>
      </c>
      <c r="G198" s="4" t="e">
        <f aca="false">(F198-#REF!)/#REF!</f>
        <v>#REF!</v>
      </c>
      <c r="H198" s="2" t="n">
        <v>36.1</v>
      </c>
      <c r="I198" s="4" t="e">
        <f aca="false">(H198-#REF!)/#REF!</f>
        <v>#REF!</v>
      </c>
      <c r="J198" s="4" t="n">
        <v>2.8</v>
      </c>
      <c r="K198" s="4" t="e">
        <f aca="false">(J198-#REF!)/#REF!</f>
        <v>#REF!</v>
      </c>
      <c r="L198" s="1" t="n">
        <v>40</v>
      </c>
      <c r="M198" s="4" t="e">
        <f aca="false">(L198-#REF!)/#REF!</f>
        <v>#REF!</v>
      </c>
      <c r="N198" s="1" t="n">
        <v>50</v>
      </c>
      <c r="O198" s="4" t="e">
        <f aca="false">(N198-#REF!)/#REF!</f>
        <v>#REF!</v>
      </c>
      <c r="P198" s="1" t="n">
        <v>100</v>
      </c>
      <c r="Q198" s="4" t="e">
        <f aca="false">(P198-#REF!)/#REF!</f>
        <v>#REF!</v>
      </c>
      <c r="R198" s="1" t="n">
        <v>350</v>
      </c>
      <c r="S198" s="4" t="e">
        <f aca="false">(R198-#REF!)/#REF!</f>
        <v>#REF!</v>
      </c>
      <c r="T198" s="1" t="n">
        <f aca="false">R198-N198</f>
        <v>300</v>
      </c>
      <c r="U198" s="4" t="e">
        <f aca="false">(T198-#REF!)/#REF!</f>
        <v>#REF!</v>
      </c>
      <c r="V198" s="1" t="n">
        <v>315</v>
      </c>
      <c r="W198" s="4" t="e">
        <f aca="false">(V198-#REF!)/#REF!</f>
        <v>#REF!</v>
      </c>
      <c r="X198" s="28" t="n">
        <v>0.009</v>
      </c>
      <c r="Y198" s="4" t="e">
        <f aca="false">(X198-#REF!)/#REF!</f>
        <v>#REF!</v>
      </c>
      <c r="Z198" s="27" t="n">
        <v>306.710028781656</v>
      </c>
      <c r="AA198" s="4" t="e">
        <f aca="false">(Z198-#REF!)/#REF!</f>
        <v>#REF!</v>
      </c>
      <c r="AB198" s="3" t="n">
        <v>598</v>
      </c>
      <c r="AC198" s="4" t="e">
        <f aca="false">(AB198-#REF!)/#REF!</f>
        <v>#REF!</v>
      </c>
      <c r="AD198" s="25" t="n">
        <v>25.88</v>
      </c>
      <c r="AE198" s="4" t="e">
        <f aca="false">(AD198-#REF!)/#REF!</f>
        <v>#REF!</v>
      </c>
      <c r="AF198" s="4" t="n">
        <v>0.37</v>
      </c>
      <c r="AG198" s="4"/>
    </row>
    <row r="199" customFormat="false" ht="14.25" hidden="false" customHeight="false" outlineLevel="0" collapsed="false">
      <c r="A199" s="0" t="s">
        <v>64</v>
      </c>
      <c r="B199" s="1" t="n">
        <v>20</v>
      </c>
      <c r="C199" s="4" t="e">
        <f aca="false">(B199-#REF!)/#REF!</f>
        <v>#REF!</v>
      </c>
      <c r="D199" s="1" t="n">
        <v>6</v>
      </c>
      <c r="E199" s="4" t="e">
        <f aca="false">(D199-#REF!)/#REF!</f>
        <v>#REF!</v>
      </c>
      <c r="F199" s="2" t="n">
        <v>84</v>
      </c>
      <c r="G199" s="4" t="e">
        <f aca="false">(F199-#REF!)/#REF!</f>
        <v>#REF!</v>
      </c>
      <c r="H199" s="2" t="n">
        <v>40</v>
      </c>
      <c r="I199" s="4" t="e">
        <f aca="false">(H199-#REF!)/#REF!</f>
        <v>#REF!</v>
      </c>
      <c r="J199" s="4" t="n">
        <v>3.50882128585544</v>
      </c>
      <c r="K199" s="4" t="e">
        <f aca="false">(J199-#REF!)/#REF!</f>
        <v>#REF!</v>
      </c>
      <c r="L199" s="1" t="n">
        <v>50</v>
      </c>
      <c r="M199" s="4" t="e">
        <f aca="false">(L199-#REF!)/#REF!</f>
        <v>#REF!</v>
      </c>
      <c r="N199" s="1" t="n">
        <v>64</v>
      </c>
      <c r="O199" s="4" t="e">
        <f aca="false">(N199-#REF!)/#REF!</f>
        <v>#REF!</v>
      </c>
      <c r="P199" s="1" t="n">
        <v>600</v>
      </c>
      <c r="Q199" s="4" t="e">
        <f aca="false">(P199-#REF!)/#REF!</f>
        <v>#REF!</v>
      </c>
      <c r="R199" s="1" t="n">
        <v>400</v>
      </c>
      <c r="S199" s="4" t="e">
        <f aca="false">(R199-#REF!)/#REF!</f>
        <v>#REF!</v>
      </c>
      <c r="T199" s="1" t="n">
        <f aca="false">R199-N199</f>
        <v>336</v>
      </c>
      <c r="U199" s="4" t="e">
        <f aca="false">(T199-#REF!)/#REF!</f>
        <v>#REF!</v>
      </c>
      <c r="V199" s="1" t="n">
        <v>1884</v>
      </c>
      <c r="W199" s="4" t="e">
        <f aca="false">(V199-#REF!)/#REF!</f>
        <v>#REF!</v>
      </c>
      <c r="X199" s="28" t="n">
        <v>0.00785</v>
      </c>
      <c r="Y199" s="4" t="e">
        <f aca="false">(X199-#REF!)/#REF!</f>
        <v>#REF!</v>
      </c>
      <c r="Z199" s="27" t="n">
        <v>179.888040262956</v>
      </c>
      <c r="AA199" s="4" t="e">
        <f aca="false">(Z199-#REF!)/#REF!</f>
        <v>#REF!</v>
      </c>
      <c r="AB199" s="3" t="n">
        <v>430</v>
      </c>
      <c r="AC199" s="4" t="e">
        <f aca="false">(AB199-#REF!)/#REF!</f>
        <v>#REF!</v>
      </c>
      <c r="AD199" s="25" t="n">
        <v>103</v>
      </c>
      <c r="AE199" s="4" t="e">
        <f aca="false">(AD199-#REF!)/#REF!</f>
        <v>#REF!</v>
      </c>
      <c r="AF199" s="4" t="n">
        <v>0.15</v>
      </c>
      <c r="AG199" s="4"/>
    </row>
    <row r="200" customFormat="false" ht="14.25" hidden="false" customHeight="false" outlineLevel="0" collapsed="false">
      <c r="B200" s="1" t="n">
        <v>20</v>
      </c>
      <c r="C200" s="4" t="e">
        <f aca="false">(B200-#REF!)/#REF!</f>
        <v>#REF!</v>
      </c>
      <c r="D200" s="1" t="n">
        <v>6</v>
      </c>
      <c r="E200" s="4" t="e">
        <f aca="false">(D200-#REF!)/#REF!</f>
        <v>#REF!</v>
      </c>
      <c r="F200" s="2" t="n">
        <v>84</v>
      </c>
      <c r="G200" s="4" t="e">
        <f aca="false">(F200-#REF!)/#REF!</f>
        <v>#REF!</v>
      </c>
      <c r="H200" s="2" t="n">
        <v>40</v>
      </c>
      <c r="I200" s="4" t="e">
        <f aca="false">(H200-#REF!)/#REF!</f>
        <v>#REF!</v>
      </c>
      <c r="J200" s="4" t="n">
        <v>3.50882128585544</v>
      </c>
      <c r="K200" s="4" t="e">
        <f aca="false">(J200-#REF!)/#REF!</f>
        <v>#REF!</v>
      </c>
      <c r="L200" s="1" t="n">
        <v>50</v>
      </c>
      <c r="M200" s="4" t="e">
        <f aca="false">(L200-#REF!)/#REF!</f>
        <v>#REF!</v>
      </c>
      <c r="N200" s="1" t="n">
        <v>64</v>
      </c>
      <c r="O200" s="4" t="e">
        <f aca="false">(N200-#REF!)/#REF!</f>
        <v>#REF!</v>
      </c>
      <c r="P200" s="1" t="n">
        <v>600</v>
      </c>
      <c r="Q200" s="4" t="e">
        <f aca="false">(P200-#REF!)/#REF!</f>
        <v>#REF!</v>
      </c>
      <c r="R200" s="1" t="n">
        <v>400</v>
      </c>
      <c r="S200" s="4" t="e">
        <f aca="false">(R200-#REF!)/#REF!</f>
        <v>#REF!</v>
      </c>
      <c r="T200" s="1" t="n">
        <f aca="false">R200-N200</f>
        <v>336</v>
      </c>
      <c r="U200" s="4" t="e">
        <f aca="false">(T200-#REF!)/#REF!</f>
        <v>#REF!</v>
      </c>
      <c r="V200" s="1" t="n">
        <v>1884</v>
      </c>
      <c r="W200" s="4" t="e">
        <f aca="false">(V200-#REF!)/#REF!</f>
        <v>#REF!</v>
      </c>
      <c r="X200" s="28" t="n">
        <v>0.00785</v>
      </c>
      <c r="Y200" s="4" t="e">
        <f aca="false">(X200-#REF!)/#REF!</f>
        <v>#REF!</v>
      </c>
      <c r="Z200" s="27" t="n">
        <v>225.296671785643</v>
      </c>
      <c r="AA200" s="4" t="e">
        <f aca="false">(Z200-#REF!)/#REF!</f>
        <v>#REF!</v>
      </c>
      <c r="AB200" s="3" t="n">
        <v>430</v>
      </c>
      <c r="AC200" s="4" t="e">
        <f aca="false">(AB200-#REF!)/#REF!</f>
        <v>#REF!</v>
      </c>
      <c r="AD200" s="25" t="n">
        <v>129</v>
      </c>
      <c r="AE200" s="4" t="e">
        <f aca="false">(AD200-#REF!)/#REF!</f>
        <v>#REF!</v>
      </c>
      <c r="AF200" s="4" t="n">
        <v>0.23</v>
      </c>
      <c r="AG200" s="4"/>
    </row>
    <row r="201" customFormat="false" ht="14.25" hidden="false" customHeight="false" outlineLevel="0" collapsed="false">
      <c r="B201" s="1" t="n">
        <v>20</v>
      </c>
      <c r="C201" s="4" t="e">
        <f aca="false">(B201-#REF!)/#REF!</f>
        <v>#REF!</v>
      </c>
      <c r="D201" s="1" t="n">
        <v>6</v>
      </c>
      <c r="E201" s="4" t="e">
        <f aca="false">(D201-#REF!)/#REF!</f>
        <v>#REF!</v>
      </c>
      <c r="F201" s="2" t="n">
        <v>84</v>
      </c>
      <c r="G201" s="4" t="e">
        <f aca="false">(F201-#REF!)/#REF!</f>
        <v>#REF!</v>
      </c>
      <c r="H201" s="2" t="n">
        <v>40</v>
      </c>
      <c r="I201" s="4" t="e">
        <f aca="false">(H201-#REF!)/#REF!</f>
        <v>#REF!</v>
      </c>
      <c r="J201" s="4" t="n">
        <v>3.50882128585544</v>
      </c>
      <c r="K201" s="4" t="e">
        <f aca="false">(J201-#REF!)/#REF!</f>
        <v>#REF!</v>
      </c>
      <c r="L201" s="1" t="n">
        <v>50</v>
      </c>
      <c r="M201" s="4" t="e">
        <f aca="false">(L201-#REF!)/#REF!</f>
        <v>#REF!</v>
      </c>
      <c r="N201" s="1" t="n">
        <v>64</v>
      </c>
      <c r="O201" s="4" t="e">
        <f aca="false">(N201-#REF!)/#REF!</f>
        <v>#REF!</v>
      </c>
      <c r="P201" s="1" t="n">
        <v>600</v>
      </c>
      <c r="Q201" s="4" t="e">
        <f aca="false">(P201-#REF!)/#REF!</f>
        <v>#REF!</v>
      </c>
      <c r="R201" s="1" t="n">
        <v>400</v>
      </c>
      <c r="S201" s="4" t="e">
        <f aca="false">(R201-#REF!)/#REF!</f>
        <v>#REF!</v>
      </c>
      <c r="T201" s="1" t="n">
        <f aca="false">R201-N201</f>
        <v>336</v>
      </c>
      <c r="U201" s="4" t="e">
        <f aca="false">(T201-#REF!)/#REF!</f>
        <v>#REF!</v>
      </c>
      <c r="V201" s="1" t="n">
        <v>1884</v>
      </c>
      <c r="W201" s="4" t="e">
        <f aca="false">(V201-#REF!)/#REF!</f>
        <v>#REF!</v>
      </c>
      <c r="X201" s="28" t="n">
        <v>0.00785</v>
      </c>
      <c r="Y201" s="4" t="e">
        <f aca="false">(X201-#REF!)/#REF!</f>
        <v>#REF!</v>
      </c>
      <c r="Z201" s="27" t="n">
        <v>270.705303308331</v>
      </c>
      <c r="AA201" s="4" t="e">
        <f aca="false">(Z201-#REF!)/#REF!</f>
        <v>#REF!</v>
      </c>
      <c r="AB201" s="3" t="n">
        <v>430</v>
      </c>
      <c r="AC201" s="4" t="e">
        <f aca="false">(AB201-#REF!)/#REF!</f>
        <v>#REF!</v>
      </c>
      <c r="AD201" s="25" t="n">
        <v>155</v>
      </c>
      <c r="AE201" s="4" t="e">
        <f aca="false">(AD201-#REF!)/#REF!</f>
        <v>#REF!</v>
      </c>
      <c r="AF201" s="4" t="n">
        <v>0.28</v>
      </c>
      <c r="AG201" s="4"/>
    </row>
    <row r="202" customFormat="false" ht="14.25" hidden="false" customHeight="false" outlineLevel="0" collapsed="false">
      <c r="A202" s="0" t="s">
        <v>65</v>
      </c>
      <c r="B202" s="1" t="n">
        <v>20</v>
      </c>
      <c r="C202" s="4" t="e">
        <f aca="false">(B202-#REF!)/#REF!</f>
        <v>#REF!</v>
      </c>
      <c r="D202" s="1" t="n">
        <v>9</v>
      </c>
      <c r="E202" s="4" t="e">
        <f aca="false">(D202-#REF!)/#REF!</f>
        <v>#REF!</v>
      </c>
      <c r="F202" s="2" t="n">
        <v>45</v>
      </c>
      <c r="G202" s="4" t="e">
        <f aca="false">(F202-#REF!)/#REF!</f>
        <v>#REF!</v>
      </c>
      <c r="H202" s="2" t="n">
        <v>40</v>
      </c>
      <c r="I202" s="4" t="e">
        <f aca="false">(H202-#REF!)/#REF!</f>
        <v>#REF!</v>
      </c>
      <c r="J202" s="4" t="n">
        <v>3.50882128585544</v>
      </c>
      <c r="K202" s="4" t="e">
        <f aca="false">(J202-#REF!)/#REF!</f>
        <v>#REF!</v>
      </c>
      <c r="L202" s="1" t="n">
        <v>50</v>
      </c>
      <c r="M202" s="4" t="e">
        <f aca="false">(L202-#REF!)/#REF!</f>
        <v>#REF!</v>
      </c>
      <c r="N202" s="1" t="n">
        <v>64</v>
      </c>
      <c r="O202" s="4" t="e">
        <f aca="false">(N202-#REF!)/#REF!</f>
        <v>#REF!</v>
      </c>
      <c r="P202" s="1" t="n">
        <v>600</v>
      </c>
      <c r="Q202" s="4" t="e">
        <f aca="false">(P202-#REF!)/#REF!</f>
        <v>#REF!</v>
      </c>
      <c r="R202" s="1" t="n">
        <v>400</v>
      </c>
      <c r="S202" s="4" t="e">
        <f aca="false">(R202-#REF!)/#REF!</f>
        <v>#REF!</v>
      </c>
      <c r="T202" s="1" t="n">
        <f aca="false">R202-N202</f>
        <v>336</v>
      </c>
      <c r="U202" s="4" t="e">
        <f aca="false">(T202-#REF!)/#REF!</f>
        <v>#REF!</v>
      </c>
      <c r="V202" s="1" t="n">
        <v>2826</v>
      </c>
      <c r="W202" s="4" t="e">
        <f aca="false">(V202-#REF!)/#REF!</f>
        <v>#REF!</v>
      </c>
      <c r="X202" s="28" t="n">
        <v>0.011775</v>
      </c>
      <c r="Y202" s="4" t="e">
        <f aca="false">(X202-#REF!)/#REF!</f>
        <v>#REF!</v>
      </c>
      <c r="Z202" s="27" t="n">
        <v>176.839573733521</v>
      </c>
      <c r="AA202" s="4" t="e">
        <f aca="false">(Z202-#REF!)/#REF!</f>
        <v>#REF!</v>
      </c>
      <c r="AB202" s="3" t="n">
        <v>430</v>
      </c>
      <c r="AC202" s="4" t="e">
        <f aca="false">(AB202-#REF!)/#REF!</f>
        <v>#REF!</v>
      </c>
      <c r="AD202" s="25" t="n">
        <v>149</v>
      </c>
      <c r="AE202" s="4" t="e">
        <f aca="false">(AD202-#REF!)/#REF!</f>
        <v>#REF!</v>
      </c>
      <c r="AF202" s="4" t="n">
        <v>0.18</v>
      </c>
      <c r="AG202" s="4"/>
    </row>
    <row r="203" customFormat="false" ht="14.25" hidden="false" customHeight="false" outlineLevel="0" collapsed="false">
      <c r="B203" s="1" t="n">
        <v>20</v>
      </c>
      <c r="C203" s="4" t="e">
        <f aca="false">(B203-#REF!)/#REF!</f>
        <v>#REF!</v>
      </c>
      <c r="D203" s="1" t="n">
        <v>9</v>
      </c>
      <c r="E203" s="4" t="e">
        <f aca="false">(D203-#REF!)/#REF!</f>
        <v>#REF!</v>
      </c>
      <c r="F203" s="2" t="n">
        <v>45</v>
      </c>
      <c r="G203" s="4" t="e">
        <f aca="false">(F203-#REF!)/#REF!</f>
        <v>#REF!</v>
      </c>
      <c r="H203" s="2" t="n">
        <v>40</v>
      </c>
      <c r="I203" s="4" t="e">
        <f aca="false">(H203-#REF!)/#REF!</f>
        <v>#REF!</v>
      </c>
      <c r="J203" s="4" t="n">
        <v>3.50882128585544</v>
      </c>
      <c r="K203" s="4" t="e">
        <f aca="false">(J203-#REF!)/#REF!</f>
        <v>#REF!</v>
      </c>
      <c r="L203" s="1" t="n">
        <v>50</v>
      </c>
      <c r="M203" s="4" t="e">
        <f aca="false">(L203-#REF!)/#REF!</f>
        <v>#REF!</v>
      </c>
      <c r="N203" s="1" t="n">
        <v>64</v>
      </c>
      <c r="O203" s="4" t="e">
        <f aca="false">(N203-#REF!)/#REF!</f>
        <v>#REF!</v>
      </c>
      <c r="P203" s="1" t="n">
        <v>600</v>
      </c>
      <c r="Q203" s="4" t="e">
        <f aca="false">(P203-#REF!)/#REF!</f>
        <v>#REF!</v>
      </c>
      <c r="R203" s="1" t="n">
        <v>400</v>
      </c>
      <c r="S203" s="4" t="e">
        <f aca="false">(R203-#REF!)/#REF!</f>
        <v>#REF!</v>
      </c>
      <c r="T203" s="1" t="n">
        <f aca="false">R203-N203</f>
        <v>336</v>
      </c>
      <c r="U203" s="4" t="e">
        <f aca="false">(T203-#REF!)/#REF!</f>
        <v>#REF!</v>
      </c>
      <c r="V203" s="1" t="n">
        <v>2826</v>
      </c>
      <c r="W203" s="4" t="e">
        <f aca="false">(V203-#REF!)/#REF!</f>
        <v>#REF!</v>
      </c>
      <c r="X203" s="28" t="n">
        <v>0.011775</v>
      </c>
      <c r="Y203" s="4" t="e">
        <f aca="false">(X203-#REF!)/#REF!</f>
        <v>#REF!</v>
      </c>
      <c r="Z203" s="27" t="n">
        <v>220.752756472718</v>
      </c>
      <c r="AA203" s="4" t="e">
        <f aca="false">(Z203-#REF!)/#REF!</f>
        <v>#REF!</v>
      </c>
      <c r="AB203" s="3" t="n">
        <v>430</v>
      </c>
      <c r="AC203" s="4" t="e">
        <f aca="false">(AB203-#REF!)/#REF!</f>
        <v>#REF!</v>
      </c>
      <c r="AD203" s="25" t="n">
        <v>186</v>
      </c>
      <c r="AE203" s="4" t="e">
        <f aca="false">(AD203-#REF!)/#REF!</f>
        <v>#REF!</v>
      </c>
      <c r="AF203" s="4" t="n">
        <v>0.26</v>
      </c>
      <c r="AG203" s="4"/>
    </row>
    <row r="204" customFormat="false" ht="14.25" hidden="false" customHeight="false" outlineLevel="0" collapsed="false">
      <c r="B204" s="1" t="n">
        <v>20</v>
      </c>
      <c r="C204" s="4" t="e">
        <f aca="false">(B204-#REF!)/#REF!</f>
        <v>#REF!</v>
      </c>
      <c r="D204" s="1" t="n">
        <v>9</v>
      </c>
      <c r="E204" s="4" t="e">
        <f aca="false">(D204-#REF!)/#REF!</f>
        <v>#REF!</v>
      </c>
      <c r="F204" s="2" t="n">
        <v>45</v>
      </c>
      <c r="G204" s="4" t="e">
        <f aca="false">(F204-#REF!)/#REF!</f>
        <v>#REF!</v>
      </c>
      <c r="H204" s="2" t="n">
        <v>40</v>
      </c>
      <c r="I204" s="4" t="e">
        <f aca="false">(H204-#REF!)/#REF!</f>
        <v>#REF!</v>
      </c>
      <c r="J204" s="4" t="n">
        <v>3.50882128585544</v>
      </c>
      <c r="K204" s="4" t="e">
        <f aca="false">(J204-#REF!)/#REF!</f>
        <v>#REF!</v>
      </c>
      <c r="L204" s="1" t="n">
        <v>50</v>
      </c>
      <c r="M204" s="4" t="e">
        <f aca="false">(L204-#REF!)/#REF!</f>
        <v>#REF!</v>
      </c>
      <c r="N204" s="1" t="n">
        <v>64</v>
      </c>
      <c r="O204" s="4" t="e">
        <f aca="false">(N204-#REF!)/#REF!</f>
        <v>#REF!</v>
      </c>
      <c r="P204" s="1" t="n">
        <v>600</v>
      </c>
      <c r="Q204" s="4" t="e">
        <f aca="false">(P204-#REF!)/#REF!</f>
        <v>#REF!</v>
      </c>
      <c r="R204" s="1" t="n">
        <v>400</v>
      </c>
      <c r="S204" s="4" t="e">
        <f aca="false">(R204-#REF!)/#REF!</f>
        <v>#REF!</v>
      </c>
      <c r="T204" s="1" t="n">
        <f aca="false">R204-N204</f>
        <v>336</v>
      </c>
      <c r="U204" s="4" t="e">
        <f aca="false">(T204-#REF!)/#REF!</f>
        <v>#REF!</v>
      </c>
      <c r="V204" s="1" t="n">
        <v>2826</v>
      </c>
      <c r="W204" s="4" t="e">
        <f aca="false">(V204-#REF!)/#REF!</f>
        <v>#REF!</v>
      </c>
      <c r="X204" s="28" t="n">
        <v>0.011775</v>
      </c>
      <c r="Y204" s="4" t="e">
        <f aca="false">(X204-#REF!)/#REF!</f>
        <v>#REF!</v>
      </c>
      <c r="Z204" s="27" t="n">
        <v>264.665939211914</v>
      </c>
      <c r="AA204" s="4" t="e">
        <f aca="false">(Z204-#REF!)/#REF!</f>
        <v>#REF!</v>
      </c>
      <c r="AB204" s="3" t="n">
        <v>430</v>
      </c>
      <c r="AC204" s="4" t="e">
        <f aca="false">(AB204-#REF!)/#REF!</f>
        <v>#REF!</v>
      </c>
      <c r="AD204" s="25" t="n">
        <v>223</v>
      </c>
      <c r="AE204" s="4" t="e">
        <f aca="false">(AD204-#REF!)/#REF!</f>
        <v>#REF!</v>
      </c>
      <c r="AF204" s="4" t="n">
        <v>0.34</v>
      </c>
      <c r="AG204" s="4"/>
    </row>
    <row r="205" customFormat="false" ht="14.25" hidden="false" customHeight="false" outlineLevel="0" collapsed="false">
      <c r="A205" s="0" t="s">
        <v>66</v>
      </c>
      <c r="B205" s="1" t="n">
        <v>16</v>
      </c>
      <c r="C205" s="4" t="e">
        <f aca="false">(B205-#REF!)/#REF!</f>
        <v>#REF!</v>
      </c>
      <c r="D205" s="1" t="n">
        <v>2</v>
      </c>
      <c r="E205" s="4" t="e">
        <f aca="false">(D205-#REF!)/#REF!</f>
        <v>#REF!</v>
      </c>
      <c r="F205" s="2" t="n">
        <v>52</v>
      </c>
      <c r="G205" s="4" t="e">
        <f aca="false">(F205-#REF!)/#REF!</f>
        <v>#REF!</v>
      </c>
      <c r="H205" s="2" t="n">
        <v>59.2</v>
      </c>
      <c r="I205" s="4" t="e">
        <f aca="false">(H205-#REF!)/#REF!</f>
        <v>#REF!</v>
      </c>
      <c r="J205" s="4" t="n">
        <v>3.42</v>
      </c>
      <c r="K205" s="4" t="e">
        <f aca="false">(J205-#REF!)/#REF!</f>
        <v>#REF!</v>
      </c>
      <c r="L205" s="1" t="n">
        <v>27</v>
      </c>
      <c r="M205" s="4" t="e">
        <f aca="false">(L205-#REF!)/#REF!</f>
        <v>#REF!</v>
      </c>
      <c r="N205" s="1" t="n">
        <v>35</v>
      </c>
      <c r="O205" s="4" t="e">
        <f aca="false">(N205-#REF!)/#REF!</f>
        <v>#REF!</v>
      </c>
      <c r="P205" s="1" t="n">
        <v>150</v>
      </c>
      <c r="Q205" s="4" t="e">
        <f aca="false">(P205-#REF!)/#REF!</f>
        <v>#REF!</v>
      </c>
      <c r="R205" s="1" t="n">
        <v>235</v>
      </c>
      <c r="S205" s="4" t="e">
        <f aca="false">(R205-#REF!)/#REF!</f>
        <v>#REF!</v>
      </c>
      <c r="T205" s="1" t="n">
        <f aca="false">R205-N205</f>
        <v>200</v>
      </c>
      <c r="U205" s="4" t="e">
        <f aca="false">(T205-#REF!)/#REF!</f>
        <v>#REF!</v>
      </c>
      <c r="V205" s="1" t="n">
        <v>402</v>
      </c>
      <c r="W205" s="4" t="e">
        <f aca="false">(V205-#REF!)/#REF!</f>
        <v>#REF!</v>
      </c>
      <c r="X205" s="28" t="n">
        <v>0.0114042553191489</v>
      </c>
      <c r="Y205" s="4" t="e">
        <f aca="false">(X205-#REF!)/#REF!</f>
        <v>#REF!</v>
      </c>
      <c r="Z205" s="27" t="n">
        <v>234.722345423214</v>
      </c>
      <c r="AA205" s="4" t="e">
        <f aca="false">(Z205-#REF!)/#REF!</f>
        <v>#REF!</v>
      </c>
      <c r="AB205" s="3" t="n">
        <v>528</v>
      </c>
      <c r="AC205" s="4" t="e">
        <f aca="false">(AB205-#REF!)/#REF!</f>
        <v>#REF!</v>
      </c>
      <c r="AD205" s="25" t="n">
        <v>16.675</v>
      </c>
      <c r="AE205" s="4" t="e">
        <f aca="false">(AD205-#REF!)/#REF!</f>
        <v>#REF!</v>
      </c>
      <c r="AF205" s="4" t="n">
        <v>0.15</v>
      </c>
      <c r="AG205" s="4"/>
    </row>
    <row r="206" customFormat="false" ht="14.25" hidden="false" customHeight="false" outlineLevel="0" collapsed="false">
      <c r="B206" s="1" t="n">
        <v>16</v>
      </c>
      <c r="C206" s="4" t="e">
        <f aca="false">(B206-#REF!)/#REF!</f>
        <v>#REF!</v>
      </c>
      <c r="D206" s="1" t="n">
        <v>2</v>
      </c>
      <c r="E206" s="4" t="e">
        <f aca="false">(D206-#REF!)/#REF!</f>
        <v>#REF!</v>
      </c>
      <c r="F206" s="2" t="n">
        <v>52</v>
      </c>
      <c r="G206" s="4" t="e">
        <f aca="false">(F206-#REF!)/#REF!</f>
        <v>#REF!</v>
      </c>
      <c r="H206" s="2" t="n">
        <v>59.2</v>
      </c>
      <c r="I206" s="4" t="e">
        <f aca="false">(H206-#REF!)/#REF!</f>
        <v>#REF!</v>
      </c>
      <c r="J206" s="4" t="n">
        <v>3.42</v>
      </c>
      <c r="K206" s="4" t="e">
        <f aca="false">(J206-#REF!)/#REF!</f>
        <v>#REF!</v>
      </c>
      <c r="L206" s="1" t="n">
        <v>27</v>
      </c>
      <c r="M206" s="4" t="e">
        <f aca="false">(L206-#REF!)/#REF!</f>
        <v>#REF!</v>
      </c>
      <c r="N206" s="1" t="n">
        <v>35</v>
      </c>
      <c r="O206" s="4" t="e">
        <f aca="false">(N206-#REF!)/#REF!</f>
        <v>#REF!</v>
      </c>
      <c r="P206" s="1" t="n">
        <v>150</v>
      </c>
      <c r="Q206" s="4" t="e">
        <f aca="false">(P206-#REF!)/#REF!</f>
        <v>#REF!</v>
      </c>
      <c r="R206" s="1" t="n">
        <v>235</v>
      </c>
      <c r="S206" s="4" t="e">
        <f aca="false">(R206-#REF!)/#REF!</f>
        <v>#REF!</v>
      </c>
      <c r="T206" s="1" t="n">
        <f aca="false">R206-N206</f>
        <v>200</v>
      </c>
      <c r="U206" s="4" t="e">
        <f aca="false">(T206-#REF!)/#REF!</f>
        <v>#REF!</v>
      </c>
      <c r="V206" s="1" t="n">
        <v>402</v>
      </c>
      <c r="W206" s="4" t="e">
        <f aca="false">(V206-#REF!)/#REF!</f>
        <v>#REF!</v>
      </c>
      <c r="X206" s="28" t="n">
        <v>0.0114042553191489</v>
      </c>
      <c r="Y206" s="4" t="e">
        <f aca="false">(X206-#REF!)/#REF!</f>
        <v>#REF!</v>
      </c>
      <c r="Z206" s="27" t="n">
        <v>315.661085224322</v>
      </c>
      <c r="AA206" s="4" t="e">
        <f aca="false">(Z206-#REF!)/#REF!</f>
        <v>#REF!</v>
      </c>
      <c r="AB206" s="3" t="n">
        <v>528</v>
      </c>
      <c r="AC206" s="4" t="e">
        <f aca="false">(AB206-#REF!)/#REF!</f>
        <v>#REF!</v>
      </c>
      <c r="AD206" s="25" t="n">
        <v>22.425</v>
      </c>
      <c r="AE206" s="4" t="e">
        <f aca="false">(AD206-#REF!)/#REF!</f>
        <v>#REF!</v>
      </c>
      <c r="AF206" s="4" t="n">
        <v>0.19</v>
      </c>
      <c r="AG206" s="4"/>
    </row>
    <row r="207" customFormat="false" ht="14.25" hidden="false" customHeight="false" outlineLevel="0" collapsed="false">
      <c r="B207" s="1" t="n">
        <v>16</v>
      </c>
      <c r="C207" s="4" t="e">
        <f aca="false">(B207-#REF!)/#REF!</f>
        <v>#REF!</v>
      </c>
      <c r="D207" s="1" t="n">
        <v>2</v>
      </c>
      <c r="E207" s="4" t="e">
        <f aca="false">(D207-#REF!)/#REF!</f>
        <v>#REF!</v>
      </c>
      <c r="F207" s="2" t="n">
        <v>52</v>
      </c>
      <c r="G207" s="4" t="e">
        <f aca="false">(F207-#REF!)/#REF!</f>
        <v>#REF!</v>
      </c>
      <c r="H207" s="2" t="n">
        <v>59.2</v>
      </c>
      <c r="I207" s="4" t="e">
        <f aca="false">(H207-#REF!)/#REF!</f>
        <v>#REF!</v>
      </c>
      <c r="J207" s="4" t="n">
        <v>3.42</v>
      </c>
      <c r="K207" s="4" t="e">
        <f aca="false">(J207-#REF!)/#REF!</f>
        <v>#REF!</v>
      </c>
      <c r="L207" s="1" t="n">
        <v>27</v>
      </c>
      <c r="M207" s="4" t="e">
        <f aca="false">(L207-#REF!)/#REF!</f>
        <v>#REF!</v>
      </c>
      <c r="N207" s="1" t="n">
        <v>35</v>
      </c>
      <c r="O207" s="4" t="e">
        <f aca="false">(N207-#REF!)/#REF!</f>
        <v>#REF!</v>
      </c>
      <c r="P207" s="1" t="n">
        <v>150</v>
      </c>
      <c r="Q207" s="4" t="e">
        <f aca="false">(P207-#REF!)/#REF!</f>
        <v>#REF!</v>
      </c>
      <c r="R207" s="1" t="n">
        <v>235</v>
      </c>
      <c r="S207" s="4" t="e">
        <f aca="false">(R207-#REF!)/#REF!</f>
        <v>#REF!</v>
      </c>
      <c r="T207" s="1" t="n">
        <f aca="false">R207-N207</f>
        <v>200</v>
      </c>
      <c r="U207" s="4" t="e">
        <f aca="false">(T207-#REF!)/#REF!</f>
        <v>#REF!</v>
      </c>
      <c r="V207" s="1" t="n">
        <v>402</v>
      </c>
      <c r="W207" s="4" t="e">
        <f aca="false">(V207-#REF!)/#REF!</f>
        <v>#REF!</v>
      </c>
      <c r="X207" s="28" t="n">
        <v>0.0114042553191489</v>
      </c>
      <c r="Y207" s="4" t="e">
        <f aca="false">(X207-#REF!)/#REF!</f>
        <v>#REF!</v>
      </c>
      <c r="Z207" s="27" t="n">
        <v>364.224329104987</v>
      </c>
      <c r="AA207" s="4" t="e">
        <f aca="false">(Z207-#REF!)/#REF!</f>
        <v>#REF!</v>
      </c>
      <c r="AB207" s="3" t="n">
        <v>528</v>
      </c>
      <c r="AC207" s="4" t="e">
        <f aca="false">(AB207-#REF!)/#REF!</f>
        <v>#REF!</v>
      </c>
      <c r="AD207" s="25" t="n">
        <v>25.875</v>
      </c>
      <c r="AE207" s="4" t="e">
        <f aca="false">(AD207-#REF!)/#REF!</f>
        <v>#REF!</v>
      </c>
      <c r="AF207" s="4" t="n">
        <v>0.22</v>
      </c>
      <c r="AG207" s="4"/>
    </row>
    <row r="208" customFormat="false" ht="14.25" hidden="false" customHeight="false" outlineLevel="0" collapsed="false">
      <c r="B208" s="1" t="n">
        <v>16</v>
      </c>
      <c r="C208" s="4" t="e">
        <f aca="false">(B208-#REF!)/#REF!</f>
        <v>#REF!</v>
      </c>
      <c r="D208" s="1" t="n">
        <v>2</v>
      </c>
      <c r="E208" s="4" t="e">
        <f aca="false">(D208-#REF!)/#REF!</f>
        <v>#REF!</v>
      </c>
      <c r="F208" s="2" t="n">
        <v>52</v>
      </c>
      <c r="G208" s="4" t="e">
        <f aca="false">(F208-#REF!)/#REF!</f>
        <v>#REF!</v>
      </c>
      <c r="H208" s="2" t="n">
        <v>59.2</v>
      </c>
      <c r="I208" s="4" t="e">
        <f aca="false">(H208-#REF!)/#REF!</f>
        <v>#REF!</v>
      </c>
      <c r="J208" s="4" t="n">
        <v>3.42</v>
      </c>
      <c r="K208" s="4" t="e">
        <f aca="false">(J208-#REF!)/#REF!</f>
        <v>#REF!</v>
      </c>
      <c r="L208" s="1" t="n">
        <v>27</v>
      </c>
      <c r="M208" s="4" t="e">
        <f aca="false">(L208-#REF!)/#REF!</f>
        <v>#REF!</v>
      </c>
      <c r="N208" s="1" t="n">
        <v>35</v>
      </c>
      <c r="O208" s="4" t="e">
        <f aca="false">(N208-#REF!)/#REF!</f>
        <v>#REF!</v>
      </c>
      <c r="P208" s="1" t="n">
        <v>150</v>
      </c>
      <c r="Q208" s="4" t="e">
        <f aca="false">(P208-#REF!)/#REF!</f>
        <v>#REF!</v>
      </c>
      <c r="R208" s="1" t="n">
        <v>235</v>
      </c>
      <c r="S208" s="4" t="e">
        <f aca="false">(R208-#REF!)/#REF!</f>
        <v>#REF!</v>
      </c>
      <c r="T208" s="1" t="n">
        <f aca="false">R208-N208</f>
        <v>200</v>
      </c>
      <c r="U208" s="4" t="e">
        <f aca="false">(T208-#REF!)/#REF!</f>
        <v>#REF!</v>
      </c>
      <c r="V208" s="1" t="n">
        <v>402</v>
      </c>
      <c r="W208" s="4" t="e">
        <f aca="false">(V208-#REF!)/#REF!</f>
        <v>#REF!</v>
      </c>
      <c r="X208" s="28" t="n">
        <v>0.0114042553191489</v>
      </c>
      <c r="Y208" s="4" t="e">
        <f aca="false">(X208-#REF!)/#REF!</f>
        <v>#REF!</v>
      </c>
      <c r="Z208" s="27" t="n">
        <v>404.693699005541</v>
      </c>
      <c r="AA208" s="4" t="e">
        <f aca="false">(Z208-#REF!)/#REF!</f>
        <v>#REF!</v>
      </c>
      <c r="AB208" s="3" t="n">
        <v>528</v>
      </c>
      <c r="AC208" s="4" t="e">
        <f aca="false">(AB208-#REF!)/#REF!</f>
        <v>#REF!</v>
      </c>
      <c r="AD208" s="25" t="n">
        <v>28.75</v>
      </c>
      <c r="AE208" s="4" t="e">
        <f aca="false">(AD208-#REF!)/#REF!</f>
        <v>#REF!</v>
      </c>
      <c r="AF208" s="4" t="n">
        <v>0.22</v>
      </c>
      <c r="AG208" s="4"/>
    </row>
    <row r="209" customFormat="false" ht="14.25" hidden="false" customHeight="false" outlineLevel="0" collapsed="false">
      <c r="B209" s="1" t="n">
        <v>16</v>
      </c>
      <c r="C209" s="4" t="e">
        <f aca="false">(B209-#REF!)/#REF!</f>
        <v>#REF!</v>
      </c>
      <c r="D209" s="1" t="n">
        <v>2</v>
      </c>
      <c r="E209" s="4" t="e">
        <f aca="false">(D209-#REF!)/#REF!</f>
        <v>#REF!</v>
      </c>
      <c r="F209" s="2" t="n">
        <v>52</v>
      </c>
      <c r="G209" s="4" t="e">
        <f aca="false">(F209-#REF!)/#REF!</f>
        <v>#REF!</v>
      </c>
      <c r="H209" s="2" t="n">
        <v>59.2</v>
      </c>
      <c r="I209" s="4" t="e">
        <f aca="false">(H209-#REF!)/#REF!</f>
        <v>#REF!</v>
      </c>
      <c r="J209" s="4" t="n">
        <v>3.42</v>
      </c>
      <c r="K209" s="4" t="e">
        <f aca="false">(J209-#REF!)/#REF!</f>
        <v>#REF!</v>
      </c>
      <c r="L209" s="1" t="n">
        <v>27</v>
      </c>
      <c r="M209" s="4" t="e">
        <f aca="false">(L209-#REF!)/#REF!</f>
        <v>#REF!</v>
      </c>
      <c r="N209" s="1" t="n">
        <v>35</v>
      </c>
      <c r="O209" s="4" t="e">
        <f aca="false">(N209-#REF!)/#REF!</f>
        <v>#REF!</v>
      </c>
      <c r="P209" s="1" t="n">
        <v>150</v>
      </c>
      <c r="Q209" s="4" t="e">
        <f aca="false">(P209-#REF!)/#REF!</f>
        <v>#REF!</v>
      </c>
      <c r="R209" s="1" t="n">
        <v>235</v>
      </c>
      <c r="S209" s="4" t="e">
        <f aca="false">(R209-#REF!)/#REF!</f>
        <v>#REF!</v>
      </c>
      <c r="T209" s="1" t="n">
        <f aca="false">R209-N209</f>
        <v>200</v>
      </c>
      <c r="U209" s="4" t="e">
        <f aca="false">(T209-#REF!)/#REF!</f>
        <v>#REF!</v>
      </c>
      <c r="V209" s="1" t="n">
        <v>402</v>
      </c>
      <c r="W209" s="4" t="e">
        <f aca="false">(V209-#REF!)/#REF!</f>
        <v>#REF!</v>
      </c>
      <c r="X209" s="28" t="n">
        <v>0.0114042553191489</v>
      </c>
      <c r="Y209" s="4" t="e">
        <f aca="false">(X209-#REF!)/#REF!</f>
        <v>#REF!</v>
      </c>
      <c r="Z209" s="27" t="n">
        <v>469.444690846428</v>
      </c>
      <c r="AA209" s="4" t="e">
        <f aca="false">(Z209-#REF!)/#REF!</f>
        <v>#REF!</v>
      </c>
      <c r="AB209" s="3" t="n">
        <v>528</v>
      </c>
      <c r="AC209" s="4" t="e">
        <f aca="false">(AB209-#REF!)/#REF!</f>
        <v>#REF!</v>
      </c>
      <c r="AD209" s="25" t="n">
        <v>33.35</v>
      </c>
      <c r="AE209" s="4" t="e">
        <f aca="false">(AD209-#REF!)/#REF!</f>
        <v>#REF!</v>
      </c>
      <c r="AF209" s="4" t="n">
        <v>0.25</v>
      </c>
      <c r="AG209" s="4"/>
    </row>
    <row r="210" customFormat="false" ht="14.25" hidden="false" customHeight="false" outlineLevel="0" collapsed="false">
      <c r="B210" s="1" t="n">
        <v>16</v>
      </c>
      <c r="C210" s="4" t="e">
        <f aca="false">(B210-#REF!)/#REF!</f>
        <v>#REF!</v>
      </c>
      <c r="D210" s="1" t="n">
        <v>2</v>
      </c>
      <c r="E210" s="4" t="e">
        <f aca="false">(D210-#REF!)/#REF!</f>
        <v>#REF!</v>
      </c>
      <c r="F210" s="2" t="n">
        <v>52</v>
      </c>
      <c r="G210" s="4" t="e">
        <f aca="false">(F210-#REF!)/#REF!</f>
        <v>#REF!</v>
      </c>
      <c r="H210" s="2" t="n">
        <v>59.2</v>
      </c>
      <c r="I210" s="4" t="e">
        <f aca="false">(H210-#REF!)/#REF!</f>
        <v>#REF!</v>
      </c>
      <c r="J210" s="4" t="n">
        <v>3.42</v>
      </c>
      <c r="K210" s="4" t="e">
        <f aca="false">(J210-#REF!)/#REF!</f>
        <v>#REF!</v>
      </c>
      <c r="L210" s="1" t="n">
        <v>27</v>
      </c>
      <c r="M210" s="4" t="e">
        <f aca="false">(L210-#REF!)/#REF!</f>
        <v>#REF!</v>
      </c>
      <c r="N210" s="1" t="n">
        <v>35</v>
      </c>
      <c r="O210" s="4" t="e">
        <f aca="false">(N210-#REF!)/#REF!</f>
        <v>#REF!</v>
      </c>
      <c r="P210" s="1" t="n">
        <v>150</v>
      </c>
      <c r="Q210" s="4" t="e">
        <f aca="false">(P210-#REF!)/#REF!</f>
        <v>#REF!</v>
      </c>
      <c r="R210" s="1" t="n">
        <v>235</v>
      </c>
      <c r="S210" s="4" t="e">
        <f aca="false">(R210-#REF!)/#REF!</f>
        <v>#REF!</v>
      </c>
      <c r="T210" s="1" t="n">
        <f aca="false">R210-N210</f>
        <v>200</v>
      </c>
      <c r="U210" s="4" t="e">
        <f aca="false">(T210-#REF!)/#REF!</f>
        <v>#REF!</v>
      </c>
      <c r="V210" s="1" t="n">
        <v>402</v>
      </c>
      <c r="W210" s="4" t="e">
        <f aca="false">(V210-#REF!)/#REF!</f>
        <v>#REF!</v>
      </c>
      <c r="X210" s="28" t="n">
        <v>0.0114042553191489</v>
      </c>
      <c r="Y210" s="4" t="e">
        <f aca="false">(X210-#REF!)/#REF!</f>
        <v>#REF!</v>
      </c>
      <c r="Z210" s="27" t="n">
        <v>526.101808707204</v>
      </c>
      <c r="AA210" s="4" t="e">
        <f aca="false">(Z210-#REF!)/#REF!</f>
        <v>#REF!</v>
      </c>
      <c r="AB210" s="3" t="n">
        <v>528</v>
      </c>
      <c r="AC210" s="4" t="e">
        <f aca="false">(AB210-#REF!)/#REF!</f>
        <v>#REF!</v>
      </c>
      <c r="AD210" s="25" t="n">
        <v>37.375</v>
      </c>
      <c r="AE210" s="4" t="e">
        <f aca="false">(AD210-#REF!)/#REF!</f>
        <v>#REF!</v>
      </c>
      <c r="AF210" s="4" t="n">
        <v>0.29</v>
      </c>
      <c r="AG210" s="4"/>
    </row>
    <row r="211" customFormat="false" ht="14.25" hidden="false" customHeight="false" outlineLevel="0" collapsed="false">
      <c r="A211" s="0" t="s">
        <v>67</v>
      </c>
      <c r="B211" s="1" t="n">
        <v>20</v>
      </c>
      <c r="C211" s="4" t="e">
        <f aca="false">(B211-#REF!)/#REF!</f>
        <v>#REF!</v>
      </c>
      <c r="D211" s="1" t="n">
        <v>2</v>
      </c>
      <c r="E211" s="4" t="e">
        <f aca="false">(D211-#REF!)/#REF!</f>
        <v>#REF!</v>
      </c>
      <c r="F211" s="2" t="n">
        <v>44</v>
      </c>
      <c r="G211" s="4" t="e">
        <f aca="false">(F211-#REF!)/#REF!</f>
        <v>#REF!</v>
      </c>
      <c r="H211" s="2" t="n">
        <v>59.2</v>
      </c>
      <c r="I211" s="4" t="e">
        <f aca="false">(H211-#REF!)/#REF!</f>
        <v>#REF!</v>
      </c>
      <c r="J211" s="4" t="n">
        <v>3.42</v>
      </c>
      <c r="K211" s="4" t="e">
        <f aca="false">(J211-#REF!)/#REF!</f>
        <v>#REF!</v>
      </c>
      <c r="L211" s="1" t="n">
        <v>25</v>
      </c>
      <c r="M211" s="4" t="e">
        <f aca="false">(L211-#REF!)/#REF!</f>
        <v>#REF!</v>
      </c>
      <c r="N211" s="1" t="n">
        <v>35</v>
      </c>
      <c r="O211" s="4" t="e">
        <f aca="false">(N211-#REF!)/#REF!</f>
        <v>#REF!</v>
      </c>
      <c r="P211" s="1" t="n">
        <v>150</v>
      </c>
      <c r="Q211" s="4" t="e">
        <f aca="false">(P211-#REF!)/#REF!</f>
        <v>#REF!</v>
      </c>
      <c r="R211" s="1" t="n">
        <v>235</v>
      </c>
      <c r="S211" s="4" t="e">
        <f aca="false">(R211-#REF!)/#REF!</f>
        <v>#REF!</v>
      </c>
      <c r="T211" s="1" t="n">
        <f aca="false">R211-N211</f>
        <v>200</v>
      </c>
      <c r="U211" s="4" t="e">
        <f aca="false">(T211-#REF!)/#REF!</f>
        <v>#REF!</v>
      </c>
      <c r="V211" s="1" t="n">
        <v>628</v>
      </c>
      <c r="W211" s="4" t="e">
        <f aca="false">(V211-#REF!)/#REF!</f>
        <v>#REF!</v>
      </c>
      <c r="X211" s="28" t="n">
        <v>0.0178156028368794</v>
      </c>
      <c r="Y211" s="4" t="e">
        <f aca="false">(X211-#REF!)/#REF!</f>
        <v>#REF!</v>
      </c>
      <c r="Z211" s="27" t="n">
        <v>270.870133310726</v>
      </c>
      <c r="AA211" s="4" t="e">
        <f aca="false">(Z211-#REF!)/#REF!</f>
        <v>#REF!</v>
      </c>
      <c r="AB211" s="3" t="n">
        <v>528</v>
      </c>
      <c r="AC211" s="4" t="e">
        <f aca="false">(AB211-#REF!)/#REF!</f>
        <v>#REF!</v>
      </c>
      <c r="AD211" s="25" t="n">
        <v>29.325</v>
      </c>
      <c r="AE211" s="4" t="e">
        <f aca="false">(AD211-#REF!)/#REF!</f>
        <v>#REF!</v>
      </c>
      <c r="AF211" s="4" t="n">
        <v>0.17</v>
      </c>
      <c r="AG211" s="4"/>
    </row>
    <row r="212" customFormat="false" ht="14.25" hidden="false" customHeight="false" outlineLevel="0" collapsed="false">
      <c r="B212" s="1" t="n">
        <v>20</v>
      </c>
      <c r="C212" s="4" t="e">
        <f aca="false">(B212-#REF!)/#REF!</f>
        <v>#REF!</v>
      </c>
      <c r="D212" s="1" t="n">
        <v>2</v>
      </c>
      <c r="E212" s="4" t="e">
        <f aca="false">(D212-#REF!)/#REF!</f>
        <v>#REF!</v>
      </c>
      <c r="F212" s="2" t="n">
        <v>44</v>
      </c>
      <c r="G212" s="4" t="e">
        <f aca="false">(F212-#REF!)/#REF!</f>
        <v>#REF!</v>
      </c>
      <c r="H212" s="2" t="n">
        <v>59.2</v>
      </c>
      <c r="I212" s="4" t="e">
        <f aca="false">(H212-#REF!)/#REF!</f>
        <v>#REF!</v>
      </c>
      <c r="J212" s="4" t="n">
        <v>3.42</v>
      </c>
      <c r="K212" s="4" t="e">
        <f aca="false">(J212-#REF!)/#REF!</f>
        <v>#REF!</v>
      </c>
      <c r="L212" s="1" t="n">
        <v>25</v>
      </c>
      <c r="M212" s="4" t="e">
        <f aca="false">(L212-#REF!)/#REF!</f>
        <v>#REF!</v>
      </c>
      <c r="N212" s="1" t="n">
        <v>35</v>
      </c>
      <c r="O212" s="4" t="e">
        <f aca="false">(N212-#REF!)/#REF!</f>
        <v>#REF!</v>
      </c>
      <c r="P212" s="1" t="n">
        <v>150</v>
      </c>
      <c r="Q212" s="4" t="e">
        <f aca="false">(P212-#REF!)/#REF!</f>
        <v>#REF!</v>
      </c>
      <c r="R212" s="1" t="n">
        <v>235</v>
      </c>
      <c r="S212" s="4" t="e">
        <f aca="false">(R212-#REF!)/#REF!</f>
        <v>#REF!</v>
      </c>
      <c r="T212" s="1" t="n">
        <f aca="false">R212-N212</f>
        <v>200</v>
      </c>
      <c r="U212" s="4" t="e">
        <f aca="false">(T212-#REF!)/#REF!</f>
        <v>#REF!</v>
      </c>
      <c r="V212" s="1" t="n">
        <v>628</v>
      </c>
      <c r="W212" s="4" t="e">
        <f aca="false">(V212-#REF!)/#REF!</f>
        <v>#REF!</v>
      </c>
      <c r="X212" s="28" t="n">
        <v>0.0178156028368794</v>
      </c>
      <c r="Y212" s="4" t="e">
        <f aca="false">(X212-#REF!)/#REF!</f>
        <v>#REF!</v>
      </c>
      <c r="Z212" s="27" t="n">
        <v>308.048386902394</v>
      </c>
      <c r="AA212" s="4" t="e">
        <f aca="false">(Z212-#REF!)/#REF!</f>
        <v>#REF!</v>
      </c>
      <c r="AB212" s="3" t="n">
        <v>528</v>
      </c>
      <c r="AC212" s="4" t="e">
        <f aca="false">(AB212-#REF!)/#REF!</f>
        <v>#REF!</v>
      </c>
      <c r="AD212" s="25" t="n">
        <v>33.35</v>
      </c>
      <c r="AE212" s="4" t="e">
        <f aca="false">(AD212-#REF!)/#REF!</f>
        <v>#REF!</v>
      </c>
      <c r="AF212" s="4" t="n">
        <v>0.19</v>
      </c>
      <c r="AG212" s="4"/>
    </row>
    <row r="213" customFormat="false" ht="14.25" hidden="false" customHeight="false" outlineLevel="0" collapsed="false">
      <c r="B213" s="1" t="n">
        <v>20</v>
      </c>
      <c r="C213" s="4" t="e">
        <f aca="false">(B213-#REF!)/#REF!</f>
        <v>#REF!</v>
      </c>
      <c r="D213" s="1" t="n">
        <v>2</v>
      </c>
      <c r="E213" s="4" t="e">
        <f aca="false">(D213-#REF!)/#REF!</f>
        <v>#REF!</v>
      </c>
      <c r="F213" s="2" t="n">
        <v>44</v>
      </c>
      <c r="G213" s="4" t="e">
        <f aca="false">(F213-#REF!)/#REF!</f>
        <v>#REF!</v>
      </c>
      <c r="H213" s="2" t="n">
        <v>59.2</v>
      </c>
      <c r="I213" s="4" t="e">
        <f aca="false">(H213-#REF!)/#REF!</f>
        <v>#REF!</v>
      </c>
      <c r="J213" s="4" t="n">
        <v>3.42</v>
      </c>
      <c r="K213" s="4" t="e">
        <f aca="false">(J213-#REF!)/#REF!</f>
        <v>#REF!</v>
      </c>
      <c r="L213" s="1" t="n">
        <v>25</v>
      </c>
      <c r="M213" s="4" t="e">
        <f aca="false">(L213-#REF!)/#REF!</f>
        <v>#REF!</v>
      </c>
      <c r="N213" s="1" t="n">
        <v>35</v>
      </c>
      <c r="O213" s="4" t="e">
        <f aca="false">(N213-#REF!)/#REF!</f>
        <v>#REF!</v>
      </c>
      <c r="P213" s="1" t="n">
        <v>150</v>
      </c>
      <c r="Q213" s="4" t="e">
        <f aca="false">(P213-#REF!)/#REF!</f>
        <v>#REF!</v>
      </c>
      <c r="R213" s="1" t="n">
        <v>235</v>
      </c>
      <c r="S213" s="4" t="e">
        <f aca="false">(R213-#REF!)/#REF!</f>
        <v>#REF!</v>
      </c>
      <c r="T213" s="1" t="n">
        <f aca="false">R213-N213</f>
        <v>200</v>
      </c>
      <c r="U213" s="4" t="e">
        <f aca="false">(T213-#REF!)/#REF!</f>
        <v>#REF!</v>
      </c>
      <c r="V213" s="1" t="n">
        <v>628</v>
      </c>
      <c r="W213" s="4" t="e">
        <f aca="false">(V213-#REF!)/#REF!</f>
        <v>#REF!</v>
      </c>
      <c r="X213" s="28" t="n">
        <v>0.0178156028368794</v>
      </c>
      <c r="Y213" s="4" t="e">
        <f aca="false">(X213-#REF!)/#REF!</f>
        <v>#REF!</v>
      </c>
      <c r="Z213" s="27" t="n">
        <v>355.848998663111</v>
      </c>
      <c r="AA213" s="4" t="e">
        <f aca="false">(Z213-#REF!)/#REF!</f>
        <v>#REF!</v>
      </c>
      <c r="AB213" s="3" t="n">
        <v>528</v>
      </c>
      <c r="AC213" s="4" t="e">
        <f aca="false">(AB213-#REF!)/#REF!</f>
        <v>#REF!</v>
      </c>
      <c r="AD213" s="25" t="n">
        <v>38.525</v>
      </c>
      <c r="AE213" s="4" t="e">
        <f aca="false">(AD213-#REF!)/#REF!</f>
        <v>#REF!</v>
      </c>
      <c r="AF213" s="4" t="n">
        <v>0.21</v>
      </c>
      <c r="AG213" s="4"/>
    </row>
    <row r="214" customFormat="false" ht="14.25" hidden="false" customHeight="false" outlineLevel="0" collapsed="false">
      <c r="B214" s="1" t="n">
        <v>20</v>
      </c>
      <c r="C214" s="4" t="e">
        <f aca="false">(B214-#REF!)/#REF!</f>
        <v>#REF!</v>
      </c>
      <c r="D214" s="1" t="n">
        <v>2</v>
      </c>
      <c r="E214" s="4" t="e">
        <f aca="false">(D214-#REF!)/#REF!</f>
        <v>#REF!</v>
      </c>
      <c r="F214" s="2" t="n">
        <v>44</v>
      </c>
      <c r="G214" s="4" t="e">
        <f aca="false">(F214-#REF!)/#REF!</f>
        <v>#REF!</v>
      </c>
      <c r="H214" s="2" t="n">
        <v>59.2</v>
      </c>
      <c r="I214" s="4" t="e">
        <f aca="false">(H214-#REF!)/#REF!</f>
        <v>#REF!</v>
      </c>
      <c r="J214" s="4" t="n">
        <v>3.42</v>
      </c>
      <c r="K214" s="4" t="e">
        <f aca="false">(J214-#REF!)/#REF!</f>
        <v>#REF!</v>
      </c>
      <c r="L214" s="1" t="n">
        <v>25</v>
      </c>
      <c r="M214" s="4" t="e">
        <f aca="false">(L214-#REF!)/#REF!</f>
        <v>#REF!</v>
      </c>
      <c r="N214" s="1" t="n">
        <v>35</v>
      </c>
      <c r="O214" s="4" t="e">
        <f aca="false">(N214-#REF!)/#REF!</f>
        <v>#REF!</v>
      </c>
      <c r="P214" s="1" t="n">
        <v>150</v>
      </c>
      <c r="Q214" s="4" t="e">
        <f aca="false">(P214-#REF!)/#REF!</f>
        <v>#REF!</v>
      </c>
      <c r="R214" s="1" t="n">
        <v>235</v>
      </c>
      <c r="S214" s="4" t="e">
        <f aca="false">(R214-#REF!)/#REF!</f>
        <v>#REF!</v>
      </c>
      <c r="T214" s="1" t="n">
        <f aca="false">R214-N214</f>
        <v>200</v>
      </c>
      <c r="U214" s="4" t="e">
        <f aca="false">(T214-#REF!)/#REF!</f>
        <v>#REF!</v>
      </c>
      <c r="V214" s="1" t="n">
        <v>628</v>
      </c>
      <c r="W214" s="4" t="e">
        <f aca="false">(V214-#REF!)/#REF!</f>
        <v>#REF!</v>
      </c>
      <c r="X214" s="28" t="n">
        <v>0.0178156028368794</v>
      </c>
      <c r="Y214" s="4" t="e">
        <f aca="false">(X214-#REF!)/#REF!</f>
        <v>#REF!</v>
      </c>
      <c r="Z214" s="27" t="n">
        <v>377.093715001207</v>
      </c>
      <c r="AA214" s="4" t="e">
        <f aca="false">(Z214-#REF!)/#REF!</f>
        <v>#REF!</v>
      </c>
      <c r="AB214" s="3" t="n">
        <v>528</v>
      </c>
      <c r="AC214" s="4" t="e">
        <f aca="false">(AB214-#REF!)/#REF!</f>
        <v>#REF!</v>
      </c>
      <c r="AD214" s="25" t="n">
        <v>40.825</v>
      </c>
      <c r="AE214" s="4" t="e">
        <f aca="false">(AD214-#REF!)/#REF!</f>
        <v>#REF!</v>
      </c>
      <c r="AF214" s="4" t="n">
        <v>0.23</v>
      </c>
      <c r="AG214" s="4"/>
    </row>
    <row r="215" customFormat="false" ht="14.25" hidden="false" customHeight="false" outlineLevel="0" collapsed="false">
      <c r="B215" s="1" t="n">
        <v>20</v>
      </c>
      <c r="C215" s="4" t="e">
        <f aca="false">(B215-#REF!)/#REF!</f>
        <v>#REF!</v>
      </c>
      <c r="D215" s="1" t="n">
        <v>2</v>
      </c>
      <c r="E215" s="4" t="e">
        <f aca="false">(D215-#REF!)/#REF!</f>
        <v>#REF!</v>
      </c>
      <c r="F215" s="2" t="n">
        <v>44</v>
      </c>
      <c r="G215" s="4" t="e">
        <f aca="false">(F215-#REF!)/#REF!</f>
        <v>#REF!</v>
      </c>
      <c r="H215" s="2" t="n">
        <v>59.2</v>
      </c>
      <c r="I215" s="4" t="e">
        <f aca="false">(H215-#REF!)/#REF!</f>
        <v>#REF!</v>
      </c>
      <c r="J215" s="4" t="n">
        <v>3.42</v>
      </c>
      <c r="K215" s="4" t="e">
        <f aca="false">(J215-#REF!)/#REF!</f>
        <v>#REF!</v>
      </c>
      <c r="L215" s="1" t="n">
        <v>25</v>
      </c>
      <c r="M215" s="4" t="e">
        <f aca="false">(L215-#REF!)/#REF!</f>
        <v>#REF!</v>
      </c>
      <c r="N215" s="1" t="n">
        <v>35</v>
      </c>
      <c r="O215" s="4" t="e">
        <f aca="false">(N215-#REF!)/#REF!</f>
        <v>#REF!</v>
      </c>
      <c r="P215" s="1" t="n">
        <v>150</v>
      </c>
      <c r="Q215" s="4" t="e">
        <f aca="false">(P215-#REF!)/#REF!</f>
        <v>#REF!</v>
      </c>
      <c r="R215" s="1" t="n">
        <v>235</v>
      </c>
      <c r="S215" s="4" t="e">
        <f aca="false">(R215-#REF!)/#REF!</f>
        <v>#REF!</v>
      </c>
      <c r="T215" s="1" t="n">
        <f aca="false">R215-N215</f>
        <v>200</v>
      </c>
      <c r="U215" s="4" t="e">
        <f aca="false">(T215-#REF!)/#REF!</f>
        <v>#REF!</v>
      </c>
      <c r="V215" s="1" t="n">
        <v>628</v>
      </c>
      <c r="W215" s="4" t="e">
        <f aca="false">(V215-#REF!)/#REF!</f>
        <v>#REF!</v>
      </c>
      <c r="X215" s="28" t="n">
        <v>0.0178156028368794</v>
      </c>
      <c r="Y215" s="4" t="e">
        <f aca="false">(X215-#REF!)/#REF!</f>
        <v>#REF!</v>
      </c>
      <c r="Z215" s="27" t="n">
        <v>424.894326761923</v>
      </c>
      <c r="AA215" s="4" t="e">
        <f aca="false">(Z215-#REF!)/#REF!</f>
        <v>#REF!</v>
      </c>
      <c r="AB215" s="3" t="n">
        <v>528</v>
      </c>
      <c r="AC215" s="4" t="e">
        <f aca="false">(AB215-#REF!)/#REF!</f>
        <v>#REF!</v>
      </c>
      <c r="AD215" s="25" t="n">
        <v>46</v>
      </c>
      <c r="AE215" s="4" t="e">
        <f aca="false">(AD215-#REF!)/#REF!</f>
        <v>#REF!</v>
      </c>
      <c r="AF215" s="4" t="n">
        <v>0.25</v>
      </c>
      <c r="AG215" s="4"/>
    </row>
    <row r="216" customFormat="false" ht="14.25" hidden="false" customHeight="false" outlineLevel="0" collapsed="false">
      <c r="B216" s="1" t="n">
        <v>20</v>
      </c>
      <c r="C216" s="4" t="e">
        <f aca="false">(B216-#REF!)/#REF!</f>
        <v>#REF!</v>
      </c>
      <c r="D216" s="1" t="n">
        <v>2</v>
      </c>
      <c r="E216" s="4" t="e">
        <f aca="false">(D216-#REF!)/#REF!</f>
        <v>#REF!</v>
      </c>
      <c r="F216" s="2" t="n">
        <v>44</v>
      </c>
      <c r="G216" s="4" t="e">
        <f aca="false">(F216-#REF!)/#REF!</f>
        <v>#REF!</v>
      </c>
      <c r="H216" s="2" t="n">
        <v>59.2</v>
      </c>
      <c r="I216" s="4" t="e">
        <f aca="false">(H216-#REF!)/#REF!</f>
        <v>#REF!</v>
      </c>
      <c r="J216" s="4" t="n">
        <v>3.42</v>
      </c>
      <c r="K216" s="4" t="e">
        <f aca="false">(J216-#REF!)/#REF!</f>
        <v>#REF!</v>
      </c>
      <c r="L216" s="1" t="n">
        <v>25</v>
      </c>
      <c r="M216" s="4" t="e">
        <f aca="false">(L216-#REF!)/#REF!</f>
        <v>#REF!</v>
      </c>
      <c r="N216" s="1" t="n">
        <v>35</v>
      </c>
      <c r="O216" s="4" t="e">
        <f aca="false">(N216-#REF!)/#REF!</f>
        <v>#REF!</v>
      </c>
      <c r="P216" s="1" t="n">
        <v>150</v>
      </c>
      <c r="Q216" s="4" t="e">
        <f aca="false">(P216-#REF!)/#REF!</f>
        <v>#REF!</v>
      </c>
      <c r="R216" s="1" t="n">
        <v>235</v>
      </c>
      <c r="S216" s="4" t="e">
        <f aca="false">(R216-#REF!)/#REF!</f>
        <v>#REF!</v>
      </c>
      <c r="T216" s="1" t="n">
        <f aca="false">R216-N216</f>
        <v>200</v>
      </c>
      <c r="U216" s="4" t="e">
        <f aca="false">(T216-#REF!)/#REF!</f>
        <v>#REF!</v>
      </c>
      <c r="V216" s="1" t="n">
        <v>628</v>
      </c>
      <c r="W216" s="4" t="e">
        <f aca="false">(V216-#REF!)/#REF!</f>
        <v>#REF!</v>
      </c>
      <c r="X216" s="28" t="n">
        <v>0.0178156028368794</v>
      </c>
      <c r="Y216" s="4" t="e">
        <f aca="false">(X216-#REF!)/#REF!</f>
        <v>#REF!</v>
      </c>
      <c r="Z216" s="27" t="n">
        <v>525.80672936788</v>
      </c>
      <c r="AA216" s="4" t="e">
        <f aca="false">(Z216-#REF!)/#REF!</f>
        <v>#REF!</v>
      </c>
      <c r="AB216" s="3" t="n">
        <v>528</v>
      </c>
      <c r="AC216" s="4" t="e">
        <f aca="false">(AB216-#REF!)/#REF!</f>
        <v>#REF!</v>
      </c>
      <c r="AD216" s="25" t="n">
        <v>56.925</v>
      </c>
      <c r="AE216" s="4" t="e">
        <f aca="false">(AD216-#REF!)/#REF!</f>
        <v>#REF!</v>
      </c>
      <c r="AF216" s="4" t="n">
        <v>0.25</v>
      </c>
      <c r="AG216" s="4"/>
    </row>
    <row r="217" customFormat="false" ht="14.25" hidden="false" customHeight="false" outlineLevel="0" collapsed="false">
      <c r="A217" s="0" t="s">
        <v>68</v>
      </c>
      <c r="B217" s="1" t="n">
        <v>20</v>
      </c>
      <c r="C217" s="4" t="e">
        <f aca="false">(B217-#REF!)/#REF!</f>
        <v>#REF!</v>
      </c>
      <c r="D217" s="1" t="n">
        <v>3</v>
      </c>
      <c r="E217" s="4" t="e">
        <f aca="false">(D217-#REF!)/#REF!</f>
        <v>#REF!</v>
      </c>
      <c r="F217" s="2" t="n">
        <v>12</v>
      </c>
      <c r="G217" s="4" t="e">
        <f aca="false">(F217-#REF!)/#REF!</f>
        <v>#REF!</v>
      </c>
      <c r="H217" s="2" t="n">
        <v>59.2</v>
      </c>
      <c r="I217" s="4" t="e">
        <f aca="false">(H217-#REF!)/#REF!</f>
        <v>#REF!</v>
      </c>
      <c r="J217" s="4" t="n">
        <v>3.42</v>
      </c>
      <c r="K217" s="4" t="e">
        <f aca="false">(J217-#REF!)/#REF!</f>
        <v>#REF!</v>
      </c>
      <c r="L217" s="1" t="n">
        <v>25</v>
      </c>
      <c r="M217" s="4" t="e">
        <f aca="false">(L217-#REF!)/#REF!</f>
        <v>#REF!</v>
      </c>
      <c r="N217" s="1" t="n">
        <v>35</v>
      </c>
      <c r="O217" s="4" t="e">
        <f aca="false">(N217-#REF!)/#REF!</f>
        <v>#REF!</v>
      </c>
      <c r="P217" s="1" t="n">
        <v>150</v>
      </c>
      <c r="Q217" s="4" t="e">
        <f aca="false">(P217-#REF!)/#REF!</f>
        <v>#REF!</v>
      </c>
      <c r="R217" s="1" t="n">
        <v>235</v>
      </c>
      <c r="S217" s="4" t="e">
        <f aca="false">(R217-#REF!)/#REF!</f>
        <v>#REF!</v>
      </c>
      <c r="T217" s="1" t="n">
        <f aca="false">R217-N217</f>
        <v>200</v>
      </c>
      <c r="U217" s="4" t="e">
        <f aca="false">(T217-#REF!)/#REF!</f>
        <v>#REF!</v>
      </c>
      <c r="V217" s="1" t="n">
        <v>942</v>
      </c>
      <c r="W217" s="4" t="e">
        <f aca="false">(V217-#REF!)/#REF!</f>
        <v>#REF!</v>
      </c>
      <c r="X217" s="28" t="n">
        <v>0.0267234042553192</v>
      </c>
      <c r="Y217" s="4" t="e">
        <f aca="false">(X217-#REF!)/#REF!</f>
        <v>#REF!</v>
      </c>
      <c r="Z217" s="27" t="n">
        <v>246.921912945398</v>
      </c>
      <c r="AA217" s="4" t="e">
        <f aca="false">(Z217-#REF!)/#REF!</f>
        <v>#REF!</v>
      </c>
      <c r="AB217" s="3" t="n">
        <v>528</v>
      </c>
      <c r="AC217" s="4" t="e">
        <f aca="false">(AB217-#REF!)/#REF!</f>
        <v>#REF!</v>
      </c>
      <c r="AD217" s="25" t="n">
        <v>39.1</v>
      </c>
      <c r="AE217" s="4" t="e">
        <f aca="false">(AD217-#REF!)/#REF!</f>
        <v>#REF!</v>
      </c>
      <c r="AF217" s="4" t="n">
        <v>0.18</v>
      </c>
      <c r="AG217" s="4"/>
    </row>
    <row r="218" customFormat="false" ht="14.25" hidden="false" customHeight="false" outlineLevel="0" collapsed="false">
      <c r="B218" s="1" t="n">
        <v>20</v>
      </c>
      <c r="C218" s="4" t="e">
        <f aca="false">(B218-#REF!)/#REF!</f>
        <v>#REF!</v>
      </c>
      <c r="D218" s="1" t="n">
        <v>3</v>
      </c>
      <c r="E218" s="4" t="e">
        <f aca="false">(D218-#REF!)/#REF!</f>
        <v>#REF!</v>
      </c>
      <c r="F218" s="2" t="n">
        <v>12</v>
      </c>
      <c r="G218" s="4" t="e">
        <f aca="false">(F218-#REF!)/#REF!</f>
        <v>#REF!</v>
      </c>
      <c r="H218" s="2" t="n">
        <v>59.2</v>
      </c>
      <c r="I218" s="4" t="e">
        <f aca="false">(H218-#REF!)/#REF!</f>
        <v>#REF!</v>
      </c>
      <c r="J218" s="4" t="n">
        <v>3.42</v>
      </c>
      <c r="K218" s="4" t="e">
        <f aca="false">(J218-#REF!)/#REF!</f>
        <v>#REF!</v>
      </c>
      <c r="L218" s="1" t="n">
        <v>25</v>
      </c>
      <c r="M218" s="4" t="e">
        <f aca="false">(L218-#REF!)/#REF!</f>
        <v>#REF!</v>
      </c>
      <c r="N218" s="1" t="n">
        <v>35</v>
      </c>
      <c r="O218" s="4" t="e">
        <f aca="false">(N218-#REF!)/#REF!</f>
        <v>#REF!</v>
      </c>
      <c r="P218" s="1" t="n">
        <v>150</v>
      </c>
      <c r="Q218" s="4" t="e">
        <f aca="false">(P218-#REF!)/#REF!</f>
        <v>#REF!</v>
      </c>
      <c r="R218" s="1" t="n">
        <v>235</v>
      </c>
      <c r="S218" s="4" t="e">
        <f aca="false">(R218-#REF!)/#REF!</f>
        <v>#REF!</v>
      </c>
      <c r="T218" s="1" t="n">
        <f aca="false">R218-N218</f>
        <v>200</v>
      </c>
      <c r="U218" s="4" t="e">
        <f aca="false">(T218-#REF!)/#REF!</f>
        <v>#REF!</v>
      </c>
      <c r="V218" s="1" t="n">
        <v>942</v>
      </c>
      <c r="W218" s="4" t="e">
        <f aca="false">(V218-#REF!)/#REF!</f>
        <v>#REF!</v>
      </c>
      <c r="X218" s="28" t="n">
        <v>0.0267234042553192</v>
      </c>
      <c r="Y218" s="4" t="e">
        <f aca="false">(X218-#REF!)/#REF!</f>
        <v>#REF!</v>
      </c>
      <c r="Z218" s="27" t="n">
        <v>283.23395896678</v>
      </c>
      <c r="AA218" s="4" t="e">
        <f aca="false">(Z218-#REF!)/#REF!</f>
        <v>#REF!</v>
      </c>
      <c r="AB218" s="3" t="n">
        <v>528</v>
      </c>
      <c r="AC218" s="4" t="e">
        <f aca="false">(AB218-#REF!)/#REF!</f>
        <v>#REF!</v>
      </c>
      <c r="AD218" s="25" t="n">
        <v>44.85</v>
      </c>
      <c r="AE218" s="4" t="e">
        <f aca="false">(AD218-#REF!)/#REF!</f>
        <v>#REF!</v>
      </c>
      <c r="AF218" s="4" t="n">
        <v>0.19</v>
      </c>
      <c r="AG218" s="4"/>
    </row>
    <row r="219" customFormat="false" ht="14.25" hidden="false" customHeight="false" outlineLevel="0" collapsed="false">
      <c r="B219" s="1" t="n">
        <v>20</v>
      </c>
      <c r="C219" s="4" t="e">
        <f aca="false">(B219-#REF!)/#REF!</f>
        <v>#REF!</v>
      </c>
      <c r="D219" s="1" t="n">
        <v>3</v>
      </c>
      <c r="E219" s="4" t="e">
        <f aca="false">(D219-#REF!)/#REF!</f>
        <v>#REF!</v>
      </c>
      <c r="F219" s="2" t="n">
        <v>12</v>
      </c>
      <c r="G219" s="4" t="e">
        <f aca="false">(F219-#REF!)/#REF!</f>
        <v>#REF!</v>
      </c>
      <c r="H219" s="2" t="n">
        <v>59.2</v>
      </c>
      <c r="I219" s="4" t="e">
        <f aca="false">(H219-#REF!)/#REF!</f>
        <v>#REF!</v>
      </c>
      <c r="J219" s="4" t="n">
        <v>3.42</v>
      </c>
      <c r="K219" s="4" t="e">
        <f aca="false">(J219-#REF!)/#REF!</f>
        <v>#REF!</v>
      </c>
      <c r="L219" s="1" t="n">
        <v>25</v>
      </c>
      <c r="M219" s="4" t="e">
        <f aca="false">(L219-#REF!)/#REF!</f>
        <v>#REF!</v>
      </c>
      <c r="N219" s="1" t="n">
        <v>35</v>
      </c>
      <c r="O219" s="4" t="e">
        <f aca="false">(N219-#REF!)/#REF!</f>
        <v>#REF!</v>
      </c>
      <c r="P219" s="1" t="n">
        <v>150</v>
      </c>
      <c r="Q219" s="4" t="e">
        <f aca="false">(P219-#REF!)/#REF!</f>
        <v>#REF!</v>
      </c>
      <c r="R219" s="1" t="n">
        <v>235</v>
      </c>
      <c r="S219" s="4" t="e">
        <f aca="false">(R219-#REF!)/#REF!</f>
        <v>#REF!</v>
      </c>
      <c r="T219" s="1" t="n">
        <f aca="false">R219-N219</f>
        <v>200</v>
      </c>
      <c r="U219" s="4" t="e">
        <f aca="false">(T219-#REF!)/#REF!</f>
        <v>#REF!</v>
      </c>
      <c r="V219" s="1" t="n">
        <v>942</v>
      </c>
      <c r="W219" s="4" t="e">
        <f aca="false">(V219-#REF!)/#REF!</f>
        <v>#REF!</v>
      </c>
      <c r="X219" s="28" t="n">
        <v>0.0267234042553192</v>
      </c>
      <c r="Y219" s="4" t="e">
        <f aca="false">(X219-#REF!)/#REF!</f>
        <v>#REF!</v>
      </c>
      <c r="Z219" s="27" t="n">
        <v>315.914800386024</v>
      </c>
      <c r="AA219" s="4" t="e">
        <f aca="false">(Z219-#REF!)/#REF!</f>
        <v>#REF!</v>
      </c>
      <c r="AB219" s="3" t="n">
        <v>528</v>
      </c>
      <c r="AC219" s="4" t="e">
        <f aca="false">(AB219-#REF!)/#REF!</f>
        <v>#REF!</v>
      </c>
      <c r="AD219" s="25" t="n">
        <v>50.025</v>
      </c>
      <c r="AE219" s="4" t="e">
        <f aca="false">(AD219-#REF!)/#REF!</f>
        <v>#REF!</v>
      </c>
      <c r="AF219" s="4" t="n">
        <v>0.21</v>
      </c>
      <c r="AG219" s="4"/>
    </row>
    <row r="220" customFormat="false" ht="14.25" hidden="false" customHeight="false" outlineLevel="0" collapsed="false">
      <c r="B220" s="1" t="n">
        <v>20</v>
      </c>
      <c r="C220" s="4" t="e">
        <f aca="false">(B220-#REF!)/#REF!</f>
        <v>#REF!</v>
      </c>
      <c r="D220" s="1" t="n">
        <v>3</v>
      </c>
      <c r="E220" s="4" t="e">
        <f aca="false">(D220-#REF!)/#REF!</f>
        <v>#REF!</v>
      </c>
      <c r="F220" s="2" t="n">
        <v>12</v>
      </c>
      <c r="G220" s="4" t="e">
        <f aca="false">(F220-#REF!)/#REF!</f>
        <v>#REF!</v>
      </c>
      <c r="H220" s="2" t="n">
        <v>59.2</v>
      </c>
      <c r="I220" s="4" t="e">
        <f aca="false">(H220-#REF!)/#REF!</f>
        <v>#REF!</v>
      </c>
      <c r="J220" s="4" t="n">
        <v>3.42</v>
      </c>
      <c r="K220" s="4" t="e">
        <f aca="false">(J220-#REF!)/#REF!</f>
        <v>#REF!</v>
      </c>
      <c r="L220" s="1" t="n">
        <v>25</v>
      </c>
      <c r="M220" s="4" t="e">
        <f aca="false">(L220-#REF!)/#REF!</f>
        <v>#REF!</v>
      </c>
      <c r="N220" s="1" t="n">
        <v>35</v>
      </c>
      <c r="O220" s="4" t="e">
        <f aca="false">(N220-#REF!)/#REF!</f>
        <v>#REF!</v>
      </c>
      <c r="P220" s="1" t="n">
        <v>150</v>
      </c>
      <c r="Q220" s="4" t="e">
        <f aca="false">(P220-#REF!)/#REF!</f>
        <v>#REF!</v>
      </c>
      <c r="R220" s="1" t="n">
        <v>235</v>
      </c>
      <c r="S220" s="4" t="e">
        <f aca="false">(R220-#REF!)/#REF!</f>
        <v>#REF!</v>
      </c>
      <c r="T220" s="1" t="n">
        <f aca="false">R220-N220</f>
        <v>200</v>
      </c>
      <c r="U220" s="4" t="e">
        <f aca="false">(T220-#REF!)/#REF!</f>
        <v>#REF!</v>
      </c>
      <c r="V220" s="1" t="n">
        <v>942</v>
      </c>
      <c r="W220" s="4" t="e">
        <f aca="false">(V220-#REF!)/#REF!</f>
        <v>#REF!</v>
      </c>
      <c r="X220" s="28" t="n">
        <v>0.0267234042553192</v>
      </c>
      <c r="Y220" s="4" t="e">
        <f aca="false">(X220-#REF!)/#REF!</f>
        <v>#REF!</v>
      </c>
      <c r="Z220" s="27" t="n">
        <v>355.858051009545</v>
      </c>
      <c r="AA220" s="4" t="e">
        <f aca="false">(Z220-#REF!)/#REF!</f>
        <v>#REF!</v>
      </c>
      <c r="AB220" s="3" t="n">
        <v>528</v>
      </c>
      <c r="AC220" s="4" t="e">
        <f aca="false">(AB220-#REF!)/#REF!</f>
        <v>#REF!</v>
      </c>
      <c r="AD220" s="25" t="n">
        <v>56.35</v>
      </c>
      <c r="AE220" s="4" t="e">
        <f aca="false">(AD220-#REF!)/#REF!</f>
        <v>#REF!</v>
      </c>
      <c r="AF220" s="4" t="n">
        <v>0.23</v>
      </c>
      <c r="AG220" s="4"/>
    </row>
    <row r="221" customFormat="false" ht="14.25" hidden="false" customHeight="false" outlineLevel="0" collapsed="false">
      <c r="B221" s="1" t="n">
        <v>20</v>
      </c>
      <c r="C221" s="4" t="e">
        <f aca="false">(B221-#REF!)/#REF!</f>
        <v>#REF!</v>
      </c>
      <c r="D221" s="1" t="n">
        <v>3</v>
      </c>
      <c r="E221" s="4" t="e">
        <f aca="false">(D221-#REF!)/#REF!</f>
        <v>#REF!</v>
      </c>
      <c r="F221" s="2" t="n">
        <v>12</v>
      </c>
      <c r="G221" s="4" t="e">
        <f aca="false">(F221-#REF!)/#REF!</f>
        <v>#REF!</v>
      </c>
      <c r="H221" s="2" t="n">
        <v>59.2</v>
      </c>
      <c r="I221" s="4" t="e">
        <f aca="false">(H221-#REF!)/#REF!</f>
        <v>#REF!</v>
      </c>
      <c r="J221" s="4" t="n">
        <v>3.42</v>
      </c>
      <c r="K221" s="4" t="e">
        <f aca="false">(J221-#REF!)/#REF!</f>
        <v>#REF!</v>
      </c>
      <c r="L221" s="1" t="n">
        <v>25</v>
      </c>
      <c r="M221" s="4" t="e">
        <f aca="false">(L221-#REF!)/#REF!</f>
        <v>#REF!</v>
      </c>
      <c r="N221" s="1" t="n">
        <v>35</v>
      </c>
      <c r="O221" s="4" t="e">
        <f aca="false">(N221-#REF!)/#REF!</f>
        <v>#REF!</v>
      </c>
      <c r="P221" s="1" t="n">
        <v>150</v>
      </c>
      <c r="Q221" s="4" t="e">
        <f aca="false">(P221-#REF!)/#REF!</f>
        <v>#REF!</v>
      </c>
      <c r="R221" s="1" t="n">
        <v>235</v>
      </c>
      <c r="S221" s="4" t="e">
        <f aca="false">(R221-#REF!)/#REF!</f>
        <v>#REF!</v>
      </c>
      <c r="T221" s="1" t="n">
        <f aca="false">R221-N221</f>
        <v>200</v>
      </c>
      <c r="U221" s="4" t="e">
        <f aca="false">(T221-#REF!)/#REF!</f>
        <v>#REF!</v>
      </c>
      <c r="V221" s="1" t="n">
        <v>942</v>
      </c>
      <c r="W221" s="4" t="e">
        <f aca="false">(V221-#REF!)/#REF!</f>
        <v>#REF!</v>
      </c>
      <c r="X221" s="28" t="n">
        <v>0.0267234042553192</v>
      </c>
      <c r="Y221" s="4" t="e">
        <f aca="false">(X221-#REF!)/#REF!</f>
        <v>#REF!</v>
      </c>
      <c r="Z221" s="27" t="n">
        <v>395.801301633065</v>
      </c>
      <c r="AA221" s="4" t="e">
        <f aca="false">(Z221-#REF!)/#REF!</f>
        <v>#REF!</v>
      </c>
      <c r="AB221" s="3" t="n">
        <v>528</v>
      </c>
      <c r="AC221" s="4" t="e">
        <f aca="false">(AB221-#REF!)/#REF!</f>
        <v>#REF!</v>
      </c>
      <c r="AD221" s="25" t="n">
        <v>62.675</v>
      </c>
      <c r="AE221" s="4" t="e">
        <f aca="false">(AD221-#REF!)/#REF!</f>
        <v>#REF!</v>
      </c>
      <c r="AF221" s="4" t="n">
        <v>0.25</v>
      </c>
      <c r="AG221" s="4"/>
    </row>
    <row r="222" customFormat="false" ht="14.25" hidden="false" customHeight="false" outlineLevel="0" collapsed="false">
      <c r="B222" s="1" t="n">
        <v>20</v>
      </c>
      <c r="C222" s="4" t="e">
        <f aca="false">(B222-#REF!)/#REF!</f>
        <v>#REF!</v>
      </c>
      <c r="D222" s="1" t="n">
        <v>3</v>
      </c>
      <c r="E222" s="4" t="e">
        <f aca="false">(D222-#REF!)/#REF!</f>
        <v>#REF!</v>
      </c>
      <c r="F222" s="2" t="n">
        <v>12</v>
      </c>
      <c r="G222" s="4" t="e">
        <f aca="false">(F222-#REF!)/#REF!</f>
        <v>#REF!</v>
      </c>
      <c r="H222" s="2" t="n">
        <v>59.2</v>
      </c>
      <c r="I222" s="4" t="e">
        <f aca="false">(H222-#REF!)/#REF!</f>
        <v>#REF!</v>
      </c>
      <c r="J222" s="4" t="n">
        <v>3.42</v>
      </c>
      <c r="K222" s="4" t="e">
        <f aca="false">(J222-#REF!)/#REF!</f>
        <v>#REF!</v>
      </c>
      <c r="L222" s="1" t="n">
        <v>25</v>
      </c>
      <c r="M222" s="4" t="e">
        <f aca="false">(L222-#REF!)/#REF!</f>
        <v>#REF!</v>
      </c>
      <c r="N222" s="1" t="n">
        <v>35</v>
      </c>
      <c r="O222" s="4" t="e">
        <f aca="false">(N222-#REF!)/#REF!</f>
        <v>#REF!</v>
      </c>
      <c r="P222" s="1" t="n">
        <v>150</v>
      </c>
      <c r="Q222" s="4" t="e">
        <f aca="false">(P222-#REF!)/#REF!</f>
        <v>#REF!</v>
      </c>
      <c r="R222" s="1" t="n">
        <v>235</v>
      </c>
      <c r="S222" s="4" t="e">
        <f aca="false">(R222-#REF!)/#REF!</f>
        <v>#REF!</v>
      </c>
      <c r="T222" s="1" t="n">
        <f aca="false">R222-N222</f>
        <v>200</v>
      </c>
      <c r="U222" s="4" t="e">
        <f aca="false">(T222-#REF!)/#REF!</f>
        <v>#REF!</v>
      </c>
      <c r="V222" s="1" t="n">
        <v>942</v>
      </c>
      <c r="W222" s="4" t="e">
        <f aca="false">(V222-#REF!)/#REF!</f>
        <v>#REF!</v>
      </c>
      <c r="X222" s="28" t="n">
        <v>0.0267234042553192</v>
      </c>
      <c r="Y222" s="4" t="e">
        <f aca="false">(X222-#REF!)/#REF!</f>
        <v>#REF!</v>
      </c>
      <c r="Z222" s="27" t="n">
        <v>432.113347654447</v>
      </c>
      <c r="AA222" s="4" t="e">
        <f aca="false">(Z222-#REF!)/#REF!</f>
        <v>#REF!</v>
      </c>
      <c r="AB222" s="3" t="n">
        <v>528</v>
      </c>
      <c r="AC222" s="4" t="e">
        <f aca="false">(AB222-#REF!)/#REF!</f>
        <v>#REF!</v>
      </c>
      <c r="AD222" s="25" t="n">
        <v>68.425</v>
      </c>
      <c r="AE222" s="4" t="e">
        <f aca="false">(AD222-#REF!)/#REF!</f>
        <v>#REF!</v>
      </c>
      <c r="AF222" s="4" t="n">
        <v>0.29</v>
      </c>
      <c r="AG222" s="4"/>
    </row>
    <row r="223" customFormat="false" ht="14.25" hidden="false" customHeight="false" outlineLevel="0" collapsed="false">
      <c r="B223" s="1" t="n">
        <v>20</v>
      </c>
      <c r="C223" s="4" t="e">
        <f aca="false">(B223-#REF!)/#REF!</f>
        <v>#REF!</v>
      </c>
      <c r="D223" s="1" t="n">
        <v>3</v>
      </c>
      <c r="E223" s="4" t="e">
        <f aca="false">(D223-#REF!)/#REF!</f>
        <v>#REF!</v>
      </c>
      <c r="F223" s="2" t="n">
        <v>12</v>
      </c>
      <c r="G223" s="4" t="e">
        <f aca="false">(F223-#REF!)/#REF!</f>
        <v>#REF!</v>
      </c>
      <c r="H223" s="2" t="n">
        <v>59.2</v>
      </c>
      <c r="I223" s="4" t="e">
        <f aca="false">(H223-#REF!)/#REF!</f>
        <v>#REF!</v>
      </c>
      <c r="J223" s="4" t="n">
        <v>3.42</v>
      </c>
      <c r="K223" s="4" t="e">
        <f aca="false">(J223-#REF!)/#REF!</f>
        <v>#REF!</v>
      </c>
      <c r="L223" s="1" t="n">
        <v>25</v>
      </c>
      <c r="M223" s="4" t="e">
        <f aca="false">(L223-#REF!)/#REF!</f>
        <v>#REF!</v>
      </c>
      <c r="N223" s="1" t="n">
        <v>35</v>
      </c>
      <c r="O223" s="4" t="e">
        <f aca="false">(N223-#REF!)/#REF!</f>
        <v>#REF!</v>
      </c>
      <c r="P223" s="1" t="n">
        <v>150</v>
      </c>
      <c r="Q223" s="4" t="e">
        <f aca="false">(P223-#REF!)/#REF!</f>
        <v>#REF!</v>
      </c>
      <c r="R223" s="1" t="n">
        <v>235</v>
      </c>
      <c r="S223" s="4" t="e">
        <f aca="false">(R223-#REF!)/#REF!</f>
        <v>#REF!</v>
      </c>
      <c r="T223" s="1" t="n">
        <f aca="false">R223-N223</f>
        <v>200</v>
      </c>
      <c r="U223" s="4" t="e">
        <f aca="false">(T223-#REF!)/#REF!</f>
        <v>#REF!</v>
      </c>
      <c r="V223" s="1" t="n">
        <v>942</v>
      </c>
      <c r="W223" s="4" t="e">
        <f aca="false">(V223-#REF!)/#REF!</f>
        <v>#REF!</v>
      </c>
      <c r="X223" s="28" t="n">
        <v>0.0267234042553192</v>
      </c>
      <c r="Y223" s="4" t="e">
        <f aca="false">(X223-#REF!)/#REF!</f>
        <v>#REF!</v>
      </c>
      <c r="Z223" s="27" t="n">
        <v>468.425393675829</v>
      </c>
      <c r="AA223" s="4" t="e">
        <f aca="false">(Z223-#REF!)/#REF!</f>
        <v>#REF!</v>
      </c>
      <c r="AB223" s="3" t="n">
        <v>528</v>
      </c>
      <c r="AC223" s="4" t="e">
        <f aca="false">(AB223-#REF!)/#REF!</f>
        <v>#REF!</v>
      </c>
      <c r="AD223" s="25" t="n">
        <v>74.175</v>
      </c>
      <c r="AE223" s="4" t="e">
        <f aca="false">(AD223-#REF!)/#REF!</f>
        <v>#REF!</v>
      </c>
      <c r="AF223" s="4" t="n">
        <v>0.31</v>
      </c>
      <c r="AG223" s="4"/>
    </row>
    <row r="224" customFormat="false" ht="14.25" hidden="false" customHeight="false" outlineLevel="0" collapsed="false">
      <c r="B224" s="1" t="n">
        <v>20</v>
      </c>
      <c r="C224" s="4" t="e">
        <f aca="false">(B224-#REF!)/#REF!</f>
        <v>#REF!</v>
      </c>
      <c r="D224" s="1" t="n">
        <v>3</v>
      </c>
      <c r="E224" s="4" t="e">
        <f aca="false">(D224-#REF!)/#REF!</f>
        <v>#REF!</v>
      </c>
      <c r="F224" s="2" t="n">
        <v>12</v>
      </c>
      <c r="G224" s="4" t="e">
        <f aca="false">(F224-#REF!)/#REF!</f>
        <v>#REF!</v>
      </c>
      <c r="H224" s="2" t="n">
        <v>59.2</v>
      </c>
      <c r="I224" s="4" t="e">
        <f aca="false">(H224-#REF!)/#REF!</f>
        <v>#REF!</v>
      </c>
      <c r="J224" s="4" t="n">
        <v>3.42</v>
      </c>
      <c r="K224" s="4" t="e">
        <f aca="false">(J224-#REF!)/#REF!</f>
        <v>#REF!</v>
      </c>
      <c r="L224" s="1" t="n">
        <v>25</v>
      </c>
      <c r="M224" s="4" t="e">
        <f aca="false">(L224-#REF!)/#REF!</f>
        <v>#REF!</v>
      </c>
      <c r="N224" s="1" t="n">
        <v>35</v>
      </c>
      <c r="O224" s="4" t="e">
        <f aca="false">(N224-#REF!)/#REF!</f>
        <v>#REF!</v>
      </c>
      <c r="P224" s="1" t="n">
        <v>150</v>
      </c>
      <c r="Q224" s="4" t="e">
        <f aca="false">(P224-#REF!)/#REF!</f>
        <v>#REF!</v>
      </c>
      <c r="R224" s="1" t="n">
        <v>235</v>
      </c>
      <c r="S224" s="4" t="e">
        <f aca="false">(R224-#REF!)/#REF!</f>
        <v>#REF!</v>
      </c>
      <c r="T224" s="1" t="n">
        <f aca="false">R224-N224</f>
        <v>200</v>
      </c>
      <c r="U224" s="4" t="e">
        <f aca="false">(T224-#REF!)/#REF!</f>
        <v>#REF!</v>
      </c>
      <c r="V224" s="1" t="n">
        <v>942</v>
      </c>
      <c r="W224" s="4" t="e">
        <f aca="false">(V224-#REF!)/#REF!</f>
        <v>#REF!</v>
      </c>
      <c r="X224" s="28" t="n">
        <v>0.0267234042553192</v>
      </c>
      <c r="Y224" s="4" t="e">
        <f aca="false">(X224-#REF!)/#REF!</f>
        <v>#REF!</v>
      </c>
      <c r="Z224" s="27" t="n">
        <v>501.106235095073</v>
      </c>
      <c r="AA224" s="4" t="e">
        <f aca="false">(Z224-#REF!)/#REF!</f>
        <v>#REF!</v>
      </c>
      <c r="AB224" s="3" t="n">
        <v>528</v>
      </c>
      <c r="AC224" s="4" t="e">
        <f aca="false">(AB224-#REF!)/#REF!</f>
        <v>#REF!</v>
      </c>
      <c r="AD224" s="25" t="n">
        <v>79.35</v>
      </c>
      <c r="AE224" s="4" t="e">
        <f aca="false">(AD224-#REF!)/#REF!</f>
        <v>#REF!</v>
      </c>
      <c r="AF224" s="4" t="n">
        <v>0.37</v>
      </c>
      <c r="AG224" s="4"/>
    </row>
    <row r="225" customFormat="false" ht="14.25" hidden="false" customHeight="false" outlineLevel="0" collapsed="false">
      <c r="A225" s="0" t="s">
        <v>69</v>
      </c>
      <c r="B225" s="1" t="n">
        <v>16</v>
      </c>
      <c r="C225" s="4" t="e">
        <f aca="false">(B225-#REF!)/#REF!</f>
        <v>#REF!</v>
      </c>
      <c r="D225" s="1" t="n">
        <v>2</v>
      </c>
      <c r="E225" s="4" t="e">
        <f aca="false">(D225-#REF!)/#REF!</f>
        <v>#REF!</v>
      </c>
      <c r="F225" s="2" t="n">
        <v>52</v>
      </c>
      <c r="G225" s="4" t="e">
        <f aca="false">(F225-#REF!)/#REF!</f>
        <v>#REF!</v>
      </c>
      <c r="H225" s="2" t="n">
        <v>62.4</v>
      </c>
      <c r="I225" s="4" t="e">
        <f aca="false">(H225-#REF!)/#REF!</f>
        <v>#REF!</v>
      </c>
      <c r="J225" s="4" t="n">
        <v>2.98</v>
      </c>
      <c r="K225" s="4" t="e">
        <f aca="false">(J225-#REF!)/#REF!</f>
        <v>#REF!</v>
      </c>
      <c r="L225" s="1" t="n">
        <v>27</v>
      </c>
      <c r="M225" s="4" t="e">
        <f aca="false">(L225-#REF!)/#REF!</f>
        <v>#REF!</v>
      </c>
      <c r="N225" s="1" t="n">
        <v>35</v>
      </c>
      <c r="O225" s="4" t="e">
        <f aca="false">(N225-#REF!)/#REF!</f>
        <v>#REF!</v>
      </c>
      <c r="P225" s="1" t="n">
        <v>150</v>
      </c>
      <c r="Q225" s="4" t="e">
        <f aca="false">(P225-#REF!)/#REF!</f>
        <v>#REF!</v>
      </c>
      <c r="R225" s="1" t="n">
        <v>235</v>
      </c>
      <c r="S225" s="4" t="e">
        <f aca="false">(R225-#REF!)/#REF!</f>
        <v>#REF!</v>
      </c>
      <c r="T225" s="1" t="n">
        <f aca="false">R225-N225</f>
        <v>200</v>
      </c>
      <c r="U225" s="4" t="e">
        <f aca="false">(T225-#REF!)/#REF!</f>
        <v>#REF!</v>
      </c>
      <c r="V225" s="1" t="n">
        <v>402</v>
      </c>
      <c r="W225" s="4" t="e">
        <f aca="false">(V225-#REF!)/#REF!</f>
        <v>#REF!</v>
      </c>
      <c r="X225" s="28" t="n">
        <v>0.0114042553191489</v>
      </c>
      <c r="Y225" s="4" t="e">
        <f aca="false">(X225-#REF!)/#REF!</f>
        <v>#REF!</v>
      </c>
      <c r="Z225" s="27" t="n">
        <v>370.747284048733</v>
      </c>
      <c r="AA225" s="4" t="e">
        <f aca="false">(Z225-#REF!)/#REF!</f>
        <v>#REF!</v>
      </c>
      <c r="AB225" s="3" t="n">
        <v>528</v>
      </c>
      <c r="AC225" s="4" t="e">
        <f aca="false">(AB225-#REF!)/#REF!</f>
        <v>#REF!</v>
      </c>
      <c r="AD225" s="25" t="n">
        <v>26.45</v>
      </c>
      <c r="AE225" s="4" t="e">
        <f aca="false">(AD225-#REF!)/#REF!</f>
        <v>#REF!</v>
      </c>
      <c r="AF225" s="4" t="n">
        <v>0.16</v>
      </c>
      <c r="AG225" s="4"/>
    </row>
    <row r="226" customFormat="false" ht="14.25" hidden="false" customHeight="false" outlineLevel="0" collapsed="false">
      <c r="B226" s="1" t="n">
        <v>16</v>
      </c>
      <c r="C226" s="4" t="e">
        <f aca="false">(B226-#REF!)/#REF!</f>
        <v>#REF!</v>
      </c>
      <c r="D226" s="1" t="n">
        <v>2</v>
      </c>
      <c r="E226" s="4" t="e">
        <f aca="false">(D226-#REF!)/#REF!</f>
        <v>#REF!</v>
      </c>
      <c r="F226" s="2" t="n">
        <v>52</v>
      </c>
      <c r="G226" s="4" t="e">
        <f aca="false">(F226-#REF!)/#REF!</f>
        <v>#REF!</v>
      </c>
      <c r="H226" s="2" t="n">
        <v>62.4</v>
      </c>
      <c r="I226" s="4" t="e">
        <f aca="false">(H226-#REF!)/#REF!</f>
        <v>#REF!</v>
      </c>
      <c r="J226" s="4" t="n">
        <v>2.98</v>
      </c>
      <c r="K226" s="4" t="e">
        <f aca="false">(J226-#REF!)/#REF!</f>
        <v>#REF!</v>
      </c>
      <c r="L226" s="1" t="n">
        <v>27</v>
      </c>
      <c r="M226" s="4" t="e">
        <f aca="false">(L226-#REF!)/#REF!</f>
        <v>#REF!</v>
      </c>
      <c r="N226" s="1" t="n">
        <v>35</v>
      </c>
      <c r="O226" s="4" t="e">
        <f aca="false">(N226-#REF!)/#REF!</f>
        <v>#REF!</v>
      </c>
      <c r="P226" s="1" t="n">
        <v>150</v>
      </c>
      <c r="Q226" s="4" t="e">
        <f aca="false">(P226-#REF!)/#REF!</f>
        <v>#REF!</v>
      </c>
      <c r="R226" s="1" t="n">
        <v>235</v>
      </c>
      <c r="S226" s="4" t="e">
        <f aca="false">(R226-#REF!)/#REF!</f>
        <v>#REF!</v>
      </c>
      <c r="T226" s="1" t="n">
        <f aca="false">R226-N226</f>
        <v>200</v>
      </c>
      <c r="U226" s="4" t="e">
        <f aca="false">(T226-#REF!)/#REF!</f>
        <v>#REF!</v>
      </c>
      <c r="V226" s="1" t="n">
        <v>402</v>
      </c>
      <c r="W226" s="4" t="e">
        <f aca="false">(V226-#REF!)/#REF!</f>
        <v>#REF!</v>
      </c>
      <c r="X226" s="28" t="n">
        <v>0.0114042553191489</v>
      </c>
      <c r="Y226" s="4" t="e">
        <f aca="false">(X226-#REF!)/#REF!</f>
        <v>#REF!</v>
      </c>
      <c r="Z226" s="27" t="n">
        <v>443.284796145224</v>
      </c>
      <c r="AA226" s="4" t="e">
        <f aca="false">(Z226-#REF!)/#REF!</f>
        <v>#REF!</v>
      </c>
      <c r="AB226" s="3" t="n">
        <v>528</v>
      </c>
      <c r="AC226" s="4" t="e">
        <f aca="false">(AB226-#REF!)/#REF!</f>
        <v>#REF!</v>
      </c>
      <c r="AD226" s="25" t="n">
        <v>31.625</v>
      </c>
      <c r="AE226" s="4" t="e">
        <f aca="false">(AD226-#REF!)/#REF!</f>
        <v>#REF!</v>
      </c>
      <c r="AF226" s="4" t="n">
        <v>0.2</v>
      </c>
      <c r="AG226" s="4"/>
    </row>
    <row r="227" customFormat="false" ht="14.25" hidden="false" customHeight="false" outlineLevel="0" collapsed="false">
      <c r="B227" s="1" t="n">
        <v>16</v>
      </c>
      <c r="C227" s="4" t="e">
        <f aca="false">(B227-#REF!)/#REF!</f>
        <v>#REF!</v>
      </c>
      <c r="D227" s="1" t="n">
        <v>2</v>
      </c>
      <c r="E227" s="4" t="e">
        <f aca="false">(D227-#REF!)/#REF!</f>
        <v>#REF!</v>
      </c>
      <c r="F227" s="2" t="n">
        <v>52</v>
      </c>
      <c r="G227" s="4" t="e">
        <f aca="false">(F227-#REF!)/#REF!</f>
        <v>#REF!</v>
      </c>
      <c r="H227" s="2" t="n">
        <v>62.4</v>
      </c>
      <c r="I227" s="4" t="e">
        <f aca="false">(H227-#REF!)/#REF!</f>
        <v>#REF!</v>
      </c>
      <c r="J227" s="4" t="n">
        <v>2.98</v>
      </c>
      <c r="K227" s="4" t="e">
        <f aca="false">(J227-#REF!)/#REF!</f>
        <v>#REF!</v>
      </c>
      <c r="L227" s="1" t="n">
        <v>27</v>
      </c>
      <c r="M227" s="4" t="e">
        <f aca="false">(L227-#REF!)/#REF!</f>
        <v>#REF!</v>
      </c>
      <c r="N227" s="1" t="n">
        <v>35</v>
      </c>
      <c r="O227" s="4" t="e">
        <f aca="false">(N227-#REF!)/#REF!</f>
        <v>#REF!</v>
      </c>
      <c r="P227" s="1" t="n">
        <v>150</v>
      </c>
      <c r="Q227" s="4" t="e">
        <f aca="false">(P227-#REF!)/#REF!</f>
        <v>#REF!</v>
      </c>
      <c r="R227" s="1" t="n">
        <v>235</v>
      </c>
      <c r="S227" s="4" t="e">
        <f aca="false">(R227-#REF!)/#REF!</f>
        <v>#REF!</v>
      </c>
      <c r="T227" s="1" t="n">
        <f aca="false">R227-N227</f>
        <v>200</v>
      </c>
      <c r="U227" s="4" t="e">
        <f aca="false">(T227-#REF!)/#REF!</f>
        <v>#REF!</v>
      </c>
      <c r="V227" s="1" t="n">
        <v>402</v>
      </c>
      <c r="W227" s="4" t="e">
        <f aca="false">(V227-#REF!)/#REF!</f>
        <v>#REF!</v>
      </c>
      <c r="X227" s="28" t="n">
        <v>0.0114042553191489</v>
      </c>
      <c r="Y227" s="4" t="e">
        <f aca="false">(X227-#REF!)/#REF!</f>
        <v>#REF!</v>
      </c>
      <c r="Z227" s="27" t="n">
        <v>523.882031807992</v>
      </c>
      <c r="AA227" s="4" t="e">
        <f aca="false">(Z227-#REF!)/#REF!</f>
        <v>#REF!</v>
      </c>
      <c r="AB227" s="3" t="n">
        <v>528</v>
      </c>
      <c r="AC227" s="4" t="e">
        <f aca="false">(AB227-#REF!)/#REF!</f>
        <v>#REF!</v>
      </c>
      <c r="AD227" s="25" t="n">
        <v>37.375</v>
      </c>
      <c r="AE227" s="4" t="e">
        <f aca="false">(AD227-#REF!)/#REF!</f>
        <v>#REF!</v>
      </c>
      <c r="AF227" s="4" t="n">
        <v>0.26</v>
      </c>
      <c r="AG227" s="4"/>
    </row>
    <row r="228" customFormat="false" ht="14.25" hidden="false" customHeight="false" outlineLevel="0" collapsed="false">
      <c r="A228" s="0" t="s">
        <v>70</v>
      </c>
      <c r="B228" s="1" t="n">
        <v>20</v>
      </c>
      <c r="C228" s="4" t="e">
        <f aca="false">(B228-#REF!)/#REF!</f>
        <v>#REF!</v>
      </c>
      <c r="D228" s="1" t="n">
        <v>2</v>
      </c>
      <c r="E228" s="4" t="e">
        <f aca="false">(D228-#REF!)/#REF!</f>
        <v>#REF!</v>
      </c>
      <c r="F228" s="2" t="n">
        <v>44</v>
      </c>
      <c r="G228" s="4" t="e">
        <f aca="false">(F228-#REF!)/#REF!</f>
        <v>#REF!</v>
      </c>
      <c r="H228" s="2" t="n">
        <v>62.4</v>
      </c>
      <c r="I228" s="4" t="e">
        <f aca="false">(H228-#REF!)/#REF!</f>
        <v>#REF!</v>
      </c>
      <c r="J228" s="4" t="n">
        <v>2.98</v>
      </c>
      <c r="K228" s="4" t="e">
        <f aca="false">(J228-#REF!)/#REF!</f>
        <v>#REF!</v>
      </c>
      <c r="L228" s="1" t="n">
        <v>25</v>
      </c>
      <c r="M228" s="4" t="e">
        <f aca="false">(L228-#REF!)/#REF!</f>
        <v>#REF!</v>
      </c>
      <c r="N228" s="1" t="n">
        <v>35</v>
      </c>
      <c r="O228" s="4" t="e">
        <f aca="false">(N228-#REF!)/#REF!</f>
        <v>#REF!</v>
      </c>
      <c r="P228" s="1" t="n">
        <v>150</v>
      </c>
      <c r="Q228" s="4" t="e">
        <f aca="false">(P228-#REF!)/#REF!</f>
        <v>#REF!</v>
      </c>
      <c r="R228" s="1" t="n">
        <v>235</v>
      </c>
      <c r="S228" s="4" t="e">
        <f aca="false">(R228-#REF!)/#REF!</f>
        <v>#REF!</v>
      </c>
      <c r="T228" s="1" t="n">
        <f aca="false">R228-N228</f>
        <v>200</v>
      </c>
      <c r="U228" s="4" t="e">
        <f aca="false">(T228-#REF!)/#REF!</f>
        <v>#REF!</v>
      </c>
      <c r="V228" s="1" t="n">
        <v>628</v>
      </c>
      <c r="W228" s="4" t="e">
        <f aca="false">(V228-#REF!)/#REF!</f>
        <v>#REF!</v>
      </c>
      <c r="X228" s="28" t="n">
        <v>0.0178156028368794</v>
      </c>
      <c r="Y228" s="4" t="e">
        <f aca="false">(X228-#REF!)/#REF!</f>
        <v>#REF!</v>
      </c>
      <c r="Z228" s="27" t="n">
        <v>264.280094309474</v>
      </c>
      <c r="AA228" s="4" t="e">
        <f aca="false">(Z228-#REF!)/#REF!</f>
        <v>#REF!</v>
      </c>
      <c r="AB228" s="3" t="n">
        <v>528</v>
      </c>
      <c r="AC228" s="4" t="e">
        <f aca="false">(AB228-#REF!)/#REF!</f>
        <v>#REF!</v>
      </c>
      <c r="AD228" s="25" t="n">
        <v>28.75</v>
      </c>
      <c r="AE228" s="4" t="e">
        <f aca="false">(AD228-#REF!)/#REF!</f>
        <v>#REF!</v>
      </c>
      <c r="AF228" s="4" t="n">
        <v>0.17</v>
      </c>
      <c r="AG228" s="4"/>
    </row>
    <row r="229" customFormat="false" ht="14.25" hidden="false" customHeight="false" outlineLevel="0" collapsed="false">
      <c r="B229" s="1" t="n">
        <v>20</v>
      </c>
      <c r="C229" s="4" t="e">
        <f aca="false">(B229-#REF!)/#REF!</f>
        <v>#REF!</v>
      </c>
      <c r="D229" s="1" t="n">
        <v>2</v>
      </c>
      <c r="E229" s="4" t="e">
        <f aca="false">(D229-#REF!)/#REF!</f>
        <v>#REF!</v>
      </c>
      <c r="F229" s="2" t="n">
        <v>44</v>
      </c>
      <c r="G229" s="4" t="e">
        <f aca="false">(F229-#REF!)/#REF!</f>
        <v>#REF!</v>
      </c>
      <c r="H229" s="2" t="n">
        <v>62.4</v>
      </c>
      <c r="I229" s="4" t="e">
        <f aca="false">(H229-#REF!)/#REF!</f>
        <v>#REF!</v>
      </c>
      <c r="J229" s="4" t="n">
        <v>2.98</v>
      </c>
      <c r="K229" s="4" t="e">
        <f aca="false">(J229-#REF!)/#REF!</f>
        <v>#REF!</v>
      </c>
      <c r="L229" s="1" t="n">
        <v>25</v>
      </c>
      <c r="M229" s="4" t="e">
        <f aca="false">(L229-#REF!)/#REF!</f>
        <v>#REF!</v>
      </c>
      <c r="N229" s="1" t="n">
        <v>35</v>
      </c>
      <c r="O229" s="4" t="e">
        <f aca="false">(N229-#REF!)/#REF!</f>
        <v>#REF!</v>
      </c>
      <c r="P229" s="1" t="n">
        <v>150</v>
      </c>
      <c r="Q229" s="4" t="e">
        <f aca="false">(P229-#REF!)/#REF!</f>
        <v>#REF!</v>
      </c>
      <c r="R229" s="1" t="n">
        <v>235</v>
      </c>
      <c r="S229" s="4" t="e">
        <f aca="false">(R229-#REF!)/#REF!</f>
        <v>#REF!</v>
      </c>
      <c r="T229" s="1" t="n">
        <f aca="false">R229-N229</f>
        <v>200</v>
      </c>
      <c r="U229" s="4" t="e">
        <f aca="false">(T229-#REF!)/#REF!</f>
        <v>#REF!</v>
      </c>
      <c r="V229" s="1" t="n">
        <v>628</v>
      </c>
      <c r="W229" s="4" t="e">
        <f aca="false">(V229-#REF!)/#REF!</f>
        <v>#REF!</v>
      </c>
      <c r="X229" s="28" t="n">
        <v>0.0178156028368794</v>
      </c>
      <c r="Y229" s="4" t="e">
        <f aca="false">(X229-#REF!)/#REF!</f>
        <v>#REF!</v>
      </c>
      <c r="Z229" s="27" t="n">
        <v>301.2793075128</v>
      </c>
      <c r="AA229" s="4" t="e">
        <f aca="false">(Z229-#REF!)/#REF!</f>
        <v>#REF!</v>
      </c>
      <c r="AB229" s="3" t="n">
        <v>528</v>
      </c>
      <c r="AC229" s="4" t="e">
        <f aca="false">(AB229-#REF!)/#REF!</f>
        <v>#REF!</v>
      </c>
      <c r="AD229" s="25" t="n">
        <v>32.775</v>
      </c>
      <c r="AE229" s="4" t="e">
        <f aca="false">(AD229-#REF!)/#REF!</f>
        <v>#REF!</v>
      </c>
      <c r="AF229" s="4" t="n">
        <v>0.19</v>
      </c>
      <c r="AG229" s="4"/>
    </row>
    <row r="230" customFormat="false" ht="14.25" hidden="false" customHeight="false" outlineLevel="0" collapsed="false">
      <c r="B230" s="1" t="n">
        <v>20</v>
      </c>
      <c r="C230" s="4" t="e">
        <f aca="false">(B230-#REF!)/#REF!</f>
        <v>#REF!</v>
      </c>
      <c r="D230" s="1" t="n">
        <v>2</v>
      </c>
      <c r="E230" s="4" t="e">
        <f aca="false">(D230-#REF!)/#REF!</f>
        <v>#REF!</v>
      </c>
      <c r="F230" s="2" t="n">
        <v>44</v>
      </c>
      <c r="G230" s="4" t="e">
        <f aca="false">(F230-#REF!)/#REF!</f>
        <v>#REF!</v>
      </c>
      <c r="H230" s="2" t="n">
        <v>62.4</v>
      </c>
      <c r="I230" s="4" t="e">
        <f aca="false">(H230-#REF!)/#REF!</f>
        <v>#REF!</v>
      </c>
      <c r="J230" s="4" t="n">
        <v>2.98</v>
      </c>
      <c r="K230" s="4" t="e">
        <f aca="false">(J230-#REF!)/#REF!</f>
        <v>#REF!</v>
      </c>
      <c r="L230" s="1" t="n">
        <v>25</v>
      </c>
      <c r="M230" s="4" t="e">
        <f aca="false">(L230-#REF!)/#REF!</f>
        <v>#REF!</v>
      </c>
      <c r="N230" s="1" t="n">
        <v>35</v>
      </c>
      <c r="O230" s="4" t="e">
        <f aca="false">(N230-#REF!)/#REF!</f>
        <v>#REF!</v>
      </c>
      <c r="P230" s="1" t="n">
        <v>150</v>
      </c>
      <c r="Q230" s="4" t="e">
        <f aca="false">(P230-#REF!)/#REF!</f>
        <v>#REF!</v>
      </c>
      <c r="R230" s="1" t="n">
        <v>235</v>
      </c>
      <c r="S230" s="4" t="e">
        <f aca="false">(R230-#REF!)/#REF!</f>
        <v>#REF!</v>
      </c>
      <c r="T230" s="1" t="n">
        <f aca="false">R230-N230</f>
        <v>200</v>
      </c>
      <c r="U230" s="4" t="e">
        <f aca="false">(T230-#REF!)/#REF!</f>
        <v>#REF!</v>
      </c>
      <c r="V230" s="1" t="n">
        <v>628</v>
      </c>
      <c r="W230" s="4" t="e">
        <f aca="false">(V230-#REF!)/#REF!</f>
        <v>#REF!</v>
      </c>
      <c r="X230" s="28" t="n">
        <v>0.0178156028368794</v>
      </c>
      <c r="Y230" s="4" t="e">
        <f aca="false">(X230-#REF!)/#REF!</f>
        <v>#REF!</v>
      </c>
      <c r="Z230" s="27" t="n">
        <v>348.849724488505</v>
      </c>
      <c r="AA230" s="4" t="e">
        <f aca="false">(Z230-#REF!)/#REF!</f>
        <v>#REF!</v>
      </c>
      <c r="AB230" s="3" t="n">
        <v>528</v>
      </c>
      <c r="AC230" s="4" t="e">
        <f aca="false">(AB230-#REF!)/#REF!</f>
        <v>#REF!</v>
      </c>
      <c r="AD230" s="25" t="n">
        <v>37.95</v>
      </c>
      <c r="AE230" s="4" t="e">
        <f aca="false">(AD230-#REF!)/#REF!</f>
        <v>#REF!</v>
      </c>
      <c r="AF230" s="4" t="n">
        <v>0.23</v>
      </c>
      <c r="AG230" s="4"/>
    </row>
    <row r="231" customFormat="false" ht="14.25" hidden="false" customHeight="false" outlineLevel="0" collapsed="false">
      <c r="B231" s="1" t="n">
        <v>20</v>
      </c>
      <c r="C231" s="4" t="e">
        <f aca="false">(B231-#REF!)/#REF!</f>
        <v>#REF!</v>
      </c>
      <c r="D231" s="1" t="n">
        <v>2</v>
      </c>
      <c r="E231" s="4" t="e">
        <f aca="false">(D231-#REF!)/#REF!</f>
        <v>#REF!</v>
      </c>
      <c r="F231" s="2" t="n">
        <v>44</v>
      </c>
      <c r="G231" s="4" t="e">
        <f aca="false">(F231-#REF!)/#REF!</f>
        <v>#REF!</v>
      </c>
      <c r="H231" s="2" t="n">
        <v>62.4</v>
      </c>
      <c r="I231" s="4" t="e">
        <f aca="false">(H231-#REF!)/#REF!</f>
        <v>#REF!</v>
      </c>
      <c r="J231" s="4" t="n">
        <v>2.98</v>
      </c>
      <c r="K231" s="4" t="e">
        <f aca="false">(J231-#REF!)/#REF!</f>
        <v>#REF!</v>
      </c>
      <c r="L231" s="1" t="n">
        <v>25</v>
      </c>
      <c r="M231" s="4" t="e">
        <f aca="false">(L231-#REF!)/#REF!</f>
        <v>#REF!</v>
      </c>
      <c r="N231" s="1" t="n">
        <v>35</v>
      </c>
      <c r="O231" s="4" t="e">
        <f aca="false">(N231-#REF!)/#REF!</f>
        <v>#REF!</v>
      </c>
      <c r="P231" s="1" t="n">
        <v>150</v>
      </c>
      <c r="Q231" s="4" t="e">
        <f aca="false">(P231-#REF!)/#REF!</f>
        <v>#REF!</v>
      </c>
      <c r="R231" s="1" t="n">
        <v>235</v>
      </c>
      <c r="S231" s="4" t="e">
        <f aca="false">(R231-#REF!)/#REF!</f>
        <v>#REF!</v>
      </c>
      <c r="T231" s="1" t="n">
        <f aca="false">R231-N231</f>
        <v>200</v>
      </c>
      <c r="U231" s="4" t="e">
        <f aca="false">(T231-#REF!)/#REF!</f>
        <v>#REF!</v>
      </c>
      <c r="V231" s="1" t="n">
        <v>628</v>
      </c>
      <c r="W231" s="4" t="e">
        <f aca="false">(V231-#REF!)/#REF!</f>
        <v>#REF!</v>
      </c>
      <c r="X231" s="28" t="n">
        <v>0.0178156028368794</v>
      </c>
      <c r="Y231" s="4" t="e">
        <f aca="false">(X231-#REF!)/#REF!</f>
        <v>#REF!</v>
      </c>
      <c r="Z231" s="27" t="n">
        <v>369.992132033263</v>
      </c>
      <c r="AA231" s="4" t="e">
        <f aca="false">(Z231-#REF!)/#REF!</f>
        <v>#REF!</v>
      </c>
      <c r="AB231" s="3" t="n">
        <v>528</v>
      </c>
      <c r="AC231" s="4" t="e">
        <f aca="false">(AB231-#REF!)/#REF!</f>
        <v>#REF!</v>
      </c>
      <c r="AD231" s="25" t="n">
        <v>40.25</v>
      </c>
      <c r="AE231" s="4" t="e">
        <f aca="false">(AD231-#REF!)/#REF!</f>
        <v>#REF!</v>
      </c>
      <c r="AF231" s="4" t="n">
        <v>0.25</v>
      </c>
      <c r="AG231" s="4"/>
    </row>
    <row r="232" customFormat="false" ht="14.25" hidden="false" customHeight="false" outlineLevel="0" collapsed="false">
      <c r="B232" s="1" t="n">
        <v>20</v>
      </c>
      <c r="C232" s="4" t="e">
        <f aca="false">(B232-#REF!)/#REF!</f>
        <v>#REF!</v>
      </c>
      <c r="D232" s="1" t="n">
        <v>2</v>
      </c>
      <c r="E232" s="4" t="e">
        <f aca="false">(D232-#REF!)/#REF!</f>
        <v>#REF!</v>
      </c>
      <c r="F232" s="2" t="n">
        <v>44</v>
      </c>
      <c r="G232" s="4" t="e">
        <f aca="false">(F232-#REF!)/#REF!</f>
        <v>#REF!</v>
      </c>
      <c r="H232" s="2" t="n">
        <v>62.4</v>
      </c>
      <c r="I232" s="4" t="e">
        <f aca="false">(H232-#REF!)/#REF!</f>
        <v>#REF!</v>
      </c>
      <c r="J232" s="4" t="n">
        <v>2.98</v>
      </c>
      <c r="K232" s="4" t="e">
        <f aca="false">(J232-#REF!)/#REF!</f>
        <v>#REF!</v>
      </c>
      <c r="L232" s="1" t="n">
        <v>25</v>
      </c>
      <c r="M232" s="4" t="e">
        <f aca="false">(L232-#REF!)/#REF!</f>
        <v>#REF!</v>
      </c>
      <c r="N232" s="1" t="n">
        <v>35</v>
      </c>
      <c r="O232" s="4" t="e">
        <f aca="false">(N232-#REF!)/#REF!</f>
        <v>#REF!</v>
      </c>
      <c r="P232" s="1" t="n">
        <v>150</v>
      </c>
      <c r="Q232" s="4" t="e">
        <f aca="false">(P232-#REF!)/#REF!</f>
        <v>#REF!</v>
      </c>
      <c r="R232" s="1" t="n">
        <v>235</v>
      </c>
      <c r="S232" s="4" t="e">
        <f aca="false">(R232-#REF!)/#REF!</f>
        <v>#REF!</v>
      </c>
      <c r="T232" s="1" t="n">
        <f aca="false">R232-N232</f>
        <v>200</v>
      </c>
      <c r="U232" s="4" t="e">
        <f aca="false">(T232-#REF!)/#REF!</f>
        <v>#REF!</v>
      </c>
      <c r="V232" s="1" t="n">
        <v>628</v>
      </c>
      <c r="W232" s="4" t="e">
        <f aca="false">(V232-#REF!)/#REF!</f>
        <v>#REF!</v>
      </c>
      <c r="X232" s="28" t="n">
        <v>0.0178156028368794</v>
      </c>
      <c r="Y232" s="4" t="e">
        <f aca="false">(X232-#REF!)/#REF!</f>
        <v>#REF!</v>
      </c>
      <c r="Z232" s="27" t="n">
        <v>401.7057433504</v>
      </c>
      <c r="AA232" s="4" t="e">
        <f aca="false">(Z232-#REF!)/#REF!</f>
        <v>#REF!</v>
      </c>
      <c r="AB232" s="3" t="n">
        <v>528</v>
      </c>
      <c r="AC232" s="4" t="e">
        <f aca="false">(AB232-#REF!)/#REF!</f>
        <v>#REF!</v>
      </c>
      <c r="AD232" s="25" t="n">
        <v>43.7</v>
      </c>
      <c r="AE232" s="4" t="e">
        <f aca="false">(AD232-#REF!)/#REF!</f>
        <v>#REF!</v>
      </c>
      <c r="AF232" s="4" t="n">
        <v>0.3</v>
      </c>
      <c r="AG232" s="4"/>
    </row>
    <row r="233" customFormat="false" ht="14.25" hidden="false" customHeight="false" outlineLevel="0" collapsed="false">
      <c r="B233" s="1" t="n">
        <v>20</v>
      </c>
      <c r="C233" s="4" t="e">
        <f aca="false">(B233-#REF!)/#REF!</f>
        <v>#REF!</v>
      </c>
      <c r="D233" s="1" t="n">
        <v>2</v>
      </c>
      <c r="E233" s="4" t="e">
        <f aca="false">(D233-#REF!)/#REF!</f>
        <v>#REF!</v>
      </c>
      <c r="F233" s="2" t="n">
        <v>44</v>
      </c>
      <c r="G233" s="4" t="e">
        <f aca="false">(F233-#REF!)/#REF!</f>
        <v>#REF!</v>
      </c>
      <c r="H233" s="2" t="n">
        <v>62.4</v>
      </c>
      <c r="I233" s="4" t="e">
        <f aca="false">(H233-#REF!)/#REF!</f>
        <v>#REF!</v>
      </c>
      <c r="J233" s="4" t="n">
        <v>2.98</v>
      </c>
      <c r="K233" s="4" t="e">
        <f aca="false">(J233-#REF!)/#REF!</f>
        <v>#REF!</v>
      </c>
      <c r="L233" s="1" t="n">
        <v>25</v>
      </c>
      <c r="M233" s="4" t="e">
        <f aca="false">(L233-#REF!)/#REF!</f>
        <v>#REF!</v>
      </c>
      <c r="N233" s="1" t="n">
        <v>35</v>
      </c>
      <c r="O233" s="4" t="e">
        <f aca="false">(N233-#REF!)/#REF!</f>
        <v>#REF!</v>
      </c>
      <c r="P233" s="1" t="n">
        <v>150</v>
      </c>
      <c r="Q233" s="4" t="e">
        <f aca="false">(P233-#REF!)/#REF!</f>
        <v>#REF!</v>
      </c>
      <c r="R233" s="1" t="n">
        <v>235</v>
      </c>
      <c r="S233" s="4" t="e">
        <f aca="false">(R233-#REF!)/#REF!</f>
        <v>#REF!</v>
      </c>
      <c r="T233" s="1" t="n">
        <f aca="false">R233-N233</f>
        <v>200</v>
      </c>
      <c r="U233" s="4" t="e">
        <f aca="false">(T233-#REF!)/#REF!</f>
        <v>#REF!</v>
      </c>
      <c r="V233" s="1" t="n">
        <v>628</v>
      </c>
      <c r="W233" s="4" t="e">
        <f aca="false">(V233-#REF!)/#REF!</f>
        <v>#REF!</v>
      </c>
      <c r="X233" s="28" t="n">
        <v>0.0178156028368794</v>
      </c>
      <c r="Y233" s="4" t="e">
        <f aca="false">(X233-#REF!)/#REF!</f>
        <v>#REF!</v>
      </c>
      <c r="Z233" s="27" t="n">
        <v>422.848150895158</v>
      </c>
      <c r="AA233" s="4" t="e">
        <f aca="false">(Z233-#REF!)/#REF!</f>
        <v>#REF!</v>
      </c>
      <c r="AB233" s="3" t="n">
        <v>528</v>
      </c>
      <c r="AC233" s="4" t="e">
        <f aca="false">(AB233-#REF!)/#REF!</f>
        <v>#REF!</v>
      </c>
      <c r="AD233" s="25" t="n">
        <v>46</v>
      </c>
      <c r="AE233" s="4" t="e">
        <f aca="false">(AD233-#REF!)/#REF!</f>
        <v>#REF!</v>
      </c>
      <c r="AF233" s="4" t="n">
        <v>0.32</v>
      </c>
      <c r="AG233" s="4"/>
    </row>
    <row r="234" customFormat="false" ht="14.25" hidden="false" customHeight="false" outlineLevel="0" collapsed="false">
      <c r="B234" s="1" t="n">
        <v>20</v>
      </c>
      <c r="C234" s="4" t="e">
        <f aca="false">(B234-#REF!)/#REF!</f>
        <v>#REF!</v>
      </c>
      <c r="D234" s="1" t="n">
        <v>2</v>
      </c>
      <c r="E234" s="4" t="e">
        <f aca="false">(D234-#REF!)/#REF!</f>
        <v>#REF!</v>
      </c>
      <c r="F234" s="2" t="n">
        <v>44</v>
      </c>
      <c r="G234" s="4" t="e">
        <f aca="false">(F234-#REF!)/#REF!</f>
        <v>#REF!</v>
      </c>
      <c r="H234" s="2" t="n">
        <v>62.4</v>
      </c>
      <c r="I234" s="4" t="e">
        <f aca="false">(H234-#REF!)/#REF!</f>
        <v>#REF!</v>
      </c>
      <c r="J234" s="4" t="n">
        <v>2.98</v>
      </c>
      <c r="K234" s="4" t="e">
        <f aca="false">(J234-#REF!)/#REF!</f>
        <v>#REF!</v>
      </c>
      <c r="L234" s="1" t="n">
        <v>25</v>
      </c>
      <c r="M234" s="4" t="e">
        <f aca="false">(L234-#REF!)/#REF!</f>
        <v>#REF!</v>
      </c>
      <c r="N234" s="1" t="n">
        <v>35</v>
      </c>
      <c r="O234" s="4" t="e">
        <f aca="false">(N234-#REF!)/#REF!</f>
        <v>#REF!</v>
      </c>
      <c r="P234" s="1" t="n">
        <v>150</v>
      </c>
      <c r="Q234" s="4" t="e">
        <f aca="false">(P234-#REF!)/#REF!</f>
        <v>#REF!</v>
      </c>
      <c r="R234" s="1" t="n">
        <v>235</v>
      </c>
      <c r="S234" s="4" t="e">
        <f aca="false">(R234-#REF!)/#REF!</f>
        <v>#REF!</v>
      </c>
      <c r="T234" s="1" t="n">
        <f aca="false">R234-N234</f>
        <v>200</v>
      </c>
      <c r="U234" s="4" t="e">
        <f aca="false">(T234-#REF!)/#REF!</f>
        <v>#REF!</v>
      </c>
      <c r="V234" s="1" t="n">
        <v>628</v>
      </c>
      <c r="W234" s="4" t="e">
        <f aca="false">(V234-#REF!)/#REF!</f>
        <v>#REF!</v>
      </c>
      <c r="X234" s="28" t="n">
        <v>0.0178156028368794</v>
      </c>
      <c r="Y234" s="4" t="e">
        <f aca="false">(X234-#REF!)/#REF!</f>
        <v>#REF!</v>
      </c>
      <c r="Z234" s="27" t="n">
        <v>474.647049379814</v>
      </c>
      <c r="AA234" s="4" t="e">
        <f aca="false">(Z234-#REF!)/#REF!</f>
        <v>#REF!</v>
      </c>
      <c r="AB234" s="3" t="n">
        <v>528</v>
      </c>
      <c r="AC234" s="4" t="e">
        <f aca="false">(AB234-#REF!)/#REF!</f>
        <v>#REF!</v>
      </c>
      <c r="AD234" s="25" t="n">
        <v>51.635</v>
      </c>
      <c r="AE234" s="4" t="e">
        <f aca="false">(AD234-#REF!)/#REF!</f>
        <v>#REF!</v>
      </c>
      <c r="AF234" s="4" t="n">
        <v>0.36</v>
      </c>
      <c r="AG234" s="4"/>
    </row>
    <row r="235" customFormat="false" ht="14.25" hidden="false" customHeight="false" outlineLevel="0" collapsed="false">
      <c r="B235" s="1" t="n">
        <v>20</v>
      </c>
      <c r="C235" s="4" t="e">
        <f aca="false">(B235-#REF!)/#REF!</f>
        <v>#REF!</v>
      </c>
      <c r="D235" s="1" t="n">
        <v>2</v>
      </c>
      <c r="E235" s="4" t="e">
        <f aca="false">(D235-#REF!)/#REF!</f>
        <v>#REF!</v>
      </c>
      <c r="F235" s="2" t="n">
        <v>44</v>
      </c>
      <c r="G235" s="4" t="e">
        <f aca="false">(F235-#REF!)/#REF!</f>
        <v>#REF!</v>
      </c>
      <c r="H235" s="2" t="n">
        <v>62.4</v>
      </c>
      <c r="I235" s="4" t="e">
        <f aca="false">(H235-#REF!)/#REF!</f>
        <v>#REF!</v>
      </c>
      <c r="J235" s="4" t="n">
        <v>2.98</v>
      </c>
      <c r="K235" s="4" t="e">
        <f aca="false">(J235-#REF!)/#REF!</f>
        <v>#REF!</v>
      </c>
      <c r="L235" s="1" t="n">
        <v>25</v>
      </c>
      <c r="M235" s="4" t="e">
        <f aca="false">(L235-#REF!)/#REF!</f>
        <v>#REF!</v>
      </c>
      <c r="N235" s="1" t="n">
        <v>35</v>
      </c>
      <c r="O235" s="4" t="e">
        <f aca="false">(N235-#REF!)/#REF!</f>
        <v>#REF!</v>
      </c>
      <c r="P235" s="1" t="n">
        <v>150</v>
      </c>
      <c r="Q235" s="4" t="e">
        <f aca="false">(P235-#REF!)/#REF!</f>
        <v>#REF!</v>
      </c>
      <c r="R235" s="1" t="n">
        <v>235</v>
      </c>
      <c r="S235" s="4" t="e">
        <f aca="false">(R235-#REF!)/#REF!</f>
        <v>#REF!</v>
      </c>
      <c r="T235" s="1" t="n">
        <f aca="false">R235-N235</f>
        <v>200</v>
      </c>
      <c r="U235" s="4" t="e">
        <f aca="false">(T235-#REF!)/#REF!</f>
        <v>#REF!</v>
      </c>
      <c r="V235" s="1" t="n">
        <v>628</v>
      </c>
      <c r="W235" s="4" t="e">
        <f aca="false">(V235-#REF!)/#REF!</f>
        <v>#REF!</v>
      </c>
      <c r="X235" s="28" t="n">
        <v>0.0178156028368794</v>
      </c>
      <c r="Y235" s="4" t="e">
        <f aca="false">(X235-#REF!)/#REF!</f>
        <v>#REF!</v>
      </c>
      <c r="Z235" s="27" t="n">
        <v>526.445947864471</v>
      </c>
      <c r="AA235" s="4" t="e">
        <f aca="false">(Z235-#REF!)/#REF!</f>
        <v>#REF!</v>
      </c>
      <c r="AB235" s="3" t="n">
        <v>528</v>
      </c>
      <c r="AC235" s="4" t="e">
        <f aca="false">(AB235-#REF!)/#REF!</f>
        <v>#REF!</v>
      </c>
      <c r="AD235" s="25" t="n">
        <v>57.27</v>
      </c>
      <c r="AE235" s="4" t="e">
        <f aca="false">(AD235-#REF!)/#REF!</f>
        <v>#REF!</v>
      </c>
      <c r="AF235" s="4" t="n">
        <v>0.47</v>
      </c>
      <c r="AG235" s="4"/>
    </row>
    <row r="236" customFormat="false" ht="14.25" hidden="false" customHeight="false" outlineLevel="0" collapsed="false">
      <c r="A236" s="0" t="s">
        <v>71</v>
      </c>
      <c r="B236" s="1" t="n">
        <v>20</v>
      </c>
      <c r="C236" s="4" t="e">
        <f aca="false">(B236-#REF!)/#REF!</f>
        <v>#REF!</v>
      </c>
      <c r="D236" s="1" t="n">
        <v>3</v>
      </c>
      <c r="E236" s="4" t="e">
        <f aca="false">(D236-#REF!)/#REF!</f>
        <v>#REF!</v>
      </c>
      <c r="F236" s="2" t="n">
        <v>12</v>
      </c>
      <c r="G236" s="4" t="e">
        <f aca="false">(F236-#REF!)/#REF!</f>
        <v>#REF!</v>
      </c>
      <c r="H236" s="2" t="n">
        <v>62.4</v>
      </c>
      <c r="I236" s="4" t="e">
        <f aca="false">(H236-#REF!)/#REF!</f>
        <v>#REF!</v>
      </c>
      <c r="J236" s="4" t="n">
        <v>2.98</v>
      </c>
      <c r="K236" s="4" t="e">
        <f aca="false">(J236-#REF!)/#REF!</f>
        <v>#REF!</v>
      </c>
      <c r="L236" s="1" t="n">
        <v>25</v>
      </c>
      <c r="M236" s="4" t="e">
        <f aca="false">(L236-#REF!)/#REF!</f>
        <v>#REF!</v>
      </c>
      <c r="N236" s="1" t="n">
        <v>35</v>
      </c>
      <c r="O236" s="4" t="e">
        <f aca="false">(N236-#REF!)/#REF!</f>
        <v>#REF!</v>
      </c>
      <c r="P236" s="1" t="n">
        <v>150</v>
      </c>
      <c r="Q236" s="4" t="e">
        <f aca="false">(P236-#REF!)/#REF!</f>
        <v>#REF!</v>
      </c>
      <c r="R236" s="1" t="n">
        <v>235</v>
      </c>
      <c r="S236" s="4" t="e">
        <f aca="false">(R236-#REF!)/#REF!</f>
        <v>#REF!</v>
      </c>
      <c r="T236" s="1" t="n">
        <f aca="false">R236-N236</f>
        <v>200</v>
      </c>
      <c r="U236" s="4" t="e">
        <f aca="false">(T236-#REF!)/#REF!</f>
        <v>#REF!</v>
      </c>
      <c r="V236" s="1" t="n">
        <v>942</v>
      </c>
      <c r="W236" s="4" t="e">
        <f aca="false">(V236-#REF!)/#REF!</f>
        <v>#REF!</v>
      </c>
      <c r="X236" s="28" t="n">
        <v>0.0267234042553192</v>
      </c>
      <c r="Y236" s="4" t="e">
        <f aca="false">(X236-#REF!)/#REF!</f>
        <v>#REF!</v>
      </c>
      <c r="Z236" s="27" t="n">
        <v>303.402568314191</v>
      </c>
      <c r="AA236" s="4" t="e">
        <f aca="false">(Z236-#REF!)/#REF!</f>
        <v>#REF!</v>
      </c>
      <c r="AB236" s="3" t="n">
        <v>528</v>
      </c>
      <c r="AC236" s="4" t="e">
        <f aca="false">(AB236-#REF!)/#REF!</f>
        <v>#REF!</v>
      </c>
      <c r="AD236" s="25" t="n">
        <v>48.3</v>
      </c>
      <c r="AE236" s="4" t="e">
        <f aca="false">(AD236-#REF!)/#REF!</f>
        <v>#REF!</v>
      </c>
      <c r="AF236" s="4" t="n">
        <v>0.16</v>
      </c>
      <c r="AG236" s="4"/>
    </row>
    <row r="237" customFormat="false" ht="14.25" hidden="false" customHeight="false" outlineLevel="0" collapsed="false">
      <c r="B237" s="1" t="n">
        <v>20</v>
      </c>
      <c r="C237" s="4" t="e">
        <f aca="false">(B237-#REF!)/#REF!</f>
        <v>#REF!</v>
      </c>
      <c r="D237" s="1" t="n">
        <v>3</v>
      </c>
      <c r="E237" s="4" t="e">
        <f aca="false">(D237-#REF!)/#REF!</f>
        <v>#REF!</v>
      </c>
      <c r="F237" s="2" t="n">
        <v>12</v>
      </c>
      <c r="G237" s="4" t="e">
        <f aca="false">(F237-#REF!)/#REF!</f>
        <v>#REF!</v>
      </c>
      <c r="H237" s="2" t="n">
        <v>62.4</v>
      </c>
      <c r="I237" s="4" t="e">
        <f aca="false">(H237-#REF!)/#REF!</f>
        <v>#REF!</v>
      </c>
      <c r="J237" s="4" t="n">
        <v>2.98</v>
      </c>
      <c r="K237" s="4" t="e">
        <f aca="false">(J237-#REF!)/#REF!</f>
        <v>#REF!</v>
      </c>
      <c r="L237" s="1" t="n">
        <v>25</v>
      </c>
      <c r="M237" s="4" t="e">
        <f aca="false">(L237-#REF!)/#REF!</f>
        <v>#REF!</v>
      </c>
      <c r="N237" s="1" t="n">
        <v>35</v>
      </c>
      <c r="O237" s="4" t="e">
        <f aca="false">(N237-#REF!)/#REF!</f>
        <v>#REF!</v>
      </c>
      <c r="P237" s="1" t="n">
        <v>150</v>
      </c>
      <c r="Q237" s="4" t="e">
        <f aca="false">(P237-#REF!)/#REF!</f>
        <v>#REF!</v>
      </c>
      <c r="R237" s="1" t="n">
        <v>235</v>
      </c>
      <c r="S237" s="4" t="e">
        <f aca="false">(R237-#REF!)/#REF!</f>
        <v>#REF!</v>
      </c>
      <c r="T237" s="1" t="n">
        <f aca="false">R237-N237</f>
        <v>200</v>
      </c>
      <c r="U237" s="4" t="e">
        <f aca="false">(T237-#REF!)/#REF!</f>
        <v>#REF!</v>
      </c>
      <c r="V237" s="1" t="n">
        <v>942</v>
      </c>
      <c r="W237" s="4" t="e">
        <f aca="false">(V237-#REF!)/#REF!</f>
        <v>#REF!</v>
      </c>
      <c r="X237" s="28" t="n">
        <v>0.0267234042553192</v>
      </c>
      <c r="Y237" s="4" t="e">
        <f aca="false">(X237-#REF!)/#REF!</f>
        <v>#REF!</v>
      </c>
      <c r="Z237" s="27" t="n">
        <v>317.850309662485</v>
      </c>
      <c r="AA237" s="4" t="e">
        <f aca="false">(Z237-#REF!)/#REF!</f>
        <v>#REF!</v>
      </c>
      <c r="AB237" s="3" t="n">
        <v>528</v>
      </c>
      <c r="AC237" s="4" t="e">
        <f aca="false">(AB237-#REF!)/#REF!</f>
        <v>#REF!</v>
      </c>
      <c r="AD237" s="25" t="n">
        <v>50.6</v>
      </c>
      <c r="AE237" s="4" t="e">
        <f aca="false">(AD237-#REF!)/#REF!</f>
        <v>#REF!</v>
      </c>
      <c r="AF237" s="4" t="n">
        <v>0.18</v>
      </c>
      <c r="AG237" s="4"/>
    </row>
    <row r="238" customFormat="false" ht="14.25" hidden="false" customHeight="false" outlineLevel="0" collapsed="false">
      <c r="B238" s="1" t="n">
        <v>20</v>
      </c>
      <c r="C238" s="4" t="e">
        <f aca="false">(B238-#REF!)/#REF!</f>
        <v>#REF!</v>
      </c>
      <c r="D238" s="1" t="n">
        <v>3</v>
      </c>
      <c r="E238" s="4" t="e">
        <f aca="false">(D238-#REF!)/#REF!</f>
        <v>#REF!</v>
      </c>
      <c r="F238" s="2" t="n">
        <v>12</v>
      </c>
      <c r="G238" s="4" t="e">
        <f aca="false">(F238-#REF!)/#REF!</f>
        <v>#REF!</v>
      </c>
      <c r="H238" s="2" t="n">
        <v>62.4</v>
      </c>
      <c r="I238" s="4" t="e">
        <f aca="false">(H238-#REF!)/#REF!</f>
        <v>#REF!</v>
      </c>
      <c r="J238" s="4" t="n">
        <v>2.98</v>
      </c>
      <c r="K238" s="4" t="e">
        <f aca="false">(J238-#REF!)/#REF!</f>
        <v>#REF!</v>
      </c>
      <c r="L238" s="1" t="n">
        <v>25</v>
      </c>
      <c r="M238" s="4" t="e">
        <f aca="false">(L238-#REF!)/#REF!</f>
        <v>#REF!</v>
      </c>
      <c r="N238" s="1" t="n">
        <v>35</v>
      </c>
      <c r="O238" s="4" t="e">
        <f aca="false">(N238-#REF!)/#REF!</f>
        <v>#REF!</v>
      </c>
      <c r="P238" s="1" t="n">
        <v>150</v>
      </c>
      <c r="Q238" s="4" t="e">
        <f aca="false">(P238-#REF!)/#REF!</f>
        <v>#REF!</v>
      </c>
      <c r="R238" s="1" t="n">
        <v>235</v>
      </c>
      <c r="S238" s="4" t="e">
        <f aca="false">(R238-#REF!)/#REF!</f>
        <v>#REF!</v>
      </c>
      <c r="T238" s="1" t="n">
        <f aca="false">R238-N238</f>
        <v>200</v>
      </c>
      <c r="U238" s="4" t="e">
        <f aca="false">(T238-#REF!)/#REF!</f>
        <v>#REF!</v>
      </c>
      <c r="V238" s="1" t="n">
        <v>942</v>
      </c>
      <c r="W238" s="4" t="e">
        <f aca="false">(V238-#REF!)/#REF!</f>
        <v>#REF!</v>
      </c>
      <c r="X238" s="28" t="n">
        <v>0.0267234042553192</v>
      </c>
      <c r="Y238" s="4" t="e">
        <f aca="false">(X238-#REF!)/#REF!</f>
        <v>#REF!</v>
      </c>
      <c r="Z238" s="27" t="n">
        <v>353.969663033222</v>
      </c>
      <c r="AA238" s="4" t="e">
        <f aca="false">(Z238-#REF!)/#REF!</f>
        <v>#REF!</v>
      </c>
      <c r="AB238" s="3" t="n">
        <v>528</v>
      </c>
      <c r="AC238" s="4" t="e">
        <f aca="false">(AB238-#REF!)/#REF!</f>
        <v>#REF!</v>
      </c>
      <c r="AD238" s="25" t="n">
        <v>56.35</v>
      </c>
      <c r="AE238" s="4" t="e">
        <f aca="false">(AD238-#REF!)/#REF!</f>
        <v>#REF!</v>
      </c>
      <c r="AF238" s="4" t="n">
        <v>0.18</v>
      </c>
      <c r="AG238" s="4"/>
    </row>
    <row r="239" customFormat="false" ht="14.25" hidden="false" customHeight="false" outlineLevel="0" collapsed="false">
      <c r="B239" s="1" t="n">
        <v>20</v>
      </c>
      <c r="C239" s="4" t="e">
        <f aca="false">(B239-#REF!)/#REF!</f>
        <v>#REF!</v>
      </c>
      <c r="D239" s="1" t="n">
        <v>3</v>
      </c>
      <c r="E239" s="4" t="e">
        <f aca="false">(D239-#REF!)/#REF!</f>
        <v>#REF!</v>
      </c>
      <c r="F239" s="2" t="n">
        <v>12</v>
      </c>
      <c r="G239" s="4" t="e">
        <f aca="false">(F239-#REF!)/#REF!</f>
        <v>#REF!</v>
      </c>
      <c r="H239" s="2" t="n">
        <v>62.4</v>
      </c>
      <c r="I239" s="4" t="e">
        <f aca="false">(H239-#REF!)/#REF!</f>
        <v>#REF!</v>
      </c>
      <c r="J239" s="4" t="n">
        <v>2.98</v>
      </c>
      <c r="K239" s="4" t="e">
        <f aca="false">(J239-#REF!)/#REF!</f>
        <v>#REF!</v>
      </c>
      <c r="L239" s="1" t="n">
        <v>25</v>
      </c>
      <c r="M239" s="4" t="e">
        <f aca="false">(L239-#REF!)/#REF!</f>
        <v>#REF!</v>
      </c>
      <c r="N239" s="1" t="n">
        <v>35</v>
      </c>
      <c r="O239" s="4" t="e">
        <f aca="false">(N239-#REF!)/#REF!</f>
        <v>#REF!</v>
      </c>
      <c r="P239" s="1" t="n">
        <v>150</v>
      </c>
      <c r="Q239" s="4" t="e">
        <f aca="false">(P239-#REF!)/#REF!</f>
        <v>#REF!</v>
      </c>
      <c r="R239" s="1" t="n">
        <v>235</v>
      </c>
      <c r="S239" s="4" t="e">
        <f aca="false">(R239-#REF!)/#REF!</f>
        <v>#REF!</v>
      </c>
      <c r="T239" s="1" t="n">
        <f aca="false">R239-N239</f>
        <v>200</v>
      </c>
      <c r="U239" s="4" t="e">
        <f aca="false">(T239-#REF!)/#REF!</f>
        <v>#REF!</v>
      </c>
      <c r="V239" s="1" t="n">
        <v>942</v>
      </c>
      <c r="W239" s="4" t="e">
        <f aca="false">(V239-#REF!)/#REF!</f>
        <v>#REF!</v>
      </c>
      <c r="X239" s="28" t="n">
        <v>0.0267234042553192</v>
      </c>
      <c r="Y239" s="4" t="e">
        <f aca="false">(X239-#REF!)/#REF!</f>
        <v>#REF!</v>
      </c>
      <c r="Z239" s="27" t="n">
        <v>393.700951741033</v>
      </c>
      <c r="AA239" s="4" t="e">
        <f aca="false">(Z239-#REF!)/#REF!</f>
        <v>#REF!</v>
      </c>
      <c r="AB239" s="3" t="n">
        <v>528</v>
      </c>
      <c r="AC239" s="4" t="e">
        <f aca="false">(AB239-#REF!)/#REF!</f>
        <v>#REF!</v>
      </c>
      <c r="AD239" s="25" t="n">
        <v>62.675</v>
      </c>
      <c r="AE239" s="4" t="e">
        <f aca="false">(AD239-#REF!)/#REF!</f>
        <v>#REF!</v>
      </c>
      <c r="AF239" s="4" t="n">
        <v>0.2</v>
      </c>
      <c r="AG239" s="4"/>
    </row>
    <row r="240" customFormat="false" ht="14.25" hidden="false" customHeight="false" outlineLevel="0" collapsed="false">
      <c r="B240" s="1" t="n">
        <v>20</v>
      </c>
      <c r="C240" s="4" t="e">
        <f aca="false">(B240-#REF!)/#REF!</f>
        <v>#REF!</v>
      </c>
      <c r="D240" s="1" t="n">
        <v>3</v>
      </c>
      <c r="E240" s="4" t="e">
        <f aca="false">(D240-#REF!)/#REF!</f>
        <v>#REF!</v>
      </c>
      <c r="F240" s="2" t="n">
        <v>12</v>
      </c>
      <c r="G240" s="4" t="e">
        <f aca="false">(F240-#REF!)/#REF!</f>
        <v>#REF!</v>
      </c>
      <c r="H240" s="2" t="n">
        <v>62.4</v>
      </c>
      <c r="I240" s="4" t="e">
        <f aca="false">(H240-#REF!)/#REF!</f>
        <v>#REF!</v>
      </c>
      <c r="J240" s="4" t="n">
        <v>2.98</v>
      </c>
      <c r="K240" s="4" t="e">
        <f aca="false">(J240-#REF!)/#REF!</f>
        <v>#REF!</v>
      </c>
      <c r="L240" s="1" t="n">
        <v>25</v>
      </c>
      <c r="M240" s="4" t="e">
        <f aca="false">(L240-#REF!)/#REF!</f>
        <v>#REF!</v>
      </c>
      <c r="N240" s="1" t="n">
        <v>35</v>
      </c>
      <c r="O240" s="4" t="e">
        <f aca="false">(N240-#REF!)/#REF!</f>
        <v>#REF!</v>
      </c>
      <c r="P240" s="1" t="n">
        <v>150</v>
      </c>
      <c r="Q240" s="4" t="e">
        <f aca="false">(P240-#REF!)/#REF!</f>
        <v>#REF!</v>
      </c>
      <c r="R240" s="1" t="n">
        <v>235</v>
      </c>
      <c r="S240" s="4" t="e">
        <f aca="false">(R240-#REF!)/#REF!</f>
        <v>#REF!</v>
      </c>
      <c r="T240" s="1" t="n">
        <f aca="false">R240-N240</f>
        <v>200</v>
      </c>
      <c r="U240" s="4" t="e">
        <f aca="false">(T240-#REF!)/#REF!</f>
        <v>#REF!</v>
      </c>
      <c r="V240" s="1" t="n">
        <v>942</v>
      </c>
      <c r="W240" s="4" t="e">
        <f aca="false">(V240-#REF!)/#REF!</f>
        <v>#REF!</v>
      </c>
      <c r="X240" s="28" t="n">
        <v>0.0267234042553192</v>
      </c>
      <c r="Y240" s="4" t="e">
        <f aca="false">(X240-#REF!)/#REF!</f>
        <v>#REF!</v>
      </c>
      <c r="Z240" s="27" t="n">
        <v>429.82030511177</v>
      </c>
      <c r="AA240" s="4" t="e">
        <f aca="false">(Z240-#REF!)/#REF!</f>
        <v>#REF!</v>
      </c>
      <c r="AB240" s="3" t="n">
        <v>528</v>
      </c>
      <c r="AC240" s="4" t="e">
        <f aca="false">(AB240-#REF!)/#REF!</f>
        <v>#REF!</v>
      </c>
      <c r="AD240" s="25" t="n">
        <v>68.425</v>
      </c>
      <c r="AE240" s="4" t="e">
        <f aca="false">(AD240-#REF!)/#REF!</f>
        <v>#REF!</v>
      </c>
      <c r="AF240" s="4" t="n">
        <v>0.2</v>
      </c>
      <c r="AG240" s="4"/>
    </row>
    <row r="241" customFormat="false" ht="14.25" hidden="false" customHeight="false" outlineLevel="0" collapsed="false">
      <c r="B241" s="1" t="n">
        <v>20</v>
      </c>
      <c r="C241" s="4" t="e">
        <f aca="false">(B241-#REF!)/#REF!</f>
        <v>#REF!</v>
      </c>
      <c r="D241" s="1" t="n">
        <v>3</v>
      </c>
      <c r="E241" s="4" t="e">
        <f aca="false">(D241-#REF!)/#REF!</f>
        <v>#REF!</v>
      </c>
      <c r="F241" s="2" t="n">
        <v>12</v>
      </c>
      <c r="G241" s="4" t="e">
        <f aca="false">(F241-#REF!)/#REF!</f>
        <v>#REF!</v>
      </c>
      <c r="H241" s="2" t="n">
        <v>62.4</v>
      </c>
      <c r="I241" s="4" t="e">
        <f aca="false">(H241-#REF!)/#REF!</f>
        <v>#REF!</v>
      </c>
      <c r="J241" s="4" t="n">
        <v>2.98</v>
      </c>
      <c r="K241" s="4" t="e">
        <f aca="false">(J241-#REF!)/#REF!</f>
        <v>#REF!</v>
      </c>
      <c r="L241" s="1" t="n">
        <v>25</v>
      </c>
      <c r="M241" s="4" t="e">
        <f aca="false">(L241-#REF!)/#REF!</f>
        <v>#REF!</v>
      </c>
      <c r="N241" s="1" t="n">
        <v>35</v>
      </c>
      <c r="O241" s="4" t="e">
        <f aca="false">(N241-#REF!)/#REF!</f>
        <v>#REF!</v>
      </c>
      <c r="P241" s="1" t="n">
        <v>150</v>
      </c>
      <c r="Q241" s="4" t="e">
        <f aca="false">(P241-#REF!)/#REF!</f>
        <v>#REF!</v>
      </c>
      <c r="R241" s="1" t="n">
        <v>235</v>
      </c>
      <c r="S241" s="4" t="e">
        <f aca="false">(R241-#REF!)/#REF!</f>
        <v>#REF!</v>
      </c>
      <c r="T241" s="1" t="n">
        <f aca="false">R241-N241</f>
        <v>200</v>
      </c>
      <c r="U241" s="4" t="e">
        <f aca="false">(T241-#REF!)/#REF!</f>
        <v>#REF!</v>
      </c>
      <c r="V241" s="1" t="n">
        <v>942</v>
      </c>
      <c r="W241" s="4" t="e">
        <f aca="false">(V241-#REF!)/#REF!</f>
        <v>#REF!</v>
      </c>
      <c r="X241" s="28" t="n">
        <v>0.0267234042553192</v>
      </c>
      <c r="Y241" s="4" t="e">
        <f aca="false">(X241-#REF!)/#REF!</f>
        <v>#REF!</v>
      </c>
      <c r="Z241" s="27" t="n">
        <v>462.327723145433</v>
      </c>
      <c r="AA241" s="4" t="e">
        <f aca="false">(Z241-#REF!)/#REF!</f>
        <v>#REF!</v>
      </c>
      <c r="AB241" s="3" t="n">
        <v>528</v>
      </c>
      <c r="AC241" s="4" t="e">
        <f aca="false">(AB241-#REF!)/#REF!</f>
        <v>#REF!</v>
      </c>
      <c r="AD241" s="25" t="n">
        <v>73.6</v>
      </c>
      <c r="AE241" s="4" t="e">
        <f aca="false">(AD241-#REF!)/#REF!</f>
        <v>#REF!</v>
      </c>
      <c r="AF241" s="4" t="n">
        <v>0.2</v>
      </c>
      <c r="AG241" s="4"/>
    </row>
    <row r="242" customFormat="false" ht="14.25" hidden="false" customHeight="false" outlineLevel="0" collapsed="false">
      <c r="B242" s="1" t="n">
        <v>20</v>
      </c>
      <c r="C242" s="4" t="e">
        <f aca="false">(B242-#REF!)/#REF!</f>
        <v>#REF!</v>
      </c>
      <c r="D242" s="1" t="n">
        <v>3</v>
      </c>
      <c r="E242" s="4" t="e">
        <f aca="false">(D242-#REF!)/#REF!</f>
        <v>#REF!</v>
      </c>
      <c r="F242" s="2" t="n">
        <v>12</v>
      </c>
      <c r="G242" s="4" t="e">
        <f aca="false">(F242-#REF!)/#REF!</f>
        <v>#REF!</v>
      </c>
      <c r="H242" s="2" t="n">
        <v>62.4</v>
      </c>
      <c r="I242" s="4" t="e">
        <f aca="false">(H242-#REF!)/#REF!</f>
        <v>#REF!</v>
      </c>
      <c r="J242" s="4" t="n">
        <v>2.98</v>
      </c>
      <c r="K242" s="4" t="e">
        <f aca="false">(J242-#REF!)/#REF!</f>
        <v>#REF!</v>
      </c>
      <c r="L242" s="1" t="n">
        <v>25</v>
      </c>
      <c r="M242" s="4" t="e">
        <f aca="false">(L242-#REF!)/#REF!</f>
        <v>#REF!</v>
      </c>
      <c r="N242" s="1" t="n">
        <v>35</v>
      </c>
      <c r="O242" s="4" t="e">
        <f aca="false">(N242-#REF!)/#REF!</f>
        <v>#REF!</v>
      </c>
      <c r="P242" s="1" t="n">
        <v>150</v>
      </c>
      <c r="Q242" s="4" t="e">
        <f aca="false">(P242-#REF!)/#REF!</f>
        <v>#REF!</v>
      </c>
      <c r="R242" s="1" t="n">
        <v>235</v>
      </c>
      <c r="S242" s="4" t="e">
        <f aca="false">(R242-#REF!)/#REF!</f>
        <v>#REF!</v>
      </c>
      <c r="T242" s="1" t="n">
        <f aca="false">R242-N242</f>
        <v>200</v>
      </c>
      <c r="U242" s="4" t="e">
        <f aca="false">(T242-#REF!)/#REF!</f>
        <v>#REF!</v>
      </c>
      <c r="V242" s="1" t="n">
        <v>942</v>
      </c>
      <c r="W242" s="4" t="e">
        <f aca="false">(V242-#REF!)/#REF!</f>
        <v>#REF!</v>
      </c>
      <c r="X242" s="28" t="n">
        <v>0.0267234042553192</v>
      </c>
      <c r="Y242" s="4" t="e">
        <f aca="false">(X242-#REF!)/#REF!</f>
        <v>#REF!</v>
      </c>
      <c r="Z242" s="27" t="n">
        <v>502.059011853244</v>
      </c>
      <c r="AA242" s="4" t="e">
        <f aca="false">(Z242-#REF!)/#REF!</f>
        <v>#REF!</v>
      </c>
      <c r="AB242" s="3" t="n">
        <v>528</v>
      </c>
      <c r="AC242" s="4" t="e">
        <f aca="false">(AB242-#REF!)/#REF!</f>
        <v>#REF!</v>
      </c>
      <c r="AD242" s="25" t="n">
        <v>79.925</v>
      </c>
      <c r="AE242" s="4" t="e">
        <f aca="false">(AD242-#REF!)/#REF!</f>
        <v>#REF!</v>
      </c>
      <c r="AF242" s="4" t="n">
        <v>0.22</v>
      </c>
      <c r="AG242" s="4"/>
    </row>
    <row r="243" customFormat="false" ht="14.25" hidden="false" customHeight="false" outlineLevel="0" collapsed="false">
      <c r="A243" s="0" t="s">
        <v>72</v>
      </c>
      <c r="B243" s="1" t="n">
        <v>28</v>
      </c>
      <c r="C243" s="4" t="e">
        <f aca="false">(B243-#REF!)/#REF!</f>
        <v>#REF!</v>
      </c>
      <c r="D243" s="1" t="n">
        <v>4</v>
      </c>
      <c r="E243" s="4" t="e">
        <f aca="false">(D243-#REF!)/#REF!</f>
        <v>#REF!</v>
      </c>
      <c r="F243" s="2" t="n">
        <v>16</v>
      </c>
      <c r="G243" s="4" t="e">
        <f aca="false">(F243-#REF!)/#REF!</f>
        <v>#REF!</v>
      </c>
      <c r="H243" s="2" t="n">
        <v>71</v>
      </c>
      <c r="I243" s="4" t="e">
        <f aca="false">(H243-#REF!)/#REF!</f>
        <v>#REF!</v>
      </c>
      <c r="J243" s="4" t="n">
        <v>5.30847435710111</v>
      </c>
      <c r="K243" s="4" t="e">
        <f aca="false">(J243-#REF!)/#REF!</f>
        <v>#REF!</v>
      </c>
      <c r="L243" s="1" t="n">
        <v>30</v>
      </c>
      <c r="M243" s="4" t="e">
        <f aca="false">(L243-#REF!)/#REF!</f>
        <v>#REF!</v>
      </c>
      <c r="N243" s="1" t="n">
        <v>44</v>
      </c>
      <c r="O243" s="4" t="e">
        <f aca="false">(N243-#REF!)/#REF!</f>
        <v>#REF!</v>
      </c>
      <c r="P243" s="1" t="n">
        <v>200</v>
      </c>
      <c r="Q243" s="4" t="e">
        <f aca="false">(P243-#REF!)/#REF!</f>
        <v>#REF!</v>
      </c>
      <c r="R243" s="1" t="n">
        <v>300</v>
      </c>
      <c r="S243" s="4" t="e">
        <f aca="false">(R243-#REF!)/#REF!</f>
        <v>#REF!</v>
      </c>
      <c r="T243" s="1" t="n">
        <f aca="false">R243-N243</f>
        <v>256</v>
      </c>
      <c r="U243" s="4" t="e">
        <f aca="false">(T243-#REF!)/#REF!</f>
        <v>#REF!</v>
      </c>
      <c r="V243" s="1" t="n">
        <v>2463</v>
      </c>
      <c r="W243" s="4" t="e">
        <f aca="false">(V243-#REF!)/#REF!</f>
        <v>#REF!</v>
      </c>
      <c r="X243" s="28" t="n">
        <v>0.04105</v>
      </c>
      <c r="Y243" s="4" t="e">
        <f aca="false">(X243-#REF!)/#REF!</f>
        <v>#REF!</v>
      </c>
      <c r="Z243" s="27" t="n">
        <v>151.171969977459</v>
      </c>
      <c r="AA243" s="4" t="e">
        <f aca="false">(Z243-#REF!)/#REF!</f>
        <v>#REF!</v>
      </c>
      <c r="AB243" s="3" t="n">
        <v>400</v>
      </c>
      <c r="AC243" s="4" t="e">
        <f aca="false">(AB243-#REF!)/#REF!</f>
        <v>#REF!</v>
      </c>
      <c r="AD243" s="25" t="n">
        <v>78.75</v>
      </c>
      <c r="AE243" s="4" t="e">
        <f aca="false">(AD243-#REF!)/#REF!</f>
        <v>#REF!</v>
      </c>
      <c r="AF243" s="4" t="n">
        <v>0.22</v>
      </c>
      <c r="AG243" s="4"/>
    </row>
    <row r="244" customFormat="false" ht="14.25" hidden="false" customHeight="false" outlineLevel="0" collapsed="false">
      <c r="B244" s="1" t="n">
        <v>28</v>
      </c>
      <c r="C244" s="4" t="e">
        <f aca="false">(B244-#REF!)/#REF!</f>
        <v>#REF!</v>
      </c>
      <c r="D244" s="1" t="n">
        <v>4</v>
      </c>
      <c r="E244" s="4" t="e">
        <f aca="false">(D244-#REF!)/#REF!</f>
        <v>#REF!</v>
      </c>
      <c r="F244" s="2" t="n">
        <v>16</v>
      </c>
      <c r="G244" s="4" t="e">
        <f aca="false">(F244-#REF!)/#REF!</f>
        <v>#REF!</v>
      </c>
      <c r="H244" s="2" t="n">
        <v>71</v>
      </c>
      <c r="I244" s="4" t="e">
        <f aca="false">(H244-#REF!)/#REF!</f>
        <v>#REF!</v>
      </c>
      <c r="J244" s="4" t="n">
        <v>5.30847435710111</v>
      </c>
      <c r="K244" s="4" t="e">
        <f aca="false">(J244-#REF!)/#REF!</f>
        <v>#REF!</v>
      </c>
      <c r="L244" s="1" t="n">
        <v>30</v>
      </c>
      <c r="M244" s="4" t="e">
        <f aca="false">(L244-#REF!)/#REF!</f>
        <v>#REF!</v>
      </c>
      <c r="N244" s="1" t="n">
        <v>44</v>
      </c>
      <c r="O244" s="4" t="e">
        <f aca="false">(N244-#REF!)/#REF!</f>
        <v>#REF!</v>
      </c>
      <c r="P244" s="1" t="n">
        <v>200</v>
      </c>
      <c r="Q244" s="4" t="e">
        <f aca="false">(P244-#REF!)/#REF!</f>
        <v>#REF!</v>
      </c>
      <c r="R244" s="1" t="n">
        <v>300</v>
      </c>
      <c r="S244" s="4" t="e">
        <f aca="false">(R244-#REF!)/#REF!</f>
        <v>#REF!</v>
      </c>
      <c r="T244" s="1" t="n">
        <f aca="false">R244-N244</f>
        <v>256</v>
      </c>
      <c r="U244" s="4" t="e">
        <f aca="false">(T244-#REF!)/#REF!</f>
        <v>#REF!</v>
      </c>
      <c r="V244" s="1" t="n">
        <v>2463</v>
      </c>
      <c r="W244" s="4" t="e">
        <f aca="false">(V244-#REF!)/#REF!</f>
        <v>#REF!</v>
      </c>
      <c r="X244" s="28" t="n">
        <v>0.04105</v>
      </c>
      <c r="Y244" s="4" t="e">
        <f aca="false">(X244-#REF!)/#REF!</f>
        <v>#REF!</v>
      </c>
      <c r="Z244" s="27" t="n">
        <v>201.706599941352</v>
      </c>
      <c r="AA244" s="4" t="e">
        <f aca="false">(Z244-#REF!)/#REF!</f>
        <v>#REF!</v>
      </c>
      <c r="AB244" s="3" t="n">
        <v>400</v>
      </c>
      <c r="AC244" s="4" t="e">
        <f aca="false">(AB244-#REF!)/#REF!</f>
        <v>#REF!</v>
      </c>
      <c r="AD244" s="25" t="n">
        <v>105.075</v>
      </c>
      <c r="AE244" s="4" t="e">
        <f aca="false">(AD244-#REF!)/#REF!</f>
        <v>#REF!</v>
      </c>
      <c r="AF244" s="4" t="n">
        <v>0.25</v>
      </c>
      <c r="AG244" s="4"/>
    </row>
    <row r="245" customFormat="false" ht="14.25" hidden="false" customHeight="false" outlineLevel="0" collapsed="false">
      <c r="B245" s="1" t="n">
        <v>28</v>
      </c>
      <c r="C245" s="4" t="e">
        <f aca="false">(B245-#REF!)/#REF!</f>
        <v>#REF!</v>
      </c>
      <c r="D245" s="1" t="n">
        <v>4</v>
      </c>
      <c r="E245" s="4" t="e">
        <f aca="false">(D245-#REF!)/#REF!</f>
        <v>#REF!</v>
      </c>
      <c r="F245" s="2" t="n">
        <v>16</v>
      </c>
      <c r="G245" s="4" t="e">
        <f aca="false">(F245-#REF!)/#REF!</f>
        <v>#REF!</v>
      </c>
      <c r="H245" s="2" t="n">
        <v>71</v>
      </c>
      <c r="I245" s="4" t="e">
        <f aca="false">(H245-#REF!)/#REF!</f>
        <v>#REF!</v>
      </c>
      <c r="J245" s="4" t="n">
        <v>5.30847435710111</v>
      </c>
      <c r="K245" s="4" t="e">
        <f aca="false">(J245-#REF!)/#REF!</f>
        <v>#REF!</v>
      </c>
      <c r="L245" s="1" t="n">
        <v>30</v>
      </c>
      <c r="M245" s="4" t="e">
        <f aca="false">(L245-#REF!)/#REF!</f>
        <v>#REF!</v>
      </c>
      <c r="N245" s="1" t="n">
        <v>44</v>
      </c>
      <c r="O245" s="4" t="e">
        <f aca="false">(N245-#REF!)/#REF!</f>
        <v>#REF!</v>
      </c>
      <c r="P245" s="1" t="n">
        <v>200</v>
      </c>
      <c r="Q245" s="4" t="e">
        <f aca="false">(P245-#REF!)/#REF!</f>
        <v>#REF!</v>
      </c>
      <c r="R245" s="1" t="n">
        <v>300</v>
      </c>
      <c r="S245" s="4" t="e">
        <f aca="false">(R245-#REF!)/#REF!</f>
        <v>#REF!</v>
      </c>
      <c r="T245" s="1" t="n">
        <f aca="false">R245-N245</f>
        <v>256</v>
      </c>
      <c r="U245" s="4" t="e">
        <f aca="false">(T245-#REF!)/#REF!</f>
        <v>#REF!</v>
      </c>
      <c r="V245" s="1" t="n">
        <v>2463</v>
      </c>
      <c r="W245" s="4" t="e">
        <f aca="false">(V245-#REF!)/#REF!</f>
        <v>#REF!</v>
      </c>
      <c r="X245" s="28" t="n">
        <v>0.04105</v>
      </c>
      <c r="Y245" s="4" t="e">
        <f aca="false">(X245-#REF!)/#REF!</f>
        <v>#REF!</v>
      </c>
      <c r="Z245" s="27" t="n">
        <v>230.64523419418</v>
      </c>
      <c r="AA245" s="4" t="e">
        <f aca="false">(Z245-#REF!)/#REF!</f>
        <v>#REF!</v>
      </c>
      <c r="AB245" s="3" t="n">
        <v>400</v>
      </c>
      <c r="AC245" s="4" t="e">
        <f aca="false">(AB245-#REF!)/#REF!</f>
        <v>#REF!</v>
      </c>
      <c r="AD245" s="25" t="n">
        <v>120.15</v>
      </c>
      <c r="AE245" s="4" t="e">
        <f aca="false">(AD245-#REF!)/#REF!</f>
        <v>#REF!</v>
      </c>
      <c r="AF245" s="4" t="n">
        <v>0.29</v>
      </c>
      <c r="AG245" s="4"/>
    </row>
    <row r="246" customFormat="false" ht="14.25" hidden="false" customHeight="false" outlineLevel="0" collapsed="false">
      <c r="B246" s="1" t="n">
        <v>28</v>
      </c>
      <c r="C246" s="4" t="e">
        <f aca="false">(B246-#REF!)/#REF!</f>
        <v>#REF!</v>
      </c>
      <c r="D246" s="1" t="n">
        <v>4</v>
      </c>
      <c r="E246" s="4" t="e">
        <f aca="false">(D246-#REF!)/#REF!</f>
        <v>#REF!</v>
      </c>
      <c r="F246" s="2" t="n">
        <v>16</v>
      </c>
      <c r="G246" s="4" t="e">
        <f aca="false">(F246-#REF!)/#REF!</f>
        <v>#REF!</v>
      </c>
      <c r="H246" s="2" t="n">
        <v>71</v>
      </c>
      <c r="I246" s="4" t="e">
        <f aca="false">(H246-#REF!)/#REF!</f>
        <v>#REF!</v>
      </c>
      <c r="J246" s="4" t="n">
        <v>5.30847435710111</v>
      </c>
      <c r="K246" s="4" t="e">
        <f aca="false">(J246-#REF!)/#REF!</f>
        <v>#REF!</v>
      </c>
      <c r="L246" s="1" t="n">
        <v>30</v>
      </c>
      <c r="M246" s="4" t="e">
        <f aca="false">(L246-#REF!)/#REF!</f>
        <v>#REF!</v>
      </c>
      <c r="N246" s="1" t="n">
        <v>44</v>
      </c>
      <c r="O246" s="4" t="e">
        <f aca="false">(N246-#REF!)/#REF!</f>
        <v>#REF!</v>
      </c>
      <c r="P246" s="1" t="n">
        <v>200</v>
      </c>
      <c r="Q246" s="4" t="e">
        <f aca="false">(P246-#REF!)/#REF!</f>
        <v>#REF!</v>
      </c>
      <c r="R246" s="1" t="n">
        <v>300</v>
      </c>
      <c r="S246" s="4" t="e">
        <f aca="false">(R246-#REF!)/#REF!</f>
        <v>#REF!</v>
      </c>
      <c r="T246" s="1" t="n">
        <f aca="false">R246-N246</f>
        <v>256</v>
      </c>
      <c r="U246" s="4" t="e">
        <f aca="false">(T246-#REF!)/#REF!</f>
        <v>#REF!</v>
      </c>
      <c r="V246" s="1" t="n">
        <v>2463</v>
      </c>
      <c r="W246" s="4" t="e">
        <f aca="false">(V246-#REF!)/#REF!</f>
        <v>#REF!</v>
      </c>
      <c r="X246" s="28" t="n">
        <v>0.04105</v>
      </c>
      <c r="Y246" s="4" t="e">
        <f aca="false">(X246-#REF!)/#REF!</f>
        <v>#REF!</v>
      </c>
      <c r="Z246" s="27" t="n">
        <v>263.903067589221</v>
      </c>
      <c r="AA246" s="4" t="e">
        <f aca="false">(Z246-#REF!)/#REF!</f>
        <v>#REF!</v>
      </c>
      <c r="AB246" s="3" t="n">
        <v>400</v>
      </c>
      <c r="AC246" s="4" t="e">
        <f aca="false">(AB246-#REF!)/#REF!</f>
        <v>#REF!</v>
      </c>
      <c r="AD246" s="25" t="n">
        <v>137.475</v>
      </c>
      <c r="AE246" s="4" t="e">
        <f aca="false">(AD246-#REF!)/#REF!</f>
        <v>#REF!</v>
      </c>
      <c r="AF246" s="4" t="n">
        <v>0.31</v>
      </c>
      <c r="AG246" s="4"/>
    </row>
    <row r="247" customFormat="false" ht="14.25" hidden="false" customHeight="false" outlineLevel="0" collapsed="false">
      <c r="B247" s="1" t="n">
        <v>28</v>
      </c>
      <c r="C247" s="4" t="e">
        <f aca="false">(B247-#REF!)/#REF!</f>
        <v>#REF!</v>
      </c>
      <c r="D247" s="1" t="n">
        <v>4</v>
      </c>
      <c r="E247" s="4" t="e">
        <f aca="false">(D247-#REF!)/#REF!</f>
        <v>#REF!</v>
      </c>
      <c r="F247" s="2" t="n">
        <v>16</v>
      </c>
      <c r="G247" s="4" t="e">
        <f aca="false">(F247-#REF!)/#REF!</f>
        <v>#REF!</v>
      </c>
      <c r="H247" s="2" t="n">
        <v>71</v>
      </c>
      <c r="I247" s="4" t="e">
        <f aca="false">(H247-#REF!)/#REF!</f>
        <v>#REF!</v>
      </c>
      <c r="J247" s="4" t="n">
        <v>5.30847435710111</v>
      </c>
      <c r="K247" s="4" t="e">
        <f aca="false">(J247-#REF!)/#REF!</f>
        <v>#REF!</v>
      </c>
      <c r="L247" s="1" t="n">
        <v>30</v>
      </c>
      <c r="M247" s="4" t="e">
        <f aca="false">(L247-#REF!)/#REF!</f>
        <v>#REF!</v>
      </c>
      <c r="N247" s="1" t="n">
        <v>44</v>
      </c>
      <c r="O247" s="4" t="e">
        <f aca="false">(N247-#REF!)/#REF!</f>
        <v>#REF!</v>
      </c>
      <c r="P247" s="1" t="n">
        <v>200</v>
      </c>
      <c r="Q247" s="4" t="e">
        <f aca="false">(P247-#REF!)/#REF!</f>
        <v>#REF!</v>
      </c>
      <c r="R247" s="1" t="n">
        <v>300</v>
      </c>
      <c r="S247" s="4" t="e">
        <f aca="false">(R247-#REF!)/#REF!</f>
        <v>#REF!</v>
      </c>
      <c r="T247" s="1" t="n">
        <f aca="false">R247-N247</f>
        <v>256</v>
      </c>
      <c r="U247" s="4" t="e">
        <f aca="false">(T247-#REF!)/#REF!</f>
        <v>#REF!</v>
      </c>
      <c r="V247" s="1" t="n">
        <v>2463</v>
      </c>
      <c r="W247" s="4" t="e">
        <f aca="false">(V247-#REF!)/#REF!</f>
        <v>#REF!</v>
      </c>
      <c r="X247" s="28" t="n">
        <v>0.04105</v>
      </c>
      <c r="Y247" s="4" t="e">
        <f aca="false">(X247-#REF!)/#REF!</f>
        <v>#REF!</v>
      </c>
      <c r="Z247" s="27" t="n">
        <v>315.733457295778</v>
      </c>
      <c r="AA247" s="4" t="e">
        <f aca="false">(Z247-#REF!)/#REF!</f>
        <v>#REF!</v>
      </c>
      <c r="AB247" s="3" t="n">
        <v>400</v>
      </c>
      <c r="AC247" s="4" t="e">
        <f aca="false">(AB247-#REF!)/#REF!</f>
        <v>#REF!</v>
      </c>
      <c r="AD247" s="25" t="n">
        <v>164.475</v>
      </c>
      <c r="AE247" s="4" t="e">
        <f aca="false">(AD247-#REF!)/#REF!</f>
        <v>#REF!</v>
      </c>
      <c r="AF247" s="4" t="n">
        <v>0.33</v>
      </c>
      <c r="AG247" s="4"/>
    </row>
    <row r="248" customFormat="false" ht="14.25" hidden="false" customHeight="false" outlineLevel="0" collapsed="false">
      <c r="B248" s="1" t="n">
        <v>28</v>
      </c>
      <c r="C248" s="4" t="e">
        <f aca="false">(B248-#REF!)/#REF!</f>
        <v>#REF!</v>
      </c>
      <c r="D248" s="1" t="n">
        <v>4</v>
      </c>
      <c r="E248" s="4" t="e">
        <f aca="false">(D248-#REF!)/#REF!</f>
        <v>#REF!</v>
      </c>
      <c r="F248" s="2" t="n">
        <v>16</v>
      </c>
      <c r="G248" s="4" t="e">
        <f aca="false">(F248-#REF!)/#REF!</f>
        <v>#REF!</v>
      </c>
      <c r="H248" s="2" t="n">
        <v>71</v>
      </c>
      <c r="I248" s="4" t="e">
        <f aca="false">(H248-#REF!)/#REF!</f>
        <v>#REF!</v>
      </c>
      <c r="J248" s="4" t="n">
        <v>5.30847435710111</v>
      </c>
      <c r="K248" s="4" t="e">
        <f aca="false">(J248-#REF!)/#REF!</f>
        <v>#REF!</v>
      </c>
      <c r="L248" s="1" t="n">
        <v>30</v>
      </c>
      <c r="M248" s="4" t="e">
        <f aca="false">(L248-#REF!)/#REF!</f>
        <v>#REF!</v>
      </c>
      <c r="N248" s="1" t="n">
        <v>44</v>
      </c>
      <c r="O248" s="4" t="e">
        <f aca="false">(N248-#REF!)/#REF!</f>
        <v>#REF!</v>
      </c>
      <c r="P248" s="1" t="n">
        <v>200</v>
      </c>
      <c r="Q248" s="4" t="e">
        <f aca="false">(P248-#REF!)/#REF!</f>
        <v>#REF!</v>
      </c>
      <c r="R248" s="1" t="n">
        <v>300</v>
      </c>
      <c r="S248" s="4" t="e">
        <f aca="false">(R248-#REF!)/#REF!</f>
        <v>#REF!</v>
      </c>
      <c r="T248" s="1" t="n">
        <f aca="false">R248-N248</f>
        <v>256</v>
      </c>
      <c r="U248" s="4" t="e">
        <f aca="false">(T248-#REF!)/#REF!</f>
        <v>#REF!</v>
      </c>
      <c r="V248" s="1" t="n">
        <v>2463</v>
      </c>
      <c r="W248" s="4" t="e">
        <f aca="false">(V248-#REF!)/#REF!</f>
        <v>#REF!</v>
      </c>
      <c r="X248" s="28" t="n">
        <v>0.04105</v>
      </c>
      <c r="Y248" s="4" t="e">
        <f aca="false">(X248-#REF!)/#REF!</f>
        <v>#REF!</v>
      </c>
      <c r="Z248" s="27" t="n">
        <v>342.080572063278</v>
      </c>
      <c r="AA248" s="4" t="e">
        <f aca="false">(Z248-#REF!)/#REF!</f>
        <v>#REF!</v>
      </c>
      <c r="AB248" s="3" t="n">
        <v>400</v>
      </c>
      <c r="AC248" s="4" t="e">
        <f aca="false">(AB248-#REF!)/#REF!</f>
        <v>#REF!</v>
      </c>
      <c r="AD248" s="25" t="n">
        <v>178.2</v>
      </c>
      <c r="AE248" s="4" t="e">
        <f aca="false">(AD248-#REF!)/#REF!</f>
        <v>#REF!</v>
      </c>
      <c r="AF248" s="4" t="n">
        <v>0.34</v>
      </c>
      <c r="AG248" s="4"/>
    </row>
    <row r="249" customFormat="false" ht="14.25" hidden="false" customHeight="false" outlineLevel="0" collapsed="false">
      <c r="B249" s="1" t="n">
        <v>28</v>
      </c>
      <c r="C249" s="4" t="e">
        <f aca="false">(B249-#REF!)/#REF!</f>
        <v>#REF!</v>
      </c>
      <c r="D249" s="1" t="n">
        <v>4</v>
      </c>
      <c r="E249" s="4" t="e">
        <f aca="false">(D249-#REF!)/#REF!</f>
        <v>#REF!</v>
      </c>
      <c r="F249" s="2" t="n">
        <v>16</v>
      </c>
      <c r="G249" s="4" t="e">
        <f aca="false">(F249-#REF!)/#REF!</f>
        <v>#REF!</v>
      </c>
      <c r="H249" s="2" t="n">
        <v>71</v>
      </c>
      <c r="I249" s="4" t="e">
        <f aca="false">(H249-#REF!)/#REF!</f>
        <v>#REF!</v>
      </c>
      <c r="J249" s="4" t="n">
        <v>5.30847435710111</v>
      </c>
      <c r="K249" s="4" t="e">
        <f aca="false">(J249-#REF!)/#REF!</f>
        <v>#REF!</v>
      </c>
      <c r="L249" s="1" t="n">
        <v>30</v>
      </c>
      <c r="M249" s="4" t="e">
        <f aca="false">(L249-#REF!)/#REF!</f>
        <v>#REF!</v>
      </c>
      <c r="N249" s="1" t="n">
        <v>44</v>
      </c>
      <c r="O249" s="4" t="e">
        <f aca="false">(N249-#REF!)/#REF!</f>
        <v>#REF!</v>
      </c>
      <c r="P249" s="1" t="n">
        <v>200</v>
      </c>
      <c r="Q249" s="4" t="e">
        <f aca="false">(P249-#REF!)/#REF!</f>
        <v>#REF!</v>
      </c>
      <c r="R249" s="1" t="n">
        <v>300</v>
      </c>
      <c r="S249" s="4" t="e">
        <f aca="false">(R249-#REF!)/#REF!</f>
        <v>#REF!</v>
      </c>
      <c r="T249" s="1" t="n">
        <f aca="false">R249-N249</f>
        <v>256</v>
      </c>
      <c r="U249" s="4" t="e">
        <f aca="false">(T249-#REF!)/#REF!</f>
        <v>#REF!</v>
      </c>
      <c r="V249" s="1" t="n">
        <v>2463</v>
      </c>
      <c r="W249" s="4" t="e">
        <f aca="false">(V249-#REF!)/#REF!</f>
        <v>#REF!</v>
      </c>
      <c r="X249" s="28" t="n">
        <v>0.04105</v>
      </c>
      <c r="Y249" s="4" t="e">
        <f aca="false">(X249-#REF!)/#REF!</f>
        <v>#REF!</v>
      </c>
      <c r="Z249" s="27" t="n">
        <v>380.521444428975</v>
      </c>
      <c r="AA249" s="4" t="e">
        <f aca="false">(Z249-#REF!)/#REF!</f>
        <v>#REF!</v>
      </c>
      <c r="AB249" s="3" t="n">
        <v>400</v>
      </c>
      <c r="AC249" s="4" t="e">
        <f aca="false">(AB249-#REF!)/#REF!</f>
        <v>#REF!</v>
      </c>
      <c r="AD249" s="25" t="n">
        <v>198.225</v>
      </c>
      <c r="AE249" s="4" t="e">
        <f aca="false">(AD249-#REF!)/#REF!</f>
        <v>#REF!</v>
      </c>
      <c r="AF249" s="4" t="n">
        <v>0.37</v>
      </c>
      <c r="AG249" s="4"/>
    </row>
    <row r="250" customFormat="false" ht="14.25" hidden="false" customHeight="false" outlineLevel="0" collapsed="false">
      <c r="A250" s="0" t="s">
        <v>73</v>
      </c>
      <c r="B250" s="1" t="n">
        <v>15.9</v>
      </c>
      <c r="C250" s="4" t="e">
        <f aca="false">(B250-#REF!)/#REF!</f>
        <v>#REF!</v>
      </c>
      <c r="D250" s="1" t="n">
        <v>2</v>
      </c>
      <c r="E250" s="4" t="e">
        <f aca="false">(D250-#REF!)/#REF!</f>
        <v>#REF!</v>
      </c>
      <c r="F250" s="2" t="n">
        <v>46</v>
      </c>
      <c r="G250" s="4" t="e">
        <f aca="false">(F250-#REF!)/#REF!</f>
        <v>#REF!</v>
      </c>
      <c r="H250" s="2" t="n">
        <v>28.91</v>
      </c>
      <c r="I250" s="4" t="e">
        <f aca="false">(H250-#REF!)/#REF!</f>
        <v>#REF!</v>
      </c>
      <c r="J250" s="4" t="n">
        <v>2.82587739786632</v>
      </c>
      <c r="K250" s="4" t="e">
        <f aca="false">(J250-#REF!)/#REF!</f>
        <v>#REF!</v>
      </c>
      <c r="L250" s="1" t="n">
        <v>30</v>
      </c>
      <c r="M250" s="4" t="e">
        <f aca="false">(L250-#REF!)/#REF!</f>
        <v>#REF!</v>
      </c>
      <c r="N250" s="1" t="n">
        <v>38</v>
      </c>
      <c r="O250" s="4" t="e">
        <f aca="false">(N250-#REF!)/#REF!</f>
        <v>#REF!</v>
      </c>
      <c r="P250" s="1" t="n">
        <v>150</v>
      </c>
      <c r="Q250" s="4" t="e">
        <f aca="false">(P250-#REF!)/#REF!</f>
        <v>#REF!</v>
      </c>
      <c r="R250" s="1" t="n">
        <v>250</v>
      </c>
      <c r="S250" s="4" t="e">
        <f aca="false">(R250-#REF!)/#REF!</f>
        <v>#REF!</v>
      </c>
      <c r="T250" s="1" t="n">
        <f aca="false">R250-N250</f>
        <v>212</v>
      </c>
      <c r="U250" s="4" t="e">
        <f aca="false">(T250-#REF!)/#REF!</f>
        <v>#REF!</v>
      </c>
      <c r="V250" s="1" t="n">
        <v>397.2</v>
      </c>
      <c r="W250" s="4" t="e">
        <f aca="false">(V250-#REF!)/#REF!</f>
        <v>#REF!</v>
      </c>
      <c r="X250" s="28" t="n">
        <v>0.010592</v>
      </c>
      <c r="Y250" s="4" t="e">
        <f aca="false">(X250-#REF!)/#REF!</f>
        <v>#REF!</v>
      </c>
      <c r="Z250" s="27" t="n">
        <v>361.669574509028</v>
      </c>
      <c r="AA250" s="4" t="e">
        <f aca="false">(Z250-#REF!)/#REF!</f>
        <v>#REF!</v>
      </c>
      <c r="AB250" s="3" t="n">
        <v>392</v>
      </c>
      <c r="AC250" s="4" t="e">
        <f aca="false">(AB250-#REF!)/#REF!</f>
        <v>#REF!</v>
      </c>
      <c r="AD250" s="25" t="n">
        <v>27.1</v>
      </c>
      <c r="AE250" s="4" t="e">
        <f aca="false">(AD250-#REF!)/#REF!</f>
        <v>#REF!</v>
      </c>
      <c r="AF250" s="4" t="n">
        <v>0.2</v>
      </c>
      <c r="AG250" s="4"/>
    </row>
    <row r="251" customFormat="false" ht="14.25" hidden="false" customHeight="false" outlineLevel="0" collapsed="false">
      <c r="B251" s="1" t="n">
        <v>15.9</v>
      </c>
      <c r="C251" s="4" t="e">
        <f aca="false">(B251-#REF!)/#REF!</f>
        <v>#REF!</v>
      </c>
      <c r="D251" s="1" t="n">
        <v>2</v>
      </c>
      <c r="E251" s="4" t="e">
        <f aca="false">(D251-#REF!)/#REF!</f>
        <v>#REF!</v>
      </c>
      <c r="F251" s="2" t="n">
        <v>46</v>
      </c>
      <c r="G251" s="4" t="e">
        <f aca="false">(F251-#REF!)/#REF!</f>
        <v>#REF!</v>
      </c>
      <c r="H251" s="2" t="n">
        <v>28.91</v>
      </c>
      <c r="I251" s="4" t="e">
        <f aca="false">(H251-#REF!)/#REF!</f>
        <v>#REF!</v>
      </c>
      <c r="J251" s="4" t="n">
        <v>2.82587739786632</v>
      </c>
      <c r="K251" s="4" t="e">
        <f aca="false">(J251-#REF!)/#REF!</f>
        <v>#REF!</v>
      </c>
      <c r="L251" s="1" t="n">
        <v>30</v>
      </c>
      <c r="M251" s="4" t="e">
        <f aca="false">(L251-#REF!)/#REF!</f>
        <v>#REF!</v>
      </c>
      <c r="N251" s="1" t="n">
        <v>38</v>
      </c>
      <c r="O251" s="4" t="e">
        <f aca="false">(N251-#REF!)/#REF!</f>
        <v>#REF!</v>
      </c>
      <c r="P251" s="1" t="n">
        <v>150</v>
      </c>
      <c r="Q251" s="4" t="e">
        <f aca="false">(P251-#REF!)/#REF!</f>
        <v>#REF!</v>
      </c>
      <c r="R251" s="1" t="n">
        <v>250</v>
      </c>
      <c r="S251" s="4" t="e">
        <f aca="false">(R251-#REF!)/#REF!</f>
        <v>#REF!</v>
      </c>
      <c r="T251" s="1" t="n">
        <f aca="false">R251-N251</f>
        <v>212</v>
      </c>
      <c r="U251" s="4" t="e">
        <f aca="false">(T251-#REF!)/#REF!</f>
        <v>#REF!</v>
      </c>
      <c r="V251" s="1" t="n">
        <v>397.2</v>
      </c>
      <c r="W251" s="4" t="e">
        <f aca="false">(V251-#REF!)/#REF!</f>
        <v>#REF!</v>
      </c>
      <c r="X251" s="28" t="n">
        <v>0.010592</v>
      </c>
      <c r="Y251" s="4" t="e">
        <f aca="false">(X251-#REF!)/#REF!</f>
        <v>#REF!</v>
      </c>
      <c r="Z251" s="27" t="n">
        <v>392.3</v>
      </c>
      <c r="AA251" s="4" t="e">
        <f aca="false">(Z251-#REF!)/#REF!</f>
        <v>#REF!</v>
      </c>
      <c r="AB251" s="3" t="n">
        <v>392</v>
      </c>
      <c r="AC251" s="4" t="e">
        <f aca="false">(AB251-#REF!)/#REF!</f>
        <v>#REF!</v>
      </c>
      <c r="AD251" s="25" t="n">
        <v>35.6</v>
      </c>
      <c r="AE251" s="4" t="e">
        <f aca="false">(AD251-#REF!)/#REF!</f>
        <v>#REF!</v>
      </c>
      <c r="AF251" s="4" t="n">
        <v>0.35</v>
      </c>
      <c r="AG251" s="4"/>
    </row>
    <row r="252" customFormat="false" ht="14.25" hidden="false" customHeight="false" outlineLevel="0" collapsed="false">
      <c r="A252" s="0" t="s">
        <v>74</v>
      </c>
      <c r="B252" s="1" t="n">
        <v>15.9</v>
      </c>
      <c r="C252" s="4" t="e">
        <f aca="false">(B252-#REF!)/#REF!</f>
        <v>#REF!</v>
      </c>
      <c r="D252" s="1" t="n">
        <v>2</v>
      </c>
      <c r="E252" s="4" t="e">
        <f aca="false">(D252-#REF!)/#REF!</f>
        <v>#REF!</v>
      </c>
      <c r="F252" s="2" t="n">
        <v>46</v>
      </c>
      <c r="G252" s="4" t="e">
        <f aca="false">(F252-#REF!)/#REF!</f>
        <v>#REF!</v>
      </c>
      <c r="H252" s="2" t="n">
        <v>28.91</v>
      </c>
      <c r="I252" s="4" t="e">
        <f aca="false">(H252-#REF!)/#REF!</f>
        <v>#REF!</v>
      </c>
      <c r="J252" s="4" t="n">
        <v>2.82587739786632</v>
      </c>
      <c r="K252" s="4" t="e">
        <f aca="false">(J252-#REF!)/#REF!</f>
        <v>#REF!</v>
      </c>
      <c r="L252" s="1" t="n">
        <v>30</v>
      </c>
      <c r="M252" s="4" t="e">
        <f aca="false">(L252-#REF!)/#REF!</f>
        <v>#REF!</v>
      </c>
      <c r="N252" s="1" t="n">
        <v>38</v>
      </c>
      <c r="O252" s="4" t="e">
        <f aca="false">(N252-#REF!)/#REF!</f>
        <v>#REF!</v>
      </c>
      <c r="P252" s="1" t="n">
        <v>150</v>
      </c>
      <c r="Q252" s="4" t="e">
        <f aca="false">(P252-#REF!)/#REF!</f>
        <v>#REF!</v>
      </c>
      <c r="R252" s="1" t="n">
        <v>250</v>
      </c>
      <c r="S252" s="4" t="e">
        <f aca="false">(R252-#REF!)/#REF!</f>
        <v>#REF!</v>
      </c>
      <c r="T252" s="1" t="n">
        <f aca="false">R252-N252</f>
        <v>212</v>
      </c>
      <c r="U252" s="4" t="e">
        <f aca="false">(T252-#REF!)/#REF!</f>
        <v>#REF!</v>
      </c>
      <c r="V252" s="1" t="n">
        <v>397.2</v>
      </c>
      <c r="W252" s="4" t="e">
        <f aca="false">(V252-#REF!)/#REF!</f>
        <v>#REF!</v>
      </c>
      <c r="X252" s="28" t="n">
        <v>0.010592</v>
      </c>
      <c r="Y252" s="4" t="e">
        <f aca="false">(X252-#REF!)/#REF!</f>
        <v>#REF!</v>
      </c>
      <c r="Z252" s="27" t="n">
        <v>363.004148584707</v>
      </c>
      <c r="AA252" s="4" t="e">
        <f aca="false">(Z252-#REF!)/#REF!</f>
        <v>#REF!</v>
      </c>
      <c r="AB252" s="3" t="n">
        <v>392</v>
      </c>
      <c r="AC252" s="4" t="e">
        <f aca="false">(AB252-#REF!)/#REF!</f>
        <v>#REF!</v>
      </c>
      <c r="AD252" s="25" t="n">
        <v>27.2</v>
      </c>
      <c r="AE252" s="4" t="e">
        <f aca="false">(AD252-#REF!)/#REF!</f>
        <v>#REF!</v>
      </c>
      <c r="AF252" s="4" t="n">
        <v>0.2</v>
      </c>
      <c r="AG252" s="4"/>
    </row>
    <row r="253" customFormat="false" ht="14.25" hidden="false" customHeight="false" outlineLevel="0" collapsed="false">
      <c r="B253" s="1" t="n">
        <v>15.9</v>
      </c>
      <c r="C253" s="4" t="e">
        <f aca="false">(B253-#REF!)/#REF!</f>
        <v>#REF!</v>
      </c>
      <c r="D253" s="1" t="n">
        <v>2</v>
      </c>
      <c r="E253" s="4" t="e">
        <f aca="false">(D253-#REF!)/#REF!</f>
        <v>#REF!</v>
      </c>
      <c r="F253" s="2" t="n">
        <v>46</v>
      </c>
      <c r="G253" s="4" t="e">
        <f aca="false">(F253-#REF!)/#REF!</f>
        <v>#REF!</v>
      </c>
      <c r="H253" s="2" t="n">
        <v>28.91</v>
      </c>
      <c r="I253" s="4" t="e">
        <f aca="false">(H253-#REF!)/#REF!</f>
        <v>#REF!</v>
      </c>
      <c r="J253" s="4" t="n">
        <v>2.82587739786632</v>
      </c>
      <c r="K253" s="4" t="e">
        <f aca="false">(J253-#REF!)/#REF!</f>
        <v>#REF!</v>
      </c>
      <c r="L253" s="1" t="n">
        <v>30</v>
      </c>
      <c r="M253" s="4" t="e">
        <f aca="false">(L253-#REF!)/#REF!</f>
        <v>#REF!</v>
      </c>
      <c r="N253" s="1" t="n">
        <v>38</v>
      </c>
      <c r="O253" s="4" t="e">
        <f aca="false">(N253-#REF!)/#REF!</f>
        <v>#REF!</v>
      </c>
      <c r="P253" s="1" t="n">
        <v>150</v>
      </c>
      <c r="Q253" s="4" t="e">
        <f aca="false">(P253-#REF!)/#REF!</f>
        <v>#REF!</v>
      </c>
      <c r="R253" s="1" t="n">
        <v>250</v>
      </c>
      <c r="S253" s="4" t="e">
        <f aca="false">(R253-#REF!)/#REF!</f>
        <v>#REF!</v>
      </c>
      <c r="T253" s="1" t="n">
        <f aca="false">R253-N253</f>
        <v>212</v>
      </c>
      <c r="U253" s="4" t="e">
        <f aca="false">(T253-#REF!)/#REF!</f>
        <v>#REF!</v>
      </c>
      <c r="V253" s="1" t="n">
        <v>397.2</v>
      </c>
      <c r="W253" s="4" t="e">
        <f aca="false">(V253-#REF!)/#REF!</f>
        <v>#REF!</v>
      </c>
      <c r="X253" s="28" t="n">
        <v>0.010592</v>
      </c>
      <c r="Y253" s="4" t="e">
        <f aca="false">(X253-#REF!)/#REF!</f>
        <v>#REF!</v>
      </c>
      <c r="Z253" s="27" t="n">
        <v>392.3</v>
      </c>
      <c r="AA253" s="4" t="e">
        <f aca="false">(Z253-#REF!)/#REF!</f>
        <v>#REF!</v>
      </c>
      <c r="AB253" s="3" t="n">
        <v>392</v>
      </c>
      <c r="AC253" s="4" t="e">
        <f aca="false">(AB253-#REF!)/#REF!</f>
        <v>#REF!</v>
      </c>
      <c r="AD253" s="25" t="n">
        <v>35.6</v>
      </c>
      <c r="AE253" s="4" t="e">
        <f aca="false">(AD253-#REF!)/#REF!</f>
        <v>#REF!</v>
      </c>
      <c r="AF253" s="4" t="n">
        <v>0.25</v>
      </c>
      <c r="AG253" s="4"/>
    </row>
    <row r="254" customFormat="false" ht="14.25" hidden="false" customHeight="false" outlineLevel="0" collapsed="false">
      <c r="A254" s="0" t="s">
        <v>75</v>
      </c>
      <c r="B254" s="1" t="n">
        <v>15.9</v>
      </c>
      <c r="C254" s="4" t="e">
        <f aca="false">(B254-#REF!)/#REF!</f>
        <v>#REF!</v>
      </c>
      <c r="D254" s="1" t="n">
        <v>2</v>
      </c>
      <c r="E254" s="4" t="e">
        <f aca="false">(D254-#REF!)/#REF!</f>
        <v>#REF!</v>
      </c>
      <c r="F254" s="2" t="n">
        <v>46</v>
      </c>
      <c r="G254" s="4" t="e">
        <f aca="false">(F254-#REF!)/#REF!</f>
        <v>#REF!</v>
      </c>
      <c r="H254" s="2" t="n">
        <v>28.91</v>
      </c>
      <c r="I254" s="4" t="e">
        <f aca="false">(H254-#REF!)/#REF!</f>
        <v>#REF!</v>
      </c>
      <c r="J254" s="4" t="n">
        <v>2.82587739786632</v>
      </c>
      <c r="K254" s="4" t="e">
        <f aca="false">(J254-#REF!)/#REF!</f>
        <v>#REF!</v>
      </c>
      <c r="L254" s="1" t="n">
        <v>30</v>
      </c>
      <c r="M254" s="4" t="e">
        <f aca="false">(L254-#REF!)/#REF!</f>
        <v>#REF!</v>
      </c>
      <c r="N254" s="1" t="n">
        <v>38</v>
      </c>
      <c r="O254" s="4" t="e">
        <f aca="false">(N254-#REF!)/#REF!</f>
        <v>#REF!</v>
      </c>
      <c r="P254" s="1" t="n">
        <v>150</v>
      </c>
      <c r="Q254" s="4" t="e">
        <f aca="false">(P254-#REF!)/#REF!</f>
        <v>#REF!</v>
      </c>
      <c r="R254" s="1" t="n">
        <v>250</v>
      </c>
      <c r="S254" s="4" t="e">
        <f aca="false">(R254-#REF!)/#REF!</f>
        <v>#REF!</v>
      </c>
      <c r="T254" s="1" t="n">
        <f aca="false">R254-N254</f>
        <v>212</v>
      </c>
      <c r="U254" s="4" t="e">
        <f aca="false">(T254-#REF!)/#REF!</f>
        <v>#REF!</v>
      </c>
      <c r="V254" s="1" t="n">
        <v>397.2</v>
      </c>
      <c r="W254" s="4" t="e">
        <f aca="false">(V254-#REF!)/#REF!</f>
        <v>#REF!</v>
      </c>
      <c r="X254" s="28" t="n">
        <v>0.010592</v>
      </c>
      <c r="Y254" s="4" t="e">
        <f aca="false">(X254-#REF!)/#REF!</f>
        <v>#REF!</v>
      </c>
      <c r="Z254" s="27" t="n">
        <v>363.004148584707</v>
      </c>
      <c r="AA254" s="4" t="e">
        <f aca="false">(Z254-#REF!)/#REF!</f>
        <v>#REF!</v>
      </c>
      <c r="AB254" s="3" t="n">
        <v>392</v>
      </c>
      <c r="AC254" s="4" t="e">
        <f aca="false">(AB254-#REF!)/#REF!</f>
        <v>#REF!</v>
      </c>
      <c r="AD254" s="25" t="n">
        <v>27.2</v>
      </c>
      <c r="AE254" s="4" t="e">
        <f aca="false">(AD254-#REF!)/#REF!</f>
        <v>#REF!</v>
      </c>
      <c r="AF254" s="4" t="n">
        <v>0.2</v>
      </c>
      <c r="AG254" s="4"/>
    </row>
    <row r="255" customFormat="false" ht="14.25" hidden="false" customHeight="false" outlineLevel="0" collapsed="false">
      <c r="B255" s="1" t="n">
        <v>15.9</v>
      </c>
      <c r="C255" s="4" t="e">
        <f aca="false">(B255-#REF!)/#REF!</f>
        <v>#REF!</v>
      </c>
      <c r="D255" s="1" t="n">
        <v>2</v>
      </c>
      <c r="E255" s="4" t="e">
        <f aca="false">(D255-#REF!)/#REF!</f>
        <v>#REF!</v>
      </c>
      <c r="F255" s="2" t="n">
        <v>46</v>
      </c>
      <c r="G255" s="4" t="e">
        <f aca="false">(F255-#REF!)/#REF!</f>
        <v>#REF!</v>
      </c>
      <c r="H255" s="2" t="n">
        <v>28.91</v>
      </c>
      <c r="I255" s="4" t="e">
        <f aca="false">(H255-#REF!)/#REF!</f>
        <v>#REF!</v>
      </c>
      <c r="J255" s="4" t="n">
        <v>2.82587739786632</v>
      </c>
      <c r="K255" s="4" t="e">
        <f aca="false">(J255-#REF!)/#REF!</f>
        <v>#REF!</v>
      </c>
      <c r="L255" s="1" t="n">
        <v>30</v>
      </c>
      <c r="M255" s="4" t="e">
        <f aca="false">(L255-#REF!)/#REF!</f>
        <v>#REF!</v>
      </c>
      <c r="N255" s="1" t="n">
        <v>38</v>
      </c>
      <c r="O255" s="4" t="e">
        <f aca="false">(N255-#REF!)/#REF!</f>
        <v>#REF!</v>
      </c>
      <c r="P255" s="1" t="n">
        <v>150</v>
      </c>
      <c r="Q255" s="4" t="e">
        <f aca="false">(P255-#REF!)/#REF!</f>
        <v>#REF!</v>
      </c>
      <c r="R255" s="1" t="n">
        <v>250</v>
      </c>
      <c r="S255" s="4" t="e">
        <f aca="false">(R255-#REF!)/#REF!</f>
        <v>#REF!</v>
      </c>
      <c r="T255" s="1" t="n">
        <f aca="false">R255-N255</f>
        <v>212</v>
      </c>
      <c r="U255" s="4" t="e">
        <f aca="false">(T255-#REF!)/#REF!</f>
        <v>#REF!</v>
      </c>
      <c r="V255" s="1" t="n">
        <v>397.2</v>
      </c>
      <c r="W255" s="4" t="e">
        <f aca="false">(V255-#REF!)/#REF!</f>
        <v>#REF!</v>
      </c>
      <c r="X255" s="28" t="n">
        <v>0.010592</v>
      </c>
      <c r="Y255" s="4" t="e">
        <f aca="false">(X255-#REF!)/#REF!</f>
        <v>#REF!</v>
      </c>
      <c r="Z255" s="27" t="n">
        <v>392.3</v>
      </c>
      <c r="AA255" s="4" t="e">
        <f aca="false">(Z255-#REF!)/#REF!</f>
        <v>#REF!</v>
      </c>
      <c r="AB255" s="3" t="n">
        <v>392</v>
      </c>
      <c r="AC255" s="4" t="e">
        <f aca="false">(AB255-#REF!)/#REF!</f>
        <v>#REF!</v>
      </c>
      <c r="AD255" s="25" t="n">
        <v>35.6</v>
      </c>
      <c r="AE255" s="4" t="e">
        <f aca="false">(AD255-#REF!)/#REF!</f>
        <v>#REF!</v>
      </c>
      <c r="AF255" s="4" t="n">
        <v>0.25</v>
      </c>
      <c r="AG255" s="4"/>
    </row>
    <row r="256" customFormat="false" ht="14.25" hidden="false" customHeight="false" outlineLevel="0" collapsed="false">
      <c r="A256" s="0" t="s">
        <v>76</v>
      </c>
      <c r="B256" s="1" t="n">
        <v>15.9</v>
      </c>
      <c r="C256" s="4" t="e">
        <f aca="false">(B256-#REF!)/#REF!</f>
        <v>#REF!</v>
      </c>
      <c r="D256" s="1" t="n">
        <v>2</v>
      </c>
      <c r="E256" s="4" t="e">
        <f aca="false">(D256-#REF!)/#REF!</f>
        <v>#REF!</v>
      </c>
      <c r="F256" s="2" t="n">
        <v>46</v>
      </c>
      <c r="G256" s="4" t="e">
        <f aca="false">(F256-#REF!)/#REF!</f>
        <v>#REF!</v>
      </c>
      <c r="H256" s="2" t="n">
        <v>28.91</v>
      </c>
      <c r="I256" s="4" t="e">
        <f aca="false">(H256-#REF!)/#REF!</f>
        <v>#REF!</v>
      </c>
      <c r="J256" s="4" t="n">
        <v>2.82587739786632</v>
      </c>
      <c r="K256" s="4" t="e">
        <f aca="false">(J256-#REF!)/#REF!</f>
        <v>#REF!</v>
      </c>
      <c r="L256" s="1" t="n">
        <v>30</v>
      </c>
      <c r="M256" s="4" t="e">
        <f aca="false">(L256-#REF!)/#REF!</f>
        <v>#REF!</v>
      </c>
      <c r="N256" s="1" t="n">
        <v>38</v>
      </c>
      <c r="O256" s="4" t="e">
        <f aca="false">(N256-#REF!)/#REF!</f>
        <v>#REF!</v>
      </c>
      <c r="P256" s="1" t="n">
        <v>150</v>
      </c>
      <c r="Q256" s="4" t="e">
        <f aca="false">(P256-#REF!)/#REF!</f>
        <v>#REF!</v>
      </c>
      <c r="R256" s="1" t="n">
        <v>250</v>
      </c>
      <c r="S256" s="4" t="e">
        <f aca="false">(R256-#REF!)/#REF!</f>
        <v>#REF!</v>
      </c>
      <c r="T256" s="1" t="n">
        <f aca="false">R256-N256</f>
        <v>212</v>
      </c>
      <c r="U256" s="4" t="e">
        <f aca="false">(T256-#REF!)/#REF!</f>
        <v>#REF!</v>
      </c>
      <c r="V256" s="1" t="n">
        <v>397.2</v>
      </c>
      <c r="W256" s="4" t="e">
        <f aca="false">(V256-#REF!)/#REF!</f>
        <v>#REF!</v>
      </c>
      <c r="X256" s="28" t="n">
        <v>0.010592</v>
      </c>
      <c r="Y256" s="4" t="e">
        <f aca="false">(X256-#REF!)/#REF!</f>
        <v>#REF!</v>
      </c>
      <c r="Z256" s="27" t="n">
        <v>364.338722660386</v>
      </c>
      <c r="AA256" s="4" t="e">
        <f aca="false">(Z256-#REF!)/#REF!</f>
        <v>#REF!</v>
      </c>
      <c r="AB256" s="3" t="n">
        <v>392</v>
      </c>
      <c r="AC256" s="4" t="e">
        <f aca="false">(AB256-#REF!)/#REF!</f>
        <v>#REF!</v>
      </c>
      <c r="AD256" s="25" t="n">
        <v>27.3</v>
      </c>
      <c r="AE256" s="4" t="e">
        <f aca="false">(AD256-#REF!)/#REF!</f>
        <v>#REF!</v>
      </c>
      <c r="AF256" s="4" t="n">
        <v>0.2</v>
      </c>
      <c r="AG256" s="4"/>
    </row>
    <row r="257" customFormat="false" ht="14.25" hidden="false" customHeight="false" outlineLevel="0" collapsed="false">
      <c r="B257" s="1" t="n">
        <v>15.9</v>
      </c>
      <c r="C257" s="4" t="e">
        <f aca="false">(B257-#REF!)/#REF!</f>
        <v>#REF!</v>
      </c>
      <c r="D257" s="1" t="n">
        <v>2</v>
      </c>
      <c r="E257" s="4" t="e">
        <f aca="false">(D257-#REF!)/#REF!</f>
        <v>#REF!</v>
      </c>
      <c r="F257" s="2" t="n">
        <v>46</v>
      </c>
      <c r="G257" s="4" t="e">
        <f aca="false">(F257-#REF!)/#REF!</f>
        <v>#REF!</v>
      </c>
      <c r="H257" s="2" t="n">
        <v>28.91</v>
      </c>
      <c r="I257" s="4" t="e">
        <f aca="false">(H257-#REF!)/#REF!</f>
        <v>#REF!</v>
      </c>
      <c r="J257" s="4" t="n">
        <v>2.82587739786632</v>
      </c>
      <c r="K257" s="4" t="e">
        <f aca="false">(J257-#REF!)/#REF!</f>
        <v>#REF!</v>
      </c>
      <c r="L257" s="1" t="n">
        <v>30</v>
      </c>
      <c r="M257" s="4" t="e">
        <f aca="false">(L257-#REF!)/#REF!</f>
        <v>#REF!</v>
      </c>
      <c r="N257" s="1" t="n">
        <v>38</v>
      </c>
      <c r="O257" s="4" t="e">
        <f aca="false">(N257-#REF!)/#REF!</f>
        <v>#REF!</v>
      </c>
      <c r="P257" s="1" t="n">
        <v>150</v>
      </c>
      <c r="Q257" s="4" t="e">
        <f aca="false">(P257-#REF!)/#REF!</f>
        <v>#REF!</v>
      </c>
      <c r="R257" s="1" t="n">
        <v>250</v>
      </c>
      <c r="S257" s="4" t="e">
        <f aca="false">(R257-#REF!)/#REF!</f>
        <v>#REF!</v>
      </c>
      <c r="T257" s="1" t="n">
        <f aca="false">R257-N257</f>
        <v>212</v>
      </c>
      <c r="U257" s="4" t="e">
        <f aca="false">(T257-#REF!)/#REF!</f>
        <v>#REF!</v>
      </c>
      <c r="V257" s="1" t="n">
        <v>397.2</v>
      </c>
      <c r="W257" s="4" t="e">
        <f aca="false">(V257-#REF!)/#REF!</f>
        <v>#REF!</v>
      </c>
      <c r="X257" s="28" t="n">
        <v>0.010592</v>
      </c>
      <c r="Y257" s="4" t="e">
        <f aca="false">(X257-#REF!)/#REF!</f>
        <v>#REF!</v>
      </c>
      <c r="Z257" s="27" t="n">
        <v>392.3</v>
      </c>
      <c r="AA257" s="4" t="e">
        <f aca="false">(Z257-#REF!)/#REF!</f>
        <v>#REF!</v>
      </c>
      <c r="AB257" s="3" t="n">
        <v>392</v>
      </c>
      <c r="AC257" s="4" t="e">
        <f aca="false">(AB257-#REF!)/#REF!</f>
        <v>#REF!</v>
      </c>
      <c r="AD257" s="25" t="n">
        <v>35.7</v>
      </c>
      <c r="AE257" s="4" t="e">
        <f aca="false">(AD257-#REF!)/#REF!</f>
        <v>#REF!</v>
      </c>
      <c r="AF257" s="4" t="n">
        <v>0.3</v>
      </c>
      <c r="AG257" s="4"/>
    </row>
    <row r="258" customFormat="false" ht="14.25" hidden="false" customHeight="false" outlineLevel="0" collapsed="false">
      <c r="A258" s="0" t="s">
        <v>77</v>
      </c>
      <c r="B258" s="1" t="n">
        <v>12.7</v>
      </c>
      <c r="C258" s="4" t="e">
        <f aca="false">(B258-#REF!)/#REF!</f>
        <v>#REF!</v>
      </c>
      <c r="D258" s="1" t="n">
        <v>2</v>
      </c>
      <c r="E258" s="4" t="e">
        <f aca="false">(D258-#REF!)/#REF!</f>
        <v>#REF!</v>
      </c>
      <c r="F258" s="2" t="n">
        <v>52</v>
      </c>
      <c r="G258" s="4" t="e">
        <f aca="false">(F258-#REF!)/#REF!</f>
        <v>#REF!</v>
      </c>
      <c r="H258" s="2" t="n">
        <v>30.38</v>
      </c>
      <c r="I258" s="4" t="e">
        <f aca="false">(H258-#REF!)/#REF!</f>
        <v>#REF!</v>
      </c>
      <c r="J258" s="4" t="n">
        <v>2.92087587098479</v>
      </c>
      <c r="K258" s="4" t="e">
        <f aca="false">(J258-#REF!)/#REF!</f>
        <v>#REF!</v>
      </c>
      <c r="L258" s="1" t="n">
        <v>30</v>
      </c>
      <c r="M258" s="4" t="e">
        <f aca="false">(L258-#REF!)/#REF!</f>
        <v>#REF!</v>
      </c>
      <c r="N258" s="1" t="n">
        <v>36.5</v>
      </c>
      <c r="O258" s="4" t="e">
        <f aca="false">(N258-#REF!)/#REF!</f>
        <v>#REF!</v>
      </c>
      <c r="P258" s="1" t="n">
        <v>150</v>
      </c>
      <c r="Q258" s="4" t="e">
        <f aca="false">(P258-#REF!)/#REF!</f>
        <v>#REF!</v>
      </c>
      <c r="R258" s="1" t="n">
        <v>250</v>
      </c>
      <c r="S258" s="4" t="e">
        <f aca="false">(R258-#REF!)/#REF!</f>
        <v>#REF!</v>
      </c>
      <c r="T258" s="1" t="n">
        <f aca="false">R258-N258</f>
        <v>213.5</v>
      </c>
      <c r="U258" s="4" t="e">
        <f aca="false">(T258-#REF!)/#REF!</f>
        <v>#REF!</v>
      </c>
      <c r="V258" s="1" t="n">
        <v>253.4</v>
      </c>
      <c r="W258" s="4" t="e">
        <f aca="false">(V258-#REF!)/#REF!</f>
        <v>#REF!</v>
      </c>
      <c r="X258" s="28" t="n">
        <v>0.00675733333333333</v>
      </c>
      <c r="Y258" s="4" t="e">
        <f aca="false">(X258-#REF!)/#REF!</f>
        <v>#REF!</v>
      </c>
      <c r="Z258" s="27" t="n">
        <v>317.102697940788</v>
      </c>
      <c r="AA258" s="4" t="e">
        <f aca="false">(Z258-#REF!)/#REF!</f>
        <v>#REF!</v>
      </c>
      <c r="AB258" s="3" t="n">
        <v>392</v>
      </c>
      <c r="AC258" s="4" t="e">
        <f aca="false">(AB258-#REF!)/#REF!</f>
        <v>#REF!</v>
      </c>
      <c r="AD258" s="25" t="n">
        <v>15.6</v>
      </c>
      <c r="AE258" s="4" t="e">
        <f aca="false">(AD258-#REF!)/#REF!</f>
        <v>#REF!</v>
      </c>
      <c r="AF258" s="4" t="n">
        <v>0.15</v>
      </c>
      <c r="AG258" s="4"/>
    </row>
    <row r="259" customFormat="false" ht="14.25" hidden="false" customHeight="false" outlineLevel="0" collapsed="false">
      <c r="B259" s="1" t="n">
        <v>12.7</v>
      </c>
      <c r="C259" s="4" t="e">
        <f aca="false">(B259-#REF!)/#REF!</f>
        <v>#REF!</v>
      </c>
      <c r="D259" s="1" t="n">
        <v>2</v>
      </c>
      <c r="E259" s="4" t="e">
        <f aca="false">(D259-#REF!)/#REF!</f>
        <v>#REF!</v>
      </c>
      <c r="F259" s="2" t="n">
        <v>52</v>
      </c>
      <c r="G259" s="4" t="e">
        <f aca="false">(F259-#REF!)/#REF!</f>
        <v>#REF!</v>
      </c>
      <c r="H259" s="2" t="n">
        <v>30.38</v>
      </c>
      <c r="I259" s="4" t="e">
        <f aca="false">(H259-#REF!)/#REF!</f>
        <v>#REF!</v>
      </c>
      <c r="J259" s="4" t="n">
        <v>2.92087587098479</v>
      </c>
      <c r="K259" s="4" t="e">
        <f aca="false">(J259-#REF!)/#REF!</f>
        <v>#REF!</v>
      </c>
      <c r="L259" s="1" t="n">
        <v>30</v>
      </c>
      <c r="M259" s="4" t="e">
        <f aca="false">(L259-#REF!)/#REF!</f>
        <v>#REF!</v>
      </c>
      <c r="N259" s="1" t="n">
        <v>36.5</v>
      </c>
      <c r="O259" s="4" t="e">
        <f aca="false">(N259-#REF!)/#REF!</f>
        <v>#REF!</v>
      </c>
      <c r="P259" s="1" t="n">
        <v>150</v>
      </c>
      <c r="Q259" s="4" t="e">
        <f aca="false">(P259-#REF!)/#REF!</f>
        <v>#REF!</v>
      </c>
      <c r="R259" s="1" t="n">
        <v>250</v>
      </c>
      <c r="S259" s="4" t="e">
        <f aca="false">(R259-#REF!)/#REF!</f>
        <v>#REF!</v>
      </c>
      <c r="T259" s="1" t="n">
        <f aca="false">R259-N259</f>
        <v>213.5</v>
      </c>
      <c r="U259" s="4" t="e">
        <f aca="false">(T259-#REF!)/#REF!</f>
        <v>#REF!</v>
      </c>
      <c r="V259" s="1" t="n">
        <v>253.4</v>
      </c>
      <c r="W259" s="4" t="e">
        <f aca="false">(V259-#REF!)/#REF!</f>
        <v>#REF!</v>
      </c>
      <c r="X259" s="28" t="n">
        <v>0.00675733333333333</v>
      </c>
      <c r="Y259" s="4" t="e">
        <f aca="false">(X259-#REF!)/#REF!</f>
        <v>#REF!</v>
      </c>
      <c r="Z259" s="27" t="n">
        <v>392.3</v>
      </c>
      <c r="AA259" s="4" t="e">
        <f aca="false">(Z259-#REF!)/#REF!</f>
        <v>#REF!</v>
      </c>
      <c r="AB259" s="3" t="n">
        <v>392</v>
      </c>
      <c r="AC259" s="4" t="e">
        <f aca="false">(AB259-#REF!)/#REF!</f>
        <v>#REF!</v>
      </c>
      <c r="AD259" s="25" t="n">
        <v>19.6</v>
      </c>
      <c r="AE259" s="4" t="e">
        <f aca="false">(AD259-#REF!)/#REF!</f>
        <v>#REF!</v>
      </c>
      <c r="AF259" s="4" t="n">
        <v>0.2</v>
      </c>
      <c r="AG259" s="4"/>
    </row>
    <row r="260" customFormat="false" ht="14.25" hidden="false" customHeight="false" outlineLevel="0" collapsed="false">
      <c r="A260" s="0" t="s">
        <v>78</v>
      </c>
      <c r="B260" s="1" t="n">
        <v>12.7</v>
      </c>
      <c r="C260" s="4" t="e">
        <f aca="false">(B260-#REF!)/#REF!</f>
        <v>#REF!</v>
      </c>
      <c r="D260" s="1" t="n">
        <v>2</v>
      </c>
      <c r="E260" s="4" t="e">
        <f aca="false">(D260-#REF!)/#REF!</f>
        <v>#REF!</v>
      </c>
      <c r="F260" s="2" t="n">
        <v>52</v>
      </c>
      <c r="G260" s="4" t="e">
        <f aca="false">(F260-#REF!)/#REF!</f>
        <v>#REF!</v>
      </c>
      <c r="H260" s="2" t="n">
        <v>30.38</v>
      </c>
      <c r="I260" s="4" t="e">
        <f aca="false">(H260-#REF!)/#REF!</f>
        <v>#REF!</v>
      </c>
      <c r="J260" s="4" t="n">
        <v>2.92087587098479</v>
      </c>
      <c r="K260" s="4" t="e">
        <f aca="false">(J260-#REF!)/#REF!</f>
        <v>#REF!</v>
      </c>
      <c r="L260" s="1" t="n">
        <v>30</v>
      </c>
      <c r="M260" s="4" t="e">
        <f aca="false">(L260-#REF!)/#REF!</f>
        <v>#REF!</v>
      </c>
      <c r="N260" s="1" t="n">
        <v>36.5</v>
      </c>
      <c r="O260" s="4" t="e">
        <f aca="false">(N260-#REF!)/#REF!</f>
        <v>#REF!</v>
      </c>
      <c r="P260" s="1" t="n">
        <v>150</v>
      </c>
      <c r="Q260" s="4" t="e">
        <f aca="false">(P260-#REF!)/#REF!</f>
        <v>#REF!</v>
      </c>
      <c r="R260" s="1" t="n">
        <v>250</v>
      </c>
      <c r="S260" s="4" t="e">
        <f aca="false">(R260-#REF!)/#REF!</f>
        <v>#REF!</v>
      </c>
      <c r="T260" s="1" t="n">
        <f aca="false">R260-N260</f>
        <v>213.5</v>
      </c>
      <c r="U260" s="4" t="e">
        <f aca="false">(T260-#REF!)/#REF!</f>
        <v>#REF!</v>
      </c>
      <c r="V260" s="1" t="n">
        <v>253.4</v>
      </c>
      <c r="W260" s="4" t="e">
        <f aca="false">(V260-#REF!)/#REF!</f>
        <v>#REF!</v>
      </c>
      <c r="X260" s="28" t="n">
        <v>0.00675733333333333</v>
      </c>
      <c r="Y260" s="4" t="e">
        <f aca="false">(X260-#REF!)/#REF!</f>
        <v>#REF!</v>
      </c>
      <c r="Z260" s="27" t="n">
        <v>319.135407542973</v>
      </c>
      <c r="AA260" s="4" t="e">
        <f aca="false">(Z260-#REF!)/#REF!</f>
        <v>#REF!</v>
      </c>
      <c r="AB260" s="3" t="n">
        <v>392</v>
      </c>
      <c r="AC260" s="4" t="e">
        <f aca="false">(AB260-#REF!)/#REF!</f>
        <v>#REF!</v>
      </c>
      <c r="AD260" s="25" t="n">
        <v>15.7</v>
      </c>
      <c r="AE260" s="4" t="e">
        <f aca="false">(AD260-#REF!)/#REF!</f>
        <v>#REF!</v>
      </c>
      <c r="AF260" s="4" t="n">
        <v>0.15</v>
      </c>
      <c r="AG260" s="4"/>
    </row>
    <row r="261" customFormat="false" ht="14.25" hidden="false" customHeight="false" outlineLevel="0" collapsed="false">
      <c r="B261" s="1" t="n">
        <v>12.7</v>
      </c>
      <c r="C261" s="4" t="e">
        <f aca="false">(B261-#REF!)/#REF!</f>
        <v>#REF!</v>
      </c>
      <c r="D261" s="1" t="n">
        <v>2</v>
      </c>
      <c r="E261" s="4" t="e">
        <f aca="false">(D261-#REF!)/#REF!</f>
        <v>#REF!</v>
      </c>
      <c r="F261" s="2" t="n">
        <v>52</v>
      </c>
      <c r="G261" s="4" t="e">
        <f aca="false">(F261-#REF!)/#REF!</f>
        <v>#REF!</v>
      </c>
      <c r="H261" s="2" t="n">
        <v>30.38</v>
      </c>
      <c r="I261" s="4" t="e">
        <f aca="false">(H261-#REF!)/#REF!</f>
        <v>#REF!</v>
      </c>
      <c r="J261" s="4" t="n">
        <v>2.92087587098479</v>
      </c>
      <c r="K261" s="4" t="e">
        <f aca="false">(J261-#REF!)/#REF!</f>
        <v>#REF!</v>
      </c>
      <c r="L261" s="1" t="n">
        <v>30</v>
      </c>
      <c r="M261" s="4" t="e">
        <f aca="false">(L261-#REF!)/#REF!</f>
        <v>#REF!</v>
      </c>
      <c r="N261" s="1" t="n">
        <v>36.5</v>
      </c>
      <c r="O261" s="4" t="e">
        <f aca="false">(N261-#REF!)/#REF!</f>
        <v>#REF!</v>
      </c>
      <c r="P261" s="1" t="n">
        <v>150</v>
      </c>
      <c r="Q261" s="4" t="e">
        <f aca="false">(P261-#REF!)/#REF!</f>
        <v>#REF!</v>
      </c>
      <c r="R261" s="1" t="n">
        <v>250</v>
      </c>
      <c r="S261" s="4" t="e">
        <f aca="false">(R261-#REF!)/#REF!</f>
        <v>#REF!</v>
      </c>
      <c r="T261" s="1" t="n">
        <f aca="false">R261-N261</f>
        <v>213.5</v>
      </c>
      <c r="U261" s="4" t="e">
        <f aca="false">(T261-#REF!)/#REF!</f>
        <v>#REF!</v>
      </c>
      <c r="V261" s="1" t="n">
        <v>253.4</v>
      </c>
      <c r="W261" s="4" t="e">
        <f aca="false">(V261-#REF!)/#REF!</f>
        <v>#REF!</v>
      </c>
      <c r="X261" s="28" t="n">
        <v>0.00675733333333333</v>
      </c>
      <c r="Y261" s="4" t="e">
        <f aca="false">(X261-#REF!)/#REF!</f>
        <v>#REF!</v>
      </c>
      <c r="Z261" s="27" t="n">
        <v>392.3</v>
      </c>
      <c r="AA261" s="4" t="e">
        <f aca="false">(Z261-#REF!)/#REF!</f>
        <v>#REF!</v>
      </c>
      <c r="AB261" s="3" t="n">
        <v>392</v>
      </c>
      <c r="AC261" s="4" t="e">
        <f aca="false">(AB261-#REF!)/#REF!</f>
        <v>#REF!</v>
      </c>
      <c r="AD261" s="25" t="n">
        <v>19.6</v>
      </c>
      <c r="AE261" s="4" t="e">
        <f aca="false">(AD261-#REF!)/#REF!</f>
        <v>#REF!</v>
      </c>
      <c r="AF261" s="4" t="n">
        <v>0.2</v>
      </c>
      <c r="AG261" s="4"/>
    </row>
    <row r="262" customFormat="false" ht="14.25" hidden="false" customHeight="false" outlineLevel="0" collapsed="false">
      <c r="A262" s="0" t="s">
        <v>79</v>
      </c>
      <c r="B262" s="1" t="n">
        <v>15.9</v>
      </c>
      <c r="C262" s="4" t="e">
        <f aca="false">(B262-#REF!)/#REF!</f>
        <v>#REF!</v>
      </c>
      <c r="D262" s="1" t="n">
        <v>2</v>
      </c>
      <c r="E262" s="4" t="e">
        <f aca="false">(D262-#REF!)/#REF!</f>
        <v>#REF!</v>
      </c>
      <c r="F262" s="2" t="n">
        <v>46</v>
      </c>
      <c r="G262" s="4" t="e">
        <f aca="false">(F262-#REF!)/#REF!</f>
        <v>#REF!</v>
      </c>
      <c r="H262" s="2" t="n">
        <v>30.38</v>
      </c>
      <c r="I262" s="4" t="e">
        <f aca="false">(H262-#REF!)/#REF!</f>
        <v>#REF!</v>
      </c>
      <c r="J262" s="4" t="n">
        <v>2.92087587098479</v>
      </c>
      <c r="K262" s="4" t="e">
        <f aca="false">(J262-#REF!)/#REF!</f>
        <v>#REF!</v>
      </c>
      <c r="L262" s="1" t="n">
        <v>30</v>
      </c>
      <c r="M262" s="4" t="e">
        <f aca="false">(L262-#REF!)/#REF!</f>
        <v>#REF!</v>
      </c>
      <c r="N262" s="1" t="n">
        <v>38</v>
      </c>
      <c r="O262" s="4" t="e">
        <f aca="false">(N262-#REF!)/#REF!</f>
        <v>#REF!</v>
      </c>
      <c r="P262" s="1" t="n">
        <v>150</v>
      </c>
      <c r="Q262" s="4" t="e">
        <f aca="false">(P262-#REF!)/#REF!</f>
        <v>#REF!</v>
      </c>
      <c r="R262" s="1" t="n">
        <v>250</v>
      </c>
      <c r="S262" s="4" t="e">
        <f aca="false">(R262-#REF!)/#REF!</f>
        <v>#REF!</v>
      </c>
      <c r="T262" s="1" t="n">
        <f aca="false">R262-N262</f>
        <v>212</v>
      </c>
      <c r="U262" s="4" t="e">
        <f aca="false">(T262-#REF!)/#REF!</f>
        <v>#REF!</v>
      </c>
      <c r="V262" s="1" t="n">
        <v>397.2</v>
      </c>
      <c r="W262" s="4" t="e">
        <f aca="false">(V262-#REF!)/#REF!</f>
        <v>#REF!</v>
      </c>
      <c r="X262" s="28" t="n">
        <v>0.010592</v>
      </c>
      <c r="Y262" s="4" t="e">
        <f aca="false">(X262-#REF!)/#REF!</f>
        <v>#REF!</v>
      </c>
      <c r="Z262" s="27" t="n">
        <v>260.029022246808</v>
      </c>
      <c r="AA262" s="4" t="e">
        <f aca="false">(Z262-#REF!)/#REF!</f>
        <v>#REF!</v>
      </c>
      <c r="AB262" s="3" t="n">
        <v>392</v>
      </c>
      <c r="AC262" s="4" t="e">
        <f aca="false">(AB262-#REF!)/#REF!</f>
        <v>#REF!</v>
      </c>
      <c r="AD262" s="25" t="n">
        <v>19.5</v>
      </c>
      <c r="AE262" s="4" t="e">
        <f aca="false">(AD262-#REF!)/#REF!</f>
        <v>#REF!</v>
      </c>
      <c r="AF262" s="4" t="n">
        <v>0.15</v>
      </c>
      <c r="AG262" s="4"/>
    </row>
    <row r="263" customFormat="false" ht="14.25" hidden="false" customHeight="false" outlineLevel="0" collapsed="false">
      <c r="B263" s="1" t="n">
        <v>15.9</v>
      </c>
      <c r="C263" s="4" t="e">
        <f aca="false">(B263-#REF!)/#REF!</f>
        <v>#REF!</v>
      </c>
      <c r="D263" s="1" t="n">
        <v>2</v>
      </c>
      <c r="E263" s="4" t="e">
        <f aca="false">(D263-#REF!)/#REF!</f>
        <v>#REF!</v>
      </c>
      <c r="F263" s="2" t="n">
        <v>46</v>
      </c>
      <c r="G263" s="4" t="e">
        <f aca="false">(F263-#REF!)/#REF!</f>
        <v>#REF!</v>
      </c>
      <c r="H263" s="2" t="n">
        <v>30.38</v>
      </c>
      <c r="I263" s="4" t="e">
        <f aca="false">(H263-#REF!)/#REF!</f>
        <v>#REF!</v>
      </c>
      <c r="J263" s="4" t="n">
        <v>2.92087587098479</v>
      </c>
      <c r="K263" s="4" t="e">
        <f aca="false">(J263-#REF!)/#REF!</f>
        <v>#REF!</v>
      </c>
      <c r="L263" s="1" t="n">
        <v>30</v>
      </c>
      <c r="M263" s="4" t="e">
        <f aca="false">(L263-#REF!)/#REF!</f>
        <v>#REF!</v>
      </c>
      <c r="N263" s="1" t="n">
        <v>38</v>
      </c>
      <c r="O263" s="4" t="e">
        <f aca="false">(N263-#REF!)/#REF!</f>
        <v>#REF!</v>
      </c>
      <c r="P263" s="1" t="n">
        <v>150</v>
      </c>
      <c r="Q263" s="4" t="e">
        <f aca="false">(P263-#REF!)/#REF!</f>
        <v>#REF!</v>
      </c>
      <c r="R263" s="1" t="n">
        <v>250</v>
      </c>
      <c r="S263" s="4" t="e">
        <f aca="false">(R263-#REF!)/#REF!</f>
        <v>#REF!</v>
      </c>
      <c r="T263" s="1" t="n">
        <f aca="false">R263-N263</f>
        <v>212</v>
      </c>
      <c r="U263" s="4" t="e">
        <f aca="false">(T263-#REF!)/#REF!</f>
        <v>#REF!</v>
      </c>
      <c r="V263" s="1" t="n">
        <v>397.2</v>
      </c>
      <c r="W263" s="4" t="e">
        <f aca="false">(V263-#REF!)/#REF!</f>
        <v>#REF!</v>
      </c>
      <c r="X263" s="28" t="n">
        <v>0.010592</v>
      </c>
      <c r="Y263" s="4" t="e">
        <f aca="false">(X263-#REF!)/#REF!</f>
        <v>#REF!</v>
      </c>
      <c r="Z263" s="27" t="n">
        <v>365.3741133109</v>
      </c>
      <c r="AA263" s="4" t="e">
        <f aca="false">(Z263-#REF!)/#REF!</f>
        <v>#REF!</v>
      </c>
      <c r="AB263" s="3" t="n">
        <v>392</v>
      </c>
      <c r="AC263" s="4" t="e">
        <f aca="false">(AB263-#REF!)/#REF!</f>
        <v>#REF!</v>
      </c>
      <c r="AD263" s="25" t="n">
        <v>27.4</v>
      </c>
      <c r="AE263" s="4" t="e">
        <f aca="false">(AD263-#REF!)/#REF!</f>
        <v>#REF!</v>
      </c>
      <c r="AF263" s="4" t="n">
        <v>0.25</v>
      </c>
      <c r="AG263" s="4"/>
    </row>
    <row r="264" customFormat="false" ht="14.25" hidden="false" customHeight="false" outlineLevel="0" collapsed="false">
      <c r="B264" s="1" t="n">
        <v>15.9</v>
      </c>
      <c r="C264" s="4" t="e">
        <f aca="false">(B264-#REF!)/#REF!</f>
        <v>#REF!</v>
      </c>
      <c r="D264" s="1" t="n">
        <v>2</v>
      </c>
      <c r="E264" s="4" t="e">
        <f aca="false">(D264-#REF!)/#REF!</f>
        <v>#REF!</v>
      </c>
      <c r="F264" s="2" t="n">
        <v>46</v>
      </c>
      <c r="G264" s="4" t="e">
        <f aca="false">(F264-#REF!)/#REF!</f>
        <v>#REF!</v>
      </c>
      <c r="H264" s="2" t="n">
        <v>30.38</v>
      </c>
      <c r="I264" s="4" t="e">
        <f aca="false">(H264-#REF!)/#REF!</f>
        <v>#REF!</v>
      </c>
      <c r="J264" s="4" t="n">
        <v>2.92087587098479</v>
      </c>
      <c r="K264" s="4" t="e">
        <f aca="false">(J264-#REF!)/#REF!</f>
        <v>#REF!</v>
      </c>
      <c r="L264" s="1" t="n">
        <v>30</v>
      </c>
      <c r="M264" s="4" t="e">
        <f aca="false">(L264-#REF!)/#REF!</f>
        <v>#REF!</v>
      </c>
      <c r="N264" s="1" t="n">
        <v>38</v>
      </c>
      <c r="O264" s="4" t="e">
        <f aca="false">(N264-#REF!)/#REF!</f>
        <v>#REF!</v>
      </c>
      <c r="P264" s="1" t="n">
        <v>150</v>
      </c>
      <c r="Q264" s="4" t="e">
        <f aca="false">(P264-#REF!)/#REF!</f>
        <v>#REF!</v>
      </c>
      <c r="R264" s="1" t="n">
        <v>250</v>
      </c>
      <c r="S264" s="4" t="e">
        <f aca="false">(R264-#REF!)/#REF!</f>
        <v>#REF!</v>
      </c>
      <c r="T264" s="1" t="n">
        <f aca="false">R264-N264</f>
        <v>212</v>
      </c>
      <c r="U264" s="4" t="e">
        <f aca="false">(T264-#REF!)/#REF!</f>
        <v>#REF!</v>
      </c>
      <c r="V264" s="1" t="n">
        <v>397.2</v>
      </c>
      <c r="W264" s="4" t="e">
        <f aca="false">(V264-#REF!)/#REF!</f>
        <v>#REF!</v>
      </c>
      <c r="X264" s="28" t="n">
        <v>0.010592</v>
      </c>
      <c r="Y264" s="4" t="e">
        <f aca="false">(X264-#REF!)/#REF!</f>
        <v>#REF!</v>
      </c>
      <c r="Z264" s="27" t="n">
        <v>392.3</v>
      </c>
      <c r="AA264" s="4" t="e">
        <f aca="false">(Z264-#REF!)/#REF!</f>
        <v>#REF!</v>
      </c>
      <c r="AB264" s="3" t="n">
        <v>392</v>
      </c>
      <c r="AC264" s="4" t="e">
        <f aca="false">(AB264-#REF!)/#REF!</f>
        <v>#REF!</v>
      </c>
      <c r="AD264" s="25" t="n">
        <v>31.3</v>
      </c>
      <c r="AE264" s="4" t="e">
        <f aca="false">(AD264-#REF!)/#REF!</f>
        <v>#REF!</v>
      </c>
      <c r="AF264" s="4" t="n">
        <v>0.3</v>
      </c>
      <c r="AG264" s="4"/>
    </row>
    <row r="265" customFormat="false" ht="14.25" hidden="false" customHeight="false" outlineLevel="0" collapsed="false">
      <c r="A265" s="0" t="s">
        <v>80</v>
      </c>
      <c r="B265" s="1" t="n">
        <v>15.9</v>
      </c>
      <c r="C265" s="4" t="e">
        <f aca="false">(B265-#REF!)/#REF!</f>
        <v>#REF!</v>
      </c>
      <c r="D265" s="1" t="n">
        <v>2</v>
      </c>
      <c r="E265" s="4" t="e">
        <f aca="false">(D265-#REF!)/#REF!</f>
        <v>#REF!</v>
      </c>
      <c r="F265" s="2" t="n">
        <v>46</v>
      </c>
      <c r="G265" s="4" t="e">
        <f aca="false">(F265-#REF!)/#REF!</f>
        <v>#REF!</v>
      </c>
      <c r="H265" s="2" t="n">
        <v>30.38</v>
      </c>
      <c r="I265" s="4" t="e">
        <f aca="false">(H265-#REF!)/#REF!</f>
        <v>#REF!</v>
      </c>
      <c r="J265" s="4" t="n">
        <v>2.92087587098479</v>
      </c>
      <c r="K265" s="4" t="e">
        <f aca="false">(J265-#REF!)/#REF!</f>
        <v>#REF!</v>
      </c>
      <c r="L265" s="1" t="n">
        <v>30</v>
      </c>
      <c r="M265" s="4" t="e">
        <f aca="false">(L265-#REF!)/#REF!</f>
        <v>#REF!</v>
      </c>
      <c r="N265" s="1" t="n">
        <v>38</v>
      </c>
      <c r="O265" s="4" t="e">
        <f aca="false">(N265-#REF!)/#REF!</f>
        <v>#REF!</v>
      </c>
      <c r="P265" s="1" t="n">
        <v>150</v>
      </c>
      <c r="Q265" s="4" t="e">
        <f aca="false">(P265-#REF!)/#REF!</f>
        <v>#REF!</v>
      </c>
      <c r="R265" s="1" t="n">
        <v>250</v>
      </c>
      <c r="S265" s="4" t="e">
        <f aca="false">(R265-#REF!)/#REF!</f>
        <v>#REF!</v>
      </c>
      <c r="T265" s="1" t="n">
        <f aca="false">R265-N265</f>
        <v>212</v>
      </c>
      <c r="U265" s="4" t="e">
        <f aca="false">(T265-#REF!)/#REF!</f>
        <v>#REF!</v>
      </c>
      <c r="V265" s="1" t="n">
        <v>397.2</v>
      </c>
      <c r="W265" s="4" t="e">
        <f aca="false">(V265-#REF!)/#REF!</f>
        <v>#REF!</v>
      </c>
      <c r="X265" s="28" t="n">
        <v>0.010592</v>
      </c>
      <c r="Y265" s="4" t="e">
        <f aca="false">(X265-#REF!)/#REF!</f>
        <v>#REF!</v>
      </c>
      <c r="Z265" s="27" t="n">
        <v>261.362504412177</v>
      </c>
      <c r="AA265" s="4" t="e">
        <f aca="false">(Z265-#REF!)/#REF!</f>
        <v>#REF!</v>
      </c>
      <c r="AB265" s="3" t="n">
        <v>392</v>
      </c>
      <c r="AC265" s="4" t="e">
        <f aca="false">(AB265-#REF!)/#REF!</f>
        <v>#REF!</v>
      </c>
      <c r="AD265" s="25" t="n">
        <v>19.6</v>
      </c>
      <c r="AE265" s="4" t="e">
        <f aca="false">(AD265-#REF!)/#REF!</f>
        <v>#REF!</v>
      </c>
      <c r="AF265" s="4" t="n">
        <v>0.15</v>
      </c>
      <c r="AG265" s="4"/>
    </row>
    <row r="266" customFormat="false" ht="14.25" hidden="false" customHeight="false" outlineLevel="0" collapsed="false">
      <c r="B266" s="1" t="n">
        <v>15.9</v>
      </c>
      <c r="C266" s="4" t="e">
        <f aca="false">(B266-#REF!)/#REF!</f>
        <v>#REF!</v>
      </c>
      <c r="D266" s="1" t="n">
        <v>2</v>
      </c>
      <c r="E266" s="4" t="e">
        <f aca="false">(D266-#REF!)/#REF!</f>
        <v>#REF!</v>
      </c>
      <c r="F266" s="2" t="n">
        <v>46</v>
      </c>
      <c r="G266" s="4" t="e">
        <f aca="false">(F266-#REF!)/#REF!</f>
        <v>#REF!</v>
      </c>
      <c r="H266" s="2" t="n">
        <v>30.38</v>
      </c>
      <c r="I266" s="4" t="e">
        <f aca="false">(H266-#REF!)/#REF!</f>
        <v>#REF!</v>
      </c>
      <c r="J266" s="4" t="n">
        <v>2.92087587098479</v>
      </c>
      <c r="K266" s="4" t="e">
        <f aca="false">(J266-#REF!)/#REF!</f>
        <v>#REF!</v>
      </c>
      <c r="L266" s="1" t="n">
        <v>30</v>
      </c>
      <c r="M266" s="4" t="e">
        <f aca="false">(L266-#REF!)/#REF!</f>
        <v>#REF!</v>
      </c>
      <c r="N266" s="1" t="n">
        <v>38</v>
      </c>
      <c r="O266" s="4" t="e">
        <f aca="false">(N266-#REF!)/#REF!</f>
        <v>#REF!</v>
      </c>
      <c r="P266" s="1" t="n">
        <v>150</v>
      </c>
      <c r="Q266" s="4" t="e">
        <f aca="false">(P266-#REF!)/#REF!</f>
        <v>#REF!</v>
      </c>
      <c r="R266" s="1" t="n">
        <v>250</v>
      </c>
      <c r="S266" s="4" t="e">
        <f aca="false">(R266-#REF!)/#REF!</f>
        <v>#REF!</v>
      </c>
      <c r="T266" s="1" t="n">
        <f aca="false">R266-N266</f>
        <v>212</v>
      </c>
      <c r="U266" s="4" t="e">
        <f aca="false">(T266-#REF!)/#REF!</f>
        <v>#REF!</v>
      </c>
      <c r="V266" s="1" t="n">
        <v>397.2</v>
      </c>
      <c r="W266" s="4" t="e">
        <f aca="false">(V266-#REF!)/#REF!</f>
        <v>#REF!</v>
      </c>
      <c r="X266" s="28" t="n">
        <v>0.010592</v>
      </c>
      <c r="Y266" s="4" t="e">
        <f aca="false">(X266-#REF!)/#REF!</f>
        <v>#REF!</v>
      </c>
      <c r="Z266" s="27" t="n">
        <v>366.707595476268</v>
      </c>
      <c r="AA266" s="4" t="e">
        <f aca="false">(Z266-#REF!)/#REF!</f>
        <v>#REF!</v>
      </c>
      <c r="AB266" s="3" t="n">
        <v>392</v>
      </c>
      <c r="AC266" s="4" t="e">
        <f aca="false">(AB266-#REF!)/#REF!</f>
        <v>#REF!</v>
      </c>
      <c r="AD266" s="25" t="n">
        <v>27.5</v>
      </c>
      <c r="AE266" s="4" t="e">
        <f aca="false">(AD266-#REF!)/#REF!</f>
        <v>#REF!</v>
      </c>
      <c r="AF266" s="4" t="n">
        <v>0.25</v>
      </c>
      <c r="AG266" s="4"/>
    </row>
    <row r="267" customFormat="false" ht="14.25" hidden="false" customHeight="false" outlineLevel="0" collapsed="false">
      <c r="A267" s="0" t="s">
        <v>81</v>
      </c>
      <c r="B267" s="1" t="n">
        <v>19.1</v>
      </c>
      <c r="C267" s="4" t="e">
        <f aca="false">(B267-#REF!)/#REF!</f>
        <v>#REF!</v>
      </c>
      <c r="D267" s="1" t="n">
        <v>2</v>
      </c>
      <c r="E267" s="4" t="e">
        <f aca="false">(D267-#REF!)/#REF!</f>
        <v>#REF!</v>
      </c>
      <c r="F267" s="2" t="n">
        <v>40</v>
      </c>
      <c r="G267" s="4" t="e">
        <f aca="false">(F267-#REF!)/#REF!</f>
        <v>#REF!</v>
      </c>
      <c r="H267" s="2" t="n">
        <v>30.38</v>
      </c>
      <c r="I267" s="4" t="e">
        <f aca="false">(H267-#REF!)/#REF!</f>
        <v>#REF!</v>
      </c>
      <c r="J267" s="4" t="n">
        <v>2.92087587098479</v>
      </c>
      <c r="K267" s="4" t="e">
        <f aca="false">(J267-#REF!)/#REF!</f>
        <v>#REF!</v>
      </c>
      <c r="L267" s="1" t="n">
        <v>30</v>
      </c>
      <c r="M267" s="4" t="e">
        <f aca="false">(L267-#REF!)/#REF!</f>
        <v>#REF!</v>
      </c>
      <c r="N267" s="1" t="n">
        <v>39.5</v>
      </c>
      <c r="O267" s="4" t="e">
        <f aca="false">(N267-#REF!)/#REF!</f>
        <v>#REF!</v>
      </c>
      <c r="P267" s="1" t="n">
        <v>150</v>
      </c>
      <c r="Q267" s="4" t="e">
        <f aca="false">(P267-#REF!)/#REF!</f>
        <v>#REF!</v>
      </c>
      <c r="R267" s="1" t="n">
        <v>250</v>
      </c>
      <c r="S267" s="4" t="e">
        <f aca="false">(R267-#REF!)/#REF!</f>
        <v>#REF!</v>
      </c>
      <c r="T267" s="1" t="n">
        <f aca="false">R267-N267</f>
        <v>210.5</v>
      </c>
      <c r="U267" s="4" t="e">
        <f aca="false">(T267-#REF!)/#REF!</f>
        <v>#REF!</v>
      </c>
      <c r="V267" s="1" t="n">
        <v>573</v>
      </c>
      <c r="W267" s="4" t="e">
        <f aca="false">(V267-#REF!)/#REF!</f>
        <v>#REF!</v>
      </c>
      <c r="X267" s="28" t="n">
        <v>0.01528</v>
      </c>
      <c r="Y267" s="4" t="e">
        <f aca="false">(X267-#REF!)/#REF!</f>
        <v>#REF!</v>
      </c>
      <c r="Z267" s="27" t="n">
        <v>187.025739041386</v>
      </c>
      <c r="AA267" s="4" t="e">
        <f aca="false">(Z267-#REF!)/#REF!</f>
        <v>#REF!</v>
      </c>
      <c r="AB267" s="3" t="n">
        <v>392</v>
      </c>
      <c r="AC267" s="4" t="e">
        <f aca="false">(AB267-#REF!)/#REF!</f>
        <v>#REF!</v>
      </c>
      <c r="AD267" s="25" t="n">
        <v>19.7</v>
      </c>
      <c r="AE267" s="4" t="e">
        <f aca="false">(AD267-#REF!)/#REF!</f>
        <v>#REF!</v>
      </c>
      <c r="AF267" s="4" t="n">
        <v>0.15</v>
      </c>
      <c r="AG267" s="4"/>
    </row>
    <row r="268" customFormat="false" ht="14.25" hidden="false" customHeight="false" outlineLevel="0" collapsed="false">
      <c r="B268" s="1" t="n">
        <v>19.1</v>
      </c>
      <c r="C268" s="4" t="e">
        <f aca="false">(B268-#REF!)/#REF!</f>
        <v>#REF!</v>
      </c>
      <c r="D268" s="1" t="n">
        <v>2</v>
      </c>
      <c r="E268" s="4" t="e">
        <f aca="false">(D268-#REF!)/#REF!</f>
        <v>#REF!</v>
      </c>
      <c r="F268" s="2" t="n">
        <v>40</v>
      </c>
      <c r="G268" s="4" t="e">
        <f aca="false">(F268-#REF!)/#REF!</f>
        <v>#REF!</v>
      </c>
      <c r="H268" s="2" t="n">
        <v>30.38</v>
      </c>
      <c r="I268" s="4" t="e">
        <f aca="false">(H268-#REF!)/#REF!</f>
        <v>#REF!</v>
      </c>
      <c r="J268" s="4" t="n">
        <v>2.92087587098479</v>
      </c>
      <c r="K268" s="4" t="e">
        <f aca="false">(J268-#REF!)/#REF!</f>
        <v>#REF!</v>
      </c>
      <c r="L268" s="1" t="n">
        <v>30</v>
      </c>
      <c r="M268" s="4" t="e">
        <f aca="false">(L268-#REF!)/#REF!</f>
        <v>#REF!</v>
      </c>
      <c r="N268" s="1" t="n">
        <v>39.5</v>
      </c>
      <c r="O268" s="4" t="e">
        <f aca="false">(N268-#REF!)/#REF!</f>
        <v>#REF!</v>
      </c>
      <c r="P268" s="1" t="n">
        <v>150</v>
      </c>
      <c r="Q268" s="4" t="e">
        <f aca="false">(P268-#REF!)/#REF!</f>
        <v>#REF!</v>
      </c>
      <c r="R268" s="1" t="n">
        <v>250</v>
      </c>
      <c r="S268" s="4" t="e">
        <f aca="false">(R268-#REF!)/#REF!</f>
        <v>#REF!</v>
      </c>
      <c r="T268" s="1" t="n">
        <f aca="false">R268-N268</f>
        <v>210.5</v>
      </c>
      <c r="U268" s="4" t="e">
        <f aca="false">(T268-#REF!)/#REF!</f>
        <v>#REF!</v>
      </c>
      <c r="V268" s="1" t="n">
        <v>573</v>
      </c>
      <c r="W268" s="4" t="e">
        <f aca="false">(V268-#REF!)/#REF!</f>
        <v>#REF!</v>
      </c>
      <c r="X268" s="28" t="n">
        <v>0.01528</v>
      </c>
      <c r="Y268" s="4" t="e">
        <f aca="false">(X268-#REF!)/#REF!</f>
        <v>#REF!</v>
      </c>
      <c r="Z268" s="27" t="n">
        <v>261.07653927097</v>
      </c>
      <c r="AA268" s="4" t="e">
        <f aca="false">(Z268-#REF!)/#REF!</f>
        <v>#REF!</v>
      </c>
      <c r="AB268" s="3" t="n">
        <v>392</v>
      </c>
      <c r="AC268" s="4" t="e">
        <f aca="false">(AB268-#REF!)/#REF!</f>
        <v>#REF!</v>
      </c>
      <c r="AD268" s="25" t="n">
        <v>27.5</v>
      </c>
      <c r="AE268" s="4" t="e">
        <f aca="false">(AD268-#REF!)/#REF!</f>
        <v>#REF!</v>
      </c>
      <c r="AF268" s="4" t="n">
        <v>0.2</v>
      </c>
      <c r="AG268" s="4"/>
    </row>
    <row r="269" customFormat="false" ht="14.25" hidden="false" customHeight="false" outlineLevel="0" collapsed="false">
      <c r="B269" s="1" t="n">
        <v>19.1</v>
      </c>
      <c r="C269" s="4" t="e">
        <f aca="false">(B269-#REF!)/#REF!</f>
        <v>#REF!</v>
      </c>
      <c r="D269" s="1" t="n">
        <v>2</v>
      </c>
      <c r="E269" s="4" t="e">
        <f aca="false">(D269-#REF!)/#REF!</f>
        <v>#REF!</v>
      </c>
      <c r="F269" s="2" t="n">
        <v>40</v>
      </c>
      <c r="G269" s="4" t="e">
        <f aca="false">(F269-#REF!)/#REF!</f>
        <v>#REF!</v>
      </c>
      <c r="H269" s="2" t="n">
        <v>30.38</v>
      </c>
      <c r="I269" s="4" t="e">
        <f aca="false">(H269-#REF!)/#REF!</f>
        <v>#REF!</v>
      </c>
      <c r="J269" s="4" t="n">
        <v>2.92087587098479</v>
      </c>
      <c r="K269" s="4" t="e">
        <f aca="false">(J269-#REF!)/#REF!</f>
        <v>#REF!</v>
      </c>
      <c r="L269" s="1" t="n">
        <v>30</v>
      </c>
      <c r="M269" s="4" t="e">
        <f aca="false">(L269-#REF!)/#REF!</f>
        <v>#REF!</v>
      </c>
      <c r="N269" s="1" t="n">
        <v>39.5</v>
      </c>
      <c r="O269" s="4" t="e">
        <f aca="false">(N269-#REF!)/#REF!</f>
        <v>#REF!</v>
      </c>
      <c r="P269" s="1" t="n">
        <v>150</v>
      </c>
      <c r="Q269" s="4" t="e">
        <f aca="false">(P269-#REF!)/#REF!</f>
        <v>#REF!</v>
      </c>
      <c r="R269" s="1" t="n">
        <v>250</v>
      </c>
      <c r="S269" s="4" t="e">
        <f aca="false">(R269-#REF!)/#REF!</f>
        <v>#REF!</v>
      </c>
      <c r="T269" s="1" t="n">
        <f aca="false">R269-N269</f>
        <v>210.5</v>
      </c>
      <c r="U269" s="4" t="e">
        <f aca="false">(T269-#REF!)/#REF!</f>
        <v>#REF!</v>
      </c>
      <c r="V269" s="1" t="n">
        <v>573</v>
      </c>
      <c r="W269" s="4" t="e">
        <f aca="false">(V269-#REF!)/#REF!</f>
        <v>#REF!</v>
      </c>
      <c r="X269" s="28" t="n">
        <v>0.01528</v>
      </c>
      <c r="Y269" s="4" t="e">
        <f aca="false">(X269-#REF!)/#REF!</f>
        <v>#REF!</v>
      </c>
      <c r="Z269" s="27" t="n">
        <v>336.076708734267</v>
      </c>
      <c r="AA269" s="4" t="e">
        <f aca="false">(Z269-#REF!)/#REF!</f>
        <v>#REF!</v>
      </c>
      <c r="AB269" s="3" t="n">
        <v>392</v>
      </c>
      <c r="AC269" s="4" t="e">
        <f aca="false">(AB269-#REF!)/#REF!</f>
        <v>#REF!</v>
      </c>
      <c r="AD269" s="25" t="n">
        <v>35.4</v>
      </c>
      <c r="AE269" s="4" t="e">
        <f aca="false">(AD269-#REF!)/#REF!</f>
        <v>#REF!</v>
      </c>
      <c r="AF269" s="4" t="n">
        <v>0.3</v>
      </c>
      <c r="AG269" s="4"/>
    </row>
    <row r="270" customFormat="false" ht="14.25" hidden="false" customHeight="false" outlineLevel="0" collapsed="false">
      <c r="B270" s="1" t="n">
        <v>19.1</v>
      </c>
      <c r="C270" s="4" t="e">
        <f aca="false">(B270-#REF!)/#REF!</f>
        <v>#REF!</v>
      </c>
      <c r="D270" s="1" t="n">
        <v>2</v>
      </c>
      <c r="E270" s="4" t="e">
        <f aca="false">(D270-#REF!)/#REF!</f>
        <v>#REF!</v>
      </c>
      <c r="F270" s="2" t="n">
        <v>40</v>
      </c>
      <c r="G270" s="4" t="e">
        <f aca="false">(F270-#REF!)/#REF!</f>
        <v>#REF!</v>
      </c>
      <c r="H270" s="2" t="n">
        <v>30.38</v>
      </c>
      <c r="I270" s="4" t="e">
        <f aca="false">(H270-#REF!)/#REF!</f>
        <v>#REF!</v>
      </c>
      <c r="J270" s="4" t="n">
        <v>2.92087587098479</v>
      </c>
      <c r="K270" s="4" t="e">
        <f aca="false">(J270-#REF!)/#REF!</f>
        <v>#REF!</v>
      </c>
      <c r="L270" s="1" t="n">
        <v>30</v>
      </c>
      <c r="M270" s="4" t="e">
        <f aca="false">(L270-#REF!)/#REF!</f>
        <v>#REF!</v>
      </c>
      <c r="N270" s="1" t="n">
        <v>39.5</v>
      </c>
      <c r="O270" s="4" t="e">
        <f aca="false">(N270-#REF!)/#REF!</f>
        <v>#REF!</v>
      </c>
      <c r="P270" s="1" t="n">
        <v>150</v>
      </c>
      <c r="Q270" s="4" t="e">
        <f aca="false">(P270-#REF!)/#REF!</f>
        <v>#REF!</v>
      </c>
      <c r="R270" s="1" t="n">
        <v>250</v>
      </c>
      <c r="S270" s="4" t="e">
        <f aca="false">(R270-#REF!)/#REF!</f>
        <v>#REF!</v>
      </c>
      <c r="T270" s="1" t="n">
        <f aca="false">R270-N270</f>
        <v>210.5</v>
      </c>
      <c r="U270" s="4" t="e">
        <f aca="false">(T270-#REF!)/#REF!</f>
        <v>#REF!</v>
      </c>
      <c r="V270" s="1" t="n">
        <v>573</v>
      </c>
      <c r="W270" s="4" t="e">
        <f aca="false">(V270-#REF!)/#REF!</f>
        <v>#REF!</v>
      </c>
      <c r="X270" s="28" t="n">
        <v>0.01528</v>
      </c>
      <c r="Y270" s="4" t="e">
        <f aca="false">(X270-#REF!)/#REF!</f>
        <v>#REF!</v>
      </c>
      <c r="Z270" s="27" t="n">
        <v>392.3</v>
      </c>
      <c r="AA270" s="4" t="e">
        <f aca="false">(Z270-#REF!)/#REF!</f>
        <v>#REF!</v>
      </c>
      <c r="AB270" s="3" t="n">
        <v>392</v>
      </c>
      <c r="AC270" s="4" t="e">
        <f aca="false">(AB270-#REF!)/#REF!</f>
        <v>#REF!</v>
      </c>
      <c r="AD270" s="25" t="n">
        <v>43.3</v>
      </c>
      <c r="AE270" s="4" t="e">
        <f aca="false">(AD270-#REF!)/#REF!</f>
        <v>#REF!</v>
      </c>
      <c r="AF270" s="4" t="n">
        <v>0.33</v>
      </c>
      <c r="AG270" s="4"/>
    </row>
    <row r="271" customFormat="false" ht="14.25" hidden="false" customHeight="false" outlineLevel="0" collapsed="false">
      <c r="A271" s="0" t="s">
        <v>82</v>
      </c>
      <c r="B271" s="1" t="n">
        <v>19.1</v>
      </c>
      <c r="C271" s="4" t="e">
        <f aca="false">(B271-#REF!)/#REF!</f>
        <v>#REF!</v>
      </c>
      <c r="D271" s="1" t="n">
        <v>2</v>
      </c>
      <c r="E271" s="4" t="e">
        <f aca="false">(D271-#REF!)/#REF!</f>
        <v>#REF!</v>
      </c>
      <c r="F271" s="2" t="n">
        <v>40</v>
      </c>
      <c r="G271" s="4" t="e">
        <f aca="false">(F271-#REF!)/#REF!</f>
        <v>#REF!</v>
      </c>
      <c r="H271" s="2" t="n">
        <v>30.38</v>
      </c>
      <c r="I271" s="4" t="e">
        <f aca="false">(H271-#REF!)/#REF!</f>
        <v>#REF!</v>
      </c>
      <c r="J271" s="4" t="n">
        <v>2.92087587098479</v>
      </c>
      <c r="K271" s="4" t="e">
        <f aca="false">(J271-#REF!)/#REF!</f>
        <v>#REF!</v>
      </c>
      <c r="L271" s="1" t="n">
        <v>30</v>
      </c>
      <c r="M271" s="4" t="e">
        <f aca="false">(L271-#REF!)/#REF!</f>
        <v>#REF!</v>
      </c>
      <c r="N271" s="1" t="n">
        <v>39.5</v>
      </c>
      <c r="O271" s="4" t="e">
        <f aca="false">(N271-#REF!)/#REF!</f>
        <v>#REF!</v>
      </c>
      <c r="P271" s="1" t="n">
        <v>150</v>
      </c>
      <c r="Q271" s="4" t="e">
        <f aca="false">(P271-#REF!)/#REF!</f>
        <v>#REF!</v>
      </c>
      <c r="R271" s="1" t="n">
        <v>250</v>
      </c>
      <c r="S271" s="4" t="e">
        <f aca="false">(R271-#REF!)/#REF!</f>
        <v>#REF!</v>
      </c>
      <c r="T271" s="1" t="n">
        <f aca="false">R271-N271</f>
        <v>210.5</v>
      </c>
      <c r="U271" s="4" t="e">
        <f aca="false">(T271-#REF!)/#REF!</f>
        <v>#REF!</v>
      </c>
      <c r="V271" s="1" t="n">
        <v>573</v>
      </c>
      <c r="W271" s="4" t="e">
        <f aca="false">(V271-#REF!)/#REF!</f>
        <v>#REF!</v>
      </c>
      <c r="X271" s="28" t="n">
        <v>0.01528</v>
      </c>
      <c r="Y271" s="4" t="e">
        <f aca="false">(X271-#REF!)/#REF!</f>
        <v>#REF!</v>
      </c>
      <c r="Z271" s="27" t="n">
        <v>186.076369807673</v>
      </c>
      <c r="AA271" s="4" t="e">
        <f aca="false">(Z271-#REF!)/#REF!</f>
        <v>#REF!</v>
      </c>
      <c r="AB271" s="3" t="n">
        <v>392</v>
      </c>
      <c r="AC271" s="4" t="e">
        <f aca="false">(AB271-#REF!)/#REF!</f>
        <v>#REF!</v>
      </c>
      <c r="AD271" s="25" t="n">
        <v>19.6</v>
      </c>
      <c r="AE271" s="4" t="e">
        <f aca="false">(AD271-#REF!)/#REF!</f>
        <v>#REF!</v>
      </c>
      <c r="AF271" s="4" t="n">
        <v>0.15</v>
      </c>
      <c r="AG271" s="4"/>
    </row>
    <row r="272" customFormat="false" ht="14.25" hidden="false" customHeight="false" outlineLevel="0" collapsed="false">
      <c r="B272" s="1" t="n">
        <v>19.1</v>
      </c>
      <c r="C272" s="4" t="e">
        <f aca="false">(B272-#REF!)/#REF!</f>
        <v>#REF!</v>
      </c>
      <c r="D272" s="1" t="n">
        <v>2</v>
      </c>
      <c r="E272" s="4" t="e">
        <f aca="false">(D272-#REF!)/#REF!</f>
        <v>#REF!</v>
      </c>
      <c r="F272" s="2" t="n">
        <v>40</v>
      </c>
      <c r="G272" s="4" t="e">
        <f aca="false">(F272-#REF!)/#REF!</f>
        <v>#REF!</v>
      </c>
      <c r="H272" s="2" t="n">
        <v>30.38</v>
      </c>
      <c r="I272" s="4" t="e">
        <f aca="false">(H272-#REF!)/#REF!</f>
        <v>#REF!</v>
      </c>
      <c r="J272" s="4" t="n">
        <v>2.92087587098479</v>
      </c>
      <c r="K272" s="4" t="e">
        <f aca="false">(J272-#REF!)/#REF!</f>
        <v>#REF!</v>
      </c>
      <c r="L272" s="1" t="n">
        <v>30</v>
      </c>
      <c r="M272" s="4" t="e">
        <f aca="false">(L272-#REF!)/#REF!</f>
        <v>#REF!</v>
      </c>
      <c r="N272" s="1" t="n">
        <v>39.5</v>
      </c>
      <c r="O272" s="4" t="e">
        <f aca="false">(N272-#REF!)/#REF!</f>
        <v>#REF!</v>
      </c>
      <c r="P272" s="1" t="n">
        <v>150</v>
      </c>
      <c r="Q272" s="4" t="e">
        <f aca="false">(P272-#REF!)/#REF!</f>
        <v>#REF!</v>
      </c>
      <c r="R272" s="1" t="n">
        <v>250</v>
      </c>
      <c r="S272" s="4" t="e">
        <f aca="false">(R272-#REF!)/#REF!</f>
        <v>#REF!</v>
      </c>
      <c r="T272" s="1" t="n">
        <f aca="false">R272-N272</f>
        <v>210.5</v>
      </c>
      <c r="U272" s="4" t="e">
        <f aca="false">(T272-#REF!)/#REF!</f>
        <v>#REF!</v>
      </c>
      <c r="V272" s="1" t="n">
        <v>573</v>
      </c>
      <c r="W272" s="4" t="e">
        <f aca="false">(V272-#REF!)/#REF!</f>
        <v>#REF!</v>
      </c>
      <c r="X272" s="28" t="n">
        <v>0.01528</v>
      </c>
      <c r="Y272" s="4" t="e">
        <f aca="false">(X272-#REF!)/#REF!</f>
        <v>#REF!</v>
      </c>
      <c r="Z272" s="27" t="n">
        <v>259.177800803545</v>
      </c>
      <c r="AA272" s="4" t="e">
        <f aca="false">(Z272-#REF!)/#REF!</f>
        <v>#REF!</v>
      </c>
      <c r="AB272" s="3" t="n">
        <v>392</v>
      </c>
      <c r="AC272" s="4" t="e">
        <f aca="false">(AB272-#REF!)/#REF!</f>
        <v>#REF!</v>
      </c>
      <c r="AD272" s="25" t="n">
        <v>27.3</v>
      </c>
      <c r="AE272" s="4" t="e">
        <f aca="false">(AD272-#REF!)/#REF!</f>
        <v>#REF!</v>
      </c>
      <c r="AF272" s="4" t="n">
        <v>0.25</v>
      </c>
      <c r="AG272" s="4"/>
    </row>
    <row r="273" customFormat="false" ht="14.25" hidden="false" customHeight="false" outlineLevel="0" collapsed="false">
      <c r="B273" s="1" t="n">
        <v>19.1</v>
      </c>
      <c r="C273" s="4" t="e">
        <f aca="false">(B273-#REF!)/#REF!</f>
        <v>#REF!</v>
      </c>
      <c r="D273" s="1" t="n">
        <v>2</v>
      </c>
      <c r="E273" s="4" t="e">
        <f aca="false">(D273-#REF!)/#REF!</f>
        <v>#REF!</v>
      </c>
      <c r="F273" s="2" t="n">
        <v>40</v>
      </c>
      <c r="G273" s="4" t="e">
        <f aca="false">(F273-#REF!)/#REF!</f>
        <v>#REF!</v>
      </c>
      <c r="H273" s="2" t="n">
        <v>30.38</v>
      </c>
      <c r="I273" s="4" t="e">
        <f aca="false">(H273-#REF!)/#REF!</f>
        <v>#REF!</v>
      </c>
      <c r="J273" s="4" t="n">
        <v>2.92087587098479</v>
      </c>
      <c r="K273" s="4" t="e">
        <f aca="false">(J273-#REF!)/#REF!</f>
        <v>#REF!</v>
      </c>
      <c r="L273" s="1" t="n">
        <v>30</v>
      </c>
      <c r="M273" s="4" t="e">
        <f aca="false">(L273-#REF!)/#REF!</f>
        <v>#REF!</v>
      </c>
      <c r="N273" s="1" t="n">
        <v>39.5</v>
      </c>
      <c r="O273" s="4" t="e">
        <f aca="false">(N273-#REF!)/#REF!</f>
        <v>#REF!</v>
      </c>
      <c r="P273" s="1" t="n">
        <v>150</v>
      </c>
      <c r="Q273" s="4" t="e">
        <f aca="false">(P273-#REF!)/#REF!</f>
        <v>#REF!</v>
      </c>
      <c r="R273" s="1" t="n">
        <v>250</v>
      </c>
      <c r="S273" s="4" t="e">
        <f aca="false">(R273-#REF!)/#REF!</f>
        <v>#REF!</v>
      </c>
      <c r="T273" s="1" t="n">
        <f aca="false">R273-N273</f>
        <v>210.5</v>
      </c>
      <c r="U273" s="4" t="e">
        <f aca="false">(T273-#REF!)/#REF!</f>
        <v>#REF!</v>
      </c>
      <c r="V273" s="1" t="n">
        <v>573</v>
      </c>
      <c r="W273" s="4" t="e">
        <f aca="false">(V273-#REF!)/#REF!</f>
        <v>#REF!</v>
      </c>
      <c r="X273" s="28" t="n">
        <v>0.01528</v>
      </c>
      <c r="Y273" s="4" t="e">
        <f aca="false">(X273-#REF!)/#REF!</f>
        <v>#REF!</v>
      </c>
      <c r="Z273" s="27" t="n">
        <v>333.228601033129</v>
      </c>
      <c r="AA273" s="4" t="e">
        <f aca="false">(Z273-#REF!)/#REF!</f>
        <v>#REF!</v>
      </c>
      <c r="AB273" s="3" t="n">
        <v>392</v>
      </c>
      <c r="AC273" s="4" t="e">
        <f aca="false">(AB273-#REF!)/#REF!</f>
        <v>#REF!</v>
      </c>
      <c r="AD273" s="25" t="n">
        <v>35.1</v>
      </c>
      <c r="AE273" s="4" t="e">
        <f aca="false">(AD273-#REF!)/#REF!</f>
        <v>#REF!</v>
      </c>
      <c r="AF273" s="4" t="n">
        <v>0.28</v>
      </c>
      <c r="AG273" s="4"/>
    </row>
    <row r="274" customFormat="false" ht="14.25" hidden="false" customHeight="false" outlineLevel="0" collapsed="false">
      <c r="A274" s="0" t="s">
        <v>83</v>
      </c>
      <c r="B274" s="1" t="n">
        <v>15.9</v>
      </c>
      <c r="C274" s="4" t="e">
        <f aca="false">(B274-#REF!)/#REF!</f>
        <v>#REF!</v>
      </c>
      <c r="D274" s="1" t="n">
        <v>2</v>
      </c>
      <c r="E274" s="4" t="e">
        <f aca="false">(D274-#REF!)/#REF!</f>
        <v>#REF!</v>
      </c>
      <c r="F274" s="2" t="n">
        <v>46</v>
      </c>
      <c r="G274" s="4" t="e">
        <f aca="false">(F274-#REF!)/#REF!</f>
        <v>#REF!</v>
      </c>
      <c r="H274" s="2" t="n">
        <v>37.38</v>
      </c>
      <c r="I274" s="4" t="e">
        <f aca="false">(H274-#REF!)/#REF!</f>
        <v>#REF!</v>
      </c>
      <c r="J274" s="4" t="n">
        <v>3.35387948274239</v>
      </c>
      <c r="K274" s="4" t="e">
        <f aca="false">(J274-#REF!)/#REF!</f>
        <v>#REF!</v>
      </c>
      <c r="L274" s="1" t="n">
        <v>30</v>
      </c>
      <c r="M274" s="4" t="e">
        <f aca="false">(L274-#REF!)/#REF!</f>
        <v>#REF!</v>
      </c>
      <c r="N274" s="1" t="n">
        <v>38</v>
      </c>
      <c r="O274" s="4" t="e">
        <f aca="false">(N274-#REF!)/#REF!</f>
        <v>#REF!</v>
      </c>
      <c r="P274" s="1" t="n">
        <v>150</v>
      </c>
      <c r="Q274" s="4" t="e">
        <f aca="false">(P274-#REF!)/#REF!</f>
        <v>#REF!</v>
      </c>
      <c r="R274" s="1" t="n">
        <v>250</v>
      </c>
      <c r="S274" s="4" t="e">
        <f aca="false">(R274-#REF!)/#REF!</f>
        <v>#REF!</v>
      </c>
      <c r="T274" s="1" t="n">
        <f aca="false">R274-N274</f>
        <v>212</v>
      </c>
      <c r="U274" s="4" t="e">
        <f aca="false">(T274-#REF!)/#REF!</f>
        <v>#REF!</v>
      </c>
      <c r="V274" s="1" t="n">
        <v>397.2</v>
      </c>
      <c r="W274" s="4" t="e">
        <f aca="false">(V274-#REF!)/#REF!</f>
        <v>#REF!</v>
      </c>
      <c r="X274" s="28" t="n">
        <v>0.010592</v>
      </c>
      <c r="Y274" s="4" t="e">
        <f aca="false">(X274-#REF!)/#REF!</f>
        <v>#REF!</v>
      </c>
      <c r="Z274" s="27" t="n">
        <v>365.472691516251</v>
      </c>
      <c r="AA274" s="4" t="e">
        <f aca="false">(Z274-#REF!)/#REF!</f>
        <v>#REF!</v>
      </c>
      <c r="AB274" s="3" t="n">
        <v>392</v>
      </c>
      <c r="AC274" s="4" t="e">
        <f aca="false">(AB274-#REF!)/#REF!</f>
        <v>#REF!</v>
      </c>
      <c r="AD274" s="25" t="n">
        <v>27.5</v>
      </c>
      <c r="AE274" s="4" t="e">
        <f aca="false">(AD274-#REF!)/#REF!</f>
        <v>#REF!</v>
      </c>
      <c r="AF274" s="4" t="n">
        <v>0.2</v>
      </c>
      <c r="AG274" s="4"/>
    </row>
    <row r="275" customFormat="false" ht="14.25" hidden="false" customHeight="false" outlineLevel="0" collapsed="false">
      <c r="B275" s="1" t="n">
        <v>15.9</v>
      </c>
      <c r="C275" s="4" t="e">
        <f aca="false">(B275-#REF!)/#REF!</f>
        <v>#REF!</v>
      </c>
      <c r="D275" s="1" t="n">
        <v>2</v>
      </c>
      <c r="E275" s="4" t="e">
        <f aca="false">(D275-#REF!)/#REF!</f>
        <v>#REF!</v>
      </c>
      <c r="F275" s="2" t="n">
        <v>46</v>
      </c>
      <c r="G275" s="4" t="e">
        <f aca="false">(F275-#REF!)/#REF!</f>
        <v>#REF!</v>
      </c>
      <c r="H275" s="2" t="n">
        <v>37.38</v>
      </c>
      <c r="I275" s="4" t="e">
        <f aca="false">(H275-#REF!)/#REF!</f>
        <v>#REF!</v>
      </c>
      <c r="J275" s="4" t="n">
        <v>3.35387948274239</v>
      </c>
      <c r="K275" s="4" t="e">
        <f aca="false">(J275-#REF!)/#REF!</f>
        <v>#REF!</v>
      </c>
      <c r="L275" s="1" t="n">
        <v>30</v>
      </c>
      <c r="M275" s="4" t="e">
        <f aca="false">(L275-#REF!)/#REF!</f>
        <v>#REF!</v>
      </c>
      <c r="N275" s="1" t="n">
        <v>38</v>
      </c>
      <c r="O275" s="4" t="e">
        <f aca="false">(N275-#REF!)/#REF!</f>
        <v>#REF!</v>
      </c>
      <c r="P275" s="1" t="n">
        <v>150</v>
      </c>
      <c r="Q275" s="4" t="e">
        <f aca="false">(P275-#REF!)/#REF!</f>
        <v>#REF!</v>
      </c>
      <c r="R275" s="1" t="n">
        <v>250</v>
      </c>
      <c r="S275" s="4" t="e">
        <f aca="false">(R275-#REF!)/#REF!</f>
        <v>#REF!</v>
      </c>
      <c r="T275" s="1" t="n">
        <f aca="false">R275-N275</f>
        <v>212</v>
      </c>
      <c r="U275" s="4" t="e">
        <f aca="false">(T275-#REF!)/#REF!</f>
        <v>#REF!</v>
      </c>
      <c r="V275" s="1" t="n">
        <v>397.2</v>
      </c>
      <c r="W275" s="4" t="e">
        <f aca="false">(V275-#REF!)/#REF!</f>
        <v>#REF!</v>
      </c>
      <c r="X275" s="28" t="n">
        <v>0.010592</v>
      </c>
      <c r="Y275" s="4" t="e">
        <f aca="false">(X275-#REF!)/#REF!</f>
        <v>#REF!</v>
      </c>
      <c r="Z275" s="27" t="n">
        <v>392.3</v>
      </c>
      <c r="AA275" s="4" t="e">
        <f aca="false">(Z275-#REF!)/#REF!</f>
        <v>#REF!</v>
      </c>
      <c r="AB275" s="3" t="n">
        <v>392</v>
      </c>
      <c r="AC275" s="4" t="e">
        <f aca="false">(AB275-#REF!)/#REF!</f>
        <v>#REF!</v>
      </c>
      <c r="AD275" s="25" t="n">
        <v>31.4</v>
      </c>
      <c r="AE275" s="4" t="e">
        <f aca="false">(AD275-#REF!)/#REF!</f>
        <v>#REF!</v>
      </c>
      <c r="AF275" s="4" t="n">
        <v>0.22</v>
      </c>
      <c r="AG275" s="4"/>
    </row>
    <row r="276" customFormat="false" ht="14.25" hidden="false" customHeight="false" outlineLevel="0" collapsed="false">
      <c r="A276" s="0" t="s">
        <v>84</v>
      </c>
      <c r="B276" s="1" t="n">
        <v>15.9</v>
      </c>
      <c r="C276" s="4" t="e">
        <f aca="false">(B276-#REF!)/#REF!</f>
        <v>#REF!</v>
      </c>
      <c r="D276" s="1" t="n">
        <v>2</v>
      </c>
      <c r="E276" s="4" t="e">
        <f aca="false">(D276-#REF!)/#REF!</f>
        <v>#REF!</v>
      </c>
      <c r="F276" s="2" t="n">
        <v>46</v>
      </c>
      <c r="G276" s="4" t="e">
        <f aca="false">(F276-#REF!)/#REF!</f>
        <v>#REF!</v>
      </c>
      <c r="H276" s="2" t="n">
        <v>37.38</v>
      </c>
      <c r="I276" s="4" t="e">
        <f aca="false">(H276-#REF!)/#REF!</f>
        <v>#REF!</v>
      </c>
      <c r="J276" s="4" t="n">
        <v>3.35387948274239</v>
      </c>
      <c r="K276" s="4" t="e">
        <f aca="false">(J276-#REF!)/#REF!</f>
        <v>#REF!</v>
      </c>
      <c r="L276" s="1" t="n">
        <v>30</v>
      </c>
      <c r="M276" s="4" t="e">
        <f aca="false">(L276-#REF!)/#REF!</f>
        <v>#REF!</v>
      </c>
      <c r="N276" s="1" t="n">
        <v>38</v>
      </c>
      <c r="O276" s="4" t="e">
        <f aca="false">(N276-#REF!)/#REF!</f>
        <v>#REF!</v>
      </c>
      <c r="P276" s="1" t="n">
        <v>150</v>
      </c>
      <c r="Q276" s="4" t="e">
        <f aca="false">(P276-#REF!)/#REF!</f>
        <v>#REF!</v>
      </c>
      <c r="R276" s="1" t="n">
        <v>250</v>
      </c>
      <c r="S276" s="4" t="e">
        <f aca="false">(R276-#REF!)/#REF!</f>
        <v>#REF!</v>
      </c>
      <c r="T276" s="1" t="n">
        <f aca="false">R276-N276</f>
        <v>212</v>
      </c>
      <c r="U276" s="4" t="e">
        <f aca="false">(T276-#REF!)/#REF!</f>
        <v>#REF!</v>
      </c>
      <c r="V276" s="1" t="n">
        <v>397.2</v>
      </c>
      <c r="W276" s="4" t="e">
        <f aca="false">(V276-#REF!)/#REF!</f>
        <v>#REF!</v>
      </c>
      <c r="X276" s="28" t="n">
        <v>0.010592</v>
      </c>
      <c r="Y276" s="4" t="e">
        <f aca="false">(X276-#REF!)/#REF!</f>
        <v>#REF!</v>
      </c>
      <c r="Z276" s="27" t="n">
        <v>365.472691516251</v>
      </c>
      <c r="AA276" s="4" t="e">
        <f aca="false">(Z276-#REF!)/#REF!</f>
        <v>#REF!</v>
      </c>
      <c r="AB276" s="3" t="n">
        <v>392</v>
      </c>
      <c r="AC276" s="4" t="e">
        <f aca="false">(AB276-#REF!)/#REF!</f>
        <v>#REF!</v>
      </c>
      <c r="AD276" s="25" t="n">
        <v>27.5</v>
      </c>
      <c r="AE276" s="4" t="e">
        <f aca="false">(AD276-#REF!)/#REF!</f>
        <v>#REF!</v>
      </c>
      <c r="AF276" s="4" t="n">
        <v>0.17</v>
      </c>
      <c r="AG276" s="4"/>
    </row>
    <row r="277" customFormat="false" ht="14.25" hidden="false" customHeight="false" outlineLevel="0" collapsed="false">
      <c r="B277" s="1" t="n">
        <v>15.9</v>
      </c>
      <c r="C277" s="4" t="e">
        <f aca="false">(B277-#REF!)/#REF!</f>
        <v>#REF!</v>
      </c>
      <c r="D277" s="1" t="n">
        <v>2</v>
      </c>
      <c r="E277" s="4" t="e">
        <f aca="false">(D277-#REF!)/#REF!</f>
        <v>#REF!</v>
      </c>
      <c r="F277" s="2" t="n">
        <v>46</v>
      </c>
      <c r="G277" s="4" t="e">
        <f aca="false">(F277-#REF!)/#REF!</f>
        <v>#REF!</v>
      </c>
      <c r="H277" s="2" t="n">
        <v>37.38</v>
      </c>
      <c r="I277" s="4" t="e">
        <f aca="false">(H277-#REF!)/#REF!</f>
        <v>#REF!</v>
      </c>
      <c r="J277" s="4" t="n">
        <v>3.35387948274239</v>
      </c>
      <c r="K277" s="4" t="e">
        <f aca="false">(J277-#REF!)/#REF!</f>
        <v>#REF!</v>
      </c>
      <c r="L277" s="1" t="n">
        <v>30</v>
      </c>
      <c r="M277" s="4" t="e">
        <f aca="false">(L277-#REF!)/#REF!</f>
        <v>#REF!</v>
      </c>
      <c r="N277" s="1" t="n">
        <v>38</v>
      </c>
      <c r="O277" s="4" t="e">
        <f aca="false">(N277-#REF!)/#REF!</f>
        <v>#REF!</v>
      </c>
      <c r="P277" s="1" t="n">
        <v>150</v>
      </c>
      <c r="Q277" s="4" t="e">
        <f aca="false">(P277-#REF!)/#REF!</f>
        <v>#REF!</v>
      </c>
      <c r="R277" s="1" t="n">
        <v>250</v>
      </c>
      <c r="S277" s="4" t="e">
        <f aca="false">(R277-#REF!)/#REF!</f>
        <v>#REF!</v>
      </c>
      <c r="T277" s="1" t="n">
        <f aca="false">R277-N277</f>
        <v>212</v>
      </c>
      <c r="U277" s="4" t="e">
        <f aca="false">(T277-#REF!)/#REF!</f>
        <v>#REF!</v>
      </c>
      <c r="V277" s="1" t="n">
        <v>397.2</v>
      </c>
      <c r="W277" s="4" t="e">
        <f aca="false">(V277-#REF!)/#REF!</f>
        <v>#REF!</v>
      </c>
      <c r="X277" s="28" t="n">
        <v>0.010592</v>
      </c>
      <c r="Y277" s="4" t="e">
        <f aca="false">(X277-#REF!)/#REF!</f>
        <v>#REF!</v>
      </c>
      <c r="Z277" s="27" t="n">
        <v>392.3</v>
      </c>
      <c r="AA277" s="4" t="e">
        <f aca="false">(Z277-#REF!)/#REF!</f>
        <v>#REF!</v>
      </c>
      <c r="AB277" s="3" t="n">
        <v>392</v>
      </c>
      <c r="AC277" s="4" t="e">
        <f aca="false">(AB277-#REF!)/#REF!</f>
        <v>#REF!</v>
      </c>
      <c r="AD277" s="25" t="n">
        <v>31.4</v>
      </c>
      <c r="AE277" s="4" t="e">
        <f aca="false">(AD277-#REF!)/#REF!</f>
        <v>#REF!</v>
      </c>
      <c r="AF277" s="4" t="n">
        <v>0.21</v>
      </c>
      <c r="AG277" s="4"/>
    </row>
    <row r="278" customFormat="false" ht="14.25" hidden="false" customHeight="false" outlineLevel="0" collapsed="false">
      <c r="A278" s="0" t="s">
        <v>85</v>
      </c>
      <c r="B278" s="1" t="n">
        <v>19.1</v>
      </c>
      <c r="C278" s="4" t="e">
        <f aca="false">(B278-#REF!)/#REF!</f>
        <v>#REF!</v>
      </c>
      <c r="D278" s="1" t="n">
        <v>2</v>
      </c>
      <c r="E278" s="4" t="e">
        <f aca="false">(D278-#REF!)/#REF!</f>
        <v>#REF!</v>
      </c>
      <c r="F278" s="2" t="n">
        <v>40</v>
      </c>
      <c r="G278" s="4" t="e">
        <f aca="false">(F278-#REF!)/#REF!</f>
        <v>#REF!</v>
      </c>
      <c r="H278" s="2" t="n">
        <v>37.38</v>
      </c>
      <c r="I278" s="4" t="e">
        <f aca="false">(H278-#REF!)/#REF!</f>
        <v>#REF!</v>
      </c>
      <c r="J278" s="4" t="n">
        <v>3.35387948274239</v>
      </c>
      <c r="K278" s="4" t="e">
        <f aca="false">(J278-#REF!)/#REF!</f>
        <v>#REF!</v>
      </c>
      <c r="L278" s="1" t="n">
        <v>30</v>
      </c>
      <c r="M278" s="4" t="e">
        <f aca="false">(L278-#REF!)/#REF!</f>
        <v>#REF!</v>
      </c>
      <c r="N278" s="1" t="n">
        <v>39.5</v>
      </c>
      <c r="O278" s="4" t="e">
        <f aca="false">(N278-#REF!)/#REF!</f>
        <v>#REF!</v>
      </c>
      <c r="P278" s="1" t="n">
        <v>150</v>
      </c>
      <c r="Q278" s="4" t="e">
        <f aca="false">(P278-#REF!)/#REF!</f>
        <v>#REF!</v>
      </c>
      <c r="R278" s="1" t="n">
        <v>250</v>
      </c>
      <c r="S278" s="4" t="e">
        <f aca="false">(R278-#REF!)/#REF!</f>
        <v>#REF!</v>
      </c>
      <c r="T278" s="1" t="n">
        <f aca="false">R278-N278</f>
        <v>210.5</v>
      </c>
      <c r="U278" s="4" t="e">
        <f aca="false">(T278-#REF!)/#REF!</f>
        <v>#REF!</v>
      </c>
      <c r="V278" s="1" t="n">
        <v>573</v>
      </c>
      <c r="W278" s="4" t="e">
        <f aca="false">(V278-#REF!)/#REF!</f>
        <v>#REF!</v>
      </c>
      <c r="X278" s="28" t="n">
        <v>0.01528</v>
      </c>
      <c r="Y278" s="4" t="e">
        <f aca="false">(X278-#REF!)/#REF!</f>
        <v>#REF!</v>
      </c>
      <c r="Z278" s="27" t="n">
        <v>221.310131801498</v>
      </c>
      <c r="AA278" s="4" t="e">
        <f aca="false">(Z278-#REF!)/#REF!</f>
        <v>#REF!</v>
      </c>
      <c r="AB278" s="3" t="n">
        <v>392</v>
      </c>
      <c r="AC278" s="4" t="e">
        <f aca="false">(AB278-#REF!)/#REF!</f>
        <v>#REF!</v>
      </c>
      <c r="AD278" s="25" t="n">
        <v>23.4</v>
      </c>
      <c r="AE278" s="4" t="e">
        <f aca="false">(AD278-#REF!)/#REF!</f>
        <v>#REF!</v>
      </c>
      <c r="AF278" s="4" t="n">
        <v>0.17</v>
      </c>
      <c r="AG278" s="4"/>
    </row>
    <row r="279" customFormat="false" ht="14.25" hidden="false" customHeight="false" outlineLevel="0" collapsed="false">
      <c r="B279" s="1" t="n">
        <v>19.1</v>
      </c>
      <c r="C279" s="4" t="e">
        <f aca="false">(B279-#REF!)/#REF!</f>
        <v>#REF!</v>
      </c>
      <c r="D279" s="1" t="n">
        <v>2</v>
      </c>
      <c r="E279" s="4" t="e">
        <f aca="false">(D279-#REF!)/#REF!</f>
        <v>#REF!</v>
      </c>
      <c r="F279" s="2" t="n">
        <v>40</v>
      </c>
      <c r="G279" s="4" t="e">
        <f aca="false">(F279-#REF!)/#REF!</f>
        <v>#REF!</v>
      </c>
      <c r="H279" s="2" t="n">
        <v>37.38</v>
      </c>
      <c r="I279" s="4" t="e">
        <f aca="false">(H279-#REF!)/#REF!</f>
        <v>#REF!</v>
      </c>
      <c r="J279" s="4" t="n">
        <v>3.35387948274239</v>
      </c>
      <c r="K279" s="4" t="e">
        <f aca="false">(J279-#REF!)/#REF!</f>
        <v>#REF!</v>
      </c>
      <c r="L279" s="1" t="n">
        <v>30</v>
      </c>
      <c r="M279" s="4" t="e">
        <f aca="false">(L279-#REF!)/#REF!</f>
        <v>#REF!</v>
      </c>
      <c r="N279" s="1" t="n">
        <v>39.5</v>
      </c>
      <c r="O279" s="4" t="e">
        <f aca="false">(N279-#REF!)/#REF!</f>
        <v>#REF!</v>
      </c>
      <c r="P279" s="1" t="n">
        <v>150</v>
      </c>
      <c r="Q279" s="4" t="e">
        <f aca="false">(P279-#REF!)/#REF!</f>
        <v>#REF!</v>
      </c>
      <c r="R279" s="1" t="n">
        <v>250</v>
      </c>
      <c r="S279" s="4" t="e">
        <f aca="false">(R279-#REF!)/#REF!</f>
        <v>#REF!</v>
      </c>
      <c r="T279" s="1" t="n">
        <f aca="false">R279-N279</f>
        <v>210.5</v>
      </c>
      <c r="U279" s="4" t="e">
        <f aca="false">(T279-#REF!)/#REF!</f>
        <v>#REF!</v>
      </c>
      <c r="V279" s="1" t="n">
        <v>573</v>
      </c>
      <c r="W279" s="4" t="e">
        <f aca="false">(V279-#REF!)/#REF!</f>
        <v>#REF!</v>
      </c>
      <c r="X279" s="28" t="n">
        <v>0.01528</v>
      </c>
      <c r="Y279" s="4" t="e">
        <f aca="false">(X279-#REF!)/#REF!</f>
        <v>#REF!</v>
      </c>
      <c r="Z279" s="27" t="n">
        <v>259.140923562438</v>
      </c>
      <c r="AA279" s="4" t="e">
        <f aca="false">(Z279-#REF!)/#REF!</f>
        <v>#REF!</v>
      </c>
      <c r="AB279" s="3" t="n">
        <v>392</v>
      </c>
      <c r="AC279" s="4" t="e">
        <f aca="false">(AB279-#REF!)/#REF!</f>
        <v>#REF!</v>
      </c>
      <c r="AD279" s="25" t="n">
        <v>27.4</v>
      </c>
      <c r="AE279" s="4" t="e">
        <f aca="false">(AD279-#REF!)/#REF!</f>
        <v>#REF!</v>
      </c>
      <c r="AF279" s="4" t="n">
        <v>0.18</v>
      </c>
      <c r="AG279" s="4"/>
    </row>
    <row r="280" customFormat="false" ht="14.25" hidden="false" customHeight="false" outlineLevel="0" collapsed="false">
      <c r="B280" s="1" t="n">
        <v>19.1</v>
      </c>
      <c r="C280" s="4" t="e">
        <f aca="false">(B280-#REF!)/#REF!</f>
        <v>#REF!</v>
      </c>
      <c r="D280" s="1" t="n">
        <v>2</v>
      </c>
      <c r="E280" s="4" t="e">
        <f aca="false">(D280-#REF!)/#REF!</f>
        <v>#REF!</v>
      </c>
      <c r="F280" s="2" t="n">
        <v>40</v>
      </c>
      <c r="G280" s="4" t="e">
        <f aca="false">(F280-#REF!)/#REF!</f>
        <v>#REF!</v>
      </c>
      <c r="H280" s="2" t="n">
        <v>37.38</v>
      </c>
      <c r="I280" s="4" t="e">
        <f aca="false">(H280-#REF!)/#REF!</f>
        <v>#REF!</v>
      </c>
      <c r="J280" s="4" t="n">
        <v>3.35387948274239</v>
      </c>
      <c r="K280" s="4" t="e">
        <f aca="false">(J280-#REF!)/#REF!</f>
        <v>#REF!</v>
      </c>
      <c r="L280" s="1" t="n">
        <v>30</v>
      </c>
      <c r="M280" s="4" t="e">
        <f aca="false">(L280-#REF!)/#REF!</f>
        <v>#REF!</v>
      </c>
      <c r="N280" s="1" t="n">
        <v>39.5</v>
      </c>
      <c r="O280" s="4" t="e">
        <f aca="false">(N280-#REF!)/#REF!</f>
        <v>#REF!</v>
      </c>
      <c r="P280" s="1" t="n">
        <v>150</v>
      </c>
      <c r="Q280" s="4" t="e">
        <f aca="false">(P280-#REF!)/#REF!</f>
        <v>#REF!</v>
      </c>
      <c r="R280" s="1" t="n">
        <v>250</v>
      </c>
      <c r="S280" s="4" t="e">
        <f aca="false">(R280-#REF!)/#REF!</f>
        <v>#REF!</v>
      </c>
      <c r="T280" s="1" t="n">
        <f aca="false">R280-N280</f>
        <v>210.5</v>
      </c>
      <c r="U280" s="4" t="e">
        <f aca="false">(T280-#REF!)/#REF!</f>
        <v>#REF!</v>
      </c>
      <c r="V280" s="1" t="n">
        <v>573</v>
      </c>
      <c r="W280" s="4" t="e">
        <f aca="false">(V280-#REF!)/#REF!</f>
        <v>#REF!</v>
      </c>
      <c r="X280" s="28" t="n">
        <v>0.01528</v>
      </c>
      <c r="Y280" s="4" t="e">
        <f aca="false">(X280-#REF!)/#REF!</f>
        <v>#REF!</v>
      </c>
      <c r="Z280" s="27" t="n">
        <v>296.025945529354</v>
      </c>
      <c r="AA280" s="4" t="e">
        <f aca="false">(Z280-#REF!)/#REF!</f>
        <v>#REF!</v>
      </c>
      <c r="AB280" s="3" t="n">
        <v>392</v>
      </c>
      <c r="AC280" s="4" t="e">
        <f aca="false">(AB280-#REF!)/#REF!</f>
        <v>#REF!</v>
      </c>
      <c r="AD280" s="25" t="n">
        <v>31.3</v>
      </c>
      <c r="AE280" s="4" t="e">
        <f aca="false">(AD280-#REF!)/#REF!</f>
        <v>#REF!</v>
      </c>
      <c r="AF280" s="4" t="n">
        <v>0.2</v>
      </c>
      <c r="AG280" s="4"/>
    </row>
    <row r="281" customFormat="false" ht="14.25" hidden="false" customHeight="false" outlineLevel="0" collapsed="false">
      <c r="B281" s="1" t="n">
        <v>19.1</v>
      </c>
      <c r="C281" s="4" t="e">
        <f aca="false">(B281-#REF!)/#REF!</f>
        <v>#REF!</v>
      </c>
      <c r="D281" s="1" t="n">
        <v>2</v>
      </c>
      <c r="E281" s="4" t="e">
        <f aca="false">(D281-#REF!)/#REF!</f>
        <v>#REF!</v>
      </c>
      <c r="F281" s="2" t="n">
        <v>40</v>
      </c>
      <c r="G281" s="4" t="e">
        <f aca="false">(F281-#REF!)/#REF!</f>
        <v>#REF!</v>
      </c>
      <c r="H281" s="2" t="n">
        <v>37.38</v>
      </c>
      <c r="I281" s="4" t="e">
        <f aca="false">(H281-#REF!)/#REF!</f>
        <v>#REF!</v>
      </c>
      <c r="J281" s="4" t="n">
        <v>3.35387948274239</v>
      </c>
      <c r="K281" s="4" t="e">
        <f aca="false">(J281-#REF!)/#REF!</f>
        <v>#REF!</v>
      </c>
      <c r="L281" s="1" t="n">
        <v>30</v>
      </c>
      <c r="M281" s="4" t="e">
        <f aca="false">(L281-#REF!)/#REF!</f>
        <v>#REF!</v>
      </c>
      <c r="N281" s="1" t="n">
        <v>39.5</v>
      </c>
      <c r="O281" s="4" t="e">
        <f aca="false">(N281-#REF!)/#REF!</f>
        <v>#REF!</v>
      </c>
      <c r="P281" s="1" t="n">
        <v>150</v>
      </c>
      <c r="Q281" s="4" t="e">
        <f aca="false">(P281-#REF!)/#REF!</f>
        <v>#REF!</v>
      </c>
      <c r="R281" s="1" t="n">
        <v>250</v>
      </c>
      <c r="S281" s="4" t="e">
        <f aca="false">(R281-#REF!)/#REF!</f>
        <v>#REF!</v>
      </c>
      <c r="T281" s="1" t="n">
        <f aca="false">R281-N281</f>
        <v>210.5</v>
      </c>
      <c r="U281" s="4" t="e">
        <f aca="false">(T281-#REF!)/#REF!</f>
        <v>#REF!</v>
      </c>
      <c r="V281" s="1" t="n">
        <v>573</v>
      </c>
      <c r="W281" s="4" t="e">
        <f aca="false">(V281-#REF!)/#REF!</f>
        <v>#REF!</v>
      </c>
      <c r="X281" s="28" t="n">
        <v>0.01528</v>
      </c>
      <c r="Y281" s="4" t="e">
        <f aca="false">(X281-#REF!)/#REF!</f>
        <v>#REF!</v>
      </c>
      <c r="Z281" s="27" t="n">
        <v>333.856737290294</v>
      </c>
      <c r="AA281" s="4" t="e">
        <f aca="false">(Z281-#REF!)/#REF!</f>
        <v>#REF!</v>
      </c>
      <c r="AB281" s="3" t="n">
        <v>392</v>
      </c>
      <c r="AC281" s="4" t="e">
        <f aca="false">(AB281-#REF!)/#REF!</f>
        <v>#REF!</v>
      </c>
      <c r="AD281" s="25" t="n">
        <v>35.3</v>
      </c>
      <c r="AE281" s="4" t="e">
        <f aca="false">(AD281-#REF!)/#REF!</f>
        <v>#REF!</v>
      </c>
      <c r="AF281" s="4" t="n">
        <v>0.2</v>
      </c>
      <c r="AG281" s="4"/>
    </row>
    <row r="282" customFormat="false" ht="14.25" hidden="false" customHeight="false" outlineLevel="0" collapsed="false">
      <c r="B282" s="1" t="n">
        <v>19.1</v>
      </c>
      <c r="C282" s="4" t="e">
        <f aca="false">(B282-#REF!)/#REF!</f>
        <v>#REF!</v>
      </c>
      <c r="D282" s="1" t="n">
        <v>2</v>
      </c>
      <c r="E282" s="4" t="e">
        <f aca="false">(D282-#REF!)/#REF!</f>
        <v>#REF!</v>
      </c>
      <c r="F282" s="2" t="n">
        <v>40</v>
      </c>
      <c r="G282" s="4" t="e">
        <f aca="false">(F282-#REF!)/#REF!</f>
        <v>#REF!</v>
      </c>
      <c r="H282" s="2" t="n">
        <v>37.38</v>
      </c>
      <c r="I282" s="4" t="e">
        <f aca="false">(H282-#REF!)/#REF!</f>
        <v>#REF!</v>
      </c>
      <c r="J282" s="4" t="n">
        <v>3.35387948274239</v>
      </c>
      <c r="K282" s="4" t="e">
        <f aca="false">(J282-#REF!)/#REF!</f>
        <v>#REF!</v>
      </c>
      <c r="L282" s="1" t="n">
        <v>30</v>
      </c>
      <c r="M282" s="4" t="e">
        <f aca="false">(L282-#REF!)/#REF!</f>
        <v>#REF!</v>
      </c>
      <c r="N282" s="1" t="n">
        <v>39.5</v>
      </c>
      <c r="O282" s="4" t="e">
        <f aca="false">(N282-#REF!)/#REF!</f>
        <v>#REF!</v>
      </c>
      <c r="P282" s="1" t="n">
        <v>150</v>
      </c>
      <c r="Q282" s="4" t="e">
        <f aca="false">(P282-#REF!)/#REF!</f>
        <v>#REF!</v>
      </c>
      <c r="R282" s="1" t="n">
        <v>250</v>
      </c>
      <c r="S282" s="4" t="e">
        <f aca="false">(R282-#REF!)/#REF!</f>
        <v>#REF!</v>
      </c>
      <c r="T282" s="1" t="n">
        <f aca="false">R282-N282</f>
        <v>210.5</v>
      </c>
      <c r="U282" s="4" t="e">
        <f aca="false">(T282-#REF!)/#REF!</f>
        <v>#REF!</v>
      </c>
      <c r="V282" s="1" t="n">
        <v>573</v>
      </c>
      <c r="W282" s="4" t="e">
        <f aca="false">(V282-#REF!)/#REF!</f>
        <v>#REF!</v>
      </c>
      <c r="X282" s="28" t="n">
        <v>0.01528</v>
      </c>
      <c r="Y282" s="4" t="e">
        <f aca="false">(X282-#REF!)/#REF!</f>
        <v>#REF!</v>
      </c>
      <c r="Z282" s="27" t="n">
        <v>369.795989463187</v>
      </c>
      <c r="AA282" s="4" t="e">
        <f aca="false">(Z282-#REF!)/#REF!</f>
        <v>#REF!</v>
      </c>
      <c r="AB282" s="3" t="n">
        <v>392</v>
      </c>
      <c r="AC282" s="4" t="e">
        <f aca="false">(AB282-#REF!)/#REF!</f>
        <v>#REF!</v>
      </c>
      <c r="AD282" s="25" t="n">
        <v>39.1</v>
      </c>
      <c r="AE282" s="4" t="e">
        <f aca="false">(AD282-#REF!)/#REF!</f>
        <v>#REF!</v>
      </c>
      <c r="AF282" s="4" t="n">
        <v>0.25</v>
      </c>
      <c r="AG282" s="4"/>
    </row>
    <row r="283" customFormat="false" ht="14.25" hidden="false" customHeight="false" outlineLevel="0" collapsed="false">
      <c r="B283" s="1" t="n">
        <v>19.1</v>
      </c>
      <c r="C283" s="4" t="e">
        <f aca="false">(B283-#REF!)/#REF!</f>
        <v>#REF!</v>
      </c>
      <c r="D283" s="1" t="n">
        <v>2</v>
      </c>
      <c r="E283" s="4" t="e">
        <f aca="false">(D283-#REF!)/#REF!</f>
        <v>#REF!</v>
      </c>
      <c r="F283" s="2" t="n">
        <v>40</v>
      </c>
      <c r="G283" s="4" t="e">
        <f aca="false">(F283-#REF!)/#REF!</f>
        <v>#REF!</v>
      </c>
      <c r="H283" s="2" t="n">
        <v>37.38</v>
      </c>
      <c r="I283" s="4" t="e">
        <f aca="false">(H283-#REF!)/#REF!</f>
        <v>#REF!</v>
      </c>
      <c r="J283" s="4" t="n">
        <v>3.35387948274239</v>
      </c>
      <c r="K283" s="4" t="e">
        <f aca="false">(J283-#REF!)/#REF!</f>
        <v>#REF!</v>
      </c>
      <c r="L283" s="1" t="n">
        <v>30</v>
      </c>
      <c r="M283" s="4" t="e">
        <f aca="false">(L283-#REF!)/#REF!</f>
        <v>#REF!</v>
      </c>
      <c r="N283" s="1" t="n">
        <v>39.5</v>
      </c>
      <c r="O283" s="4" t="e">
        <f aca="false">(N283-#REF!)/#REF!</f>
        <v>#REF!</v>
      </c>
      <c r="P283" s="1" t="n">
        <v>150</v>
      </c>
      <c r="Q283" s="4" t="e">
        <f aca="false">(P283-#REF!)/#REF!</f>
        <v>#REF!</v>
      </c>
      <c r="R283" s="1" t="n">
        <v>250</v>
      </c>
      <c r="S283" s="4" t="e">
        <f aca="false">(R283-#REF!)/#REF!</f>
        <v>#REF!</v>
      </c>
      <c r="T283" s="1" t="n">
        <f aca="false">R283-N283</f>
        <v>210.5</v>
      </c>
      <c r="U283" s="4" t="e">
        <f aca="false">(T283-#REF!)/#REF!</f>
        <v>#REF!</v>
      </c>
      <c r="V283" s="1" t="n">
        <v>573</v>
      </c>
      <c r="W283" s="4" t="e">
        <f aca="false">(V283-#REF!)/#REF!</f>
        <v>#REF!</v>
      </c>
      <c r="X283" s="28" t="n">
        <v>0.01528</v>
      </c>
      <c r="Y283" s="4" t="e">
        <f aca="false">(X283-#REF!)/#REF!</f>
        <v>#REF!</v>
      </c>
      <c r="Z283" s="27" t="n">
        <v>392.3</v>
      </c>
      <c r="AA283" s="4" t="e">
        <f aca="false">(Z283-#REF!)/#REF!</f>
        <v>#REF!</v>
      </c>
      <c r="AB283" s="3" t="n">
        <v>392</v>
      </c>
      <c r="AC283" s="4" t="e">
        <f aca="false">(AB283-#REF!)/#REF!</f>
        <v>#REF!</v>
      </c>
      <c r="AD283" s="25" t="n">
        <v>43.1</v>
      </c>
      <c r="AE283" s="4" t="e">
        <f aca="false">(AD283-#REF!)/#REF!</f>
        <v>#REF!</v>
      </c>
      <c r="AF283" s="4" t="n">
        <v>0.27</v>
      </c>
      <c r="AG283" s="4"/>
    </row>
    <row r="284" customFormat="false" ht="14.25" hidden="false" customHeight="false" outlineLevel="0" collapsed="false">
      <c r="A284" s="0" t="s">
        <v>86</v>
      </c>
      <c r="B284" s="1" t="n">
        <v>19.1</v>
      </c>
      <c r="C284" s="4" t="e">
        <f aca="false">(B284-#REF!)/#REF!</f>
        <v>#REF!</v>
      </c>
      <c r="D284" s="1" t="n">
        <v>2</v>
      </c>
      <c r="E284" s="4" t="e">
        <f aca="false">(D284-#REF!)/#REF!</f>
        <v>#REF!</v>
      </c>
      <c r="F284" s="2" t="n">
        <v>40</v>
      </c>
      <c r="G284" s="4" t="e">
        <f aca="false">(F284-#REF!)/#REF!</f>
        <v>#REF!</v>
      </c>
      <c r="H284" s="2" t="n">
        <v>37.38</v>
      </c>
      <c r="I284" s="4" t="e">
        <f aca="false">(H284-#REF!)/#REF!</f>
        <v>#REF!</v>
      </c>
      <c r="J284" s="4" t="n">
        <v>3.35387948274239</v>
      </c>
      <c r="K284" s="4" t="e">
        <f aca="false">(J284-#REF!)/#REF!</f>
        <v>#REF!</v>
      </c>
      <c r="L284" s="1" t="n">
        <v>30</v>
      </c>
      <c r="M284" s="4" t="e">
        <f aca="false">(L284-#REF!)/#REF!</f>
        <v>#REF!</v>
      </c>
      <c r="N284" s="1" t="n">
        <v>39.5</v>
      </c>
      <c r="O284" s="4" t="e">
        <f aca="false">(N284-#REF!)/#REF!</f>
        <v>#REF!</v>
      </c>
      <c r="P284" s="1" t="n">
        <v>150</v>
      </c>
      <c r="Q284" s="4" t="e">
        <f aca="false">(P284-#REF!)/#REF!</f>
        <v>#REF!</v>
      </c>
      <c r="R284" s="1" t="n">
        <v>250</v>
      </c>
      <c r="S284" s="4" t="e">
        <f aca="false">(R284-#REF!)/#REF!</f>
        <v>#REF!</v>
      </c>
      <c r="T284" s="1" t="n">
        <f aca="false">R284-N284</f>
        <v>210.5</v>
      </c>
      <c r="U284" s="4" t="e">
        <f aca="false">(T284-#REF!)/#REF!</f>
        <v>#REF!</v>
      </c>
      <c r="V284" s="1" t="n">
        <v>573</v>
      </c>
      <c r="W284" s="4" t="e">
        <f aca="false">(V284-#REF!)/#REF!</f>
        <v>#REF!</v>
      </c>
      <c r="X284" s="28" t="n">
        <v>0.01528</v>
      </c>
      <c r="Y284" s="4" t="e">
        <f aca="false">(X284-#REF!)/#REF!</f>
        <v>#REF!</v>
      </c>
      <c r="Z284" s="27" t="n">
        <v>296.025945529354</v>
      </c>
      <c r="AA284" s="4" t="e">
        <f aca="false">(Z284-#REF!)/#REF!</f>
        <v>#REF!</v>
      </c>
      <c r="AB284" s="3" t="n">
        <v>392</v>
      </c>
      <c r="AC284" s="4" t="e">
        <f aca="false">(AB284-#REF!)/#REF!</f>
        <v>#REF!</v>
      </c>
      <c r="AD284" s="25" t="n">
        <v>31.3</v>
      </c>
      <c r="AE284" s="4" t="e">
        <f aca="false">(AD284-#REF!)/#REF!</f>
        <v>#REF!</v>
      </c>
      <c r="AF284" s="4" t="n">
        <v>0.18</v>
      </c>
      <c r="AG284" s="4"/>
    </row>
    <row r="285" customFormat="false" ht="14.25" hidden="false" customHeight="false" outlineLevel="0" collapsed="false">
      <c r="B285" s="1" t="n">
        <v>19.1</v>
      </c>
      <c r="C285" s="4" t="e">
        <f aca="false">(B285-#REF!)/#REF!</f>
        <v>#REF!</v>
      </c>
      <c r="D285" s="1" t="n">
        <v>2</v>
      </c>
      <c r="E285" s="4" t="e">
        <f aca="false">(D285-#REF!)/#REF!</f>
        <v>#REF!</v>
      </c>
      <c r="F285" s="2" t="n">
        <v>40</v>
      </c>
      <c r="G285" s="4" t="e">
        <f aca="false">(F285-#REF!)/#REF!</f>
        <v>#REF!</v>
      </c>
      <c r="H285" s="2" t="n">
        <v>37.38</v>
      </c>
      <c r="I285" s="4" t="e">
        <f aca="false">(H285-#REF!)/#REF!</f>
        <v>#REF!</v>
      </c>
      <c r="J285" s="4" t="n">
        <v>3.35387948274239</v>
      </c>
      <c r="K285" s="4" t="e">
        <f aca="false">(J285-#REF!)/#REF!</f>
        <v>#REF!</v>
      </c>
      <c r="L285" s="1" t="n">
        <v>30</v>
      </c>
      <c r="M285" s="4" t="e">
        <f aca="false">(L285-#REF!)/#REF!</f>
        <v>#REF!</v>
      </c>
      <c r="N285" s="1" t="n">
        <v>39.5</v>
      </c>
      <c r="O285" s="4" t="e">
        <f aca="false">(N285-#REF!)/#REF!</f>
        <v>#REF!</v>
      </c>
      <c r="P285" s="1" t="n">
        <v>150</v>
      </c>
      <c r="Q285" s="4" t="e">
        <f aca="false">(P285-#REF!)/#REF!</f>
        <v>#REF!</v>
      </c>
      <c r="R285" s="1" t="n">
        <v>250</v>
      </c>
      <c r="S285" s="4" t="e">
        <f aca="false">(R285-#REF!)/#REF!</f>
        <v>#REF!</v>
      </c>
      <c r="T285" s="1" t="n">
        <f aca="false">R285-N285</f>
        <v>210.5</v>
      </c>
      <c r="U285" s="4" t="e">
        <f aca="false">(T285-#REF!)/#REF!</f>
        <v>#REF!</v>
      </c>
      <c r="V285" s="1" t="n">
        <v>573</v>
      </c>
      <c r="W285" s="4" t="e">
        <f aca="false">(V285-#REF!)/#REF!</f>
        <v>#REF!</v>
      </c>
      <c r="X285" s="28" t="n">
        <v>0.01528</v>
      </c>
      <c r="Y285" s="4" t="e">
        <f aca="false">(X285-#REF!)/#REF!</f>
        <v>#REF!</v>
      </c>
      <c r="Z285" s="27" t="n">
        <v>331.965197702247</v>
      </c>
      <c r="AA285" s="4" t="e">
        <f aca="false">(Z285-#REF!)/#REF!</f>
        <v>#REF!</v>
      </c>
      <c r="AB285" s="3" t="n">
        <v>392</v>
      </c>
      <c r="AC285" s="4" t="e">
        <f aca="false">(AB285-#REF!)/#REF!</f>
        <v>#REF!</v>
      </c>
      <c r="AD285" s="25" t="n">
        <v>35.1</v>
      </c>
      <c r="AE285" s="4" t="e">
        <f aca="false">(AD285-#REF!)/#REF!</f>
        <v>#REF!</v>
      </c>
      <c r="AF285" s="4" t="n">
        <v>0.19</v>
      </c>
      <c r="AG285" s="4"/>
    </row>
    <row r="286" customFormat="false" ht="14.25" hidden="false" customHeight="false" outlineLevel="0" collapsed="false">
      <c r="B286" s="1" t="n">
        <v>19.1</v>
      </c>
      <c r="C286" s="4" t="e">
        <f aca="false">(B286-#REF!)/#REF!</f>
        <v>#REF!</v>
      </c>
      <c r="D286" s="1" t="n">
        <v>2</v>
      </c>
      <c r="E286" s="4" t="e">
        <f aca="false">(D286-#REF!)/#REF!</f>
        <v>#REF!</v>
      </c>
      <c r="F286" s="2" t="n">
        <v>40</v>
      </c>
      <c r="G286" s="4" t="e">
        <f aca="false">(F286-#REF!)/#REF!</f>
        <v>#REF!</v>
      </c>
      <c r="H286" s="2" t="n">
        <v>37.38</v>
      </c>
      <c r="I286" s="4" t="e">
        <f aca="false">(H286-#REF!)/#REF!</f>
        <v>#REF!</v>
      </c>
      <c r="J286" s="4" t="n">
        <v>3.35387948274239</v>
      </c>
      <c r="K286" s="4" t="e">
        <f aca="false">(J286-#REF!)/#REF!</f>
        <v>#REF!</v>
      </c>
      <c r="L286" s="1" t="n">
        <v>30</v>
      </c>
      <c r="M286" s="4" t="e">
        <f aca="false">(L286-#REF!)/#REF!</f>
        <v>#REF!</v>
      </c>
      <c r="N286" s="1" t="n">
        <v>39.5</v>
      </c>
      <c r="O286" s="4" t="e">
        <f aca="false">(N286-#REF!)/#REF!</f>
        <v>#REF!</v>
      </c>
      <c r="P286" s="1" t="n">
        <v>150</v>
      </c>
      <c r="Q286" s="4" t="e">
        <f aca="false">(P286-#REF!)/#REF!</f>
        <v>#REF!</v>
      </c>
      <c r="R286" s="1" t="n">
        <v>250</v>
      </c>
      <c r="S286" s="4" t="e">
        <f aca="false">(R286-#REF!)/#REF!</f>
        <v>#REF!</v>
      </c>
      <c r="T286" s="1" t="n">
        <f aca="false">R286-N286</f>
        <v>210.5</v>
      </c>
      <c r="U286" s="4" t="e">
        <f aca="false">(T286-#REF!)/#REF!</f>
        <v>#REF!</v>
      </c>
      <c r="V286" s="1" t="n">
        <v>573</v>
      </c>
      <c r="W286" s="4" t="e">
        <f aca="false">(V286-#REF!)/#REF!</f>
        <v>#REF!</v>
      </c>
      <c r="X286" s="28" t="n">
        <v>0.01528</v>
      </c>
      <c r="Y286" s="4" t="e">
        <f aca="false">(X286-#REF!)/#REF!</f>
        <v>#REF!</v>
      </c>
      <c r="Z286" s="27" t="n">
        <v>369.795989463187</v>
      </c>
      <c r="AA286" s="4" t="e">
        <f aca="false">(Z286-#REF!)/#REF!</f>
        <v>#REF!</v>
      </c>
      <c r="AB286" s="3" t="n">
        <v>392</v>
      </c>
      <c r="AC286" s="4" t="e">
        <f aca="false">(AB286-#REF!)/#REF!</f>
        <v>#REF!</v>
      </c>
      <c r="AD286" s="25" t="n">
        <v>39.1</v>
      </c>
      <c r="AE286" s="4" t="e">
        <f aca="false">(AD286-#REF!)/#REF!</f>
        <v>#REF!</v>
      </c>
      <c r="AF286" s="4" t="n">
        <v>0.21</v>
      </c>
      <c r="AG286" s="4"/>
    </row>
    <row r="287" customFormat="false" ht="14.25" hidden="false" customHeight="false" outlineLevel="0" collapsed="false">
      <c r="B287" s="1" t="n">
        <v>19.1</v>
      </c>
      <c r="C287" s="4" t="e">
        <f aca="false">(B287-#REF!)/#REF!</f>
        <v>#REF!</v>
      </c>
      <c r="D287" s="1" t="n">
        <v>2</v>
      </c>
      <c r="E287" s="4" t="e">
        <f aca="false">(D287-#REF!)/#REF!</f>
        <v>#REF!</v>
      </c>
      <c r="F287" s="2" t="n">
        <v>40</v>
      </c>
      <c r="G287" s="4" t="e">
        <f aca="false">(F287-#REF!)/#REF!</f>
        <v>#REF!</v>
      </c>
      <c r="H287" s="2" t="n">
        <v>37.38</v>
      </c>
      <c r="I287" s="4" t="e">
        <f aca="false">(H287-#REF!)/#REF!</f>
        <v>#REF!</v>
      </c>
      <c r="J287" s="4" t="n">
        <v>3.35387948274239</v>
      </c>
      <c r="K287" s="4" t="e">
        <f aca="false">(J287-#REF!)/#REF!</f>
        <v>#REF!</v>
      </c>
      <c r="L287" s="1" t="n">
        <v>30</v>
      </c>
      <c r="M287" s="4" t="e">
        <f aca="false">(L287-#REF!)/#REF!</f>
        <v>#REF!</v>
      </c>
      <c r="N287" s="1" t="n">
        <v>39.5</v>
      </c>
      <c r="O287" s="4" t="e">
        <f aca="false">(N287-#REF!)/#REF!</f>
        <v>#REF!</v>
      </c>
      <c r="P287" s="1" t="n">
        <v>150</v>
      </c>
      <c r="Q287" s="4" t="e">
        <f aca="false">(P287-#REF!)/#REF!</f>
        <v>#REF!</v>
      </c>
      <c r="R287" s="1" t="n">
        <v>250</v>
      </c>
      <c r="S287" s="4" t="e">
        <f aca="false">(R287-#REF!)/#REF!</f>
        <v>#REF!</v>
      </c>
      <c r="T287" s="1" t="n">
        <f aca="false">R287-N287</f>
        <v>210.5</v>
      </c>
      <c r="U287" s="4" t="e">
        <f aca="false">(T287-#REF!)/#REF!</f>
        <v>#REF!</v>
      </c>
      <c r="V287" s="1" t="n">
        <v>573</v>
      </c>
      <c r="W287" s="4" t="e">
        <f aca="false">(V287-#REF!)/#REF!</f>
        <v>#REF!</v>
      </c>
      <c r="X287" s="28" t="n">
        <v>0.01528</v>
      </c>
      <c r="Y287" s="4" t="e">
        <f aca="false">(X287-#REF!)/#REF!</f>
        <v>#REF!</v>
      </c>
      <c r="Z287" s="27" t="n">
        <v>392.3</v>
      </c>
      <c r="AA287" s="4" t="e">
        <f aca="false">(Z287-#REF!)/#REF!</f>
        <v>#REF!</v>
      </c>
      <c r="AB287" s="3" t="n">
        <v>392</v>
      </c>
      <c r="AC287" s="4" t="e">
        <f aca="false">(AB287-#REF!)/#REF!</f>
        <v>#REF!</v>
      </c>
      <c r="AD287" s="25" t="n">
        <v>43.1</v>
      </c>
      <c r="AE287" s="4" t="e">
        <f aca="false">(AD287-#REF!)/#REF!</f>
        <v>#REF!</v>
      </c>
      <c r="AF287" s="4" t="n">
        <v>0.26</v>
      </c>
      <c r="AG287" s="4"/>
    </row>
    <row r="288" customFormat="false" ht="14.25" hidden="false" customHeight="false" outlineLevel="0" collapsed="false">
      <c r="A288" s="0" t="s">
        <v>87</v>
      </c>
      <c r="B288" s="1" t="n">
        <v>19.1</v>
      </c>
      <c r="C288" s="4" t="e">
        <f aca="false">(B288-#REF!)/#REF!</f>
        <v>#REF!</v>
      </c>
      <c r="D288" s="1" t="n">
        <v>2</v>
      </c>
      <c r="E288" s="4" t="e">
        <f aca="false">(D288-#REF!)/#REF!</f>
        <v>#REF!</v>
      </c>
      <c r="F288" s="2" t="n">
        <v>69.8</v>
      </c>
      <c r="G288" s="4" t="e">
        <f aca="false">(F288-#REF!)/#REF!</f>
        <v>#REF!</v>
      </c>
      <c r="H288" s="2" t="n">
        <v>30.06</v>
      </c>
      <c r="I288" s="4" t="e">
        <f aca="false">(H288-#REF!)/#REF!</f>
        <v>#REF!</v>
      </c>
      <c r="J288" s="4" t="n">
        <v>2.90032882517908</v>
      </c>
      <c r="K288" s="4" t="e">
        <f aca="false">(J288-#REF!)/#REF!</f>
        <v>#REF!</v>
      </c>
      <c r="L288" s="1" t="n">
        <v>31.8</v>
      </c>
      <c r="M288" s="4" t="e">
        <f aca="false">(L288-#REF!)/#REF!</f>
        <v>#REF!</v>
      </c>
      <c r="N288" s="1" t="n">
        <v>41.4</v>
      </c>
      <c r="O288" s="4" t="e">
        <f aca="false">(N288-#REF!)/#REF!</f>
        <v>#REF!</v>
      </c>
      <c r="P288" s="1" t="n">
        <v>152.4</v>
      </c>
      <c r="Q288" s="4" t="e">
        <f aca="false">(P288-#REF!)/#REF!</f>
        <v>#REF!</v>
      </c>
      <c r="R288" s="1" t="n">
        <v>381</v>
      </c>
      <c r="S288" s="4" t="e">
        <f aca="false">(R288-#REF!)/#REF!</f>
        <v>#REF!</v>
      </c>
      <c r="T288" s="1" t="n">
        <f aca="false">R288-N288</f>
        <v>339.6</v>
      </c>
      <c r="U288" s="4" t="e">
        <f aca="false">(T288-#REF!)/#REF!</f>
        <v>#REF!</v>
      </c>
      <c r="V288" s="1" t="n">
        <v>568</v>
      </c>
      <c r="W288" s="4" t="e">
        <f aca="false">(V288-#REF!)/#REF!</f>
        <v>#REF!</v>
      </c>
      <c r="X288" s="28" t="n">
        <v>0.0097822417867058</v>
      </c>
      <c r="Y288" s="4" t="e">
        <f aca="false">(X288-#REF!)/#REF!</f>
        <v>#REF!</v>
      </c>
      <c r="Z288" s="27" t="n">
        <v>203.022493137384</v>
      </c>
      <c r="AA288" s="4" t="e">
        <f aca="false">(Z288-#REF!)/#REF!</f>
        <v>#REF!</v>
      </c>
      <c r="AB288" s="3" t="n">
        <v>276</v>
      </c>
      <c r="AC288" s="4" t="e">
        <f aca="false">(AB288-#REF!)/#REF!</f>
        <v>#REF!</v>
      </c>
      <c r="AD288" s="25" t="n">
        <v>35.0889</v>
      </c>
      <c r="AE288" s="4" t="e">
        <f aca="false">(AD288-#REF!)/#REF!</f>
        <v>#REF!</v>
      </c>
      <c r="AF288" s="4" t="n">
        <v>0.17</v>
      </c>
      <c r="AG288" s="4"/>
    </row>
    <row r="289" customFormat="false" ht="14.25" hidden="false" customHeight="false" outlineLevel="0" collapsed="false">
      <c r="B289" s="1" t="n">
        <v>19.1</v>
      </c>
      <c r="C289" s="4" t="e">
        <f aca="false">(B289-#REF!)/#REF!</f>
        <v>#REF!</v>
      </c>
      <c r="D289" s="1" t="n">
        <v>2</v>
      </c>
      <c r="E289" s="4" t="e">
        <f aca="false">(D289-#REF!)/#REF!</f>
        <v>#REF!</v>
      </c>
      <c r="F289" s="2" t="n">
        <v>69.8</v>
      </c>
      <c r="G289" s="4" t="e">
        <f aca="false">(F289-#REF!)/#REF!</f>
        <v>#REF!</v>
      </c>
      <c r="H289" s="2" t="n">
        <v>30.06</v>
      </c>
      <c r="I289" s="4" t="e">
        <f aca="false">(H289-#REF!)/#REF!</f>
        <v>#REF!</v>
      </c>
      <c r="J289" s="4" t="n">
        <v>2.90032882517908</v>
      </c>
      <c r="K289" s="4" t="e">
        <f aca="false">(J289-#REF!)/#REF!</f>
        <v>#REF!</v>
      </c>
      <c r="L289" s="1" t="n">
        <v>31.8</v>
      </c>
      <c r="M289" s="4" t="e">
        <f aca="false">(L289-#REF!)/#REF!</f>
        <v>#REF!</v>
      </c>
      <c r="N289" s="1" t="n">
        <v>41.4</v>
      </c>
      <c r="O289" s="4" t="e">
        <f aca="false">(N289-#REF!)/#REF!</f>
        <v>#REF!</v>
      </c>
      <c r="P289" s="1" t="n">
        <v>152.4</v>
      </c>
      <c r="Q289" s="4" t="e">
        <f aca="false">(P289-#REF!)/#REF!</f>
        <v>#REF!</v>
      </c>
      <c r="R289" s="1" t="n">
        <v>381</v>
      </c>
      <c r="S289" s="4" t="e">
        <f aca="false">(R289-#REF!)/#REF!</f>
        <v>#REF!</v>
      </c>
      <c r="T289" s="1" t="n">
        <f aca="false">R289-N289</f>
        <v>339.6</v>
      </c>
      <c r="U289" s="4" t="e">
        <f aca="false">(T289-#REF!)/#REF!</f>
        <v>#REF!</v>
      </c>
      <c r="V289" s="1" t="n">
        <v>568</v>
      </c>
      <c r="W289" s="4" t="e">
        <f aca="false">(V289-#REF!)/#REF!</f>
        <v>#REF!</v>
      </c>
      <c r="X289" s="28" t="n">
        <v>0.0097822417867058</v>
      </c>
      <c r="Y289" s="4" t="e">
        <f aca="false">(X289-#REF!)/#REF!</f>
        <v>#REF!</v>
      </c>
      <c r="Z289" s="27" t="n">
        <v>244.500206789107</v>
      </c>
      <c r="AA289" s="4" t="e">
        <f aca="false">(Z289-#REF!)/#REF!</f>
        <v>#REF!</v>
      </c>
      <c r="AB289" s="3" t="n">
        <v>276</v>
      </c>
      <c r="AC289" s="4" t="e">
        <f aca="false">(AB289-#REF!)/#REF!</f>
        <v>#REF!</v>
      </c>
      <c r="AD289" s="25" t="n">
        <v>42.2576</v>
      </c>
      <c r="AE289" s="4" t="e">
        <f aca="false">(AD289-#REF!)/#REF!</f>
        <v>#REF!</v>
      </c>
      <c r="AF289" s="4" t="n">
        <v>0.23</v>
      </c>
      <c r="AG289" s="4"/>
    </row>
    <row r="290" customFormat="false" ht="14.25" hidden="false" customHeight="false" outlineLevel="0" collapsed="false">
      <c r="B290" s="1" t="n">
        <v>19.1</v>
      </c>
      <c r="C290" s="4" t="e">
        <f aca="false">(B290-#REF!)/#REF!</f>
        <v>#REF!</v>
      </c>
      <c r="D290" s="1" t="n">
        <v>2</v>
      </c>
      <c r="E290" s="4" t="e">
        <f aca="false">(D290-#REF!)/#REF!</f>
        <v>#REF!</v>
      </c>
      <c r="F290" s="2" t="n">
        <v>69.8</v>
      </c>
      <c r="G290" s="4" t="e">
        <f aca="false">(F290-#REF!)/#REF!</f>
        <v>#REF!</v>
      </c>
      <c r="H290" s="2" t="n">
        <v>30.06</v>
      </c>
      <c r="I290" s="4" t="e">
        <f aca="false">(H290-#REF!)/#REF!</f>
        <v>#REF!</v>
      </c>
      <c r="J290" s="4" t="n">
        <v>2.90032882517908</v>
      </c>
      <c r="K290" s="4" t="e">
        <f aca="false">(J290-#REF!)/#REF!</f>
        <v>#REF!</v>
      </c>
      <c r="L290" s="1" t="n">
        <v>31.8</v>
      </c>
      <c r="M290" s="4" t="e">
        <f aca="false">(L290-#REF!)/#REF!</f>
        <v>#REF!</v>
      </c>
      <c r="N290" s="1" t="n">
        <v>41.4</v>
      </c>
      <c r="O290" s="4" t="e">
        <f aca="false">(N290-#REF!)/#REF!</f>
        <v>#REF!</v>
      </c>
      <c r="P290" s="1" t="n">
        <v>152.4</v>
      </c>
      <c r="Q290" s="4" t="e">
        <f aca="false">(P290-#REF!)/#REF!</f>
        <v>#REF!</v>
      </c>
      <c r="R290" s="1" t="n">
        <v>381</v>
      </c>
      <c r="S290" s="4" t="e">
        <f aca="false">(R290-#REF!)/#REF!</f>
        <v>#REF!</v>
      </c>
      <c r="T290" s="1" t="n">
        <f aca="false">R290-N290</f>
        <v>339.6</v>
      </c>
      <c r="U290" s="4" t="e">
        <f aca="false">(T290-#REF!)/#REF!</f>
        <v>#REF!</v>
      </c>
      <c r="V290" s="1" t="n">
        <v>568</v>
      </c>
      <c r="W290" s="4" t="e">
        <f aca="false">(V290-#REF!)/#REF!</f>
        <v>#REF!</v>
      </c>
      <c r="X290" s="28" t="n">
        <v>0.0097822417867058</v>
      </c>
      <c r="Y290" s="4" t="e">
        <f aca="false">(X290-#REF!)/#REF!</f>
        <v>#REF!</v>
      </c>
      <c r="Z290" s="27" t="n">
        <v>275.8</v>
      </c>
      <c r="AA290" s="4" t="e">
        <f aca="false">(Z290-#REF!)/#REF!</f>
        <v>#REF!</v>
      </c>
      <c r="AB290" s="3" t="n">
        <v>276</v>
      </c>
      <c r="AC290" s="4" t="e">
        <f aca="false">(AB290-#REF!)/#REF!</f>
        <v>#REF!</v>
      </c>
      <c r="AD290" s="25" t="n">
        <v>48.8089</v>
      </c>
      <c r="AE290" s="4" t="e">
        <f aca="false">(AD290-#REF!)/#REF!</f>
        <v>#REF!</v>
      </c>
      <c r="AF290" s="4" t="n">
        <v>0.27</v>
      </c>
      <c r="AG290" s="4"/>
    </row>
    <row r="291" customFormat="false" ht="14.25" hidden="false" customHeight="false" outlineLevel="0" collapsed="false">
      <c r="A291" s="0" t="s">
        <v>88</v>
      </c>
      <c r="B291" s="1" t="n">
        <v>19.1</v>
      </c>
      <c r="C291" s="4" t="e">
        <f aca="false">(B291-#REF!)/#REF!</f>
        <v>#REF!</v>
      </c>
      <c r="D291" s="1" t="n">
        <v>2</v>
      </c>
      <c r="E291" s="4" t="e">
        <f aca="false">(D291-#REF!)/#REF!</f>
        <v>#REF!</v>
      </c>
      <c r="F291" s="2" t="n">
        <v>69.8</v>
      </c>
      <c r="G291" s="4" t="e">
        <f aca="false">(F291-#REF!)/#REF!</f>
        <v>#REF!</v>
      </c>
      <c r="H291" s="2" t="n">
        <v>29.23</v>
      </c>
      <c r="I291" s="4" t="e">
        <f aca="false">(H291-#REF!)/#REF!</f>
        <v>#REF!</v>
      </c>
      <c r="J291" s="4" t="n">
        <v>2.84669189571421</v>
      </c>
      <c r="K291" s="4" t="e">
        <f aca="false">(J291-#REF!)/#REF!</f>
        <v>#REF!</v>
      </c>
      <c r="L291" s="1" t="n">
        <v>31.8</v>
      </c>
      <c r="M291" s="4" t="e">
        <f aca="false">(L291-#REF!)/#REF!</f>
        <v>#REF!</v>
      </c>
      <c r="N291" s="1" t="n">
        <v>41.4</v>
      </c>
      <c r="O291" s="4" t="e">
        <f aca="false">(N291-#REF!)/#REF!</f>
        <v>#REF!</v>
      </c>
      <c r="P291" s="1" t="n">
        <v>152.4</v>
      </c>
      <c r="Q291" s="4" t="e">
        <f aca="false">(P291-#REF!)/#REF!</f>
        <v>#REF!</v>
      </c>
      <c r="R291" s="1" t="n">
        <v>381</v>
      </c>
      <c r="S291" s="4" t="e">
        <f aca="false">(R291-#REF!)/#REF!</f>
        <v>#REF!</v>
      </c>
      <c r="T291" s="1" t="n">
        <f aca="false">R291-N291</f>
        <v>339.6</v>
      </c>
      <c r="U291" s="4" t="e">
        <f aca="false">(T291-#REF!)/#REF!</f>
        <v>#REF!</v>
      </c>
      <c r="V291" s="1" t="n">
        <v>568</v>
      </c>
      <c r="W291" s="4" t="e">
        <f aca="false">(V291-#REF!)/#REF!</f>
        <v>#REF!</v>
      </c>
      <c r="X291" s="28" t="n">
        <v>0.0097822417867058</v>
      </c>
      <c r="Y291" s="4" t="e">
        <f aca="false">(X291-#REF!)/#REF!</f>
        <v>#REF!</v>
      </c>
      <c r="Z291" s="27" t="n">
        <v>275.8</v>
      </c>
      <c r="AA291" s="4" t="e">
        <f aca="false">(Z291-#REF!)/#REF!</f>
        <v>#REF!</v>
      </c>
      <c r="AB291" s="3" t="n">
        <v>276</v>
      </c>
      <c r="AC291" s="4" t="e">
        <f aca="false">(AB291-#REF!)/#REF!</f>
        <v>#REF!</v>
      </c>
      <c r="AD291" s="25" t="n">
        <v>48.8089</v>
      </c>
      <c r="AE291" s="4" t="e">
        <f aca="false">(AD291-#REF!)/#REF!</f>
        <v>#REF!</v>
      </c>
      <c r="AF291" s="4" t="n">
        <v>0.16</v>
      </c>
      <c r="AG291" s="4"/>
    </row>
    <row r="292" customFormat="false" ht="14.25" hidden="false" customHeight="false" outlineLevel="0" collapsed="false">
      <c r="A292" s="0" t="s">
        <v>89</v>
      </c>
      <c r="B292" s="1" t="n">
        <v>19.1</v>
      </c>
      <c r="C292" s="4" t="e">
        <f aca="false">(B292-#REF!)/#REF!</f>
        <v>#REF!</v>
      </c>
      <c r="D292" s="1" t="n">
        <v>2</v>
      </c>
      <c r="E292" s="4" t="e">
        <f aca="false">(D292-#REF!)/#REF!</f>
        <v>#REF!</v>
      </c>
      <c r="F292" s="2" t="n">
        <v>69.8</v>
      </c>
      <c r="G292" s="4" t="e">
        <f aca="false">(F292-#REF!)/#REF!</f>
        <v>#REF!</v>
      </c>
      <c r="H292" s="2" t="n">
        <v>27.17</v>
      </c>
      <c r="I292" s="4" t="e">
        <f aca="false">(H292-#REF!)/#REF!</f>
        <v>#REF!</v>
      </c>
      <c r="J292" s="4" t="n">
        <v>2.71132147348833</v>
      </c>
      <c r="K292" s="4" t="e">
        <f aca="false">(J292-#REF!)/#REF!</f>
        <v>#REF!</v>
      </c>
      <c r="L292" s="1" t="n">
        <v>38.2</v>
      </c>
      <c r="M292" s="4" t="e">
        <f aca="false">(L292-#REF!)/#REF!</f>
        <v>#REF!</v>
      </c>
      <c r="N292" s="1" t="n">
        <v>47.7</v>
      </c>
      <c r="O292" s="4" t="e">
        <f aca="false">(N292-#REF!)/#REF!</f>
        <v>#REF!</v>
      </c>
      <c r="P292" s="1" t="n">
        <v>152.4</v>
      </c>
      <c r="Q292" s="4" t="e">
        <f aca="false">(P292-#REF!)/#REF!</f>
        <v>#REF!</v>
      </c>
      <c r="R292" s="1" t="n">
        <v>381</v>
      </c>
      <c r="S292" s="4" t="e">
        <f aca="false">(R292-#REF!)/#REF!</f>
        <v>#REF!</v>
      </c>
      <c r="T292" s="1" t="n">
        <f aca="false">R292-N292</f>
        <v>333.3</v>
      </c>
      <c r="U292" s="4" t="e">
        <f aca="false">(T292-#REF!)/#REF!</f>
        <v>#REF!</v>
      </c>
      <c r="V292" s="1" t="n">
        <v>568</v>
      </c>
      <c r="W292" s="4" t="e">
        <f aca="false">(V292-#REF!)/#REF!</f>
        <v>#REF!</v>
      </c>
      <c r="X292" s="28" t="n">
        <v>0.0097822417867058</v>
      </c>
      <c r="Y292" s="4" t="e">
        <f aca="false">(X292-#REF!)/#REF!</f>
        <v>#REF!</v>
      </c>
      <c r="Z292" s="27" t="n">
        <v>249.745884346061</v>
      </c>
      <c r="AA292" s="4" t="e">
        <f aca="false">(Z292-#REF!)/#REF!</f>
        <v>#REF!</v>
      </c>
      <c r="AB292" s="3" t="n">
        <v>276</v>
      </c>
      <c r="AC292" s="4" t="e">
        <f aca="false">(AB292-#REF!)/#REF!</f>
        <v>#REF!</v>
      </c>
      <c r="AD292" s="25" t="n">
        <v>42.2576</v>
      </c>
      <c r="AE292" s="4" t="e">
        <f aca="false">(AD292-#REF!)/#REF!</f>
        <v>#REF!</v>
      </c>
      <c r="AF292" s="4" t="n">
        <v>0.16</v>
      </c>
      <c r="AG292" s="4"/>
    </row>
    <row r="293" customFormat="false" ht="14.25" hidden="false" customHeight="false" outlineLevel="0" collapsed="false">
      <c r="B293" s="1" t="n">
        <v>19.1</v>
      </c>
      <c r="C293" s="4" t="e">
        <f aca="false">(B293-#REF!)/#REF!</f>
        <v>#REF!</v>
      </c>
      <c r="D293" s="1" t="n">
        <v>2</v>
      </c>
      <c r="E293" s="4" t="e">
        <f aca="false">(D293-#REF!)/#REF!</f>
        <v>#REF!</v>
      </c>
      <c r="F293" s="2" t="n">
        <v>69.8</v>
      </c>
      <c r="G293" s="4" t="e">
        <f aca="false">(F293-#REF!)/#REF!</f>
        <v>#REF!</v>
      </c>
      <c r="H293" s="2" t="n">
        <v>27.17</v>
      </c>
      <c r="I293" s="4" t="e">
        <f aca="false">(H293-#REF!)/#REF!</f>
        <v>#REF!</v>
      </c>
      <c r="J293" s="4" t="n">
        <v>2.71132147348833</v>
      </c>
      <c r="K293" s="4" t="e">
        <f aca="false">(J293-#REF!)/#REF!</f>
        <v>#REF!</v>
      </c>
      <c r="L293" s="1" t="n">
        <v>38.2</v>
      </c>
      <c r="M293" s="4" t="e">
        <f aca="false">(L293-#REF!)/#REF!</f>
        <v>#REF!</v>
      </c>
      <c r="N293" s="1" t="n">
        <v>47.7</v>
      </c>
      <c r="O293" s="4" t="e">
        <f aca="false">(N293-#REF!)/#REF!</f>
        <v>#REF!</v>
      </c>
      <c r="P293" s="1" t="n">
        <v>152.4</v>
      </c>
      <c r="Q293" s="4" t="e">
        <f aca="false">(P293-#REF!)/#REF!</f>
        <v>#REF!</v>
      </c>
      <c r="R293" s="1" t="n">
        <v>381</v>
      </c>
      <c r="S293" s="4" t="e">
        <f aca="false">(R293-#REF!)/#REF!</f>
        <v>#REF!</v>
      </c>
      <c r="T293" s="1" t="n">
        <f aca="false">R293-N293</f>
        <v>333.3</v>
      </c>
      <c r="U293" s="4" t="e">
        <f aca="false">(T293-#REF!)/#REF!</f>
        <v>#REF!</v>
      </c>
      <c r="V293" s="1" t="n">
        <v>568</v>
      </c>
      <c r="W293" s="4" t="e">
        <f aca="false">(V293-#REF!)/#REF!</f>
        <v>#REF!</v>
      </c>
      <c r="X293" s="28" t="n">
        <v>0.0097822417867058</v>
      </c>
      <c r="Y293" s="4" t="e">
        <f aca="false">(X293-#REF!)/#REF!</f>
        <v>#REF!</v>
      </c>
      <c r="Z293" s="27" t="n">
        <v>275.8</v>
      </c>
      <c r="AA293" s="4" t="e">
        <f aca="false">(Z293-#REF!)/#REF!</f>
        <v>#REF!</v>
      </c>
      <c r="AB293" s="3" t="n">
        <v>276</v>
      </c>
      <c r="AC293" s="4" t="e">
        <f aca="false">(AB293-#REF!)/#REF!</f>
        <v>#REF!</v>
      </c>
      <c r="AD293" s="25" t="n">
        <v>48.8089</v>
      </c>
      <c r="AE293" s="4" t="e">
        <f aca="false">(AD293-#REF!)/#REF!</f>
        <v>#REF!</v>
      </c>
      <c r="AF293" s="4" t="n">
        <v>0.2</v>
      </c>
      <c r="AG293" s="4"/>
    </row>
    <row r="294" customFormat="false" ht="14.25" hidden="false" customHeight="false" outlineLevel="0" collapsed="false">
      <c r="A294" s="0" t="s">
        <v>90</v>
      </c>
      <c r="B294" s="1" t="n">
        <v>22.2</v>
      </c>
      <c r="C294" s="4" t="e">
        <f aca="false">(B294-#REF!)/#REF!</f>
        <v>#REF!</v>
      </c>
      <c r="D294" s="1" t="n">
        <v>2</v>
      </c>
      <c r="E294" s="4" t="e">
        <f aca="false">(D294-#REF!)/#REF!</f>
        <v>#REF!</v>
      </c>
      <c r="F294" s="2" t="n">
        <v>63.6</v>
      </c>
      <c r="G294" s="4" t="e">
        <f aca="false">(F294-#REF!)/#REF!</f>
        <v>#REF!</v>
      </c>
      <c r="H294" s="2" t="n">
        <v>26.82</v>
      </c>
      <c r="I294" s="4" t="e">
        <f aca="false">(H294-#REF!)/#REF!</f>
        <v>#REF!</v>
      </c>
      <c r="J294" s="4" t="n">
        <v>2.68798662700617</v>
      </c>
      <c r="K294" s="4" t="e">
        <f aca="false">(J294-#REF!)/#REF!</f>
        <v>#REF!</v>
      </c>
      <c r="L294" s="1" t="n">
        <v>12.8</v>
      </c>
      <c r="M294" s="4" t="e">
        <f aca="false">(L294-#REF!)/#REF!</f>
        <v>#REF!</v>
      </c>
      <c r="N294" s="1" t="n">
        <v>23.9</v>
      </c>
      <c r="O294" s="4" t="e">
        <f aca="false">(N294-#REF!)/#REF!</f>
        <v>#REF!</v>
      </c>
      <c r="P294" s="1" t="n">
        <v>152.4</v>
      </c>
      <c r="Q294" s="4" t="e">
        <f aca="false">(P294-#REF!)/#REF!</f>
        <v>#REF!</v>
      </c>
      <c r="R294" s="1" t="n">
        <v>381</v>
      </c>
      <c r="S294" s="4" t="e">
        <f aca="false">(R294-#REF!)/#REF!</f>
        <v>#REF!</v>
      </c>
      <c r="T294" s="1" t="n">
        <f aca="false">R294-N294</f>
        <v>357.1</v>
      </c>
      <c r="U294" s="4" t="e">
        <f aca="false">(T294-#REF!)/#REF!</f>
        <v>#REF!</v>
      </c>
      <c r="V294" s="1" t="n">
        <v>774</v>
      </c>
      <c r="W294" s="4" t="e">
        <f aca="false">(V294-#REF!)/#REF!</f>
        <v>#REF!</v>
      </c>
      <c r="X294" s="28" t="n">
        <v>0.0133300266600533</v>
      </c>
      <c r="Y294" s="4" t="e">
        <f aca="false">(X294-#REF!)/#REF!</f>
        <v>#REF!</v>
      </c>
      <c r="Z294" s="27" t="n">
        <v>271.289437560374</v>
      </c>
      <c r="AA294" s="4" t="e">
        <f aca="false">(Z294-#REF!)/#REF!</f>
        <v>#REF!</v>
      </c>
      <c r="AB294" s="3" t="n">
        <v>276</v>
      </c>
      <c r="AC294" s="4" t="e">
        <f aca="false">(AB294-#REF!)/#REF!</f>
        <v>#REF!</v>
      </c>
      <c r="AD294" s="25" t="n">
        <v>66.199</v>
      </c>
      <c r="AE294" s="4" t="e">
        <f aca="false">(AD294-#REF!)/#REF!</f>
        <v>#REF!</v>
      </c>
      <c r="AF294" s="4" t="n">
        <v>0.17</v>
      </c>
      <c r="AG294" s="4"/>
    </row>
    <row r="295" customFormat="false" ht="14.25" hidden="false" customHeight="false" outlineLevel="0" collapsed="false">
      <c r="A295" s="0" t="s">
        <v>91</v>
      </c>
      <c r="B295" s="1" t="n">
        <v>22.2</v>
      </c>
      <c r="C295" s="4" t="e">
        <f aca="false">(B295-#REF!)/#REF!</f>
        <v>#REF!</v>
      </c>
      <c r="D295" s="1" t="n">
        <v>2</v>
      </c>
      <c r="E295" s="4" t="e">
        <f aca="false">(D295-#REF!)/#REF!</f>
        <v>#REF!</v>
      </c>
      <c r="F295" s="2" t="n">
        <v>63.6</v>
      </c>
      <c r="G295" s="4" t="e">
        <f aca="false">(F295-#REF!)/#REF!</f>
        <v>#REF!</v>
      </c>
      <c r="H295" s="2" t="n">
        <v>22.41</v>
      </c>
      <c r="I295" s="4" t="e">
        <f aca="false">(H295-#REF!)/#REF!</f>
        <v>#REF!</v>
      </c>
      <c r="J295" s="4" t="n">
        <v>2.38460157103714</v>
      </c>
      <c r="K295" s="4" t="e">
        <f aca="false">(J295-#REF!)/#REF!</f>
        <v>#REF!</v>
      </c>
      <c r="L295" s="1" t="n">
        <v>38</v>
      </c>
      <c r="M295" s="4" t="e">
        <f aca="false">(L295-#REF!)/#REF!</f>
        <v>#REF!</v>
      </c>
      <c r="N295" s="1" t="n">
        <v>49.1</v>
      </c>
      <c r="O295" s="4" t="e">
        <f aca="false">(N295-#REF!)/#REF!</f>
        <v>#REF!</v>
      </c>
      <c r="P295" s="1" t="n">
        <v>152.4</v>
      </c>
      <c r="Q295" s="4" t="e">
        <f aca="false">(P295-#REF!)/#REF!</f>
        <v>#REF!</v>
      </c>
      <c r="R295" s="1" t="n">
        <v>381</v>
      </c>
      <c r="S295" s="4" t="e">
        <f aca="false">(R295-#REF!)/#REF!</f>
        <v>#REF!</v>
      </c>
      <c r="T295" s="1" t="n">
        <f aca="false">R295-N295</f>
        <v>331.9</v>
      </c>
      <c r="U295" s="4" t="e">
        <f aca="false">(T295-#REF!)/#REF!</f>
        <v>#REF!</v>
      </c>
      <c r="V295" s="1" t="n">
        <v>774</v>
      </c>
      <c r="W295" s="4" t="e">
        <f aca="false">(V295-#REF!)/#REF!</f>
        <v>#REF!</v>
      </c>
      <c r="X295" s="28" t="n">
        <v>0.0133300266600533</v>
      </c>
      <c r="Y295" s="4" t="e">
        <f aca="false">(X295-#REF!)/#REF!</f>
        <v>#REF!</v>
      </c>
      <c r="Z295" s="27" t="n">
        <v>195.113525980031</v>
      </c>
      <c r="AA295" s="4" t="e">
        <f aca="false">(Z295-#REF!)/#REF!</f>
        <v>#REF!</v>
      </c>
      <c r="AB295" s="3" t="n">
        <v>276</v>
      </c>
      <c r="AC295" s="4" t="e">
        <f aca="false">(AB295-#REF!)/#REF!</f>
        <v>#REF!</v>
      </c>
      <c r="AD295" s="25" t="n">
        <v>43.9383</v>
      </c>
      <c r="AE295" s="4" t="e">
        <f aca="false">(AD295-#REF!)/#REF!</f>
        <v>#REF!</v>
      </c>
      <c r="AF295" s="4" t="n">
        <v>0.15</v>
      </c>
      <c r="AG295" s="4"/>
    </row>
    <row r="296" customFormat="false" ht="14.25" hidden="false" customHeight="false" outlineLevel="0" collapsed="false">
      <c r="B296" s="1" t="n">
        <v>22.2</v>
      </c>
      <c r="C296" s="4" t="e">
        <f aca="false">(B296-#REF!)/#REF!</f>
        <v>#REF!</v>
      </c>
      <c r="D296" s="1" t="n">
        <v>2</v>
      </c>
      <c r="E296" s="4" t="e">
        <f aca="false">(D296-#REF!)/#REF!</f>
        <v>#REF!</v>
      </c>
      <c r="F296" s="2" t="n">
        <v>63.6</v>
      </c>
      <c r="G296" s="4" t="e">
        <f aca="false">(F296-#REF!)/#REF!</f>
        <v>#REF!</v>
      </c>
      <c r="H296" s="2" t="n">
        <v>22.41</v>
      </c>
      <c r="I296" s="4" t="e">
        <f aca="false">(H296-#REF!)/#REF!</f>
        <v>#REF!</v>
      </c>
      <c r="J296" s="4" t="n">
        <v>2.38460157103714</v>
      </c>
      <c r="K296" s="4" t="e">
        <f aca="false">(J296-#REF!)/#REF!</f>
        <v>#REF!</v>
      </c>
      <c r="L296" s="1" t="n">
        <v>38</v>
      </c>
      <c r="M296" s="4" t="e">
        <f aca="false">(L296-#REF!)/#REF!</f>
        <v>#REF!</v>
      </c>
      <c r="N296" s="1" t="n">
        <v>49.1</v>
      </c>
      <c r="O296" s="4" t="e">
        <f aca="false">(N296-#REF!)/#REF!</f>
        <v>#REF!</v>
      </c>
      <c r="P296" s="1" t="n">
        <v>152.4</v>
      </c>
      <c r="Q296" s="4" t="e">
        <f aca="false">(P296-#REF!)/#REF!</f>
        <v>#REF!</v>
      </c>
      <c r="R296" s="1" t="n">
        <v>381</v>
      </c>
      <c r="S296" s="4" t="e">
        <f aca="false">(R296-#REF!)/#REF!</f>
        <v>#REF!</v>
      </c>
      <c r="T296" s="1" t="n">
        <f aca="false">R296-N296</f>
        <v>331.9</v>
      </c>
      <c r="U296" s="4" t="e">
        <f aca="false">(T296-#REF!)/#REF!</f>
        <v>#REF!</v>
      </c>
      <c r="V296" s="1" t="n">
        <v>774</v>
      </c>
      <c r="W296" s="4" t="e">
        <f aca="false">(V296-#REF!)/#REF!</f>
        <v>#REF!</v>
      </c>
      <c r="X296" s="28" t="n">
        <v>0.0133300266600533</v>
      </c>
      <c r="Y296" s="4" t="e">
        <f aca="false">(X296-#REF!)/#REF!</f>
        <v>#REF!</v>
      </c>
      <c r="Z296" s="27" t="n">
        <v>226.947036463892</v>
      </c>
      <c r="AA296" s="4" t="e">
        <f aca="false">(Z296-#REF!)/#REF!</f>
        <v>#REF!</v>
      </c>
      <c r="AB296" s="3" t="n">
        <v>276</v>
      </c>
      <c r="AC296" s="4" t="e">
        <f aca="false">(AB296-#REF!)/#REF!</f>
        <v>#REF!</v>
      </c>
      <c r="AD296" s="25" t="n">
        <v>51.107</v>
      </c>
      <c r="AE296" s="4" t="e">
        <f aca="false">(AD296-#REF!)/#REF!</f>
        <v>#REF!</v>
      </c>
      <c r="AF296" s="4" t="n">
        <v>0.19</v>
      </c>
      <c r="AG296" s="4"/>
    </row>
    <row r="297" customFormat="false" ht="14.25" hidden="false" customHeight="false" outlineLevel="0" collapsed="false">
      <c r="B297" s="1" t="n">
        <v>22.2</v>
      </c>
      <c r="C297" s="4" t="e">
        <f aca="false">(B297-#REF!)/#REF!</f>
        <v>#REF!</v>
      </c>
      <c r="D297" s="1" t="n">
        <v>2</v>
      </c>
      <c r="E297" s="4" t="e">
        <f aca="false">(D297-#REF!)/#REF!</f>
        <v>#REF!</v>
      </c>
      <c r="F297" s="2" t="n">
        <v>63.6</v>
      </c>
      <c r="G297" s="4" t="e">
        <f aca="false">(F297-#REF!)/#REF!</f>
        <v>#REF!</v>
      </c>
      <c r="H297" s="2" t="n">
        <v>22.41</v>
      </c>
      <c r="I297" s="4" t="e">
        <f aca="false">(H297-#REF!)/#REF!</f>
        <v>#REF!</v>
      </c>
      <c r="J297" s="4" t="n">
        <v>2.38460157103714</v>
      </c>
      <c r="K297" s="4" t="e">
        <f aca="false">(J297-#REF!)/#REF!</f>
        <v>#REF!</v>
      </c>
      <c r="L297" s="1" t="n">
        <v>38</v>
      </c>
      <c r="M297" s="4" t="e">
        <f aca="false">(L297-#REF!)/#REF!</f>
        <v>#REF!</v>
      </c>
      <c r="N297" s="1" t="n">
        <v>49.1</v>
      </c>
      <c r="O297" s="4" t="e">
        <f aca="false">(N297-#REF!)/#REF!</f>
        <v>#REF!</v>
      </c>
      <c r="P297" s="1" t="n">
        <v>152.4</v>
      </c>
      <c r="Q297" s="4" t="e">
        <f aca="false">(P297-#REF!)/#REF!</f>
        <v>#REF!</v>
      </c>
      <c r="R297" s="1" t="n">
        <v>381</v>
      </c>
      <c r="S297" s="4" t="e">
        <f aca="false">(R297-#REF!)/#REF!</f>
        <v>#REF!</v>
      </c>
      <c r="T297" s="1" t="n">
        <f aca="false">R297-N297</f>
        <v>331.9</v>
      </c>
      <c r="U297" s="4" t="e">
        <f aca="false">(T297-#REF!)/#REF!</f>
        <v>#REF!</v>
      </c>
      <c r="V297" s="1" t="n">
        <v>774</v>
      </c>
      <c r="W297" s="4" t="e">
        <f aca="false">(V297-#REF!)/#REF!</f>
        <v>#REF!</v>
      </c>
      <c r="X297" s="28" t="n">
        <v>0.0133300266600533</v>
      </c>
      <c r="Y297" s="4" t="e">
        <f aca="false">(X297-#REF!)/#REF!</f>
        <v>#REF!</v>
      </c>
      <c r="Z297" s="27" t="n">
        <v>260.91293520983</v>
      </c>
      <c r="AA297" s="4" t="e">
        <f aca="false">(Z297-#REF!)/#REF!</f>
        <v>#REF!</v>
      </c>
      <c r="AB297" s="3" t="n">
        <v>276</v>
      </c>
      <c r="AC297" s="4" t="e">
        <f aca="false">(AB297-#REF!)/#REF!</f>
        <v>#REF!</v>
      </c>
      <c r="AD297" s="25" t="n">
        <v>58.7559</v>
      </c>
      <c r="AE297" s="4" t="e">
        <f aca="false">(AD297-#REF!)/#REF!</f>
        <v>#REF!</v>
      </c>
      <c r="AF297" s="4" t="n">
        <v>0.22</v>
      </c>
      <c r="AG297" s="4"/>
    </row>
    <row r="298" customFormat="false" ht="14.25" hidden="false" customHeight="false" outlineLevel="0" collapsed="false">
      <c r="B298" s="1" t="n">
        <v>22.2</v>
      </c>
      <c r="C298" s="4" t="e">
        <f aca="false">(B298-#REF!)/#REF!</f>
        <v>#REF!</v>
      </c>
      <c r="D298" s="1" t="n">
        <v>2</v>
      </c>
      <c r="E298" s="4" t="e">
        <f aca="false">(D298-#REF!)/#REF!</f>
        <v>#REF!</v>
      </c>
      <c r="F298" s="2" t="n">
        <v>63.6</v>
      </c>
      <c r="G298" s="4" t="e">
        <f aca="false">(F298-#REF!)/#REF!</f>
        <v>#REF!</v>
      </c>
      <c r="H298" s="2" t="n">
        <v>22.41</v>
      </c>
      <c r="I298" s="4" t="e">
        <f aca="false">(H298-#REF!)/#REF!</f>
        <v>#REF!</v>
      </c>
      <c r="J298" s="4" t="n">
        <v>2.38460157103714</v>
      </c>
      <c r="K298" s="4" t="e">
        <f aca="false">(J298-#REF!)/#REF!</f>
        <v>#REF!</v>
      </c>
      <c r="L298" s="1" t="n">
        <v>38</v>
      </c>
      <c r="M298" s="4" t="e">
        <f aca="false">(L298-#REF!)/#REF!</f>
        <v>#REF!</v>
      </c>
      <c r="N298" s="1" t="n">
        <v>49.1</v>
      </c>
      <c r="O298" s="4" t="e">
        <f aca="false">(N298-#REF!)/#REF!</f>
        <v>#REF!</v>
      </c>
      <c r="P298" s="1" t="n">
        <v>152.4</v>
      </c>
      <c r="Q298" s="4" t="e">
        <f aca="false">(P298-#REF!)/#REF!</f>
        <v>#REF!</v>
      </c>
      <c r="R298" s="1" t="n">
        <v>381</v>
      </c>
      <c r="S298" s="4" t="e">
        <f aca="false">(R298-#REF!)/#REF!</f>
        <v>#REF!</v>
      </c>
      <c r="T298" s="1" t="n">
        <f aca="false">R298-N298</f>
        <v>331.9</v>
      </c>
      <c r="U298" s="4" t="e">
        <f aca="false">(T298-#REF!)/#REF!</f>
        <v>#REF!</v>
      </c>
      <c r="V298" s="1" t="n">
        <v>774</v>
      </c>
      <c r="W298" s="4" t="e">
        <f aca="false">(V298-#REF!)/#REF!</f>
        <v>#REF!</v>
      </c>
      <c r="X298" s="28" t="n">
        <v>0.0133300266600533</v>
      </c>
      <c r="Y298" s="4" t="e">
        <f aca="false">(X298-#REF!)/#REF!</f>
        <v>#REF!</v>
      </c>
      <c r="Z298" s="27" t="n">
        <v>275.8</v>
      </c>
      <c r="AA298" s="4" t="e">
        <f aca="false">(Z298-#REF!)/#REF!</f>
        <v>#REF!</v>
      </c>
      <c r="AB298" s="3" t="n">
        <v>276</v>
      </c>
      <c r="AC298" s="4" t="e">
        <f aca="false">(AB298-#REF!)/#REF!</f>
        <v>#REF!</v>
      </c>
      <c r="AD298" s="25" t="n">
        <v>66.199</v>
      </c>
      <c r="AE298" s="4" t="e">
        <f aca="false">(AD298-#REF!)/#REF!</f>
        <v>#REF!</v>
      </c>
      <c r="AF298" s="4" t="n">
        <v>0.27</v>
      </c>
      <c r="AG298" s="4"/>
    </row>
    <row r="299" customFormat="false" ht="14.25" hidden="false" customHeight="false" outlineLevel="0" collapsed="false">
      <c r="A299" s="0" t="s">
        <v>92</v>
      </c>
      <c r="B299" s="1" t="n">
        <v>22.2</v>
      </c>
      <c r="C299" s="4" t="e">
        <f aca="false">(B299-#REF!)/#REF!</f>
        <v>#REF!</v>
      </c>
      <c r="D299" s="1" t="n">
        <v>2</v>
      </c>
      <c r="E299" s="4" t="e">
        <f aca="false">(D299-#REF!)/#REF!</f>
        <v>#REF!</v>
      </c>
      <c r="F299" s="2" t="n">
        <v>63.6</v>
      </c>
      <c r="G299" s="4" t="e">
        <f aca="false">(F299-#REF!)/#REF!</f>
        <v>#REF!</v>
      </c>
      <c r="H299" s="2" t="n">
        <v>29.51</v>
      </c>
      <c r="I299" s="4" t="e">
        <f aca="false">(H299-#REF!)/#REF!</f>
        <v>#REF!</v>
      </c>
      <c r="J299" s="4" t="n">
        <v>2.86484234762008</v>
      </c>
      <c r="K299" s="4" t="e">
        <f aca="false">(J299-#REF!)/#REF!</f>
        <v>#REF!</v>
      </c>
      <c r="L299" s="1" t="n">
        <v>38</v>
      </c>
      <c r="M299" s="4" t="e">
        <f aca="false">(L299-#REF!)/#REF!</f>
        <v>#REF!</v>
      </c>
      <c r="N299" s="1" t="n">
        <v>49.1</v>
      </c>
      <c r="O299" s="4" t="e">
        <f aca="false">(N299-#REF!)/#REF!</f>
        <v>#REF!</v>
      </c>
      <c r="P299" s="1" t="n">
        <v>152.4</v>
      </c>
      <c r="Q299" s="4" t="e">
        <f aca="false">(P299-#REF!)/#REF!</f>
        <v>#REF!</v>
      </c>
      <c r="R299" s="1" t="n">
        <v>381</v>
      </c>
      <c r="S299" s="4" t="e">
        <f aca="false">(R299-#REF!)/#REF!</f>
        <v>#REF!</v>
      </c>
      <c r="T299" s="1" t="n">
        <f aca="false">R299-N299</f>
        <v>331.9</v>
      </c>
      <c r="U299" s="4" t="e">
        <f aca="false">(T299-#REF!)/#REF!</f>
        <v>#REF!</v>
      </c>
      <c r="V299" s="1" t="n">
        <v>774</v>
      </c>
      <c r="W299" s="4" t="e">
        <f aca="false">(V299-#REF!)/#REF!</f>
        <v>#REF!</v>
      </c>
      <c r="X299" s="28" t="n">
        <v>0.0133300266600533</v>
      </c>
      <c r="Y299" s="4" t="e">
        <f aca="false">(X299-#REF!)/#REF!</f>
        <v>#REF!</v>
      </c>
      <c r="Z299" s="27" t="n">
        <v>259.632151766165</v>
      </c>
      <c r="AA299" s="4" t="e">
        <f aca="false">(Z299-#REF!)/#REF!</f>
        <v>#REF!</v>
      </c>
      <c r="AB299" s="3" t="n">
        <v>276</v>
      </c>
      <c r="AC299" s="4" t="e">
        <f aca="false">(AB299-#REF!)/#REF!</f>
        <v>#REF!</v>
      </c>
      <c r="AD299" s="25" t="n">
        <v>58.7559</v>
      </c>
      <c r="AE299" s="4" t="e">
        <f aca="false">(AD299-#REF!)/#REF!</f>
        <v>#REF!</v>
      </c>
      <c r="AF299" s="4" t="n">
        <v>0.17</v>
      </c>
      <c r="AG299" s="4"/>
    </row>
    <row r="300" customFormat="false" ht="14.25" hidden="false" customHeight="false" outlineLevel="0" collapsed="false">
      <c r="B300" s="1" t="n">
        <v>22.2</v>
      </c>
      <c r="C300" s="4" t="e">
        <f aca="false">(B300-#REF!)/#REF!</f>
        <v>#REF!</v>
      </c>
      <c r="D300" s="1" t="n">
        <v>2</v>
      </c>
      <c r="E300" s="4" t="e">
        <f aca="false">(D300-#REF!)/#REF!</f>
        <v>#REF!</v>
      </c>
      <c r="F300" s="2" t="n">
        <v>63.6</v>
      </c>
      <c r="G300" s="4" t="e">
        <f aca="false">(F300-#REF!)/#REF!</f>
        <v>#REF!</v>
      </c>
      <c r="H300" s="2" t="n">
        <v>29.51</v>
      </c>
      <c r="I300" s="4" t="e">
        <f aca="false">(H300-#REF!)/#REF!</f>
        <v>#REF!</v>
      </c>
      <c r="J300" s="4" t="n">
        <v>2.86484234762008</v>
      </c>
      <c r="K300" s="4" t="e">
        <f aca="false">(J300-#REF!)/#REF!</f>
        <v>#REF!</v>
      </c>
      <c r="L300" s="1" t="n">
        <v>38</v>
      </c>
      <c r="M300" s="4" t="e">
        <f aca="false">(L300-#REF!)/#REF!</f>
        <v>#REF!</v>
      </c>
      <c r="N300" s="1" t="n">
        <v>49.1</v>
      </c>
      <c r="O300" s="4" t="e">
        <f aca="false">(N300-#REF!)/#REF!</f>
        <v>#REF!</v>
      </c>
      <c r="P300" s="1" t="n">
        <v>152.4</v>
      </c>
      <c r="Q300" s="4" t="e">
        <f aca="false">(P300-#REF!)/#REF!</f>
        <v>#REF!</v>
      </c>
      <c r="R300" s="1" t="n">
        <v>381</v>
      </c>
      <c r="S300" s="4" t="e">
        <f aca="false">(R300-#REF!)/#REF!</f>
        <v>#REF!</v>
      </c>
      <c r="T300" s="1" t="n">
        <f aca="false">R300-N300</f>
        <v>331.9</v>
      </c>
      <c r="U300" s="4" t="e">
        <f aca="false">(T300-#REF!)/#REF!</f>
        <v>#REF!</v>
      </c>
      <c r="V300" s="1" t="n">
        <v>774</v>
      </c>
      <c r="W300" s="4" t="e">
        <f aca="false">(V300-#REF!)/#REF!</f>
        <v>#REF!</v>
      </c>
      <c r="X300" s="28" t="n">
        <v>0.0133300266600533</v>
      </c>
      <c r="Y300" s="4" t="e">
        <f aca="false">(X300-#REF!)/#REF!</f>
        <v>#REF!</v>
      </c>
      <c r="Z300" s="27" t="n">
        <v>275.8</v>
      </c>
      <c r="AA300" s="4" t="e">
        <f aca="false">(Z300-#REF!)/#REF!</f>
        <v>#REF!</v>
      </c>
      <c r="AB300" s="3" t="n">
        <v>276</v>
      </c>
      <c r="AC300" s="4" t="e">
        <f aca="false">(AB300-#REF!)/#REF!</f>
        <v>#REF!</v>
      </c>
      <c r="AD300" s="25" t="n">
        <v>66.199</v>
      </c>
      <c r="AE300" s="4" t="e">
        <f aca="false">(AD300-#REF!)/#REF!</f>
        <v>#REF!</v>
      </c>
      <c r="AF300" s="4" t="n">
        <v>0.2</v>
      </c>
      <c r="AG300" s="4"/>
    </row>
    <row r="301" customFormat="false" ht="14.25" hidden="false" customHeight="false" outlineLevel="0" collapsed="false">
      <c r="A301" s="0" t="s">
        <v>93</v>
      </c>
      <c r="B301" s="1" t="n">
        <v>22.2</v>
      </c>
      <c r="C301" s="4" t="e">
        <f aca="false">(B301-#REF!)/#REF!</f>
        <v>#REF!</v>
      </c>
      <c r="D301" s="1" t="n">
        <v>2</v>
      </c>
      <c r="E301" s="4" t="e">
        <f aca="false">(D301-#REF!)/#REF!</f>
        <v>#REF!</v>
      </c>
      <c r="F301" s="2" t="n">
        <v>63.6</v>
      </c>
      <c r="G301" s="4" t="e">
        <f aca="false">(F301-#REF!)/#REF!</f>
        <v>#REF!</v>
      </c>
      <c r="H301" s="2" t="n">
        <v>29.03</v>
      </c>
      <c r="I301" s="4" t="e">
        <f aca="false">(H301-#REF!)/#REF!</f>
        <v>#REF!</v>
      </c>
      <c r="J301" s="4" t="n">
        <v>2.83369179024989</v>
      </c>
      <c r="K301" s="4" t="e">
        <f aca="false">(J301-#REF!)/#REF!</f>
        <v>#REF!</v>
      </c>
      <c r="L301" s="1" t="n">
        <v>38</v>
      </c>
      <c r="M301" s="4" t="e">
        <f aca="false">(L301-#REF!)/#REF!</f>
        <v>#REF!</v>
      </c>
      <c r="N301" s="1" t="n">
        <v>49.1</v>
      </c>
      <c r="O301" s="4" t="e">
        <f aca="false">(N301-#REF!)/#REF!</f>
        <v>#REF!</v>
      </c>
      <c r="P301" s="1" t="n">
        <v>152.4</v>
      </c>
      <c r="Q301" s="4" t="e">
        <f aca="false">(P301-#REF!)/#REF!</f>
        <v>#REF!</v>
      </c>
      <c r="R301" s="1" t="n">
        <v>381</v>
      </c>
      <c r="S301" s="4" t="e">
        <f aca="false">(R301-#REF!)/#REF!</f>
        <v>#REF!</v>
      </c>
      <c r="T301" s="1" t="n">
        <f aca="false">R301-N301</f>
        <v>331.9</v>
      </c>
      <c r="U301" s="4" t="e">
        <f aca="false">(T301-#REF!)/#REF!</f>
        <v>#REF!</v>
      </c>
      <c r="V301" s="1" t="n">
        <v>774</v>
      </c>
      <c r="W301" s="4" t="e">
        <f aca="false">(V301-#REF!)/#REF!</f>
        <v>#REF!</v>
      </c>
      <c r="X301" s="28" t="n">
        <v>0.0133300266600533</v>
      </c>
      <c r="Y301" s="4" t="e">
        <f aca="false">(X301-#REF!)/#REF!</f>
        <v>#REF!</v>
      </c>
      <c r="Z301" s="27" t="n">
        <v>194.21192690601</v>
      </c>
      <c r="AA301" s="4" t="e">
        <f aca="false">(Z301-#REF!)/#REF!</f>
        <v>#REF!</v>
      </c>
      <c r="AB301" s="3" t="n">
        <v>276</v>
      </c>
      <c r="AC301" s="4" t="e">
        <f aca="false">(AB301-#REF!)/#REF!</f>
        <v>#REF!</v>
      </c>
      <c r="AD301" s="25" t="n">
        <v>43.9383</v>
      </c>
      <c r="AE301" s="4" t="e">
        <f aca="false">(AD301-#REF!)/#REF!</f>
        <v>#REF!</v>
      </c>
      <c r="AF301" s="4" t="n">
        <v>0.15</v>
      </c>
      <c r="AG301" s="4"/>
    </row>
    <row r="302" customFormat="false" ht="14.25" hidden="false" customHeight="false" outlineLevel="0" collapsed="false">
      <c r="B302" s="1" t="n">
        <v>22.2</v>
      </c>
      <c r="C302" s="4" t="e">
        <f aca="false">(B302-#REF!)/#REF!</f>
        <v>#REF!</v>
      </c>
      <c r="D302" s="1" t="n">
        <v>2</v>
      </c>
      <c r="E302" s="4" t="e">
        <f aca="false">(D302-#REF!)/#REF!</f>
        <v>#REF!</v>
      </c>
      <c r="F302" s="2" t="n">
        <v>63.6</v>
      </c>
      <c r="G302" s="4" t="e">
        <f aca="false">(F302-#REF!)/#REF!</f>
        <v>#REF!</v>
      </c>
      <c r="H302" s="2" t="n">
        <v>29.03</v>
      </c>
      <c r="I302" s="4" t="e">
        <f aca="false">(H302-#REF!)/#REF!</f>
        <v>#REF!</v>
      </c>
      <c r="J302" s="4" t="n">
        <v>2.83369179024989</v>
      </c>
      <c r="K302" s="4" t="e">
        <f aca="false">(J302-#REF!)/#REF!</f>
        <v>#REF!</v>
      </c>
      <c r="L302" s="1" t="n">
        <v>38</v>
      </c>
      <c r="M302" s="4" t="e">
        <f aca="false">(L302-#REF!)/#REF!</f>
        <v>#REF!</v>
      </c>
      <c r="N302" s="1" t="n">
        <v>49.1</v>
      </c>
      <c r="O302" s="4" t="e">
        <f aca="false">(N302-#REF!)/#REF!</f>
        <v>#REF!</v>
      </c>
      <c r="P302" s="1" t="n">
        <v>152.4</v>
      </c>
      <c r="Q302" s="4" t="e">
        <f aca="false">(P302-#REF!)/#REF!</f>
        <v>#REF!</v>
      </c>
      <c r="R302" s="1" t="n">
        <v>381</v>
      </c>
      <c r="S302" s="4" t="e">
        <f aca="false">(R302-#REF!)/#REF!</f>
        <v>#REF!</v>
      </c>
      <c r="T302" s="1" t="n">
        <f aca="false">R302-N302</f>
        <v>331.9</v>
      </c>
      <c r="U302" s="4" t="e">
        <f aca="false">(T302-#REF!)/#REF!</f>
        <v>#REF!</v>
      </c>
      <c r="V302" s="1" t="n">
        <v>774</v>
      </c>
      <c r="W302" s="4" t="e">
        <f aca="false">(V302-#REF!)/#REF!</f>
        <v>#REF!</v>
      </c>
      <c r="X302" s="28" t="n">
        <v>0.0133300266600533</v>
      </c>
      <c r="Y302" s="4" t="e">
        <f aca="false">(X302-#REF!)/#REF!</f>
        <v>#REF!</v>
      </c>
      <c r="Z302" s="27" t="n">
        <v>225.898338087397</v>
      </c>
      <c r="AA302" s="4" t="e">
        <f aca="false">(Z302-#REF!)/#REF!</f>
        <v>#REF!</v>
      </c>
      <c r="AB302" s="3" t="n">
        <v>276</v>
      </c>
      <c r="AC302" s="4" t="e">
        <f aca="false">(AB302-#REF!)/#REF!</f>
        <v>#REF!</v>
      </c>
      <c r="AD302" s="25" t="n">
        <v>51.107</v>
      </c>
      <c r="AE302" s="4" t="e">
        <f aca="false">(AD302-#REF!)/#REF!</f>
        <v>#REF!</v>
      </c>
      <c r="AF302" s="4" t="n">
        <v>0.18</v>
      </c>
      <c r="AG302" s="4"/>
    </row>
    <row r="303" customFormat="false" ht="14.25" hidden="false" customHeight="false" outlineLevel="0" collapsed="false">
      <c r="B303" s="1" t="n">
        <v>22.2</v>
      </c>
      <c r="C303" s="4" t="e">
        <f aca="false">(B303-#REF!)/#REF!</f>
        <v>#REF!</v>
      </c>
      <c r="D303" s="1" t="n">
        <v>2</v>
      </c>
      <c r="E303" s="4" t="e">
        <f aca="false">(D303-#REF!)/#REF!</f>
        <v>#REF!</v>
      </c>
      <c r="F303" s="2" t="n">
        <v>63.6</v>
      </c>
      <c r="G303" s="4" t="e">
        <f aca="false">(F303-#REF!)/#REF!</f>
        <v>#REF!</v>
      </c>
      <c r="H303" s="2" t="n">
        <v>29.03</v>
      </c>
      <c r="I303" s="4" t="e">
        <f aca="false">(H303-#REF!)/#REF!</f>
        <v>#REF!</v>
      </c>
      <c r="J303" s="4" t="n">
        <v>2.83369179024989</v>
      </c>
      <c r="K303" s="4" t="e">
        <f aca="false">(J303-#REF!)/#REF!</f>
        <v>#REF!</v>
      </c>
      <c r="L303" s="1" t="n">
        <v>38</v>
      </c>
      <c r="M303" s="4" t="e">
        <f aca="false">(L303-#REF!)/#REF!</f>
        <v>#REF!</v>
      </c>
      <c r="N303" s="1" t="n">
        <v>49.1</v>
      </c>
      <c r="O303" s="4" t="e">
        <f aca="false">(N303-#REF!)/#REF!</f>
        <v>#REF!</v>
      </c>
      <c r="P303" s="1" t="n">
        <v>152.4</v>
      </c>
      <c r="Q303" s="4" t="e">
        <f aca="false">(P303-#REF!)/#REF!</f>
        <v>#REF!</v>
      </c>
      <c r="R303" s="1" t="n">
        <v>381</v>
      </c>
      <c r="S303" s="4" t="e">
        <f aca="false">(R303-#REF!)/#REF!</f>
        <v>#REF!</v>
      </c>
      <c r="T303" s="1" t="n">
        <f aca="false">R303-N303</f>
        <v>331.9</v>
      </c>
      <c r="U303" s="4" t="e">
        <f aca="false">(T303-#REF!)/#REF!</f>
        <v>#REF!</v>
      </c>
      <c r="V303" s="1" t="n">
        <v>774</v>
      </c>
      <c r="W303" s="4" t="e">
        <f aca="false">(V303-#REF!)/#REF!</f>
        <v>#REF!</v>
      </c>
      <c r="X303" s="28" t="n">
        <v>0.0133300266600533</v>
      </c>
      <c r="Y303" s="4" t="e">
        <f aca="false">(X303-#REF!)/#REF!</f>
        <v>#REF!</v>
      </c>
      <c r="Z303" s="27" t="n">
        <v>259.707283989067</v>
      </c>
      <c r="AA303" s="4" t="e">
        <f aca="false">(Z303-#REF!)/#REF!</f>
        <v>#REF!</v>
      </c>
      <c r="AB303" s="3" t="n">
        <v>276</v>
      </c>
      <c r="AC303" s="4" t="e">
        <f aca="false">(AB303-#REF!)/#REF!</f>
        <v>#REF!</v>
      </c>
      <c r="AD303" s="25" t="n">
        <v>58.7559</v>
      </c>
      <c r="AE303" s="4" t="e">
        <f aca="false">(AD303-#REF!)/#REF!</f>
        <v>#REF!</v>
      </c>
      <c r="AF303" s="4" t="n">
        <v>0.22</v>
      </c>
      <c r="AG303" s="4"/>
    </row>
    <row r="304" customFormat="false" ht="14.25" hidden="false" customHeight="false" outlineLevel="0" collapsed="false">
      <c r="B304" s="1" t="n">
        <v>22.2</v>
      </c>
      <c r="C304" s="4" t="e">
        <f aca="false">(B304-#REF!)/#REF!</f>
        <v>#REF!</v>
      </c>
      <c r="D304" s="1" t="n">
        <v>2</v>
      </c>
      <c r="E304" s="4" t="e">
        <f aca="false">(D304-#REF!)/#REF!</f>
        <v>#REF!</v>
      </c>
      <c r="F304" s="2" t="n">
        <v>63.6</v>
      </c>
      <c r="G304" s="4" t="e">
        <f aca="false">(F304-#REF!)/#REF!</f>
        <v>#REF!</v>
      </c>
      <c r="H304" s="2" t="n">
        <v>29.03</v>
      </c>
      <c r="I304" s="4" t="e">
        <f aca="false">(H304-#REF!)/#REF!</f>
        <v>#REF!</v>
      </c>
      <c r="J304" s="4" t="n">
        <v>2.83369179024989</v>
      </c>
      <c r="K304" s="4" t="e">
        <f aca="false">(J304-#REF!)/#REF!</f>
        <v>#REF!</v>
      </c>
      <c r="L304" s="1" t="n">
        <v>38</v>
      </c>
      <c r="M304" s="4" t="e">
        <f aca="false">(L304-#REF!)/#REF!</f>
        <v>#REF!</v>
      </c>
      <c r="N304" s="1" t="n">
        <v>49.1</v>
      </c>
      <c r="O304" s="4" t="e">
        <f aca="false">(N304-#REF!)/#REF!</f>
        <v>#REF!</v>
      </c>
      <c r="P304" s="1" t="n">
        <v>152.4</v>
      </c>
      <c r="Q304" s="4" t="e">
        <f aca="false">(P304-#REF!)/#REF!</f>
        <v>#REF!</v>
      </c>
      <c r="R304" s="1" t="n">
        <v>381</v>
      </c>
      <c r="S304" s="4" t="e">
        <f aca="false">(R304-#REF!)/#REF!</f>
        <v>#REF!</v>
      </c>
      <c r="T304" s="1" t="n">
        <f aca="false">R304-N304</f>
        <v>331.9</v>
      </c>
      <c r="U304" s="4" t="e">
        <f aca="false">(T304-#REF!)/#REF!</f>
        <v>#REF!</v>
      </c>
      <c r="V304" s="1" t="n">
        <v>774</v>
      </c>
      <c r="W304" s="4" t="e">
        <f aca="false">(V304-#REF!)/#REF!</f>
        <v>#REF!</v>
      </c>
      <c r="X304" s="28" t="n">
        <v>0.0133300266600533</v>
      </c>
      <c r="Y304" s="4" t="e">
        <f aca="false">(X304-#REF!)/#REF!</f>
        <v>#REF!</v>
      </c>
      <c r="Z304" s="27" t="n">
        <v>275.8</v>
      </c>
      <c r="AA304" s="4" t="e">
        <f aca="false">(Z304-#REF!)/#REF!</f>
        <v>#REF!</v>
      </c>
      <c r="AB304" s="3" t="n">
        <v>276</v>
      </c>
      <c r="AC304" s="4" t="e">
        <f aca="false">(AB304-#REF!)/#REF!</f>
        <v>#REF!</v>
      </c>
      <c r="AD304" s="25" t="n">
        <v>66.199</v>
      </c>
      <c r="AE304" s="4" t="e">
        <f aca="false">(AD304-#REF!)/#REF!</f>
        <v>#REF!</v>
      </c>
      <c r="AF304" s="4" t="n">
        <v>0.25</v>
      </c>
      <c r="AG304" s="4"/>
    </row>
    <row r="305" customFormat="false" ht="14.25" hidden="false" customHeight="false" outlineLevel="0" collapsed="false">
      <c r="A305" s="0" t="s">
        <v>94</v>
      </c>
      <c r="B305" s="1" t="n">
        <v>22.2</v>
      </c>
      <c r="C305" s="4" t="e">
        <f aca="false">(B305-#REF!)/#REF!</f>
        <v>#REF!</v>
      </c>
      <c r="D305" s="1" t="n">
        <v>2</v>
      </c>
      <c r="E305" s="4" t="e">
        <f aca="false">(D305-#REF!)/#REF!</f>
        <v>#REF!</v>
      </c>
      <c r="F305" s="2" t="n">
        <v>63.6</v>
      </c>
      <c r="G305" s="4" t="e">
        <f aca="false">(F305-#REF!)/#REF!</f>
        <v>#REF!</v>
      </c>
      <c r="H305" s="2" t="n">
        <v>27.85</v>
      </c>
      <c r="I305" s="4" t="e">
        <f aca="false">(H305-#REF!)/#REF!</f>
        <v>#REF!</v>
      </c>
      <c r="J305" s="4" t="n">
        <v>2.75637342683892</v>
      </c>
      <c r="K305" s="4" t="e">
        <f aca="false">(J305-#REF!)/#REF!</f>
        <v>#REF!</v>
      </c>
      <c r="L305" s="1" t="n">
        <v>38</v>
      </c>
      <c r="M305" s="4" t="e">
        <f aca="false">(L305-#REF!)/#REF!</f>
        <v>#REF!</v>
      </c>
      <c r="N305" s="1" t="n">
        <v>49.1</v>
      </c>
      <c r="O305" s="4" t="e">
        <f aca="false">(N305-#REF!)/#REF!</f>
        <v>#REF!</v>
      </c>
      <c r="P305" s="1" t="n">
        <v>152.4</v>
      </c>
      <c r="Q305" s="4" t="e">
        <f aca="false">(P305-#REF!)/#REF!</f>
        <v>#REF!</v>
      </c>
      <c r="R305" s="1" t="n">
        <v>381</v>
      </c>
      <c r="S305" s="4" t="e">
        <f aca="false">(R305-#REF!)/#REF!</f>
        <v>#REF!</v>
      </c>
      <c r="T305" s="1" t="n">
        <f aca="false">R305-N305</f>
        <v>331.9</v>
      </c>
      <c r="U305" s="4" t="e">
        <f aca="false">(T305-#REF!)/#REF!</f>
        <v>#REF!</v>
      </c>
      <c r="V305" s="1" t="n">
        <v>774</v>
      </c>
      <c r="W305" s="4" t="e">
        <f aca="false">(V305-#REF!)/#REF!</f>
        <v>#REF!</v>
      </c>
      <c r="X305" s="28" t="n">
        <v>0.0133300266600533</v>
      </c>
      <c r="Y305" s="4" t="e">
        <f aca="false">(X305-#REF!)/#REF!</f>
        <v>#REF!</v>
      </c>
      <c r="Z305" s="27" t="n">
        <v>194.354596032503</v>
      </c>
      <c r="AA305" s="4" t="e">
        <f aca="false">(Z305-#REF!)/#REF!</f>
        <v>#REF!</v>
      </c>
      <c r="AB305" s="3" t="n">
        <v>276</v>
      </c>
      <c r="AC305" s="4" t="e">
        <f aca="false">(AB305-#REF!)/#REF!</f>
        <v>#REF!</v>
      </c>
      <c r="AD305" s="25" t="n">
        <v>43.9383</v>
      </c>
      <c r="AE305" s="4" t="e">
        <f aca="false">(AD305-#REF!)/#REF!</f>
        <v>#REF!</v>
      </c>
      <c r="AF305" s="4" t="n">
        <v>0.2</v>
      </c>
      <c r="AG305" s="4"/>
    </row>
    <row r="306" customFormat="false" ht="14.25" hidden="false" customHeight="false" outlineLevel="0" collapsed="false">
      <c r="B306" s="1" t="n">
        <v>22.2</v>
      </c>
      <c r="C306" s="4" t="e">
        <f aca="false">(B306-#REF!)/#REF!</f>
        <v>#REF!</v>
      </c>
      <c r="D306" s="1" t="n">
        <v>2</v>
      </c>
      <c r="E306" s="4" t="e">
        <f aca="false">(D306-#REF!)/#REF!</f>
        <v>#REF!</v>
      </c>
      <c r="F306" s="2" t="n">
        <v>63.6</v>
      </c>
      <c r="G306" s="4" t="e">
        <f aca="false">(F306-#REF!)/#REF!</f>
        <v>#REF!</v>
      </c>
      <c r="H306" s="2" t="n">
        <v>27.85</v>
      </c>
      <c r="I306" s="4" t="e">
        <f aca="false">(H306-#REF!)/#REF!</f>
        <v>#REF!</v>
      </c>
      <c r="J306" s="4" t="n">
        <v>2.75637342683892</v>
      </c>
      <c r="K306" s="4" t="e">
        <f aca="false">(J306-#REF!)/#REF!</f>
        <v>#REF!</v>
      </c>
      <c r="L306" s="1" t="n">
        <v>38</v>
      </c>
      <c r="M306" s="4" t="e">
        <f aca="false">(L306-#REF!)/#REF!</f>
        <v>#REF!</v>
      </c>
      <c r="N306" s="1" t="n">
        <v>49.1</v>
      </c>
      <c r="O306" s="4" t="e">
        <f aca="false">(N306-#REF!)/#REF!</f>
        <v>#REF!</v>
      </c>
      <c r="P306" s="1" t="n">
        <v>152.4</v>
      </c>
      <c r="Q306" s="4" t="e">
        <f aca="false">(P306-#REF!)/#REF!</f>
        <v>#REF!</v>
      </c>
      <c r="R306" s="1" t="n">
        <v>381</v>
      </c>
      <c r="S306" s="4" t="e">
        <f aca="false">(R306-#REF!)/#REF!</f>
        <v>#REF!</v>
      </c>
      <c r="T306" s="1" t="n">
        <f aca="false">R306-N306</f>
        <v>331.9</v>
      </c>
      <c r="U306" s="4" t="e">
        <f aca="false">(T306-#REF!)/#REF!</f>
        <v>#REF!</v>
      </c>
      <c r="V306" s="1" t="n">
        <v>774</v>
      </c>
      <c r="W306" s="4" t="e">
        <f aca="false">(V306-#REF!)/#REF!</f>
        <v>#REF!</v>
      </c>
      <c r="X306" s="28" t="n">
        <v>0.0133300266600533</v>
      </c>
      <c r="Y306" s="4" t="e">
        <f aca="false">(X306-#REF!)/#REF!</f>
        <v>#REF!</v>
      </c>
      <c r="Z306" s="27" t="n">
        <v>226.064284222037</v>
      </c>
      <c r="AA306" s="4" t="e">
        <f aca="false">(Z306-#REF!)/#REF!</f>
        <v>#REF!</v>
      </c>
      <c r="AB306" s="3" t="n">
        <v>276</v>
      </c>
      <c r="AC306" s="4" t="e">
        <f aca="false">(AB306-#REF!)/#REF!</f>
        <v>#REF!</v>
      </c>
      <c r="AD306" s="25" t="n">
        <v>51.107</v>
      </c>
      <c r="AE306" s="4" t="e">
        <f aca="false">(AD306-#REF!)/#REF!</f>
        <v>#REF!</v>
      </c>
      <c r="AF306" s="4" t="n">
        <v>0.25</v>
      </c>
      <c r="AG306" s="4"/>
    </row>
    <row r="307" customFormat="false" ht="14.25" hidden="false" customHeight="false" outlineLevel="0" collapsed="false">
      <c r="B307" s="1" t="n">
        <v>22.2</v>
      </c>
      <c r="C307" s="4" t="e">
        <f aca="false">(B307-#REF!)/#REF!</f>
        <v>#REF!</v>
      </c>
      <c r="D307" s="1" t="n">
        <v>2</v>
      </c>
      <c r="E307" s="4" t="e">
        <f aca="false">(D307-#REF!)/#REF!</f>
        <v>#REF!</v>
      </c>
      <c r="F307" s="2" t="n">
        <v>63.6</v>
      </c>
      <c r="G307" s="4" t="e">
        <f aca="false">(F307-#REF!)/#REF!</f>
        <v>#REF!</v>
      </c>
      <c r="H307" s="2" t="n">
        <v>27.85</v>
      </c>
      <c r="I307" s="4" t="e">
        <f aca="false">(H307-#REF!)/#REF!</f>
        <v>#REF!</v>
      </c>
      <c r="J307" s="4" t="n">
        <v>2.75637342683892</v>
      </c>
      <c r="K307" s="4" t="e">
        <f aca="false">(J307-#REF!)/#REF!</f>
        <v>#REF!</v>
      </c>
      <c r="L307" s="1" t="n">
        <v>38</v>
      </c>
      <c r="M307" s="4" t="e">
        <f aca="false">(L307-#REF!)/#REF!</f>
        <v>#REF!</v>
      </c>
      <c r="N307" s="1" t="n">
        <v>49.1</v>
      </c>
      <c r="O307" s="4" t="e">
        <f aca="false">(N307-#REF!)/#REF!</f>
        <v>#REF!</v>
      </c>
      <c r="P307" s="1" t="n">
        <v>152.4</v>
      </c>
      <c r="Q307" s="4" t="e">
        <f aca="false">(P307-#REF!)/#REF!</f>
        <v>#REF!</v>
      </c>
      <c r="R307" s="1" t="n">
        <v>381</v>
      </c>
      <c r="S307" s="4" t="e">
        <f aca="false">(R307-#REF!)/#REF!</f>
        <v>#REF!</v>
      </c>
      <c r="T307" s="1" t="n">
        <f aca="false">R307-N307</f>
        <v>331.9</v>
      </c>
      <c r="U307" s="4" t="e">
        <f aca="false">(T307-#REF!)/#REF!</f>
        <v>#REF!</v>
      </c>
      <c r="V307" s="1" t="n">
        <v>774</v>
      </c>
      <c r="W307" s="4" t="e">
        <f aca="false">(V307-#REF!)/#REF!</f>
        <v>#REF!</v>
      </c>
      <c r="X307" s="28" t="n">
        <v>0.0133300266600533</v>
      </c>
      <c r="Y307" s="4" t="e">
        <f aca="false">(X307-#REF!)/#REF!</f>
        <v>#REF!</v>
      </c>
      <c r="Z307" s="27" t="n">
        <v>259.898066357281</v>
      </c>
      <c r="AA307" s="4" t="e">
        <f aca="false">(Z307-#REF!)/#REF!</f>
        <v>#REF!</v>
      </c>
      <c r="AB307" s="3" t="n">
        <v>276</v>
      </c>
      <c r="AC307" s="4" t="e">
        <f aca="false">(AB307-#REF!)/#REF!</f>
        <v>#REF!</v>
      </c>
      <c r="AD307" s="25" t="n">
        <v>58.7559</v>
      </c>
      <c r="AE307" s="4" t="e">
        <f aca="false">(AD307-#REF!)/#REF!</f>
        <v>#REF!</v>
      </c>
      <c r="AF307" s="4" t="n">
        <v>0.3</v>
      </c>
      <c r="AG307" s="4"/>
    </row>
    <row r="308" customFormat="false" ht="14.25" hidden="false" customHeight="false" outlineLevel="0" collapsed="false">
      <c r="B308" s="1" t="n">
        <v>22.2</v>
      </c>
      <c r="C308" s="4" t="e">
        <f aca="false">(B308-#REF!)/#REF!</f>
        <v>#REF!</v>
      </c>
      <c r="D308" s="1" t="n">
        <v>2</v>
      </c>
      <c r="E308" s="4" t="e">
        <f aca="false">(D308-#REF!)/#REF!</f>
        <v>#REF!</v>
      </c>
      <c r="F308" s="2" t="n">
        <v>63.6</v>
      </c>
      <c r="G308" s="4" t="e">
        <f aca="false">(F308-#REF!)/#REF!</f>
        <v>#REF!</v>
      </c>
      <c r="H308" s="2" t="n">
        <v>27.85</v>
      </c>
      <c r="I308" s="4" t="e">
        <f aca="false">(H308-#REF!)/#REF!</f>
        <v>#REF!</v>
      </c>
      <c r="J308" s="4" t="n">
        <v>2.75637342683892</v>
      </c>
      <c r="K308" s="4" t="e">
        <f aca="false">(J308-#REF!)/#REF!</f>
        <v>#REF!</v>
      </c>
      <c r="L308" s="1" t="n">
        <v>38</v>
      </c>
      <c r="M308" s="4" t="e">
        <f aca="false">(L308-#REF!)/#REF!</f>
        <v>#REF!</v>
      </c>
      <c r="N308" s="1" t="n">
        <v>49.1</v>
      </c>
      <c r="O308" s="4" t="e">
        <f aca="false">(N308-#REF!)/#REF!</f>
        <v>#REF!</v>
      </c>
      <c r="P308" s="1" t="n">
        <v>152.4</v>
      </c>
      <c r="Q308" s="4" t="e">
        <f aca="false">(P308-#REF!)/#REF!</f>
        <v>#REF!</v>
      </c>
      <c r="R308" s="1" t="n">
        <v>381</v>
      </c>
      <c r="S308" s="4" t="e">
        <f aca="false">(R308-#REF!)/#REF!</f>
        <v>#REF!</v>
      </c>
      <c r="T308" s="1" t="n">
        <f aca="false">R308-N308</f>
        <v>331.9</v>
      </c>
      <c r="U308" s="4" t="e">
        <f aca="false">(T308-#REF!)/#REF!</f>
        <v>#REF!</v>
      </c>
      <c r="V308" s="1" t="n">
        <v>774</v>
      </c>
      <c r="W308" s="4" t="e">
        <f aca="false">(V308-#REF!)/#REF!</f>
        <v>#REF!</v>
      </c>
      <c r="X308" s="28" t="n">
        <v>0.0133300266600533</v>
      </c>
      <c r="Y308" s="4" t="e">
        <f aca="false">(X308-#REF!)/#REF!</f>
        <v>#REF!</v>
      </c>
      <c r="Z308" s="27" t="n">
        <v>275.8</v>
      </c>
      <c r="AA308" s="4" t="e">
        <f aca="false">(Z308-#REF!)/#REF!</f>
        <v>#REF!</v>
      </c>
      <c r="AB308" s="3" t="n">
        <v>276</v>
      </c>
      <c r="AC308" s="4" t="e">
        <f aca="false">(AB308-#REF!)/#REF!</f>
        <v>#REF!</v>
      </c>
      <c r="AD308" s="25" t="n">
        <v>66.199</v>
      </c>
      <c r="AE308" s="4" t="e">
        <f aca="false">(AD308-#REF!)/#REF!</f>
        <v>#REF!</v>
      </c>
      <c r="AF308" s="4" t="n">
        <v>0.35</v>
      </c>
      <c r="AG308" s="4"/>
    </row>
    <row r="309" customFormat="false" ht="14.25" hidden="false" customHeight="false" outlineLevel="0" collapsed="false">
      <c r="A309" s="0" t="s">
        <v>95</v>
      </c>
      <c r="B309" s="1" t="n">
        <v>28.7</v>
      </c>
      <c r="C309" s="4" t="e">
        <f aca="false">(B309-#REF!)/#REF!</f>
        <v>#REF!</v>
      </c>
      <c r="D309" s="1" t="n">
        <v>2</v>
      </c>
      <c r="E309" s="4" t="e">
        <f aca="false">(D309-#REF!)/#REF!</f>
        <v>#REF!</v>
      </c>
      <c r="F309" s="2" t="n">
        <v>50.6</v>
      </c>
      <c r="G309" s="4" t="e">
        <f aca="false">(F309-#REF!)/#REF!</f>
        <v>#REF!</v>
      </c>
      <c r="H309" s="2" t="n">
        <v>28.13</v>
      </c>
      <c r="I309" s="4" t="e">
        <f aca="false">(H309-#REF!)/#REF!</f>
        <v>#REF!</v>
      </c>
      <c r="J309" s="4" t="n">
        <v>2.77481740215607</v>
      </c>
      <c r="K309" s="4" t="e">
        <f aca="false">(J309-#REF!)/#REF!</f>
        <v>#REF!</v>
      </c>
      <c r="L309" s="1" t="n">
        <v>22.2</v>
      </c>
      <c r="M309" s="4" t="e">
        <f aca="false">(L309-#REF!)/#REF!</f>
        <v>#REF!</v>
      </c>
      <c r="N309" s="1" t="n">
        <v>36.6</v>
      </c>
      <c r="O309" s="4" t="e">
        <f aca="false">(N309-#REF!)/#REF!</f>
        <v>#REF!</v>
      </c>
      <c r="P309" s="1" t="n">
        <v>152.4</v>
      </c>
      <c r="Q309" s="4" t="e">
        <f aca="false">(P309-#REF!)/#REF!</f>
        <v>#REF!</v>
      </c>
      <c r="R309" s="1" t="n">
        <v>381</v>
      </c>
      <c r="S309" s="4" t="e">
        <f aca="false">(R309-#REF!)/#REF!</f>
        <v>#REF!</v>
      </c>
      <c r="T309" s="1" t="n">
        <f aca="false">R309-N309</f>
        <v>344.4</v>
      </c>
      <c r="U309" s="4" t="e">
        <f aca="false">(T309-#REF!)/#REF!</f>
        <v>#REF!</v>
      </c>
      <c r="V309" s="1" t="n">
        <v>1290</v>
      </c>
      <c r="W309" s="4" t="e">
        <f aca="false">(V309-#REF!)/#REF!</f>
        <v>#REF!</v>
      </c>
      <c r="X309" s="28" t="n">
        <v>0.0222167111000889</v>
      </c>
      <c r="Y309" s="4" t="e">
        <f aca="false">(X309-#REF!)/#REF!</f>
        <v>#REF!</v>
      </c>
      <c r="Z309" s="27" t="n">
        <v>234.115818289886</v>
      </c>
      <c r="AA309" s="4" t="e">
        <f aca="false">(Z309-#REF!)/#REF!</f>
        <v>#REF!</v>
      </c>
      <c r="AB309" s="3" t="n">
        <v>276</v>
      </c>
      <c r="AC309" s="4" t="e">
        <f aca="false">(AB309-#REF!)/#REF!</f>
        <v>#REF!</v>
      </c>
      <c r="AD309" s="25" t="n">
        <v>89.1114</v>
      </c>
      <c r="AE309" s="4" t="e">
        <f aca="false">(AD309-#REF!)/#REF!</f>
        <v>#REF!</v>
      </c>
      <c r="AF309" s="4" t="n">
        <v>0.17</v>
      </c>
      <c r="AG309" s="4"/>
    </row>
    <row r="310" customFormat="false" ht="14.25" hidden="false" customHeight="false" outlineLevel="0" collapsed="false">
      <c r="B310" s="1" t="n">
        <v>28.7</v>
      </c>
      <c r="C310" s="4" t="e">
        <f aca="false">(B310-#REF!)/#REF!</f>
        <v>#REF!</v>
      </c>
      <c r="D310" s="1" t="n">
        <v>2</v>
      </c>
      <c r="E310" s="4" t="e">
        <f aca="false">(D310-#REF!)/#REF!</f>
        <v>#REF!</v>
      </c>
      <c r="F310" s="2" t="n">
        <v>50.6</v>
      </c>
      <c r="G310" s="4" t="e">
        <f aca="false">(F310-#REF!)/#REF!</f>
        <v>#REF!</v>
      </c>
      <c r="H310" s="2" t="n">
        <v>28.13</v>
      </c>
      <c r="I310" s="4" t="e">
        <f aca="false">(H310-#REF!)/#REF!</f>
        <v>#REF!</v>
      </c>
      <c r="J310" s="4" t="n">
        <v>2.77481740215607</v>
      </c>
      <c r="K310" s="4" t="e">
        <f aca="false">(J310-#REF!)/#REF!</f>
        <v>#REF!</v>
      </c>
      <c r="L310" s="1" t="n">
        <v>22.2</v>
      </c>
      <c r="M310" s="4" t="e">
        <f aca="false">(L310-#REF!)/#REF!</f>
        <v>#REF!</v>
      </c>
      <c r="N310" s="1" t="n">
        <v>36.6</v>
      </c>
      <c r="O310" s="4" t="e">
        <f aca="false">(N310-#REF!)/#REF!</f>
        <v>#REF!</v>
      </c>
      <c r="P310" s="1" t="n">
        <v>152.4</v>
      </c>
      <c r="Q310" s="4" t="e">
        <f aca="false">(P310-#REF!)/#REF!</f>
        <v>#REF!</v>
      </c>
      <c r="R310" s="1" t="n">
        <v>381</v>
      </c>
      <c r="S310" s="4" t="e">
        <f aca="false">(R310-#REF!)/#REF!</f>
        <v>#REF!</v>
      </c>
      <c r="T310" s="1" t="n">
        <f aca="false">R310-N310</f>
        <v>344.4</v>
      </c>
      <c r="U310" s="4" t="e">
        <f aca="false">(T310-#REF!)/#REF!</f>
        <v>#REF!</v>
      </c>
      <c r="V310" s="1" t="n">
        <v>1290</v>
      </c>
      <c r="W310" s="4" t="e">
        <f aca="false">(V310-#REF!)/#REF!</f>
        <v>#REF!</v>
      </c>
      <c r="X310" s="28" t="n">
        <v>0.0222167111000889</v>
      </c>
      <c r="Y310" s="4" t="e">
        <f aca="false">(X310-#REF!)/#REF!</f>
        <v>#REF!</v>
      </c>
      <c r="Z310" s="27" t="n">
        <v>274.847284751406</v>
      </c>
      <c r="AA310" s="4" t="e">
        <f aca="false">(Z310-#REF!)/#REF!</f>
        <v>#REF!</v>
      </c>
      <c r="AB310" s="3" t="n">
        <v>276</v>
      </c>
      <c r="AC310" s="4" t="e">
        <f aca="false">(AB310-#REF!)/#REF!</f>
        <v>#REF!</v>
      </c>
      <c r="AD310" s="25" t="n">
        <v>104.615</v>
      </c>
      <c r="AE310" s="4" t="e">
        <f aca="false">(AD310-#REF!)/#REF!</f>
        <v>#REF!</v>
      </c>
      <c r="AF310" s="4" t="n">
        <v>0.2</v>
      </c>
      <c r="AG310" s="4"/>
    </row>
    <row r="311" customFormat="false" ht="14.25" hidden="false" customHeight="false" outlineLevel="0" collapsed="false">
      <c r="A311" s="0" t="s">
        <v>96</v>
      </c>
      <c r="B311" s="1" t="n">
        <v>28.7</v>
      </c>
      <c r="C311" s="4" t="e">
        <f aca="false">(B311-#REF!)/#REF!</f>
        <v>#REF!</v>
      </c>
      <c r="D311" s="1" t="n">
        <v>2</v>
      </c>
      <c r="E311" s="4" t="e">
        <f aca="false">(D311-#REF!)/#REF!</f>
        <v>#REF!</v>
      </c>
      <c r="F311" s="2" t="n">
        <v>50.6</v>
      </c>
      <c r="G311" s="4" t="e">
        <f aca="false">(F311-#REF!)/#REF!</f>
        <v>#REF!</v>
      </c>
      <c r="H311" s="2" t="n">
        <v>28.54</v>
      </c>
      <c r="I311" s="4" t="e">
        <f aca="false">(H311-#REF!)/#REF!</f>
        <v>#REF!</v>
      </c>
      <c r="J311" s="4" t="n">
        <v>2.80171464705939</v>
      </c>
      <c r="K311" s="4" t="e">
        <f aca="false">(J311-#REF!)/#REF!</f>
        <v>#REF!</v>
      </c>
      <c r="L311" s="1" t="n">
        <v>38.2</v>
      </c>
      <c r="M311" s="4" t="e">
        <f aca="false">(L311-#REF!)/#REF!</f>
        <v>#REF!</v>
      </c>
      <c r="N311" s="1" t="n">
        <v>52.5</v>
      </c>
      <c r="O311" s="4" t="e">
        <f aca="false">(N311-#REF!)/#REF!</f>
        <v>#REF!</v>
      </c>
      <c r="P311" s="1" t="n">
        <v>152.4</v>
      </c>
      <c r="Q311" s="4" t="e">
        <f aca="false">(P311-#REF!)/#REF!</f>
        <v>#REF!</v>
      </c>
      <c r="R311" s="1" t="n">
        <v>381</v>
      </c>
      <c r="S311" s="4" t="e">
        <f aca="false">(R311-#REF!)/#REF!</f>
        <v>#REF!</v>
      </c>
      <c r="T311" s="1" t="n">
        <f aca="false">R311-N311</f>
        <v>328.5</v>
      </c>
      <c r="U311" s="4" t="e">
        <f aca="false">(T311-#REF!)/#REF!</f>
        <v>#REF!</v>
      </c>
      <c r="V311" s="1" t="n">
        <v>1290</v>
      </c>
      <c r="W311" s="4" t="e">
        <f aca="false">(V311-#REF!)/#REF!</f>
        <v>#REF!</v>
      </c>
      <c r="X311" s="28" t="n">
        <v>0.0222167111000889</v>
      </c>
      <c r="Y311" s="4" t="e">
        <f aca="false">(X311-#REF!)/#REF!</f>
        <v>#REF!</v>
      </c>
      <c r="Z311" s="27" t="n">
        <v>179.495600322604</v>
      </c>
      <c r="AA311" s="4" t="e">
        <f aca="false">(Z311-#REF!)/#REF!</f>
        <v>#REF!</v>
      </c>
      <c r="AB311" s="3" t="n">
        <v>276</v>
      </c>
      <c r="AC311" s="4" t="e">
        <f aca="false">(AB311-#REF!)/#REF!</f>
        <v>#REF!</v>
      </c>
      <c r="AD311" s="25" t="n">
        <v>64.9985</v>
      </c>
      <c r="AE311" s="4" t="e">
        <f aca="false">(AD311-#REF!)/#REF!</f>
        <v>#REF!</v>
      </c>
      <c r="AF311" s="4" t="n">
        <v>0.17</v>
      </c>
      <c r="AG311" s="4"/>
    </row>
    <row r="312" customFormat="false" ht="14.25" hidden="false" customHeight="false" outlineLevel="0" collapsed="false">
      <c r="B312" s="1" t="n">
        <v>28.7</v>
      </c>
      <c r="C312" s="4" t="e">
        <f aca="false">(B312-#REF!)/#REF!</f>
        <v>#REF!</v>
      </c>
      <c r="D312" s="1" t="n">
        <v>2</v>
      </c>
      <c r="E312" s="4" t="e">
        <f aca="false">(D312-#REF!)/#REF!</f>
        <v>#REF!</v>
      </c>
      <c r="F312" s="2" t="n">
        <v>50.6</v>
      </c>
      <c r="G312" s="4" t="e">
        <f aca="false">(F312-#REF!)/#REF!</f>
        <v>#REF!</v>
      </c>
      <c r="H312" s="2" t="n">
        <v>28.54</v>
      </c>
      <c r="I312" s="4" t="e">
        <f aca="false">(H312-#REF!)/#REF!</f>
        <v>#REF!</v>
      </c>
      <c r="J312" s="4" t="n">
        <v>2.80171464705939</v>
      </c>
      <c r="K312" s="4" t="e">
        <f aca="false">(J312-#REF!)/#REF!</f>
        <v>#REF!</v>
      </c>
      <c r="L312" s="1" t="n">
        <v>38.2</v>
      </c>
      <c r="M312" s="4" t="e">
        <f aca="false">(L312-#REF!)/#REF!</f>
        <v>#REF!</v>
      </c>
      <c r="N312" s="1" t="n">
        <v>52.5</v>
      </c>
      <c r="O312" s="4" t="e">
        <f aca="false">(N312-#REF!)/#REF!</f>
        <v>#REF!</v>
      </c>
      <c r="P312" s="1" t="n">
        <v>152.4</v>
      </c>
      <c r="Q312" s="4" t="e">
        <f aca="false">(P312-#REF!)/#REF!</f>
        <v>#REF!</v>
      </c>
      <c r="R312" s="1" t="n">
        <v>381</v>
      </c>
      <c r="S312" s="4" t="e">
        <f aca="false">(R312-#REF!)/#REF!</f>
        <v>#REF!</v>
      </c>
      <c r="T312" s="1" t="n">
        <f aca="false">R312-N312</f>
        <v>328.5</v>
      </c>
      <c r="U312" s="4" t="e">
        <f aca="false">(T312-#REF!)/#REF!</f>
        <v>#REF!</v>
      </c>
      <c r="V312" s="1" t="n">
        <v>1290</v>
      </c>
      <c r="W312" s="4" t="e">
        <f aca="false">(V312-#REF!)/#REF!</f>
        <v>#REF!</v>
      </c>
      <c r="X312" s="28" t="n">
        <v>0.0222167111000889</v>
      </c>
      <c r="Y312" s="4" t="e">
        <f aca="false">(X312-#REF!)/#REF!</f>
        <v>#REF!</v>
      </c>
      <c r="Z312" s="27" t="n">
        <v>212.742542651488</v>
      </c>
      <c r="AA312" s="4" t="e">
        <f aca="false">(Z312-#REF!)/#REF!</f>
        <v>#REF!</v>
      </c>
      <c r="AB312" s="3" t="n">
        <v>276</v>
      </c>
      <c r="AC312" s="4" t="e">
        <f aca="false">(AB312-#REF!)/#REF!</f>
        <v>#REF!</v>
      </c>
      <c r="AD312" s="25" t="n">
        <v>77.0378</v>
      </c>
      <c r="AE312" s="4" t="e">
        <f aca="false">(AD312-#REF!)/#REF!</f>
        <v>#REF!</v>
      </c>
      <c r="AF312" s="4" t="n">
        <v>0.2</v>
      </c>
      <c r="AG312" s="4"/>
    </row>
    <row r="313" customFormat="false" ht="14.25" hidden="false" customHeight="false" outlineLevel="0" collapsed="false">
      <c r="B313" s="1" t="n">
        <v>28.7</v>
      </c>
      <c r="C313" s="4" t="e">
        <f aca="false">(B313-#REF!)/#REF!</f>
        <v>#REF!</v>
      </c>
      <c r="D313" s="1" t="n">
        <v>2</v>
      </c>
      <c r="E313" s="4" t="e">
        <f aca="false">(D313-#REF!)/#REF!</f>
        <v>#REF!</v>
      </c>
      <c r="F313" s="2" t="n">
        <v>50.6</v>
      </c>
      <c r="G313" s="4" t="e">
        <f aca="false">(F313-#REF!)/#REF!</f>
        <v>#REF!</v>
      </c>
      <c r="H313" s="2" t="n">
        <v>28.54</v>
      </c>
      <c r="I313" s="4" t="e">
        <f aca="false">(H313-#REF!)/#REF!</f>
        <v>#REF!</v>
      </c>
      <c r="J313" s="4" t="n">
        <v>2.80171464705939</v>
      </c>
      <c r="K313" s="4" t="e">
        <f aca="false">(J313-#REF!)/#REF!</f>
        <v>#REF!</v>
      </c>
      <c r="L313" s="1" t="n">
        <v>38.2</v>
      </c>
      <c r="M313" s="4" t="e">
        <f aca="false">(L313-#REF!)/#REF!</f>
        <v>#REF!</v>
      </c>
      <c r="N313" s="1" t="n">
        <v>52.5</v>
      </c>
      <c r="O313" s="4" t="e">
        <f aca="false">(N313-#REF!)/#REF!</f>
        <v>#REF!</v>
      </c>
      <c r="P313" s="1" t="n">
        <v>152.4</v>
      </c>
      <c r="Q313" s="4" t="e">
        <f aca="false">(P313-#REF!)/#REF!</f>
        <v>#REF!</v>
      </c>
      <c r="R313" s="1" t="n">
        <v>381</v>
      </c>
      <c r="S313" s="4" t="e">
        <f aca="false">(R313-#REF!)/#REF!</f>
        <v>#REF!</v>
      </c>
      <c r="T313" s="1" t="n">
        <f aca="false">R313-N313</f>
        <v>328.5</v>
      </c>
      <c r="U313" s="4" t="e">
        <f aca="false">(T313-#REF!)/#REF!</f>
        <v>#REF!</v>
      </c>
      <c r="V313" s="1" t="n">
        <v>1290</v>
      </c>
      <c r="W313" s="4" t="e">
        <f aca="false">(V313-#REF!)/#REF!</f>
        <v>#REF!</v>
      </c>
      <c r="X313" s="28" t="n">
        <v>0.0222167111000889</v>
      </c>
      <c r="Y313" s="4" t="e">
        <f aca="false">(X313-#REF!)/#REF!</f>
        <v>#REF!</v>
      </c>
      <c r="Z313" s="27" t="n">
        <v>245.231719913046</v>
      </c>
      <c r="AA313" s="4" t="e">
        <f aca="false">(Z313-#REF!)/#REF!</f>
        <v>#REF!</v>
      </c>
      <c r="AB313" s="3" t="n">
        <v>276</v>
      </c>
      <c r="AC313" s="4" t="e">
        <f aca="false">(AB313-#REF!)/#REF!</f>
        <v>#REF!</v>
      </c>
      <c r="AD313" s="25" t="n">
        <v>88.8027</v>
      </c>
      <c r="AE313" s="4" t="e">
        <f aca="false">(AD313-#REF!)/#REF!</f>
        <v>#REF!</v>
      </c>
      <c r="AF313" s="4" t="n">
        <v>0.25</v>
      </c>
      <c r="AG313" s="4"/>
    </row>
    <row r="314" customFormat="false" ht="14.25" hidden="false" customHeight="false" outlineLevel="0" collapsed="false">
      <c r="B314" s="1" t="n">
        <v>28.7</v>
      </c>
      <c r="C314" s="4" t="e">
        <f aca="false">(B314-#REF!)/#REF!</f>
        <v>#REF!</v>
      </c>
      <c r="D314" s="1" t="n">
        <v>2</v>
      </c>
      <c r="E314" s="4" t="e">
        <f aca="false">(D314-#REF!)/#REF!</f>
        <v>#REF!</v>
      </c>
      <c r="F314" s="2" t="n">
        <v>50.6</v>
      </c>
      <c r="G314" s="4" t="e">
        <f aca="false">(F314-#REF!)/#REF!</f>
        <v>#REF!</v>
      </c>
      <c r="H314" s="2" t="n">
        <v>28.54</v>
      </c>
      <c r="I314" s="4" t="e">
        <f aca="false">(H314-#REF!)/#REF!</f>
        <v>#REF!</v>
      </c>
      <c r="J314" s="4" t="n">
        <v>2.80171464705939</v>
      </c>
      <c r="K314" s="4" t="e">
        <f aca="false">(J314-#REF!)/#REF!</f>
        <v>#REF!</v>
      </c>
      <c r="L314" s="1" t="n">
        <v>38.2</v>
      </c>
      <c r="M314" s="4" t="e">
        <f aca="false">(L314-#REF!)/#REF!</f>
        <v>#REF!</v>
      </c>
      <c r="N314" s="1" t="n">
        <v>52.5</v>
      </c>
      <c r="O314" s="4" t="e">
        <f aca="false">(N314-#REF!)/#REF!</f>
        <v>#REF!</v>
      </c>
      <c r="P314" s="1" t="n">
        <v>152.4</v>
      </c>
      <c r="Q314" s="4" t="e">
        <f aca="false">(P314-#REF!)/#REF!</f>
        <v>#REF!</v>
      </c>
      <c r="R314" s="1" t="n">
        <v>381</v>
      </c>
      <c r="S314" s="4" t="e">
        <f aca="false">(R314-#REF!)/#REF!</f>
        <v>#REF!</v>
      </c>
      <c r="T314" s="1" t="n">
        <f aca="false">R314-N314</f>
        <v>328.5</v>
      </c>
      <c r="U314" s="4" t="e">
        <f aca="false">(T314-#REF!)/#REF!</f>
        <v>#REF!</v>
      </c>
      <c r="V314" s="1" t="n">
        <v>1290</v>
      </c>
      <c r="W314" s="4" t="e">
        <f aca="false">(V314-#REF!)/#REF!</f>
        <v>#REF!</v>
      </c>
      <c r="X314" s="28" t="n">
        <v>0.0222167111000889</v>
      </c>
      <c r="Y314" s="4" t="e">
        <f aca="false">(X314-#REF!)/#REF!</f>
        <v>#REF!</v>
      </c>
      <c r="Z314" s="27" t="n">
        <v>275.8</v>
      </c>
      <c r="AA314" s="4" t="e">
        <f aca="false">(Z314-#REF!)/#REF!</f>
        <v>#REF!</v>
      </c>
      <c r="AB314" s="3" t="n">
        <v>276</v>
      </c>
      <c r="AC314" s="4" t="e">
        <f aca="false">(AB314-#REF!)/#REF!</f>
        <v>#REF!</v>
      </c>
      <c r="AD314" s="25" t="n">
        <v>104.615</v>
      </c>
      <c r="AE314" s="4" t="e">
        <f aca="false">(AD314-#REF!)/#REF!</f>
        <v>#REF!</v>
      </c>
      <c r="AF314" s="4" t="n">
        <v>0.29</v>
      </c>
      <c r="AG314" s="4"/>
    </row>
    <row r="315" customFormat="false" ht="14.25" hidden="false" customHeight="false" outlineLevel="0" collapsed="false">
      <c r="A315" s="0" t="s">
        <v>97</v>
      </c>
      <c r="B315" s="1" t="n">
        <v>28.7</v>
      </c>
      <c r="C315" s="4" t="e">
        <f aca="false">(B315-#REF!)/#REF!</f>
        <v>#REF!</v>
      </c>
      <c r="D315" s="1" t="n">
        <v>2</v>
      </c>
      <c r="E315" s="4" t="e">
        <f aca="false">(D315-#REF!)/#REF!</f>
        <v>#REF!</v>
      </c>
      <c r="F315" s="2" t="n">
        <v>50.6</v>
      </c>
      <c r="G315" s="4" t="e">
        <f aca="false">(F315-#REF!)/#REF!</f>
        <v>#REF!</v>
      </c>
      <c r="H315" s="2" t="n">
        <v>27.23</v>
      </c>
      <c r="I315" s="4" t="e">
        <f aca="false">(H315-#REF!)/#REF!</f>
        <v>#REF!</v>
      </c>
      <c r="J315" s="4" t="n">
        <v>2.71531164579845</v>
      </c>
      <c r="K315" s="4" t="e">
        <f aca="false">(J315-#REF!)/#REF!</f>
        <v>#REF!</v>
      </c>
      <c r="L315" s="1" t="n">
        <v>38.2</v>
      </c>
      <c r="M315" s="4" t="e">
        <f aca="false">(L315-#REF!)/#REF!</f>
        <v>#REF!</v>
      </c>
      <c r="N315" s="1" t="n">
        <v>52.5</v>
      </c>
      <c r="O315" s="4" t="e">
        <f aca="false">(N315-#REF!)/#REF!</f>
        <v>#REF!</v>
      </c>
      <c r="P315" s="1" t="n">
        <v>152.4</v>
      </c>
      <c r="Q315" s="4" t="e">
        <f aca="false">(P315-#REF!)/#REF!</f>
        <v>#REF!</v>
      </c>
      <c r="R315" s="1" t="n">
        <v>381</v>
      </c>
      <c r="S315" s="4" t="e">
        <f aca="false">(R315-#REF!)/#REF!</f>
        <v>#REF!</v>
      </c>
      <c r="T315" s="1" t="n">
        <f aca="false">R315-N315</f>
        <v>328.5</v>
      </c>
      <c r="U315" s="4" t="e">
        <f aca="false">(T315-#REF!)/#REF!</f>
        <v>#REF!</v>
      </c>
      <c r="V315" s="1" t="n">
        <v>1290</v>
      </c>
      <c r="W315" s="4" t="e">
        <f aca="false">(V315-#REF!)/#REF!</f>
        <v>#REF!</v>
      </c>
      <c r="X315" s="28" t="n">
        <v>0.0222167111000889</v>
      </c>
      <c r="Y315" s="4" t="e">
        <f aca="false">(X315-#REF!)/#REF!</f>
        <v>#REF!</v>
      </c>
      <c r="Z315" s="27" t="n">
        <v>212.947491588265</v>
      </c>
      <c r="AA315" s="4" t="e">
        <f aca="false">(Z315-#REF!)/#REF!</f>
        <v>#REF!</v>
      </c>
      <c r="AB315" s="3" t="n">
        <v>276</v>
      </c>
      <c r="AC315" s="4" t="e">
        <f aca="false">(AB315-#REF!)/#REF!</f>
        <v>#REF!</v>
      </c>
      <c r="AD315" s="25" t="n">
        <v>77.0378</v>
      </c>
      <c r="AE315" s="4" t="e">
        <f aca="false">(AD315-#REF!)/#REF!</f>
        <v>#REF!</v>
      </c>
      <c r="AF315" s="4" t="n">
        <v>0.17</v>
      </c>
      <c r="AG315" s="4"/>
    </row>
    <row r="316" customFormat="false" ht="14.25" hidden="false" customHeight="false" outlineLevel="0" collapsed="false">
      <c r="A316" s="0" t="s">
        <v>98</v>
      </c>
      <c r="B316" s="1" t="n">
        <v>28.7</v>
      </c>
      <c r="C316" s="4" t="e">
        <f aca="false">(B316-#REF!)/#REF!</f>
        <v>#REF!</v>
      </c>
      <c r="D316" s="1" t="n">
        <v>2</v>
      </c>
      <c r="E316" s="4" t="e">
        <f aca="false">(D316-#REF!)/#REF!</f>
        <v>#REF!</v>
      </c>
      <c r="F316" s="2" t="n">
        <v>50.6</v>
      </c>
      <c r="G316" s="4" t="e">
        <f aca="false">(F316-#REF!)/#REF!</f>
        <v>#REF!</v>
      </c>
      <c r="H316" s="2" t="n">
        <v>28.54</v>
      </c>
      <c r="I316" s="4" t="e">
        <f aca="false">(H316-#REF!)/#REF!</f>
        <v>#REF!</v>
      </c>
      <c r="J316" s="4" t="n">
        <v>2.80171464705939</v>
      </c>
      <c r="K316" s="4" t="e">
        <f aca="false">(J316-#REF!)/#REF!</f>
        <v>#REF!</v>
      </c>
      <c r="L316" s="1" t="n">
        <v>38.2</v>
      </c>
      <c r="M316" s="4" t="e">
        <f aca="false">(L316-#REF!)/#REF!</f>
        <v>#REF!</v>
      </c>
      <c r="N316" s="1" t="n">
        <v>52.5</v>
      </c>
      <c r="O316" s="4" t="e">
        <f aca="false">(N316-#REF!)/#REF!</f>
        <v>#REF!</v>
      </c>
      <c r="P316" s="1" t="n">
        <v>152.4</v>
      </c>
      <c r="Q316" s="4" t="e">
        <f aca="false">(P316-#REF!)/#REF!</f>
        <v>#REF!</v>
      </c>
      <c r="R316" s="1" t="n">
        <v>381</v>
      </c>
      <c r="S316" s="4" t="e">
        <f aca="false">(R316-#REF!)/#REF!</f>
        <v>#REF!</v>
      </c>
      <c r="T316" s="1" t="n">
        <f aca="false">R316-N316</f>
        <v>328.5</v>
      </c>
      <c r="U316" s="4" t="e">
        <f aca="false">(T316-#REF!)/#REF!</f>
        <v>#REF!</v>
      </c>
      <c r="V316" s="1" t="n">
        <v>1290</v>
      </c>
      <c r="W316" s="4" t="e">
        <f aca="false">(V316-#REF!)/#REF!</f>
        <v>#REF!</v>
      </c>
      <c r="X316" s="28" t="n">
        <v>0.0222167111000889</v>
      </c>
      <c r="Y316" s="4" t="e">
        <f aca="false">(X316-#REF!)/#REF!</f>
        <v>#REF!</v>
      </c>
      <c r="Z316" s="27" t="n">
        <v>179.495600322604</v>
      </c>
      <c r="AA316" s="4" t="e">
        <f aca="false">(Z316-#REF!)/#REF!</f>
        <v>#REF!</v>
      </c>
      <c r="AB316" s="3" t="n">
        <v>276</v>
      </c>
      <c r="AC316" s="4" t="e">
        <f aca="false">(AB316-#REF!)/#REF!</f>
        <v>#REF!</v>
      </c>
      <c r="AD316" s="25" t="n">
        <v>64.9985</v>
      </c>
      <c r="AE316" s="4" t="e">
        <f aca="false">(AD316-#REF!)/#REF!</f>
        <v>#REF!</v>
      </c>
      <c r="AF316" s="4" t="n">
        <v>0.15</v>
      </c>
      <c r="AG316" s="4"/>
    </row>
    <row r="317" customFormat="false" ht="14.25" hidden="false" customHeight="false" outlineLevel="0" collapsed="false">
      <c r="B317" s="1" t="n">
        <v>28.7</v>
      </c>
      <c r="C317" s="4" t="e">
        <f aca="false">(B317-#REF!)/#REF!</f>
        <v>#REF!</v>
      </c>
      <c r="D317" s="1" t="n">
        <v>2</v>
      </c>
      <c r="E317" s="4" t="e">
        <f aca="false">(D317-#REF!)/#REF!</f>
        <v>#REF!</v>
      </c>
      <c r="F317" s="2" t="n">
        <v>50.6</v>
      </c>
      <c r="G317" s="4" t="e">
        <f aca="false">(F317-#REF!)/#REF!</f>
        <v>#REF!</v>
      </c>
      <c r="H317" s="2" t="n">
        <v>28.54</v>
      </c>
      <c r="I317" s="4" t="e">
        <f aca="false">(H317-#REF!)/#REF!</f>
        <v>#REF!</v>
      </c>
      <c r="J317" s="4" t="n">
        <v>2.80171464705939</v>
      </c>
      <c r="K317" s="4" t="e">
        <f aca="false">(J317-#REF!)/#REF!</f>
        <v>#REF!</v>
      </c>
      <c r="L317" s="1" t="n">
        <v>38.2</v>
      </c>
      <c r="M317" s="4" t="e">
        <f aca="false">(L317-#REF!)/#REF!</f>
        <v>#REF!</v>
      </c>
      <c r="N317" s="1" t="n">
        <v>52.5</v>
      </c>
      <c r="O317" s="4" t="e">
        <f aca="false">(N317-#REF!)/#REF!</f>
        <v>#REF!</v>
      </c>
      <c r="P317" s="1" t="n">
        <v>152.4</v>
      </c>
      <c r="Q317" s="4" t="e">
        <f aca="false">(P317-#REF!)/#REF!</f>
        <v>#REF!</v>
      </c>
      <c r="R317" s="1" t="n">
        <v>381</v>
      </c>
      <c r="S317" s="4" t="e">
        <f aca="false">(R317-#REF!)/#REF!</f>
        <v>#REF!</v>
      </c>
      <c r="T317" s="1" t="n">
        <f aca="false">R317-N317</f>
        <v>328.5</v>
      </c>
      <c r="U317" s="4" t="e">
        <f aca="false">(T317-#REF!)/#REF!</f>
        <v>#REF!</v>
      </c>
      <c r="V317" s="1" t="n">
        <v>1290</v>
      </c>
      <c r="W317" s="4" t="e">
        <f aca="false">(V317-#REF!)/#REF!</f>
        <v>#REF!</v>
      </c>
      <c r="X317" s="28" t="n">
        <v>0.0222167111000889</v>
      </c>
      <c r="Y317" s="4" t="e">
        <f aca="false">(X317-#REF!)/#REF!</f>
        <v>#REF!</v>
      </c>
      <c r="Z317" s="27" t="n">
        <v>212.742542651488</v>
      </c>
      <c r="AA317" s="4" t="e">
        <f aca="false">(Z317-#REF!)/#REF!</f>
        <v>#REF!</v>
      </c>
      <c r="AB317" s="3" t="n">
        <v>276</v>
      </c>
      <c r="AC317" s="4" t="e">
        <f aca="false">(AB317-#REF!)/#REF!</f>
        <v>#REF!</v>
      </c>
      <c r="AD317" s="25" t="n">
        <v>77.0378</v>
      </c>
      <c r="AE317" s="4" t="e">
        <f aca="false">(AD317-#REF!)/#REF!</f>
        <v>#REF!</v>
      </c>
      <c r="AF317" s="4" t="n">
        <v>0.16</v>
      </c>
      <c r="AG317" s="4"/>
    </row>
    <row r="318" customFormat="false" ht="14.25" hidden="false" customHeight="false" outlineLevel="0" collapsed="false">
      <c r="B318" s="1" t="n">
        <v>28.7</v>
      </c>
      <c r="C318" s="4" t="e">
        <f aca="false">(B318-#REF!)/#REF!</f>
        <v>#REF!</v>
      </c>
      <c r="D318" s="1" t="n">
        <v>2</v>
      </c>
      <c r="E318" s="4" t="e">
        <f aca="false">(D318-#REF!)/#REF!</f>
        <v>#REF!</v>
      </c>
      <c r="F318" s="2" t="n">
        <v>50.6</v>
      </c>
      <c r="G318" s="4" t="e">
        <f aca="false">(F318-#REF!)/#REF!</f>
        <v>#REF!</v>
      </c>
      <c r="H318" s="2" t="n">
        <v>28.54</v>
      </c>
      <c r="I318" s="4" t="e">
        <f aca="false">(H318-#REF!)/#REF!</f>
        <v>#REF!</v>
      </c>
      <c r="J318" s="4" t="n">
        <v>2.80171464705939</v>
      </c>
      <c r="K318" s="4" t="e">
        <f aca="false">(J318-#REF!)/#REF!</f>
        <v>#REF!</v>
      </c>
      <c r="L318" s="1" t="n">
        <v>38.2</v>
      </c>
      <c r="M318" s="4" t="e">
        <f aca="false">(L318-#REF!)/#REF!</f>
        <v>#REF!</v>
      </c>
      <c r="N318" s="1" t="n">
        <v>52.5</v>
      </c>
      <c r="O318" s="4" t="e">
        <f aca="false">(N318-#REF!)/#REF!</f>
        <v>#REF!</v>
      </c>
      <c r="P318" s="1" t="n">
        <v>152.4</v>
      </c>
      <c r="Q318" s="4" t="e">
        <f aca="false">(P318-#REF!)/#REF!</f>
        <v>#REF!</v>
      </c>
      <c r="R318" s="1" t="n">
        <v>381</v>
      </c>
      <c r="S318" s="4" t="e">
        <f aca="false">(R318-#REF!)/#REF!</f>
        <v>#REF!</v>
      </c>
      <c r="T318" s="1" t="n">
        <f aca="false">R318-N318</f>
        <v>328.5</v>
      </c>
      <c r="U318" s="4" t="e">
        <f aca="false">(T318-#REF!)/#REF!</f>
        <v>#REF!</v>
      </c>
      <c r="V318" s="1" t="n">
        <v>1290</v>
      </c>
      <c r="W318" s="4" t="e">
        <f aca="false">(V318-#REF!)/#REF!</f>
        <v>#REF!</v>
      </c>
      <c r="X318" s="28" t="n">
        <v>0.0222167111000889</v>
      </c>
      <c r="Y318" s="4" t="e">
        <f aca="false">(X318-#REF!)/#REF!</f>
        <v>#REF!</v>
      </c>
      <c r="Z318" s="27" t="n">
        <v>245.231719913046</v>
      </c>
      <c r="AA318" s="4" t="e">
        <f aca="false">(Z318-#REF!)/#REF!</f>
        <v>#REF!</v>
      </c>
      <c r="AB318" s="3" t="n">
        <v>276</v>
      </c>
      <c r="AC318" s="4" t="e">
        <f aca="false">(AB318-#REF!)/#REF!</f>
        <v>#REF!</v>
      </c>
      <c r="AD318" s="25" t="n">
        <v>88.8027</v>
      </c>
      <c r="AE318" s="4" t="e">
        <f aca="false">(AD318-#REF!)/#REF!</f>
        <v>#REF!</v>
      </c>
      <c r="AF318" s="4" t="n">
        <v>0.22</v>
      </c>
      <c r="AG318" s="4"/>
    </row>
    <row r="319" customFormat="false" ht="14.25" hidden="false" customHeight="false" outlineLevel="0" collapsed="false">
      <c r="B319" s="1" t="n">
        <v>28.7</v>
      </c>
      <c r="C319" s="4" t="e">
        <f aca="false">(B319-#REF!)/#REF!</f>
        <v>#REF!</v>
      </c>
      <c r="D319" s="1" t="n">
        <v>2</v>
      </c>
      <c r="E319" s="4" t="e">
        <f aca="false">(D319-#REF!)/#REF!</f>
        <v>#REF!</v>
      </c>
      <c r="F319" s="2" t="n">
        <v>50.6</v>
      </c>
      <c r="G319" s="4" t="e">
        <f aca="false">(F319-#REF!)/#REF!</f>
        <v>#REF!</v>
      </c>
      <c r="H319" s="2" t="n">
        <v>28.54</v>
      </c>
      <c r="I319" s="4" t="e">
        <f aca="false">(H319-#REF!)/#REF!</f>
        <v>#REF!</v>
      </c>
      <c r="J319" s="4" t="n">
        <v>2.80171464705939</v>
      </c>
      <c r="K319" s="4" t="e">
        <f aca="false">(J319-#REF!)/#REF!</f>
        <v>#REF!</v>
      </c>
      <c r="L319" s="1" t="n">
        <v>38.2</v>
      </c>
      <c r="M319" s="4" t="e">
        <f aca="false">(L319-#REF!)/#REF!</f>
        <v>#REF!</v>
      </c>
      <c r="N319" s="1" t="n">
        <v>52.5</v>
      </c>
      <c r="O319" s="4" t="e">
        <f aca="false">(N319-#REF!)/#REF!</f>
        <v>#REF!</v>
      </c>
      <c r="P319" s="1" t="n">
        <v>152.4</v>
      </c>
      <c r="Q319" s="4" t="e">
        <f aca="false">(P319-#REF!)/#REF!</f>
        <v>#REF!</v>
      </c>
      <c r="R319" s="1" t="n">
        <v>381</v>
      </c>
      <c r="S319" s="4" t="e">
        <f aca="false">(R319-#REF!)/#REF!</f>
        <v>#REF!</v>
      </c>
      <c r="T319" s="1" t="n">
        <f aca="false">R319-N319</f>
        <v>328.5</v>
      </c>
      <c r="U319" s="4" t="e">
        <f aca="false">(T319-#REF!)/#REF!</f>
        <v>#REF!</v>
      </c>
      <c r="V319" s="1" t="n">
        <v>1290</v>
      </c>
      <c r="W319" s="4" t="e">
        <f aca="false">(V319-#REF!)/#REF!</f>
        <v>#REF!</v>
      </c>
      <c r="X319" s="28" t="n">
        <v>0.0222167111000889</v>
      </c>
      <c r="Y319" s="4" t="e">
        <f aca="false">(X319-#REF!)/#REF!</f>
        <v>#REF!</v>
      </c>
      <c r="Z319" s="27" t="n">
        <v>275.8</v>
      </c>
      <c r="AA319" s="4" t="e">
        <f aca="false">(Z319-#REF!)/#REF!</f>
        <v>#REF!</v>
      </c>
      <c r="AB319" s="3" t="n">
        <v>276</v>
      </c>
      <c r="AC319" s="4" t="e">
        <f aca="false">(AB319-#REF!)/#REF!</f>
        <v>#REF!</v>
      </c>
      <c r="AD319" s="25" t="n">
        <v>104.615</v>
      </c>
      <c r="AE319" s="4" t="e">
        <f aca="false">(AD319-#REF!)/#REF!</f>
        <v>#REF!</v>
      </c>
      <c r="AF319" s="4" t="n">
        <v>0.26</v>
      </c>
      <c r="AG319" s="4"/>
    </row>
    <row r="320" customFormat="false" ht="14.25" hidden="false" customHeight="false" outlineLevel="0" collapsed="false">
      <c r="A320" s="0" t="s">
        <v>99</v>
      </c>
      <c r="B320" s="1" t="n">
        <v>28.7</v>
      </c>
      <c r="C320" s="4" t="e">
        <f aca="false">(B320-#REF!)/#REF!</f>
        <v>#REF!</v>
      </c>
      <c r="D320" s="1" t="n">
        <v>2</v>
      </c>
      <c r="E320" s="4" t="e">
        <f aca="false">(D320-#REF!)/#REF!</f>
        <v>#REF!</v>
      </c>
      <c r="F320" s="2" t="n">
        <v>50.6</v>
      </c>
      <c r="G320" s="4" t="e">
        <f aca="false">(F320-#REF!)/#REF!</f>
        <v>#REF!</v>
      </c>
      <c r="H320" s="2" t="n">
        <v>24.41</v>
      </c>
      <c r="I320" s="4" t="e">
        <f aca="false">(H320-#REF!)/#REF!</f>
        <v>#REF!</v>
      </c>
      <c r="J320" s="4" t="n">
        <v>2.52444806810338</v>
      </c>
      <c r="K320" s="4" t="e">
        <f aca="false">(J320-#REF!)/#REF!</f>
        <v>#REF!</v>
      </c>
      <c r="L320" s="1" t="n">
        <v>38.2</v>
      </c>
      <c r="M320" s="4" t="e">
        <f aca="false">(L320-#REF!)/#REF!</f>
        <v>#REF!</v>
      </c>
      <c r="N320" s="1" t="n">
        <v>52.5</v>
      </c>
      <c r="O320" s="4" t="e">
        <f aca="false">(N320-#REF!)/#REF!</f>
        <v>#REF!</v>
      </c>
      <c r="P320" s="1" t="n">
        <v>152.4</v>
      </c>
      <c r="Q320" s="4" t="e">
        <f aca="false">(P320-#REF!)/#REF!</f>
        <v>#REF!</v>
      </c>
      <c r="R320" s="1" t="n">
        <v>381</v>
      </c>
      <c r="S320" s="4" t="e">
        <f aca="false">(R320-#REF!)/#REF!</f>
        <v>#REF!</v>
      </c>
      <c r="T320" s="1" t="n">
        <f aca="false">R320-N320</f>
        <v>328.5</v>
      </c>
      <c r="U320" s="4" t="e">
        <f aca="false">(T320-#REF!)/#REF!</f>
        <v>#REF!</v>
      </c>
      <c r="V320" s="1" t="n">
        <v>1290</v>
      </c>
      <c r="W320" s="4" t="e">
        <f aca="false">(V320-#REF!)/#REF!</f>
        <v>#REF!</v>
      </c>
      <c r="X320" s="28" t="n">
        <v>0.0222167111000889</v>
      </c>
      <c r="Y320" s="4" t="e">
        <f aca="false">(X320-#REF!)/#REF!</f>
        <v>#REF!</v>
      </c>
      <c r="Z320" s="27" t="n">
        <v>213.428114144873</v>
      </c>
      <c r="AA320" s="4" t="e">
        <f aca="false">(Z320-#REF!)/#REF!</f>
        <v>#REF!</v>
      </c>
      <c r="AB320" s="3" t="n">
        <v>276</v>
      </c>
      <c r="AC320" s="4" t="e">
        <f aca="false">(AB320-#REF!)/#REF!</f>
        <v>#REF!</v>
      </c>
      <c r="AD320" s="25" t="n">
        <v>77.0378</v>
      </c>
      <c r="AE320" s="4" t="e">
        <f aca="false">(AD320-#REF!)/#REF!</f>
        <v>#REF!</v>
      </c>
      <c r="AF320" s="4" t="n">
        <v>0.17</v>
      </c>
      <c r="AG320" s="4"/>
    </row>
    <row r="321" customFormat="false" ht="14.25" hidden="false" customHeight="false" outlineLevel="0" collapsed="false">
      <c r="B321" s="1" t="n">
        <v>28.7</v>
      </c>
      <c r="C321" s="4" t="e">
        <f aca="false">(B321-#REF!)/#REF!</f>
        <v>#REF!</v>
      </c>
      <c r="D321" s="1" t="n">
        <v>2</v>
      </c>
      <c r="E321" s="4" t="e">
        <f aca="false">(D321-#REF!)/#REF!</f>
        <v>#REF!</v>
      </c>
      <c r="F321" s="2" t="n">
        <v>50.6</v>
      </c>
      <c r="G321" s="4" t="e">
        <f aca="false">(F321-#REF!)/#REF!</f>
        <v>#REF!</v>
      </c>
      <c r="H321" s="2" t="n">
        <v>24.41</v>
      </c>
      <c r="I321" s="4" t="e">
        <f aca="false">(H321-#REF!)/#REF!</f>
        <v>#REF!</v>
      </c>
      <c r="J321" s="4" t="n">
        <v>2.52444806810338</v>
      </c>
      <c r="K321" s="4" t="e">
        <f aca="false">(J321-#REF!)/#REF!</f>
        <v>#REF!</v>
      </c>
      <c r="L321" s="1" t="n">
        <v>38.2</v>
      </c>
      <c r="M321" s="4" t="e">
        <f aca="false">(L321-#REF!)/#REF!</f>
        <v>#REF!</v>
      </c>
      <c r="N321" s="1" t="n">
        <v>52.5</v>
      </c>
      <c r="O321" s="4" t="e">
        <f aca="false">(N321-#REF!)/#REF!</f>
        <v>#REF!</v>
      </c>
      <c r="P321" s="1" t="n">
        <v>152.4</v>
      </c>
      <c r="Q321" s="4" t="e">
        <f aca="false">(P321-#REF!)/#REF!</f>
        <v>#REF!</v>
      </c>
      <c r="R321" s="1" t="n">
        <v>381</v>
      </c>
      <c r="S321" s="4" t="e">
        <f aca="false">(R321-#REF!)/#REF!</f>
        <v>#REF!</v>
      </c>
      <c r="T321" s="1" t="n">
        <f aca="false">R321-N321</f>
        <v>328.5</v>
      </c>
      <c r="U321" s="4" t="e">
        <f aca="false">(T321-#REF!)/#REF!</f>
        <v>#REF!</v>
      </c>
      <c r="V321" s="1" t="n">
        <v>1290</v>
      </c>
      <c r="W321" s="4" t="e">
        <f aca="false">(V321-#REF!)/#REF!</f>
        <v>#REF!</v>
      </c>
      <c r="X321" s="28" t="n">
        <v>0.0222167111000889</v>
      </c>
      <c r="Y321" s="4" t="e">
        <f aca="false">(X321-#REF!)/#REF!</f>
        <v>#REF!</v>
      </c>
      <c r="Z321" s="27" t="n">
        <v>246.021989101103</v>
      </c>
      <c r="AA321" s="4" t="e">
        <f aca="false">(Z321-#REF!)/#REF!</f>
        <v>#REF!</v>
      </c>
      <c r="AB321" s="3" t="n">
        <v>276</v>
      </c>
      <c r="AC321" s="4" t="e">
        <f aca="false">(AB321-#REF!)/#REF!</f>
        <v>#REF!</v>
      </c>
      <c r="AD321" s="25" t="n">
        <v>88.8027</v>
      </c>
      <c r="AE321" s="4" t="e">
        <f aca="false">(AD321-#REF!)/#REF!</f>
        <v>#REF!</v>
      </c>
      <c r="AF321" s="4" t="n">
        <v>0.2</v>
      </c>
      <c r="AG321" s="4"/>
    </row>
    <row r="322" customFormat="false" ht="14.25" hidden="false" customHeight="false" outlineLevel="0" collapsed="false">
      <c r="B322" s="1" t="n">
        <v>28.7</v>
      </c>
      <c r="C322" s="4" t="e">
        <f aca="false">(B322-#REF!)/#REF!</f>
        <v>#REF!</v>
      </c>
      <c r="D322" s="1" t="n">
        <v>2</v>
      </c>
      <c r="E322" s="4" t="e">
        <f aca="false">(D322-#REF!)/#REF!</f>
        <v>#REF!</v>
      </c>
      <c r="F322" s="2" t="n">
        <v>50.6</v>
      </c>
      <c r="G322" s="4" t="e">
        <f aca="false">(F322-#REF!)/#REF!</f>
        <v>#REF!</v>
      </c>
      <c r="H322" s="2" t="n">
        <v>24.41</v>
      </c>
      <c r="I322" s="4" t="e">
        <f aca="false">(H322-#REF!)/#REF!</f>
        <v>#REF!</v>
      </c>
      <c r="J322" s="4" t="n">
        <v>2.52444806810338</v>
      </c>
      <c r="K322" s="4" t="e">
        <f aca="false">(J322-#REF!)/#REF!</f>
        <v>#REF!</v>
      </c>
      <c r="L322" s="1" t="n">
        <v>38.2</v>
      </c>
      <c r="M322" s="4" t="e">
        <f aca="false">(L322-#REF!)/#REF!</f>
        <v>#REF!</v>
      </c>
      <c r="N322" s="1" t="n">
        <v>52.5</v>
      </c>
      <c r="O322" s="4" t="e">
        <f aca="false">(N322-#REF!)/#REF!</f>
        <v>#REF!</v>
      </c>
      <c r="P322" s="1" t="n">
        <v>152.4</v>
      </c>
      <c r="Q322" s="4" t="e">
        <f aca="false">(P322-#REF!)/#REF!</f>
        <v>#REF!</v>
      </c>
      <c r="R322" s="1" t="n">
        <v>381</v>
      </c>
      <c r="S322" s="4" t="e">
        <f aca="false">(R322-#REF!)/#REF!</f>
        <v>#REF!</v>
      </c>
      <c r="T322" s="1" t="n">
        <f aca="false">R322-N322</f>
        <v>328.5</v>
      </c>
      <c r="U322" s="4" t="e">
        <f aca="false">(T322-#REF!)/#REF!</f>
        <v>#REF!</v>
      </c>
      <c r="V322" s="1" t="n">
        <v>1290</v>
      </c>
      <c r="W322" s="4" t="e">
        <f aca="false">(V322-#REF!)/#REF!</f>
        <v>#REF!</v>
      </c>
      <c r="X322" s="28" t="n">
        <v>0.0222167111000889</v>
      </c>
      <c r="Y322" s="4" t="e">
        <f aca="false">(X322-#REF!)/#REF!</f>
        <v>#REF!</v>
      </c>
      <c r="Z322" s="27" t="n">
        <v>275.8</v>
      </c>
      <c r="AA322" s="4" t="e">
        <f aca="false">(Z322-#REF!)/#REF!</f>
        <v>#REF!</v>
      </c>
      <c r="AB322" s="3" t="n">
        <v>276</v>
      </c>
      <c r="AC322" s="4" t="e">
        <f aca="false">(AB322-#REF!)/#REF!</f>
        <v>#REF!</v>
      </c>
      <c r="AD322" s="25" t="n">
        <v>104.615</v>
      </c>
      <c r="AE322" s="4" t="e">
        <f aca="false">(AD322-#REF!)/#REF!</f>
        <v>#REF!</v>
      </c>
      <c r="AF322" s="4" t="n">
        <v>0.24</v>
      </c>
      <c r="AG322" s="4"/>
    </row>
    <row r="323" customFormat="false" ht="14.25" hidden="false" customHeight="false" outlineLevel="0" collapsed="false">
      <c r="A323" s="0" t="s">
        <v>100</v>
      </c>
      <c r="B323" s="1" t="n">
        <v>32.3</v>
      </c>
      <c r="C323" s="4" t="e">
        <f aca="false">(B323-#REF!)/#REF!</f>
        <v>#REF!</v>
      </c>
      <c r="D323" s="1" t="n">
        <v>1</v>
      </c>
      <c r="E323" s="4" t="e">
        <f aca="false">(D323-#REF!)/#REF!</f>
        <v>#REF!</v>
      </c>
      <c r="F323" s="2" t="n">
        <v>60</v>
      </c>
      <c r="G323" s="4" t="e">
        <f aca="false">(F323-#REF!)/#REF!</f>
        <v>#REF!</v>
      </c>
      <c r="H323" s="2" t="n">
        <v>24.61</v>
      </c>
      <c r="I323" s="4" t="e">
        <f aca="false">(H323-#REF!)/#REF!</f>
        <v>#REF!</v>
      </c>
      <c r="J323" s="4" t="n">
        <v>2.53821845332793</v>
      </c>
      <c r="K323" s="4" t="e">
        <f aca="false">(J323-#REF!)/#REF!</f>
        <v>#REF!</v>
      </c>
      <c r="L323" s="1" t="n">
        <v>38.3</v>
      </c>
      <c r="M323" s="4" t="e">
        <f aca="false">(L323-#REF!)/#REF!</f>
        <v>#REF!</v>
      </c>
      <c r="N323" s="1" t="n">
        <v>54.4</v>
      </c>
      <c r="O323" s="4" t="e">
        <f aca="false">(N323-#REF!)/#REF!</f>
        <v>#REF!</v>
      </c>
      <c r="P323" s="1" t="n">
        <v>152.4</v>
      </c>
      <c r="Q323" s="4" t="e">
        <f aca="false">(P323-#REF!)/#REF!</f>
        <v>#REF!</v>
      </c>
      <c r="R323" s="1" t="n">
        <v>381</v>
      </c>
      <c r="S323" s="4" t="e">
        <f aca="false">(R323-#REF!)/#REF!</f>
        <v>#REF!</v>
      </c>
      <c r="T323" s="1" t="n">
        <f aca="false">R323-N323</f>
        <v>326.6</v>
      </c>
      <c r="U323" s="4" t="e">
        <f aca="false">(T323-#REF!)/#REF!</f>
        <v>#REF!</v>
      </c>
      <c r="V323" s="1" t="n">
        <v>819</v>
      </c>
      <c r="W323" s="4" t="e">
        <f aca="false">(V323-#REF!)/#REF!</f>
        <v>#REF!</v>
      </c>
      <c r="X323" s="28" t="n">
        <v>0.0141050282100564</v>
      </c>
      <c r="Y323" s="4" t="e">
        <f aca="false">(X323-#REF!)/#REF!</f>
        <v>#REF!</v>
      </c>
      <c r="Z323" s="27" t="n">
        <v>170.803299154682</v>
      </c>
      <c r="AA323" s="4" t="e">
        <f aca="false">(Z323-#REF!)/#REF!</f>
        <v>#REF!</v>
      </c>
      <c r="AB323" s="3" t="n">
        <v>276</v>
      </c>
      <c r="AC323" s="4" t="e">
        <f aca="false">(AB323-#REF!)/#REF!</f>
        <v>#REF!</v>
      </c>
      <c r="AD323" s="25" t="n">
        <v>39.9595</v>
      </c>
      <c r="AE323" s="4" t="e">
        <f aca="false">(AD323-#REF!)/#REF!</f>
        <v>#REF!</v>
      </c>
      <c r="AF323" s="4" t="n">
        <v>0.17</v>
      </c>
      <c r="AG323" s="4"/>
    </row>
    <row r="324" customFormat="false" ht="14.25" hidden="false" customHeight="false" outlineLevel="0" collapsed="false">
      <c r="B324" s="1" t="n">
        <v>32.3</v>
      </c>
      <c r="C324" s="4" t="e">
        <f aca="false">(B324-#REF!)/#REF!</f>
        <v>#REF!</v>
      </c>
      <c r="D324" s="1" t="n">
        <v>1</v>
      </c>
      <c r="E324" s="4" t="e">
        <f aca="false">(D324-#REF!)/#REF!</f>
        <v>#REF!</v>
      </c>
      <c r="F324" s="2" t="n">
        <v>60</v>
      </c>
      <c r="G324" s="4" t="e">
        <f aca="false">(F324-#REF!)/#REF!</f>
        <v>#REF!</v>
      </c>
      <c r="H324" s="2" t="n">
        <v>24.61</v>
      </c>
      <c r="I324" s="4" t="e">
        <f aca="false">(H324-#REF!)/#REF!</f>
        <v>#REF!</v>
      </c>
      <c r="J324" s="4" t="n">
        <v>2.53821845332793</v>
      </c>
      <c r="K324" s="4" t="e">
        <f aca="false">(J324-#REF!)/#REF!</f>
        <v>#REF!</v>
      </c>
      <c r="L324" s="1" t="n">
        <v>38.3</v>
      </c>
      <c r="M324" s="4" t="e">
        <f aca="false">(L324-#REF!)/#REF!</f>
        <v>#REF!</v>
      </c>
      <c r="N324" s="1" t="n">
        <v>54.4</v>
      </c>
      <c r="O324" s="4" t="e">
        <f aca="false">(N324-#REF!)/#REF!</f>
        <v>#REF!</v>
      </c>
      <c r="P324" s="1" t="n">
        <v>152.4</v>
      </c>
      <c r="Q324" s="4" t="e">
        <f aca="false">(P324-#REF!)/#REF!</f>
        <v>#REF!</v>
      </c>
      <c r="R324" s="1" t="n">
        <v>381</v>
      </c>
      <c r="S324" s="4" t="e">
        <f aca="false">(R324-#REF!)/#REF!</f>
        <v>#REF!</v>
      </c>
      <c r="T324" s="1" t="n">
        <f aca="false">R324-N324</f>
        <v>326.6</v>
      </c>
      <c r="U324" s="4" t="e">
        <f aca="false">(T324-#REF!)/#REF!</f>
        <v>#REF!</v>
      </c>
      <c r="V324" s="1" t="n">
        <v>819</v>
      </c>
      <c r="W324" s="4" t="e">
        <f aca="false">(V324-#REF!)/#REF!</f>
        <v>#REF!</v>
      </c>
      <c r="X324" s="28" t="n">
        <v>0.0141050282100564</v>
      </c>
      <c r="Y324" s="4" t="e">
        <f aca="false">(X324-#REF!)/#REF!</f>
        <v>#REF!</v>
      </c>
      <c r="Z324" s="27" t="n">
        <v>210.242000847909</v>
      </c>
      <c r="AA324" s="4" t="e">
        <f aca="false">(Z324-#REF!)/#REF!</f>
        <v>#REF!</v>
      </c>
      <c r="AB324" s="3" t="n">
        <v>276</v>
      </c>
      <c r="AC324" s="4" t="e">
        <f aca="false">(AB324-#REF!)/#REF!</f>
        <v>#REF!</v>
      </c>
      <c r="AD324" s="25" t="n">
        <v>49.1862</v>
      </c>
      <c r="AE324" s="4" t="e">
        <f aca="false">(AD324-#REF!)/#REF!</f>
        <v>#REF!</v>
      </c>
      <c r="AF324" s="4" t="n">
        <v>0.23</v>
      </c>
      <c r="AG324" s="4"/>
    </row>
    <row r="325" customFormat="false" ht="14.25" hidden="false" customHeight="false" outlineLevel="0" collapsed="false">
      <c r="B325" s="1" t="n">
        <v>32.3</v>
      </c>
      <c r="C325" s="4" t="e">
        <f aca="false">(B325-#REF!)/#REF!</f>
        <v>#REF!</v>
      </c>
      <c r="D325" s="1" t="n">
        <v>1</v>
      </c>
      <c r="E325" s="4" t="e">
        <f aca="false">(D325-#REF!)/#REF!</f>
        <v>#REF!</v>
      </c>
      <c r="F325" s="2" t="n">
        <v>60</v>
      </c>
      <c r="G325" s="4" t="e">
        <f aca="false">(F325-#REF!)/#REF!</f>
        <v>#REF!</v>
      </c>
      <c r="H325" s="2" t="n">
        <v>24.61</v>
      </c>
      <c r="I325" s="4" t="e">
        <f aca="false">(H325-#REF!)/#REF!</f>
        <v>#REF!</v>
      </c>
      <c r="J325" s="4" t="n">
        <v>2.53821845332793</v>
      </c>
      <c r="K325" s="4" t="e">
        <f aca="false">(J325-#REF!)/#REF!</f>
        <v>#REF!</v>
      </c>
      <c r="L325" s="1" t="n">
        <v>38.3</v>
      </c>
      <c r="M325" s="4" t="e">
        <f aca="false">(L325-#REF!)/#REF!</f>
        <v>#REF!</v>
      </c>
      <c r="N325" s="1" t="n">
        <v>54.4</v>
      </c>
      <c r="O325" s="4" t="e">
        <f aca="false">(N325-#REF!)/#REF!</f>
        <v>#REF!</v>
      </c>
      <c r="P325" s="1" t="n">
        <v>152.4</v>
      </c>
      <c r="Q325" s="4" t="e">
        <f aca="false">(P325-#REF!)/#REF!</f>
        <v>#REF!</v>
      </c>
      <c r="R325" s="1" t="n">
        <v>381</v>
      </c>
      <c r="S325" s="4" t="e">
        <f aca="false">(R325-#REF!)/#REF!</f>
        <v>#REF!</v>
      </c>
      <c r="T325" s="1" t="n">
        <f aca="false">R325-N325</f>
        <v>326.6</v>
      </c>
      <c r="U325" s="4" t="e">
        <f aca="false">(T325-#REF!)/#REF!</f>
        <v>#REF!</v>
      </c>
      <c r="V325" s="1" t="n">
        <v>819</v>
      </c>
      <c r="W325" s="4" t="e">
        <f aca="false">(V325-#REF!)/#REF!</f>
        <v>#REF!</v>
      </c>
      <c r="X325" s="28" t="n">
        <v>0.0141050282100564</v>
      </c>
      <c r="Y325" s="4" t="e">
        <f aca="false">(X325-#REF!)/#REF!</f>
        <v>#REF!</v>
      </c>
      <c r="Z325" s="27" t="n">
        <v>245.135722048608</v>
      </c>
      <c r="AA325" s="4" t="e">
        <f aca="false">(Z325-#REF!)/#REF!</f>
        <v>#REF!</v>
      </c>
      <c r="AB325" s="3" t="n">
        <v>276</v>
      </c>
      <c r="AC325" s="4" t="e">
        <f aca="false">(AB325-#REF!)/#REF!</f>
        <v>#REF!</v>
      </c>
      <c r="AD325" s="25" t="n">
        <v>57.3496</v>
      </c>
      <c r="AE325" s="4" t="e">
        <f aca="false">(AD325-#REF!)/#REF!</f>
        <v>#REF!</v>
      </c>
      <c r="AF325" s="4" t="n">
        <v>0.27</v>
      </c>
      <c r="AG325" s="4"/>
    </row>
    <row r="326" customFormat="false" ht="14.25" hidden="false" customHeight="false" outlineLevel="0" collapsed="false">
      <c r="B326" s="1" t="n">
        <v>32.3</v>
      </c>
      <c r="C326" s="4" t="e">
        <f aca="false">(B326-#REF!)/#REF!</f>
        <v>#REF!</v>
      </c>
      <c r="D326" s="1" t="n">
        <v>1</v>
      </c>
      <c r="E326" s="4" t="e">
        <f aca="false">(D326-#REF!)/#REF!</f>
        <v>#REF!</v>
      </c>
      <c r="F326" s="2" t="n">
        <v>60</v>
      </c>
      <c r="G326" s="4" t="e">
        <f aca="false">(F326-#REF!)/#REF!</f>
        <v>#REF!</v>
      </c>
      <c r="H326" s="2" t="n">
        <v>24.61</v>
      </c>
      <c r="I326" s="4" t="e">
        <f aca="false">(H326-#REF!)/#REF!</f>
        <v>#REF!</v>
      </c>
      <c r="J326" s="4" t="n">
        <v>2.53821845332793</v>
      </c>
      <c r="K326" s="4" t="e">
        <f aca="false">(J326-#REF!)/#REF!</f>
        <v>#REF!</v>
      </c>
      <c r="L326" s="1" t="n">
        <v>38.3</v>
      </c>
      <c r="M326" s="4" t="e">
        <f aca="false">(L326-#REF!)/#REF!</f>
        <v>#REF!</v>
      </c>
      <c r="N326" s="1" t="n">
        <v>54.4</v>
      </c>
      <c r="O326" s="4" t="e">
        <f aca="false">(N326-#REF!)/#REF!</f>
        <v>#REF!</v>
      </c>
      <c r="P326" s="1" t="n">
        <v>152.4</v>
      </c>
      <c r="Q326" s="4" t="e">
        <f aca="false">(P326-#REF!)/#REF!</f>
        <v>#REF!</v>
      </c>
      <c r="R326" s="1" t="n">
        <v>381</v>
      </c>
      <c r="S326" s="4" t="e">
        <f aca="false">(R326-#REF!)/#REF!</f>
        <v>#REF!</v>
      </c>
      <c r="T326" s="1" t="n">
        <f aca="false">R326-N326</f>
        <v>326.6</v>
      </c>
      <c r="U326" s="4" t="e">
        <f aca="false">(T326-#REF!)/#REF!</f>
        <v>#REF!</v>
      </c>
      <c r="V326" s="1" t="n">
        <v>819</v>
      </c>
      <c r="W326" s="4" t="e">
        <f aca="false">(V326-#REF!)/#REF!</f>
        <v>#REF!</v>
      </c>
      <c r="X326" s="28" t="n">
        <v>0.0141050282100564</v>
      </c>
      <c r="Y326" s="4" t="e">
        <f aca="false">(X326-#REF!)/#REF!</f>
        <v>#REF!</v>
      </c>
      <c r="Z326" s="27" t="n">
        <v>270.059808620536</v>
      </c>
      <c r="AA326" s="4" t="e">
        <f aca="false">(Z326-#REF!)/#REF!</f>
        <v>#REF!</v>
      </c>
      <c r="AB326" s="3" t="n">
        <v>276</v>
      </c>
      <c r="AC326" s="4" t="e">
        <f aca="false">(AB326-#REF!)/#REF!</f>
        <v>#REF!</v>
      </c>
      <c r="AD326" s="25" t="n">
        <v>63.1806</v>
      </c>
      <c r="AE326" s="4" t="e">
        <f aca="false">(AD326-#REF!)/#REF!</f>
        <v>#REF!</v>
      </c>
      <c r="AF326" s="4" t="n">
        <v>0.31</v>
      </c>
      <c r="AG326" s="4"/>
    </row>
    <row r="327" customFormat="false" ht="14.25" hidden="false" customHeight="false" outlineLevel="0" collapsed="false">
      <c r="B327" s="1" t="n">
        <v>32.3</v>
      </c>
      <c r="C327" s="4" t="e">
        <f aca="false">(B327-#REF!)/#REF!</f>
        <v>#REF!</v>
      </c>
      <c r="D327" s="1" t="n">
        <v>1</v>
      </c>
      <c r="E327" s="4" t="e">
        <f aca="false">(D327-#REF!)/#REF!</f>
        <v>#REF!</v>
      </c>
      <c r="F327" s="2" t="n">
        <v>60</v>
      </c>
      <c r="G327" s="4" t="e">
        <f aca="false">(F327-#REF!)/#REF!</f>
        <v>#REF!</v>
      </c>
      <c r="H327" s="2" t="n">
        <v>24.61</v>
      </c>
      <c r="I327" s="4" t="e">
        <f aca="false">(H327-#REF!)/#REF!</f>
        <v>#REF!</v>
      </c>
      <c r="J327" s="4" t="n">
        <v>2.53821845332793</v>
      </c>
      <c r="K327" s="4" t="e">
        <f aca="false">(J327-#REF!)/#REF!</f>
        <v>#REF!</v>
      </c>
      <c r="L327" s="1" t="n">
        <v>38.3</v>
      </c>
      <c r="M327" s="4" t="e">
        <f aca="false">(L327-#REF!)/#REF!</f>
        <v>#REF!</v>
      </c>
      <c r="N327" s="1" t="n">
        <v>54.4</v>
      </c>
      <c r="O327" s="4" t="e">
        <f aca="false">(N327-#REF!)/#REF!</f>
        <v>#REF!</v>
      </c>
      <c r="P327" s="1" t="n">
        <v>152.4</v>
      </c>
      <c r="Q327" s="4" t="e">
        <f aca="false">(P327-#REF!)/#REF!</f>
        <v>#REF!</v>
      </c>
      <c r="R327" s="1" t="n">
        <v>381</v>
      </c>
      <c r="S327" s="4" t="e">
        <f aca="false">(R327-#REF!)/#REF!</f>
        <v>#REF!</v>
      </c>
      <c r="T327" s="1" t="n">
        <f aca="false">R327-N327</f>
        <v>326.6</v>
      </c>
      <c r="U327" s="4" t="e">
        <f aca="false">(T327-#REF!)/#REF!</f>
        <v>#REF!</v>
      </c>
      <c r="V327" s="1" t="n">
        <v>819</v>
      </c>
      <c r="W327" s="4" t="e">
        <f aca="false">(V327-#REF!)/#REF!</f>
        <v>#REF!</v>
      </c>
      <c r="X327" s="28" t="n">
        <v>0.0141050282100564</v>
      </c>
      <c r="Y327" s="4" t="e">
        <f aca="false">(X327-#REF!)/#REF!</f>
        <v>#REF!</v>
      </c>
      <c r="Z327" s="27" t="n">
        <v>275.8</v>
      </c>
      <c r="AA327" s="4" t="e">
        <f aca="false">(Z327-#REF!)/#REF!</f>
        <v>#REF!</v>
      </c>
      <c r="AB327" s="3" t="n">
        <v>276</v>
      </c>
      <c r="AC327" s="4" t="e">
        <f aca="false">(AB327-#REF!)/#REF!</f>
        <v>#REF!</v>
      </c>
      <c r="AD327" s="25" t="n">
        <v>67.1251</v>
      </c>
      <c r="AE327" s="4" t="e">
        <f aca="false">(AD327-#REF!)/#REF!</f>
        <v>#REF!</v>
      </c>
      <c r="AF327" s="4" t="n">
        <v>0.35</v>
      </c>
      <c r="AG327" s="4"/>
    </row>
    <row r="328" customFormat="false" ht="14.25" hidden="false" customHeight="false" outlineLevel="0" collapsed="false">
      <c r="A328" s="0" t="s">
        <v>101</v>
      </c>
      <c r="B328" s="1" t="n">
        <v>32.3</v>
      </c>
      <c r="C328" s="4" t="e">
        <f aca="false">(B328-#REF!)/#REF!</f>
        <v>#REF!</v>
      </c>
      <c r="D328" s="1" t="n">
        <v>1</v>
      </c>
      <c r="E328" s="4" t="e">
        <f aca="false">(D328-#REF!)/#REF!</f>
        <v>#REF!</v>
      </c>
      <c r="F328" s="2" t="n">
        <v>60</v>
      </c>
      <c r="G328" s="4" t="e">
        <f aca="false">(F328-#REF!)/#REF!</f>
        <v>#REF!</v>
      </c>
      <c r="H328" s="2" t="n">
        <v>28.68</v>
      </c>
      <c r="I328" s="4" t="e">
        <f aca="false">(H328-#REF!)/#REF!</f>
        <v>#REF!</v>
      </c>
      <c r="J328" s="4" t="n">
        <v>2.81086951894943</v>
      </c>
      <c r="K328" s="4" t="e">
        <f aca="false">(J328-#REF!)/#REF!</f>
        <v>#REF!</v>
      </c>
      <c r="L328" s="1" t="n">
        <v>38.3</v>
      </c>
      <c r="M328" s="4" t="e">
        <f aca="false">(L328-#REF!)/#REF!</f>
        <v>#REF!</v>
      </c>
      <c r="N328" s="1" t="n">
        <v>54.4</v>
      </c>
      <c r="O328" s="4" t="e">
        <f aca="false">(N328-#REF!)/#REF!</f>
        <v>#REF!</v>
      </c>
      <c r="P328" s="1" t="n">
        <v>152.4</v>
      </c>
      <c r="Q328" s="4" t="e">
        <f aca="false">(P328-#REF!)/#REF!</f>
        <v>#REF!</v>
      </c>
      <c r="R328" s="1" t="n">
        <v>381</v>
      </c>
      <c r="S328" s="4" t="e">
        <f aca="false">(R328-#REF!)/#REF!</f>
        <v>#REF!</v>
      </c>
      <c r="T328" s="1" t="n">
        <f aca="false">R328-N328</f>
        <v>326.6</v>
      </c>
      <c r="U328" s="4" t="e">
        <f aca="false">(T328-#REF!)/#REF!</f>
        <v>#REF!</v>
      </c>
      <c r="V328" s="1" t="n">
        <v>819</v>
      </c>
      <c r="W328" s="4" t="e">
        <f aca="false">(V328-#REF!)/#REF!</f>
        <v>#REF!</v>
      </c>
      <c r="X328" s="28" t="n">
        <v>0.0141050282100564</v>
      </c>
      <c r="Y328" s="4" t="e">
        <f aca="false">(X328-#REF!)/#REF!</f>
        <v>#REF!</v>
      </c>
      <c r="Z328" s="27" t="n">
        <v>170.327728419202</v>
      </c>
      <c r="AA328" s="4" t="e">
        <f aca="false">(Z328-#REF!)/#REF!</f>
        <v>#REF!</v>
      </c>
      <c r="AB328" s="3" t="n">
        <v>276</v>
      </c>
      <c r="AC328" s="4" t="e">
        <f aca="false">(AB328-#REF!)/#REF!</f>
        <v>#REF!</v>
      </c>
      <c r="AD328" s="25" t="n">
        <v>39.9595</v>
      </c>
      <c r="AE328" s="4" t="e">
        <f aca="false">(AD328-#REF!)/#REF!</f>
        <v>#REF!</v>
      </c>
      <c r="AF328" s="4" t="n">
        <v>0.19</v>
      </c>
      <c r="AG328" s="4"/>
    </row>
    <row r="329" customFormat="false" ht="14.25" hidden="false" customHeight="false" outlineLevel="0" collapsed="false">
      <c r="B329" s="1" t="n">
        <v>32.3</v>
      </c>
      <c r="C329" s="4" t="e">
        <f aca="false">(B329-#REF!)/#REF!</f>
        <v>#REF!</v>
      </c>
      <c r="D329" s="1" t="n">
        <v>1</v>
      </c>
      <c r="E329" s="4" t="e">
        <f aca="false">(D329-#REF!)/#REF!</f>
        <v>#REF!</v>
      </c>
      <c r="F329" s="2" t="n">
        <v>60</v>
      </c>
      <c r="G329" s="4" t="e">
        <f aca="false">(F329-#REF!)/#REF!</f>
        <v>#REF!</v>
      </c>
      <c r="H329" s="2" t="n">
        <v>28.68</v>
      </c>
      <c r="I329" s="4" t="e">
        <f aca="false">(H329-#REF!)/#REF!</f>
        <v>#REF!</v>
      </c>
      <c r="J329" s="4" t="n">
        <v>2.81086951894943</v>
      </c>
      <c r="K329" s="4" t="e">
        <f aca="false">(J329-#REF!)/#REF!</f>
        <v>#REF!</v>
      </c>
      <c r="L329" s="1" t="n">
        <v>38.3</v>
      </c>
      <c r="M329" s="4" t="e">
        <f aca="false">(L329-#REF!)/#REF!</f>
        <v>#REF!</v>
      </c>
      <c r="N329" s="1" t="n">
        <v>54.4</v>
      </c>
      <c r="O329" s="4" t="e">
        <f aca="false">(N329-#REF!)/#REF!</f>
        <v>#REF!</v>
      </c>
      <c r="P329" s="1" t="n">
        <v>152.4</v>
      </c>
      <c r="Q329" s="4" t="e">
        <f aca="false">(P329-#REF!)/#REF!</f>
        <v>#REF!</v>
      </c>
      <c r="R329" s="1" t="n">
        <v>381</v>
      </c>
      <c r="S329" s="4" t="e">
        <f aca="false">(R329-#REF!)/#REF!</f>
        <v>#REF!</v>
      </c>
      <c r="T329" s="1" t="n">
        <f aca="false">R329-N329</f>
        <v>326.6</v>
      </c>
      <c r="U329" s="4" t="e">
        <f aca="false">(T329-#REF!)/#REF!</f>
        <v>#REF!</v>
      </c>
      <c r="V329" s="1" t="n">
        <v>819</v>
      </c>
      <c r="W329" s="4" t="e">
        <f aca="false">(V329-#REF!)/#REF!</f>
        <v>#REF!</v>
      </c>
      <c r="X329" s="28" t="n">
        <v>0.0141050282100564</v>
      </c>
      <c r="Y329" s="4" t="e">
        <f aca="false">(X329-#REF!)/#REF!</f>
        <v>#REF!</v>
      </c>
      <c r="Z329" s="27" t="n">
        <v>209.656620217284</v>
      </c>
      <c r="AA329" s="4" t="e">
        <f aca="false">(Z329-#REF!)/#REF!</f>
        <v>#REF!</v>
      </c>
      <c r="AB329" s="3" t="n">
        <v>276</v>
      </c>
      <c r="AC329" s="4" t="e">
        <f aca="false">(AB329-#REF!)/#REF!</f>
        <v>#REF!</v>
      </c>
      <c r="AD329" s="25" t="n">
        <v>49.1862</v>
      </c>
      <c r="AE329" s="4" t="e">
        <f aca="false">(AD329-#REF!)/#REF!</f>
        <v>#REF!</v>
      </c>
      <c r="AF329" s="4" t="n">
        <v>0.24</v>
      </c>
      <c r="AG329" s="4"/>
    </row>
    <row r="330" customFormat="false" ht="14.25" hidden="false" customHeight="false" outlineLevel="0" collapsed="false">
      <c r="B330" s="1" t="n">
        <v>32.3</v>
      </c>
      <c r="C330" s="4" t="e">
        <f aca="false">(B330-#REF!)/#REF!</f>
        <v>#REF!</v>
      </c>
      <c r="D330" s="1" t="n">
        <v>1</v>
      </c>
      <c r="E330" s="4" t="e">
        <f aca="false">(D330-#REF!)/#REF!</f>
        <v>#REF!</v>
      </c>
      <c r="F330" s="2" t="n">
        <v>60</v>
      </c>
      <c r="G330" s="4" t="e">
        <f aca="false">(F330-#REF!)/#REF!</f>
        <v>#REF!</v>
      </c>
      <c r="H330" s="2" t="n">
        <v>28.68</v>
      </c>
      <c r="I330" s="4" t="e">
        <f aca="false">(H330-#REF!)/#REF!</f>
        <v>#REF!</v>
      </c>
      <c r="J330" s="4" t="n">
        <v>2.81086951894943</v>
      </c>
      <c r="K330" s="4" t="e">
        <f aca="false">(J330-#REF!)/#REF!</f>
        <v>#REF!</v>
      </c>
      <c r="L330" s="1" t="n">
        <v>38.3</v>
      </c>
      <c r="M330" s="4" t="e">
        <f aca="false">(L330-#REF!)/#REF!</f>
        <v>#REF!</v>
      </c>
      <c r="N330" s="1" t="n">
        <v>54.4</v>
      </c>
      <c r="O330" s="4" t="e">
        <f aca="false">(N330-#REF!)/#REF!</f>
        <v>#REF!</v>
      </c>
      <c r="P330" s="1" t="n">
        <v>152.4</v>
      </c>
      <c r="Q330" s="4" t="e">
        <f aca="false">(P330-#REF!)/#REF!</f>
        <v>#REF!</v>
      </c>
      <c r="R330" s="1" t="n">
        <v>381</v>
      </c>
      <c r="S330" s="4" t="e">
        <f aca="false">(R330-#REF!)/#REF!</f>
        <v>#REF!</v>
      </c>
      <c r="T330" s="1" t="n">
        <f aca="false">R330-N330</f>
        <v>326.6</v>
      </c>
      <c r="U330" s="4" t="e">
        <f aca="false">(T330-#REF!)/#REF!</f>
        <v>#REF!</v>
      </c>
      <c r="V330" s="1" t="n">
        <v>819</v>
      </c>
      <c r="W330" s="4" t="e">
        <f aca="false">(V330-#REF!)/#REF!</f>
        <v>#REF!</v>
      </c>
      <c r="X330" s="28" t="n">
        <v>0.0141050282100564</v>
      </c>
      <c r="Y330" s="4" t="e">
        <f aca="false">(X330-#REF!)/#REF!</f>
        <v>#REF!</v>
      </c>
      <c r="Z330" s="27" t="n">
        <v>244.453186194769</v>
      </c>
      <c r="AA330" s="4" t="e">
        <f aca="false">(Z330-#REF!)/#REF!</f>
        <v>#REF!</v>
      </c>
      <c r="AB330" s="3" t="n">
        <v>276</v>
      </c>
      <c r="AC330" s="4" t="e">
        <f aca="false">(AB330-#REF!)/#REF!</f>
        <v>#REF!</v>
      </c>
      <c r="AD330" s="25" t="n">
        <v>57.3496</v>
      </c>
      <c r="AE330" s="4" t="e">
        <f aca="false">(AD330-#REF!)/#REF!</f>
        <v>#REF!</v>
      </c>
      <c r="AF330" s="4" t="n">
        <v>0.29</v>
      </c>
      <c r="AG330" s="4"/>
    </row>
    <row r="331" customFormat="false" ht="14.25" hidden="false" customHeight="false" outlineLevel="0" collapsed="false">
      <c r="B331" s="1" t="n">
        <v>32.3</v>
      </c>
      <c r="C331" s="4" t="e">
        <f aca="false">(B331-#REF!)/#REF!</f>
        <v>#REF!</v>
      </c>
      <c r="D331" s="1" t="n">
        <v>1</v>
      </c>
      <c r="E331" s="4" t="e">
        <f aca="false">(D331-#REF!)/#REF!</f>
        <v>#REF!</v>
      </c>
      <c r="F331" s="2" t="n">
        <v>60</v>
      </c>
      <c r="G331" s="4" t="e">
        <f aca="false">(F331-#REF!)/#REF!</f>
        <v>#REF!</v>
      </c>
      <c r="H331" s="2" t="n">
        <v>28.68</v>
      </c>
      <c r="I331" s="4" t="e">
        <f aca="false">(H331-#REF!)/#REF!</f>
        <v>#REF!</v>
      </c>
      <c r="J331" s="4" t="n">
        <v>2.81086951894943</v>
      </c>
      <c r="K331" s="4" t="e">
        <f aca="false">(J331-#REF!)/#REF!</f>
        <v>#REF!</v>
      </c>
      <c r="L331" s="1" t="n">
        <v>38.3</v>
      </c>
      <c r="M331" s="4" t="e">
        <f aca="false">(L331-#REF!)/#REF!</f>
        <v>#REF!</v>
      </c>
      <c r="N331" s="1" t="n">
        <v>54.4</v>
      </c>
      <c r="O331" s="4" t="e">
        <f aca="false">(N331-#REF!)/#REF!</f>
        <v>#REF!</v>
      </c>
      <c r="P331" s="1" t="n">
        <v>152.4</v>
      </c>
      <c r="Q331" s="4" t="e">
        <f aca="false">(P331-#REF!)/#REF!</f>
        <v>#REF!</v>
      </c>
      <c r="R331" s="1" t="n">
        <v>381</v>
      </c>
      <c r="S331" s="4" t="e">
        <f aca="false">(R331-#REF!)/#REF!</f>
        <v>#REF!</v>
      </c>
      <c r="T331" s="1" t="n">
        <f aca="false">R331-N331</f>
        <v>326.6</v>
      </c>
      <c r="U331" s="4" t="e">
        <f aca="false">(T331-#REF!)/#REF!</f>
        <v>#REF!</v>
      </c>
      <c r="V331" s="1" t="n">
        <v>819</v>
      </c>
      <c r="W331" s="4" t="e">
        <f aca="false">(V331-#REF!)/#REF!</f>
        <v>#REF!</v>
      </c>
      <c r="X331" s="28" t="n">
        <v>0.0141050282100564</v>
      </c>
      <c r="Y331" s="4" t="e">
        <f aca="false">(X331-#REF!)/#REF!</f>
        <v>#REF!</v>
      </c>
      <c r="Z331" s="27" t="n">
        <v>269.307876178686</v>
      </c>
      <c r="AA331" s="4" t="e">
        <f aca="false">(Z331-#REF!)/#REF!</f>
        <v>#REF!</v>
      </c>
      <c r="AB331" s="3" t="n">
        <v>276</v>
      </c>
      <c r="AC331" s="4" t="e">
        <f aca="false">(AB331-#REF!)/#REF!</f>
        <v>#REF!</v>
      </c>
      <c r="AD331" s="25" t="n">
        <v>63.1806</v>
      </c>
      <c r="AE331" s="4" t="e">
        <f aca="false">(AD331-#REF!)/#REF!</f>
        <v>#REF!</v>
      </c>
      <c r="AF331" s="4" t="n">
        <v>0.36</v>
      </c>
      <c r="AG331" s="4"/>
    </row>
    <row r="332" customFormat="false" ht="14.25" hidden="false" customHeight="false" outlineLevel="0" collapsed="false">
      <c r="B332" s="1" t="n">
        <v>32.3</v>
      </c>
      <c r="C332" s="4" t="e">
        <f aca="false">(B332-#REF!)/#REF!</f>
        <v>#REF!</v>
      </c>
      <c r="D332" s="1" t="n">
        <v>1</v>
      </c>
      <c r="E332" s="4" t="e">
        <f aca="false">(D332-#REF!)/#REF!</f>
        <v>#REF!</v>
      </c>
      <c r="F332" s="2" t="n">
        <v>60</v>
      </c>
      <c r="G332" s="4" t="e">
        <f aca="false">(F332-#REF!)/#REF!</f>
        <v>#REF!</v>
      </c>
      <c r="H332" s="2" t="n">
        <v>28.68</v>
      </c>
      <c r="I332" s="4" t="e">
        <f aca="false">(H332-#REF!)/#REF!</f>
        <v>#REF!</v>
      </c>
      <c r="J332" s="4" t="n">
        <v>2.81086951894943</v>
      </c>
      <c r="K332" s="4" t="e">
        <f aca="false">(J332-#REF!)/#REF!</f>
        <v>#REF!</v>
      </c>
      <c r="L332" s="1" t="n">
        <v>38.3</v>
      </c>
      <c r="M332" s="4" t="e">
        <f aca="false">(L332-#REF!)/#REF!</f>
        <v>#REF!</v>
      </c>
      <c r="N332" s="1" t="n">
        <v>54.4</v>
      </c>
      <c r="O332" s="4" t="e">
        <f aca="false">(N332-#REF!)/#REF!</f>
        <v>#REF!</v>
      </c>
      <c r="P332" s="1" t="n">
        <v>152.4</v>
      </c>
      <c r="Q332" s="4" t="e">
        <f aca="false">(P332-#REF!)/#REF!</f>
        <v>#REF!</v>
      </c>
      <c r="R332" s="1" t="n">
        <v>381</v>
      </c>
      <c r="S332" s="4" t="e">
        <f aca="false">(R332-#REF!)/#REF!</f>
        <v>#REF!</v>
      </c>
      <c r="T332" s="1" t="n">
        <f aca="false">R332-N332</f>
        <v>326.6</v>
      </c>
      <c r="U332" s="4" t="e">
        <f aca="false">(T332-#REF!)/#REF!</f>
        <v>#REF!</v>
      </c>
      <c r="V332" s="1" t="n">
        <v>819</v>
      </c>
      <c r="W332" s="4" t="e">
        <f aca="false">(V332-#REF!)/#REF!</f>
        <v>#REF!</v>
      </c>
      <c r="X332" s="28" t="n">
        <v>0.0141050282100564</v>
      </c>
      <c r="Y332" s="4" t="e">
        <f aca="false">(X332-#REF!)/#REF!</f>
        <v>#REF!</v>
      </c>
      <c r="Z332" s="27" t="n">
        <v>275.8</v>
      </c>
      <c r="AA332" s="4" t="e">
        <f aca="false">(Z332-#REF!)/#REF!</f>
        <v>#REF!</v>
      </c>
      <c r="AB332" s="3" t="n">
        <v>276</v>
      </c>
      <c r="AC332" s="4" t="e">
        <f aca="false">(AB332-#REF!)/#REF!</f>
        <v>#REF!</v>
      </c>
      <c r="AD332" s="25" t="n">
        <v>67.1251</v>
      </c>
      <c r="AE332" s="4" t="e">
        <f aca="false">(AD332-#REF!)/#REF!</f>
        <v>#REF!</v>
      </c>
      <c r="AF332" s="4" t="n">
        <v>0.42</v>
      </c>
      <c r="AG332" s="4"/>
    </row>
    <row r="333" customFormat="false" ht="14.25" hidden="false" customHeight="false" outlineLevel="0" collapsed="false">
      <c r="A333" s="0" t="s">
        <v>102</v>
      </c>
      <c r="B333" s="1" t="n">
        <v>28.7</v>
      </c>
      <c r="C333" s="4" t="e">
        <f aca="false">(B333-#REF!)/#REF!</f>
        <v>#REF!</v>
      </c>
      <c r="D333" s="1" t="n">
        <v>2</v>
      </c>
      <c r="E333" s="4" t="e">
        <f aca="false">(D333-#REF!)/#REF!</f>
        <v>#REF!</v>
      </c>
      <c r="F333" s="2" t="n">
        <v>50.6</v>
      </c>
      <c r="G333" s="4" t="e">
        <f aca="false">(F333-#REF!)/#REF!</f>
        <v>#REF!</v>
      </c>
      <c r="H333" s="2" t="n">
        <v>25.17</v>
      </c>
      <c r="I333" s="4" t="e">
        <f aca="false">(H333-#REF!)/#REF!</f>
        <v>#REF!</v>
      </c>
      <c r="J333" s="4" t="n">
        <v>2.57657861790804</v>
      </c>
      <c r="K333" s="4" t="e">
        <f aca="false">(J333-#REF!)/#REF!</f>
        <v>#REF!</v>
      </c>
      <c r="L333" s="1" t="n">
        <v>38</v>
      </c>
      <c r="M333" s="4" t="e">
        <f aca="false">(L333-#REF!)/#REF!</f>
        <v>#REF!</v>
      </c>
      <c r="N333" s="1" t="n">
        <v>52.3</v>
      </c>
      <c r="O333" s="4" t="e">
        <f aca="false">(N333-#REF!)/#REF!</f>
        <v>#REF!</v>
      </c>
      <c r="P333" s="1" t="n">
        <v>152.4</v>
      </c>
      <c r="Q333" s="4" t="e">
        <f aca="false">(P333-#REF!)/#REF!</f>
        <v>#REF!</v>
      </c>
      <c r="R333" s="1" t="n">
        <v>584.2</v>
      </c>
      <c r="S333" s="4" t="e">
        <f aca="false">(R333-#REF!)/#REF!</f>
        <v>#REF!</v>
      </c>
      <c r="T333" s="1" t="n">
        <f aca="false">R333-N333</f>
        <v>531.9</v>
      </c>
      <c r="U333" s="4" t="e">
        <f aca="false">(T333-#REF!)/#REF!</f>
        <v>#REF!</v>
      </c>
      <c r="V333" s="1" t="n">
        <v>1290</v>
      </c>
      <c r="W333" s="4" t="e">
        <f aca="false">(V333-#REF!)/#REF!</f>
        <v>#REF!</v>
      </c>
      <c r="X333" s="28" t="n">
        <v>0.0144891594131014</v>
      </c>
      <c r="Y333" s="4" t="e">
        <f aca="false">(X333-#REF!)/#REF!</f>
        <v>#REF!</v>
      </c>
      <c r="Z333" s="27" t="n">
        <v>183.230305477513</v>
      </c>
      <c r="AA333" s="4" t="e">
        <f aca="false">(Z333-#REF!)/#REF!</f>
        <v>#REF!</v>
      </c>
      <c r="AB333" s="3" t="n">
        <v>276</v>
      </c>
      <c r="AC333" s="4" t="e">
        <f aca="false">(AB333-#REF!)/#REF!</f>
        <v>#REF!</v>
      </c>
      <c r="AD333" s="25" t="n">
        <v>110.208</v>
      </c>
      <c r="AE333" s="4" t="e">
        <f aca="false">(AD333-#REF!)/#REF!</f>
        <v>#REF!</v>
      </c>
      <c r="AF333" s="4" t="n">
        <v>0.18</v>
      </c>
      <c r="AG333" s="4"/>
    </row>
    <row r="334" customFormat="false" ht="14.25" hidden="false" customHeight="false" outlineLevel="0" collapsed="false">
      <c r="B334" s="1" t="n">
        <v>28.7</v>
      </c>
      <c r="C334" s="4" t="e">
        <f aca="false">(B334-#REF!)/#REF!</f>
        <v>#REF!</v>
      </c>
      <c r="D334" s="1" t="n">
        <v>2</v>
      </c>
      <c r="E334" s="4" t="e">
        <f aca="false">(D334-#REF!)/#REF!</f>
        <v>#REF!</v>
      </c>
      <c r="F334" s="2" t="n">
        <v>50.6</v>
      </c>
      <c r="G334" s="4" t="e">
        <f aca="false">(F334-#REF!)/#REF!</f>
        <v>#REF!</v>
      </c>
      <c r="H334" s="2" t="n">
        <v>25.17</v>
      </c>
      <c r="I334" s="4" t="e">
        <f aca="false">(H334-#REF!)/#REF!</f>
        <v>#REF!</v>
      </c>
      <c r="J334" s="4" t="n">
        <v>2.57657861790804</v>
      </c>
      <c r="K334" s="4" t="e">
        <f aca="false">(J334-#REF!)/#REF!</f>
        <v>#REF!</v>
      </c>
      <c r="L334" s="1" t="n">
        <v>38</v>
      </c>
      <c r="M334" s="4" t="e">
        <f aca="false">(L334-#REF!)/#REF!</f>
        <v>#REF!</v>
      </c>
      <c r="N334" s="1" t="n">
        <v>52.3</v>
      </c>
      <c r="O334" s="4" t="e">
        <f aca="false">(N334-#REF!)/#REF!</f>
        <v>#REF!</v>
      </c>
      <c r="P334" s="1" t="n">
        <v>152.4</v>
      </c>
      <c r="Q334" s="4" t="e">
        <f aca="false">(P334-#REF!)/#REF!</f>
        <v>#REF!</v>
      </c>
      <c r="R334" s="1" t="n">
        <v>584.2</v>
      </c>
      <c r="S334" s="4" t="e">
        <f aca="false">(R334-#REF!)/#REF!</f>
        <v>#REF!</v>
      </c>
      <c r="T334" s="1" t="n">
        <f aca="false">R334-N334</f>
        <v>531.9</v>
      </c>
      <c r="U334" s="4" t="e">
        <f aca="false">(T334-#REF!)/#REF!</f>
        <v>#REF!</v>
      </c>
      <c r="V334" s="1" t="n">
        <v>1290</v>
      </c>
      <c r="W334" s="4" t="e">
        <f aca="false">(V334-#REF!)/#REF!</f>
        <v>#REF!</v>
      </c>
      <c r="X334" s="28" t="n">
        <v>0.0144891594131014</v>
      </c>
      <c r="Y334" s="4" t="e">
        <f aca="false">(X334-#REF!)/#REF!</f>
        <v>#REF!</v>
      </c>
      <c r="Z334" s="27" t="n">
        <v>219.890332297519</v>
      </c>
      <c r="AA334" s="4" t="e">
        <f aca="false">(Z334-#REF!)/#REF!</f>
        <v>#REF!</v>
      </c>
      <c r="AB334" s="3" t="n">
        <v>276</v>
      </c>
      <c r="AC334" s="4" t="e">
        <f aca="false">(AB334-#REF!)/#REF!</f>
        <v>#REF!</v>
      </c>
      <c r="AD334" s="25" t="n">
        <v>132.258</v>
      </c>
      <c r="AE334" s="4" t="e">
        <f aca="false">(AD334-#REF!)/#REF!</f>
        <v>#REF!</v>
      </c>
      <c r="AF334" s="4" t="n">
        <v>0.22</v>
      </c>
      <c r="AG334" s="4"/>
    </row>
    <row r="335" customFormat="false" ht="14.25" hidden="false" customHeight="false" outlineLevel="0" collapsed="false">
      <c r="B335" s="1" t="n">
        <v>28.7</v>
      </c>
      <c r="C335" s="4" t="e">
        <f aca="false">(B335-#REF!)/#REF!</f>
        <v>#REF!</v>
      </c>
      <c r="D335" s="1" t="n">
        <v>2</v>
      </c>
      <c r="E335" s="4" t="e">
        <f aca="false">(D335-#REF!)/#REF!</f>
        <v>#REF!</v>
      </c>
      <c r="F335" s="2" t="n">
        <v>50.6</v>
      </c>
      <c r="G335" s="4" t="e">
        <f aca="false">(F335-#REF!)/#REF!</f>
        <v>#REF!</v>
      </c>
      <c r="H335" s="2" t="n">
        <v>25.17</v>
      </c>
      <c r="I335" s="4" t="e">
        <f aca="false">(H335-#REF!)/#REF!</f>
        <v>#REF!</v>
      </c>
      <c r="J335" s="4" t="n">
        <v>2.57657861790804</v>
      </c>
      <c r="K335" s="4" t="e">
        <f aca="false">(J335-#REF!)/#REF!</f>
        <v>#REF!</v>
      </c>
      <c r="L335" s="1" t="n">
        <v>38</v>
      </c>
      <c r="M335" s="4" t="e">
        <f aca="false">(L335-#REF!)/#REF!</f>
        <v>#REF!</v>
      </c>
      <c r="N335" s="1" t="n">
        <v>52.3</v>
      </c>
      <c r="O335" s="4" t="e">
        <f aca="false">(N335-#REF!)/#REF!</f>
        <v>#REF!</v>
      </c>
      <c r="P335" s="1" t="n">
        <v>152.4</v>
      </c>
      <c r="Q335" s="4" t="e">
        <f aca="false">(P335-#REF!)/#REF!</f>
        <v>#REF!</v>
      </c>
      <c r="R335" s="1" t="n">
        <v>584.2</v>
      </c>
      <c r="S335" s="4" t="e">
        <f aca="false">(R335-#REF!)/#REF!</f>
        <v>#REF!</v>
      </c>
      <c r="T335" s="1" t="n">
        <f aca="false">R335-N335</f>
        <v>531.9</v>
      </c>
      <c r="U335" s="4" t="e">
        <f aca="false">(T335-#REF!)/#REF!</f>
        <v>#REF!</v>
      </c>
      <c r="V335" s="1" t="n">
        <v>1290</v>
      </c>
      <c r="W335" s="4" t="e">
        <f aca="false">(V335-#REF!)/#REF!</f>
        <v>#REF!</v>
      </c>
      <c r="X335" s="28" t="n">
        <v>0.0144891594131014</v>
      </c>
      <c r="Y335" s="4" t="e">
        <f aca="false">(X335-#REF!)/#REF!</f>
        <v>#REF!</v>
      </c>
      <c r="Z335" s="27" t="n">
        <v>248.170924415809</v>
      </c>
      <c r="AA335" s="4" t="e">
        <f aca="false">(Z335-#REF!)/#REF!</f>
        <v>#REF!</v>
      </c>
      <c r="AB335" s="3" t="n">
        <v>276</v>
      </c>
      <c r="AC335" s="4" t="e">
        <f aca="false">(AB335-#REF!)/#REF!</f>
        <v>#REF!</v>
      </c>
      <c r="AD335" s="25" t="n">
        <v>149.268</v>
      </c>
      <c r="AE335" s="4" t="e">
        <f aca="false">(AD335-#REF!)/#REF!</f>
        <v>#REF!</v>
      </c>
      <c r="AF335" s="4" t="n">
        <v>0.27</v>
      </c>
      <c r="AG335" s="4"/>
    </row>
    <row r="336" customFormat="false" ht="14.25" hidden="false" customHeight="false" outlineLevel="0" collapsed="false">
      <c r="B336" s="1" t="n">
        <v>28.7</v>
      </c>
      <c r="C336" s="4" t="e">
        <f aca="false">(B336-#REF!)/#REF!</f>
        <v>#REF!</v>
      </c>
      <c r="D336" s="1" t="n">
        <v>2</v>
      </c>
      <c r="E336" s="4" t="e">
        <f aca="false">(D336-#REF!)/#REF!</f>
        <v>#REF!</v>
      </c>
      <c r="F336" s="2" t="n">
        <v>50.6</v>
      </c>
      <c r="G336" s="4" t="e">
        <f aca="false">(F336-#REF!)/#REF!</f>
        <v>#REF!</v>
      </c>
      <c r="H336" s="2" t="n">
        <v>25.17</v>
      </c>
      <c r="I336" s="4" t="e">
        <f aca="false">(H336-#REF!)/#REF!</f>
        <v>#REF!</v>
      </c>
      <c r="J336" s="4" t="n">
        <v>2.57657861790804</v>
      </c>
      <c r="K336" s="4" t="e">
        <f aca="false">(J336-#REF!)/#REF!</f>
        <v>#REF!</v>
      </c>
      <c r="L336" s="1" t="n">
        <v>38</v>
      </c>
      <c r="M336" s="4" t="e">
        <f aca="false">(L336-#REF!)/#REF!</f>
        <v>#REF!</v>
      </c>
      <c r="N336" s="1" t="n">
        <v>52.3</v>
      </c>
      <c r="O336" s="4" t="e">
        <f aca="false">(N336-#REF!)/#REF!</f>
        <v>#REF!</v>
      </c>
      <c r="P336" s="1" t="n">
        <v>152.4</v>
      </c>
      <c r="Q336" s="4" t="e">
        <f aca="false">(P336-#REF!)/#REF!</f>
        <v>#REF!</v>
      </c>
      <c r="R336" s="1" t="n">
        <v>584.2</v>
      </c>
      <c r="S336" s="4" t="e">
        <f aca="false">(R336-#REF!)/#REF!</f>
        <v>#REF!</v>
      </c>
      <c r="T336" s="1" t="n">
        <f aca="false">R336-N336</f>
        <v>531.9</v>
      </c>
      <c r="U336" s="4" t="e">
        <f aca="false">(T336-#REF!)/#REF!</f>
        <v>#REF!</v>
      </c>
      <c r="V336" s="1" t="n">
        <v>1290</v>
      </c>
      <c r="W336" s="4" t="e">
        <f aca="false">(V336-#REF!)/#REF!</f>
        <v>#REF!</v>
      </c>
      <c r="X336" s="28" t="n">
        <v>0.0144891594131014</v>
      </c>
      <c r="Y336" s="4" t="e">
        <f aca="false">(X336-#REF!)/#REF!</f>
        <v>#REF!</v>
      </c>
      <c r="Z336" s="27" t="n">
        <v>275.8</v>
      </c>
      <c r="AA336" s="4" t="e">
        <f aca="false">(Z336-#REF!)/#REF!</f>
        <v>#REF!</v>
      </c>
      <c r="AB336" s="3" t="n">
        <v>276</v>
      </c>
      <c r="AC336" s="4" t="e">
        <f aca="false">(AB336-#REF!)/#REF!</f>
        <v>#REF!</v>
      </c>
      <c r="AD336" s="25" t="n">
        <v>168.882</v>
      </c>
      <c r="AE336" s="4" t="e">
        <f aca="false">(AD336-#REF!)/#REF!</f>
        <v>#REF!</v>
      </c>
      <c r="AF336" s="4" t="n">
        <v>0.32</v>
      </c>
      <c r="AG336" s="4"/>
    </row>
    <row r="337" customFormat="false" ht="14.25" hidden="false" customHeight="false" outlineLevel="0" collapsed="false">
      <c r="A337" s="0" t="s">
        <v>103</v>
      </c>
      <c r="B337" s="1" t="n">
        <v>28.7</v>
      </c>
      <c r="C337" s="4" t="e">
        <f aca="false">(B337-#REF!)/#REF!</f>
        <v>#REF!</v>
      </c>
      <c r="D337" s="1" t="n">
        <v>2</v>
      </c>
      <c r="E337" s="4" t="e">
        <f aca="false">(D337-#REF!)/#REF!</f>
        <v>#REF!</v>
      </c>
      <c r="F337" s="2" t="n">
        <v>50.6</v>
      </c>
      <c r="G337" s="4" t="e">
        <f aca="false">(F337-#REF!)/#REF!</f>
        <v>#REF!</v>
      </c>
      <c r="H337" s="2" t="n">
        <v>25.17</v>
      </c>
      <c r="I337" s="4" t="e">
        <f aca="false">(H337-#REF!)/#REF!</f>
        <v>#REF!</v>
      </c>
      <c r="J337" s="4" t="n">
        <v>2.57657861790804</v>
      </c>
      <c r="K337" s="4" t="e">
        <f aca="false">(J337-#REF!)/#REF!</f>
        <v>#REF!</v>
      </c>
      <c r="L337" s="1" t="n">
        <v>38</v>
      </c>
      <c r="M337" s="4" t="e">
        <f aca="false">(L337-#REF!)/#REF!</f>
        <v>#REF!</v>
      </c>
      <c r="N337" s="1" t="n">
        <v>52.3</v>
      </c>
      <c r="O337" s="4" t="e">
        <f aca="false">(N337-#REF!)/#REF!</f>
        <v>#REF!</v>
      </c>
      <c r="P337" s="1" t="n">
        <v>152.4</v>
      </c>
      <c r="Q337" s="4" t="e">
        <f aca="false">(P337-#REF!)/#REF!</f>
        <v>#REF!</v>
      </c>
      <c r="R337" s="1" t="n">
        <v>584.2</v>
      </c>
      <c r="S337" s="4" t="e">
        <f aca="false">(R337-#REF!)/#REF!</f>
        <v>#REF!</v>
      </c>
      <c r="T337" s="1" t="n">
        <f aca="false">R337-N337</f>
        <v>531.9</v>
      </c>
      <c r="U337" s="4" t="e">
        <f aca="false">(T337-#REF!)/#REF!</f>
        <v>#REF!</v>
      </c>
      <c r="V337" s="1" t="n">
        <v>1290</v>
      </c>
      <c r="W337" s="4" t="e">
        <f aca="false">(V337-#REF!)/#REF!</f>
        <v>#REF!</v>
      </c>
      <c r="X337" s="28" t="n">
        <v>0.0144891594131014</v>
      </c>
      <c r="Y337" s="4" t="e">
        <f aca="false">(X337-#REF!)/#REF!</f>
        <v>#REF!</v>
      </c>
      <c r="Z337" s="27" t="n">
        <v>219.890332297519</v>
      </c>
      <c r="AA337" s="4" t="e">
        <f aca="false">(Z337-#REF!)/#REF!</f>
        <v>#REF!</v>
      </c>
      <c r="AB337" s="3" t="n">
        <v>276</v>
      </c>
      <c r="AC337" s="4" t="e">
        <f aca="false">(AB337-#REF!)/#REF!</f>
        <v>#REF!</v>
      </c>
      <c r="AD337" s="25" t="n">
        <v>132.258</v>
      </c>
      <c r="AE337" s="4" t="e">
        <f aca="false">(AD337-#REF!)/#REF!</f>
        <v>#REF!</v>
      </c>
      <c r="AF337" s="4" t="n">
        <v>0.16</v>
      </c>
      <c r="AG337" s="4"/>
    </row>
    <row r="338" customFormat="false" ht="14.25" hidden="false" customHeight="false" outlineLevel="0" collapsed="false">
      <c r="B338" s="1" t="n">
        <v>28.7</v>
      </c>
      <c r="C338" s="4" t="e">
        <f aca="false">(B338-#REF!)/#REF!</f>
        <v>#REF!</v>
      </c>
      <c r="D338" s="1" t="n">
        <v>2</v>
      </c>
      <c r="E338" s="4" t="e">
        <f aca="false">(D338-#REF!)/#REF!</f>
        <v>#REF!</v>
      </c>
      <c r="F338" s="2" t="n">
        <v>50.6</v>
      </c>
      <c r="G338" s="4" t="e">
        <f aca="false">(F338-#REF!)/#REF!</f>
        <v>#REF!</v>
      </c>
      <c r="H338" s="2" t="n">
        <v>25.17</v>
      </c>
      <c r="I338" s="4" t="e">
        <f aca="false">(H338-#REF!)/#REF!</f>
        <v>#REF!</v>
      </c>
      <c r="J338" s="4" t="n">
        <v>2.57657861790804</v>
      </c>
      <c r="K338" s="4" t="e">
        <f aca="false">(J338-#REF!)/#REF!</f>
        <v>#REF!</v>
      </c>
      <c r="L338" s="1" t="n">
        <v>38</v>
      </c>
      <c r="M338" s="4" t="e">
        <f aca="false">(L338-#REF!)/#REF!</f>
        <v>#REF!</v>
      </c>
      <c r="N338" s="1" t="n">
        <v>52.3</v>
      </c>
      <c r="O338" s="4" t="e">
        <f aca="false">(N338-#REF!)/#REF!</f>
        <v>#REF!</v>
      </c>
      <c r="P338" s="1" t="n">
        <v>152.4</v>
      </c>
      <c r="Q338" s="4" t="e">
        <f aca="false">(P338-#REF!)/#REF!</f>
        <v>#REF!</v>
      </c>
      <c r="R338" s="1" t="n">
        <v>584.2</v>
      </c>
      <c r="S338" s="4" t="e">
        <f aca="false">(R338-#REF!)/#REF!</f>
        <v>#REF!</v>
      </c>
      <c r="T338" s="1" t="n">
        <f aca="false">R338-N338</f>
        <v>531.9</v>
      </c>
      <c r="U338" s="4" t="e">
        <f aca="false">(T338-#REF!)/#REF!</f>
        <v>#REF!</v>
      </c>
      <c r="V338" s="1" t="n">
        <v>1290</v>
      </c>
      <c r="W338" s="4" t="e">
        <f aca="false">(V338-#REF!)/#REF!</f>
        <v>#REF!</v>
      </c>
      <c r="X338" s="28" t="n">
        <v>0.0144891594131014</v>
      </c>
      <c r="Y338" s="4" t="e">
        <f aca="false">(X338-#REF!)/#REF!</f>
        <v>#REF!</v>
      </c>
      <c r="Z338" s="27" t="n">
        <v>248.170924415809</v>
      </c>
      <c r="AA338" s="4" t="e">
        <f aca="false">(Z338-#REF!)/#REF!</f>
        <v>#REF!</v>
      </c>
      <c r="AB338" s="3" t="n">
        <v>276</v>
      </c>
      <c r="AC338" s="4" t="e">
        <f aca="false">(AB338-#REF!)/#REF!</f>
        <v>#REF!</v>
      </c>
      <c r="AD338" s="25" t="n">
        <v>149.268</v>
      </c>
      <c r="AE338" s="4" t="e">
        <f aca="false">(AD338-#REF!)/#REF!</f>
        <v>#REF!</v>
      </c>
      <c r="AF338" s="4" t="n">
        <v>0.19</v>
      </c>
      <c r="AG338" s="4"/>
    </row>
    <row r="339" customFormat="false" ht="14.25" hidden="false" customHeight="false" outlineLevel="0" collapsed="false">
      <c r="B339" s="1" t="n">
        <v>28.7</v>
      </c>
      <c r="C339" s="4" t="e">
        <f aca="false">(B339-#REF!)/#REF!</f>
        <v>#REF!</v>
      </c>
      <c r="D339" s="1" t="n">
        <v>2</v>
      </c>
      <c r="E339" s="4" t="e">
        <f aca="false">(D339-#REF!)/#REF!</f>
        <v>#REF!</v>
      </c>
      <c r="F339" s="2" t="n">
        <v>50.6</v>
      </c>
      <c r="G339" s="4" t="e">
        <f aca="false">(F339-#REF!)/#REF!</f>
        <v>#REF!</v>
      </c>
      <c r="H339" s="2" t="n">
        <v>25.17</v>
      </c>
      <c r="I339" s="4" t="e">
        <f aca="false">(H339-#REF!)/#REF!</f>
        <v>#REF!</v>
      </c>
      <c r="J339" s="4" t="n">
        <v>2.57657861790804</v>
      </c>
      <c r="K339" s="4" t="e">
        <f aca="false">(J339-#REF!)/#REF!</f>
        <v>#REF!</v>
      </c>
      <c r="L339" s="1" t="n">
        <v>38</v>
      </c>
      <c r="M339" s="4" t="e">
        <f aca="false">(L339-#REF!)/#REF!</f>
        <v>#REF!</v>
      </c>
      <c r="N339" s="1" t="n">
        <v>52.3</v>
      </c>
      <c r="O339" s="4" t="e">
        <f aca="false">(N339-#REF!)/#REF!</f>
        <v>#REF!</v>
      </c>
      <c r="P339" s="1" t="n">
        <v>152.4</v>
      </c>
      <c r="Q339" s="4" t="e">
        <f aca="false">(P339-#REF!)/#REF!</f>
        <v>#REF!</v>
      </c>
      <c r="R339" s="1" t="n">
        <v>584.2</v>
      </c>
      <c r="S339" s="4" t="e">
        <f aca="false">(R339-#REF!)/#REF!</f>
        <v>#REF!</v>
      </c>
      <c r="T339" s="1" t="n">
        <f aca="false">R339-N339</f>
        <v>531.9</v>
      </c>
      <c r="U339" s="4" t="e">
        <f aca="false">(T339-#REF!)/#REF!</f>
        <v>#REF!</v>
      </c>
      <c r="V339" s="1" t="n">
        <v>1290</v>
      </c>
      <c r="W339" s="4" t="e">
        <f aca="false">(V339-#REF!)/#REF!</f>
        <v>#REF!</v>
      </c>
      <c r="X339" s="28" t="n">
        <v>0.0144891594131014</v>
      </c>
      <c r="Y339" s="4" t="e">
        <f aca="false">(X339-#REF!)/#REF!</f>
        <v>#REF!</v>
      </c>
      <c r="Z339" s="27" t="n">
        <v>275.8</v>
      </c>
      <c r="AA339" s="4" t="e">
        <f aca="false">(Z339-#REF!)/#REF!</f>
        <v>#REF!</v>
      </c>
      <c r="AB339" s="3" t="n">
        <v>276</v>
      </c>
      <c r="AC339" s="4" t="e">
        <f aca="false">(AB339-#REF!)/#REF!</f>
        <v>#REF!</v>
      </c>
      <c r="AD339" s="25" t="n">
        <v>168.882</v>
      </c>
      <c r="AE339" s="4" t="e">
        <f aca="false">(AD339-#REF!)/#REF!</f>
        <v>#REF!</v>
      </c>
      <c r="AF339" s="4" t="n">
        <v>0.22</v>
      </c>
      <c r="AG339" s="4"/>
    </row>
    <row r="340" customFormat="false" ht="14.25" hidden="false" customHeight="false" outlineLevel="0" collapsed="false">
      <c r="A340" s="0" t="s">
        <v>104</v>
      </c>
      <c r="B340" s="1" t="n">
        <v>35.8</v>
      </c>
      <c r="C340" s="4" t="e">
        <f aca="false">(B340-#REF!)/#REF!</f>
        <v>#REF!</v>
      </c>
      <c r="D340" s="1" t="n">
        <v>2</v>
      </c>
      <c r="E340" s="4" t="e">
        <f aca="false">(D340-#REF!)/#REF!</f>
        <v>#REF!</v>
      </c>
      <c r="F340" s="2" t="n">
        <v>36.4</v>
      </c>
      <c r="G340" s="4" t="e">
        <f aca="false">(F340-#REF!)/#REF!</f>
        <v>#REF!</v>
      </c>
      <c r="H340" s="2" t="n">
        <v>24.75</v>
      </c>
      <c r="I340" s="4" t="e">
        <f aca="false">(H340-#REF!)/#REF!</f>
        <v>#REF!</v>
      </c>
      <c r="J340" s="4" t="n">
        <v>2.54783553354044</v>
      </c>
      <c r="K340" s="4" t="e">
        <f aca="false">(J340-#REF!)/#REF!</f>
        <v>#REF!</v>
      </c>
      <c r="L340" s="1" t="n">
        <v>38</v>
      </c>
      <c r="M340" s="4" t="e">
        <f aca="false">(L340-#REF!)/#REF!</f>
        <v>#REF!</v>
      </c>
      <c r="N340" s="1" t="n">
        <v>55.9</v>
      </c>
      <c r="O340" s="4" t="e">
        <f aca="false">(N340-#REF!)/#REF!</f>
        <v>#REF!</v>
      </c>
      <c r="P340" s="1" t="n">
        <v>152.4</v>
      </c>
      <c r="Q340" s="4" t="e">
        <f aca="false">(P340-#REF!)/#REF!</f>
        <v>#REF!</v>
      </c>
      <c r="R340" s="1" t="n">
        <v>584.2</v>
      </c>
      <c r="S340" s="4" t="e">
        <f aca="false">(R340-#REF!)/#REF!</f>
        <v>#REF!</v>
      </c>
      <c r="T340" s="1" t="n">
        <f aca="false">R340-N340</f>
        <v>528.3</v>
      </c>
      <c r="U340" s="4" t="e">
        <f aca="false">(T340-#REF!)/#REF!</f>
        <v>#REF!</v>
      </c>
      <c r="V340" s="1" t="n">
        <v>2012</v>
      </c>
      <c r="W340" s="4" t="e">
        <f aca="false">(V340-#REF!)/#REF!</f>
        <v>#REF!</v>
      </c>
      <c r="X340" s="28" t="n">
        <v>0.0225985959218295</v>
      </c>
      <c r="Y340" s="4" t="e">
        <f aca="false">(X340-#REF!)/#REF!</f>
        <v>#REF!</v>
      </c>
      <c r="Z340" s="27" t="n">
        <v>184.086480713456</v>
      </c>
      <c r="AA340" s="4" t="e">
        <f aca="false">(Z340-#REF!)/#REF!</f>
        <v>#REF!</v>
      </c>
      <c r="AB340" s="3" t="n">
        <v>276</v>
      </c>
      <c r="AC340" s="4" t="e">
        <f aca="false">(AB340-#REF!)/#REF!</f>
        <v>#REF!</v>
      </c>
      <c r="AD340" s="25" t="n">
        <v>167.034</v>
      </c>
      <c r="AE340" s="4" t="e">
        <f aca="false">(AD340-#REF!)/#REF!</f>
        <v>#REF!</v>
      </c>
      <c r="AF340" s="4" t="n">
        <v>0.17</v>
      </c>
      <c r="AG340" s="4"/>
    </row>
    <row r="341" customFormat="false" ht="14.25" hidden="false" customHeight="false" outlineLevel="0" collapsed="false">
      <c r="A341" s="0" t="s">
        <v>105</v>
      </c>
      <c r="B341" s="1" t="n">
        <v>35.8</v>
      </c>
      <c r="C341" s="4" t="e">
        <f aca="false">(B341-#REF!)/#REF!</f>
        <v>#REF!</v>
      </c>
      <c r="D341" s="1" t="n">
        <v>2</v>
      </c>
      <c r="E341" s="4" t="e">
        <f aca="false">(D341-#REF!)/#REF!</f>
        <v>#REF!</v>
      </c>
      <c r="F341" s="2" t="n">
        <v>36.4</v>
      </c>
      <c r="G341" s="4" t="e">
        <f aca="false">(F341-#REF!)/#REF!</f>
        <v>#REF!</v>
      </c>
      <c r="H341" s="2" t="n">
        <v>27.85</v>
      </c>
      <c r="I341" s="4" t="e">
        <f aca="false">(H341-#REF!)/#REF!</f>
        <v>#REF!</v>
      </c>
      <c r="J341" s="4" t="n">
        <v>2.75637342683892</v>
      </c>
      <c r="K341" s="4" t="e">
        <f aca="false">(J341-#REF!)/#REF!</f>
        <v>#REF!</v>
      </c>
      <c r="L341" s="1" t="n">
        <v>38</v>
      </c>
      <c r="M341" s="4" t="e">
        <f aca="false">(L341-#REF!)/#REF!</f>
        <v>#REF!</v>
      </c>
      <c r="N341" s="1" t="n">
        <v>55.9</v>
      </c>
      <c r="O341" s="4" t="e">
        <f aca="false">(N341-#REF!)/#REF!</f>
        <v>#REF!</v>
      </c>
      <c r="P341" s="1" t="n">
        <v>152.4</v>
      </c>
      <c r="Q341" s="4" t="e">
        <f aca="false">(P341-#REF!)/#REF!</f>
        <v>#REF!</v>
      </c>
      <c r="R341" s="1" t="n">
        <v>584.2</v>
      </c>
      <c r="S341" s="4" t="e">
        <f aca="false">(R341-#REF!)/#REF!</f>
        <v>#REF!</v>
      </c>
      <c r="T341" s="1" t="n">
        <f aca="false">R341-N341</f>
        <v>528.3</v>
      </c>
      <c r="U341" s="4" t="e">
        <f aca="false">(T341-#REF!)/#REF!</f>
        <v>#REF!</v>
      </c>
      <c r="V341" s="1" t="n">
        <v>2012</v>
      </c>
      <c r="W341" s="4" t="e">
        <f aca="false">(V341-#REF!)/#REF!</f>
        <v>#REF!</v>
      </c>
      <c r="X341" s="28" t="n">
        <v>0.0225985959218295</v>
      </c>
      <c r="Y341" s="4" t="e">
        <f aca="false">(X341-#REF!)/#REF!</f>
        <v>#REF!</v>
      </c>
      <c r="Z341" s="27" t="n">
        <v>143.792876986957</v>
      </c>
      <c r="AA341" s="4" t="e">
        <f aca="false">(Z341-#REF!)/#REF!</f>
        <v>#REF!</v>
      </c>
      <c r="AB341" s="3" t="n">
        <v>276</v>
      </c>
      <c r="AC341" s="4" t="e">
        <f aca="false">(AB341-#REF!)/#REF!</f>
        <v>#REF!</v>
      </c>
      <c r="AD341" s="25" t="n">
        <v>130.788</v>
      </c>
      <c r="AE341" s="4" t="e">
        <f aca="false">(AD341-#REF!)/#REF!</f>
        <v>#REF!</v>
      </c>
      <c r="AF341" s="4" t="n">
        <v>0.19</v>
      </c>
      <c r="AG341" s="4"/>
    </row>
    <row r="342" customFormat="false" ht="14.25" hidden="false" customHeight="false" outlineLevel="0" collapsed="false">
      <c r="B342" s="1" t="n">
        <v>35.8</v>
      </c>
      <c r="C342" s="4" t="e">
        <f aca="false">(B342-#REF!)/#REF!</f>
        <v>#REF!</v>
      </c>
      <c r="D342" s="1" t="n">
        <v>2</v>
      </c>
      <c r="E342" s="4" t="e">
        <f aca="false">(D342-#REF!)/#REF!</f>
        <v>#REF!</v>
      </c>
      <c r="F342" s="2" t="n">
        <v>36.4</v>
      </c>
      <c r="G342" s="4" t="e">
        <f aca="false">(F342-#REF!)/#REF!</f>
        <v>#REF!</v>
      </c>
      <c r="H342" s="2" t="n">
        <v>27.85</v>
      </c>
      <c r="I342" s="4" t="e">
        <f aca="false">(H342-#REF!)/#REF!</f>
        <v>#REF!</v>
      </c>
      <c r="J342" s="4" t="n">
        <v>2.75637342683892</v>
      </c>
      <c r="K342" s="4" t="e">
        <f aca="false">(J342-#REF!)/#REF!</f>
        <v>#REF!</v>
      </c>
      <c r="L342" s="1" t="n">
        <v>38</v>
      </c>
      <c r="M342" s="4" t="e">
        <f aca="false">(L342-#REF!)/#REF!</f>
        <v>#REF!</v>
      </c>
      <c r="N342" s="1" t="n">
        <v>55.9</v>
      </c>
      <c r="O342" s="4" t="e">
        <f aca="false">(N342-#REF!)/#REF!</f>
        <v>#REF!</v>
      </c>
      <c r="P342" s="1" t="n">
        <v>152.4</v>
      </c>
      <c r="Q342" s="4" t="e">
        <f aca="false">(P342-#REF!)/#REF!</f>
        <v>#REF!</v>
      </c>
      <c r="R342" s="1" t="n">
        <v>584.2</v>
      </c>
      <c r="S342" s="4" t="e">
        <f aca="false">(R342-#REF!)/#REF!</f>
        <v>#REF!</v>
      </c>
      <c r="T342" s="1" t="n">
        <f aca="false">R342-N342</f>
        <v>528.3</v>
      </c>
      <c r="U342" s="4" t="e">
        <f aca="false">(T342-#REF!)/#REF!</f>
        <v>#REF!</v>
      </c>
      <c r="V342" s="1" t="n">
        <v>2012</v>
      </c>
      <c r="W342" s="4" t="e">
        <f aca="false">(V342-#REF!)/#REF!</f>
        <v>#REF!</v>
      </c>
      <c r="X342" s="28" t="n">
        <v>0.0225985959218295</v>
      </c>
      <c r="Y342" s="4" t="e">
        <f aca="false">(X342-#REF!)/#REF!</f>
        <v>#REF!</v>
      </c>
      <c r="Z342" s="27" t="n">
        <v>183.642990294518</v>
      </c>
      <c r="AA342" s="4" t="e">
        <f aca="false">(Z342-#REF!)/#REF!</f>
        <v>#REF!</v>
      </c>
      <c r="AB342" s="3" t="n">
        <v>276</v>
      </c>
      <c r="AC342" s="4" t="e">
        <f aca="false">(AB342-#REF!)/#REF!</f>
        <v>#REF!</v>
      </c>
      <c r="AD342" s="25" t="n">
        <v>167.034</v>
      </c>
      <c r="AE342" s="4" t="e">
        <f aca="false">(AD342-#REF!)/#REF!</f>
        <v>#REF!</v>
      </c>
      <c r="AF342" s="4" t="n">
        <v>0.25</v>
      </c>
      <c r="AG342" s="4"/>
    </row>
    <row r="343" customFormat="false" ht="14.25" hidden="false" customHeight="false" outlineLevel="0" collapsed="false">
      <c r="B343" s="4"/>
      <c r="D343" s="4"/>
      <c r="E343" s="4"/>
      <c r="F343" s="4"/>
      <c r="G343" s="4"/>
      <c r="H343" s="4"/>
      <c r="I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9"/>
      <c r="Y343" s="49"/>
      <c r="Z343" s="4"/>
      <c r="AA343" s="4"/>
      <c r="AB343" s="4"/>
      <c r="AC343" s="4"/>
      <c r="AD343" s="4"/>
      <c r="AE343" s="4"/>
    </row>
    <row r="344" customFormat="false" ht="14.25" hidden="false" customHeight="false" outlineLevel="0" collapsed="false">
      <c r="B344" s="4"/>
      <c r="D344" s="4"/>
      <c r="E344" s="4"/>
      <c r="F344" s="4"/>
      <c r="G344" s="4"/>
      <c r="H344" s="4"/>
      <c r="I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9"/>
      <c r="Y344" s="49"/>
      <c r="Z344" s="4"/>
      <c r="AA344" s="4"/>
      <c r="AB344" s="4"/>
      <c r="AC344" s="4"/>
      <c r="AD344" s="4"/>
      <c r="AE344" s="4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true" showRowColHeaders="true" showZeros="true" rightToLeft="false" tabSelected="false" showOutlineSymbols="true" defaultGridColor="true" view="normal" topLeftCell="J1" colorId="64" zoomScale="140" zoomScaleNormal="140" zoomScalePageLayoutView="100" workbookViewId="0">
      <selection pane="topLeft" activeCell="E14" activeCellId="0" sqref="E1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5.44"/>
    <col collapsed="false" customWidth="true" hidden="false" outlineLevel="0" max="2" min="2" style="0" width="9"/>
    <col collapsed="false" customWidth="true" hidden="false" outlineLevel="0" max="3" min="3" style="0" width="30.34"/>
    <col collapsed="false" customWidth="true" hidden="false" outlineLevel="0" max="4" min="4" style="0" width="9"/>
    <col collapsed="false" customWidth="true" hidden="false" outlineLevel="0" max="5" min="5" style="0" width="30.11"/>
    <col collapsed="false" customWidth="true" hidden="false" outlineLevel="0" max="6" min="6" style="0" width="9"/>
    <col collapsed="false" customWidth="true" hidden="false" outlineLevel="0" max="7" min="7" style="0" width="41.78"/>
    <col collapsed="false" customWidth="true" hidden="false" outlineLevel="0" max="8" min="8" style="0" width="9"/>
    <col collapsed="false" customWidth="true" hidden="false" outlineLevel="0" max="9" min="9" style="0" width="37.44"/>
    <col collapsed="false" customWidth="true" hidden="false" outlineLevel="0" max="10" min="10" style="0" width="9"/>
    <col collapsed="false" customWidth="true" hidden="false" outlineLevel="0" max="11" min="11" style="0" width="18.22"/>
    <col collapsed="false" customWidth="true" hidden="false" outlineLevel="0" max="12" min="12" style="0" width="9"/>
    <col collapsed="false" customWidth="true" hidden="false" outlineLevel="0" max="13" min="13" style="0" width="45.22"/>
    <col collapsed="false" customWidth="true" hidden="false" outlineLevel="0" max="14" min="14" style="0" width="9"/>
    <col collapsed="false" customWidth="true" hidden="false" outlineLevel="0" max="15" min="15" style="0" width="25.22"/>
    <col collapsed="false" customWidth="true" hidden="false" outlineLevel="0" max="16" min="16" style="0" width="9"/>
    <col collapsed="false" customWidth="true" hidden="false" outlineLevel="0" max="17" min="17" style="0" width="23.89"/>
    <col collapsed="false" customWidth="true" hidden="false" outlineLevel="0" max="18" min="18" style="0" width="9.56"/>
    <col collapsed="false" customWidth="true" hidden="false" outlineLevel="0" max="19" min="19" style="0" width="31.11"/>
    <col collapsed="false" customWidth="true" hidden="false" outlineLevel="0" max="20" min="20" style="0" width="9.56"/>
    <col collapsed="false" customWidth="true" hidden="false" outlineLevel="0" max="21" min="21" style="0" width="18.22"/>
    <col collapsed="false" customWidth="true" hidden="false" outlineLevel="0" max="22" min="22" style="0" width="12"/>
    <col collapsed="false" customWidth="true" hidden="false" outlineLevel="0" max="23" min="23" style="0" width="25.89"/>
    <col collapsed="false" customWidth="true" hidden="false" outlineLevel="0" max="24" min="24" style="0" width="11"/>
    <col collapsed="false" customWidth="true" hidden="false" outlineLevel="0" max="25" min="25" style="0" width="35"/>
    <col collapsed="false" customWidth="true" hidden="false" outlineLevel="0" max="26" min="26" style="0" width="9.56"/>
    <col collapsed="false" customWidth="true" hidden="false" outlineLevel="0" max="27" min="27" style="0" width="19.22"/>
    <col collapsed="false" customWidth="true" hidden="false" outlineLevel="0" max="28" min="28" style="0" width="9"/>
    <col collapsed="false" customWidth="true" hidden="false" outlineLevel="0" max="29" min="29" style="0" width="18.22"/>
    <col collapsed="false" customWidth="true" hidden="false" outlineLevel="0" max="30" min="30" style="0" width="9"/>
  </cols>
  <sheetData>
    <row r="1" customFormat="false" ht="14.25" hidden="false" customHeight="false" outlineLevel="0" collapsed="false">
      <c r="A1" s="50" t="s">
        <v>109</v>
      </c>
      <c r="B1" s="50"/>
      <c r="C1" s="50" t="s">
        <v>13</v>
      </c>
      <c r="D1" s="50"/>
      <c r="E1" s="50" t="s">
        <v>14</v>
      </c>
      <c r="F1" s="50"/>
      <c r="G1" s="50" t="s">
        <v>183</v>
      </c>
      <c r="H1" s="50"/>
      <c r="I1" s="50" t="s">
        <v>110</v>
      </c>
      <c r="J1" s="50"/>
      <c r="K1" s="50" t="s">
        <v>111</v>
      </c>
      <c r="L1" s="50"/>
      <c r="M1" s="50" t="s">
        <v>112</v>
      </c>
      <c r="N1" s="50"/>
      <c r="O1" s="50" t="s">
        <v>202</v>
      </c>
      <c r="P1" s="50"/>
      <c r="Q1" s="50" t="s">
        <v>190</v>
      </c>
      <c r="R1" s="50"/>
      <c r="S1" s="50" t="s">
        <v>194</v>
      </c>
      <c r="T1" s="50"/>
      <c r="U1" s="50" t="s">
        <v>18</v>
      </c>
      <c r="V1" s="50"/>
      <c r="W1" s="50" t="s">
        <v>203</v>
      </c>
      <c r="X1" s="50"/>
      <c r="Y1" s="50" t="s">
        <v>198</v>
      </c>
      <c r="Z1" s="50"/>
      <c r="AA1" s="50" t="s">
        <v>200</v>
      </c>
      <c r="AB1" s="50"/>
      <c r="AC1" s="50" t="s">
        <v>115</v>
      </c>
      <c r="AD1" s="50"/>
    </row>
    <row r="3" s="24" customFormat="true" ht="14.25" hidden="false" customHeight="false" outlineLevel="0" collapsed="false">
      <c r="A3" s="24" t="s">
        <v>149</v>
      </c>
      <c r="B3" s="24" t="n">
        <v>17.8810557184751</v>
      </c>
      <c r="C3" s="24" t="s">
        <v>149</v>
      </c>
      <c r="D3" s="24" t="n">
        <v>2.49266862170088</v>
      </c>
      <c r="E3" s="24" t="s">
        <v>149</v>
      </c>
      <c r="F3" s="24" t="n">
        <v>63.8502541544476</v>
      </c>
      <c r="G3" s="24" t="s">
        <v>149</v>
      </c>
      <c r="H3" s="24" t="n">
        <v>37.964164222874</v>
      </c>
      <c r="I3" s="24" t="s">
        <v>149</v>
      </c>
      <c r="J3" s="24" t="n">
        <v>3.09043092499012</v>
      </c>
      <c r="K3" s="24" t="s">
        <v>149</v>
      </c>
      <c r="L3" s="24" t="n">
        <v>32.8461876832845</v>
      </c>
      <c r="M3" s="24" t="s">
        <v>149</v>
      </c>
      <c r="N3" s="24" t="n">
        <v>43.8346041055718</v>
      </c>
      <c r="O3" s="24" t="s">
        <v>149</v>
      </c>
      <c r="P3" s="24" t="n">
        <v>202.572140762463</v>
      </c>
      <c r="Q3" s="24" t="s">
        <v>149</v>
      </c>
      <c r="R3" s="24" t="n">
        <v>337.636950146627</v>
      </c>
      <c r="S3" s="24" t="s">
        <v>149</v>
      </c>
      <c r="T3" s="24" t="n">
        <v>680.651319648094</v>
      </c>
      <c r="U3" s="24" t="s">
        <v>149</v>
      </c>
      <c r="V3" s="24" t="n">
        <v>0.0111088702198723</v>
      </c>
      <c r="W3" s="24" t="s">
        <v>149</v>
      </c>
      <c r="X3" s="24" t="n">
        <v>310.117784407295</v>
      </c>
      <c r="Y3" s="24" t="s">
        <v>149</v>
      </c>
      <c r="Z3" s="24" t="n">
        <v>468.00293255132</v>
      </c>
      <c r="AA3" s="24" t="s">
        <v>149</v>
      </c>
      <c r="AB3" s="24" t="n">
        <v>55.3291788856306</v>
      </c>
      <c r="AC3" s="24" t="s">
        <v>149</v>
      </c>
      <c r="AD3" s="24" t="n">
        <v>0.2616715542522</v>
      </c>
    </row>
    <row r="4" s="24" customFormat="true" ht="14.25" hidden="false" customHeight="false" outlineLevel="0" collapsed="false">
      <c r="A4" s="24" t="s">
        <v>204</v>
      </c>
      <c r="B4" s="24" t="n">
        <v>0.338893322409813</v>
      </c>
      <c r="C4" s="24" t="s">
        <v>204</v>
      </c>
      <c r="D4" s="24" t="n">
        <v>0.0739034420526778</v>
      </c>
      <c r="E4" s="24" t="s">
        <v>204</v>
      </c>
      <c r="F4" s="24" t="n">
        <v>2.53176143383864</v>
      </c>
      <c r="G4" s="24" t="s">
        <v>204</v>
      </c>
      <c r="H4" s="24" t="n">
        <v>0.628413840170529</v>
      </c>
      <c r="I4" s="24" t="s">
        <v>204</v>
      </c>
      <c r="J4" s="24" t="n">
        <v>0.0271347711159413</v>
      </c>
      <c r="K4" s="24" t="s">
        <v>204</v>
      </c>
      <c r="L4" s="24" t="n">
        <v>0.583577227897957</v>
      </c>
      <c r="M4" s="24" t="s">
        <v>204</v>
      </c>
      <c r="N4" s="24" t="n">
        <v>0.661422451282991</v>
      </c>
      <c r="O4" s="24" t="s">
        <v>204</v>
      </c>
      <c r="P4" s="24" t="n">
        <v>5.67272360003666</v>
      </c>
      <c r="Q4" s="24" t="s">
        <v>204</v>
      </c>
      <c r="R4" s="24" t="n">
        <v>6.05367001087387</v>
      </c>
      <c r="S4" s="24" t="s">
        <v>204</v>
      </c>
      <c r="T4" s="24" t="n">
        <v>31.7069891133322</v>
      </c>
      <c r="U4" s="24" t="s">
        <v>204</v>
      </c>
      <c r="V4" s="24" t="n">
        <v>0.000440518550036971</v>
      </c>
      <c r="W4" s="24" t="s">
        <v>204</v>
      </c>
      <c r="X4" s="24" t="n">
        <v>4.91372992083853</v>
      </c>
      <c r="Y4" s="24" t="s">
        <v>204</v>
      </c>
      <c r="Z4" s="24" t="n">
        <v>5.53783308547885</v>
      </c>
      <c r="AA4" s="24" t="s">
        <v>204</v>
      </c>
      <c r="AB4" s="24" t="n">
        <v>3.17363619961005</v>
      </c>
      <c r="AC4" s="24" t="s">
        <v>204</v>
      </c>
      <c r="AD4" s="24" t="n">
        <v>0.00623150858750471</v>
      </c>
    </row>
    <row r="5" customFormat="false" ht="14.25" hidden="false" customHeight="false" outlineLevel="0" collapsed="false">
      <c r="A5" s="0" t="s">
        <v>205</v>
      </c>
      <c r="B5" s="0" t="n">
        <v>16</v>
      </c>
      <c r="C5" s="0" t="s">
        <v>205</v>
      </c>
      <c r="D5" s="0" t="n">
        <v>2</v>
      </c>
      <c r="E5" s="0" t="s">
        <v>205</v>
      </c>
      <c r="F5" s="0" t="n">
        <v>46</v>
      </c>
      <c r="G5" s="0" t="s">
        <v>205</v>
      </c>
      <c r="H5" s="0" t="n">
        <v>36.1</v>
      </c>
      <c r="I5" s="0" t="s">
        <v>205</v>
      </c>
      <c r="J5" s="0" t="n">
        <v>2.92087587098479</v>
      </c>
      <c r="K5" s="0" t="s">
        <v>205</v>
      </c>
      <c r="L5" s="0" t="n">
        <v>30</v>
      </c>
      <c r="M5" s="0" t="s">
        <v>205</v>
      </c>
      <c r="N5" s="0" t="n">
        <v>40.5</v>
      </c>
      <c r="O5" s="0" t="s">
        <v>205</v>
      </c>
      <c r="P5" s="0" t="n">
        <v>152.4</v>
      </c>
      <c r="Q5" s="0" t="s">
        <v>205</v>
      </c>
      <c r="R5" s="0" t="n">
        <v>348</v>
      </c>
      <c r="S5" s="0" t="s">
        <v>205</v>
      </c>
      <c r="T5" s="0" t="n">
        <v>452</v>
      </c>
      <c r="U5" s="0" t="s">
        <v>205</v>
      </c>
      <c r="V5" s="0" t="n">
        <v>0.010592</v>
      </c>
      <c r="W5" s="0" t="s">
        <v>205</v>
      </c>
      <c r="X5" s="0" t="n">
        <v>297.459577976525</v>
      </c>
      <c r="Y5" s="0" t="s">
        <v>205</v>
      </c>
      <c r="Z5" s="0" t="n">
        <v>500</v>
      </c>
      <c r="AA5" s="0" t="s">
        <v>205</v>
      </c>
      <c r="AB5" s="0" t="n">
        <v>37.93</v>
      </c>
      <c r="AC5" s="0" t="s">
        <v>205</v>
      </c>
      <c r="AD5" s="0" t="n">
        <v>0.23</v>
      </c>
    </row>
    <row r="6" customFormat="false" ht="14.25" hidden="false" customHeight="false" outlineLevel="0" collapsed="false">
      <c r="A6" s="0" t="s">
        <v>206</v>
      </c>
      <c r="B6" s="0" t="n">
        <v>20</v>
      </c>
      <c r="C6" s="0" t="s">
        <v>206</v>
      </c>
      <c r="D6" s="0" t="n">
        <v>2</v>
      </c>
      <c r="E6" s="0" t="s">
        <v>206</v>
      </c>
      <c r="F6" s="0" t="n">
        <v>45</v>
      </c>
      <c r="G6" s="0" t="s">
        <v>206</v>
      </c>
      <c r="H6" s="0" t="n">
        <v>36.1</v>
      </c>
      <c r="I6" s="0" t="s">
        <v>206</v>
      </c>
      <c r="J6" s="0" t="n">
        <v>2.8</v>
      </c>
      <c r="K6" s="0" t="s">
        <v>206</v>
      </c>
      <c r="L6" s="0" t="n">
        <v>25</v>
      </c>
      <c r="M6" s="0" t="s">
        <v>206</v>
      </c>
      <c r="N6" s="0" t="n">
        <v>45</v>
      </c>
      <c r="O6" s="0" t="s">
        <v>206</v>
      </c>
      <c r="P6" s="0" t="n">
        <v>150</v>
      </c>
      <c r="Q6" s="0" t="s">
        <v>206</v>
      </c>
      <c r="R6" s="0" t="n">
        <v>250</v>
      </c>
      <c r="S6" s="0" t="s">
        <v>206</v>
      </c>
      <c r="T6" s="0" t="n">
        <v>78.5</v>
      </c>
      <c r="U6" s="0" t="s">
        <v>206</v>
      </c>
      <c r="V6" s="0" t="n">
        <v>0.00224285714285714</v>
      </c>
      <c r="W6" s="0" t="s">
        <v>206</v>
      </c>
      <c r="X6" s="0" t="n">
        <v>275.8</v>
      </c>
      <c r="Y6" s="0" t="s">
        <v>206</v>
      </c>
      <c r="Z6" s="0" t="n">
        <v>500</v>
      </c>
      <c r="AA6" s="0" t="s">
        <v>206</v>
      </c>
      <c r="AB6" s="0" t="n">
        <v>40.84</v>
      </c>
      <c r="AC6" s="0" t="s">
        <v>206</v>
      </c>
      <c r="AD6" s="0" t="n">
        <v>0.2</v>
      </c>
    </row>
    <row r="7" s="24" customFormat="true" ht="14.25" hidden="false" customHeight="false" outlineLevel="0" collapsed="false">
      <c r="A7" s="24" t="s">
        <v>207</v>
      </c>
      <c r="B7" s="24" t="n">
        <v>6.25806689282888</v>
      </c>
      <c r="C7" s="24" t="s">
        <v>207</v>
      </c>
      <c r="D7" s="24" t="n">
        <v>1.36471465618518</v>
      </c>
      <c r="E7" s="24" t="s">
        <v>207</v>
      </c>
      <c r="F7" s="24" t="n">
        <v>46.7519758046073</v>
      </c>
      <c r="G7" s="24" t="s">
        <v>207</v>
      </c>
      <c r="H7" s="24" t="n">
        <v>11.6044064256038</v>
      </c>
      <c r="I7" s="24" t="s">
        <v>207</v>
      </c>
      <c r="J7" s="24" t="n">
        <v>0.501075711842484</v>
      </c>
      <c r="K7" s="24" t="s">
        <v>207</v>
      </c>
      <c r="L7" s="24" t="n">
        <v>10.7764452345884</v>
      </c>
      <c r="M7" s="24" t="s">
        <v>207</v>
      </c>
      <c r="N7" s="24" t="n">
        <v>12.2139495553187</v>
      </c>
      <c r="O7" s="24" t="s">
        <v>207</v>
      </c>
      <c r="P7" s="24" t="n">
        <v>104.753565225546</v>
      </c>
      <c r="Q7" s="24" t="s">
        <v>207</v>
      </c>
      <c r="R7" s="24" t="n">
        <v>111.788192242244</v>
      </c>
      <c r="S7" s="24" t="s">
        <v>207</v>
      </c>
      <c r="T7" s="24" t="n">
        <v>585.507136671998</v>
      </c>
      <c r="U7" s="24" t="s">
        <v>207</v>
      </c>
      <c r="V7" s="24" t="n">
        <v>0.0081346971786291</v>
      </c>
      <c r="W7" s="24" t="s">
        <v>207</v>
      </c>
      <c r="X7" s="24" t="n">
        <v>90.7378472943668</v>
      </c>
      <c r="Y7" s="24" t="s">
        <v>207</v>
      </c>
      <c r="Z7" s="24" t="n">
        <v>102.262651986807</v>
      </c>
      <c r="AA7" s="24" t="s">
        <v>207</v>
      </c>
      <c r="AB7" s="24" t="n">
        <v>58.6049541768362</v>
      </c>
      <c r="AC7" s="24" t="s">
        <v>207</v>
      </c>
      <c r="AD7" s="24" t="n">
        <v>0.115072192354041</v>
      </c>
    </row>
    <row r="8" s="24" customFormat="true" ht="14.25" hidden="false" customHeight="false" outlineLevel="0" collapsed="false">
      <c r="A8" s="24" t="s">
        <v>208</v>
      </c>
      <c r="B8" s="24" t="n">
        <v>39.1634012351209</v>
      </c>
      <c r="C8" s="24" t="s">
        <v>208</v>
      </c>
      <c r="D8" s="24" t="n">
        <v>1.86244609280662</v>
      </c>
      <c r="E8" s="24" t="s">
        <v>208</v>
      </c>
      <c r="F8" s="24" t="n">
        <v>2185.74724163458</v>
      </c>
      <c r="G8" s="24" t="s">
        <v>208</v>
      </c>
      <c r="H8" s="24" t="n">
        <v>134.662248490594</v>
      </c>
      <c r="I8" s="24" t="s">
        <v>208</v>
      </c>
      <c r="J8" s="24" t="n">
        <v>0.251076868998452</v>
      </c>
      <c r="K8" s="24" t="s">
        <v>208</v>
      </c>
      <c r="L8" s="24" t="n">
        <v>116.131771894083</v>
      </c>
      <c r="M8" s="24" t="s">
        <v>208</v>
      </c>
      <c r="N8" s="24" t="n">
        <v>149.180563739869</v>
      </c>
      <c r="O8" s="24" t="s">
        <v>208</v>
      </c>
      <c r="P8" s="24" t="n">
        <v>10973.3094274628</v>
      </c>
      <c r="Q8" s="24" t="s">
        <v>208</v>
      </c>
      <c r="R8" s="24" t="n">
        <v>12496.5999247888</v>
      </c>
      <c r="S8" s="24" t="s">
        <v>208</v>
      </c>
      <c r="T8" s="24" t="n">
        <v>342818.607093841</v>
      </c>
      <c r="U8" s="24" t="s">
        <v>208</v>
      </c>
      <c r="V8" s="24" t="n">
        <v>6.61732981879962E-005</v>
      </c>
      <c r="W8" s="24" t="s">
        <v>208</v>
      </c>
      <c r="X8" s="24" t="n">
        <v>8233.35693161583</v>
      </c>
      <c r="Y8" s="24" t="s">
        <v>208</v>
      </c>
      <c r="Z8" s="24" t="n">
        <v>10457.6499913749</v>
      </c>
      <c r="AA8" s="24" t="s">
        <v>208</v>
      </c>
      <c r="AB8" s="24" t="n">
        <v>3434.54065406908</v>
      </c>
      <c r="AC8" s="24" t="s">
        <v>208</v>
      </c>
      <c r="AD8" s="24" t="n">
        <v>0.0132416094531654</v>
      </c>
    </row>
    <row r="9" s="24" customFormat="true" ht="14.25" hidden="false" customHeight="false" outlineLevel="0" collapsed="false">
      <c r="A9" s="24" t="s">
        <v>209</v>
      </c>
      <c r="B9" s="24" t="n">
        <v>-0.2104428250394</v>
      </c>
      <c r="C9" s="24" t="s">
        <v>209</v>
      </c>
      <c r="D9" s="24" t="n">
        <v>5.04604601517429</v>
      </c>
      <c r="E9" s="24" t="s">
        <v>209</v>
      </c>
      <c r="F9" s="24" t="n">
        <v>7.80502759306735</v>
      </c>
      <c r="G9" s="24" t="s">
        <v>209</v>
      </c>
      <c r="H9" s="24" t="n">
        <v>0.497674069733149</v>
      </c>
      <c r="I9" s="24" t="s">
        <v>209</v>
      </c>
      <c r="J9" s="24" t="n">
        <v>6.33398813279106</v>
      </c>
      <c r="K9" s="24" t="s">
        <v>209</v>
      </c>
      <c r="L9" s="24" t="n">
        <v>3.41566589409064</v>
      </c>
      <c r="M9" s="24" t="s">
        <v>209</v>
      </c>
      <c r="N9" s="24" t="n">
        <v>4.93377353768532</v>
      </c>
      <c r="O9" s="24" t="s">
        <v>209</v>
      </c>
      <c r="P9" s="24" t="n">
        <v>2.0528950662405</v>
      </c>
      <c r="Q9" s="24" t="s">
        <v>209</v>
      </c>
      <c r="R9" s="24" t="n">
        <v>0.0953213644487625</v>
      </c>
      <c r="S9" s="24" t="s">
        <v>209</v>
      </c>
      <c r="T9" s="24" t="n">
        <v>2.42034270042054</v>
      </c>
      <c r="U9" s="24" t="s">
        <v>209</v>
      </c>
      <c r="V9" s="24" t="n">
        <v>2.14139734088214</v>
      </c>
      <c r="W9" s="24" t="s">
        <v>209</v>
      </c>
      <c r="X9" s="24" t="n">
        <v>0.342407270083515</v>
      </c>
      <c r="Y9" s="24" t="s">
        <v>209</v>
      </c>
      <c r="Z9" s="24" t="n">
        <v>-0.419783255116696</v>
      </c>
      <c r="AA9" s="24" t="s">
        <v>209</v>
      </c>
      <c r="AB9" s="24" t="n">
        <v>9.17993600956292</v>
      </c>
      <c r="AC9" s="24" t="s">
        <v>209</v>
      </c>
      <c r="AD9" s="24" t="n">
        <v>5.62835958349352</v>
      </c>
    </row>
    <row r="10" s="24" customFormat="true" ht="14.25" hidden="false" customHeight="false" outlineLevel="0" collapsed="false">
      <c r="A10" s="24" t="s">
        <v>210</v>
      </c>
      <c r="B10" s="24" t="n">
        <v>0.62398479074604</v>
      </c>
      <c r="C10" s="24" t="s">
        <v>210</v>
      </c>
      <c r="D10" s="24" t="n">
        <v>1.70560119855079</v>
      </c>
      <c r="E10" s="24" t="s">
        <v>210</v>
      </c>
      <c r="F10" s="24" t="n">
        <v>2.44966858578885</v>
      </c>
      <c r="G10" s="24" t="s">
        <v>210</v>
      </c>
      <c r="H10" s="24" t="n">
        <v>1.15770958533153</v>
      </c>
      <c r="I10" s="24" t="s">
        <v>210</v>
      </c>
      <c r="J10" s="24" t="n">
        <v>2.13955325842754</v>
      </c>
      <c r="K10" s="24" t="s">
        <v>210</v>
      </c>
      <c r="L10" s="24" t="n">
        <v>1.52762137762124</v>
      </c>
      <c r="M10" s="24" t="s">
        <v>210</v>
      </c>
      <c r="N10" s="24" t="n">
        <v>1.89138360290924</v>
      </c>
      <c r="O10" s="24" t="s">
        <v>210</v>
      </c>
      <c r="P10" s="24" t="n">
        <v>1.43535522619492</v>
      </c>
      <c r="Q10" s="24" t="s">
        <v>210</v>
      </c>
      <c r="R10" s="24" t="n">
        <v>0.747610095259068</v>
      </c>
      <c r="S10" s="24" t="s">
        <v>210</v>
      </c>
      <c r="T10" s="24" t="n">
        <v>1.70496263425642</v>
      </c>
      <c r="U10" s="24" t="s">
        <v>210</v>
      </c>
      <c r="V10" s="24" t="n">
        <v>1.28461928714622</v>
      </c>
      <c r="W10" s="24" t="s">
        <v>210</v>
      </c>
      <c r="X10" s="24" t="n">
        <v>0.582899401130618</v>
      </c>
      <c r="Y10" s="24" t="s">
        <v>210</v>
      </c>
      <c r="Z10" s="24" t="n">
        <v>-0.731249543770139</v>
      </c>
      <c r="AA10" s="24" t="s">
        <v>210</v>
      </c>
      <c r="AB10" s="24" t="n">
        <v>2.6819234848967</v>
      </c>
      <c r="AC10" s="24" t="s">
        <v>210</v>
      </c>
      <c r="AD10" s="24" t="n">
        <v>2.14599023392453</v>
      </c>
    </row>
    <row r="11" s="24" customFormat="true" ht="14.25" hidden="false" customHeight="false" outlineLevel="0" collapsed="false">
      <c r="A11" s="24" t="s">
        <v>211</v>
      </c>
      <c r="B11" s="24" t="n">
        <v>26.28</v>
      </c>
      <c r="C11" s="24" t="s">
        <v>211</v>
      </c>
      <c r="D11" s="24" t="n">
        <v>8</v>
      </c>
      <c r="E11" s="24" t="s">
        <v>211</v>
      </c>
      <c r="F11" s="24" t="n">
        <v>284</v>
      </c>
      <c r="G11" s="24" t="s">
        <v>211</v>
      </c>
      <c r="H11" s="24" t="n">
        <v>48.59</v>
      </c>
      <c r="I11" s="24" t="s">
        <v>211</v>
      </c>
      <c r="J11" s="24" t="n">
        <v>2.92387278606397</v>
      </c>
      <c r="K11" s="24" t="s">
        <v>211</v>
      </c>
      <c r="L11" s="24" t="n">
        <v>57.2</v>
      </c>
      <c r="M11" s="24" t="s">
        <v>211</v>
      </c>
      <c r="N11" s="24" t="n">
        <v>70.6</v>
      </c>
      <c r="O11" s="24" t="s">
        <v>211</v>
      </c>
      <c r="P11" s="24" t="n">
        <v>500</v>
      </c>
      <c r="Q11" s="24" t="s">
        <v>211</v>
      </c>
      <c r="R11" s="24" t="n">
        <v>443</v>
      </c>
      <c r="S11" s="24" t="s">
        <v>211</v>
      </c>
      <c r="T11" s="24" t="n">
        <v>2747.5</v>
      </c>
      <c r="U11" s="24" t="s">
        <v>211</v>
      </c>
      <c r="V11" s="24" t="n">
        <v>0.0388071428571429</v>
      </c>
      <c r="W11" s="24" t="s">
        <v>211</v>
      </c>
      <c r="X11" s="24" t="n">
        <v>521.487344774005</v>
      </c>
      <c r="Y11" s="24" t="s">
        <v>211</v>
      </c>
      <c r="Z11" s="24" t="n">
        <v>352</v>
      </c>
      <c r="AA11" s="24" t="s">
        <v>211</v>
      </c>
      <c r="AB11" s="24" t="n">
        <v>371.24</v>
      </c>
      <c r="AC11" s="24" t="s">
        <v>211</v>
      </c>
      <c r="AD11" s="24" t="n">
        <v>0.65</v>
      </c>
    </row>
    <row r="12" s="24" customFormat="true" ht="14.25" hidden="false" customHeight="false" outlineLevel="0" collapsed="false">
      <c r="A12" s="24" t="s">
        <v>212</v>
      </c>
      <c r="B12" s="24" t="n">
        <v>9.52</v>
      </c>
      <c r="C12" s="24" t="s">
        <v>212</v>
      </c>
      <c r="D12" s="24" t="n">
        <v>1</v>
      </c>
      <c r="E12" s="24" t="s">
        <v>212</v>
      </c>
      <c r="F12" s="24" t="n">
        <v>12</v>
      </c>
      <c r="G12" s="24" t="s">
        <v>212</v>
      </c>
      <c r="H12" s="24" t="n">
        <v>22.41</v>
      </c>
      <c r="I12" s="24" t="s">
        <v>212</v>
      </c>
      <c r="J12" s="24" t="n">
        <v>2.38460157103714</v>
      </c>
      <c r="K12" s="24" t="s">
        <v>212</v>
      </c>
      <c r="L12" s="24" t="n">
        <v>12.8</v>
      </c>
      <c r="M12" s="24" t="s">
        <v>212</v>
      </c>
      <c r="N12" s="24" t="n">
        <v>23.9</v>
      </c>
      <c r="O12" s="24" t="s">
        <v>212</v>
      </c>
      <c r="P12" s="24" t="n">
        <v>100</v>
      </c>
      <c r="Q12" s="24" t="s">
        <v>212</v>
      </c>
      <c r="R12" s="24" t="n">
        <v>161</v>
      </c>
      <c r="S12" s="24" t="s">
        <v>212</v>
      </c>
      <c r="T12" s="24" t="n">
        <v>78.5</v>
      </c>
      <c r="U12" s="24" t="s">
        <v>212</v>
      </c>
      <c r="V12" s="24" t="n">
        <v>0.00224285714285714</v>
      </c>
      <c r="W12" s="24" t="s">
        <v>212</v>
      </c>
      <c r="X12" s="24" t="n">
        <v>106.512655225995</v>
      </c>
      <c r="Y12" s="24" t="s">
        <v>212</v>
      </c>
      <c r="Z12" s="24" t="n">
        <v>276</v>
      </c>
      <c r="AA12" s="24" t="s">
        <v>212</v>
      </c>
      <c r="AB12" s="24" t="n">
        <v>3.76</v>
      </c>
      <c r="AC12" s="24" t="s">
        <v>212</v>
      </c>
      <c r="AD12" s="24" t="n">
        <v>0.14</v>
      </c>
    </row>
    <row r="13" s="24" customFormat="true" ht="14.25" hidden="false" customHeight="false" outlineLevel="0" collapsed="false">
      <c r="A13" s="24" t="s">
        <v>213</v>
      </c>
      <c r="B13" s="24" t="n">
        <v>35.8</v>
      </c>
      <c r="C13" s="24" t="s">
        <v>213</v>
      </c>
      <c r="D13" s="24" t="n">
        <v>9</v>
      </c>
      <c r="E13" s="24" t="s">
        <v>213</v>
      </c>
      <c r="F13" s="24" t="n">
        <v>296</v>
      </c>
      <c r="G13" s="24" t="s">
        <v>213</v>
      </c>
      <c r="H13" s="24" t="n">
        <v>71</v>
      </c>
      <c r="I13" s="24" t="s">
        <v>213</v>
      </c>
      <c r="J13" s="24" t="n">
        <v>5.30847435710111</v>
      </c>
      <c r="K13" s="24" t="s">
        <v>213</v>
      </c>
      <c r="L13" s="24" t="n">
        <v>70</v>
      </c>
      <c r="M13" s="24" t="s">
        <v>213</v>
      </c>
      <c r="N13" s="24" t="n">
        <v>94.5</v>
      </c>
      <c r="O13" s="24" t="s">
        <v>213</v>
      </c>
      <c r="P13" s="24" t="n">
        <v>600</v>
      </c>
      <c r="Q13" s="24" t="s">
        <v>213</v>
      </c>
      <c r="R13" s="24" t="n">
        <v>604</v>
      </c>
      <c r="S13" s="24" t="s">
        <v>213</v>
      </c>
      <c r="T13" s="24" t="n">
        <v>2826</v>
      </c>
      <c r="U13" s="24" t="s">
        <v>213</v>
      </c>
      <c r="V13" s="24" t="n">
        <v>0.04105</v>
      </c>
      <c r="W13" s="24" t="s">
        <v>213</v>
      </c>
      <c r="X13" s="24" t="n">
        <v>628</v>
      </c>
      <c r="Y13" s="24" t="s">
        <v>213</v>
      </c>
      <c r="Z13" s="24" t="n">
        <v>628</v>
      </c>
      <c r="AA13" s="24" t="s">
        <v>213</v>
      </c>
      <c r="AB13" s="24" t="n">
        <v>375</v>
      </c>
      <c r="AC13" s="24" t="s">
        <v>213</v>
      </c>
      <c r="AD13" s="24" t="n">
        <v>0.79</v>
      </c>
    </row>
    <row r="14" s="24" customFormat="true" ht="14.25" hidden="false" customHeight="false" outlineLevel="0" collapsed="false">
      <c r="A14" s="24" t="s">
        <v>214</v>
      </c>
      <c r="B14" s="24" t="n">
        <v>6097.44</v>
      </c>
      <c r="C14" s="24" t="s">
        <v>214</v>
      </c>
      <c r="D14" s="24" t="n">
        <v>850</v>
      </c>
      <c r="E14" s="24" t="s">
        <v>214</v>
      </c>
      <c r="F14" s="24" t="n">
        <v>21772.9366666666</v>
      </c>
      <c r="G14" s="24" t="s">
        <v>214</v>
      </c>
      <c r="H14" s="24" t="n">
        <v>12945.78</v>
      </c>
      <c r="I14" s="24" t="s">
        <v>214</v>
      </c>
      <c r="J14" s="24" t="n">
        <v>1053.83694542163</v>
      </c>
      <c r="K14" s="24" t="s">
        <v>214</v>
      </c>
      <c r="L14" s="24" t="n">
        <v>11200.55</v>
      </c>
      <c r="M14" s="24" t="s">
        <v>214</v>
      </c>
      <c r="N14" s="24" t="n">
        <v>14947.6</v>
      </c>
      <c r="O14" s="24" t="s">
        <v>214</v>
      </c>
      <c r="P14" s="24" t="n">
        <v>69077.0999999999</v>
      </c>
      <c r="Q14" s="24" t="s">
        <v>214</v>
      </c>
      <c r="R14" s="24" t="n">
        <v>115134.2</v>
      </c>
      <c r="S14" s="24" t="s">
        <v>214</v>
      </c>
      <c r="T14" s="24" t="n">
        <v>232102.1</v>
      </c>
      <c r="U14" s="24" t="s">
        <v>214</v>
      </c>
      <c r="V14" s="24" t="n">
        <v>3.78812474497645</v>
      </c>
      <c r="W14" s="24" t="s">
        <v>214</v>
      </c>
      <c r="X14" s="24" t="n">
        <v>105750.164482888</v>
      </c>
      <c r="Y14" s="24" t="s">
        <v>214</v>
      </c>
      <c r="Z14" s="24" t="n">
        <v>159589</v>
      </c>
      <c r="AA14" s="24" t="s">
        <v>214</v>
      </c>
      <c r="AB14" s="24" t="n">
        <v>18867.25</v>
      </c>
      <c r="AC14" s="24" t="s">
        <v>214</v>
      </c>
      <c r="AD14" s="24" t="n">
        <v>89.2300000000001</v>
      </c>
    </row>
    <row r="15" customFormat="false" ht="14.25" hidden="false" customHeight="false" outlineLevel="0" collapsed="false">
      <c r="A15" s="51" t="s">
        <v>215</v>
      </c>
      <c r="B15" s="51" t="n">
        <v>341</v>
      </c>
      <c r="C15" s="51" t="s">
        <v>215</v>
      </c>
      <c r="D15" s="51" t="n">
        <v>341</v>
      </c>
      <c r="E15" s="51" t="s">
        <v>215</v>
      </c>
      <c r="F15" s="51" t="n">
        <v>341</v>
      </c>
      <c r="G15" s="51" t="s">
        <v>215</v>
      </c>
      <c r="H15" s="51" t="n">
        <v>341</v>
      </c>
      <c r="I15" s="51" t="s">
        <v>215</v>
      </c>
      <c r="J15" s="51" t="n">
        <v>341</v>
      </c>
      <c r="K15" s="51" t="s">
        <v>215</v>
      </c>
      <c r="L15" s="51" t="n">
        <v>341</v>
      </c>
      <c r="M15" s="51" t="s">
        <v>215</v>
      </c>
      <c r="N15" s="51" t="n">
        <v>341</v>
      </c>
      <c r="O15" s="51" t="s">
        <v>215</v>
      </c>
      <c r="P15" s="51" t="n">
        <v>341</v>
      </c>
      <c r="Q15" s="51" t="s">
        <v>215</v>
      </c>
      <c r="R15" s="51" t="n">
        <v>341</v>
      </c>
      <c r="S15" s="51" t="s">
        <v>215</v>
      </c>
      <c r="T15" s="51" t="n">
        <v>341</v>
      </c>
      <c r="U15" s="51" t="s">
        <v>215</v>
      </c>
      <c r="V15" s="51" t="n">
        <v>341</v>
      </c>
      <c r="W15" s="51" t="s">
        <v>215</v>
      </c>
      <c r="X15" s="51" t="n">
        <v>341</v>
      </c>
      <c r="Y15" s="51" t="s">
        <v>215</v>
      </c>
      <c r="Z15" s="51" t="n">
        <v>341</v>
      </c>
      <c r="AA15" s="51" t="s">
        <v>215</v>
      </c>
      <c r="AB15" s="51" t="n">
        <v>341</v>
      </c>
      <c r="AC15" s="51" t="s">
        <v>215</v>
      </c>
      <c r="AD15" s="51" t="n">
        <v>341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346"/>
  <sheetViews>
    <sheetView showFormulas="false" showGridLines="true" showRowColHeaders="true" showZeros="true" rightToLeft="false" tabSelected="false" showOutlineSymbols="true" defaultGridColor="true" view="normal" topLeftCell="BB327" colorId="64" zoomScale="130" zoomScaleNormal="130" zoomScalePageLayoutView="100" workbookViewId="0">
      <selection pane="topLeft" activeCell="BU346" activeCellId="0" sqref="BU34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4" width="17"/>
    <col collapsed="false" customWidth="true" hidden="true" outlineLevel="0" max="5" min="2" style="12" width="17"/>
    <col collapsed="false" customWidth="true" hidden="false" outlineLevel="0" max="6" min="6" style="4" width="18.89"/>
    <col collapsed="false" customWidth="true" hidden="true" outlineLevel="0" max="7" min="7" style="4" width="18.89"/>
    <col collapsed="false" customWidth="true" hidden="false" outlineLevel="0" max="8" min="8" style="4" width="17"/>
    <col collapsed="false" customWidth="true" hidden="true" outlineLevel="0" max="11" min="9" style="4" width="17"/>
    <col collapsed="false" customWidth="true" hidden="false" outlineLevel="0" max="12" min="12" style="4" width="28.11"/>
    <col collapsed="false" customWidth="true" hidden="true" outlineLevel="0" max="13" min="13" style="4" width="17.56"/>
    <col collapsed="false" customWidth="true" hidden="true" outlineLevel="0" max="14" min="14" style="4" width="15.78"/>
    <col collapsed="false" customWidth="true" hidden="true" outlineLevel="0" max="15" min="15" style="4" width="12.78"/>
    <col collapsed="false" customWidth="true" hidden="true" outlineLevel="0" max="16" min="16" style="4" width="13.89"/>
    <col collapsed="false" customWidth="true" hidden="false" outlineLevel="0" max="17" min="17" style="4" width="13.89"/>
    <col collapsed="false" customWidth="true" hidden="false" outlineLevel="0" max="18" min="18" style="4" width="17"/>
    <col collapsed="false" customWidth="true" hidden="true" outlineLevel="0" max="19" min="19" style="4" width="12.45"/>
    <col collapsed="false" customWidth="true" hidden="false" outlineLevel="0" max="20" min="20" style="4" width="8.89"/>
    <col collapsed="false" customWidth="true" hidden="false" outlineLevel="0" max="21" min="21" style="29" width="8.89"/>
    <col collapsed="false" customWidth="true" hidden="false" outlineLevel="0" max="22" min="22" style="4" width="8.89"/>
    <col collapsed="false" customWidth="true" hidden="false" outlineLevel="0" max="23" min="23" style="4" width="31"/>
    <col collapsed="false" customWidth="true" hidden="false" outlineLevel="0" max="30" min="24" style="4" width="8.89"/>
    <col collapsed="false" customWidth="true" hidden="false" outlineLevel="0" max="36" min="36" style="4" width="31"/>
    <col collapsed="false" customWidth="true" hidden="false" outlineLevel="0" max="37" min="37" style="4" width="8.89"/>
    <col collapsed="false" customWidth="true" hidden="false" outlineLevel="0" max="48" min="48" style="4" width="31"/>
    <col collapsed="false" customWidth="true" hidden="false" outlineLevel="0" max="49" min="49" style="4" width="8.89"/>
    <col collapsed="false" customWidth="true" hidden="false" outlineLevel="0" max="60" min="60" style="4" width="31"/>
    <col collapsed="false" customWidth="true" hidden="false" outlineLevel="0" max="61" min="61" style="4" width="8.89"/>
    <col collapsed="false" customWidth="true" hidden="false" outlineLevel="0" max="72" min="72" style="4" width="31"/>
    <col collapsed="false" customWidth="true" hidden="false" outlineLevel="0" max="73" min="73" style="4" width="8.89"/>
  </cols>
  <sheetData>
    <row r="1" customFormat="false" ht="20.25" hidden="false" customHeight="false" outlineLevel="0" collapsed="false">
      <c r="A1" s="4" t="s">
        <v>216</v>
      </c>
      <c r="B1" s="52" t="s">
        <v>217</v>
      </c>
      <c r="C1" s="52" t="s">
        <v>218</v>
      </c>
      <c r="D1" s="52" t="s">
        <v>219</v>
      </c>
      <c r="E1" s="52" t="s">
        <v>220</v>
      </c>
      <c r="F1" s="4" t="s">
        <v>221</v>
      </c>
      <c r="G1" s="53" t="s">
        <v>218</v>
      </c>
      <c r="H1" s="4" t="s">
        <v>222</v>
      </c>
      <c r="I1" s="53" t="s">
        <v>223</v>
      </c>
      <c r="J1" s="53" t="s">
        <v>218</v>
      </c>
      <c r="K1" s="53" t="s">
        <v>219</v>
      </c>
      <c r="L1" s="4" t="s">
        <v>224</v>
      </c>
      <c r="M1" s="53" t="s">
        <v>218</v>
      </c>
      <c r="N1" s="53" t="s">
        <v>220</v>
      </c>
      <c r="O1" s="53" t="s">
        <v>225</v>
      </c>
      <c r="P1" s="53" t="s">
        <v>226</v>
      </c>
      <c r="Q1" s="4" t="s">
        <v>227</v>
      </c>
      <c r="R1" s="4" t="s">
        <v>228</v>
      </c>
      <c r="S1" s="53" t="s">
        <v>217</v>
      </c>
      <c r="W1" s="4" t="s">
        <v>229</v>
      </c>
      <c r="X1" s="4" t="s">
        <v>230</v>
      </c>
      <c r="AJ1" s="4" t="s">
        <v>231</v>
      </c>
      <c r="AK1" s="4" t="s">
        <v>230</v>
      </c>
      <c r="AV1" s="4" t="s">
        <v>232</v>
      </c>
      <c r="AW1" s="4" t="s">
        <v>230</v>
      </c>
      <c r="BH1" s="4" t="s">
        <v>233</v>
      </c>
      <c r="BI1" s="4" t="s">
        <v>230</v>
      </c>
      <c r="BT1" s="4" t="s">
        <v>234</v>
      </c>
      <c r="BU1" s="4" t="s">
        <v>230</v>
      </c>
    </row>
    <row r="2" customFormat="false" ht="14.25" hidden="false" customHeight="false" outlineLevel="0" collapsed="false">
      <c r="A2" s="4" t="e">
        <f aca="false">0.0894*ABS(D2)-0.01603*E2</f>
        <v>#REF!</v>
      </c>
      <c r="B2" s="12" t="e">
        <f aca="false">'Dataset experimental'!K2*COS('Dataset experimental'!AC2)-'Dataset experimental'!M2-'Dataset experimental'!C2</f>
        <v>#REF!</v>
      </c>
      <c r="C2" s="12" t="e">
        <f aca="false">('Dataset experimental'!AE2+SIN('Avaliação do resultado ML'!B2))*0.70674187</f>
        <v>#REF!</v>
      </c>
      <c r="D2" s="12" t="e">
        <f aca="false">'Modelos Propostos'!E2+'Avaliação do resultado ML'!C2-'Modelos normativos'!AQ2</f>
        <v>#REF!</v>
      </c>
      <c r="E2" s="12" t="n">
        <f aca="false">'Modelos empíricos'!I2+1.1854</f>
        <v>0.797114526915615</v>
      </c>
      <c r="F2" s="4" t="e">
        <f aca="false">-0.01753*('Modelos normativos'!AN2-'Dataset experimental'!C2-ABS(G2)-('Modelos Propostos'!E2-'Modelos normativos'!AP2)/0.25291)</f>
        <v>#REF!</v>
      </c>
      <c r="G2" s="4" t="e">
        <f aca="false">'Dataset experimental'!K2+'Modelos empíricos'!K2^2+('Modelos Propostos'!E2-'Modelos normativos'!AQ2)*4.10553</f>
        <v>#REF!</v>
      </c>
      <c r="H2" s="4" t="e">
        <f aca="false">0.03283*(J2+K2)</f>
        <v>#REF!</v>
      </c>
      <c r="I2" s="4" t="e">
        <f aca="false">(1.61428/'Dataset experimental'!Q2)^3</f>
        <v>#REF!</v>
      </c>
      <c r="J2" s="4" t="e">
        <f aca="false">SIN('Dataset experimental'!E2)+1.450178*(SIN('Avaliação do resultado ML'!I2)+'Dataset experimental'!C2)</f>
        <v>#REF!</v>
      </c>
      <c r="K2" s="4" t="e">
        <f aca="false">('Modelos empíricos'!C2-'Dataset experimental'!G2)*'Dataset experimental'!AE2-'Modelos normativos'!AP2</f>
        <v>#REF!</v>
      </c>
      <c r="L2" s="4" t="n">
        <f aca="false">0.0076*'Dataset experimental'!B2+'Avaliação do resultado ML'!M2+'Avaliação do resultado ML'!N2+(-0.0328)*(0.0171*'Dataset experimental'!AD2-0.9442)*'Avaliação do resultado ML'!O2-'Avaliação do resultado ML'!P2-0.0364</f>
        <v>0.10422530006953</v>
      </c>
      <c r="M2" s="12" t="n">
        <f aca="false">0.03283*SIN(0.7328*'Dataset experimental'!D2-1.8266)</f>
        <v>-0.0115958827834406</v>
      </c>
      <c r="N2" s="12" t="n">
        <f aca="false">0.0476*SIN(4.2067/(0.0095*'Dataset experimental'!P2-1.9338)^3)</f>
        <v>0.0219282240558747</v>
      </c>
      <c r="O2" s="12" t="n">
        <f aca="false">0.0214*'Dataset experimental'!F2-3.1067*'Dataset experimental'!B2*'Dataset experimental'!P2*('Dataset experimental'!T2-'Dataset experimental'!R2)*(0.39*'Dataset experimental'!P2*'Dataset experimental'!T2/'Dataset experimental'!V2-'Dataset experimental'!Z2+3.12)/(100000*'Dataset experimental'!V2)+0.7995</f>
        <v>1.77095567649627</v>
      </c>
      <c r="P2" s="12" t="n">
        <f aca="false">0.4461*('Dataset experimental'!Z2-0.6*'Modelos normativos'!AB2)*(3.4*'Dataset experimental'!L2+0.17*'Dataset experimental'!B2/'Modelos normativos'!AC2)/200000</f>
        <v>0.0558926061820997</v>
      </c>
      <c r="Q2" s="4" t="e">
        <f aca="false">L2/H2</f>
        <v>#REF!</v>
      </c>
      <c r="R2" s="4" t="e">
        <f aca="false">(-0.042-0.014*'Com TS variável MC2020'!Q11)*('Modelos normativos'!AP2-ABS('Modelos Propostos'!K2)-'Dataset experimental'!W2+COS(S2))</f>
        <v>#REF!</v>
      </c>
      <c r="S2" s="4" t="e">
        <f aca="false">'Dataset experimental'!O2-('Modelos normativos'!AQ2-SIN(0.083/('Dataset experimental'!M2-'Dataset experimental'!O2))-'Modelos empíricos'!I2)/0.646</f>
        <v>#REF!</v>
      </c>
      <c r="W2" s="4" t="e">
        <f aca="false">'Modelos normativos'!S2+'Avaliação do resultado ML'!A2</f>
        <v>#REF!</v>
      </c>
      <c r="X2" s="4" t="e">
        <f aca="false">W2/'Dataset experimental'!$AF2</f>
        <v>#REF!</v>
      </c>
      <c r="AJ2" s="4" t="e">
        <f aca="false">'Modelos Propostos'!B2+H2</f>
        <v>#REF!</v>
      </c>
      <c r="AK2" s="4" t="e">
        <f aca="false">AJ2/'Dataset experimental'!$AF2</f>
        <v>#REF!</v>
      </c>
      <c r="AV2" s="4" t="e">
        <f aca="false">'Modelos normativos'!S2+F2</f>
        <v>#REF!</v>
      </c>
      <c r="AW2" s="4" t="e">
        <f aca="false">AV2/'Dataset experimental'!$AF2</f>
        <v>#REF!</v>
      </c>
      <c r="BH2" s="4" t="e">
        <f aca="false">'Modelos Propostos'!B2+R2</f>
        <v>#REF!</v>
      </c>
      <c r="BI2" s="4" t="e">
        <f aca="false">BH2/'Dataset experimental'!$AF2</f>
        <v>#REF!</v>
      </c>
      <c r="BT2" s="4" t="n">
        <f aca="false">'Modelos Propostos'!B2+L2</f>
        <v>0.206355024043208</v>
      </c>
      <c r="BU2" s="4" t="n">
        <f aca="false">BT2/'Dataset experimental'!$AF2</f>
        <v>1.28971890027005</v>
      </c>
    </row>
    <row r="3" customFormat="false" ht="14.25" hidden="false" customHeight="false" outlineLevel="0" collapsed="false">
      <c r="A3" s="4" t="e">
        <f aca="false">0.0894*ABS(D3)-0.01603*E3</f>
        <v>#REF!</v>
      </c>
      <c r="B3" s="12" t="e">
        <f aca="false">'Dataset experimental'!K3*COS('Dataset experimental'!AC3)-'Dataset experimental'!M3-'Dataset experimental'!C3</f>
        <v>#REF!</v>
      </c>
      <c r="C3" s="12" t="e">
        <f aca="false">('Dataset experimental'!AE3+SIN('Avaliação do resultado ML'!B3))*0.70674187</f>
        <v>#REF!</v>
      </c>
      <c r="D3" s="12" t="e">
        <f aca="false">'Modelos Propostos'!E3+'Avaliação do resultado ML'!C3-'Modelos normativos'!AQ3</f>
        <v>#REF!</v>
      </c>
      <c r="E3" s="12" t="n">
        <f aca="false">'Modelos empíricos'!I3+1.1854</f>
        <v>1.79775542704037</v>
      </c>
      <c r="F3" s="4" t="e">
        <f aca="false">-0.01753*('Modelos normativos'!AN3-'Dataset experimental'!C3-ABS(G3)-('Modelos Propostos'!E3-'Modelos normativos'!AP3)/0.25291)</f>
        <v>#REF!</v>
      </c>
      <c r="G3" s="4" t="e">
        <f aca="false">'Dataset experimental'!K3+'Modelos empíricos'!K3^2+('Modelos Propostos'!E3-'Modelos normativos'!AQ3)*4.10553</f>
        <v>#REF!</v>
      </c>
      <c r="H3" s="4" t="e">
        <f aca="false">0.03283*(J3+K3)</f>
        <v>#REF!</v>
      </c>
      <c r="I3" s="4" t="e">
        <f aca="false">(1.61428/'Dataset experimental'!Q3)^3</f>
        <v>#REF!</v>
      </c>
      <c r="J3" s="4" t="e">
        <f aca="false">SIN('Dataset experimental'!E3)+1.450178*(SIN('Avaliação do resultado ML'!I3)+'Dataset experimental'!C3)</f>
        <v>#REF!</v>
      </c>
      <c r="K3" s="4" t="e">
        <f aca="false">('Modelos empíricos'!C3-'Dataset experimental'!G3)*'Dataset experimental'!AE3-'Modelos normativos'!AP3</f>
        <v>#REF!</v>
      </c>
      <c r="L3" s="4" t="n">
        <f aca="false">0.0076*'Dataset experimental'!B3+'Avaliação do resultado ML'!M3+'Avaliação do resultado ML'!N3+(-0.0328)*(0.0171*'Dataset experimental'!AD3-0.9442)*'Avaliação do resultado ML'!O3-'Avaliação do resultado ML'!P3-0.0364</f>
        <v>0.0655338761787309</v>
      </c>
      <c r="M3" s="12" t="n">
        <f aca="false">0.03283*SIN(0.7328*'Dataset experimental'!D3-1.8266)</f>
        <v>-0.0115958827834406</v>
      </c>
      <c r="N3" s="12" t="n">
        <f aca="false">0.0476*SIN(4.2067/(0.0095*'Dataset experimental'!P3-1.9338)^3)</f>
        <v>0.0219282240558747</v>
      </c>
      <c r="O3" s="12" t="n">
        <f aca="false">0.0214*'Dataset experimental'!F3-3.1067*'Dataset experimental'!B3*'Dataset experimental'!P3*('Dataset experimental'!T3-'Dataset experimental'!R3)*(0.39*'Dataset experimental'!P3*'Dataset experimental'!T3/'Dataset experimental'!V3-'Dataset experimental'!Z3+3.12)/(100000*'Dataset experimental'!V3)+0.7995</f>
        <v>1.16718488569814</v>
      </c>
      <c r="P3" s="12" t="n">
        <f aca="false">0.4461*('Dataset experimental'!Z3-0.6*'Modelos normativos'!AB3)*(3.4*'Dataset experimental'!L3+0.17*'Dataset experimental'!B3/'Modelos normativos'!AC3)/200000</f>
        <v>0.0786739378971548</v>
      </c>
      <c r="Q3" s="4" t="e">
        <f aca="false">L3/H3</f>
        <v>#REF!</v>
      </c>
      <c r="R3" s="4" t="e">
        <f aca="false">(-0.042-0.014*'Com TS variável MC2020'!Q12)*('Modelos normativos'!AP3-ABS('Modelos Propostos'!K3)-'Dataset experimental'!W3+COS(S3))</f>
        <v>#REF!</v>
      </c>
      <c r="S3" s="4" t="e">
        <f aca="false">'Dataset experimental'!O3-('Modelos normativos'!AQ3-SIN(0.083/('Dataset experimental'!M3-'Dataset experimental'!O3))-'Modelos empíricos'!I3)/0.646</f>
        <v>#REF!</v>
      </c>
      <c r="W3" s="4" t="e">
        <f aca="false">'Modelos normativos'!S3+'Avaliação do resultado ML'!A3</f>
        <v>#REF!</v>
      </c>
      <c r="X3" s="4" t="e">
        <f aca="false">W3/'Dataset experimental'!$AF3</f>
        <v>#REF!</v>
      </c>
      <c r="AJ3" s="4" t="e">
        <f aca="false">'Modelos Propostos'!B3+H3</f>
        <v>#REF!</v>
      </c>
      <c r="AK3" s="4" t="e">
        <f aca="false">AJ3/'Dataset experimental'!$AF3</f>
        <v>#REF!</v>
      </c>
      <c r="AV3" s="4" t="e">
        <f aca="false">'Modelos normativos'!S3+F3</f>
        <v>#REF!</v>
      </c>
      <c r="AW3" s="4" t="e">
        <f aca="false">AV3/'Dataset experimental'!$AF3</f>
        <v>#REF!</v>
      </c>
      <c r="BH3" s="4" t="e">
        <f aca="false">'Modelos Propostos'!B3+R3</f>
        <v>#REF!</v>
      </c>
      <c r="BI3" s="4" t="e">
        <f aca="false">BH3/'Dataset experimental'!$AF3</f>
        <v>#REF!</v>
      </c>
      <c r="BT3" s="4" t="n">
        <f aca="false">'Modelos Propostos'!B3+L3</f>
        <v>0.256316392734287</v>
      </c>
      <c r="BU3" s="4" t="n">
        <f aca="false">BT3/'Dataset experimental'!$AF3</f>
        <v>1.11441909884473</v>
      </c>
    </row>
    <row r="4" customFormat="false" ht="14.25" hidden="false" customHeight="false" outlineLevel="0" collapsed="false">
      <c r="A4" s="4" t="e">
        <f aca="false">0.0894*ABS(D4)-0.01603*E4</f>
        <v>#REF!</v>
      </c>
      <c r="B4" s="12" t="e">
        <f aca="false">'Dataset experimental'!K4*COS('Dataset experimental'!AC4)-'Dataset experimental'!M4-'Dataset experimental'!C4</f>
        <v>#REF!</v>
      </c>
      <c r="C4" s="12" t="e">
        <f aca="false">('Dataset experimental'!AE4+SIN('Avaliação do resultado ML'!B4))*0.70674187</f>
        <v>#REF!</v>
      </c>
      <c r="D4" s="12" t="e">
        <f aca="false">'Modelos Propostos'!E4+'Avaliação do resultado ML'!C4-'Modelos normativos'!AQ4</f>
        <v>#REF!</v>
      </c>
      <c r="E4" s="12" t="n">
        <f aca="false">'Modelos empíricos'!I4+1.1854</f>
        <v>1.93630570551918</v>
      </c>
      <c r="F4" s="4" t="e">
        <f aca="false">-0.01753*('Modelos normativos'!AN4-'Dataset experimental'!C4-ABS(G4)-('Modelos Propostos'!E4-'Modelos normativos'!AP4)/0.25291)</f>
        <v>#REF!</v>
      </c>
      <c r="G4" s="4" t="e">
        <f aca="false">'Dataset experimental'!K4+'Modelos empíricos'!K4^2+('Modelos Propostos'!E4-'Modelos normativos'!AQ4)*4.10553</f>
        <v>#REF!</v>
      </c>
      <c r="H4" s="4" t="e">
        <f aca="false">0.03283*(J4+K4)</f>
        <v>#REF!</v>
      </c>
      <c r="I4" s="4" t="e">
        <f aca="false">(1.61428/'Dataset experimental'!Q4)^3</f>
        <v>#REF!</v>
      </c>
      <c r="J4" s="4" t="e">
        <f aca="false">SIN('Dataset experimental'!E4)+1.450178*(SIN('Avaliação do resultado ML'!I4)+'Dataset experimental'!C4)</f>
        <v>#REF!</v>
      </c>
      <c r="K4" s="4" t="e">
        <f aca="false">('Modelos empíricos'!C4-'Dataset experimental'!G4)*'Dataset experimental'!AE4-'Modelos normativos'!AP4</f>
        <v>#REF!</v>
      </c>
      <c r="L4" s="4" t="n">
        <f aca="false">0.0076*'Dataset experimental'!B4+'Avaliação do resultado ML'!M4+'Avaliação do resultado ML'!N4+(-0.0328)*(0.0171*'Dataset experimental'!AD4-0.9442)*'Avaliação do resultado ML'!O4-'Avaliação do resultado ML'!P4-0.0364</f>
        <v>0.060523580889422</v>
      </c>
      <c r="M4" s="12" t="n">
        <f aca="false">0.03283*SIN(0.7328*'Dataset experimental'!D4-1.8266)</f>
        <v>-0.0115958827834406</v>
      </c>
      <c r="N4" s="12" t="n">
        <f aca="false">0.0476*SIN(4.2067/(0.0095*'Dataset experimental'!P4-1.9338)^3)</f>
        <v>0.0219282240558747</v>
      </c>
      <c r="O4" s="12" t="n">
        <f aca="false">0.0214*'Dataset experimental'!F4-3.1067*'Dataset experimental'!B4*'Dataset experimental'!P4*('Dataset experimental'!T4-'Dataset experimental'!R4)*(0.39*'Dataset experimental'!P4*'Dataset experimental'!T4/'Dataset experimental'!V4-'Dataset experimental'!Z4+3.12)/(100000*'Dataset experimental'!V4)+0.7995</f>
        <v>1.08358585312609</v>
      </c>
      <c r="P4" s="12" t="n">
        <f aca="false">0.4461*('Dataset experimental'!Z4-0.6*'Modelos normativos'!AB4)*(3.4*'Dataset experimental'!L4+0.17*'Dataset experimental'!B4/'Modelos normativos'!AC4)/200000</f>
        <v>0.081828276134624</v>
      </c>
      <c r="Q4" s="4" t="e">
        <f aca="false">L4/H4</f>
        <v>#REF!</v>
      </c>
      <c r="R4" s="4" t="e">
        <f aca="false">(-0.042-0.014*'Com TS variável MC2020'!Q13)*('Modelos normativos'!AP4-ABS('Modelos Propostos'!K4)-'Dataset experimental'!W4+COS(S4))</f>
        <v>#REF!</v>
      </c>
      <c r="S4" s="4" t="e">
        <f aca="false">'Dataset experimental'!O4-('Modelos normativos'!AQ4-SIN(0.083/('Dataset experimental'!M4-'Dataset experimental'!O4))-'Modelos empíricos'!I4)/0.646</f>
        <v>#REF!</v>
      </c>
      <c r="W4" s="4" t="e">
        <f aca="false">'Modelos normativos'!S4+'Avaliação do resultado ML'!A4</f>
        <v>#REF!</v>
      </c>
      <c r="X4" s="4" t="e">
        <f aca="false">W4/'Dataset experimental'!$AF4</f>
        <v>#REF!</v>
      </c>
      <c r="AJ4" s="4" t="e">
        <f aca="false">'Modelos Propostos'!B4+H4</f>
        <v>#REF!</v>
      </c>
      <c r="AK4" s="4" t="e">
        <f aca="false">AJ4/'Dataset experimental'!$AF4</f>
        <v>#REF!</v>
      </c>
      <c r="AV4" s="4" t="e">
        <f aca="false">'Modelos normativos'!S4+F4</f>
        <v>#REF!</v>
      </c>
      <c r="AW4" s="4" t="e">
        <f aca="false">AV4/'Dataset experimental'!$AF4</f>
        <v>#REF!</v>
      </c>
      <c r="BH4" s="4" t="e">
        <f aca="false">'Modelos Propostos'!B4+R4</f>
        <v>#REF!</v>
      </c>
      <c r="BI4" s="4" t="e">
        <f aca="false">BH4/'Dataset experimental'!$AF4</f>
        <v>#REF!</v>
      </c>
      <c r="BT4" s="4" t="n">
        <f aca="false">'Modelos Propostos'!B4+L4</f>
        <v>0.263581099494777</v>
      </c>
      <c r="BU4" s="4" t="n">
        <f aca="false">BT4/'Dataset experimental'!$AF4</f>
        <v>1.09825458122824</v>
      </c>
    </row>
    <row r="5" customFormat="false" ht="14.25" hidden="false" customHeight="false" outlineLevel="0" collapsed="false">
      <c r="A5" s="4" t="e">
        <f aca="false">0.0894*ABS(D5)-0.01603*E5</f>
        <v>#REF!</v>
      </c>
      <c r="B5" s="12" t="e">
        <f aca="false">'Dataset experimental'!K5*COS('Dataset experimental'!AC5)-'Dataset experimental'!M5-'Dataset experimental'!C5</f>
        <v>#REF!</v>
      </c>
      <c r="C5" s="12" t="e">
        <f aca="false">('Dataset experimental'!AE5+SIN('Avaliação do resultado ML'!B5))*0.70674187</f>
        <v>#REF!</v>
      </c>
      <c r="D5" s="12" t="e">
        <f aca="false">'Modelos Propostos'!E5+'Avaliação do resultado ML'!C5-'Modelos normativos'!AQ5</f>
        <v>#REF!</v>
      </c>
      <c r="E5" s="12" t="n">
        <f aca="false">'Modelos empíricos'!I5+1.1854</f>
        <v>2.61366262252671</v>
      </c>
      <c r="F5" s="4" t="e">
        <f aca="false">-0.01753*('Modelos normativos'!AN5-'Dataset experimental'!C5-ABS(G5)-('Modelos Propostos'!E5-'Modelos normativos'!AP5)/0.25291)</f>
        <v>#REF!</v>
      </c>
      <c r="G5" s="4" t="e">
        <f aca="false">'Dataset experimental'!K5+'Modelos empíricos'!K5^2+('Modelos Propostos'!E5-'Modelos normativos'!AQ5)*4.10553</f>
        <v>#REF!</v>
      </c>
      <c r="H5" s="4" t="e">
        <f aca="false">0.03283*(J5+K5)</f>
        <v>#REF!</v>
      </c>
      <c r="I5" s="4" t="e">
        <f aca="false">(1.61428/'Dataset experimental'!Q5)^3</f>
        <v>#REF!</v>
      </c>
      <c r="J5" s="4" t="e">
        <f aca="false">SIN('Dataset experimental'!E5)+1.450178*(SIN('Avaliação do resultado ML'!I5)+'Dataset experimental'!C5)</f>
        <v>#REF!</v>
      </c>
      <c r="K5" s="4" t="e">
        <f aca="false">('Modelos empíricos'!C5-'Dataset experimental'!G5)*'Dataset experimental'!AE5-'Modelos normativos'!AP5</f>
        <v>#REF!</v>
      </c>
      <c r="L5" s="4" t="n">
        <f aca="false">0.0076*'Dataset experimental'!B5+'Avaliação do resultado ML'!M5+'Avaliação do resultado ML'!N5+(-0.0328)*(0.0171*'Dataset experimental'!AD5-0.9442)*'Avaliação do resultado ML'!O5-'Avaliação do resultado ML'!P5-0.0364</f>
        <v>0.0372437506662135</v>
      </c>
      <c r="M5" s="12" t="n">
        <f aca="false">0.03283*SIN(0.7328*'Dataset experimental'!D5-1.8266)</f>
        <v>-0.0115958827834406</v>
      </c>
      <c r="N5" s="12" t="n">
        <f aca="false">0.0476*SIN(4.2067/(0.0095*'Dataset experimental'!P5-1.9338)^3)</f>
        <v>0.0219282240558747</v>
      </c>
      <c r="O5" s="12" t="n">
        <f aca="false">0.0214*'Dataset experimental'!F5-3.1067*'Dataset experimental'!B5*'Dataset experimental'!P5*('Dataset experimental'!T5-'Dataset experimental'!R5)*(0.39*'Dataset experimental'!P5*'Dataset experimental'!T5/'Dataset experimental'!V5-'Dataset experimental'!Z5+3.12)/(100000*'Dataset experimental'!V5)+0.7995</f>
        <v>0.674879471662737</v>
      </c>
      <c r="P5" s="12" t="n">
        <f aca="false">0.4461*('Dataset experimental'!Z5-0.6*'Modelos normativos'!AB5)*(3.4*'Dataset experimental'!L5+0.17*'Dataset experimental'!B5/'Modelos normativos'!AC5)/200000</f>
        <v>0.0972494852955844</v>
      </c>
      <c r="Q5" s="4" t="e">
        <f aca="false">L5/H5</f>
        <v>#REF!</v>
      </c>
      <c r="R5" s="4" t="e">
        <f aca="false">(-0.042-0.014*'Com TS variável MC2020'!Q14)*('Modelos normativos'!AP5-ABS('Modelos Propostos'!K5)-'Dataset experimental'!W5+COS(S5))</f>
        <v>#REF!</v>
      </c>
      <c r="S5" s="4" t="e">
        <f aca="false">'Dataset experimental'!O5-('Modelos normativos'!AQ5-SIN(0.083/('Dataset experimental'!M5-'Dataset experimental'!O5))-'Modelos empíricos'!I5)/0.646</f>
        <v>#REF!</v>
      </c>
      <c r="W5" s="4" t="e">
        <f aca="false">'Modelos normativos'!S5+'Avaliação do resultado ML'!A5</f>
        <v>#REF!</v>
      </c>
      <c r="X5" s="4" t="e">
        <f aca="false">W5/'Dataset experimental'!$AF5</f>
        <v>#REF!</v>
      </c>
      <c r="AJ5" s="4" t="e">
        <f aca="false">'Modelos Propostos'!B5+H5</f>
        <v>#REF!</v>
      </c>
      <c r="AK5" s="4" t="e">
        <f aca="false">AJ5/'Dataset experimental'!$AF5</f>
        <v>#REF!</v>
      </c>
      <c r="AV5" s="4" t="e">
        <f aca="false">'Modelos normativos'!S5+F5</f>
        <v>#REF!</v>
      </c>
      <c r="AW5" s="4" t="e">
        <f aca="false">AV5/'Dataset experimental'!$AF5</f>
        <v>#REF!</v>
      </c>
      <c r="BH5" s="4" t="e">
        <f aca="false">'Modelos Propostos'!B5+R5</f>
        <v>#REF!</v>
      </c>
      <c r="BI5" s="4" t="e">
        <f aca="false">BH5/'Dataset experimental'!$AF5</f>
        <v>#REF!</v>
      </c>
      <c r="BT5" s="4" t="n">
        <f aca="false">'Modelos Propostos'!B5+L5</f>
        <v>0.300312390403917</v>
      </c>
      <c r="BU5" s="4" t="n">
        <f aca="false">BT5/'Dataset experimental'!$AF5</f>
        <v>1.1122681126071</v>
      </c>
    </row>
    <row r="6" customFormat="false" ht="14.25" hidden="false" customHeight="false" outlineLevel="0" collapsed="false">
      <c r="A6" s="4" t="e">
        <f aca="false">0.0894*ABS(D6)-0.01603*E6</f>
        <v>#REF!</v>
      </c>
      <c r="B6" s="12" t="e">
        <f aca="false">'Dataset experimental'!K6*COS('Dataset experimental'!AC6)-'Dataset experimental'!M6-'Dataset experimental'!C6</f>
        <v>#REF!</v>
      </c>
      <c r="C6" s="12" t="e">
        <f aca="false">('Dataset experimental'!AE6+SIN('Avaliação do resultado ML'!B6))*0.70674187</f>
        <v>#REF!</v>
      </c>
      <c r="D6" s="12" t="e">
        <f aca="false">'Modelos Propostos'!E6+'Avaliação do resultado ML'!C6-'Modelos normativos'!AQ6</f>
        <v>#REF!</v>
      </c>
      <c r="E6" s="12" t="n">
        <f aca="false">'Modelos empíricos'!I6+1.1854</f>
        <v>3.9375875057687</v>
      </c>
      <c r="F6" s="4" t="e">
        <f aca="false">-0.01753*('Modelos normativos'!AN6-'Dataset experimental'!C6-ABS(G6)-('Modelos Propostos'!E6-'Modelos normativos'!AP6)/0.25291)</f>
        <v>#REF!</v>
      </c>
      <c r="G6" s="4" t="e">
        <f aca="false">'Dataset experimental'!K6+'Modelos empíricos'!K6^2+('Modelos Propostos'!E6-'Modelos normativos'!AQ6)*4.10553</f>
        <v>#REF!</v>
      </c>
      <c r="H6" s="4" t="e">
        <f aca="false">0.03283*(J6+K6)</f>
        <v>#REF!</v>
      </c>
      <c r="I6" s="4" t="e">
        <f aca="false">(1.61428/'Dataset experimental'!Q6)^3</f>
        <v>#REF!</v>
      </c>
      <c r="J6" s="4" t="e">
        <f aca="false">SIN('Dataset experimental'!E6)+1.450178*(SIN('Avaliação do resultado ML'!I6)+'Dataset experimental'!C6)</f>
        <v>#REF!</v>
      </c>
      <c r="K6" s="4" t="e">
        <f aca="false">('Modelos empíricos'!C6-'Dataset experimental'!G6)*'Dataset experimental'!AE6-'Modelos normativos'!AP6</f>
        <v>#REF!</v>
      </c>
      <c r="L6" s="4" t="n">
        <f aca="false">0.0076*'Dataset experimental'!B6+'Avaliação do resultado ML'!M6+'Avaliação do resultado ML'!N6+(-0.0328)*(0.0171*'Dataset experimental'!AD6-0.9442)*'Avaliação do resultado ML'!O6-'Avaliação do resultado ML'!P6-0.0364</f>
        <v>-0.00243307674749131</v>
      </c>
      <c r="M6" s="12" t="n">
        <f aca="false">0.03283*SIN(0.7328*'Dataset experimental'!D6-1.8266)</f>
        <v>-0.0115958827834406</v>
      </c>
      <c r="N6" s="12" t="n">
        <f aca="false">0.0476*SIN(4.2067/(0.0095*'Dataset experimental'!P6-1.9338)^3)</f>
        <v>0.0219282240558747</v>
      </c>
      <c r="O6" s="12" t="n">
        <f aca="false">0.0214*'Dataset experimental'!F6-3.1067*'Dataset experimental'!B6*'Dataset experimental'!P6*('Dataset experimental'!T6-'Dataset experimental'!R6)*(0.39*'Dataset experimental'!P6*'Dataset experimental'!T6/'Dataset experimental'!V6-'Dataset experimental'!Z6+3.12)/(100000*'Dataset experimental'!V6)+0.7995</f>
        <v>-0.123955728470173</v>
      </c>
      <c r="P6" s="12" t="n">
        <f aca="false">0.4461*('Dataset experimental'!Z6-0.6*'Modelos normativos'!AB6)*(3.4*'Dataset experimental'!L6+0.17*'Dataset experimental'!B6/'Modelos normativos'!AC6)/200000</f>
        <v>0.127390939564734</v>
      </c>
      <c r="Q6" s="4" t="e">
        <f aca="false">L6/H6</f>
        <v>#REF!</v>
      </c>
      <c r="R6" s="4" t="e">
        <f aca="false">(-0.042-0.014*'Com TS variável MC2020'!Q15)*('Modelos normativos'!AP6-ABS('Modelos Propostos'!K6)-'Dataset experimental'!W6+COS(S6))</f>
        <v>#REF!</v>
      </c>
      <c r="S6" s="4" t="e">
        <f aca="false">'Dataset experimental'!O6-('Modelos normativos'!AQ6-SIN(0.083/('Dataset experimental'!M6-'Dataset experimental'!O6))-'Modelos empíricos'!I6)/0.646</f>
        <v>#REF!</v>
      </c>
      <c r="W6" s="4" t="e">
        <f aca="false">'Modelos normativos'!S6+'Avaliação do resultado ML'!A6</f>
        <v>#REF!</v>
      </c>
      <c r="X6" s="4" t="e">
        <f aca="false">W6/'Dataset experimental'!$AF6</f>
        <v>#REF!</v>
      </c>
      <c r="AJ6" s="4" t="e">
        <f aca="false">'Modelos Propostos'!B6+H6</f>
        <v>#REF!</v>
      </c>
      <c r="AK6" s="4" t="e">
        <f aca="false">AJ6/'Dataset experimental'!$AF6</f>
        <v>#REF!</v>
      </c>
      <c r="AV6" s="4" t="e">
        <f aca="false">'Modelos normativos'!S6+F6</f>
        <v>#REF!</v>
      </c>
      <c r="AW6" s="4" t="e">
        <f aca="false">AV6/'Dataset experimental'!$AF6</f>
        <v>#REF!</v>
      </c>
      <c r="BH6" s="4" t="e">
        <f aca="false">'Modelos Propostos'!B6+R6</f>
        <v>#REF!</v>
      </c>
      <c r="BI6" s="4" t="e">
        <f aca="false">BH6/'Dataset experimental'!$AF6</f>
        <v>#REF!</v>
      </c>
      <c r="BT6" s="4" t="n">
        <f aca="false">'Modelos Propostos'!B6+L6</f>
        <v>0.377930027021621</v>
      </c>
      <c r="BU6" s="4" t="n">
        <f aca="false">BT6/'Dataset experimental'!$AF6</f>
        <v>1.07980007720463</v>
      </c>
    </row>
    <row r="7" customFormat="false" ht="14.25" hidden="false" customHeight="false" outlineLevel="0" collapsed="false">
      <c r="A7" s="4" t="e">
        <f aca="false">0.0894*ABS(D7)-0.01603*E7</f>
        <v>#REF!</v>
      </c>
      <c r="B7" s="12" t="e">
        <f aca="false">'Dataset experimental'!K7*COS('Dataset experimental'!AC7)-'Dataset experimental'!M7-'Dataset experimental'!C7</f>
        <v>#REF!</v>
      </c>
      <c r="C7" s="12" t="e">
        <f aca="false">('Dataset experimental'!AE7+SIN('Avaliação do resultado ML'!B7))*0.70674187</f>
        <v>#REF!</v>
      </c>
      <c r="D7" s="12" t="e">
        <f aca="false">'Modelos Propostos'!E7+'Avaliação do resultado ML'!C7-'Modelos normativos'!AQ7</f>
        <v>#REF!</v>
      </c>
      <c r="E7" s="12" t="n">
        <f aca="false">'Modelos empíricos'!I7+1.1854</f>
        <v>4.50166172033413</v>
      </c>
      <c r="F7" s="4" t="e">
        <f aca="false">-0.01753*('Modelos normativos'!AN7-'Dataset experimental'!C7-ABS(G7)-('Modelos Propostos'!E7-'Modelos normativos'!AP7)/0.25291)</f>
        <v>#REF!</v>
      </c>
      <c r="G7" s="4" t="e">
        <f aca="false">'Dataset experimental'!K7+'Modelos empíricos'!K7^2+('Modelos Propostos'!E7-'Modelos normativos'!AQ7)*4.10553</f>
        <v>#REF!</v>
      </c>
      <c r="H7" s="4" t="e">
        <f aca="false">0.03283*(J7+K7)</f>
        <v>#REF!</v>
      </c>
      <c r="I7" s="4" t="e">
        <f aca="false">(1.61428/'Dataset experimental'!Q7)^3</f>
        <v>#REF!</v>
      </c>
      <c r="J7" s="4" t="e">
        <f aca="false">SIN('Dataset experimental'!E7)+1.450178*(SIN('Avaliação do resultado ML'!I7)+'Dataset experimental'!C7)</f>
        <v>#REF!</v>
      </c>
      <c r="K7" s="4" t="e">
        <f aca="false">('Modelos empíricos'!C7-'Dataset experimental'!G7)*'Dataset experimental'!AE7-'Modelos normativos'!AP7</f>
        <v>#REF!</v>
      </c>
      <c r="L7" s="4" t="n">
        <f aca="false">0.0076*'Dataset experimental'!B7+'Avaliação do resultado ML'!M7+'Avaliação do resultado ML'!N7+(-0.0328)*(0.0171*'Dataset experimental'!AD7-0.9442)*'Avaliação do resultado ML'!O7-'Avaliação do resultado ML'!P7-0.0364</f>
        <v>-0.0169873373405982</v>
      </c>
      <c r="M7" s="12" t="n">
        <f aca="false">0.03283*SIN(0.7328*'Dataset experimental'!D7-1.8266)</f>
        <v>-0.0115958827834406</v>
      </c>
      <c r="N7" s="12" t="n">
        <f aca="false">0.0476*SIN(4.2067/(0.0095*'Dataset experimental'!P7-1.9338)^3)</f>
        <v>0.0219282240558747</v>
      </c>
      <c r="O7" s="12" t="n">
        <f aca="false">0.0214*'Dataset experimental'!F7-3.1067*'Dataset experimental'!B7*'Dataset experimental'!P7*('Dataset experimental'!T7-'Dataset experimental'!R7)*(0.39*'Dataset experimental'!P7*'Dataset experimental'!T7/'Dataset experimental'!V7-'Dataset experimental'!Z7+3.12)/(100000*'Dataset experimental'!V7)+0.7995</f>
        <v>-0.464309130529336</v>
      </c>
      <c r="P7" s="12" t="n">
        <f aca="false">0.4461*('Dataset experimental'!Z7-0.6*'Modelos normativos'!AB7)*(3.4*'Dataset experimental'!L7+0.17*'Dataset experimental'!B7/'Modelos normativos'!AC7)/200000</f>
        <v>0.140233070835125</v>
      </c>
      <c r="Q7" s="4" t="e">
        <f aca="false">L7/H7</f>
        <v>#REF!</v>
      </c>
      <c r="R7" s="4" t="e">
        <f aca="false">(-0.042-0.014*'Com TS variável MC2020'!Q16)*('Modelos normativos'!AP7-ABS('Modelos Propostos'!K7)-'Dataset experimental'!W7+COS(S7))</f>
        <v>#REF!</v>
      </c>
      <c r="S7" s="4" t="e">
        <f aca="false">'Dataset experimental'!O7-('Modelos normativos'!AQ7-SIN(0.083/('Dataset experimental'!M7-'Dataset experimental'!O7))-'Modelos empíricos'!I7)/0.646</f>
        <v>#REF!</v>
      </c>
      <c r="W7" s="4" t="e">
        <f aca="false">'Modelos normativos'!S7+'Avaliação do resultado ML'!A7</f>
        <v>#REF!</v>
      </c>
      <c r="X7" s="4" t="e">
        <f aca="false">W7/'Dataset experimental'!$AF7</f>
        <v>#REF!</v>
      </c>
      <c r="AJ7" s="4" t="e">
        <f aca="false">'Modelos Propostos'!B7+H7</f>
        <v>#REF!</v>
      </c>
      <c r="AK7" s="4" t="e">
        <f aca="false">AJ7/'Dataset experimental'!$AF7</f>
        <v>#REF!</v>
      </c>
      <c r="AV7" s="4" t="e">
        <f aca="false">'Modelos normativos'!S7+F7</f>
        <v>#REF!</v>
      </c>
      <c r="AW7" s="4" t="e">
        <f aca="false">AV7/'Dataset experimental'!$AF7</f>
        <v>#REF!</v>
      </c>
      <c r="BH7" s="4" t="e">
        <f aca="false">'Modelos Propostos'!B7+R7</f>
        <v>#REF!</v>
      </c>
      <c r="BI7" s="4" t="e">
        <f aca="false">BH7/'Dataset experimental'!$AF7</f>
        <v>#REF!</v>
      </c>
      <c r="BT7" s="4" t="n">
        <f aca="false">'Modelos Propostos'!B7+L7</f>
        <v>0.4038186333202</v>
      </c>
      <c r="BU7" s="4" t="n">
        <f aca="false">BT7/'Dataset experimental'!$AF7</f>
        <v>1.0095465833005</v>
      </c>
    </row>
    <row r="8" customFormat="false" ht="14.25" hidden="false" customHeight="false" outlineLevel="0" collapsed="false">
      <c r="A8" s="4" t="e">
        <f aca="false">0.0894*ABS(D8)-0.01603*E8</f>
        <v>#REF!</v>
      </c>
      <c r="B8" s="12" t="e">
        <f aca="false">'Dataset experimental'!K8*COS('Dataset experimental'!AC8)-'Dataset experimental'!M8-'Dataset experimental'!C8</f>
        <v>#REF!</v>
      </c>
      <c r="C8" s="12" t="e">
        <f aca="false">('Dataset experimental'!AE8+SIN('Avaliação do resultado ML'!B8))*0.70674187</f>
        <v>#REF!</v>
      </c>
      <c r="D8" s="12" t="e">
        <f aca="false">'Modelos Propostos'!E8+'Avaliação do resultado ML'!C8-'Modelos normativos'!AQ8</f>
        <v>#REF!</v>
      </c>
      <c r="E8" s="12" t="n">
        <f aca="false">'Modelos empíricos'!I8+1.1854</f>
        <v>-0.358879814041981</v>
      </c>
      <c r="F8" s="4" t="e">
        <f aca="false">-0.01753*('Modelos normativos'!AN8-'Dataset experimental'!C8-ABS(G8)-('Modelos Propostos'!E8-'Modelos normativos'!AP8)/0.25291)</f>
        <v>#REF!</v>
      </c>
      <c r="G8" s="4" t="e">
        <f aca="false">'Dataset experimental'!K8+'Modelos empíricos'!K8^2+('Modelos Propostos'!E8-'Modelos normativos'!AQ8)*4.10553</f>
        <v>#REF!</v>
      </c>
      <c r="H8" s="4" t="e">
        <f aca="false">0.03283*(J8+K8)</f>
        <v>#REF!</v>
      </c>
      <c r="I8" s="4" t="e">
        <f aca="false">(1.61428/'Dataset experimental'!Q8)^3</f>
        <v>#REF!</v>
      </c>
      <c r="J8" s="4" t="e">
        <f aca="false">SIN('Dataset experimental'!E8)+1.450178*(SIN('Avaliação do resultado ML'!I8)+'Dataset experimental'!C8)</f>
        <v>#REF!</v>
      </c>
      <c r="K8" s="4" t="e">
        <f aca="false">('Modelos empíricos'!C8-'Dataset experimental'!G8)*'Dataset experimental'!AE8-'Modelos normativos'!AP8</f>
        <v>#REF!</v>
      </c>
      <c r="L8" s="4" t="n">
        <f aca="false">0.0076*'Dataset experimental'!B8+'Avaliação do resultado ML'!M8+'Avaliação do resultado ML'!N8+(-0.0328)*(0.0171*'Dataset experimental'!AD8-0.9442)*'Avaliação do resultado ML'!O8-'Avaliação do resultado ML'!P8-0.0364</f>
        <v>-0.120844984198985</v>
      </c>
      <c r="M8" s="12" t="n">
        <f aca="false">0.03283*SIN(0.7328*'Dataset experimental'!D8-1.8266)</f>
        <v>-0.0255979783279004</v>
      </c>
      <c r="N8" s="12" t="n">
        <f aca="false">0.0476*SIN(4.2067/(0.0095*'Dataset experimental'!P8-1.9338)^3)</f>
        <v>-0.0437362025464427</v>
      </c>
      <c r="O8" s="12" t="n">
        <f aca="false">0.0214*'Dataset experimental'!F8-3.1067*'Dataset experimental'!B8*'Dataset experimental'!P8*('Dataset experimental'!T8-'Dataset experimental'!R8)*(0.39*'Dataset experimental'!P8*'Dataset experimental'!T8/'Dataset experimental'!V8-'Dataset experimental'!Z8+3.12)/(100000*'Dataset experimental'!V8)+0.7995</f>
        <v>0.944842377252447</v>
      </c>
      <c r="P8" s="12" t="n">
        <f aca="false">0.4461*('Dataset experimental'!Z8-0.6*'Modelos normativos'!AB8)*(3.4*'Dataset experimental'!L8+0.17*'Dataset experimental'!B8/'Modelos normativos'!AC8)/200000</f>
        <v>0.064728309767878</v>
      </c>
      <c r="Q8" s="4" t="e">
        <f aca="false">L8/H8</f>
        <v>#REF!</v>
      </c>
      <c r="R8" s="4" t="e">
        <f aca="false">(-0.042-0.014*'Com TS variável MC2020'!Q17)*('Modelos normativos'!AP8-ABS('Modelos Propostos'!K8)-'Dataset experimental'!W8+COS(S8))</f>
        <v>#REF!</v>
      </c>
      <c r="S8" s="4" t="e">
        <f aca="false">'Dataset experimental'!O8-('Modelos normativos'!AQ8-SIN(0.083/('Dataset experimental'!M8-'Dataset experimental'!O8))-'Modelos empíricos'!I8)/0.646</f>
        <v>#REF!</v>
      </c>
      <c r="W8" s="4" t="e">
        <f aca="false">'Modelos normativos'!S8+'Avaliação do resultado ML'!A8</f>
        <v>#REF!</v>
      </c>
      <c r="X8" s="4" t="e">
        <f aca="false">W8/'Dataset experimental'!$AF8</f>
        <v>#REF!</v>
      </c>
      <c r="AJ8" s="4" t="e">
        <f aca="false">'Modelos Propostos'!B8+H8</f>
        <v>#REF!</v>
      </c>
      <c r="AK8" s="4" t="e">
        <f aca="false">AJ8/'Dataset experimental'!$AF8</f>
        <v>#REF!</v>
      </c>
      <c r="AV8" s="4" t="e">
        <f aca="false">'Modelos normativos'!S8+F8</f>
        <v>#REF!</v>
      </c>
      <c r="AW8" s="4" t="e">
        <f aca="false">AV8/'Dataset experimental'!$AF8</f>
        <v>#REF!</v>
      </c>
      <c r="BH8" s="4" t="e">
        <f aca="false">'Modelos Propostos'!B8+R8</f>
        <v>#REF!</v>
      </c>
      <c r="BI8" s="4" t="e">
        <f aca="false">BH8/'Dataset experimental'!$AF8</f>
        <v>#REF!</v>
      </c>
      <c r="BT8" s="4" t="n">
        <f aca="false">'Modelos Propostos'!B8+L8</f>
        <v>0.0996743817460216</v>
      </c>
      <c r="BU8" s="4" t="n">
        <f aca="false">BT8/'Dataset experimental'!$AF8</f>
        <v>0.622964885912635</v>
      </c>
    </row>
    <row r="9" customFormat="false" ht="14.25" hidden="false" customHeight="false" outlineLevel="0" collapsed="false">
      <c r="A9" s="4" t="e">
        <f aca="false">0.0894*ABS(D9)-0.01603*E9</f>
        <v>#REF!</v>
      </c>
      <c r="B9" s="12" t="e">
        <f aca="false">'Dataset experimental'!K9*COS('Dataset experimental'!AC9)-'Dataset experimental'!M9-'Dataset experimental'!C9</f>
        <v>#REF!</v>
      </c>
      <c r="C9" s="12" t="e">
        <f aca="false">('Dataset experimental'!AE9+SIN('Avaliação do resultado ML'!B9))*0.70674187</f>
        <v>#REF!</v>
      </c>
      <c r="D9" s="12" t="e">
        <f aca="false">'Modelos Propostos'!E9+'Avaliação do resultado ML'!C9-'Modelos normativos'!AQ9</f>
        <v>#REF!</v>
      </c>
      <c r="E9" s="12" t="n">
        <f aca="false">'Modelos empíricos'!I9+1.1854</f>
        <v>-0.121846998164978</v>
      </c>
      <c r="F9" s="4" t="e">
        <f aca="false">-0.01753*('Modelos normativos'!AN9-'Dataset experimental'!C9-ABS(G9)-('Modelos Propostos'!E9-'Modelos normativos'!AP9)/0.25291)</f>
        <v>#REF!</v>
      </c>
      <c r="G9" s="4" t="e">
        <f aca="false">'Dataset experimental'!K9+'Modelos empíricos'!K9^2+('Modelos Propostos'!E9-'Modelos normativos'!AQ9)*4.10553</f>
        <v>#REF!</v>
      </c>
      <c r="H9" s="4" t="e">
        <f aca="false">0.03283*(J9+K9)</f>
        <v>#REF!</v>
      </c>
      <c r="I9" s="4" t="e">
        <f aca="false">(1.61428/'Dataset experimental'!Q9)^3</f>
        <v>#REF!</v>
      </c>
      <c r="J9" s="4" t="e">
        <f aca="false">SIN('Dataset experimental'!E9)+1.450178*(SIN('Avaliação do resultado ML'!I9)+'Dataset experimental'!C9)</f>
        <v>#REF!</v>
      </c>
      <c r="K9" s="4" t="e">
        <f aca="false">('Modelos empíricos'!C9-'Dataset experimental'!G9)*'Dataset experimental'!AE9-'Modelos normativos'!AP9</f>
        <v>#REF!</v>
      </c>
      <c r="L9" s="4" t="n">
        <f aca="false">0.0076*'Dataset experimental'!B9+'Avaliação do resultado ML'!M9+'Avaliação do resultado ML'!N9+(-0.0328)*(0.0171*'Dataset experimental'!AD9-0.9442)*'Avaliação do resultado ML'!O9-'Avaliação do resultado ML'!P9-0.0364</f>
        <v>-0.135065269732098</v>
      </c>
      <c r="M9" s="12" t="n">
        <f aca="false">0.03283*SIN(0.7328*'Dataset experimental'!D9-1.8266)</f>
        <v>-0.0255979783279004</v>
      </c>
      <c r="N9" s="12" t="n">
        <f aca="false">0.0476*SIN(4.2067/(0.0095*'Dataset experimental'!P9-1.9338)^3)</f>
        <v>-0.0437362025464427</v>
      </c>
      <c r="O9" s="12" t="n">
        <f aca="false">0.0214*'Dataset experimental'!F9-3.1067*'Dataset experimental'!B9*'Dataset experimental'!P9*('Dataset experimental'!T9-'Dataset experimental'!R9)*(0.39*'Dataset experimental'!P9*'Dataset experimental'!T9/'Dataset experimental'!V9-'Dataset experimental'!Z9+3.12)/(100000*'Dataset experimental'!V9)+0.7995</f>
        <v>0.58224523423365</v>
      </c>
      <c r="P9" s="12" t="n">
        <f aca="false">0.4461*('Dataset experimental'!Z9-0.6*'Modelos normativos'!AB9)*(3.4*'Dataset experimental'!L9+0.17*'Dataset experimental'!B9/'Modelos normativos'!AC9)/200000</f>
        <v>0.0843053470686693</v>
      </c>
      <c r="Q9" s="4" t="e">
        <f aca="false">L9/H9</f>
        <v>#REF!</v>
      </c>
      <c r="R9" s="4" t="e">
        <f aca="false">(-0.042-0.014*'Com TS variável MC2020'!Q18)*('Modelos normativos'!AP9-ABS('Modelos Propostos'!K9)-'Dataset experimental'!W9+COS(S9))</f>
        <v>#REF!</v>
      </c>
      <c r="S9" s="4" t="e">
        <f aca="false">'Dataset experimental'!O9-('Modelos normativos'!AQ9-SIN(0.083/('Dataset experimental'!M9-'Dataset experimental'!O9))-'Modelos empíricos'!I9)/0.646</f>
        <v>#REF!</v>
      </c>
      <c r="W9" s="4" t="e">
        <f aca="false">'Modelos normativos'!S9+'Avaliação do resultado ML'!A9</f>
        <v>#REF!</v>
      </c>
      <c r="X9" s="4" t="e">
        <f aca="false">W9/'Dataset experimental'!$AF9</f>
        <v>#REF!</v>
      </c>
      <c r="AJ9" s="4" t="e">
        <f aca="false">'Modelos Propostos'!B9+H9</f>
        <v>#REF!</v>
      </c>
      <c r="AK9" s="4" t="e">
        <f aca="false">AJ9/'Dataset experimental'!$AF9</f>
        <v>#REF!</v>
      </c>
      <c r="AV9" s="4" t="e">
        <f aca="false">'Modelos normativos'!S9+F9</f>
        <v>#REF!</v>
      </c>
      <c r="AW9" s="4" t="e">
        <f aca="false">AV9/'Dataset experimental'!$AF9</f>
        <v>#REF!</v>
      </c>
      <c r="BH9" s="4" t="e">
        <f aca="false">'Modelos Propostos'!B9+R9</f>
        <v>#REF!</v>
      </c>
      <c r="BI9" s="4" t="e">
        <f aca="false">BH9/'Dataset experimental'!$AF9</f>
        <v>#REF!</v>
      </c>
      <c r="BT9" s="4" t="n">
        <f aca="false">'Modelos Propostos'!B9+L9</f>
        <v>0.158223166628825</v>
      </c>
      <c r="BU9" s="4" t="n">
        <f aca="false">BT9/'Dataset experimental'!$AF9</f>
        <v>0.87901759238236</v>
      </c>
    </row>
    <row r="10" customFormat="false" ht="14.25" hidden="false" customHeight="false" outlineLevel="0" collapsed="false">
      <c r="A10" s="4" t="e">
        <f aca="false">0.0894*ABS(D10)-0.01603*E10</f>
        <v>#REF!</v>
      </c>
      <c r="B10" s="12" t="e">
        <f aca="false">'Dataset experimental'!K10*COS('Dataset experimental'!AC10)-'Dataset experimental'!M10-'Dataset experimental'!C10</f>
        <v>#REF!</v>
      </c>
      <c r="C10" s="12" t="e">
        <f aca="false">('Dataset experimental'!AE10+SIN('Avaliação do resultado ML'!B10))*0.70674187</f>
        <v>#REF!</v>
      </c>
      <c r="D10" s="12" t="e">
        <f aca="false">'Modelos Propostos'!E10+'Avaliação do resultado ML'!C10-'Modelos normativos'!AQ10</f>
        <v>#REF!</v>
      </c>
      <c r="E10" s="12" t="n">
        <f aca="false">'Modelos empíricos'!I10+1.1854</f>
        <v>0.575924199733624</v>
      </c>
      <c r="F10" s="4" t="e">
        <f aca="false">-0.01753*('Modelos normativos'!AN10-'Dataset experimental'!C10-ABS(G10)-('Modelos Propostos'!E10-'Modelos normativos'!AP10)/0.25291)</f>
        <v>#REF!</v>
      </c>
      <c r="G10" s="4" t="e">
        <f aca="false">'Dataset experimental'!K10+'Modelos empíricos'!K10^2+('Modelos Propostos'!E10-'Modelos normativos'!AQ10)*4.10553</f>
        <v>#REF!</v>
      </c>
      <c r="H10" s="4" t="e">
        <f aca="false">0.03283*(J10+K10)</f>
        <v>#REF!</v>
      </c>
      <c r="I10" s="4" t="e">
        <f aca="false">(1.61428/'Dataset experimental'!Q10)^3</f>
        <v>#REF!</v>
      </c>
      <c r="J10" s="4" t="e">
        <f aca="false">SIN('Dataset experimental'!E10)+1.450178*(SIN('Avaliação do resultado ML'!I10)+'Dataset experimental'!C10)</f>
        <v>#REF!</v>
      </c>
      <c r="K10" s="4" t="e">
        <f aca="false">('Modelos empíricos'!C10-'Dataset experimental'!G10)*'Dataset experimental'!AE10-'Modelos normativos'!AP10</f>
        <v>#REF!</v>
      </c>
      <c r="L10" s="4" t="n">
        <f aca="false">0.0076*'Dataset experimental'!B10+'Avaliação do resultado ML'!M10+'Avaliação do resultado ML'!N10+(-0.0328)*(0.0171*'Dataset experimental'!AD10-0.9442)*'Avaliação do resultado ML'!O10-'Avaliação do resultado ML'!P10-0.0364</f>
        <v>-0.139265353589709</v>
      </c>
      <c r="M10" s="12" t="n">
        <f aca="false">0.03283*SIN(0.7328*'Dataset experimental'!D10-1.8266)</f>
        <v>-0.0255979783279004</v>
      </c>
      <c r="N10" s="12" t="n">
        <f aca="false">0.0476*SIN(4.2067/(0.0095*'Dataset experimental'!P10-1.9338)^3)</f>
        <v>-0.0437362025464427</v>
      </c>
      <c r="O10" s="12" t="n">
        <f aca="false">0.0214*'Dataset experimental'!F10-3.1067*'Dataset experimental'!B10*'Dataset experimental'!P10*('Dataset experimental'!T10-'Dataset experimental'!R10)*(0.39*'Dataset experimental'!P10*'Dataset experimental'!T10/'Dataset experimental'!V10-'Dataset experimental'!Z10+3.12)/(100000*'Dataset experimental'!V10)+0.7995</f>
        <v>-0.485159048598325</v>
      </c>
      <c r="P10" s="12" t="n">
        <f aca="false">0.4461*('Dataset experimental'!Z10-0.6*'Modelos normativos'!AB10)*(3.4*'Dataset experimental'!L10+0.17*'Dataset experimental'!B10/'Modelos normativos'!AC10)/200000</f>
        <v>0.141935733469543</v>
      </c>
      <c r="Q10" s="4" t="e">
        <f aca="false">L10/H10</f>
        <v>#REF!</v>
      </c>
      <c r="R10" s="4" t="e">
        <f aca="false">(-0.042-0.014*'Com TS variável MC2020'!Q19)*('Modelos normativos'!AP10-ABS('Modelos Propostos'!K10)-'Dataset experimental'!W10+COS(S10))</f>
        <v>#REF!</v>
      </c>
      <c r="S10" s="4" t="e">
        <f aca="false">'Dataset experimental'!O10-('Modelos normativos'!AQ10-SIN(0.083/('Dataset experimental'!M10-'Dataset experimental'!O10))-'Modelos empíricos'!I10)/0.646</f>
        <v>#REF!</v>
      </c>
      <c r="W10" s="4" t="e">
        <f aca="false">'Modelos normativos'!S10+'Avaliação do resultado ML'!A10</f>
        <v>#REF!</v>
      </c>
      <c r="X10" s="4" t="e">
        <f aca="false">W10/'Dataset experimental'!$AF10</f>
        <v>#REF!</v>
      </c>
      <c r="AJ10" s="4" t="e">
        <f aca="false">'Modelos Propostos'!B10+H10</f>
        <v>#REF!</v>
      </c>
      <c r="AK10" s="4" t="e">
        <f aca="false">AJ10/'Dataset experimental'!$AF10</f>
        <v>#REF!</v>
      </c>
      <c r="AV10" s="4" t="e">
        <f aca="false">'Modelos normativos'!S10+F10</f>
        <v>#REF!</v>
      </c>
      <c r="AW10" s="4" t="e">
        <f aca="false">AV10/'Dataset experimental'!$AF10</f>
        <v>#REF!</v>
      </c>
      <c r="BH10" s="4" t="e">
        <f aca="false">'Modelos Propostos'!B10+R10</f>
        <v>#REF!</v>
      </c>
      <c r="BI10" s="4" t="e">
        <f aca="false">BH10/'Dataset experimental'!$AF10</f>
        <v>#REF!</v>
      </c>
      <c r="BT10" s="4" t="n">
        <f aca="false">'Modelos Propostos'!B10+L10</f>
        <v>0.352340787026493</v>
      </c>
      <c r="BU10" s="4" t="n">
        <f aca="false">BT10/'Dataset experimental'!$AF10</f>
        <v>1.35515687317882</v>
      </c>
    </row>
    <row r="11" customFormat="false" ht="14.25" hidden="false" customHeight="false" outlineLevel="0" collapsed="false">
      <c r="A11" s="4" t="e">
        <f aca="false">0.0894*ABS(D11)-0.01603*E11</f>
        <v>#REF!</v>
      </c>
      <c r="B11" s="12" t="e">
        <f aca="false">'Dataset experimental'!K11*COS('Dataset experimental'!AC11)-'Dataset experimental'!M11-'Dataset experimental'!C11</f>
        <v>#REF!</v>
      </c>
      <c r="C11" s="12" t="e">
        <f aca="false">('Dataset experimental'!AE11+SIN('Avaliação do resultado ML'!B11))*0.70674187</f>
        <v>#REF!</v>
      </c>
      <c r="D11" s="12" t="e">
        <f aca="false">'Modelos Propostos'!E11+'Avaliação do resultado ML'!C11-'Modelos normativos'!AQ11</f>
        <v>#REF!</v>
      </c>
      <c r="E11" s="12" t="n">
        <f aca="false">'Modelos empíricos'!I11+1.1854</f>
        <v>-0.273124138837714</v>
      </c>
      <c r="F11" s="4" t="e">
        <f aca="false">-0.01753*('Modelos normativos'!AN11-'Dataset experimental'!C11-ABS(G11)-('Modelos Propostos'!E11-'Modelos normativos'!AP11)/0.25291)</f>
        <v>#REF!</v>
      </c>
      <c r="G11" s="4" t="e">
        <f aca="false">'Dataset experimental'!K11+'Modelos empíricos'!K11^2+('Modelos Propostos'!E11-'Modelos normativos'!AQ11)*4.10553</f>
        <v>#REF!</v>
      </c>
      <c r="H11" s="4" t="e">
        <f aca="false">0.03283*(J11+K11)</f>
        <v>#REF!</v>
      </c>
      <c r="I11" s="4" t="e">
        <f aca="false">(1.61428/'Dataset experimental'!Q11)^3</f>
        <v>#REF!</v>
      </c>
      <c r="J11" s="4" t="e">
        <f aca="false">SIN('Dataset experimental'!E11)+1.450178*(SIN('Avaliação do resultado ML'!I11)+'Dataset experimental'!C11)</f>
        <v>#REF!</v>
      </c>
      <c r="K11" s="4" t="e">
        <f aca="false">('Modelos empíricos'!C11-'Dataset experimental'!G11)*'Dataset experimental'!AE11-'Modelos normativos'!AP11</f>
        <v>#REF!</v>
      </c>
      <c r="L11" s="4" t="n">
        <f aca="false">0.0076*'Dataset experimental'!B11+'Avaliação do resultado ML'!M11+'Avaliação do resultado ML'!N11+(-0.0328)*(0.0171*'Dataset experimental'!AD11-0.9442)*'Avaliação do resultado ML'!O11-'Avaliação do resultado ML'!P11-0.0364</f>
        <v>0.00619801863940662</v>
      </c>
      <c r="M11" s="12" t="n">
        <f aca="false">0.03283*SIN(0.7328*'Dataset experimental'!D11-1.8266)</f>
        <v>0.0293265290156355</v>
      </c>
      <c r="N11" s="12" t="n">
        <f aca="false">0.0476*SIN(4.2067/(0.0095*'Dataset experimental'!P11-1.9338)^3)</f>
        <v>0.000591202177134627</v>
      </c>
      <c r="O11" s="12" t="n">
        <f aca="false">0.0214*'Dataset experimental'!F11-3.1067*'Dataset experimental'!B11*'Dataset experimental'!P11*('Dataset experimental'!T11-'Dataset experimental'!R11)*(0.39*'Dataset experimental'!P11*'Dataset experimental'!T11/'Dataset experimental'!V11-'Dataset experimental'!Z11+3.12)/(100000*'Dataset experimental'!V11)+0.7995</f>
        <v>0.483967965782721</v>
      </c>
      <c r="P11" s="12" t="n">
        <f aca="false">0.4461*('Dataset experimental'!Z11-0.6*'Modelos normativos'!AB11)*(3.4*'Dataset experimental'!L11+0.17*'Dataset experimental'!B11/'Modelos normativos'!AC11)/200000</f>
        <v>0.0653803755564715</v>
      </c>
      <c r="Q11" s="4" t="e">
        <f aca="false">L11/H11</f>
        <v>#REF!</v>
      </c>
      <c r="R11" s="4" t="e">
        <f aca="false">(-0.042-0.014*'Com TS variável MC2020'!Q20)*('Modelos normativos'!AP11-ABS('Modelos Propostos'!K11)-'Dataset experimental'!W11+COS(S11))</f>
        <v>#REF!</v>
      </c>
      <c r="S11" s="4" t="e">
        <f aca="false">'Dataset experimental'!O11-('Modelos normativos'!AQ11-SIN(0.083/('Dataset experimental'!M11-'Dataset experimental'!O11))-'Modelos empíricos'!I11)/0.646</f>
        <v>#REF!</v>
      </c>
      <c r="W11" s="4" t="e">
        <f aca="false">'Modelos normativos'!S11+'Avaliação do resultado ML'!A11</f>
        <v>#REF!</v>
      </c>
      <c r="X11" s="4" t="e">
        <f aca="false">W11/'Dataset experimental'!$AF11</f>
        <v>#REF!</v>
      </c>
      <c r="AJ11" s="4" t="e">
        <f aca="false">'Modelos Propostos'!B11+H11</f>
        <v>#REF!</v>
      </c>
      <c r="AK11" s="4" t="e">
        <f aca="false">AJ11/'Dataset experimental'!$AF11</f>
        <v>#REF!</v>
      </c>
      <c r="AV11" s="4" t="e">
        <f aca="false">'Modelos normativos'!S11+F11</f>
        <v>#REF!</v>
      </c>
      <c r="AW11" s="4" t="e">
        <f aca="false">AV11/'Dataset experimental'!$AF11</f>
        <v>#REF!</v>
      </c>
      <c r="BH11" s="4" t="e">
        <f aca="false">'Modelos Propostos'!B11+R11</f>
        <v>#REF!</v>
      </c>
      <c r="BI11" s="4" t="e">
        <f aca="false">BH11/'Dataset experimental'!$AF11</f>
        <v>#REF!</v>
      </c>
      <c r="BT11" s="4" t="n">
        <f aca="false">'Modelos Propostos'!B11+L11</f>
        <v>0.173445303588334</v>
      </c>
      <c r="BU11" s="4" t="n">
        <f aca="false">BT11/'Dataset experimental'!$AF11</f>
        <v>1.08403314742709</v>
      </c>
    </row>
    <row r="12" customFormat="false" ht="14.25" hidden="false" customHeight="false" outlineLevel="0" collapsed="false">
      <c r="A12" s="4" t="e">
        <f aca="false">0.0894*ABS(D12)-0.01603*E12</f>
        <v>#REF!</v>
      </c>
      <c r="B12" s="12" t="e">
        <f aca="false">'Dataset experimental'!K12*COS('Dataset experimental'!AC12)-'Dataset experimental'!M12-'Dataset experimental'!C12</f>
        <v>#REF!</v>
      </c>
      <c r="C12" s="12" t="e">
        <f aca="false">('Dataset experimental'!AE12+SIN('Avaliação do resultado ML'!B12))*0.70674187</f>
        <v>#REF!</v>
      </c>
      <c r="D12" s="12" t="e">
        <f aca="false">'Modelos Propostos'!E12+'Avaliação do resultado ML'!C12-'Modelos normativos'!AQ12</f>
        <v>#REF!</v>
      </c>
      <c r="E12" s="12" t="n">
        <f aca="false">'Modelos empíricos'!I12+1.1854</f>
        <v>-0.0135254131642997</v>
      </c>
      <c r="F12" s="4" t="e">
        <f aca="false">-0.01753*('Modelos normativos'!AN12-'Dataset experimental'!C12-ABS(G12)-('Modelos Propostos'!E12-'Modelos normativos'!AP12)/0.25291)</f>
        <v>#REF!</v>
      </c>
      <c r="G12" s="4" t="e">
        <f aca="false">'Dataset experimental'!K12+'Modelos empíricos'!K12^2+('Modelos Propostos'!E12-'Modelos normativos'!AQ12)*4.10553</f>
        <v>#REF!</v>
      </c>
      <c r="H12" s="4" t="e">
        <f aca="false">0.03283*(J12+K12)</f>
        <v>#REF!</v>
      </c>
      <c r="I12" s="4" t="e">
        <f aca="false">(1.61428/'Dataset experimental'!Q12)^3</f>
        <v>#REF!</v>
      </c>
      <c r="J12" s="4" t="e">
        <f aca="false">SIN('Dataset experimental'!E12)+1.450178*(SIN('Avaliação do resultado ML'!I12)+'Dataset experimental'!C12)</f>
        <v>#REF!</v>
      </c>
      <c r="K12" s="4" t="e">
        <f aca="false">('Modelos empíricos'!C12-'Dataset experimental'!G12)*'Dataset experimental'!AE12-'Modelos normativos'!AP12</f>
        <v>#REF!</v>
      </c>
      <c r="L12" s="4" t="n">
        <f aca="false">0.0076*'Dataset experimental'!B12+'Avaliação do resultado ML'!M12+'Avaliação do resultado ML'!N12+(-0.0328)*(0.0171*'Dataset experimental'!AD12-0.9442)*'Avaliação do resultado ML'!O12-'Avaliação do resultado ML'!P12-0.0364</f>
        <v>-0.0120188712823446</v>
      </c>
      <c r="M12" s="12" t="n">
        <f aca="false">0.03283*SIN(0.7328*'Dataset experimental'!D12-1.8266)</f>
        <v>0.0293265290156355</v>
      </c>
      <c r="N12" s="12" t="n">
        <f aca="false">0.0476*SIN(4.2067/(0.0095*'Dataset experimental'!P12-1.9338)^3)</f>
        <v>0.000591202177134627</v>
      </c>
      <c r="O12" s="12" t="n">
        <f aca="false">0.0214*'Dataset experimental'!F12-3.1067*'Dataset experimental'!B12*'Dataset experimental'!P12*('Dataset experimental'!T12-'Dataset experimental'!R12)*(0.39*'Dataset experimental'!P12*'Dataset experimental'!T12/'Dataset experimental'!V12-'Dataset experimental'!Z12+3.12)/(100000*'Dataset experimental'!V12)+0.7995</f>
        <v>0.199366918190687</v>
      </c>
      <c r="P12" s="12" t="n">
        <f aca="false">0.4461*('Dataset experimental'!Z12-0.6*'Modelos normativos'!AB12)*(3.4*'Dataset experimental'!L12+0.17*'Dataset experimental'!B12/'Modelos normativos'!AC12)/200000</f>
        <v>0.0816390722862587</v>
      </c>
      <c r="Q12" s="4" t="e">
        <f aca="false">L12/H12</f>
        <v>#REF!</v>
      </c>
      <c r="R12" s="4" t="e">
        <f aca="false">(-0.042-0.014*'Com TS variável MC2020'!Q21)*('Modelos normativos'!AP12-ABS('Modelos Propostos'!K12)-'Dataset experimental'!W12+COS(S12))</f>
        <v>#REF!</v>
      </c>
      <c r="S12" s="4" t="e">
        <f aca="false">'Dataset experimental'!O12-('Modelos normativos'!AQ12-SIN(0.083/('Dataset experimental'!M12-'Dataset experimental'!O12))-'Modelos empíricos'!I12)/0.646</f>
        <v>#REF!</v>
      </c>
      <c r="W12" s="4" t="e">
        <f aca="false">'Modelos normativos'!S12+'Avaliação do resultado ML'!A12</f>
        <v>#REF!</v>
      </c>
      <c r="X12" s="4" t="e">
        <f aca="false">W12/'Dataset experimental'!$AF12</f>
        <v>#REF!</v>
      </c>
      <c r="AJ12" s="4" t="e">
        <f aca="false">'Modelos Propostos'!B12+H12</f>
        <v>#REF!</v>
      </c>
      <c r="AK12" s="4" t="e">
        <f aca="false">AJ12/'Dataset experimental'!$AF12</f>
        <v>#REF!</v>
      </c>
      <c r="AV12" s="4" t="e">
        <f aca="false">'Modelos normativos'!S12+F12</f>
        <v>#REF!</v>
      </c>
      <c r="AW12" s="4" t="e">
        <f aca="false">AV12/'Dataset experimental'!$AF12</f>
        <v>#REF!</v>
      </c>
      <c r="BH12" s="4" t="e">
        <f aca="false">'Modelos Propostos'!B12+R12</f>
        <v>#REF!</v>
      </c>
      <c r="BI12" s="4" t="e">
        <f aca="false">BH12/'Dataset experimental'!$AF12</f>
        <v>#REF!</v>
      </c>
      <c r="BT12" s="4" t="n">
        <f aca="false">'Modelos Propostos'!B12+L12</f>
        <v>0.202021939566801</v>
      </c>
      <c r="BU12" s="4" t="n">
        <f aca="false">BT12/'Dataset experimental'!$AF12</f>
        <v>1.01010969783401</v>
      </c>
    </row>
    <row r="13" customFormat="false" ht="14.25" hidden="false" customHeight="false" outlineLevel="0" collapsed="false">
      <c r="A13" s="4" t="e">
        <f aca="false">0.0894*ABS(D13)-0.01603*E13</f>
        <v>#REF!</v>
      </c>
      <c r="B13" s="12" t="e">
        <f aca="false">'Dataset experimental'!K13*COS('Dataset experimental'!AC13)-'Dataset experimental'!M13-'Dataset experimental'!C13</f>
        <v>#REF!</v>
      </c>
      <c r="C13" s="12" t="e">
        <f aca="false">('Dataset experimental'!AE13+SIN('Avaliação do resultado ML'!B13))*0.70674187</f>
        <v>#REF!</v>
      </c>
      <c r="D13" s="12" t="e">
        <f aca="false">'Modelos Propostos'!E13+'Avaliação do resultado ML'!C13-'Modelos normativos'!AQ13</f>
        <v>#REF!</v>
      </c>
      <c r="E13" s="12" t="n">
        <f aca="false">'Modelos empíricos'!I13+1.1854</f>
        <v>0.263574350194962</v>
      </c>
      <c r="F13" s="4" t="e">
        <f aca="false">-0.01753*('Modelos normativos'!AN13-'Dataset experimental'!C13-ABS(G13)-('Modelos Propostos'!E13-'Modelos normativos'!AP13)/0.25291)</f>
        <v>#REF!</v>
      </c>
      <c r="G13" s="4" t="e">
        <f aca="false">'Dataset experimental'!K13+'Modelos empíricos'!K13^2+('Modelos Propostos'!E13-'Modelos normativos'!AQ13)*4.10553</f>
        <v>#REF!</v>
      </c>
      <c r="H13" s="4" t="e">
        <f aca="false">0.03283*(J13+K13)</f>
        <v>#REF!</v>
      </c>
      <c r="I13" s="4" t="e">
        <f aca="false">(1.61428/'Dataset experimental'!Q13)^3</f>
        <v>#REF!</v>
      </c>
      <c r="J13" s="4" t="e">
        <f aca="false">SIN('Dataset experimental'!E13)+1.450178*(SIN('Avaliação do resultado ML'!I13)+'Dataset experimental'!C13)</f>
        <v>#REF!</v>
      </c>
      <c r="K13" s="4" t="e">
        <f aca="false">('Modelos empíricos'!C13-'Dataset experimental'!G13)*'Dataset experimental'!AE13-'Modelos normativos'!AP13</f>
        <v>#REF!</v>
      </c>
      <c r="L13" s="4" t="n">
        <f aca="false">0.0076*'Dataset experimental'!B13+'Avaliação do resultado ML'!M13+'Avaliação do resultado ML'!N13+(-0.0328)*(0.0171*'Dataset experimental'!AD13-0.9442)*'Avaliação do resultado ML'!O13-'Avaliação do resultado ML'!P13-0.0364</f>
        <v>-0.0291125061017783</v>
      </c>
      <c r="M13" s="12" t="n">
        <f aca="false">0.03283*SIN(0.7328*'Dataset experimental'!D13-1.8266)</f>
        <v>0.0293265290156355</v>
      </c>
      <c r="N13" s="12" t="n">
        <f aca="false">0.0476*SIN(4.2067/(0.0095*'Dataset experimental'!P13-1.9338)^3)</f>
        <v>0.000591202177134627</v>
      </c>
      <c r="O13" s="12" t="n">
        <f aca="false">0.0214*'Dataset experimental'!F13-3.1067*'Dataset experimental'!B13*'Dataset experimental'!P13*('Dataset experimental'!T13-'Dataset experimental'!R13)*(0.39*'Dataset experimental'!P13*'Dataset experimental'!T13/'Dataset experimental'!V13-'Dataset experimental'!Z13+3.12)/(100000*'Dataset experimental'!V13)+0.7995</f>
        <v>-0.104420716879462</v>
      </c>
      <c r="P13" s="12" t="n">
        <f aca="false">0.4461*('Dataset experimental'!Z13-0.6*'Modelos normativos'!AB13)*(3.4*'Dataset experimental'!L13+0.17*'Dataset experimental'!B13/'Modelos normativos'!AC13)/200000</f>
        <v>0.0989938609304135</v>
      </c>
      <c r="Q13" s="4" t="e">
        <f aca="false">L13/H13</f>
        <v>#REF!</v>
      </c>
      <c r="R13" s="4" t="e">
        <f aca="false">(-0.042-0.014*'Com TS variável MC2020'!Q22)*('Modelos normativos'!AP13-ABS('Modelos Propostos'!K13)-'Dataset experimental'!W13+COS(S13))</f>
        <v>#REF!</v>
      </c>
      <c r="S13" s="4" t="e">
        <f aca="false">'Dataset experimental'!O13-('Modelos normativos'!AQ13-SIN(0.083/('Dataset experimental'!M13-'Dataset experimental'!O13))-'Modelos empíricos'!I13)/0.646</f>
        <v>#REF!</v>
      </c>
      <c r="W13" s="4" t="e">
        <f aca="false">'Modelos normativos'!S13+'Avaliação do resultado ML'!A13</f>
        <v>#REF!</v>
      </c>
      <c r="X13" s="4" t="e">
        <f aca="false">W13/'Dataset experimental'!$AF13</f>
        <v>#REF!</v>
      </c>
      <c r="AJ13" s="4" t="e">
        <f aca="false">'Modelos Propostos'!B13+H13</f>
        <v>#REF!</v>
      </c>
      <c r="AK13" s="4" t="e">
        <f aca="false">AJ13/'Dataset experimental'!$AF13</f>
        <v>#REF!</v>
      </c>
      <c r="AV13" s="4" t="e">
        <f aca="false">'Modelos normativos'!S13+F13</f>
        <v>#REF!</v>
      </c>
      <c r="AW13" s="4" t="e">
        <f aca="false">AV13/'Dataset experimental'!$AF13</f>
        <v>#REF!</v>
      </c>
      <c r="BH13" s="4" t="e">
        <f aca="false">'Modelos Propostos'!B13+R13</f>
        <v>#REF!</v>
      </c>
      <c r="BI13" s="4" t="e">
        <f aca="false">BH13/'Dataset experimental'!$AF13</f>
        <v>#REF!</v>
      </c>
      <c r="BT13" s="4" t="n">
        <f aca="false">'Modelos Propostos'!B13+L13</f>
        <v>0.234876450371196</v>
      </c>
      <c r="BU13" s="4" t="n">
        <f aca="false">BT13/'Dataset experimental'!$AF13</f>
        <v>1.17438225185598</v>
      </c>
    </row>
    <row r="14" customFormat="false" ht="14.25" hidden="false" customHeight="false" outlineLevel="0" collapsed="false">
      <c r="A14" s="4" t="e">
        <f aca="false">0.0894*ABS(D14)-0.01603*E14</f>
        <v>#REF!</v>
      </c>
      <c r="B14" s="12" t="e">
        <f aca="false">'Dataset experimental'!K14*COS('Dataset experimental'!AC14)-'Dataset experimental'!M14-'Dataset experimental'!C14</f>
        <v>#REF!</v>
      </c>
      <c r="C14" s="12" t="e">
        <f aca="false">('Dataset experimental'!AE14+SIN('Avaliação do resultado ML'!B14))*0.70674187</f>
        <v>#REF!</v>
      </c>
      <c r="D14" s="12" t="e">
        <f aca="false">'Modelos Propostos'!E14+'Avaliação do resultado ML'!C14-'Modelos normativos'!AQ14</f>
        <v>#REF!</v>
      </c>
      <c r="E14" s="12" t="n">
        <f aca="false">'Modelos empíricos'!I14+1.1854</f>
        <v>0.543590953168531</v>
      </c>
      <c r="F14" s="4" t="e">
        <f aca="false">-0.01753*('Modelos normativos'!AN14-'Dataset experimental'!C14-ABS(G14)-('Modelos Propostos'!E14-'Modelos normativos'!AP14)/0.25291)</f>
        <v>#REF!</v>
      </c>
      <c r="G14" s="4" t="e">
        <f aca="false">'Dataset experimental'!K14+'Modelos empíricos'!K14^2+('Modelos Propostos'!E14-'Modelos normativos'!AQ14)*4.10553</f>
        <v>#REF!</v>
      </c>
      <c r="H14" s="4" t="e">
        <f aca="false">0.03283*(J14+K14)</f>
        <v>#REF!</v>
      </c>
      <c r="I14" s="4" t="e">
        <f aca="false">(1.61428/'Dataset experimental'!Q14)^3</f>
        <v>#REF!</v>
      </c>
      <c r="J14" s="4" t="e">
        <f aca="false">SIN('Dataset experimental'!E14)+1.450178*(SIN('Avaliação do resultado ML'!I14)+'Dataset experimental'!C14)</f>
        <v>#REF!</v>
      </c>
      <c r="K14" s="4" t="e">
        <f aca="false">('Modelos empíricos'!C14-'Dataset experimental'!G14)*'Dataset experimental'!AE14-'Modelos normativos'!AP14</f>
        <v>#REF!</v>
      </c>
      <c r="L14" s="4" t="n">
        <f aca="false">0.0076*'Dataset experimental'!B14+'Avaliação do resultado ML'!M14+'Avaliação do resultado ML'!N14+(-0.0328)*(0.0171*'Dataset experimental'!AD14-0.9442)*'Avaliação do resultado ML'!O14-'Avaliação do resultado ML'!P14-0.0364</f>
        <v>-0.0439195671853724</v>
      </c>
      <c r="M14" s="12" t="n">
        <f aca="false">0.03283*SIN(0.7328*'Dataset experimental'!D14-1.8266)</f>
        <v>0.0293265290156355</v>
      </c>
      <c r="N14" s="12" t="n">
        <f aca="false">0.0476*SIN(4.2067/(0.0095*'Dataset experimental'!P14-1.9338)^3)</f>
        <v>0.000591202177134627</v>
      </c>
      <c r="O14" s="12" t="n">
        <f aca="false">0.0214*'Dataset experimental'!F14-3.1067*'Dataset experimental'!B14*'Dataset experimental'!P14*('Dataset experimental'!T14-'Dataset experimental'!R14)*(0.39*'Dataset experimental'!P14*'Dataset experimental'!T14/'Dataset experimental'!V14-'Dataset experimental'!Z14+3.12)/(100000*'Dataset experimental'!V14)+0.7995</f>
        <v>-0.411406116529295</v>
      </c>
      <c r="P14" s="12" t="n">
        <f aca="false">0.4461*('Dataset experimental'!Z14-0.6*'Modelos normativos'!AB14)*(3.4*'Dataset experimental'!L14+0.17*'Dataset experimental'!B14/'Modelos normativos'!AC14)/200000</f>
        <v>0.116531331560296</v>
      </c>
      <c r="Q14" s="4" t="e">
        <f aca="false">L14/H14</f>
        <v>#REF!</v>
      </c>
      <c r="R14" s="4" t="e">
        <f aca="false">(-0.042-0.014*'Com TS variável MC2020'!Q23)*('Modelos normativos'!AP14-ABS('Modelos Propostos'!K14)-'Dataset experimental'!W14+COS(S14))</f>
        <v>#REF!</v>
      </c>
      <c r="S14" s="4" t="e">
        <f aca="false">'Dataset experimental'!O14-('Modelos normativos'!AQ14-SIN(0.083/('Dataset experimental'!M14-'Dataset experimental'!O14))-'Modelos empíricos'!I14)/0.646</f>
        <v>#REF!</v>
      </c>
      <c r="W14" s="4" t="e">
        <f aca="false">'Modelos normativos'!S14+'Avaliação do resultado ML'!A14</f>
        <v>#REF!</v>
      </c>
      <c r="X14" s="4" t="e">
        <f aca="false">W14/'Dataset experimental'!$AF14</f>
        <v>#REF!</v>
      </c>
      <c r="AJ14" s="4" t="e">
        <f aca="false">'Modelos Propostos'!B14+H14</f>
        <v>#REF!</v>
      </c>
      <c r="AK14" s="4" t="e">
        <f aca="false">AJ14/'Dataset experimental'!$AF14</f>
        <v>#REF!</v>
      </c>
      <c r="AV14" s="4" t="e">
        <f aca="false">'Modelos normativos'!S14+F14</f>
        <v>#REF!</v>
      </c>
      <c r="AW14" s="4" t="e">
        <f aca="false">AV14/'Dataset experimental'!$AF14</f>
        <v>#REF!</v>
      </c>
      <c r="BH14" s="4" t="e">
        <f aca="false">'Modelos Propostos'!B14+R14</f>
        <v>#REF!</v>
      </c>
      <c r="BI14" s="4" t="e">
        <f aca="false">BH14/'Dataset experimental'!$AF14</f>
        <v>#REF!</v>
      </c>
      <c r="BT14" s="4" t="n">
        <f aca="false">'Modelos Propostos'!B14+L14</f>
        <v>0.270543304865365</v>
      </c>
      <c r="BU14" s="4" t="n">
        <f aca="false">BT14/'Dataset experimental'!$AF14</f>
        <v>1.12726377027235</v>
      </c>
    </row>
    <row r="15" customFormat="false" ht="14.25" hidden="false" customHeight="false" outlineLevel="0" collapsed="false">
      <c r="A15" s="4" t="e">
        <f aca="false">0.0894*ABS(D15)-0.01603*E15</f>
        <v>#REF!</v>
      </c>
      <c r="B15" s="12" t="e">
        <f aca="false">'Dataset experimental'!K15*COS('Dataset experimental'!AC15)-'Dataset experimental'!M15-'Dataset experimental'!C15</f>
        <v>#REF!</v>
      </c>
      <c r="C15" s="12" t="e">
        <f aca="false">('Dataset experimental'!AE15+SIN('Avaliação do resultado ML'!B15))*0.70674187</f>
        <v>#REF!</v>
      </c>
      <c r="D15" s="12" t="e">
        <f aca="false">'Modelos Propostos'!E15+'Avaliação do resultado ML'!C15-'Modelos normativos'!AQ15</f>
        <v>#REF!</v>
      </c>
      <c r="E15" s="12" t="n">
        <f aca="false">'Modelos empíricos'!I15+1.1854</f>
        <v>0.724435009255629</v>
      </c>
      <c r="F15" s="4" t="e">
        <f aca="false">-0.01753*('Modelos normativos'!AN15-'Dataset experimental'!C15-ABS(G15)-('Modelos Propostos'!E15-'Modelos normativos'!AP15)/0.25291)</f>
        <v>#REF!</v>
      </c>
      <c r="G15" s="4" t="e">
        <f aca="false">'Dataset experimental'!K15+'Modelos empíricos'!K15^2+('Modelos Propostos'!E15-'Modelos normativos'!AQ15)*4.10553</f>
        <v>#REF!</v>
      </c>
      <c r="H15" s="4" t="e">
        <f aca="false">0.03283*(J15+K15)</f>
        <v>#REF!</v>
      </c>
      <c r="I15" s="4" t="e">
        <f aca="false">(1.61428/'Dataset experimental'!Q15)^3</f>
        <v>#REF!</v>
      </c>
      <c r="J15" s="4" t="e">
        <f aca="false">SIN('Dataset experimental'!E15)+1.450178*(SIN('Avaliação do resultado ML'!I15)+'Dataset experimental'!C15)</f>
        <v>#REF!</v>
      </c>
      <c r="K15" s="4" t="e">
        <f aca="false">('Modelos empíricos'!C15-'Dataset experimental'!G15)*'Dataset experimental'!AE15-'Modelos normativos'!AP15</f>
        <v>#REF!</v>
      </c>
      <c r="L15" s="4" t="n">
        <f aca="false">0.0076*'Dataset experimental'!B15+'Avaliação do resultado ML'!M15+'Avaliação do resultado ML'!N15+(-0.0328)*(0.0171*'Dataset experimental'!AD15-0.9442)*'Avaliação do resultado ML'!O15-'Avaliação do resultado ML'!P15-0.0364</f>
        <v>-0.0521647306553908</v>
      </c>
      <c r="M15" s="12" t="n">
        <f aca="false">0.03283*SIN(0.7328*'Dataset experimental'!D15-1.8266)</f>
        <v>0.0293265290156355</v>
      </c>
      <c r="N15" s="12" t="n">
        <f aca="false">0.0476*SIN(4.2067/(0.0095*'Dataset experimental'!P15-1.9338)^3)</f>
        <v>0.000591202177134627</v>
      </c>
      <c r="O15" s="12" t="n">
        <f aca="false">0.0214*'Dataset experimental'!F15-3.1067*'Dataset experimental'!B15*'Dataset experimental'!P15*('Dataset experimental'!T15-'Dataset experimental'!R15)*(0.39*'Dataset experimental'!P15*'Dataset experimental'!T15/'Dataset experimental'!V15-'Dataset experimental'!Z15+3.12)/(100000*'Dataset experimental'!V15)+0.7995</f>
        <v>-0.609667520469814</v>
      </c>
      <c r="P15" s="12" t="n">
        <f aca="false">0.4461*('Dataset experimental'!Z15-0.6*'Modelos normativos'!AB15)*(3.4*'Dataset experimental'!L15+0.17*'Dataset experimental'!B15/'Modelos normativos'!AC15)/200000</f>
        <v>0.127857614675429</v>
      </c>
      <c r="Q15" s="4" t="e">
        <f aca="false">L15/H15</f>
        <v>#REF!</v>
      </c>
      <c r="R15" s="4" t="e">
        <f aca="false">(-0.042-0.014*'Com TS variável MC2020'!Q24)*('Modelos normativos'!AP15-ABS('Modelos Propostos'!K15)-'Dataset experimental'!W15+COS(S15))</f>
        <v>#REF!</v>
      </c>
      <c r="S15" s="4" t="e">
        <f aca="false">'Dataset experimental'!O15-('Modelos normativos'!AQ15-SIN(0.083/('Dataset experimental'!M15-'Dataset experimental'!O15))-'Modelos empíricos'!I15)/0.646</f>
        <v>#REF!</v>
      </c>
      <c r="W15" s="4" t="e">
        <f aca="false">'Modelos normativos'!S15+'Avaliação do resultado ML'!A15</f>
        <v>#REF!</v>
      </c>
      <c r="X15" s="4" t="e">
        <f aca="false">W15/'Dataset experimental'!$AF15</f>
        <v>#REF!</v>
      </c>
      <c r="AJ15" s="4" t="e">
        <f aca="false">'Modelos Propostos'!B15+H15</f>
        <v>#REF!</v>
      </c>
      <c r="AK15" s="4" t="e">
        <f aca="false">AJ15/'Dataset experimental'!$AF15</f>
        <v>#REF!</v>
      </c>
      <c r="AV15" s="4" t="e">
        <f aca="false">'Modelos normativos'!S15+F15</f>
        <v>#REF!</v>
      </c>
      <c r="AW15" s="4" t="e">
        <f aca="false">AV15/'Dataset experimental'!$AF15</f>
        <v>#REF!</v>
      </c>
      <c r="BH15" s="4" t="e">
        <f aca="false">'Modelos Propostos'!B15+R15</f>
        <v>#REF!</v>
      </c>
      <c r="BI15" s="4" t="e">
        <f aca="false">BH15/'Dataset experimental'!$AF15</f>
        <v>#REF!</v>
      </c>
      <c r="BT15" s="4" t="n">
        <f aca="false">'Modelos Propostos'!B15+L15</f>
        <v>0.294895878539319</v>
      </c>
      <c r="BU15" s="4" t="n">
        <f aca="false">BT15/'Dataset experimental'!$AF15</f>
        <v>0.982986261797729</v>
      </c>
    </row>
    <row r="16" customFormat="false" ht="14.25" hidden="false" customHeight="false" outlineLevel="0" collapsed="false">
      <c r="A16" s="4" t="e">
        <f aca="false">0.0894*ABS(D16)-0.01603*E16</f>
        <v>#REF!</v>
      </c>
      <c r="B16" s="12" t="e">
        <f aca="false">'Dataset experimental'!K16*COS('Dataset experimental'!AC16)-'Dataset experimental'!M16-'Dataset experimental'!C16</f>
        <v>#REF!</v>
      </c>
      <c r="C16" s="12" t="e">
        <f aca="false">('Dataset experimental'!AE16+SIN('Avaliação do resultado ML'!B16))*0.70674187</f>
        <v>#REF!</v>
      </c>
      <c r="D16" s="12" t="e">
        <f aca="false">'Modelos Propostos'!E16+'Avaliação do resultado ML'!C16-'Modelos normativos'!AQ16</f>
        <v>#REF!</v>
      </c>
      <c r="E16" s="12" t="n">
        <f aca="false">'Modelos empíricos'!I16+1.1854</f>
        <v>1.11237467795859</v>
      </c>
      <c r="F16" s="4" t="e">
        <f aca="false">-0.01753*('Modelos normativos'!AN16-'Dataset experimental'!C16-ABS(G16)-('Modelos Propostos'!E16-'Modelos normativos'!AP16)/0.25291)</f>
        <v>#REF!</v>
      </c>
      <c r="G16" s="4" t="e">
        <f aca="false">'Dataset experimental'!K16+'Modelos empíricos'!K16^2+('Modelos Propostos'!E16-'Modelos normativos'!AQ16)*4.10553</f>
        <v>#REF!</v>
      </c>
      <c r="H16" s="4" t="e">
        <f aca="false">0.03283*(J16+K16)</f>
        <v>#REF!</v>
      </c>
      <c r="I16" s="4" t="e">
        <f aca="false">(1.61428/'Dataset experimental'!Q16)^3</f>
        <v>#REF!</v>
      </c>
      <c r="J16" s="4" t="e">
        <f aca="false">SIN('Dataset experimental'!E16)+1.450178*(SIN('Avaliação do resultado ML'!I16)+'Dataset experimental'!C16)</f>
        <v>#REF!</v>
      </c>
      <c r="K16" s="4" t="e">
        <f aca="false">('Modelos empíricos'!C16-'Dataset experimental'!G16)*'Dataset experimental'!AE16-'Modelos normativos'!AP16</f>
        <v>#REF!</v>
      </c>
      <c r="L16" s="4" t="n">
        <f aca="false">0.0076*'Dataset experimental'!B16+'Avaliação do resultado ML'!M16+'Avaliação do resultado ML'!N16+(-0.0328)*(0.0171*'Dataset experimental'!AD16-0.9442)*'Avaliação do resultado ML'!O16-'Avaliação do resultado ML'!P16-0.0364</f>
        <v>-0.0663632334943328</v>
      </c>
      <c r="M16" s="12" t="n">
        <f aca="false">0.03283*SIN(0.7328*'Dataset experimental'!D16-1.8266)</f>
        <v>0.0293265290156355</v>
      </c>
      <c r="N16" s="12" t="n">
        <f aca="false">0.0476*SIN(4.2067/(0.0095*'Dataset experimental'!P16-1.9338)^3)</f>
        <v>0.000591202177134627</v>
      </c>
      <c r="O16" s="12" t="n">
        <f aca="false">0.0214*'Dataset experimental'!F16-3.1067*'Dataset experimental'!B16*'Dataset experimental'!P16*('Dataset experimental'!T16-'Dataset experimental'!R16)*(0.39*'Dataset experimental'!P16*'Dataset experimental'!T16/'Dataset experimental'!V16-'Dataset experimental'!Z16+3.12)/(100000*'Dataset experimental'!V16)+0.7995</f>
        <v>-1.03497020956802</v>
      </c>
      <c r="P16" s="12" t="n">
        <f aca="false">0.4461*('Dataset experimental'!Z16-0.6*'Modelos normativos'!AB16)*(3.4*'Dataset experimental'!L16+0.17*'Dataset experimental'!B16/'Modelos normativos'!AC16)/200000</f>
        <v>0.152154318777246</v>
      </c>
      <c r="Q16" s="4" t="e">
        <f aca="false">L16/H16</f>
        <v>#REF!</v>
      </c>
      <c r="R16" s="4" t="e">
        <f aca="false">(-0.042-0.014*'Com TS variável MC2020'!Q25)*('Modelos normativos'!AP16-ABS('Modelos Propostos'!K16)-'Dataset experimental'!W16+COS(S16))</f>
        <v>#REF!</v>
      </c>
      <c r="S16" s="4" t="e">
        <f aca="false">'Dataset experimental'!O16-('Modelos normativos'!AQ16-SIN(0.083/('Dataset experimental'!M16-'Dataset experimental'!O16))-'Modelos empíricos'!I16)/0.646</f>
        <v>#REF!</v>
      </c>
      <c r="W16" s="4" t="e">
        <f aca="false">'Modelos normativos'!S16+'Avaliação do resultado ML'!A16</f>
        <v>#REF!</v>
      </c>
      <c r="X16" s="4" t="e">
        <f aca="false">W16/'Dataset experimental'!$AF16</f>
        <v>#REF!</v>
      </c>
      <c r="AJ16" s="4" t="e">
        <f aca="false">'Modelos Propostos'!B16+H16</f>
        <v>#REF!</v>
      </c>
      <c r="AK16" s="4" t="e">
        <f aca="false">AJ16/'Dataset experimental'!$AF16</f>
        <v>#REF!</v>
      </c>
      <c r="AV16" s="4" t="e">
        <f aca="false">'Modelos normativos'!S16+F16</f>
        <v>#REF!</v>
      </c>
      <c r="AW16" s="4" t="e">
        <f aca="false">AV16/'Dataset experimental'!$AF16</f>
        <v>#REF!</v>
      </c>
      <c r="BH16" s="4" t="e">
        <f aca="false">'Modelos Propostos'!B16+R16</f>
        <v>#REF!</v>
      </c>
      <c r="BI16" s="4" t="e">
        <f aca="false">BH16/'Dataset experimental'!$AF16</f>
        <v>#REF!</v>
      </c>
      <c r="BT16" s="4" t="n">
        <f aca="false">'Modelos Propostos'!B16+L16</f>
        <v>0.350624779573736</v>
      </c>
      <c r="BU16" s="4" t="n">
        <f aca="false">BT16/'Dataset experimental'!$AF16</f>
        <v>1.09570243616792</v>
      </c>
    </row>
    <row r="17" customFormat="false" ht="14.25" hidden="false" customHeight="false" outlineLevel="0" collapsed="false">
      <c r="A17" s="4" t="e">
        <f aca="false">0.0894*ABS(D17)-0.01603*E17</f>
        <v>#REF!</v>
      </c>
      <c r="B17" s="12" t="e">
        <f aca="false">'Dataset experimental'!K17*COS('Dataset experimental'!AC17)-'Dataset experimental'!M17-'Dataset experimental'!C17</f>
        <v>#REF!</v>
      </c>
      <c r="C17" s="12" t="e">
        <f aca="false">('Dataset experimental'!AE17+SIN('Avaliação do resultado ML'!B17))*0.70674187</f>
        <v>#REF!</v>
      </c>
      <c r="D17" s="12" t="e">
        <f aca="false">'Modelos Propostos'!E17+'Avaliação do resultado ML'!C17-'Modelos normativos'!AQ17</f>
        <v>#REF!</v>
      </c>
      <c r="E17" s="12" t="n">
        <f aca="false">'Modelos empíricos'!I17+1.1854</f>
        <v>1.14154307410168</v>
      </c>
      <c r="F17" s="4" t="e">
        <f aca="false">-0.01753*('Modelos normativos'!AN17-'Dataset experimental'!C17-ABS(G17)-('Modelos Propostos'!E17-'Modelos normativos'!AP17)/0.25291)</f>
        <v>#REF!</v>
      </c>
      <c r="G17" s="4" t="e">
        <f aca="false">'Dataset experimental'!K17+'Modelos empíricos'!K17^2+('Modelos Propostos'!E17-'Modelos normativos'!AQ17)*4.10553</f>
        <v>#REF!</v>
      </c>
      <c r="H17" s="4" t="e">
        <f aca="false">0.03283*(J17+K17)</f>
        <v>#REF!</v>
      </c>
      <c r="I17" s="4" t="e">
        <f aca="false">(1.61428/'Dataset experimental'!Q17)^3</f>
        <v>#REF!</v>
      </c>
      <c r="J17" s="4" t="e">
        <f aca="false">SIN('Dataset experimental'!E17)+1.450178*(SIN('Avaliação do resultado ML'!I17)+'Dataset experimental'!C17)</f>
        <v>#REF!</v>
      </c>
      <c r="K17" s="4" t="e">
        <f aca="false">('Modelos empíricos'!C17-'Dataset experimental'!G17)*'Dataset experimental'!AE17-'Modelos normativos'!AP17</f>
        <v>#REF!</v>
      </c>
      <c r="L17" s="4" t="n">
        <f aca="false">0.0076*'Dataset experimental'!B17+'Avaliação do resultado ML'!M17+'Avaliação do resultado ML'!N17+(-0.0328)*(0.0171*'Dataset experimental'!AD17-0.9442)*'Avaliação do resultado ML'!O17-'Avaliação do resultado ML'!P17-0.0364</f>
        <v>-0.0672384305530876</v>
      </c>
      <c r="M17" s="12" t="n">
        <f aca="false">0.03283*SIN(0.7328*'Dataset experimental'!D17-1.8266)</f>
        <v>0.0293265290156355</v>
      </c>
      <c r="N17" s="12" t="n">
        <f aca="false">0.0476*SIN(4.2067/(0.0095*'Dataset experimental'!P17-1.9338)^3)</f>
        <v>0.000591202177134627</v>
      </c>
      <c r="O17" s="12" t="n">
        <f aca="false">0.0214*'Dataset experimental'!F17-3.1067*'Dataset experimental'!B17*'Dataset experimental'!P17*('Dataset experimental'!T17-'Dataset experimental'!R17)*(0.39*'Dataset experimental'!P17*'Dataset experimental'!T17/'Dataset experimental'!V17-'Dataset experimental'!Z17+3.12)/(100000*'Dataset experimental'!V17)+0.7995</f>
        <v>-1.06694785536488</v>
      </c>
      <c r="P17" s="12" t="n">
        <f aca="false">0.4461*('Dataset experimental'!Z17-0.6*'Modelos normativos'!AB17)*(3.4*'Dataset experimental'!L17+0.17*'Dataset experimental'!B17/'Modelos normativos'!AC17)/200000</f>
        <v>0.153981138634525</v>
      </c>
      <c r="Q17" s="4" t="e">
        <f aca="false">L17/H17</f>
        <v>#REF!</v>
      </c>
      <c r="R17" s="4" t="e">
        <f aca="false">(-0.042-0.014*'Com TS variável MC2020'!Q26)*('Modelos normativos'!AP17-ABS('Modelos Propostos'!K17)-'Dataset experimental'!W17+COS(S17))</f>
        <v>#REF!</v>
      </c>
      <c r="S17" s="4" t="e">
        <f aca="false">'Dataset experimental'!O17-('Modelos normativos'!AQ17-SIN(0.083/('Dataset experimental'!M17-'Dataset experimental'!O17))-'Modelos empíricos'!I17)/0.646</f>
        <v>#REF!</v>
      </c>
      <c r="W17" s="4" t="e">
        <f aca="false">'Modelos normativos'!S17+'Avaliação do resultado ML'!A17</f>
        <v>#REF!</v>
      </c>
      <c r="X17" s="4" t="e">
        <f aca="false">W17/'Dataset experimental'!$AF17</f>
        <v>#REF!</v>
      </c>
      <c r="AJ17" s="4" t="e">
        <f aca="false">'Modelos Propostos'!B17+H17</f>
        <v>#REF!</v>
      </c>
      <c r="AK17" s="4" t="e">
        <f aca="false">AJ17/'Dataset experimental'!$AF17</f>
        <v>#REF!</v>
      </c>
      <c r="AV17" s="4" t="e">
        <f aca="false">'Modelos normativos'!S17+F17</f>
        <v>#REF!</v>
      </c>
      <c r="AW17" s="4" t="e">
        <f aca="false">AV17/'Dataset experimental'!$AF17</f>
        <v>#REF!</v>
      </c>
      <c r="BH17" s="4" t="e">
        <f aca="false">'Modelos Propostos'!B17+R17</f>
        <v>#REF!</v>
      </c>
      <c r="BI17" s="4" t="e">
        <f aca="false">BH17/'Dataset experimental'!$AF17</f>
        <v>#REF!</v>
      </c>
      <c r="BT17" s="4" t="n">
        <f aca="false">'Modelos Propostos'!B17+L17</f>
        <v>0.353688032978275</v>
      </c>
      <c r="BU17" s="4" t="n">
        <f aca="false">BT17/'Dataset experimental'!$AF17</f>
        <v>0.930757981521777</v>
      </c>
    </row>
    <row r="18" customFormat="false" ht="14.25" hidden="false" customHeight="false" outlineLevel="0" collapsed="false">
      <c r="A18" s="4" t="e">
        <f aca="false">0.0894*ABS(D18)-0.01603*E18</f>
        <v>#REF!</v>
      </c>
      <c r="B18" s="12" t="e">
        <f aca="false">'Dataset experimental'!K18*COS('Dataset experimental'!AC18)-'Dataset experimental'!M18-'Dataset experimental'!C18</f>
        <v>#REF!</v>
      </c>
      <c r="C18" s="12" t="e">
        <f aca="false">('Dataset experimental'!AE18+SIN('Avaliação do resultado ML'!B18))*0.70674187</f>
        <v>#REF!</v>
      </c>
      <c r="D18" s="12" t="e">
        <f aca="false">'Modelos Propostos'!E18+'Avaliação do resultado ML'!C18-'Modelos normativos'!AQ18</f>
        <v>#REF!</v>
      </c>
      <c r="E18" s="12" t="n">
        <f aca="false">'Modelos empíricos'!I18+1.1854</f>
        <v>1.37489024324632</v>
      </c>
      <c r="F18" s="4" t="e">
        <f aca="false">-0.01753*('Modelos normativos'!AN18-'Dataset experimental'!C18-ABS(G18)-('Modelos Propostos'!E18-'Modelos normativos'!AP18)/0.25291)</f>
        <v>#REF!</v>
      </c>
      <c r="G18" s="4" t="e">
        <f aca="false">'Dataset experimental'!K18+'Modelos empíricos'!K18^2+('Modelos Propostos'!E18-'Modelos normativos'!AQ18)*4.10553</f>
        <v>#REF!</v>
      </c>
      <c r="H18" s="4" t="e">
        <f aca="false">0.03283*(J18+K18)</f>
        <v>#REF!</v>
      </c>
      <c r="I18" s="4" t="e">
        <f aca="false">(1.61428/'Dataset experimental'!Q18)^3</f>
        <v>#REF!</v>
      </c>
      <c r="J18" s="4" t="e">
        <f aca="false">SIN('Dataset experimental'!E18)+1.450178*(SIN('Avaliação do resultado ML'!I18)+'Dataset experimental'!C18)</f>
        <v>#REF!</v>
      </c>
      <c r="K18" s="4" t="e">
        <f aca="false">('Modelos empíricos'!C18-'Dataset experimental'!G18)*'Dataset experimental'!AE18-'Modelos normativos'!AP18</f>
        <v>#REF!</v>
      </c>
      <c r="L18" s="4" t="n">
        <f aca="false">0.0076*'Dataset experimental'!B18+'Avaliação do resultado ML'!M18+'Avaliação do resultado ML'!N18+(-0.0328)*(0.0171*'Dataset experimental'!AD18-0.9442)*'Avaliação do resultado ML'!O18-'Avaliação do resultado ML'!P18-0.0364</f>
        <v>-0.0732714834365005</v>
      </c>
      <c r="M18" s="12" t="n">
        <f aca="false">0.03283*SIN(0.7328*'Dataset experimental'!D18-1.8266)</f>
        <v>0.0293265290156355</v>
      </c>
      <c r="N18" s="12" t="n">
        <f aca="false">0.0476*SIN(4.2067/(0.0095*'Dataset experimental'!P18-1.9338)^3)</f>
        <v>0.000591202177134627</v>
      </c>
      <c r="O18" s="12" t="n">
        <f aca="false">0.0214*'Dataset experimental'!F18-3.1067*'Dataset experimental'!B18*'Dataset experimental'!P18*('Dataset experimental'!T18-'Dataset experimental'!R18)*(0.39*'Dataset experimental'!P18*'Dataset experimental'!T18/'Dataset experimental'!V18-'Dataset experimental'!Z18+3.12)/(100000*'Dataset experimental'!V18)+0.7995</f>
        <v>-1.32276902173974</v>
      </c>
      <c r="P18" s="12" t="n">
        <f aca="false">0.4461*('Dataset experimental'!Z18-0.6*'Modelos normativos'!AB18)*(3.4*'Dataset experimental'!L18+0.17*'Dataset experimental'!B18/'Modelos normativos'!AC18)/200000</f>
        <v>0.168595697492761</v>
      </c>
      <c r="Q18" s="4" t="e">
        <f aca="false">L18/H18</f>
        <v>#REF!</v>
      </c>
      <c r="R18" s="4" t="e">
        <f aca="false">(-0.042-0.014*'Com TS variável MC2020'!Q27)*('Modelos normativos'!AP18-ABS('Modelos Propostos'!K18)-'Dataset experimental'!W18+COS(S18))</f>
        <v>#REF!</v>
      </c>
      <c r="S18" s="4" t="e">
        <f aca="false">'Dataset experimental'!O18-('Modelos normativos'!AQ18-SIN(0.083/('Dataset experimental'!M18-'Dataset experimental'!O18))-'Modelos empíricos'!I18)/0.646</f>
        <v>#REF!</v>
      </c>
      <c r="W18" s="4" t="e">
        <f aca="false">'Modelos normativos'!S18+'Avaliação do resultado ML'!A18</f>
        <v>#REF!</v>
      </c>
      <c r="X18" s="4" t="e">
        <f aca="false">W18/'Dataset experimental'!$AF18</f>
        <v>#REF!</v>
      </c>
      <c r="AJ18" s="4" t="e">
        <f aca="false">'Modelos Propostos'!B18+H18</f>
        <v>#REF!</v>
      </c>
      <c r="AK18" s="4" t="e">
        <f aca="false">AJ18/'Dataset experimental'!$AF18</f>
        <v>#REF!</v>
      </c>
      <c r="AV18" s="4" t="e">
        <f aca="false">'Modelos normativos'!S18+F18</f>
        <v>#REF!</v>
      </c>
      <c r="AW18" s="4" t="e">
        <f aca="false">AV18/'Dataset experimental'!$AF18</f>
        <v>#REF!</v>
      </c>
      <c r="BH18" s="4" t="e">
        <f aca="false">'Modelos Propostos'!B18+R18</f>
        <v>#REF!</v>
      </c>
      <c r="BI18" s="4" t="e">
        <f aca="false">BH18/'Dataset experimental'!$AF18</f>
        <v>#REF!</v>
      </c>
      <c r="BT18" s="4" t="n">
        <f aca="false">'Modelos Propostos'!B18+L18</f>
        <v>0.377721156061388</v>
      </c>
      <c r="BU18" s="4" t="n">
        <f aca="false">BT18/'Dataset experimental'!$AF18</f>
        <v>0.899336085860448</v>
      </c>
    </row>
    <row r="19" customFormat="false" ht="14.25" hidden="false" customHeight="false" outlineLevel="0" collapsed="false">
      <c r="A19" s="4" t="e">
        <f aca="false">0.0894*ABS(D19)-0.01603*E19</f>
        <v>#REF!</v>
      </c>
      <c r="B19" s="12" t="e">
        <f aca="false">'Dataset experimental'!K19*COS('Dataset experimental'!AC19)-'Dataset experimental'!M19-'Dataset experimental'!C19</f>
        <v>#REF!</v>
      </c>
      <c r="C19" s="12" t="e">
        <f aca="false">('Dataset experimental'!AE19+SIN('Avaliação do resultado ML'!B19))*0.70674187</f>
        <v>#REF!</v>
      </c>
      <c r="D19" s="12" t="e">
        <f aca="false">'Modelos Propostos'!E19+'Avaliação do resultado ML'!C19-'Modelos normativos'!AQ19</f>
        <v>#REF!</v>
      </c>
      <c r="E19" s="12" t="n">
        <f aca="false">'Modelos empíricos'!I19+1.1854</f>
        <v>1.95531884476083</v>
      </c>
      <c r="F19" s="4" t="e">
        <f aca="false">-0.01753*('Modelos normativos'!AN19-'Dataset experimental'!C19-ABS(G19)-('Modelos Propostos'!E19-'Modelos normativos'!AP19)/0.25291)</f>
        <v>#REF!</v>
      </c>
      <c r="G19" s="4" t="e">
        <f aca="false">'Dataset experimental'!K19+'Modelos empíricos'!K19^2+('Modelos Propostos'!E19-'Modelos normativos'!AQ19)*4.10553</f>
        <v>#REF!</v>
      </c>
      <c r="H19" s="4" t="e">
        <f aca="false">0.03283*(J19+K19)</f>
        <v>#REF!</v>
      </c>
      <c r="I19" s="4" t="e">
        <f aca="false">(1.61428/'Dataset experimental'!Q19)^3</f>
        <v>#REF!</v>
      </c>
      <c r="J19" s="4" t="e">
        <f aca="false">SIN('Dataset experimental'!E19)+1.450178*(SIN('Avaliação do resultado ML'!I19)+'Dataset experimental'!C19)</f>
        <v>#REF!</v>
      </c>
      <c r="K19" s="4" t="e">
        <f aca="false">('Modelos empíricos'!C19-'Dataset experimental'!G19)*'Dataset experimental'!AE19-'Modelos normativos'!AP19</f>
        <v>#REF!</v>
      </c>
      <c r="L19" s="4" t="n">
        <f aca="false">0.0076*'Dataset experimental'!B19+'Avaliação do resultado ML'!M19+'Avaliação do resultado ML'!N19+(-0.0328)*(0.0171*'Dataset experimental'!AD19-0.9442)*'Avaliação do resultado ML'!O19-'Avaliação do resultado ML'!P19-0.0364</f>
        <v>-0.0774305834079002</v>
      </c>
      <c r="M19" s="12" t="n">
        <f aca="false">0.03283*SIN(0.7328*'Dataset experimental'!D19-1.8266)</f>
        <v>0.0293265290156355</v>
      </c>
      <c r="N19" s="12" t="n">
        <f aca="false">0.0476*SIN(4.2067/(0.0095*'Dataset experimental'!P19-1.9338)^3)</f>
        <v>0.000591202177134627</v>
      </c>
      <c r="O19" s="12" t="n">
        <f aca="false">0.0214*'Dataset experimental'!F19-3.1067*'Dataset experimental'!B19*'Dataset experimental'!P19*('Dataset experimental'!T19-'Dataset experimental'!R19)*(0.39*'Dataset experimental'!P19*'Dataset experimental'!T19/'Dataset experimental'!V19-'Dataset experimental'!Z19+3.12)/(100000*'Dataset experimental'!V19)+0.7995</f>
        <v>-1.95909952611681</v>
      </c>
      <c r="P19" s="12" t="n">
        <f aca="false">0.4461*('Dataset experimental'!Z19-0.6*'Modelos normativos'!AB19)*(3.4*'Dataset experimental'!L19+0.17*'Dataset experimental'!B19/'Modelos normativos'!AC19)/200000</f>
        <v>0.204948004619226</v>
      </c>
      <c r="Q19" s="4" t="e">
        <f aca="false">L19/H19</f>
        <v>#REF!</v>
      </c>
      <c r="R19" s="4" t="e">
        <f aca="false">(-0.042-0.014*'Com TS variável MC2020'!Q28)*('Modelos normativos'!AP19-ABS('Modelos Propostos'!K19)-'Dataset experimental'!W19+COS(S19))</f>
        <v>#REF!</v>
      </c>
      <c r="S19" s="4" t="e">
        <f aca="false">'Dataset experimental'!O19-('Modelos normativos'!AQ19-SIN(0.083/('Dataset experimental'!M19-'Dataset experimental'!O19))-'Modelos empíricos'!I19)/0.646</f>
        <v>#REF!</v>
      </c>
      <c r="W19" s="4" t="e">
        <f aca="false">'Modelos normativos'!S19+'Avaliação do resultado ML'!A19</f>
        <v>#REF!</v>
      </c>
      <c r="X19" s="4" t="e">
        <f aca="false">W19/'Dataset experimental'!$AF19</f>
        <v>#REF!</v>
      </c>
      <c r="AJ19" s="4" t="e">
        <f aca="false">'Modelos Propostos'!B19+H19</f>
        <v>#REF!</v>
      </c>
      <c r="AK19" s="4" t="e">
        <f aca="false">AJ19/'Dataset experimental'!$AF19</f>
        <v>#REF!</v>
      </c>
      <c r="AV19" s="4" t="e">
        <f aca="false">'Modelos normativos'!S19+F19</f>
        <v>#REF!</v>
      </c>
      <c r="AW19" s="4" t="e">
        <f aca="false">AV19/'Dataset experimental'!$AF19</f>
        <v>#REF!</v>
      </c>
      <c r="BH19" s="4" t="e">
        <f aca="false">'Modelos Propostos'!B19+R19</f>
        <v>#REF!</v>
      </c>
      <c r="BI19" s="4" t="e">
        <f aca="false">BH19/'Dataset experimental'!$AF19</f>
        <v>#REF!</v>
      </c>
      <c r="BT19" s="4" t="n">
        <f aca="false">'Modelos Propostos'!B19+L19</f>
        <v>0.448348772093912</v>
      </c>
      <c r="BU19" s="4" t="n">
        <f aca="false">BT19/'Dataset experimental'!$AF19</f>
        <v>1.01897448203162</v>
      </c>
    </row>
    <row r="20" customFormat="false" ht="14.25" hidden="false" customHeight="false" outlineLevel="0" collapsed="false">
      <c r="A20" s="4" t="e">
        <f aca="false">0.0894*ABS(D20)-0.01603*E20</f>
        <v>#REF!</v>
      </c>
      <c r="B20" s="12" t="e">
        <f aca="false">'Dataset experimental'!K20*COS('Dataset experimental'!AC20)-'Dataset experimental'!M20-'Dataset experimental'!C20</f>
        <v>#REF!</v>
      </c>
      <c r="C20" s="12" t="e">
        <f aca="false">('Dataset experimental'!AE20+SIN('Avaliação do resultado ML'!B20))*0.70674187</f>
        <v>#REF!</v>
      </c>
      <c r="D20" s="12" t="e">
        <f aca="false">'Modelos Propostos'!E20+'Avaliação do resultado ML'!C20-'Modelos normativos'!AQ20</f>
        <v>#REF!</v>
      </c>
      <c r="E20" s="12" t="n">
        <f aca="false">'Modelos empíricos'!I20+1.1854</f>
        <v>1.95531884476083</v>
      </c>
      <c r="F20" s="4" t="e">
        <f aca="false">-0.01753*('Modelos normativos'!AN20-'Dataset experimental'!C20-ABS(G20)-('Modelos Propostos'!E20-'Modelos normativos'!AP20)/0.25291)</f>
        <v>#REF!</v>
      </c>
      <c r="G20" s="4" t="e">
        <f aca="false">'Dataset experimental'!K20+'Modelos empíricos'!K20^2+('Modelos Propostos'!E20-'Modelos normativos'!AQ20)*4.10553</f>
        <v>#REF!</v>
      </c>
      <c r="H20" s="4" t="e">
        <f aca="false">0.03283*(J20+K20)</f>
        <v>#REF!</v>
      </c>
      <c r="I20" s="4" t="e">
        <f aca="false">(1.61428/'Dataset experimental'!Q20)^3</f>
        <v>#REF!</v>
      </c>
      <c r="J20" s="4" t="e">
        <f aca="false">SIN('Dataset experimental'!E20)+1.450178*(SIN('Avaliação do resultado ML'!I20)+'Dataset experimental'!C20)</f>
        <v>#REF!</v>
      </c>
      <c r="K20" s="4" t="e">
        <f aca="false">('Modelos empíricos'!C20-'Dataset experimental'!G20)*'Dataset experimental'!AE20-'Modelos normativos'!AP20</f>
        <v>#REF!</v>
      </c>
      <c r="L20" s="4" t="n">
        <f aca="false">0.0076*'Dataset experimental'!B20+'Avaliação do resultado ML'!M20+'Avaliação do resultado ML'!N20+(-0.0328)*(0.0171*'Dataset experimental'!AD20-0.9442)*'Avaliação do resultado ML'!O20-'Avaliação do resultado ML'!P20-0.0364</f>
        <v>-0.0642447465013994</v>
      </c>
      <c r="M20" s="12" t="n">
        <f aca="false">0.03283*SIN(0.7328*'Dataset experimental'!D20-1.8266)</f>
        <v>0.0293265290156355</v>
      </c>
      <c r="N20" s="12" t="n">
        <f aca="false">0.0476*SIN(4.2067/(0.0095*'Dataset experimental'!P20-1.9338)^3)</f>
        <v>0.000591202177134627</v>
      </c>
      <c r="O20" s="12" t="n">
        <f aca="false">0.0214*'Dataset experimental'!F20-3.1067*'Dataset experimental'!B20*'Dataset experimental'!P20*('Dataset experimental'!T20-'Dataset experimental'!R20)*(0.39*'Dataset experimental'!P20*'Dataset experimental'!T20/'Dataset experimental'!V20-'Dataset experimental'!Z20+3.12)/(100000*'Dataset experimental'!V20)+0.7995</f>
        <v>-1.95909952611681</v>
      </c>
      <c r="P20" s="12" t="n">
        <f aca="false">0.4461*('Dataset experimental'!Z20-0.6*'Modelos normativos'!AB20)*(3.4*'Dataset experimental'!L20+0.17*'Dataset experimental'!B20/'Modelos normativos'!AC20)/200000</f>
        <v>0.204948004619226</v>
      </c>
      <c r="Q20" s="4" t="e">
        <f aca="false">L20/H20</f>
        <v>#REF!</v>
      </c>
      <c r="R20" s="4" t="e">
        <f aca="false">(-0.042-0.014*'Com TS variável MC2020'!Q29)*('Modelos normativos'!AP20-ABS('Modelos Propostos'!K20)-'Dataset experimental'!W20+COS(S20))</f>
        <v>#REF!</v>
      </c>
      <c r="S20" s="4" t="e">
        <f aca="false">'Dataset experimental'!O20-('Modelos normativos'!AQ20-SIN(0.083/('Dataset experimental'!M20-'Dataset experimental'!O20))-'Modelos empíricos'!I20)/0.646</f>
        <v>#REF!</v>
      </c>
      <c r="W20" s="4" t="e">
        <f aca="false">'Modelos normativos'!S20+'Avaliação do resultado ML'!A20</f>
        <v>#REF!</v>
      </c>
      <c r="X20" s="4" t="e">
        <f aca="false">W20/'Dataset experimental'!$AF20</f>
        <v>#REF!</v>
      </c>
      <c r="AJ20" s="4" t="e">
        <f aca="false">'Modelos Propostos'!B20+H20</f>
        <v>#REF!</v>
      </c>
      <c r="AK20" s="4" t="e">
        <f aca="false">AJ20/'Dataset experimental'!$AF20</f>
        <v>#REF!</v>
      </c>
      <c r="AV20" s="4" t="e">
        <f aca="false">'Modelos normativos'!S20+F20</f>
        <v>#REF!</v>
      </c>
      <c r="AW20" s="4" t="e">
        <f aca="false">AV20/'Dataset experimental'!$AF20</f>
        <v>#REF!</v>
      </c>
      <c r="BH20" s="4" t="e">
        <f aca="false">'Modelos Propostos'!B20+R20</f>
        <v>#REF!</v>
      </c>
      <c r="BI20" s="4" t="e">
        <f aca="false">BH20/'Dataset experimental'!$AF20</f>
        <v>#REF!</v>
      </c>
      <c r="BT20" s="4" t="n">
        <f aca="false">'Modelos Propostos'!B20+L20</f>
        <v>0.461534609000413</v>
      </c>
      <c r="BU20" s="4" t="n">
        <f aca="false">BT20/'Dataset experimental'!$AF20</f>
        <v>0.923069218000825</v>
      </c>
    </row>
    <row r="21" customFormat="false" ht="14.25" hidden="false" customHeight="false" outlineLevel="0" collapsed="false">
      <c r="A21" s="4" t="e">
        <f aca="false">0.0894*ABS(D21)-0.01603*E21</f>
        <v>#REF!</v>
      </c>
      <c r="B21" s="12" t="e">
        <f aca="false">'Dataset experimental'!K21*COS('Dataset experimental'!AC21)-'Dataset experimental'!M21-'Dataset experimental'!C21</f>
        <v>#REF!</v>
      </c>
      <c r="C21" s="12" t="e">
        <f aca="false">('Dataset experimental'!AE21+SIN('Avaliação do resultado ML'!B21))*0.70674187</f>
        <v>#REF!</v>
      </c>
      <c r="D21" s="12" t="e">
        <f aca="false">'Modelos Propostos'!E21+'Avaliação do resultado ML'!C21-'Modelos normativos'!AQ21</f>
        <v>#REF!</v>
      </c>
      <c r="E21" s="12" t="n">
        <f aca="false">'Modelos empíricos'!I21+1.1854</f>
        <v>-0.0300993448785722</v>
      </c>
      <c r="F21" s="4" t="e">
        <f aca="false">-0.01753*('Modelos normativos'!AN21-'Dataset experimental'!C21-ABS(G21)-('Modelos Propostos'!E21-'Modelos normativos'!AP21)/0.25291)</f>
        <v>#REF!</v>
      </c>
      <c r="G21" s="4" t="e">
        <f aca="false">'Dataset experimental'!K21+'Modelos empíricos'!K21^2+('Modelos Propostos'!E21-'Modelos normativos'!AQ21)*4.10553</f>
        <v>#REF!</v>
      </c>
      <c r="H21" s="4" t="e">
        <f aca="false">0.03283*(J21+K21)</f>
        <v>#REF!</v>
      </c>
      <c r="I21" s="4" t="e">
        <f aca="false">(1.61428/'Dataset experimental'!Q21)^3</f>
        <v>#REF!</v>
      </c>
      <c r="J21" s="4" t="e">
        <f aca="false">SIN('Dataset experimental'!E21)+1.450178*(SIN('Avaliação do resultado ML'!I21)+'Dataset experimental'!C21)</f>
        <v>#REF!</v>
      </c>
      <c r="K21" s="4" t="e">
        <f aca="false">('Modelos empíricos'!C21-'Dataset experimental'!G21)*'Dataset experimental'!AE21-'Modelos normativos'!AP21</f>
        <v>#REF!</v>
      </c>
      <c r="L21" s="4" t="n">
        <f aca="false">0.0076*'Dataset experimental'!B21+'Avaliação do resultado ML'!M21+'Avaliação do resultado ML'!N21+(-0.0328)*(0.0171*'Dataset experimental'!AD21-0.9442)*'Avaliação do resultado ML'!O21-'Avaliação do resultado ML'!P21-0.0364</f>
        <v>-0.00761935885825574</v>
      </c>
      <c r="M21" s="12" t="n">
        <f aca="false">0.03283*SIN(0.7328*'Dataset experimental'!D21-1.8266)</f>
        <v>0.0293265290156355</v>
      </c>
      <c r="N21" s="12" t="n">
        <f aca="false">0.0476*SIN(4.2067/(0.0095*'Dataset experimental'!P21-1.9338)^3)</f>
        <v>0.000591202177134627</v>
      </c>
      <c r="O21" s="12" t="n">
        <f aca="false">0.0214*'Dataset experimental'!F21-3.1067*'Dataset experimental'!B21*'Dataset experimental'!P21*('Dataset experimental'!T21-'Dataset experimental'!R21)*(0.39*'Dataset experimental'!P21*'Dataset experimental'!T21/'Dataset experimental'!V21-'Dataset experimental'!Z21+3.12)/(100000*'Dataset experimental'!V21)+0.7995</f>
        <v>0.224497491234053</v>
      </c>
      <c r="P21" s="12" t="n">
        <f aca="false">0.4461*('Dataset experimental'!Z21-0.6*'Modelos normativos'!AB21)*(3.4*'Dataset experimental'!L21+0.17*'Dataset experimental'!B21/'Modelos normativos'!AC21)/200000</f>
        <v>0.0772902512194454</v>
      </c>
      <c r="Q21" s="4" t="e">
        <f aca="false">L21/H21</f>
        <v>#REF!</v>
      </c>
      <c r="R21" s="4" t="e">
        <f aca="false">(-0.042-0.014*'Com TS variável MC2020'!Q30)*('Modelos normativos'!AP21-ABS('Modelos Propostos'!K21)-'Dataset experimental'!W21+COS(S21))</f>
        <v>#REF!</v>
      </c>
      <c r="S21" s="4" t="e">
        <f aca="false">'Dataset experimental'!O21-('Modelos normativos'!AQ21-SIN(0.083/('Dataset experimental'!M21-'Dataset experimental'!O21))-'Modelos empíricos'!I21)/0.646</f>
        <v>#REF!</v>
      </c>
      <c r="W21" s="4" t="e">
        <f aca="false">'Modelos normativos'!S21+'Avaliação do resultado ML'!A21</f>
        <v>#REF!</v>
      </c>
      <c r="X21" s="4" t="e">
        <f aca="false">W21/'Dataset experimental'!$AF21</f>
        <v>#REF!</v>
      </c>
      <c r="AJ21" s="4" t="e">
        <f aca="false">'Modelos Propostos'!B21+H21</f>
        <v>#REF!</v>
      </c>
      <c r="AK21" s="4" t="e">
        <f aca="false">AJ21/'Dataset experimental'!$AF21</f>
        <v>#REF!</v>
      </c>
      <c r="AV21" s="4" t="e">
        <f aca="false">'Modelos normativos'!S21+F21</f>
        <v>#REF!</v>
      </c>
      <c r="AW21" s="4" t="e">
        <f aca="false">AV21/'Dataset experimental'!$AF21</f>
        <v>#REF!</v>
      </c>
      <c r="BH21" s="4" t="e">
        <f aca="false">'Modelos Propostos'!B21+R21</f>
        <v>#REF!</v>
      </c>
      <c r="BI21" s="4" t="e">
        <f aca="false">BH21/'Dataset experimental'!$AF21</f>
        <v>#REF!</v>
      </c>
      <c r="BT21" s="4" t="n">
        <f aca="false">'Modelos Propostos'!B21+L21</f>
        <v>0.198719747077878</v>
      </c>
      <c r="BU21" s="4" t="n">
        <f aca="false">BT21/'Dataset experimental'!$AF21</f>
        <v>0.827998946157823</v>
      </c>
    </row>
    <row r="22" customFormat="false" ht="14.25" hidden="false" customHeight="false" outlineLevel="0" collapsed="false">
      <c r="A22" s="4" t="e">
        <f aca="false">0.0894*ABS(D22)-0.01603*E22</f>
        <v>#REF!</v>
      </c>
      <c r="B22" s="12" t="e">
        <f aca="false">'Dataset experimental'!K22*COS('Dataset experimental'!AC22)-'Dataset experimental'!M22-'Dataset experimental'!C22</f>
        <v>#REF!</v>
      </c>
      <c r="C22" s="12" t="e">
        <f aca="false">('Dataset experimental'!AE22+SIN('Avaliação do resultado ML'!B22))*0.70674187</f>
        <v>#REF!</v>
      </c>
      <c r="D22" s="12" t="e">
        <f aca="false">'Modelos Propostos'!E22+'Avaliação do resultado ML'!C22-'Modelos normativos'!AQ22</f>
        <v>#REF!</v>
      </c>
      <c r="E22" s="12" t="n">
        <f aca="false">'Modelos empíricos'!I22+1.1854</f>
        <v>0.202808664585769</v>
      </c>
      <c r="F22" s="4" t="e">
        <f aca="false">-0.01753*('Modelos normativos'!AN22-'Dataset experimental'!C22-ABS(G22)-('Modelos Propostos'!E22-'Modelos normativos'!AP22)/0.25291)</f>
        <v>#REF!</v>
      </c>
      <c r="G22" s="4" t="e">
        <f aca="false">'Dataset experimental'!K22+'Modelos empíricos'!K22^2+('Modelos Propostos'!E22-'Modelos normativos'!AQ22)*4.10553</f>
        <v>#REF!</v>
      </c>
      <c r="H22" s="4" t="e">
        <f aca="false">0.03283*(J22+K22)</f>
        <v>#REF!</v>
      </c>
      <c r="I22" s="4" t="e">
        <f aca="false">(1.61428/'Dataset experimental'!Q22)^3</f>
        <v>#REF!</v>
      </c>
      <c r="J22" s="4" t="e">
        <f aca="false">SIN('Dataset experimental'!E22)+1.450178*(SIN('Avaliação do resultado ML'!I22)+'Dataset experimental'!C22)</f>
        <v>#REF!</v>
      </c>
      <c r="K22" s="4" t="e">
        <f aca="false">('Modelos empíricos'!C22-'Dataset experimental'!G22)*'Dataset experimental'!AE22-'Modelos normativos'!AP22</f>
        <v>#REF!</v>
      </c>
      <c r="L22" s="4" t="n">
        <f aca="false">0.0076*'Dataset experimental'!B22+'Avaliação do resultado ML'!M22+'Avaliação do resultado ML'!N22+(-0.0328)*(0.0171*'Dataset experimental'!AD22-0.9442)*'Avaliação do resultado ML'!O22-'Avaliação do resultado ML'!P22-0.0364</f>
        <v>-0.0222283890186661</v>
      </c>
      <c r="M22" s="12" t="n">
        <f aca="false">0.03283*SIN(0.7328*'Dataset experimental'!D22-1.8266)</f>
        <v>0.0293265290156355</v>
      </c>
      <c r="N22" s="12" t="n">
        <f aca="false">0.0476*SIN(4.2067/(0.0095*'Dataset experimental'!P22-1.9338)^3)</f>
        <v>0.000591202177134627</v>
      </c>
      <c r="O22" s="12" t="n">
        <f aca="false">0.0214*'Dataset experimental'!F22-3.1067*'Dataset experimental'!B22*'Dataset experimental'!P22*('Dataset experimental'!T22-'Dataset experimental'!R22)*(0.39*'Dataset experimental'!P22*'Dataset experimental'!T22/'Dataset experimental'!V22-'Dataset experimental'!Z22+3.12)/(100000*'Dataset experimental'!V22)+0.7995</f>
        <v>-0.0299526179491848</v>
      </c>
      <c r="P22" s="12" t="n">
        <f aca="false">0.4461*('Dataset experimental'!Z22-0.6*'Modelos normativos'!AB22)*(3.4*'Dataset experimental'!L22+0.17*'Dataset experimental'!B22/'Modelos normativos'!AC22)/200000</f>
        <v>0.0918264842834986</v>
      </c>
      <c r="Q22" s="4" t="e">
        <f aca="false">L22/H22</f>
        <v>#REF!</v>
      </c>
      <c r="R22" s="4" t="e">
        <f aca="false">(-0.042-0.014*'Com TS variável MC2020'!Q31)*('Modelos normativos'!AP22-ABS('Modelos Propostos'!K22)-'Dataset experimental'!W22+COS(S22))</f>
        <v>#REF!</v>
      </c>
      <c r="S22" s="4" t="e">
        <f aca="false">'Dataset experimental'!O22-('Modelos normativos'!AQ22-SIN(0.083/('Dataset experimental'!M22-'Dataset experimental'!O22))-'Modelos empíricos'!I22)/0.646</f>
        <v>#REF!</v>
      </c>
      <c r="W22" s="4" t="e">
        <f aca="false">'Modelos normativos'!S22+'Avaliação do resultado ML'!A22</f>
        <v>#REF!</v>
      </c>
      <c r="X22" s="4" t="e">
        <f aca="false">W22/'Dataset experimental'!$AF22</f>
        <v>#REF!</v>
      </c>
      <c r="AJ22" s="4" t="e">
        <f aca="false">'Modelos Propostos'!B22+H22</f>
        <v>#REF!</v>
      </c>
      <c r="AK22" s="4" t="e">
        <f aca="false">AJ22/'Dataset experimental'!$AF22</f>
        <v>#REF!</v>
      </c>
      <c r="AV22" s="4" t="e">
        <f aca="false">'Modelos normativos'!S22+F22</f>
        <v>#REF!</v>
      </c>
      <c r="AW22" s="4" t="e">
        <f aca="false">AV22/'Dataset experimental'!$AF22</f>
        <v>#REF!</v>
      </c>
      <c r="BH22" s="4" t="e">
        <f aca="false">'Modelos Propostos'!B22+R22</f>
        <v>#REF!</v>
      </c>
      <c r="BI22" s="4" t="e">
        <f aca="false">BH22/'Dataset experimental'!$AF22</f>
        <v>#REF!</v>
      </c>
      <c r="BT22" s="4" t="n">
        <f aca="false">'Modelos Propostos'!B22+L22</f>
        <v>0.226580505210467</v>
      </c>
      <c r="BU22" s="4" t="n">
        <f aca="false">BT22/'Dataset experimental'!$AF22</f>
        <v>0.755268350701555</v>
      </c>
    </row>
    <row r="23" customFormat="false" ht="14.25" hidden="false" customHeight="false" outlineLevel="0" collapsed="false">
      <c r="A23" s="4" t="e">
        <f aca="false">0.0894*ABS(D23)-0.01603*E23</f>
        <v>#REF!</v>
      </c>
      <c r="B23" s="12" t="e">
        <f aca="false">'Dataset experimental'!K23*COS('Dataset experimental'!AC23)-'Dataset experimental'!M23-'Dataset experimental'!C23</f>
        <v>#REF!</v>
      </c>
      <c r="C23" s="12" t="e">
        <f aca="false">('Dataset experimental'!AE23+SIN('Avaliação do resultado ML'!B23))*0.70674187</f>
        <v>#REF!</v>
      </c>
      <c r="D23" s="12" t="e">
        <f aca="false">'Modelos Propostos'!E23+'Avaliação do resultado ML'!C23-'Modelos normativos'!AQ23</f>
        <v>#REF!</v>
      </c>
      <c r="E23" s="12" t="n">
        <f aca="false">'Modelos empíricos'!I23+1.1854</f>
        <v>0.290149168134896</v>
      </c>
      <c r="F23" s="4" t="e">
        <f aca="false">-0.01753*('Modelos normativos'!AN23-'Dataset experimental'!C23-ABS(G23)-('Modelos Propostos'!E23-'Modelos normativos'!AP23)/0.25291)</f>
        <v>#REF!</v>
      </c>
      <c r="G23" s="4" t="e">
        <f aca="false">'Dataset experimental'!K23+'Modelos empíricos'!K23^2+('Modelos Propostos'!E23-'Modelos normativos'!AQ23)*4.10553</f>
        <v>#REF!</v>
      </c>
      <c r="H23" s="4" t="e">
        <f aca="false">0.03283*(J23+K23)</f>
        <v>#REF!</v>
      </c>
      <c r="I23" s="4" t="e">
        <f aca="false">(1.61428/'Dataset experimental'!Q23)^3</f>
        <v>#REF!</v>
      </c>
      <c r="J23" s="4" t="e">
        <f aca="false">SIN('Dataset experimental'!E23)+1.450178*(SIN('Avaliação do resultado ML'!I23)+'Dataset experimental'!C23)</f>
        <v>#REF!</v>
      </c>
      <c r="K23" s="4" t="e">
        <f aca="false">('Modelos empíricos'!C23-'Dataset experimental'!G23)*'Dataset experimental'!AE23-'Modelos normativos'!AP23</f>
        <v>#REF!</v>
      </c>
      <c r="L23" s="4" t="n">
        <f aca="false">0.0076*'Dataset experimental'!B23+'Avaliação do resultado ML'!M23+'Avaliação do resultado ML'!N23+(-0.0328)*(0.0171*'Dataset experimental'!AD23-0.9442)*'Avaliação do resultado ML'!O23-'Avaliação do resultado ML'!P23-0.0364</f>
        <v>-0.0272652477742377</v>
      </c>
      <c r="M23" s="12" t="n">
        <f aca="false">0.03283*SIN(0.7328*'Dataset experimental'!D23-1.8266)</f>
        <v>0.0293265290156355</v>
      </c>
      <c r="N23" s="12" t="n">
        <f aca="false">0.0476*SIN(4.2067/(0.0095*'Dataset experimental'!P23-1.9338)^3)</f>
        <v>0.000591202177134627</v>
      </c>
      <c r="O23" s="12" t="n">
        <f aca="false">0.0214*'Dataset experimental'!F23-3.1067*'Dataset experimental'!B23*'Dataset experimental'!P23*('Dataset experimental'!T23-'Dataset experimental'!R23)*(0.39*'Dataset experimental'!P23*'Dataset experimental'!T23/'Dataset experimental'!V23-'Dataset experimental'!Z23+3.12)/(100000*'Dataset experimental'!V23)+0.7995</f>
        <v>-0.125371408892898</v>
      </c>
      <c r="P23" s="12" t="n">
        <f aca="false">0.4461*('Dataset experimental'!Z23-0.6*'Modelos normativos'!AB23)*(3.4*'Dataset experimental'!L23+0.17*'Dataset experimental'!B23/'Modelos normativos'!AC23)/200000</f>
        <v>0.0972775716825185</v>
      </c>
      <c r="Q23" s="4" t="e">
        <f aca="false">L23/H23</f>
        <v>#REF!</v>
      </c>
      <c r="R23" s="4" t="e">
        <f aca="false">(-0.042-0.014*'Com TS variável MC2020'!Q32)*('Modelos normativos'!AP23-ABS('Modelos Propostos'!K23)-'Dataset experimental'!W23+COS(S23))</f>
        <v>#REF!</v>
      </c>
      <c r="S23" s="4" t="e">
        <f aca="false">'Dataset experimental'!O23-('Modelos normativos'!AQ23-SIN(0.083/('Dataset experimental'!M23-'Dataset experimental'!O23))-'Modelos empíricos'!I23)/0.646</f>
        <v>#REF!</v>
      </c>
      <c r="W23" s="4" t="e">
        <f aca="false">'Modelos normativos'!S23+'Avaliação do resultado ML'!A23</f>
        <v>#REF!</v>
      </c>
      <c r="X23" s="4" t="e">
        <f aca="false">W23/'Dataset experimental'!$AF23</f>
        <v>#REF!</v>
      </c>
      <c r="AJ23" s="4" t="e">
        <f aca="false">'Modelos Propostos'!B23+H23</f>
        <v>#REF!</v>
      </c>
      <c r="AK23" s="4" t="e">
        <f aca="false">AJ23/'Dataset experimental'!$AF23</f>
        <v>#REF!</v>
      </c>
      <c r="AV23" s="4" t="e">
        <f aca="false">'Modelos normativos'!S23+F23</f>
        <v>#REF!</v>
      </c>
      <c r="AW23" s="4" t="e">
        <f aca="false">AV23/'Dataset experimental'!$AF23</f>
        <v>#REF!</v>
      </c>
      <c r="BH23" s="4" t="e">
        <f aca="false">'Modelos Propostos'!B23+R23</f>
        <v>#REF!</v>
      </c>
      <c r="BI23" s="4" t="e">
        <f aca="false">BH23/'Dataset experimental'!$AF23</f>
        <v>#REF!</v>
      </c>
      <c r="BT23" s="4" t="n">
        <f aca="false">'Modelos Propostos'!B23+L23</f>
        <v>0.23746981706477</v>
      </c>
      <c r="BU23" s="4" t="n">
        <f aca="false">BT23/'Dataset experimental'!$AF23</f>
        <v>0.791566056882566</v>
      </c>
    </row>
    <row r="24" customFormat="false" ht="14.25" hidden="false" customHeight="false" outlineLevel="0" collapsed="false">
      <c r="A24" s="4" t="e">
        <f aca="false">0.0894*ABS(D24)-0.01603*E24</f>
        <v>#REF!</v>
      </c>
      <c r="B24" s="12" t="e">
        <f aca="false">'Dataset experimental'!K24*COS('Dataset experimental'!AC24)-'Dataset experimental'!M24-'Dataset experimental'!C24</f>
        <v>#REF!</v>
      </c>
      <c r="C24" s="12" t="e">
        <f aca="false">('Dataset experimental'!AE24+SIN('Avaliação do resultado ML'!B24))*0.70674187</f>
        <v>#REF!</v>
      </c>
      <c r="D24" s="12" t="e">
        <f aca="false">'Modelos Propostos'!E24+'Avaliação do resultado ML'!C24-'Modelos normativos'!AQ24</f>
        <v>#REF!</v>
      </c>
      <c r="E24" s="12" t="n">
        <f aca="false">'Modelos empíricos'!I24+1.1854</f>
        <v>0.435716674050109</v>
      </c>
      <c r="F24" s="4" t="e">
        <f aca="false">-0.01753*('Modelos normativos'!AN24-'Dataset experimental'!C24-ABS(G24)-('Modelos Propostos'!E24-'Modelos normativos'!AP24)/0.25291)</f>
        <v>#REF!</v>
      </c>
      <c r="G24" s="4" t="e">
        <f aca="false">'Dataset experimental'!K24+'Modelos empíricos'!K24^2+('Modelos Propostos'!E24-'Modelos normativos'!AQ24)*4.10553</f>
        <v>#REF!</v>
      </c>
      <c r="H24" s="4" t="e">
        <f aca="false">0.03283*(J24+K24)</f>
        <v>#REF!</v>
      </c>
      <c r="I24" s="4" t="e">
        <f aca="false">(1.61428/'Dataset experimental'!Q24)^3</f>
        <v>#REF!</v>
      </c>
      <c r="J24" s="4" t="e">
        <f aca="false">SIN('Dataset experimental'!E24)+1.450178*(SIN('Avaliação do resultado ML'!I24)+'Dataset experimental'!C24)</f>
        <v>#REF!</v>
      </c>
      <c r="K24" s="4" t="e">
        <f aca="false">('Modelos empíricos'!C24-'Dataset experimental'!G24)*'Dataset experimental'!AE24-'Modelos normativos'!AP24</f>
        <v>#REF!</v>
      </c>
      <c r="L24" s="4" t="n">
        <f aca="false">0.0076*'Dataset experimental'!B24+'Avaliação do resultado ML'!M24+'Avaliação do resultado ML'!N24+(-0.0328)*(0.0171*'Dataset experimental'!AD24-0.9442)*'Avaliação do resultado ML'!O24-'Avaliação do resultado ML'!P24-0.0364</f>
        <v>-0.035124827452212</v>
      </c>
      <c r="M24" s="12" t="n">
        <f aca="false">0.03283*SIN(0.7328*'Dataset experimental'!D24-1.8266)</f>
        <v>0.0293265290156355</v>
      </c>
      <c r="N24" s="12" t="n">
        <f aca="false">0.0476*SIN(4.2067/(0.0095*'Dataset experimental'!P24-1.9338)^3)</f>
        <v>0.000591202177134627</v>
      </c>
      <c r="O24" s="12" t="n">
        <f aca="false">0.0214*'Dataset experimental'!F24-3.1067*'Dataset experimental'!B24*'Dataset experimental'!P24*('Dataset experimental'!T24-'Dataset experimental'!R24)*(0.39*'Dataset experimental'!P24*'Dataset experimental'!T24/'Dataset experimental'!V24-'Dataset experimental'!Z24+3.12)/(100000*'Dataset experimental'!V24)+0.7995</f>
        <v>-0.284402727132422</v>
      </c>
      <c r="P24" s="12" t="n">
        <f aca="false">0.4461*('Dataset experimental'!Z24-0.6*'Modelos normativos'!AB24)*(3.4*'Dataset experimental'!L24+0.17*'Dataset experimental'!B24/'Modelos normativos'!AC24)/200000</f>
        <v>0.106362717347552</v>
      </c>
      <c r="Q24" s="4" t="e">
        <f aca="false">L24/H24</f>
        <v>#REF!</v>
      </c>
      <c r="R24" s="4" t="e">
        <f aca="false">(-0.042-0.014*'Com TS variável MC2020'!Q33)*('Modelos normativos'!AP24-ABS('Modelos Propostos'!K24)-'Dataset experimental'!W24+COS(S24))</f>
        <v>#REF!</v>
      </c>
      <c r="S24" s="4" t="e">
        <f aca="false">'Dataset experimental'!O24-('Modelos normativos'!AQ24-SIN(0.083/('Dataset experimental'!M24-'Dataset experimental'!O24))-'Modelos empíricos'!I24)/0.646</f>
        <v>#REF!</v>
      </c>
      <c r="W24" s="4" t="e">
        <f aca="false">'Modelos normativos'!S24+'Avaliação do resultado ML'!A24</f>
        <v>#REF!</v>
      </c>
      <c r="X24" s="4" t="e">
        <f aca="false">W24/'Dataset experimental'!$AF24</f>
        <v>#REF!</v>
      </c>
      <c r="AJ24" s="4" t="e">
        <f aca="false">'Modelos Propostos'!B24+H24</f>
        <v>#REF!</v>
      </c>
      <c r="AK24" s="4" t="e">
        <f aca="false">AJ24/'Dataset experimental'!$AF24</f>
        <v>#REF!</v>
      </c>
      <c r="AV24" s="4" t="e">
        <f aca="false">'Modelos normativos'!S24+F24</f>
        <v>#REF!</v>
      </c>
      <c r="AW24" s="4" t="e">
        <f aca="false">AV24/'Dataset experimental'!$AF24</f>
        <v>#REF!</v>
      </c>
      <c r="BH24" s="4" t="e">
        <f aca="false">'Modelos Propostos'!B24+R24</f>
        <v>#REF!</v>
      </c>
      <c r="BI24" s="4" t="e">
        <f aca="false">BH24/'Dataset experimental'!$AF24</f>
        <v>#REF!</v>
      </c>
      <c r="BT24" s="4" t="n">
        <f aca="false">'Modelos Propostos'!B24+L24</f>
        <v>0.25615385506992</v>
      </c>
      <c r="BU24" s="4" t="n">
        <f aca="false">BT24/'Dataset experimental'!$AF24</f>
        <v>0.8538461835664</v>
      </c>
    </row>
    <row r="25" customFormat="false" ht="14.25" hidden="false" customHeight="false" outlineLevel="0" collapsed="false">
      <c r="A25" s="4" t="e">
        <f aca="false">0.0894*ABS(D25)-0.01603*E25</f>
        <v>#REF!</v>
      </c>
      <c r="B25" s="12" t="e">
        <f aca="false">'Dataset experimental'!K25*COS('Dataset experimental'!AC25)-'Dataset experimental'!M25-'Dataset experimental'!C25</f>
        <v>#REF!</v>
      </c>
      <c r="C25" s="12" t="e">
        <f aca="false">('Dataset experimental'!AE25+SIN('Avaliação do resultado ML'!B25))*0.70674187</f>
        <v>#REF!</v>
      </c>
      <c r="D25" s="12" t="e">
        <f aca="false">'Modelos Propostos'!E25+'Avaliação do resultado ML'!C25-'Modelos normativos'!AQ25</f>
        <v>#REF!</v>
      </c>
      <c r="E25" s="12" t="n">
        <f aca="false">'Modelos empíricos'!I25+1.1854</f>
        <v>0.639511182331406</v>
      </c>
      <c r="F25" s="4" t="e">
        <f aca="false">-0.01753*('Modelos normativos'!AN25-'Dataset experimental'!C25-ABS(G25)-('Modelos Propostos'!E25-'Modelos normativos'!AP25)/0.25291)</f>
        <v>#REF!</v>
      </c>
      <c r="G25" s="4" t="e">
        <f aca="false">'Dataset experimental'!K25+'Modelos empíricos'!K25^2+('Modelos Propostos'!E25-'Modelos normativos'!AQ25)*4.10553</f>
        <v>#REF!</v>
      </c>
      <c r="H25" s="4" t="e">
        <f aca="false">0.03283*(J25+K25)</f>
        <v>#REF!</v>
      </c>
      <c r="I25" s="4" t="e">
        <f aca="false">(1.61428/'Dataset experimental'!Q25)^3</f>
        <v>#REF!</v>
      </c>
      <c r="J25" s="4" t="e">
        <f aca="false">SIN('Dataset experimental'!E25)+1.450178*(SIN('Avaliação do resultado ML'!I25)+'Dataset experimental'!C25)</f>
        <v>#REF!</v>
      </c>
      <c r="K25" s="4" t="e">
        <f aca="false">('Modelos empíricos'!C25-'Dataset experimental'!G25)*'Dataset experimental'!AE25-'Modelos normativos'!AP25</f>
        <v>#REF!</v>
      </c>
      <c r="L25" s="4" t="n">
        <f aca="false">0.0076*'Dataset experimental'!B25+'Avaliação do resultado ML'!M25+'Avaliação do resultado ML'!N25+(-0.0328)*(0.0171*'Dataset experimental'!AD25-0.9442)*'Avaliação do resultado ML'!O25-'Avaliação do resultado ML'!P25-0.0364</f>
        <v>-0.0450043506806213</v>
      </c>
      <c r="M25" s="12" t="n">
        <f aca="false">0.03283*SIN(0.7328*'Dataset experimental'!D25-1.8266)</f>
        <v>0.0293265290156355</v>
      </c>
      <c r="N25" s="12" t="n">
        <f aca="false">0.0476*SIN(4.2067/(0.0095*'Dataset experimental'!P25-1.9338)^3)</f>
        <v>0.000591202177134627</v>
      </c>
      <c r="O25" s="12" t="n">
        <f aca="false">0.0214*'Dataset experimental'!F25-3.1067*'Dataset experimental'!B25*'Dataset experimental'!P25*('Dataset experimental'!T25-'Dataset experimental'!R25)*(0.39*'Dataset experimental'!P25*'Dataset experimental'!T25/'Dataset experimental'!V25-'Dataset experimental'!Z25+3.12)/(100000*'Dataset experimental'!V25)+0.7995</f>
        <v>-0.507046572667753</v>
      </c>
      <c r="P25" s="12" t="n">
        <f aca="false">0.4461*('Dataset experimental'!Z25-0.6*'Modelos normativos'!AB25)*(3.4*'Dataset experimental'!L25+0.17*'Dataset experimental'!B25/'Modelos normativos'!AC25)/200000</f>
        <v>0.119081921278598</v>
      </c>
      <c r="Q25" s="4" t="e">
        <f aca="false">L25/H25</f>
        <v>#REF!</v>
      </c>
      <c r="R25" s="4" t="e">
        <f aca="false">(-0.042-0.014*'Com TS variável MC2020'!Q34)*('Modelos normativos'!AP25-ABS('Modelos Propostos'!K25)-'Dataset experimental'!W25+COS(S25))</f>
        <v>#REF!</v>
      </c>
      <c r="S25" s="4" t="e">
        <f aca="false">'Dataset experimental'!O25-('Modelos normativos'!AQ25-SIN(0.083/('Dataset experimental'!M25-'Dataset experimental'!O25))-'Modelos empíricos'!I25)/0.646</f>
        <v>#REF!</v>
      </c>
      <c r="W25" s="4" t="e">
        <f aca="false">'Modelos normativos'!S25+'Avaliação do resultado ML'!A25</f>
        <v>#REF!</v>
      </c>
      <c r="X25" s="4" t="e">
        <f aca="false">W25/'Dataset experimental'!$AF25</f>
        <v>#REF!</v>
      </c>
      <c r="AJ25" s="4" t="e">
        <f aca="false">'Modelos Propostos'!B25+H25</f>
        <v>#REF!</v>
      </c>
      <c r="AK25" s="4" t="e">
        <f aca="false">AJ25/'Dataset experimental'!$AF25</f>
        <v>#REF!</v>
      </c>
      <c r="AV25" s="4" t="e">
        <f aca="false">'Modelos normativos'!S25+F25</f>
        <v>#REF!</v>
      </c>
      <c r="AW25" s="4" t="e">
        <f aca="false">AV25/'Dataset experimental'!$AF25</f>
        <v>#REF!</v>
      </c>
      <c r="BH25" s="4" t="e">
        <f aca="false">'Modelos Propostos'!B25+R25</f>
        <v>#REF!</v>
      </c>
      <c r="BI25" s="4" t="e">
        <f aca="false">BH25/'Dataset experimental'!$AF25</f>
        <v>#REF!</v>
      </c>
      <c r="BT25" s="4" t="n">
        <f aca="false">'Modelos Propostos'!B25+L25</f>
        <v>0.283435396597885</v>
      </c>
      <c r="BU25" s="4" t="n">
        <f aca="false">BT25/'Dataset experimental'!$AF25</f>
        <v>0.745882622626013</v>
      </c>
    </row>
    <row r="26" customFormat="false" ht="14.25" hidden="false" customHeight="false" outlineLevel="0" collapsed="false">
      <c r="A26" s="4" t="e">
        <f aca="false">0.0894*ABS(D26)-0.01603*E26</f>
        <v>#REF!</v>
      </c>
      <c r="B26" s="12" t="e">
        <f aca="false">'Dataset experimental'!K26*COS('Dataset experimental'!AC26)-'Dataset experimental'!M26-'Dataset experimental'!C26</f>
        <v>#REF!</v>
      </c>
      <c r="C26" s="12" t="e">
        <f aca="false">('Dataset experimental'!AE26+SIN('Avaliação do resultado ML'!B26))*0.70674187</f>
        <v>#REF!</v>
      </c>
      <c r="D26" s="12" t="e">
        <f aca="false">'Modelos Propostos'!E26+'Avaliação do resultado ML'!C26-'Modelos normativos'!AQ26</f>
        <v>#REF!</v>
      </c>
      <c r="E26" s="12" t="n">
        <f aca="false">'Modelos empíricos'!I26+1.1854</f>
        <v>1.07621370007704</v>
      </c>
      <c r="F26" s="4" t="e">
        <f aca="false">-0.01753*('Modelos normativos'!AN26-'Dataset experimental'!C26-ABS(G26)-('Modelos Propostos'!E26-'Modelos normativos'!AP26)/0.25291)</f>
        <v>#REF!</v>
      </c>
      <c r="G26" s="4" t="e">
        <f aca="false">'Dataset experimental'!K26+'Modelos empíricos'!K26^2+('Modelos Propostos'!E26-'Modelos normativos'!AQ26)*4.10553</f>
        <v>#REF!</v>
      </c>
      <c r="H26" s="4" t="e">
        <f aca="false">0.03283*(J26+K26)</f>
        <v>#REF!</v>
      </c>
      <c r="I26" s="4" t="e">
        <f aca="false">(1.61428/'Dataset experimental'!Q26)^3</f>
        <v>#REF!</v>
      </c>
      <c r="J26" s="4" t="e">
        <f aca="false">SIN('Dataset experimental'!E26)+1.450178*(SIN('Avaliação do resultado ML'!I26)+'Dataset experimental'!C26)</f>
        <v>#REF!</v>
      </c>
      <c r="K26" s="4" t="e">
        <f aca="false">('Modelos empíricos'!C26-'Dataset experimental'!G26)*'Dataset experimental'!AE26-'Modelos normativos'!AP26</f>
        <v>#REF!</v>
      </c>
      <c r="L26" s="4" t="n">
        <f aca="false">0.0076*'Dataset experimental'!B26+'Avaliação do resultado ML'!M26+'Avaliação do resultado ML'!N26+(-0.0328)*(0.0171*'Dataset experimental'!AD26-0.9442)*'Avaliação do resultado ML'!O26-'Avaliação do resultado ML'!P26-0.0364</f>
        <v>-0.0617594820528192</v>
      </c>
      <c r="M26" s="12" t="n">
        <f aca="false">0.03283*SIN(0.7328*'Dataset experimental'!D26-1.8266)</f>
        <v>0.0293265290156355</v>
      </c>
      <c r="N26" s="12" t="n">
        <f aca="false">0.0476*SIN(4.2067/(0.0095*'Dataset experimental'!P26-1.9338)^3)</f>
        <v>0.000591202177134627</v>
      </c>
      <c r="O26" s="12" t="n">
        <f aca="false">0.0214*'Dataset experimental'!F26-3.1067*'Dataset experimental'!B26*'Dataset experimental'!P26*('Dataset experimental'!T26-'Dataset experimental'!R26)*(0.39*'Dataset experimental'!P26*'Dataset experimental'!T26/'Dataset experimental'!V26-'Dataset experimental'!Z26+3.12)/(100000*'Dataset experimental'!V26)+0.7995</f>
        <v>-0.984140527386323</v>
      </c>
      <c r="P26" s="12" t="n">
        <f aca="false">0.4461*('Dataset experimental'!Z26-0.6*'Modelos normativos'!AB26)*(3.4*'Dataset experimental'!L26+0.17*'Dataset experimental'!B26/'Modelos normativos'!AC26)/200000</f>
        <v>0.146337358273698</v>
      </c>
      <c r="Q26" s="4" t="e">
        <f aca="false">L26/H26</f>
        <v>#REF!</v>
      </c>
      <c r="R26" s="4" t="e">
        <f aca="false">(-0.042-0.014*'Com TS variável MC2020'!Q35)*('Modelos normativos'!AP26-ABS('Modelos Propostos'!K26)-'Dataset experimental'!W26+COS(S26))</f>
        <v>#REF!</v>
      </c>
      <c r="S26" s="4" t="e">
        <f aca="false">'Dataset experimental'!O26-('Modelos normativos'!AQ26-SIN(0.083/('Dataset experimental'!M26-'Dataset experimental'!O26))-'Modelos empíricos'!I26)/0.646</f>
        <v>#REF!</v>
      </c>
      <c r="W26" s="4" t="e">
        <f aca="false">'Modelos normativos'!S26+'Avaliação do resultado ML'!A26</f>
        <v>#REF!</v>
      </c>
      <c r="X26" s="4" t="e">
        <f aca="false">W26/'Dataset experimental'!$AF26</f>
        <v>#REF!</v>
      </c>
      <c r="AJ26" s="4" t="e">
        <f aca="false">'Modelos Propostos'!B26+H26</f>
        <v>#REF!</v>
      </c>
      <c r="AK26" s="4" t="e">
        <f aca="false">AJ26/'Dataset experimental'!$AF26</f>
        <v>#REF!</v>
      </c>
      <c r="AV26" s="4" t="e">
        <f aca="false">'Modelos normativos'!S26+F26</f>
        <v>#REF!</v>
      </c>
      <c r="AW26" s="4" t="e">
        <f aca="false">AV26/'Dataset experimental'!$AF26</f>
        <v>#REF!</v>
      </c>
      <c r="BH26" s="4" t="e">
        <f aca="false">'Modelos Propostos'!B26+R26</f>
        <v>#REF!</v>
      </c>
      <c r="BI26" s="4" t="e">
        <f aca="false">BH26/'Dataset experimental'!$AF26</f>
        <v>#REF!</v>
      </c>
      <c r="BT26" s="4" t="n">
        <f aca="false">'Modelos Propostos'!B26+L26</f>
        <v>0.346311118275061</v>
      </c>
      <c r="BU26" s="4" t="n">
        <f aca="false">BT26/'Dataset experimental'!$AF26</f>
        <v>0.787070723352411</v>
      </c>
    </row>
    <row r="27" customFormat="false" ht="14.25" hidden="false" customHeight="false" outlineLevel="0" collapsed="false">
      <c r="A27" s="4" t="e">
        <f aca="false">0.0894*ABS(D27)-0.01603*E27</f>
        <v>#REF!</v>
      </c>
      <c r="B27" s="12" t="e">
        <f aca="false">'Dataset experimental'!K27*COS('Dataset experimental'!AC27)-'Dataset experimental'!M27-'Dataset experimental'!C27</f>
        <v>#REF!</v>
      </c>
      <c r="C27" s="12" t="e">
        <f aca="false">('Dataset experimental'!AE27+SIN('Avaliação do resultado ML'!B27))*0.70674187</f>
        <v>#REF!</v>
      </c>
      <c r="D27" s="12" t="e">
        <f aca="false">'Modelos Propostos'!E27+'Avaliação do resultado ML'!C27-'Modelos normativos'!AQ27</f>
        <v>#REF!</v>
      </c>
      <c r="E27" s="12" t="n">
        <f aca="false">'Modelos empíricos'!I27+1.1854</f>
        <v>-0.995119174487086</v>
      </c>
      <c r="F27" s="4" t="e">
        <f aca="false">-0.01753*('Modelos normativos'!AN27-'Dataset experimental'!C27-ABS(G27)-('Modelos Propostos'!E27-'Modelos normativos'!AP27)/0.25291)</f>
        <v>#REF!</v>
      </c>
      <c r="G27" s="4" t="e">
        <f aca="false">'Dataset experimental'!K27+'Modelos empíricos'!K27^2+('Modelos Propostos'!E27-'Modelos normativos'!AQ27)*4.10553</f>
        <v>#REF!</v>
      </c>
      <c r="H27" s="4" t="e">
        <f aca="false">0.03283*(J27+K27)</f>
        <v>#REF!</v>
      </c>
      <c r="I27" s="4" t="e">
        <f aca="false">(1.61428/'Dataset experimental'!Q27)^3</f>
        <v>#REF!</v>
      </c>
      <c r="J27" s="4" t="e">
        <f aca="false">SIN('Dataset experimental'!E27)+1.450178*(SIN('Avaliação do resultado ML'!I27)+'Dataset experimental'!C27)</f>
        <v>#REF!</v>
      </c>
      <c r="K27" s="4" t="e">
        <f aca="false">('Modelos empíricos'!C27-'Dataset experimental'!G27)*'Dataset experimental'!AE27-'Modelos normativos'!AP27</f>
        <v>#REF!</v>
      </c>
      <c r="L27" s="4" t="n">
        <f aca="false">0.0076*'Dataset experimental'!B27+'Avaliação do resultado ML'!M27+'Avaliação do resultado ML'!N27+(-0.0328)*(0.0171*'Dataset experimental'!AD27-0.9442)*'Avaliação do resultado ML'!O27-'Avaliação do resultado ML'!P27-0.0364</f>
        <v>0.134711562977434</v>
      </c>
      <c r="M27" s="12" t="n">
        <f aca="false">0.03283*SIN(0.7328*'Dataset experimental'!D27-1.8266)</f>
        <v>0.0293265290156355</v>
      </c>
      <c r="N27" s="12" t="n">
        <f aca="false">0.0476*SIN(4.2067/(0.0095*'Dataset experimental'!P27-1.9338)^3)</f>
        <v>0.0305080954829531</v>
      </c>
      <c r="O27" s="12" t="n">
        <f aca="false">0.0214*'Dataset experimental'!F27-3.1067*'Dataset experimental'!B27*'Dataset experimental'!P27*('Dataset experimental'!T27-'Dataset experimental'!R27)*(0.39*'Dataset experimental'!P27*'Dataset experimental'!T27/'Dataset experimental'!V27-'Dataset experimental'!Z27+3.12)/(100000*'Dataset experimental'!V27)+0.7995</f>
        <v>1.0172058172964</v>
      </c>
      <c r="P27" s="12" t="n">
        <f aca="false">0.4461*('Dataset experimental'!Z27-0.6*'Modelos normativos'!AB27)*(3.4*'Dataset experimental'!L27+0.17*'Dataset experimental'!B27/'Modelos normativos'!AC27)/200000</f>
        <v>0.031442028295173</v>
      </c>
      <c r="Q27" s="4" t="e">
        <f aca="false">L27/H27</f>
        <v>#REF!</v>
      </c>
      <c r="R27" s="4" t="e">
        <f aca="false">(-0.042-0.014*'Com TS variável MC2020'!Q36)*('Modelos normativos'!AP27-ABS('Modelos Propostos'!K27)-'Dataset experimental'!W27+COS(S27))</f>
        <v>#REF!</v>
      </c>
      <c r="S27" s="4" t="e">
        <f aca="false">'Dataset experimental'!O27-('Modelos normativos'!AQ27-SIN(0.083/('Dataset experimental'!M27-'Dataset experimental'!O27))-'Modelos empíricos'!I27)/0.646</f>
        <v>#REF!</v>
      </c>
      <c r="W27" s="4" t="e">
        <f aca="false">'Modelos normativos'!S27+'Avaliação do resultado ML'!A27</f>
        <v>#REF!</v>
      </c>
      <c r="X27" s="4" t="e">
        <f aca="false">W27/'Dataset experimental'!$AF27</f>
        <v>#REF!</v>
      </c>
      <c r="AJ27" s="4" t="e">
        <f aca="false">'Modelos Propostos'!B27+H27</f>
        <v>#REF!</v>
      </c>
      <c r="AK27" s="4" t="e">
        <f aca="false">AJ27/'Dataset experimental'!$AF27</f>
        <v>#REF!</v>
      </c>
      <c r="AV27" s="4" t="e">
        <f aca="false">'Modelos normativos'!S27+F27</f>
        <v>#REF!</v>
      </c>
      <c r="AW27" s="4" t="e">
        <f aca="false">AV27/'Dataset experimental'!$AF27</f>
        <v>#REF!</v>
      </c>
      <c r="BH27" s="4" t="e">
        <f aca="false">'Modelos Propostos'!B27+R27</f>
        <v>#REF!</v>
      </c>
      <c r="BI27" s="4" t="e">
        <f aca="false">BH27/'Dataset experimental'!$AF27</f>
        <v>#REF!</v>
      </c>
      <c r="BT27" s="4" t="n">
        <f aca="false">'Modelos Propostos'!B27+L27</f>
        <v>0.196118383567011</v>
      </c>
      <c r="BU27" s="4" t="n">
        <f aca="false">BT27/'Dataset experimental'!$AF27</f>
        <v>1.08954657537229</v>
      </c>
    </row>
    <row r="28" customFormat="false" ht="14.25" hidden="false" customHeight="false" outlineLevel="0" collapsed="false">
      <c r="A28" s="4" t="e">
        <f aca="false">0.0894*ABS(D28)-0.01603*E28</f>
        <v>#REF!</v>
      </c>
      <c r="B28" s="12" t="e">
        <f aca="false">'Dataset experimental'!K28*COS('Dataset experimental'!AC28)-'Dataset experimental'!M28-'Dataset experimental'!C28</f>
        <v>#REF!</v>
      </c>
      <c r="C28" s="12" t="e">
        <f aca="false">('Dataset experimental'!AE28+SIN('Avaliação do resultado ML'!B28))*0.70674187</f>
        <v>#REF!</v>
      </c>
      <c r="D28" s="12" t="e">
        <f aca="false">'Modelos Propostos'!E28+'Avaliação do resultado ML'!C28-'Modelos normativos'!AQ28</f>
        <v>#REF!</v>
      </c>
      <c r="E28" s="12" t="n">
        <f aca="false">'Modelos empíricos'!I28+1.1854</f>
        <v>-0.464436979593325</v>
      </c>
      <c r="F28" s="4" t="e">
        <f aca="false">-0.01753*('Modelos normativos'!AN28-'Dataset experimental'!C28-ABS(G28)-('Modelos Propostos'!E28-'Modelos normativos'!AP28)/0.25291)</f>
        <v>#REF!</v>
      </c>
      <c r="G28" s="4" t="e">
        <f aca="false">'Dataset experimental'!K28+'Modelos empíricos'!K28^2+('Modelos Propostos'!E28-'Modelos normativos'!AQ28)*4.10553</f>
        <v>#REF!</v>
      </c>
      <c r="H28" s="4" t="e">
        <f aca="false">0.03283*(J28+K28)</f>
        <v>#REF!</v>
      </c>
      <c r="I28" s="4" t="e">
        <f aca="false">(1.61428/'Dataset experimental'!Q28)^3</f>
        <v>#REF!</v>
      </c>
      <c r="J28" s="4" t="e">
        <f aca="false">SIN('Dataset experimental'!E28)+1.450178*(SIN('Avaliação do resultado ML'!I28)+'Dataset experimental'!C28)</f>
        <v>#REF!</v>
      </c>
      <c r="K28" s="4" t="e">
        <f aca="false">('Modelos empíricos'!C28-'Dataset experimental'!G28)*'Dataset experimental'!AE28-'Modelos normativos'!AP28</f>
        <v>#REF!</v>
      </c>
      <c r="L28" s="4" t="n">
        <f aca="false">0.0076*'Dataset experimental'!B28+'Avaliação do resultado ML'!M28+'Avaliação do resultado ML'!N28+(-0.0328)*(0.0171*'Dataset experimental'!AD28-0.9442)*'Avaliação do resultado ML'!O28-'Avaliação do resultado ML'!P28-0.0364</f>
        <v>0.106953774460789</v>
      </c>
      <c r="M28" s="12" t="n">
        <f aca="false">0.03283*SIN(0.7328*'Dataset experimental'!D28-1.8266)</f>
        <v>0.0293265290156355</v>
      </c>
      <c r="N28" s="12" t="n">
        <f aca="false">0.0476*SIN(4.2067/(0.0095*'Dataset experimental'!P28-1.9338)^3)</f>
        <v>0.0305080954829531</v>
      </c>
      <c r="O28" s="12" t="n">
        <f aca="false">0.0214*'Dataset experimental'!F28-3.1067*'Dataset experimental'!B28*'Dataset experimental'!P28*('Dataset experimental'!T28-'Dataset experimental'!R28)*(0.39*'Dataset experimental'!P28*'Dataset experimental'!T28/'Dataset experimental'!V28-'Dataset experimental'!Z28+3.12)/(100000*'Dataset experimental'!V28)+0.7995</f>
        <v>0.735128519529368</v>
      </c>
      <c r="P28" s="12" t="n">
        <f aca="false">0.4461*('Dataset experimental'!Z28-0.6*'Modelos normativos'!AB28)*(3.4*'Dataset experimental'!L28+0.17*'Dataset experimental'!B28/'Modelos normativos'!AC28)/200000</f>
        <v>0.0500448490950986</v>
      </c>
      <c r="Q28" s="4" t="e">
        <f aca="false">L28/H28</f>
        <v>#REF!</v>
      </c>
      <c r="R28" s="4" t="e">
        <f aca="false">(-0.042-0.014*'Com TS variável MC2020'!Q37)*('Modelos normativos'!AP28-ABS('Modelos Propostos'!K28)-'Dataset experimental'!W28+COS(S28))</f>
        <v>#REF!</v>
      </c>
      <c r="S28" s="4" t="e">
        <f aca="false">'Dataset experimental'!O28-('Modelos normativos'!AQ28-SIN(0.083/('Dataset experimental'!M28-'Dataset experimental'!O28))-'Modelos empíricos'!I28)/0.646</f>
        <v>#REF!</v>
      </c>
      <c r="W28" s="4" t="e">
        <f aca="false">'Modelos normativos'!S28+'Avaliação do resultado ML'!A28</f>
        <v>#REF!</v>
      </c>
      <c r="X28" s="4" t="e">
        <f aca="false">W28/'Dataset experimental'!$AF28</f>
        <v>#REF!</v>
      </c>
      <c r="AJ28" s="4" t="e">
        <f aca="false">'Modelos Propostos'!B28+H28</f>
        <v>#REF!</v>
      </c>
      <c r="AK28" s="4" t="e">
        <f aca="false">AJ28/'Dataset experimental'!$AF28</f>
        <v>#REF!</v>
      </c>
      <c r="AV28" s="4" t="e">
        <f aca="false">'Modelos normativos'!S28+F28</f>
        <v>#REF!</v>
      </c>
      <c r="AW28" s="4" t="e">
        <f aca="false">AV28/'Dataset experimental'!$AF28</f>
        <v>#REF!</v>
      </c>
      <c r="BH28" s="4" t="e">
        <f aca="false">'Modelos Propostos'!B28+R28</f>
        <v>#REF!</v>
      </c>
      <c r="BI28" s="4" t="e">
        <f aca="false">BH28/'Dataset experimental'!$AF28</f>
        <v>#REF!</v>
      </c>
      <c r="BT28" s="4" t="n">
        <f aca="false">'Modelos Propostos'!B28+L28</f>
        <v>0.22434044173523</v>
      </c>
      <c r="BU28" s="4" t="n">
        <f aca="false">BT28/'Dataset experimental'!$AF28</f>
        <v>1.12170220867615</v>
      </c>
    </row>
    <row r="29" customFormat="false" ht="14.25" hidden="false" customHeight="false" outlineLevel="0" collapsed="false">
      <c r="A29" s="4" t="e">
        <f aca="false">0.0894*ABS(D29)-0.01603*E29</f>
        <v>#REF!</v>
      </c>
      <c r="B29" s="12" t="e">
        <f aca="false">'Dataset experimental'!K29*COS('Dataset experimental'!AC29)-'Dataset experimental'!M29-'Dataset experimental'!C29</f>
        <v>#REF!</v>
      </c>
      <c r="C29" s="12" t="e">
        <f aca="false">('Dataset experimental'!AE29+SIN('Avaliação do resultado ML'!B29))*0.70674187</f>
        <v>#REF!</v>
      </c>
      <c r="D29" s="12" t="e">
        <f aca="false">'Modelos Propostos'!E29+'Avaliação do resultado ML'!C29-'Modelos normativos'!AQ29</f>
        <v>#REF!</v>
      </c>
      <c r="E29" s="12" t="n">
        <f aca="false">'Modelos empíricos'!I29+1.1854</f>
        <v>-0.0995929706038652</v>
      </c>
      <c r="F29" s="4" t="e">
        <f aca="false">-0.01753*('Modelos normativos'!AN29-'Dataset experimental'!C29-ABS(G29)-('Modelos Propostos'!E29-'Modelos normativos'!AP29)/0.25291)</f>
        <v>#REF!</v>
      </c>
      <c r="G29" s="4" t="e">
        <f aca="false">'Dataset experimental'!K29+'Modelos empíricos'!K29^2+('Modelos Propostos'!E29-'Modelos normativos'!AQ29)*4.10553</f>
        <v>#REF!</v>
      </c>
      <c r="H29" s="4" t="e">
        <f aca="false">0.03283*(J29+K29)</f>
        <v>#REF!</v>
      </c>
      <c r="I29" s="4" t="e">
        <f aca="false">(1.61428/'Dataset experimental'!Q29)^3</f>
        <v>#REF!</v>
      </c>
      <c r="J29" s="4" t="e">
        <f aca="false">SIN('Dataset experimental'!E29)+1.450178*(SIN('Avaliação do resultado ML'!I29)+'Dataset experimental'!C29)</f>
        <v>#REF!</v>
      </c>
      <c r="K29" s="4" t="e">
        <f aca="false">('Modelos empíricos'!C29-'Dataset experimental'!G29)*'Dataset experimental'!AE29-'Modelos normativos'!AP29</f>
        <v>#REF!</v>
      </c>
      <c r="L29" s="4" t="n">
        <f aca="false">0.0076*'Dataset experimental'!B29+'Avaliação do resultado ML'!M29+'Avaliação do resultado ML'!N29+(-0.0328)*(0.0171*'Dataset experimental'!AD29-0.9442)*'Avaliação do resultado ML'!O29-'Avaliação do resultado ML'!P29-0.0364</f>
        <v>0.0893386954770686</v>
      </c>
      <c r="M29" s="12" t="n">
        <f aca="false">0.03283*SIN(0.7328*'Dataset experimental'!D29-1.8266)</f>
        <v>0.0293265290156355</v>
      </c>
      <c r="N29" s="12" t="n">
        <f aca="false">0.0476*SIN(4.2067/(0.0095*'Dataset experimental'!P29-1.9338)^3)</f>
        <v>0.0305080954829531</v>
      </c>
      <c r="O29" s="12" t="n">
        <f aca="false">0.0214*'Dataset experimental'!F29-3.1067*'Dataset experimental'!B29*'Dataset experimental'!P29*('Dataset experimental'!T29-'Dataset experimental'!R29)*(0.39*'Dataset experimental'!P29*'Dataset experimental'!T29/'Dataset experimental'!V29-'Dataset experimental'!Z29+3.12)/(100000*'Dataset experimental'!V29)+0.7995</f>
        <v>0.541200377314532</v>
      </c>
      <c r="P29" s="12" t="n">
        <f aca="false">0.4461*('Dataset experimental'!Z29-0.6*'Modelos normativos'!AB29)*(3.4*'Dataset experimental'!L29+0.17*'Dataset experimental'!B29/'Modelos normativos'!AC29)/200000</f>
        <v>0.0628342883950474</v>
      </c>
      <c r="Q29" s="4" t="e">
        <f aca="false">L29/H29</f>
        <v>#REF!</v>
      </c>
      <c r="R29" s="4" t="e">
        <f aca="false">(-0.042-0.014*'Com TS variável MC2020'!Q38)*('Modelos normativos'!AP29-ABS('Modelos Propostos'!K29)-'Dataset experimental'!W29+COS(S29))</f>
        <v>#REF!</v>
      </c>
      <c r="S29" s="4" t="e">
        <f aca="false">'Dataset experimental'!O29-('Modelos normativos'!AQ29-SIN(0.083/('Dataset experimental'!M29-'Dataset experimental'!O29))-'Modelos empíricos'!I29)/0.646</f>
        <v>#REF!</v>
      </c>
      <c r="W29" s="4" t="e">
        <f aca="false">'Modelos normativos'!S29+'Avaliação do resultado ML'!A29</f>
        <v>#REF!</v>
      </c>
      <c r="X29" s="4" t="e">
        <f aca="false">W29/'Dataset experimental'!$AF29</f>
        <v>#REF!</v>
      </c>
      <c r="AJ29" s="4" t="e">
        <f aca="false">'Modelos Propostos'!B29+H29</f>
        <v>#REF!</v>
      </c>
      <c r="AK29" s="4" t="e">
        <f aca="false">AJ29/'Dataset experimental'!$AF29</f>
        <v>#REF!</v>
      </c>
      <c r="AV29" s="4" t="e">
        <f aca="false">'Modelos normativos'!S29+F29</f>
        <v>#REF!</v>
      </c>
      <c r="AW29" s="4" t="e">
        <f aca="false">AV29/'Dataset experimental'!$AF29</f>
        <v>#REF!</v>
      </c>
      <c r="BH29" s="4" t="e">
        <f aca="false">'Modelos Propostos'!B29+R29</f>
        <v>#REF!</v>
      </c>
      <c r="BI29" s="4" t="e">
        <f aca="false">BH29/'Dataset experimental'!$AF29</f>
        <v>#REF!</v>
      </c>
      <c r="BT29" s="4" t="n">
        <f aca="false">'Modelos Propostos'!B29+L29</f>
        <v>0.252959422458678</v>
      </c>
      <c r="BU29" s="4" t="n">
        <f aca="false">BT29/'Dataset experimental'!$AF29</f>
        <v>0.9729208556103</v>
      </c>
    </row>
    <row r="30" customFormat="false" ht="14.25" hidden="false" customHeight="false" outlineLevel="0" collapsed="false">
      <c r="A30" s="4" t="e">
        <f aca="false">0.0894*ABS(D30)-0.01603*E30</f>
        <v>#REF!</v>
      </c>
      <c r="B30" s="12" t="e">
        <f aca="false">'Dataset experimental'!K30*COS('Dataset experimental'!AC30)-'Dataset experimental'!M30-'Dataset experimental'!C30</f>
        <v>#REF!</v>
      </c>
      <c r="C30" s="12" t="e">
        <f aca="false">('Dataset experimental'!AE30+SIN('Avaliação do resultado ML'!B30))*0.70674187</f>
        <v>#REF!</v>
      </c>
      <c r="D30" s="12" t="e">
        <f aca="false">'Modelos Propostos'!E30+'Avaliação do resultado ML'!C30-'Modelos normativos'!AQ30</f>
        <v>#REF!</v>
      </c>
      <c r="E30" s="12" t="n">
        <f aca="false">'Modelos empíricos'!I30+1.1854</f>
        <v>0.504058026087787</v>
      </c>
      <c r="F30" s="4" t="e">
        <f aca="false">-0.01753*('Modelos normativos'!AN30-'Dataset experimental'!C30-ABS(G30)-('Modelos Propostos'!E30-'Modelos normativos'!AP30)/0.25291)</f>
        <v>#REF!</v>
      </c>
      <c r="G30" s="4" t="e">
        <f aca="false">'Dataset experimental'!K30+'Modelos empíricos'!K30^2+('Modelos Propostos'!E30-'Modelos normativos'!AQ30)*4.10553</f>
        <v>#REF!</v>
      </c>
      <c r="H30" s="4" t="e">
        <f aca="false">0.03283*(J30+K30)</f>
        <v>#REF!</v>
      </c>
      <c r="I30" s="4" t="e">
        <f aca="false">(1.61428/'Dataset experimental'!Q30)^3</f>
        <v>#REF!</v>
      </c>
      <c r="J30" s="4" t="e">
        <f aca="false">SIN('Dataset experimental'!E30)+1.450178*(SIN('Avaliação do resultado ML'!I30)+'Dataset experimental'!C30)</f>
        <v>#REF!</v>
      </c>
      <c r="K30" s="4" t="e">
        <f aca="false">('Modelos empíricos'!C30-'Dataset experimental'!G30)*'Dataset experimental'!AE30-'Modelos normativos'!AP30</f>
        <v>#REF!</v>
      </c>
      <c r="L30" s="4" t="n">
        <f aca="false">0.0076*'Dataset experimental'!B30+'Avaliação do resultado ML'!M30+'Avaliação do resultado ML'!N30+(-0.0328)*(0.0171*'Dataset experimental'!AD30-0.9442)*'Avaliação do resultado ML'!O30-'Avaliação do resultado ML'!P30-0.0364</f>
        <v>0.0628212443446642</v>
      </c>
      <c r="M30" s="12" t="n">
        <f aca="false">0.03283*SIN(0.7328*'Dataset experimental'!D30-1.8266)</f>
        <v>0.0293265290156355</v>
      </c>
      <c r="N30" s="12" t="n">
        <f aca="false">0.0476*SIN(4.2067/(0.0095*'Dataset experimental'!P30-1.9338)^3)</f>
        <v>0.0305080954829531</v>
      </c>
      <c r="O30" s="12" t="n">
        <f aca="false">0.0214*'Dataset experimental'!F30-3.1067*'Dataset experimental'!B30*'Dataset experimental'!P30*('Dataset experimental'!T30-'Dataset experimental'!R30)*(0.39*'Dataset experimental'!P30*'Dataset experimental'!T30/'Dataset experimental'!V30-'Dataset experimental'!Z30+3.12)/(100000*'Dataset experimental'!V30)+0.7995</f>
        <v>0.220337451104531</v>
      </c>
      <c r="P30" s="12" t="n">
        <f aca="false">0.4461*('Dataset experimental'!Z30-0.6*'Modelos normativos'!AB30)*(3.4*'Dataset experimental'!L30+0.17*'Dataset experimental'!B30/'Modelos normativos'!AC30)/200000</f>
        <v>0.0839949970549627</v>
      </c>
      <c r="Q30" s="4" t="e">
        <f aca="false">L30/H30</f>
        <v>#REF!</v>
      </c>
      <c r="R30" s="4" t="e">
        <f aca="false">(-0.042-0.014*'Com TS variável MC2020'!Q39)*('Modelos normativos'!AP30-ABS('Modelos Propostos'!K30)-'Dataset experimental'!W30+COS(S30))</f>
        <v>#REF!</v>
      </c>
      <c r="S30" s="4" t="e">
        <f aca="false">'Dataset experimental'!O30-('Modelos normativos'!AQ30-SIN(0.083/('Dataset experimental'!M30-'Dataset experimental'!O30))-'Modelos empíricos'!I30)/0.646</f>
        <v>#REF!</v>
      </c>
      <c r="W30" s="4" t="e">
        <f aca="false">'Modelos normativos'!S30+'Avaliação do resultado ML'!A30</f>
        <v>#REF!</v>
      </c>
      <c r="X30" s="4" t="e">
        <f aca="false">W30/'Dataset experimental'!$AF30</f>
        <v>#REF!</v>
      </c>
      <c r="AJ30" s="4" t="e">
        <f aca="false">'Modelos Propostos'!B30+H30</f>
        <v>#REF!</v>
      </c>
      <c r="AK30" s="4" t="e">
        <f aca="false">AJ30/'Dataset experimental'!$AF30</f>
        <v>#REF!</v>
      </c>
      <c r="AV30" s="4" t="e">
        <f aca="false">'Modelos normativos'!S30+F30</f>
        <v>#REF!</v>
      </c>
      <c r="AW30" s="4" t="e">
        <f aca="false">AV30/'Dataset experimental'!$AF30</f>
        <v>#REF!</v>
      </c>
      <c r="BH30" s="4" t="e">
        <f aca="false">'Modelos Propostos'!B30+R30</f>
        <v>#REF!</v>
      </c>
      <c r="BI30" s="4" t="e">
        <f aca="false">BH30/'Dataset experimental'!$AF30</f>
        <v>#REF!</v>
      </c>
      <c r="BT30" s="4" t="n">
        <f aca="false">'Modelos Propostos'!B30+L30</f>
        <v>0.302938324659952</v>
      </c>
      <c r="BU30" s="4" t="n">
        <f aca="false">BT30/'Dataset experimental'!$AF30</f>
        <v>0.688496192408981</v>
      </c>
    </row>
    <row r="31" customFormat="false" ht="14.25" hidden="false" customHeight="false" outlineLevel="0" collapsed="false">
      <c r="A31" s="4" t="e">
        <f aca="false">0.0894*ABS(D31)-0.01603*E31</f>
        <v>#REF!</v>
      </c>
      <c r="B31" s="12" t="e">
        <f aca="false">'Dataset experimental'!K31*COS('Dataset experimental'!AC31)-'Dataset experimental'!M31-'Dataset experimental'!C31</f>
        <v>#REF!</v>
      </c>
      <c r="C31" s="12" t="e">
        <f aca="false">('Dataset experimental'!AE31+SIN('Avaliação do resultado ML'!B31))*0.70674187</f>
        <v>#REF!</v>
      </c>
      <c r="D31" s="12" t="e">
        <f aca="false">'Modelos Propostos'!E31+'Avaliação do resultado ML'!C31-'Modelos normativos'!AQ31</f>
        <v>#REF!</v>
      </c>
      <c r="E31" s="12" t="n">
        <f aca="false">'Modelos empíricos'!I31+1.1854</f>
        <v>1.38631717509866</v>
      </c>
      <c r="F31" s="4" t="e">
        <f aca="false">-0.01753*('Modelos normativos'!AN31-'Dataset experimental'!C31-ABS(G31)-('Modelos Propostos'!E31-'Modelos normativos'!AP31)/0.25291)</f>
        <v>#REF!</v>
      </c>
      <c r="G31" s="4" t="e">
        <f aca="false">'Dataset experimental'!K31+'Modelos empíricos'!K31^2+('Modelos Propostos'!E31-'Modelos normativos'!AQ31)*4.10553</f>
        <v>#REF!</v>
      </c>
      <c r="H31" s="4" t="e">
        <f aca="false">0.03283*(J31+K31)</f>
        <v>#REF!</v>
      </c>
      <c r="I31" s="4" t="e">
        <f aca="false">(1.61428/'Dataset experimental'!Q31)^3</f>
        <v>#REF!</v>
      </c>
      <c r="J31" s="4" t="e">
        <f aca="false">SIN('Dataset experimental'!E31)+1.450178*(SIN('Avaliação do resultado ML'!I31)+'Dataset experimental'!C31)</f>
        <v>#REF!</v>
      </c>
      <c r="K31" s="4" t="e">
        <f aca="false">('Modelos empíricos'!C31-'Dataset experimental'!G31)*'Dataset experimental'!AE31-'Modelos normativos'!AP31</f>
        <v>#REF!</v>
      </c>
      <c r="L31" s="4" t="n">
        <f aca="false">0.0076*'Dataset experimental'!B31+'Avaliação do resultado ML'!M31+'Avaliação do resultado ML'!N31+(-0.0328)*(0.0171*'Dataset experimental'!AD31-0.9442)*'Avaliação do resultado ML'!O31-'Avaliação do resultado ML'!P31-0.0364</f>
        <v>0.029956766422782</v>
      </c>
      <c r="M31" s="12" t="n">
        <f aca="false">0.03283*SIN(0.7328*'Dataset experimental'!D31-1.8266)</f>
        <v>0.0293265290156355</v>
      </c>
      <c r="N31" s="12" t="n">
        <f aca="false">0.0476*SIN(4.2067/(0.0095*'Dataset experimental'!P31-1.9338)^3)</f>
        <v>0.0305080954829531</v>
      </c>
      <c r="O31" s="12" t="n">
        <f aca="false">0.0214*'Dataset experimental'!F31-3.1067*'Dataset experimental'!B31*'Dataset experimental'!P31*('Dataset experimental'!T31-'Dataset experimental'!R31)*(0.39*'Dataset experimental'!P31*'Dataset experimental'!T31/'Dataset experimental'!V31-'Dataset experimental'!Z31+3.12)/(100000*'Dataset experimental'!V31)+0.7995</f>
        <v>-0.248616056433165</v>
      </c>
      <c r="P31" s="12" t="n">
        <f aca="false">0.4461*('Dataset experimental'!Z31-0.6*'Modelos normativos'!AB31)*(3.4*'Dataset experimental'!L31+0.17*'Dataset experimental'!B31/'Modelos normativos'!AC31)/200000</f>
        <v>0.114922186634839</v>
      </c>
      <c r="Q31" s="4" t="e">
        <f aca="false">L31/H31</f>
        <v>#REF!</v>
      </c>
      <c r="R31" s="4" t="e">
        <f aca="false">(-0.042-0.014*'Com TS variável MC2020'!Q40)*('Modelos normativos'!AP31-ABS('Modelos Propostos'!K31)-'Dataset experimental'!W31+COS(S31))</f>
        <v>#REF!</v>
      </c>
      <c r="S31" s="4" t="e">
        <f aca="false">'Dataset experimental'!O31-('Modelos normativos'!AQ31-SIN(0.083/('Dataset experimental'!M31-'Dataset experimental'!O31))-'Modelos empíricos'!I31)/0.646</f>
        <v>#REF!</v>
      </c>
      <c r="W31" s="4" t="e">
        <f aca="false">'Modelos normativos'!S31+'Avaliação do resultado ML'!A31</f>
        <v>#REF!</v>
      </c>
      <c r="X31" s="4" t="e">
        <f aca="false">W31/'Dataset experimental'!$AF31</f>
        <v>#REF!</v>
      </c>
      <c r="AJ31" s="4" t="e">
        <f aca="false">'Modelos Propostos'!B31+H31</f>
        <v>#REF!</v>
      </c>
      <c r="AK31" s="4" t="e">
        <f aca="false">AJ31/'Dataset experimental'!$AF31</f>
        <v>#REF!</v>
      </c>
      <c r="AV31" s="4" t="e">
        <f aca="false">'Modelos normativos'!S31+F31</f>
        <v>#REF!</v>
      </c>
      <c r="AW31" s="4" t="e">
        <f aca="false">AV31/'Dataset experimental'!$AF31</f>
        <v>#REF!</v>
      </c>
      <c r="BH31" s="4" t="e">
        <f aca="false">'Modelos Propostos'!B31+R31</f>
        <v>#REF!</v>
      </c>
      <c r="BI31" s="4" t="e">
        <f aca="false">BH31/'Dataset experimental'!$AF31</f>
        <v>#REF!</v>
      </c>
      <c r="BT31" s="4" t="n">
        <f aca="false">'Modelos Propostos'!B31+L31</f>
        <v>0.381876209302676</v>
      </c>
      <c r="BU31" s="4" t="n">
        <f aca="false">BT31/'Dataset experimental'!$AF31</f>
        <v>0.636460348837793</v>
      </c>
    </row>
    <row r="32" customFormat="false" ht="14.25" hidden="false" customHeight="false" outlineLevel="0" collapsed="false">
      <c r="A32" s="4" t="e">
        <f aca="false">0.0894*ABS(D32)-0.01603*E32</f>
        <v>#REF!</v>
      </c>
      <c r="B32" s="12" t="e">
        <f aca="false">'Dataset experimental'!K32*COS('Dataset experimental'!AC32)-'Dataset experimental'!M32-'Dataset experimental'!C32</f>
        <v>#REF!</v>
      </c>
      <c r="C32" s="12" t="e">
        <f aca="false">('Dataset experimental'!AE32+SIN('Avaliação do resultado ML'!B32))*0.70674187</f>
        <v>#REF!</v>
      </c>
      <c r="D32" s="12" t="e">
        <f aca="false">'Modelos Propostos'!E32+'Avaliação do resultado ML'!C32-'Modelos normativos'!AQ32</f>
        <v>#REF!</v>
      </c>
      <c r="E32" s="12" t="n">
        <f aca="false">'Modelos empíricos'!I32+1.1854</f>
        <v>0.324108450600014</v>
      </c>
      <c r="F32" s="4" t="e">
        <f aca="false">-0.01753*('Modelos normativos'!AN32-'Dataset experimental'!C32-ABS(G32)-('Modelos Propostos'!E32-'Modelos normativos'!AP32)/0.25291)</f>
        <v>#REF!</v>
      </c>
      <c r="G32" s="4" t="e">
        <f aca="false">'Dataset experimental'!K32+'Modelos empíricos'!K32^2+('Modelos Propostos'!E32-'Modelos normativos'!AQ32)*4.10553</f>
        <v>#REF!</v>
      </c>
      <c r="H32" s="4" t="e">
        <f aca="false">0.03283*(J32+K32)</f>
        <v>#REF!</v>
      </c>
      <c r="I32" s="4" t="e">
        <f aca="false">(1.61428/'Dataset experimental'!Q32)^3</f>
        <v>#REF!</v>
      </c>
      <c r="J32" s="4" t="e">
        <f aca="false">SIN('Dataset experimental'!E32)+1.450178*(SIN('Avaliação do resultado ML'!I32)+'Dataset experimental'!C32)</f>
        <v>#REF!</v>
      </c>
      <c r="K32" s="4" t="e">
        <f aca="false">('Modelos empíricos'!C32-'Dataset experimental'!G32)*'Dataset experimental'!AE32-'Modelos normativos'!AP32</f>
        <v>#REF!</v>
      </c>
      <c r="L32" s="4" t="n">
        <f aca="false">0.0076*'Dataset experimental'!B32+'Avaliação do resultado ML'!M32+'Avaliação do resultado ML'!N32+(-0.0328)*(0.0171*'Dataset experimental'!AD32-0.9442)*'Avaliação do resultado ML'!O32-'Avaliação do resultado ML'!P32-0.0364</f>
        <v>0.0495874875960869</v>
      </c>
      <c r="M32" s="12" t="n">
        <f aca="false">0.03283*SIN(0.7328*'Dataset experimental'!D32-1.8266)</f>
        <v>0.0293265290156355</v>
      </c>
      <c r="N32" s="12" t="n">
        <f aca="false">0.0476*SIN(4.2067/(0.0095*'Dataset experimental'!P32-1.9338)^3)</f>
        <v>0.0475982941477051</v>
      </c>
      <c r="O32" s="12" t="n">
        <f aca="false">0.0214*'Dataset experimental'!F32-3.1067*'Dataset experimental'!B32*'Dataset experimental'!P32*('Dataset experimental'!T32-'Dataset experimental'!R32)*(0.39*'Dataset experimental'!P32*'Dataset experimental'!T32/'Dataset experimental'!V32-'Dataset experimental'!Z32+3.12)/(100000*'Dataset experimental'!V32)+0.7995</f>
        <v>0.599944304976826</v>
      </c>
      <c r="P32" s="12" t="n">
        <f aca="false">0.4461*('Dataset experimental'!Z32-0.6*'Modelos normativos'!AB32)*(3.4*'Dataset experimental'!L32+0.17*'Dataset experimental'!B32/'Modelos normativos'!AC32)/200000</f>
        <v>0.0830513867125442</v>
      </c>
      <c r="Q32" s="4" t="e">
        <f aca="false">L32/H32</f>
        <v>#REF!</v>
      </c>
      <c r="R32" s="4" t="e">
        <f aca="false">(-0.042-0.014*'Com TS variável MC2020'!Q41)*('Modelos normativos'!AP32-ABS('Modelos Propostos'!K32)-'Dataset experimental'!W32+COS(S32))</f>
        <v>#REF!</v>
      </c>
      <c r="S32" s="4" t="e">
        <f aca="false">'Dataset experimental'!O32-('Modelos normativos'!AQ32-SIN(0.083/('Dataset experimental'!M32-'Dataset experimental'!O32))-'Modelos empíricos'!I32)/0.646</f>
        <v>#REF!</v>
      </c>
      <c r="W32" s="4" t="e">
        <f aca="false">'Modelos normativos'!S32+'Avaliação do resultado ML'!A32</f>
        <v>#REF!</v>
      </c>
      <c r="X32" s="4" t="e">
        <f aca="false">W32/'Dataset experimental'!$AF32</f>
        <v>#REF!</v>
      </c>
      <c r="AJ32" s="4" t="e">
        <f aca="false">'Modelos Propostos'!B32+H32</f>
        <v>#REF!</v>
      </c>
      <c r="AK32" s="4" t="e">
        <f aca="false">AJ32/'Dataset experimental'!$AF32</f>
        <v>#REF!</v>
      </c>
      <c r="AV32" s="4" t="e">
        <f aca="false">'Modelos normativos'!S32+F32</f>
        <v>#REF!</v>
      </c>
      <c r="AW32" s="4" t="e">
        <f aca="false">AV32/'Dataset experimental'!$AF32</f>
        <v>#REF!</v>
      </c>
      <c r="BH32" s="4" t="e">
        <f aca="false">'Modelos Propostos'!B32+R32</f>
        <v>#REF!</v>
      </c>
      <c r="BI32" s="4" t="e">
        <f aca="false">BH32/'Dataset experimental'!$AF32</f>
        <v>#REF!</v>
      </c>
      <c r="BT32" s="4" t="n">
        <f aca="false">'Modelos Propostos'!B32+L32</f>
        <v>0.356377668944044</v>
      </c>
      <c r="BU32" s="4" t="n">
        <f aca="false">BT32/'Dataset experimental'!$AF32</f>
        <v>0.989937969289012</v>
      </c>
    </row>
    <row r="33" customFormat="false" ht="14.25" hidden="false" customHeight="false" outlineLevel="0" collapsed="false">
      <c r="A33" s="4" t="e">
        <f aca="false">0.0894*ABS(D33)-0.01603*E33</f>
        <v>#REF!</v>
      </c>
      <c r="B33" s="12" t="e">
        <f aca="false">'Dataset experimental'!K33*COS('Dataset experimental'!AC33)-'Dataset experimental'!M33-'Dataset experimental'!C33</f>
        <v>#REF!</v>
      </c>
      <c r="C33" s="12" t="e">
        <f aca="false">('Dataset experimental'!AE33+SIN('Avaliação do resultado ML'!B33))*0.70674187</f>
        <v>#REF!</v>
      </c>
      <c r="D33" s="12" t="e">
        <f aca="false">'Modelos Propostos'!E33+'Avaliação do resultado ML'!C33-'Modelos normativos'!AQ33</f>
        <v>#REF!</v>
      </c>
      <c r="E33" s="12" t="n">
        <f aca="false">'Modelos empíricos'!I33+1.1854</f>
        <v>1.04148246554752</v>
      </c>
      <c r="F33" s="4" t="e">
        <f aca="false">-0.01753*('Modelos normativos'!AN33-'Dataset experimental'!C33-ABS(G33)-('Modelos Propostos'!E33-'Modelos normativos'!AP33)/0.25291)</f>
        <v>#REF!</v>
      </c>
      <c r="G33" s="4" t="e">
        <f aca="false">'Dataset experimental'!K33+'Modelos empíricos'!K33^2+('Modelos Propostos'!E33-'Modelos normativos'!AQ33)*4.10553</f>
        <v>#REF!</v>
      </c>
      <c r="H33" s="4" t="e">
        <f aca="false">0.03283*(J33+K33)</f>
        <v>#REF!</v>
      </c>
      <c r="I33" s="4" t="e">
        <f aca="false">(1.61428/'Dataset experimental'!Q33)^3</f>
        <v>#REF!</v>
      </c>
      <c r="J33" s="4" t="e">
        <f aca="false">SIN('Dataset experimental'!E33)+1.450178*(SIN('Avaliação do resultado ML'!I33)+'Dataset experimental'!C33)</f>
        <v>#REF!</v>
      </c>
      <c r="K33" s="4" t="e">
        <f aca="false">('Modelos empíricos'!C33-'Dataset experimental'!G33)*'Dataset experimental'!AE33-'Modelos normativos'!AP33</f>
        <v>#REF!</v>
      </c>
      <c r="L33" s="4" t="n">
        <f aca="false">0.0076*'Dataset experimental'!B33+'Avaliação do resultado ML'!M33+'Avaliação do resultado ML'!N33+(-0.0328)*(0.0171*'Dataset experimental'!AD33-0.9442)*'Avaliação do resultado ML'!O33-'Avaliação do resultado ML'!P33-0.0364</f>
        <v>0.00927608025267063</v>
      </c>
      <c r="M33" s="12" t="n">
        <f aca="false">0.03283*SIN(0.7328*'Dataset experimental'!D33-1.8266)</f>
        <v>0.0293265290156355</v>
      </c>
      <c r="N33" s="12" t="n">
        <f aca="false">0.0476*SIN(4.2067/(0.0095*'Dataset experimental'!P33-1.9338)^3)</f>
        <v>0.0475982941477051</v>
      </c>
      <c r="O33" s="12" t="n">
        <f aca="false">0.0214*'Dataset experimental'!F33-3.1067*'Dataset experimental'!B33*'Dataset experimental'!P33*('Dataset experimental'!T33-'Dataset experimental'!R33)*(0.39*'Dataset experimental'!P33*'Dataset experimental'!T33/'Dataset experimental'!V33-'Dataset experimental'!Z33+3.12)/(100000*'Dataset experimental'!V33)+0.7995</f>
        <v>-0.341670539540563</v>
      </c>
      <c r="P33" s="12" t="n">
        <f aca="false">0.4461*('Dataset experimental'!Z33-0.6*'Modelos normativos'!AB33)*(3.4*'Dataset experimental'!L33+0.17*'Dataset experimental'!B33/'Modelos normativos'!AC33)/200000</f>
        <v>0.12480272992671</v>
      </c>
      <c r="Q33" s="4" t="e">
        <f aca="false">L33/H33</f>
        <v>#REF!</v>
      </c>
      <c r="R33" s="4" t="e">
        <f aca="false">(-0.042-0.014*'Com TS variável MC2020'!Q42)*('Modelos normativos'!AP33-ABS('Modelos Propostos'!K33)-'Dataset experimental'!W33+COS(S33))</f>
        <v>#REF!</v>
      </c>
      <c r="S33" s="4" t="e">
        <f aca="false">'Dataset experimental'!O33-('Modelos normativos'!AQ33-SIN(0.083/('Dataset experimental'!M33-'Dataset experimental'!O33))-'Modelos empíricos'!I33)/0.646</f>
        <v>#REF!</v>
      </c>
      <c r="W33" s="4" t="e">
        <f aca="false">'Modelos normativos'!S33+'Avaliação do resultado ML'!A33</f>
        <v>#REF!</v>
      </c>
      <c r="X33" s="4" t="e">
        <f aca="false">W33/'Dataset experimental'!$AF33</f>
        <v>#REF!</v>
      </c>
      <c r="AJ33" s="4" t="e">
        <f aca="false">'Modelos Propostos'!B33+H33</f>
        <v>#REF!</v>
      </c>
      <c r="AK33" s="4" t="e">
        <f aca="false">AJ33/'Dataset experimental'!$AF33</f>
        <v>#REF!</v>
      </c>
      <c r="AV33" s="4" t="e">
        <f aca="false">'Modelos normativos'!S33+F33</f>
        <v>#REF!</v>
      </c>
      <c r="AW33" s="4" t="e">
        <f aca="false">AV33/'Dataset experimental'!$AF33</f>
        <v>#REF!</v>
      </c>
      <c r="BH33" s="4" t="e">
        <f aca="false">'Modelos Propostos'!B33+R33</f>
        <v>#REF!</v>
      </c>
      <c r="BI33" s="4" t="e">
        <f aca="false">BH33/'Dataset experimental'!$AF33</f>
        <v>#REF!</v>
      </c>
      <c r="BT33" s="4" t="n">
        <f aca="false">'Modelos Propostos'!B33+L33</f>
        <v>0.492864429345845</v>
      </c>
      <c r="BU33" s="4" t="n">
        <f aca="false">BT33/'Dataset experimental'!$AF33</f>
        <v>1.14619634731592</v>
      </c>
    </row>
    <row r="34" customFormat="false" ht="14.25" hidden="false" customHeight="false" outlineLevel="0" collapsed="false">
      <c r="A34" s="4" t="e">
        <f aca="false">0.0894*ABS(D34)-0.01603*E34</f>
        <v>#REF!</v>
      </c>
      <c r="B34" s="12" t="e">
        <f aca="false">'Dataset experimental'!K34*COS('Dataset experimental'!AC34)-'Dataset experimental'!M34-'Dataset experimental'!C34</f>
        <v>#REF!</v>
      </c>
      <c r="C34" s="12" t="e">
        <f aca="false">('Dataset experimental'!AE34+SIN('Avaliação do resultado ML'!B34))*0.70674187</f>
        <v>#REF!</v>
      </c>
      <c r="D34" s="12" t="e">
        <f aca="false">'Modelos Propostos'!E34+'Avaliação do resultado ML'!C34-'Modelos normativos'!AQ34</f>
        <v>#REF!</v>
      </c>
      <c r="E34" s="12" t="n">
        <f aca="false">'Modelos empíricos'!I34+1.1854</f>
        <v>1.99195057500966</v>
      </c>
      <c r="F34" s="4" t="e">
        <f aca="false">-0.01753*('Modelos normativos'!AN34-'Dataset experimental'!C34-ABS(G34)-('Modelos Propostos'!E34-'Modelos normativos'!AP34)/0.25291)</f>
        <v>#REF!</v>
      </c>
      <c r="G34" s="4" t="e">
        <f aca="false">'Dataset experimental'!K34+'Modelos empíricos'!K34^2+('Modelos Propostos'!E34-'Modelos normativos'!AQ34)*4.10553</f>
        <v>#REF!</v>
      </c>
      <c r="H34" s="4" t="e">
        <f aca="false">0.03283*(J34+K34)</f>
        <v>#REF!</v>
      </c>
      <c r="I34" s="4" t="e">
        <f aca="false">(1.61428/'Dataset experimental'!Q34)^3</f>
        <v>#REF!</v>
      </c>
      <c r="J34" s="4" t="e">
        <f aca="false">SIN('Dataset experimental'!E34)+1.450178*(SIN('Avaliação do resultado ML'!I34)+'Dataset experimental'!C34)</f>
        <v>#REF!</v>
      </c>
      <c r="K34" s="4" t="e">
        <f aca="false">('Modelos empíricos'!C34-'Dataset experimental'!G34)*'Dataset experimental'!AE34-'Modelos normativos'!AP34</f>
        <v>#REF!</v>
      </c>
      <c r="L34" s="4" t="n">
        <f aca="false">0.0076*'Dataset experimental'!B34+'Avaliação do resultado ML'!M34+'Avaliação do resultado ML'!N34+(-0.0328)*(0.0171*'Dataset experimental'!AD34-0.9442)*'Avaliação do resultado ML'!O34-'Avaliação do resultado ML'!P34-0.0364</f>
        <v>-0.0173901745572595</v>
      </c>
      <c r="M34" s="12" t="n">
        <f aca="false">0.03283*SIN(0.7328*'Dataset experimental'!D34-1.8266)</f>
        <v>0.0293265290156355</v>
      </c>
      <c r="N34" s="12" t="n">
        <f aca="false">0.0476*SIN(4.2067/(0.0095*'Dataset experimental'!P34-1.9338)^3)</f>
        <v>0.0475982941477051</v>
      </c>
      <c r="O34" s="12" t="n">
        <f aca="false">0.0214*'Dataset experimental'!F34-3.1067*'Dataset experimental'!B34*'Dataset experimental'!P34*('Dataset experimental'!T34-'Dataset experimental'!R34)*(0.39*'Dataset experimental'!P34*'Dataset experimental'!T34/'Dataset experimental'!V34-'Dataset experimental'!Z34+3.12)/(100000*'Dataset experimental'!V34)+0.7995</f>
        <v>-1.58924134983178</v>
      </c>
      <c r="P34" s="12" t="n">
        <f aca="false">0.4461*('Dataset experimental'!Z34-0.6*'Modelos normativos'!AB34)*(3.4*'Dataset experimental'!L34+0.17*'Dataset experimental'!B34/'Modelos normativos'!AC34)/200000</f>
        <v>0.180120206480662</v>
      </c>
      <c r="Q34" s="4" t="e">
        <f aca="false">L34/H34</f>
        <v>#REF!</v>
      </c>
      <c r="R34" s="4" t="e">
        <f aca="false">(-0.042-0.014*'Com TS variável MC2020'!Q43)*('Modelos normativos'!AP34-ABS('Modelos Propostos'!K34)-'Dataset experimental'!W34+COS(S34))</f>
        <v>#REF!</v>
      </c>
      <c r="S34" s="4" t="e">
        <f aca="false">'Dataset experimental'!O34-('Modelos normativos'!AQ34-SIN(0.083/('Dataset experimental'!M34-'Dataset experimental'!O34))-'Modelos empíricos'!I34)/0.646</f>
        <v>#REF!</v>
      </c>
      <c r="W34" s="4" t="e">
        <f aca="false">'Modelos normativos'!S34+'Avaliação do resultado ML'!A34</f>
        <v>#REF!</v>
      </c>
      <c r="X34" s="4" t="e">
        <f aca="false">W34/'Dataset experimental'!$AF34</f>
        <v>#REF!</v>
      </c>
      <c r="AJ34" s="4" t="e">
        <f aca="false">'Modelos Propostos'!B34+H34</f>
        <v>#REF!</v>
      </c>
      <c r="AK34" s="4" t="e">
        <f aca="false">AJ34/'Dataset experimental'!$AF34</f>
        <v>#REF!</v>
      </c>
      <c r="AV34" s="4" t="e">
        <f aca="false">'Modelos normativos'!S34+F34</f>
        <v>#REF!</v>
      </c>
      <c r="AW34" s="4" t="e">
        <f aca="false">AV34/'Dataset experimental'!$AF34</f>
        <v>#REF!</v>
      </c>
      <c r="BH34" s="4" t="e">
        <f aca="false">'Modelos Propostos'!B34+R34</f>
        <v>#REF!</v>
      </c>
      <c r="BI34" s="4" t="e">
        <f aca="false">BH34/'Dataset experimental'!$AF34</f>
        <v>#REF!</v>
      </c>
      <c r="BT34" s="4" t="n">
        <f aca="false">'Modelos Propostos'!B34+L34</f>
        <v>0.684062639046182</v>
      </c>
      <c r="BU34" s="4" t="n">
        <f aca="false">BT34/'Dataset experimental'!$AF34</f>
        <v>1.22154042686818</v>
      </c>
    </row>
    <row r="35" customFormat="false" ht="14.25" hidden="false" customHeight="false" outlineLevel="0" collapsed="false">
      <c r="A35" s="4" t="e">
        <f aca="false">0.0894*ABS(D35)-0.01603*E35</f>
        <v>#REF!</v>
      </c>
      <c r="B35" s="12" t="e">
        <f aca="false">'Dataset experimental'!K35*COS('Dataset experimental'!AC35)-'Dataset experimental'!M35-'Dataset experimental'!C35</f>
        <v>#REF!</v>
      </c>
      <c r="C35" s="12" t="e">
        <f aca="false">('Dataset experimental'!AE35+SIN('Avaliação do resultado ML'!B35))*0.70674187</f>
        <v>#REF!</v>
      </c>
      <c r="D35" s="12" t="e">
        <f aca="false">'Modelos Propostos'!E35+'Avaliação do resultado ML'!C35-'Modelos normativos'!AQ35</f>
        <v>#REF!</v>
      </c>
      <c r="E35" s="12" t="n">
        <f aca="false">'Modelos empíricos'!I35+1.1854</f>
        <v>1.99195057500966</v>
      </c>
      <c r="F35" s="4" t="e">
        <f aca="false">-0.01753*('Modelos normativos'!AN35-'Dataset experimental'!C35-ABS(G35)-('Modelos Propostos'!E35-'Modelos normativos'!AP35)/0.25291)</f>
        <v>#REF!</v>
      </c>
      <c r="G35" s="4" t="e">
        <f aca="false">'Dataset experimental'!K35+'Modelos empíricos'!K35^2+('Modelos Propostos'!E35-'Modelos normativos'!AQ35)*4.10553</f>
        <v>#REF!</v>
      </c>
      <c r="H35" s="4" t="e">
        <f aca="false">0.03283*(J35+K35)</f>
        <v>#REF!</v>
      </c>
      <c r="I35" s="4" t="e">
        <f aca="false">(1.61428/'Dataset experimental'!Q35)^3</f>
        <v>#REF!</v>
      </c>
      <c r="J35" s="4" t="e">
        <f aca="false">SIN('Dataset experimental'!E35)+1.450178*(SIN('Avaliação do resultado ML'!I35)+'Dataset experimental'!C35)</f>
        <v>#REF!</v>
      </c>
      <c r="K35" s="4" t="e">
        <f aca="false">('Modelos empíricos'!C35-'Dataset experimental'!G35)*'Dataset experimental'!AE35-'Modelos normativos'!AP35</f>
        <v>#REF!</v>
      </c>
      <c r="L35" s="4" t="n">
        <f aca="false">0.0076*'Dataset experimental'!B35+'Avaliação do resultado ML'!M35+'Avaliação do resultado ML'!N35+(-0.0328)*(0.0171*'Dataset experimental'!AD35-0.9442)*'Avaliação do resultado ML'!O35-'Avaliação do resultado ML'!P35-0.0364</f>
        <v>0.00266573342934766</v>
      </c>
      <c r="M35" s="12" t="n">
        <f aca="false">0.03283*SIN(0.7328*'Dataset experimental'!D35-1.8266)</f>
        <v>0.0293265290156355</v>
      </c>
      <c r="N35" s="12" t="n">
        <f aca="false">0.0476*SIN(4.2067/(0.0095*'Dataset experimental'!P35-1.9338)^3)</f>
        <v>0.0475982941477051</v>
      </c>
      <c r="O35" s="12" t="n">
        <f aca="false">0.0214*'Dataset experimental'!F35-3.1067*'Dataset experimental'!B35*'Dataset experimental'!P35*('Dataset experimental'!T35-'Dataset experimental'!R35)*(0.39*'Dataset experimental'!P35*'Dataset experimental'!T35/'Dataset experimental'!V35-'Dataset experimental'!Z35+3.12)/(100000*'Dataset experimental'!V35)+0.7995</f>
        <v>-1.58924134983178</v>
      </c>
      <c r="P35" s="12" t="n">
        <f aca="false">0.4461*('Dataset experimental'!Z35-0.6*'Modelos normativos'!AB35)*(3.4*'Dataset experimental'!L35+0.17*'Dataset experimental'!B35/'Modelos normativos'!AC35)/200000</f>
        <v>0.180120206480662</v>
      </c>
      <c r="Q35" s="4" t="e">
        <f aca="false">L35/H35</f>
        <v>#REF!</v>
      </c>
      <c r="R35" s="4" t="e">
        <f aca="false">(-0.042-0.014*'Com TS variável MC2020'!Q44)*('Modelos normativos'!AP35-ABS('Modelos Propostos'!K35)-'Dataset experimental'!W35+COS(S35))</f>
        <v>#REF!</v>
      </c>
      <c r="S35" s="4" t="e">
        <f aca="false">'Dataset experimental'!O35-('Modelos normativos'!AQ35-SIN(0.083/('Dataset experimental'!M35-'Dataset experimental'!O35))-'Modelos empíricos'!I35)/0.646</f>
        <v>#REF!</v>
      </c>
      <c r="W35" s="4" t="e">
        <f aca="false">'Modelos normativos'!S35+'Avaliação do resultado ML'!A35</f>
        <v>#REF!</v>
      </c>
      <c r="X35" s="4" t="e">
        <f aca="false">W35/'Dataset experimental'!$AF35</f>
        <v>#REF!</v>
      </c>
      <c r="AJ35" s="4" t="e">
        <f aca="false">'Modelos Propostos'!B35+H35</f>
        <v>#REF!</v>
      </c>
      <c r="AK35" s="4" t="e">
        <f aca="false">AJ35/'Dataset experimental'!$AF35</f>
        <v>#REF!</v>
      </c>
      <c r="AV35" s="4" t="e">
        <f aca="false">'Modelos normativos'!S35+F35</f>
        <v>#REF!</v>
      </c>
      <c r="AW35" s="4" t="e">
        <f aca="false">AV35/'Dataset experimental'!$AF35</f>
        <v>#REF!</v>
      </c>
      <c r="BH35" s="4" t="e">
        <f aca="false">'Modelos Propostos'!B35+R35</f>
        <v>#REF!</v>
      </c>
      <c r="BI35" s="4" t="e">
        <f aca="false">BH35/'Dataset experimental'!$AF35</f>
        <v>#REF!</v>
      </c>
      <c r="BT35" s="4" t="n">
        <f aca="false">'Modelos Propostos'!B35+L35</f>
        <v>0.704118547032789</v>
      </c>
      <c r="BU35" s="4" t="n">
        <f aca="false">BT35/'Dataset experimental'!$AF35</f>
        <v>0.991716263426463</v>
      </c>
    </row>
    <row r="36" customFormat="false" ht="14.25" hidden="false" customHeight="false" outlineLevel="0" collapsed="false">
      <c r="A36" s="4" t="e">
        <f aca="false">0.0894*ABS(D36)-0.01603*E36</f>
        <v>#REF!</v>
      </c>
      <c r="B36" s="12" t="e">
        <f aca="false">'Dataset experimental'!K36*COS('Dataset experimental'!AC36)-'Dataset experimental'!M36-'Dataset experimental'!C36</f>
        <v>#REF!</v>
      </c>
      <c r="C36" s="12" t="e">
        <f aca="false">('Dataset experimental'!AE36+SIN('Avaliação do resultado ML'!B36))*0.70674187</f>
        <v>#REF!</v>
      </c>
      <c r="D36" s="12" t="e">
        <f aca="false">'Modelos Propostos'!E36+'Avaliação do resultado ML'!C36-'Modelos normativos'!AQ36</f>
        <v>#REF!</v>
      </c>
      <c r="E36" s="12" t="n">
        <f aca="false">'Modelos empíricos'!I36+1.1854</f>
        <v>1.99195057500966</v>
      </c>
      <c r="F36" s="4" t="e">
        <f aca="false">-0.01753*('Modelos normativos'!AN36-'Dataset experimental'!C36-ABS(G36)-('Modelos Propostos'!E36-'Modelos normativos'!AP36)/0.25291)</f>
        <v>#REF!</v>
      </c>
      <c r="G36" s="4" t="e">
        <f aca="false">'Dataset experimental'!K36+'Modelos empíricos'!K36^2+('Modelos Propostos'!E36-'Modelos normativos'!AQ36)*4.10553</f>
        <v>#REF!</v>
      </c>
      <c r="H36" s="4" t="e">
        <f aca="false">0.03283*(J36+K36)</f>
        <v>#REF!</v>
      </c>
      <c r="I36" s="4" t="e">
        <f aca="false">(1.61428/'Dataset experimental'!Q36)^3</f>
        <v>#REF!</v>
      </c>
      <c r="J36" s="4" t="e">
        <f aca="false">SIN('Dataset experimental'!E36)+1.450178*(SIN('Avaliação do resultado ML'!I36)+'Dataset experimental'!C36)</f>
        <v>#REF!</v>
      </c>
      <c r="K36" s="4" t="e">
        <f aca="false">('Modelos empíricos'!C36-'Dataset experimental'!G36)*'Dataset experimental'!AE36-'Modelos normativos'!AP36</f>
        <v>#REF!</v>
      </c>
      <c r="L36" s="4" t="n">
        <f aca="false">0.0076*'Dataset experimental'!B36+'Avaliação do resultado ML'!M36+'Avaliação do resultado ML'!N36+(-0.0328)*(0.0171*'Dataset experimental'!AD36-0.9442)*'Avaliação do resultado ML'!O36-'Avaliação do resultado ML'!P36-0.0364</f>
        <v>0.00935103609155004</v>
      </c>
      <c r="M36" s="12" t="n">
        <f aca="false">0.03283*SIN(0.7328*'Dataset experimental'!D36-1.8266)</f>
        <v>0.0293265290156355</v>
      </c>
      <c r="N36" s="12" t="n">
        <f aca="false">0.0476*SIN(4.2067/(0.0095*'Dataset experimental'!P36-1.9338)^3)</f>
        <v>0.0475982941477051</v>
      </c>
      <c r="O36" s="12" t="n">
        <f aca="false">0.0214*'Dataset experimental'!F36-3.1067*'Dataset experimental'!B36*'Dataset experimental'!P36*('Dataset experimental'!T36-'Dataset experimental'!R36)*(0.39*'Dataset experimental'!P36*'Dataset experimental'!T36/'Dataset experimental'!V36-'Dataset experimental'!Z36+3.12)/(100000*'Dataset experimental'!V36)+0.7995</f>
        <v>-1.58924134983178</v>
      </c>
      <c r="P36" s="12" t="n">
        <f aca="false">0.4461*('Dataset experimental'!Z36-0.6*'Modelos normativos'!AB36)*(3.4*'Dataset experimental'!L36+0.17*'Dataset experimental'!B36/'Modelos normativos'!AC36)/200000</f>
        <v>0.180120206480662</v>
      </c>
      <c r="Q36" s="4" t="e">
        <f aca="false">L36/H36</f>
        <v>#REF!</v>
      </c>
      <c r="R36" s="4" t="e">
        <f aca="false">(-0.042-0.014*'Com TS variável MC2020'!Q45)*('Modelos normativos'!AP36-ABS('Modelos Propostos'!K36)-'Dataset experimental'!W36+COS(S36))</f>
        <v>#REF!</v>
      </c>
      <c r="S36" s="4" t="e">
        <f aca="false">'Dataset experimental'!O36-('Modelos normativos'!AQ36-SIN(0.083/('Dataset experimental'!M36-'Dataset experimental'!O36))-'Modelos empíricos'!I36)/0.646</f>
        <v>#REF!</v>
      </c>
      <c r="W36" s="4" t="e">
        <f aca="false">'Modelos normativos'!S36+'Avaliação do resultado ML'!A36</f>
        <v>#REF!</v>
      </c>
      <c r="X36" s="4" t="e">
        <f aca="false">W36/'Dataset experimental'!$AF36</f>
        <v>#REF!</v>
      </c>
      <c r="AJ36" s="4" t="e">
        <f aca="false">'Modelos Propostos'!B36+H36</f>
        <v>#REF!</v>
      </c>
      <c r="AK36" s="4" t="e">
        <f aca="false">AJ36/'Dataset experimental'!$AF36</f>
        <v>#REF!</v>
      </c>
      <c r="AV36" s="4" t="e">
        <f aca="false">'Modelos normativos'!S36+F36</f>
        <v>#REF!</v>
      </c>
      <c r="AW36" s="4" t="e">
        <f aca="false">AV36/'Dataset experimental'!$AF36</f>
        <v>#REF!</v>
      </c>
      <c r="BH36" s="4" t="e">
        <f aca="false">'Modelos Propostos'!B36+R36</f>
        <v>#REF!</v>
      </c>
      <c r="BI36" s="4" t="e">
        <f aca="false">BH36/'Dataset experimental'!$AF36</f>
        <v>#REF!</v>
      </c>
      <c r="BT36" s="4" t="n">
        <f aca="false">'Modelos Propostos'!B36+L36</f>
        <v>0.710803849694991</v>
      </c>
      <c r="BU36" s="4" t="n">
        <f aca="false">BT36/'Dataset experimental'!$AF36</f>
        <v>0.899751708474672</v>
      </c>
    </row>
    <row r="37" customFormat="false" ht="14.25" hidden="false" customHeight="false" outlineLevel="0" collapsed="false">
      <c r="A37" s="4" t="e">
        <f aca="false">0.0894*ABS(D37)-0.01603*E37</f>
        <v>#REF!</v>
      </c>
      <c r="B37" s="12" t="e">
        <f aca="false">'Dataset experimental'!K37*COS('Dataset experimental'!AC37)-'Dataset experimental'!M37-'Dataset experimental'!C37</f>
        <v>#REF!</v>
      </c>
      <c r="C37" s="12" t="e">
        <f aca="false">('Dataset experimental'!AE37+SIN('Avaliação do resultado ML'!B37))*0.70674187</f>
        <v>#REF!</v>
      </c>
      <c r="D37" s="12" t="e">
        <f aca="false">'Modelos Propostos'!E37+'Avaliação do resultado ML'!C37-'Modelos normativos'!AQ37</f>
        <v>#REF!</v>
      </c>
      <c r="E37" s="12" t="n">
        <f aca="false">'Modelos empíricos'!I37+1.1854</f>
        <v>-1.13050792691817</v>
      </c>
      <c r="F37" s="4" t="e">
        <f aca="false">-0.01753*('Modelos normativos'!AN37-'Dataset experimental'!C37-ABS(G37)-('Modelos Propostos'!E37-'Modelos normativos'!AP37)/0.25291)</f>
        <v>#REF!</v>
      </c>
      <c r="G37" s="4" t="e">
        <f aca="false">'Dataset experimental'!K37+'Modelos empíricos'!K37^2+('Modelos Propostos'!E37-'Modelos normativos'!AQ37)*4.10553</f>
        <v>#REF!</v>
      </c>
      <c r="H37" s="4" t="e">
        <f aca="false">0.03283*(J37+K37)</f>
        <v>#REF!</v>
      </c>
      <c r="I37" s="4" t="e">
        <f aca="false">(1.61428/'Dataset experimental'!Q37)^3</f>
        <v>#REF!</v>
      </c>
      <c r="J37" s="4" t="e">
        <f aca="false">SIN('Dataset experimental'!E37)+1.450178*(SIN('Avaliação do resultado ML'!I37)+'Dataset experimental'!C37)</f>
        <v>#REF!</v>
      </c>
      <c r="K37" s="4" t="e">
        <f aca="false">('Modelos empíricos'!C37-'Dataset experimental'!G37)*'Dataset experimental'!AE37-'Modelos normativos'!AP37</f>
        <v>#REF!</v>
      </c>
      <c r="L37" s="4" t="n">
        <f aca="false">0.0076*'Dataset experimental'!B37+'Avaliação do resultado ML'!M37+'Avaliação do resultado ML'!N37+(-0.0328)*(0.0171*'Dataset experimental'!AD37-0.9442)*'Avaliação do resultado ML'!O37-'Avaliação do resultado ML'!P37-0.0364</f>
        <v>0.190562480884368</v>
      </c>
      <c r="M37" s="12" t="n">
        <f aca="false">0.03283*SIN(0.7328*'Dataset experimental'!D37-1.8266)</f>
        <v>0.0293265290156355</v>
      </c>
      <c r="N37" s="12" t="n">
        <f aca="false">0.0476*SIN(4.2067/(0.0095*'Dataset experimental'!P37-1.9338)^3)</f>
        <v>0.0475982941477051</v>
      </c>
      <c r="O37" s="12" t="n">
        <f aca="false">0.0214*'Dataset experimental'!F37-3.1067*'Dataset experimental'!B37*'Dataset experimental'!P37*('Dataset experimental'!T37-'Dataset experimental'!R37)*(0.39*'Dataset experimental'!P37*'Dataset experimental'!T37/'Dataset experimental'!V37-'Dataset experimental'!Z37+3.12)/(100000*'Dataset experimental'!V37)+0.7995</f>
        <v>1.66306491807314</v>
      </c>
      <c r="P37" s="12" t="n">
        <f aca="false">0.4461*('Dataset experimental'!Z37-0.6*'Modelos normativos'!AB37)*(3.4*'Dataset experimental'!L37+0.17*'Dataset experimental'!B37/'Modelos normativos'!AC37)/200000</f>
        <v>0.0215085748124529</v>
      </c>
      <c r="Q37" s="4" t="e">
        <f aca="false">L37/H37</f>
        <v>#REF!</v>
      </c>
      <c r="R37" s="4" t="e">
        <f aca="false">(-0.042-0.014*'Com TS variável MC2020'!Q46)*('Modelos normativos'!AP37-ABS('Modelos Propostos'!K37)-'Dataset experimental'!W37+COS(S37))</f>
        <v>#REF!</v>
      </c>
      <c r="S37" s="4" t="e">
        <f aca="false">'Dataset experimental'!O37-('Modelos normativos'!AQ37-SIN(0.083/('Dataset experimental'!M37-'Dataset experimental'!O37))-'Modelos empíricos'!I37)/0.646</f>
        <v>#REF!</v>
      </c>
      <c r="W37" s="4" t="e">
        <f aca="false">'Modelos normativos'!S37+'Avaliação do resultado ML'!A37</f>
        <v>#REF!</v>
      </c>
      <c r="X37" s="4" t="e">
        <f aca="false">W37/'Dataset experimental'!$AF37</f>
        <v>#REF!</v>
      </c>
      <c r="AJ37" s="4" t="e">
        <f aca="false">'Modelos Propostos'!B37+H37</f>
        <v>#REF!</v>
      </c>
      <c r="AK37" s="4" t="e">
        <f aca="false">AJ37/'Dataset experimental'!$AF37</f>
        <v>#REF!</v>
      </c>
      <c r="AV37" s="4" t="e">
        <f aca="false">'Modelos normativos'!S37+F37</f>
        <v>#REF!</v>
      </c>
      <c r="AW37" s="4" t="e">
        <f aca="false">AV37/'Dataset experimental'!$AF37</f>
        <v>#REF!</v>
      </c>
      <c r="BH37" s="4" t="e">
        <f aca="false">'Modelos Propostos'!B37+R37</f>
        <v>#REF!</v>
      </c>
      <c r="BI37" s="4" t="e">
        <f aca="false">BH37/'Dataset experimental'!$AF37</f>
        <v>#REF!</v>
      </c>
      <c r="BT37" s="4" t="n">
        <f aca="false">'Modelos Propostos'!B37+L37</f>
        <v>0.242759565641762</v>
      </c>
      <c r="BU37" s="4" t="n">
        <f aca="false">BT37/'Dataset experimental'!$AF37</f>
        <v>1.21379782820881</v>
      </c>
    </row>
    <row r="38" customFormat="false" ht="14.25" hidden="false" customHeight="false" outlineLevel="0" collapsed="false">
      <c r="A38" s="4" t="e">
        <f aca="false">0.0894*ABS(D38)-0.01603*E38</f>
        <v>#REF!</v>
      </c>
      <c r="B38" s="12" t="e">
        <f aca="false">'Dataset experimental'!K38*COS('Dataset experimental'!AC38)-'Dataset experimental'!M38-'Dataset experimental'!C38</f>
        <v>#REF!</v>
      </c>
      <c r="C38" s="12" t="e">
        <f aca="false">('Dataset experimental'!AE38+SIN('Avaliação do resultado ML'!B38))*0.70674187</f>
        <v>#REF!</v>
      </c>
      <c r="D38" s="12" t="e">
        <f aca="false">'Modelos Propostos'!E38+'Avaliação do resultado ML'!C38-'Modelos normativos'!AQ38</f>
        <v>#REF!</v>
      </c>
      <c r="E38" s="12" t="n">
        <f aca="false">'Modelos empíricos'!I38+1.1854</f>
        <v>-0.205672827263523</v>
      </c>
      <c r="F38" s="4" t="e">
        <f aca="false">-0.01753*('Modelos normativos'!AN38-'Dataset experimental'!C38-ABS(G38)-('Modelos Propostos'!E38-'Modelos normativos'!AP38)/0.25291)</f>
        <v>#REF!</v>
      </c>
      <c r="G38" s="4" t="e">
        <f aca="false">'Dataset experimental'!K38+'Modelos empíricos'!K38^2+('Modelos Propostos'!E38-'Modelos normativos'!AQ38)*4.10553</f>
        <v>#REF!</v>
      </c>
      <c r="H38" s="4" t="e">
        <f aca="false">0.03283*(J38+K38)</f>
        <v>#REF!</v>
      </c>
      <c r="I38" s="4" t="e">
        <f aca="false">(1.61428/'Dataset experimental'!Q38)^3</f>
        <v>#REF!</v>
      </c>
      <c r="J38" s="4" t="e">
        <f aca="false">SIN('Dataset experimental'!E38)+1.450178*(SIN('Avaliação do resultado ML'!I38)+'Dataset experimental'!C38)</f>
        <v>#REF!</v>
      </c>
      <c r="K38" s="4" t="e">
        <f aca="false">('Modelos empíricos'!C38-'Dataset experimental'!G38)*'Dataset experimental'!AE38-'Modelos normativos'!AP38</f>
        <v>#REF!</v>
      </c>
      <c r="L38" s="4" t="n">
        <f aca="false">0.0076*'Dataset experimental'!B38+'Avaliação do resultado ML'!M38+'Avaliação do resultado ML'!N38+(-0.0328)*(0.0171*'Dataset experimental'!AD38-0.9442)*'Avaliação do resultado ML'!O38-'Avaliação do resultado ML'!P38-0.0364</f>
        <v>0.130326833280317</v>
      </c>
      <c r="M38" s="12" t="n">
        <f aca="false">0.03283*SIN(0.7328*'Dataset experimental'!D38-1.8266)</f>
        <v>0.0293265290156355</v>
      </c>
      <c r="N38" s="12" t="n">
        <f aca="false">0.0476*SIN(4.2067/(0.0095*'Dataset experimental'!P38-1.9338)^3)</f>
        <v>0.0475982941477051</v>
      </c>
      <c r="O38" s="12" t="n">
        <f aca="false">0.0214*'Dataset experimental'!F38-3.1067*'Dataset experimental'!B38*'Dataset experimental'!P38*('Dataset experimental'!T38-'Dataset experimental'!R38)*(0.39*'Dataset experimental'!P38*'Dataset experimental'!T38/'Dataset experimental'!V38-'Dataset experimental'!Z38+3.12)/(100000*'Dataset experimental'!V38)+0.7995</f>
        <v>1.13823679813388</v>
      </c>
      <c r="P38" s="12" t="n">
        <f aca="false">0.4461*('Dataset experimental'!Z38-0.6*'Modelos normativos'!AB38)*(3.4*'Dataset experimental'!L38+0.17*'Dataset experimental'!B38/'Modelos normativos'!AC38)/200000</f>
        <v>0.0492629858738585</v>
      </c>
      <c r="Q38" s="4" t="e">
        <f aca="false">L38/H38</f>
        <v>#REF!</v>
      </c>
      <c r="R38" s="4" t="e">
        <f aca="false">(-0.042-0.014*'Com TS variável MC2020'!Q47)*('Modelos normativos'!AP38-ABS('Modelos Propostos'!K38)-'Dataset experimental'!W38+COS(S38))</f>
        <v>#REF!</v>
      </c>
      <c r="S38" s="4" t="e">
        <f aca="false">'Dataset experimental'!O38-('Modelos normativos'!AQ38-SIN(0.083/('Dataset experimental'!M38-'Dataset experimental'!O38))-'Modelos empíricos'!I38)/0.646</f>
        <v>#REF!</v>
      </c>
      <c r="W38" s="4" t="e">
        <f aca="false">'Modelos normativos'!S38+'Avaliação do resultado ML'!A38</f>
        <v>#REF!</v>
      </c>
      <c r="X38" s="4" t="e">
        <f aca="false">W38/'Dataset experimental'!$AF38</f>
        <v>#REF!</v>
      </c>
      <c r="AJ38" s="4" t="e">
        <f aca="false">'Modelos Propostos'!B38+H38</f>
        <v>#REF!</v>
      </c>
      <c r="AK38" s="4" t="e">
        <f aca="false">AJ38/'Dataset experimental'!$AF38</f>
        <v>#REF!</v>
      </c>
      <c r="AV38" s="4" t="e">
        <f aca="false">'Modelos normativos'!S38+F38</f>
        <v>#REF!</v>
      </c>
      <c r="AW38" s="4" t="e">
        <f aca="false">AV38/'Dataset experimental'!$AF38</f>
        <v>#REF!</v>
      </c>
      <c r="BH38" s="4" t="e">
        <f aca="false">'Modelos Propostos'!B38+R38</f>
        <v>#REF!</v>
      </c>
      <c r="BI38" s="4" t="e">
        <f aca="false">BH38/'Dataset experimental'!$AF38</f>
        <v>#REF!</v>
      </c>
      <c r="BT38" s="4" t="n">
        <f aca="false">'Modelos Propostos'!B38+L38</f>
        <v>0.270331325726611</v>
      </c>
      <c r="BU38" s="4" t="n">
        <f aca="false">BT38/'Dataset experimental'!$AF38</f>
        <v>1.08132530290644</v>
      </c>
    </row>
    <row r="39" customFormat="false" ht="14.25" hidden="false" customHeight="false" outlineLevel="0" collapsed="false">
      <c r="A39" s="4" t="e">
        <f aca="false">0.0894*ABS(D39)-0.01603*E39</f>
        <v>#REF!</v>
      </c>
      <c r="B39" s="12" t="e">
        <f aca="false">'Dataset experimental'!K39*COS('Dataset experimental'!AC39)-'Dataset experimental'!M39-'Dataset experimental'!C39</f>
        <v>#REF!</v>
      </c>
      <c r="C39" s="12" t="e">
        <f aca="false">('Dataset experimental'!AE39+SIN('Avaliação do resultado ML'!B39))*0.70674187</f>
        <v>#REF!</v>
      </c>
      <c r="D39" s="12" t="e">
        <f aca="false">'Modelos Propostos'!E39+'Avaliação do resultado ML'!C39-'Modelos normativos'!AQ39</f>
        <v>#REF!</v>
      </c>
      <c r="E39" s="12" t="n">
        <f aca="false">'Modelos empíricos'!I39+1.1854</f>
        <v>0.719162272391128</v>
      </c>
      <c r="F39" s="4" t="e">
        <f aca="false">-0.01753*('Modelos normativos'!AN39-'Dataset experimental'!C39-ABS(G39)-('Modelos Propostos'!E39-'Modelos normativos'!AP39)/0.25291)</f>
        <v>#REF!</v>
      </c>
      <c r="G39" s="4" t="e">
        <f aca="false">'Dataset experimental'!K39+'Modelos empíricos'!K39^2+('Modelos Propostos'!E39-'Modelos normativos'!AQ39)*4.10553</f>
        <v>#REF!</v>
      </c>
      <c r="H39" s="4" t="e">
        <f aca="false">0.03283*(J39+K39)</f>
        <v>#REF!</v>
      </c>
      <c r="I39" s="4" t="e">
        <f aca="false">(1.61428/'Dataset experimental'!Q39)^3</f>
        <v>#REF!</v>
      </c>
      <c r="J39" s="4" t="e">
        <f aca="false">SIN('Dataset experimental'!E39)+1.450178*(SIN('Avaliação do resultado ML'!I39)+'Dataset experimental'!C39)</f>
        <v>#REF!</v>
      </c>
      <c r="K39" s="4" t="e">
        <f aca="false">('Modelos empíricos'!C39-'Dataset experimental'!G39)*'Dataset experimental'!AE39-'Modelos normativos'!AP39</f>
        <v>#REF!</v>
      </c>
      <c r="L39" s="4" t="n">
        <f aca="false">0.0076*'Dataset experimental'!B39+'Avaliação do resultado ML'!M39+'Avaliação do resultado ML'!N39+(-0.0328)*(0.0171*'Dataset experimental'!AD39-0.9442)*'Avaliação do resultado ML'!O39-'Avaliação do resultado ML'!P39-0.0364</f>
        <v>0.105415057185651</v>
      </c>
      <c r="M39" s="12" t="n">
        <f aca="false">0.03283*SIN(0.7328*'Dataset experimental'!D39-1.8266)</f>
        <v>0.0293265290156355</v>
      </c>
      <c r="N39" s="12" t="n">
        <f aca="false">0.0476*SIN(4.2067/(0.0095*'Dataset experimental'!P39-1.9338)^3)</f>
        <v>0.0475982941477051</v>
      </c>
      <c r="O39" s="12" t="n">
        <f aca="false">0.0214*'Dataset experimental'!F39-3.1067*'Dataset experimental'!B39*'Dataset experimental'!P39*('Dataset experimental'!T39-'Dataset experimental'!R39)*(0.39*'Dataset experimental'!P39*'Dataset experimental'!T39/'Dataset experimental'!V39-'Dataset experimental'!Z39+3.12)/(100000*'Dataset experimental'!V39)+0.7995</f>
        <v>0.613408678194615</v>
      </c>
      <c r="P39" s="12" t="n">
        <f aca="false">0.4461*('Dataset experimental'!Z39-0.6*'Modelos normativos'!AB39)*(3.4*'Dataset experimental'!L39+0.17*'Dataset experimental'!B39/'Modelos normativos'!AC39)/200000</f>
        <v>0.0770173969352642</v>
      </c>
      <c r="Q39" s="4" t="e">
        <f aca="false">L39/H39</f>
        <v>#REF!</v>
      </c>
      <c r="R39" s="4" t="e">
        <f aca="false">(-0.042-0.014*'Com TS variável MC2020'!Q48)*('Modelos normativos'!AP39-ABS('Modelos Propostos'!K39)-'Dataset experimental'!W39+COS(S39))</f>
        <v>#REF!</v>
      </c>
      <c r="S39" s="4" t="e">
        <f aca="false">'Dataset experimental'!O39-('Modelos normativos'!AQ39-SIN(0.083/('Dataset experimental'!M39-'Dataset experimental'!O39))-'Modelos empíricos'!I39)/0.646</f>
        <v>#REF!</v>
      </c>
      <c r="W39" s="4" t="e">
        <f aca="false">'Modelos normativos'!S39+'Avaliação do resultado ML'!A39</f>
        <v>#REF!</v>
      </c>
      <c r="X39" s="4" t="e">
        <f aca="false">W39/'Dataset experimental'!$AF39</f>
        <v>#REF!</v>
      </c>
      <c r="AJ39" s="4" t="e">
        <f aca="false">'Modelos Propostos'!B39+H39</f>
        <v>#REF!</v>
      </c>
      <c r="AK39" s="4" t="e">
        <f aca="false">AJ39/'Dataset experimental'!$AF39</f>
        <v>#REF!</v>
      </c>
      <c r="AV39" s="4" t="e">
        <f aca="false">'Modelos normativos'!S39+F39</f>
        <v>#REF!</v>
      </c>
      <c r="AW39" s="4" t="e">
        <f aca="false">AV39/'Dataset experimental'!$AF39</f>
        <v>#REF!</v>
      </c>
      <c r="BH39" s="4" t="e">
        <f aca="false">'Modelos Propostos'!B39+R39</f>
        <v>#REF!</v>
      </c>
      <c r="BI39" s="4" t="e">
        <f aca="false">BH39/'Dataset experimental'!$AF39</f>
        <v>#REF!</v>
      </c>
      <c r="BT39" s="4" t="n">
        <f aca="false">'Modelos Propostos'!B39+L39</f>
        <v>0.34996706821832</v>
      </c>
      <c r="BU39" s="4" t="n">
        <f aca="false">BT39/'Dataset experimental'!$AF39</f>
        <v>0.972130745050888</v>
      </c>
    </row>
    <row r="40" customFormat="false" ht="14.25" hidden="false" customHeight="false" outlineLevel="0" collapsed="false">
      <c r="A40" s="4" t="e">
        <f aca="false">0.0894*ABS(D40)-0.01603*E40</f>
        <v>#REF!</v>
      </c>
      <c r="B40" s="12" t="e">
        <f aca="false">'Dataset experimental'!K40*COS('Dataset experimental'!AC40)-'Dataset experimental'!M40-'Dataset experimental'!C40</f>
        <v>#REF!</v>
      </c>
      <c r="C40" s="12" t="e">
        <f aca="false">('Dataset experimental'!AE40+SIN('Avaliação do resultado ML'!B40))*0.70674187</f>
        <v>#REF!</v>
      </c>
      <c r="D40" s="12" t="e">
        <f aca="false">'Modelos Propostos'!E40+'Avaliação do resultado ML'!C40-'Modelos normativos'!AQ40</f>
        <v>#REF!</v>
      </c>
      <c r="E40" s="12" t="n">
        <f aca="false">'Modelos empíricos'!I40+1.1854</f>
        <v>1.64399737204578</v>
      </c>
      <c r="F40" s="4" t="e">
        <f aca="false">-0.01753*('Modelos normativos'!AN40-'Dataset experimental'!C40-ABS(G40)-('Modelos Propostos'!E40-'Modelos normativos'!AP40)/0.25291)</f>
        <v>#REF!</v>
      </c>
      <c r="G40" s="4" t="e">
        <f aca="false">'Dataset experimental'!K40+'Modelos empíricos'!K40^2+('Modelos Propostos'!E40-'Modelos normativos'!AQ40)*4.10553</f>
        <v>#REF!</v>
      </c>
      <c r="H40" s="4" t="e">
        <f aca="false">0.03283*(J40+K40)</f>
        <v>#REF!</v>
      </c>
      <c r="I40" s="4" t="e">
        <f aca="false">(1.61428/'Dataset experimental'!Q40)^3</f>
        <v>#REF!</v>
      </c>
      <c r="J40" s="4" t="e">
        <f aca="false">SIN('Dataset experimental'!E40)+1.450178*(SIN('Avaliação do resultado ML'!I40)+'Dataset experimental'!C40)</f>
        <v>#REF!</v>
      </c>
      <c r="K40" s="4" t="e">
        <f aca="false">('Modelos empíricos'!C40-'Dataset experimental'!G40)*'Dataset experimental'!AE40-'Modelos normativos'!AP40</f>
        <v>#REF!</v>
      </c>
      <c r="L40" s="4" t="n">
        <f aca="false">0.0076*'Dataset experimental'!B40+'Avaliação do resultado ML'!M40+'Avaliação do resultado ML'!N40+(-0.0328)*(0.0171*'Dataset experimental'!AD40-0.9442)*'Avaliação do resultado ML'!O40-'Avaliação do resultado ML'!P40-0.0364</f>
        <v>0.115827152600368</v>
      </c>
      <c r="M40" s="12" t="n">
        <f aca="false">0.03283*SIN(0.7328*'Dataset experimental'!D40-1.8266)</f>
        <v>0.0293265290156355</v>
      </c>
      <c r="N40" s="12" t="n">
        <f aca="false">0.0476*SIN(4.2067/(0.0095*'Dataset experimental'!P40-1.9338)^3)</f>
        <v>0.0475982941477051</v>
      </c>
      <c r="O40" s="12" t="n">
        <f aca="false">0.0214*'Dataset experimental'!F40-3.1067*'Dataset experimental'!B40*'Dataset experimental'!P40*('Dataset experimental'!T40-'Dataset experimental'!R40)*(0.39*'Dataset experimental'!P40*'Dataset experimental'!T40/'Dataset experimental'!V40-'Dataset experimental'!Z40+3.12)/(100000*'Dataset experimental'!V40)+0.7995</f>
        <v>0.0885805582553528</v>
      </c>
      <c r="P40" s="12" t="n">
        <f aca="false">0.4461*('Dataset experimental'!Z40-0.6*'Modelos normativos'!AB40)*(3.4*'Dataset experimental'!L40+0.17*'Dataset experimental'!B40/'Modelos normativos'!AC40)/200000</f>
        <v>0.10477180799667</v>
      </c>
      <c r="Q40" s="4" t="e">
        <f aca="false">L40/H40</f>
        <v>#REF!</v>
      </c>
      <c r="R40" s="4" t="e">
        <f aca="false">(-0.042-0.014*'Com TS variável MC2020'!Q49)*('Modelos normativos'!AP40-ABS('Modelos Propostos'!K40)-'Dataset experimental'!W40+COS(S40))</f>
        <v>#REF!</v>
      </c>
      <c r="S40" s="4" t="e">
        <f aca="false">'Dataset experimental'!O40-('Modelos normativos'!AQ40-SIN(0.083/('Dataset experimental'!M40-'Dataset experimental'!O40))-'Modelos empíricos'!I40)/0.646</f>
        <v>#REF!</v>
      </c>
      <c r="W40" s="4" t="e">
        <f aca="false">'Modelos normativos'!S40+'Avaliação do resultado ML'!A40</f>
        <v>#REF!</v>
      </c>
      <c r="X40" s="4" t="e">
        <f aca="false">W40/'Dataset experimental'!$AF40</f>
        <v>#REF!</v>
      </c>
      <c r="AJ40" s="4" t="e">
        <f aca="false">'Modelos Propostos'!B40+H40</f>
        <v>#REF!</v>
      </c>
      <c r="AK40" s="4" t="e">
        <f aca="false">AJ40/'Dataset experimental'!$AF40</f>
        <v>#REF!</v>
      </c>
      <c r="AV40" s="4" t="e">
        <f aca="false">'Modelos normativos'!S40+F40</f>
        <v>#REF!</v>
      </c>
      <c r="AW40" s="4" t="e">
        <f aca="false">AV40/'Dataset experimental'!$AF40</f>
        <v>#REF!</v>
      </c>
      <c r="BH40" s="4" t="e">
        <f aca="false">'Modelos Propostos'!B40+R40</f>
        <v>#REF!</v>
      </c>
      <c r="BI40" s="4" t="e">
        <f aca="false">BH40/'Dataset experimental'!$AF40</f>
        <v>#REF!</v>
      </c>
      <c r="BT40" s="4" t="n">
        <f aca="false">'Modelos Propostos'!B40+L40</f>
        <v>0.464926682219413</v>
      </c>
      <c r="BU40" s="4" t="n">
        <f aca="false">BT40/'Dataset experimental'!$AF40</f>
        <v>0.989205706849814</v>
      </c>
    </row>
    <row r="41" customFormat="false" ht="14.25" hidden="false" customHeight="false" outlineLevel="0" collapsed="false">
      <c r="A41" s="4" t="e">
        <f aca="false">0.0894*ABS(D41)-0.01603*E41</f>
        <v>#REF!</v>
      </c>
      <c r="B41" s="12" t="e">
        <f aca="false">'Dataset experimental'!K41*COS('Dataset experimental'!AC41)-'Dataset experimental'!M41-'Dataset experimental'!C41</f>
        <v>#REF!</v>
      </c>
      <c r="C41" s="12" t="e">
        <f aca="false">('Dataset experimental'!AE41+SIN('Avaliação do resultado ML'!B41))*0.70674187</f>
        <v>#REF!</v>
      </c>
      <c r="D41" s="12" t="e">
        <f aca="false">'Modelos Propostos'!E41+'Avaliação do resultado ML'!C41-'Modelos normativos'!AQ41</f>
        <v>#REF!</v>
      </c>
      <c r="E41" s="12" t="n">
        <f aca="false">'Modelos empíricos'!I41+1.1854</f>
        <v>2.33762369678677</v>
      </c>
      <c r="F41" s="4" t="e">
        <f aca="false">-0.01753*('Modelos normativos'!AN41-'Dataset experimental'!C41-ABS(G41)-('Modelos Propostos'!E41-'Modelos normativos'!AP41)/0.25291)</f>
        <v>#REF!</v>
      </c>
      <c r="G41" s="4" t="e">
        <f aca="false">'Dataset experimental'!K41+'Modelos empíricos'!K41^2+('Modelos Propostos'!E41-'Modelos normativos'!AQ41)*4.10553</f>
        <v>#REF!</v>
      </c>
      <c r="H41" s="4" t="e">
        <f aca="false">0.03283*(J41+K41)</f>
        <v>#REF!</v>
      </c>
      <c r="I41" s="4" t="e">
        <f aca="false">(1.61428/'Dataset experimental'!Q41)^3</f>
        <v>#REF!</v>
      </c>
      <c r="J41" s="4" t="e">
        <f aca="false">SIN('Dataset experimental'!E41)+1.450178*(SIN('Avaliação do resultado ML'!I41)+'Dataset experimental'!C41)</f>
        <v>#REF!</v>
      </c>
      <c r="K41" s="4" t="e">
        <f aca="false">('Modelos empíricos'!C41-'Dataset experimental'!G41)*'Dataset experimental'!AE41-'Modelos normativos'!AP41</f>
        <v>#REF!</v>
      </c>
      <c r="L41" s="4" t="n">
        <f aca="false">0.0076*'Dataset experimental'!B41+'Avaliação do resultado ML'!M41+'Avaliação do resultado ML'!N41+(-0.0328)*(0.0171*'Dataset experimental'!AD41-0.9442)*'Avaliação do resultado ML'!O41-'Avaliação do resultado ML'!P41-0.0364</f>
        <v>0.14681751483944</v>
      </c>
      <c r="M41" s="12" t="n">
        <f aca="false">0.03283*SIN(0.7328*'Dataset experimental'!D41-1.8266)</f>
        <v>0.0293265290156355</v>
      </c>
      <c r="N41" s="12" t="n">
        <f aca="false">0.0476*SIN(4.2067/(0.0095*'Dataset experimental'!P41-1.9338)^3)</f>
        <v>0.0475982941477051</v>
      </c>
      <c r="O41" s="12" t="n">
        <f aca="false">0.0214*'Dataset experimental'!F41-3.1067*'Dataset experimental'!B41*'Dataset experimental'!P41*('Dataset experimental'!T41-'Dataset experimental'!R41)*(0.39*'Dataset experimental'!P41*'Dataset experimental'!T41/'Dataset experimental'!V41-'Dataset experimental'!Z41+3.12)/(100000*'Dataset experimental'!V41)+0.7995</f>
        <v>-0.305040531699094</v>
      </c>
      <c r="P41" s="12" t="n">
        <f aca="false">0.4461*('Dataset experimental'!Z41-0.6*'Modelos normativos'!AB41)*(3.4*'Dataset experimental'!L41+0.17*'Dataset experimental'!B41/'Modelos normativos'!AC41)/200000</f>
        <v>0.125587616292724</v>
      </c>
      <c r="Q41" s="4" t="e">
        <f aca="false">L41/H41</f>
        <v>#REF!</v>
      </c>
      <c r="R41" s="4" t="e">
        <f aca="false">(-0.042-0.014*'Com TS variável MC2020'!Q50)*('Modelos normativos'!AP41-ABS('Modelos Propostos'!K41)-'Dataset experimental'!W41+COS(S41))</f>
        <v>#REF!</v>
      </c>
      <c r="S41" s="4" t="e">
        <f aca="false">'Dataset experimental'!O41-('Modelos normativos'!AQ41-SIN(0.083/('Dataset experimental'!M41-'Dataset experimental'!O41))-'Modelos empíricos'!I41)/0.646</f>
        <v>#REF!</v>
      </c>
      <c r="W41" s="4" t="e">
        <f aca="false">'Modelos normativos'!S41+'Avaliação do resultado ML'!A41</f>
        <v>#REF!</v>
      </c>
      <c r="X41" s="4" t="e">
        <f aca="false">W41/'Dataset experimental'!$AF41</f>
        <v>#REF!</v>
      </c>
      <c r="AJ41" s="4" t="e">
        <f aca="false">'Modelos Propostos'!B41+H41</f>
        <v>#REF!</v>
      </c>
      <c r="AK41" s="4" t="e">
        <f aca="false">AJ41/'Dataset experimental'!$AF41</f>
        <v>#REF!</v>
      </c>
      <c r="AV41" s="4" t="e">
        <f aca="false">'Modelos normativos'!S41+F41</f>
        <v>#REF!</v>
      </c>
      <c r="AW41" s="4" t="e">
        <f aca="false">AV41/'Dataset experimental'!$AF41</f>
        <v>#REF!</v>
      </c>
      <c r="BH41" s="4" t="e">
        <f aca="false">'Modelos Propostos'!B41+R41</f>
        <v>#REF!</v>
      </c>
      <c r="BI41" s="4" t="e">
        <f aca="false">BH41/'Dataset experimental'!$AF41</f>
        <v>#REF!</v>
      </c>
      <c r="BT41" s="4" t="n">
        <f aca="false">'Modelos Propostos'!B41+L41</f>
        <v>0.574327683398266</v>
      </c>
      <c r="BU41" s="4" t="n">
        <f aca="false">BT41/'Dataset experimental'!$AF41</f>
        <v>1.0075924270145</v>
      </c>
    </row>
    <row r="42" customFormat="false" ht="14.25" hidden="false" customHeight="false" outlineLevel="0" collapsed="false">
      <c r="A42" s="4" t="e">
        <f aca="false">0.0894*ABS(D42)-0.01603*E42</f>
        <v>#REF!</v>
      </c>
      <c r="B42" s="12" t="e">
        <f aca="false">'Dataset experimental'!K42*COS('Dataset experimental'!AC42)-'Dataset experimental'!M42-'Dataset experimental'!C42</f>
        <v>#REF!</v>
      </c>
      <c r="C42" s="12" t="e">
        <f aca="false">('Dataset experimental'!AE42+SIN('Avaliação do resultado ML'!B42))*0.70674187</f>
        <v>#REF!</v>
      </c>
      <c r="D42" s="12" t="e">
        <f aca="false">'Modelos Propostos'!E42+'Avaliação do resultado ML'!C42-'Modelos normativos'!AQ42</f>
        <v>#REF!</v>
      </c>
      <c r="E42" s="12" t="n">
        <f aca="false">'Modelos empíricos'!I42+1.1854</f>
        <v>3.14023937236728</v>
      </c>
      <c r="F42" s="4" t="e">
        <f aca="false">-0.01753*('Modelos normativos'!AN42-'Dataset experimental'!C42-ABS(G42)-('Modelos Propostos'!E42-'Modelos normativos'!AP42)/0.25291)</f>
        <v>#REF!</v>
      </c>
      <c r="G42" s="4" t="e">
        <f aca="false">'Dataset experimental'!K42+'Modelos empíricos'!K42^2+('Modelos Propostos'!E42-'Modelos normativos'!AQ42)*4.10553</f>
        <v>#REF!</v>
      </c>
      <c r="H42" s="4" t="e">
        <f aca="false">0.03283*(J42+K42)</f>
        <v>#REF!</v>
      </c>
      <c r="I42" s="4" t="e">
        <f aca="false">(1.61428/'Dataset experimental'!Q42)^3</f>
        <v>#REF!</v>
      </c>
      <c r="J42" s="4" t="e">
        <f aca="false">SIN('Dataset experimental'!E42)+1.450178*(SIN('Avaliação do resultado ML'!I42)+'Dataset experimental'!C42)</f>
        <v>#REF!</v>
      </c>
      <c r="K42" s="4" t="e">
        <f aca="false">('Modelos empíricos'!C42-'Dataset experimental'!G42)*'Dataset experimental'!AE42-'Modelos normativos'!AP42</f>
        <v>#REF!</v>
      </c>
      <c r="L42" s="4" t="n">
        <f aca="false">0.0076*'Dataset experimental'!B42+'Avaliação do resultado ML'!M42+'Avaliação do resultado ML'!N42+(-0.0328)*(0.0171*'Dataset experimental'!AD42-0.9442)*'Avaliação do resultado ML'!O42-'Avaliação do resultado ML'!P42-0.0364</f>
        <v>0.210857756551061</v>
      </c>
      <c r="M42" s="12" t="n">
        <f aca="false">0.03283*SIN(0.7328*'Dataset experimental'!D42-1.8266)</f>
        <v>0.0293265290156355</v>
      </c>
      <c r="N42" s="12" t="n">
        <f aca="false">0.0476*SIN(4.2067/(0.0095*'Dataset experimental'!P42-1.9338)^3)</f>
        <v>0.0475982941477051</v>
      </c>
      <c r="O42" s="12" t="n">
        <f aca="false">0.0214*'Dataset experimental'!F42-3.1067*'Dataset experimental'!B42*'Dataset experimental'!P42*('Dataset experimental'!T42-'Dataset experimental'!R42)*(0.39*'Dataset experimental'!P42*'Dataset experimental'!T42/'Dataset experimental'!V42-'Dataset experimental'!Z42+3.12)/(100000*'Dataset experimental'!V42)+0.7995</f>
        <v>-0.760511216371418</v>
      </c>
      <c r="P42" s="12" t="n">
        <f aca="false">0.4461*('Dataset experimental'!Z42-0.6*'Modelos normativos'!AB42)*(3.4*'Dataset experimental'!L42+0.17*'Dataset experimental'!B42/'Modelos normativos'!AC42)/200000</f>
        <v>0.149674207937773</v>
      </c>
      <c r="Q42" s="4" t="e">
        <f aca="false">L42/H42</f>
        <v>#REF!</v>
      </c>
      <c r="R42" s="4" t="e">
        <f aca="false">(-0.042-0.014*'Com TS variável MC2020'!Q51)*('Modelos normativos'!AP42-ABS('Modelos Propostos'!K42)-'Dataset experimental'!W42+COS(S42))</f>
        <v>#REF!</v>
      </c>
      <c r="S42" s="4" t="e">
        <f aca="false">'Dataset experimental'!O42-('Modelos normativos'!AQ42-SIN(0.083/('Dataset experimental'!M42-'Dataset experimental'!O42))-'Modelos empíricos'!I42)/0.646</f>
        <v>#REF!</v>
      </c>
      <c r="W42" s="4" t="e">
        <f aca="false">'Modelos normativos'!S42+'Avaliação do resultado ML'!A42</f>
        <v>#REF!</v>
      </c>
      <c r="X42" s="4" t="e">
        <f aca="false">W42/'Dataset experimental'!$AF42</f>
        <v>#REF!</v>
      </c>
      <c r="AJ42" s="4" t="e">
        <f aca="false">'Modelos Propostos'!B42+H42</f>
        <v>#REF!</v>
      </c>
      <c r="AK42" s="4" t="e">
        <f aca="false">AJ42/'Dataset experimental'!$AF42</f>
        <v>#REF!</v>
      </c>
      <c r="AV42" s="4" t="e">
        <f aca="false">'Modelos normativos'!S42+F42</f>
        <v>#REF!</v>
      </c>
      <c r="AW42" s="4" t="e">
        <f aca="false">AV42/'Dataset experimental'!$AF42</f>
        <v>#REF!</v>
      </c>
      <c r="BH42" s="4" t="e">
        <f aca="false">'Modelos Propostos'!B42+R42</f>
        <v>#REF!</v>
      </c>
      <c r="BI42" s="4" t="e">
        <f aca="false">BH42/'Dataset experimental'!$AF42</f>
        <v>#REF!</v>
      </c>
      <c r="BT42" s="4" t="n">
        <f aca="false">'Modelos Propostos'!B42+L42</f>
        <v>0.724099770606784</v>
      </c>
      <c r="BU42" s="4" t="n">
        <f aca="false">BT42/'Dataset experimental'!$AF42</f>
        <v>0.928333039239467</v>
      </c>
    </row>
    <row r="43" customFormat="false" ht="14.25" hidden="false" customHeight="false" outlineLevel="0" collapsed="false">
      <c r="A43" s="4" t="e">
        <f aca="false">0.0894*ABS(D43)-0.01603*E43</f>
        <v>#REF!</v>
      </c>
      <c r="B43" s="12" t="e">
        <f aca="false">'Dataset experimental'!K43*COS('Dataset experimental'!AC43)-'Dataset experimental'!M43-'Dataset experimental'!C43</f>
        <v>#REF!</v>
      </c>
      <c r="C43" s="12" t="e">
        <f aca="false">('Dataset experimental'!AE43+SIN('Avaliação do resultado ML'!B43))*0.70674187</f>
        <v>#REF!</v>
      </c>
      <c r="D43" s="12" t="e">
        <f aca="false">'Modelos Propostos'!E43+'Avaliação do resultado ML'!C43-'Modelos normativos'!AQ43</f>
        <v>#REF!</v>
      </c>
      <c r="E43" s="12" t="n">
        <f aca="false">'Modelos empíricos'!I43+1.1854</f>
        <v>-0.439440045825912</v>
      </c>
      <c r="F43" s="4" t="e">
        <f aca="false">-0.01753*('Modelos normativos'!AN43-'Dataset experimental'!C43-ABS(G43)-('Modelos Propostos'!E43-'Modelos normativos'!AP43)/0.25291)</f>
        <v>#REF!</v>
      </c>
      <c r="G43" s="4" t="e">
        <f aca="false">'Dataset experimental'!K43+'Modelos empíricos'!K43^2+('Modelos Propostos'!E43-'Modelos normativos'!AQ43)*4.10553</f>
        <v>#REF!</v>
      </c>
      <c r="H43" s="4" t="e">
        <f aca="false">0.03283*(J43+K43)</f>
        <v>#REF!</v>
      </c>
      <c r="I43" s="4" t="e">
        <f aca="false">(1.61428/'Dataset experimental'!Q43)^3</f>
        <v>#REF!</v>
      </c>
      <c r="J43" s="4" t="e">
        <f aca="false">SIN('Dataset experimental'!E43)+1.450178*(SIN('Avaliação do resultado ML'!I43)+'Dataset experimental'!C43)</f>
        <v>#REF!</v>
      </c>
      <c r="K43" s="4" t="e">
        <f aca="false">('Modelos empíricos'!C43-'Dataset experimental'!G43)*'Dataset experimental'!AE43-'Modelos normativos'!AP43</f>
        <v>#REF!</v>
      </c>
      <c r="L43" s="4" t="n">
        <f aca="false">0.0076*'Dataset experimental'!B43+'Avaliação do resultado ML'!M43+'Avaliação do resultado ML'!N43+(-0.0328)*(0.0171*'Dataset experimental'!AD43-0.9442)*'Avaliação do resultado ML'!O43-'Avaliação do resultado ML'!P43-0.0364</f>
        <v>0.105371100754776</v>
      </c>
      <c r="M43" s="12" t="n">
        <f aca="false">0.03283*SIN(0.7328*'Dataset experimental'!D43-1.8266)</f>
        <v>0.0293265290156355</v>
      </c>
      <c r="N43" s="12" t="n">
        <f aca="false">0.0476*SIN(4.2067/(0.0095*'Dataset experimental'!P43-1.9338)^3)</f>
        <v>0.0475982941477051</v>
      </c>
      <c r="O43" s="12" t="n">
        <f aca="false">0.0214*'Dataset experimental'!F43-3.1067*'Dataset experimental'!B43*'Dataset experimental'!P43*('Dataset experimental'!T43-'Dataset experimental'!R43)*(0.39*'Dataset experimental'!P43*'Dataset experimental'!T43/'Dataset experimental'!V43-'Dataset experimental'!Z43+3.12)/(100000*'Dataset experimental'!V43)+0.7995</f>
        <v>1.6747829309805</v>
      </c>
      <c r="P43" s="12" t="n">
        <f aca="false">0.4461*('Dataset experimental'!Z43-0.6*'Modelos normativos'!AB43)*(3.4*'Dataset experimental'!L43+0.17*'Dataset experimental'!B43/'Modelos normativos'!AC43)/200000</f>
        <v>0.0429956384458148</v>
      </c>
      <c r="Q43" s="4" t="e">
        <f aca="false">L43/H43</f>
        <v>#REF!</v>
      </c>
      <c r="R43" s="4" t="e">
        <f aca="false">(-0.042-0.014*'Com TS variável MC2020'!Q52)*('Modelos normativos'!AP43-ABS('Modelos Propostos'!K43)-'Dataset experimental'!W43+COS(S43))</f>
        <v>#REF!</v>
      </c>
      <c r="S43" s="4" t="e">
        <f aca="false">'Dataset experimental'!O43-('Modelos normativos'!AQ43-SIN(0.083/('Dataset experimental'!M43-'Dataset experimental'!O43))-'Modelos empíricos'!I43)/0.646</f>
        <v>#REF!</v>
      </c>
      <c r="W43" s="4" t="e">
        <f aca="false">'Modelos normativos'!S43+'Avaliação do resultado ML'!A43</f>
        <v>#REF!</v>
      </c>
      <c r="X43" s="4" t="e">
        <f aca="false">W43/'Dataset experimental'!$AF43</f>
        <v>#REF!</v>
      </c>
      <c r="AJ43" s="4" t="e">
        <f aca="false">'Modelos Propostos'!B43+H43</f>
        <v>#REF!</v>
      </c>
      <c r="AK43" s="4" t="e">
        <f aca="false">AJ43/'Dataset experimental'!$AF43</f>
        <v>#REF!</v>
      </c>
      <c r="AV43" s="4" t="e">
        <f aca="false">'Modelos normativos'!S43+F43</f>
        <v>#REF!</v>
      </c>
      <c r="AW43" s="4" t="e">
        <f aca="false">AV43/'Dataset experimental'!$AF43</f>
        <v>#REF!</v>
      </c>
      <c r="BH43" s="4" t="e">
        <f aca="false">'Modelos Propostos'!B43+R43</f>
        <v>#REF!</v>
      </c>
      <c r="BI43" s="4" t="e">
        <f aca="false">BH43/'Dataset experimental'!$AF43</f>
        <v>#REF!</v>
      </c>
      <c r="BT43" s="4" t="n">
        <f aca="false">'Modelos Propostos'!B43+L43</f>
        <v>0.233999379121608</v>
      </c>
      <c r="BU43" s="4" t="n">
        <f aca="false">BT43/'Dataset experimental'!$AF43</f>
        <v>1.11428275772194</v>
      </c>
    </row>
    <row r="44" customFormat="false" ht="14.25" hidden="false" customHeight="false" outlineLevel="0" collapsed="false">
      <c r="A44" s="4" t="e">
        <f aca="false">0.0894*ABS(D44)-0.01603*E44</f>
        <v>#REF!</v>
      </c>
      <c r="B44" s="12" t="e">
        <f aca="false">'Dataset experimental'!K44*COS('Dataset experimental'!AC44)-'Dataset experimental'!M44-'Dataset experimental'!C44</f>
        <v>#REF!</v>
      </c>
      <c r="C44" s="12" t="e">
        <f aca="false">('Dataset experimental'!AE44+SIN('Avaliação do resultado ML'!B44))*0.70674187</f>
        <v>#REF!</v>
      </c>
      <c r="D44" s="12" t="e">
        <f aca="false">'Modelos Propostos'!E44+'Avaliação do resultado ML'!C44-'Modelos normativos'!AQ44</f>
        <v>#REF!</v>
      </c>
      <c r="E44" s="12" t="n">
        <f aca="false">'Modelos empíricos'!I44+1.1854</f>
        <v>-0.0913064113276083</v>
      </c>
      <c r="F44" s="4" t="e">
        <f aca="false">-0.01753*('Modelos normativos'!AN44-'Dataset experimental'!C44-ABS(G44)-('Modelos Propostos'!E44-'Modelos normativos'!AP44)/0.25291)</f>
        <v>#REF!</v>
      </c>
      <c r="G44" s="4" t="e">
        <f aca="false">'Dataset experimental'!K44+'Modelos empíricos'!K44^2+('Modelos Propostos'!E44-'Modelos normativos'!AQ44)*4.10553</f>
        <v>#REF!</v>
      </c>
      <c r="H44" s="4" t="e">
        <f aca="false">0.03283*(J44+K44)</f>
        <v>#REF!</v>
      </c>
      <c r="I44" s="4" t="e">
        <f aca="false">(1.61428/'Dataset experimental'!Q44)^3</f>
        <v>#REF!</v>
      </c>
      <c r="J44" s="4" t="e">
        <f aca="false">SIN('Dataset experimental'!E44)+1.450178*(SIN('Avaliação do resultado ML'!I44)+'Dataset experimental'!C44)</f>
        <v>#REF!</v>
      </c>
      <c r="K44" s="4" t="e">
        <f aca="false">('Modelos empíricos'!C44-'Dataset experimental'!G44)*'Dataset experimental'!AE44-'Modelos normativos'!AP44</f>
        <v>#REF!</v>
      </c>
      <c r="L44" s="4" t="n">
        <f aca="false">0.0076*'Dataset experimental'!B44+'Avaliação do resultado ML'!M44+'Avaliação do resultado ML'!N44+(-0.0328)*(0.0171*'Dataset experimental'!AD44-0.9442)*'Avaliação do resultado ML'!O44-'Avaliação do resultado ML'!P44-0.0364</f>
        <v>0.0767642018874798</v>
      </c>
      <c r="M44" s="12" t="n">
        <f aca="false">0.03283*SIN(0.7328*'Dataset experimental'!D44-1.8266)</f>
        <v>0.0293265290156355</v>
      </c>
      <c r="N44" s="12" t="n">
        <f aca="false">0.0476*SIN(4.2067/(0.0095*'Dataset experimental'!P44-1.9338)^3)</f>
        <v>0.0475982941477051</v>
      </c>
      <c r="O44" s="12" t="n">
        <f aca="false">0.0214*'Dataset experimental'!F44-3.1067*'Dataset experimental'!B44*'Dataset experimental'!P44*('Dataset experimental'!T44-'Dataset experimental'!R44)*(0.39*'Dataset experimental'!P44*'Dataset experimental'!T44/'Dataset experimental'!V44-'Dataset experimental'!Z44+3.12)/(100000*'Dataset experimental'!V44)+0.7995</f>
        <v>1.25770327420277</v>
      </c>
      <c r="P44" s="12" t="n">
        <f aca="false">0.4461*('Dataset experimental'!Z44-0.6*'Modelos normativos'!AB44)*(3.4*'Dataset experimental'!L44+0.17*'Dataset experimental'!B44/'Modelos normativos'!AC44)/200000</f>
        <v>0.0621674622695665</v>
      </c>
      <c r="Q44" s="4" t="e">
        <f aca="false">L44/H44</f>
        <v>#REF!</v>
      </c>
      <c r="R44" s="4" t="e">
        <f aca="false">(-0.042-0.014*'Com TS variável MC2020'!Q53)*('Modelos normativos'!AP44-ABS('Modelos Propostos'!K44)-'Dataset experimental'!W44+COS(S44))</f>
        <v>#REF!</v>
      </c>
      <c r="S44" s="4" t="e">
        <f aca="false">'Dataset experimental'!O44-('Modelos normativos'!AQ44-SIN(0.083/('Dataset experimental'!M44-'Dataset experimental'!O44))-'Modelos empíricos'!I44)/0.646</f>
        <v>#REF!</v>
      </c>
      <c r="W44" s="4" t="e">
        <f aca="false">'Modelos normativos'!S44+'Avaliação do resultado ML'!A44</f>
        <v>#REF!</v>
      </c>
      <c r="X44" s="4" t="e">
        <f aca="false">W44/'Dataset experimental'!$AF44</f>
        <v>#REF!</v>
      </c>
      <c r="AJ44" s="4" t="e">
        <f aca="false">'Modelos Propostos'!B44+H44</f>
        <v>#REF!</v>
      </c>
      <c r="AK44" s="4" t="e">
        <f aca="false">AJ44/'Dataset experimental'!$AF44</f>
        <v>#REF!</v>
      </c>
      <c r="AV44" s="4" t="e">
        <f aca="false">'Modelos normativos'!S44+F44</f>
        <v>#REF!</v>
      </c>
      <c r="AW44" s="4" t="e">
        <f aca="false">AV44/'Dataset experimental'!$AF44</f>
        <v>#REF!</v>
      </c>
      <c r="BH44" s="4" t="e">
        <f aca="false">'Modelos Propostos'!B44+R44</f>
        <v>#REF!</v>
      </c>
      <c r="BI44" s="4" t="e">
        <f aca="false">BH44/'Dataset experimental'!$AF44</f>
        <v>#REF!</v>
      </c>
      <c r="BT44" s="4" t="n">
        <f aca="false">'Modelos Propostos'!B44+L44</f>
        <v>0.287643761365707</v>
      </c>
      <c r="BU44" s="4" t="n">
        <f aca="false">BT44/'Dataset experimental'!$AF44</f>
        <v>0.927883101179699</v>
      </c>
    </row>
    <row r="45" customFormat="false" ht="14.25" hidden="false" customHeight="false" outlineLevel="0" collapsed="false">
      <c r="A45" s="4" t="e">
        <f aca="false">0.0894*ABS(D45)-0.01603*E45</f>
        <v>#REF!</v>
      </c>
      <c r="B45" s="12" t="e">
        <f aca="false">'Dataset experimental'!K45*COS('Dataset experimental'!AC45)-'Dataset experimental'!M45-'Dataset experimental'!C45</f>
        <v>#REF!</v>
      </c>
      <c r="C45" s="12" t="e">
        <f aca="false">('Dataset experimental'!AE45+SIN('Avaliação do resultado ML'!B45))*0.70674187</f>
        <v>#REF!</v>
      </c>
      <c r="D45" s="12" t="e">
        <f aca="false">'Modelos Propostos'!E45+'Avaliação do resultado ML'!C45-'Modelos normativos'!AQ45</f>
        <v>#REF!</v>
      </c>
      <c r="E45" s="12" t="n">
        <f aca="false">'Modelos empíricos'!I45+1.1854</f>
        <v>0.256827223170696</v>
      </c>
      <c r="F45" s="4" t="e">
        <f aca="false">-0.01753*('Modelos normativos'!AN45-'Dataset experimental'!C45-ABS(G45)-('Modelos Propostos'!E45-'Modelos normativos'!AP45)/0.25291)</f>
        <v>#REF!</v>
      </c>
      <c r="G45" s="4" t="e">
        <f aca="false">'Dataset experimental'!K45+'Modelos empíricos'!K45^2+('Modelos Propostos'!E45-'Modelos normativos'!AQ45)*4.10553</f>
        <v>#REF!</v>
      </c>
      <c r="H45" s="4" t="e">
        <f aca="false">0.03283*(J45+K45)</f>
        <v>#REF!</v>
      </c>
      <c r="I45" s="4" t="e">
        <f aca="false">(1.61428/'Dataset experimental'!Q45)^3</f>
        <v>#REF!</v>
      </c>
      <c r="J45" s="4" t="e">
        <f aca="false">SIN('Dataset experimental'!E45)+1.450178*(SIN('Avaliação do resultado ML'!I45)+'Dataset experimental'!C45)</f>
        <v>#REF!</v>
      </c>
      <c r="K45" s="4" t="e">
        <f aca="false">('Modelos empíricos'!C45-'Dataset experimental'!G45)*'Dataset experimental'!AE45-'Modelos normativos'!AP45</f>
        <v>#REF!</v>
      </c>
      <c r="L45" s="4" t="n">
        <f aca="false">0.0076*'Dataset experimental'!B45+'Avaliação do resultado ML'!M45+'Avaliação do resultado ML'!N45+(-0.0328)*(0.0171*'Dataset experimental'!AD45-0.9442)*'Avaliação do resultado ML'!O45-'Avaliação do resultado ML'!P45-0.0364</f>
        <v>0.0516662775885864</v>
      </c>
      <c r="M45" s="12" t="n">
        <f aca="false">0.03283*SIN(0.7328*'Dataset experimental'!D45-1.8266)</f>
        <v>0.0293265290156355</v>
      </c>
      <c r="N45" s="12" t="n">
        <f aca="false">0.0476*SIN(4.2067/(0.0095*'Dataset experimental'!P45-1.9338)^3)</f>
        <v>0.0475982941477051</v>
      </c>
      <c r="O45" s="12" t="n">
        <f aca="false">0.0214*'Dataset experimental'!F45-3.1067*'Dataset experimental'!B45*'Dataset experimental'!P45*('Dataset experimental'!T45-'Dataset experimental'!R45)*(0.39*'Dataset experimental'!P45*'Dataset experimental'!T45/'Dataset experimental'!V45-'Dataset experimental'!Z45+3.12)/(100000*'Dataset experimental'!V45)+0.7995</f>
        <v>0.840623617425041</v>
      </c>
      <c r="P45" s="12" t="n">
        <f aca="false">0.4461*('Dataset experimental'!Z45-0.6*'Modelos normativos'!AB45)*(3.4*'Dataset experimental'!L45+0.17*'Dataset experimental'!B45/'Modelos normativos'!AC45)/200000</f>
        <v>0.0813392860933182</v>
      </c>
      <c r="Q45" s="4" t="e">
        <f aca="false">L45/H45</f>
        <v>#REF!</v>
      </c>
      <c r="R45" s="4" t="e">
        <f aca="false">(-0.042-0.014*'Com TS variável MC2020'!Q54)*('Modelos normativos'!AP45-ABS('Modelos Propostos'!K45)-'Dataset experimental'!W45+COS(S45))</f>
        <v>#REF!</v>
      </c>
      <c r="S45" s="4" t="e">
        <f aca="false">'Dataset experimental'!O45-('Modelos normativos'!AQ45-SIN(0.083/('Dataset experimental'!M45-'Dataset experimental'!O45))-'Modelos empíricos'!I45)/0.646</f>
        <v>#REF!</v>
      </c>
      <c r="W45" s="4" t="e">
        <f aca="false">'Modelos normativos'!S45+'Avaliação do resultado ML'!A45</f>
        <v>#REF!</v>
      </c>
      <c r="X45" s="4" t="e">
        <f aca="false">W45/'Dataset experimental'!$AF45</f>
        <v>#REF!</v>
      </c>
      <c r="AJ45" s="4" t="e">
        <f aca="false">'Modelos Propostos'!B45+H45</f>
        <v>#REF!</v>
      </c>
      <c r="AK45" s="4" t="e">
        <f aca="false">AJ45/'Dataset experimental'!$AF45</f>
        <v>#REF!</v>
      </c>
      <c r="AV45" s="4" t="e">
        <f aca="false">'Modelos normativos'!S45+F45</f>
        <v>#REF!</v>
      </c>
      <c r="AW45" s="4" t="e">
        <f aca="false">AV45/'Dataset experimental'!$AF45</f>
        <v>#REF!</v>
      </c>
      <c r="BH45" s="4" t="e">
        <f aca="false">'Modelos Propostos'!B45+R45</f>
        <v>#REF!</v>
      </c>
      <c r="BI45" s="4" t="e">
        <f aca="false">BH45/'Dataset experimental'!$AF45</f>
        <v>#REF!</v>
      </c>
      <c r="BT45" s="4" t="n">
        <f aca="false">'Modelos Propostos'!B45+L45</f>
        <v>0.345982777003831</v>
      </c>
      <c r="BU45" s="4" t="n">
        <f aca="false">BT45/'Dataset experimental'!$AF45</f>
        <v>0.910480992115345</v>
      </c>
    </row>
    <row r="46" customFormat="false" ht="14.25" hidden="false" customHeight="false" outlineLevel="0" collapsed="false">
      <c r="A46" s="4" t="e">
        <f aca="false">0.0894*ABS(D46)-0.01603*E46</f>
        <v>#REF!</v>
      </c>
      <c r="B46" s="12" t="e">
        <f aca="false">'Dataset experimental'!K46*COS('Dataset experimental'!AC46)-'Dataset experimental'!M46-'Dataset experimental'!C46</f>
        <v>#REF!</v>
      </c>
      <c r="C46" s="12" t="e">
        <f aca="false">('Dataset experimental'!AE46+SIN('Avaliação do resultado ML'!B46))*0.70674187</f>
        <v>#REF!</v>
      </c>
      <c r="D46" s="12" t="e">
        <f aca="false">'Modelos Propostos'!E46+'Avaliação do resultado ML'!C46-'Modelos normativos'!AQ46</f>
        <v>#REF!</v>
      </c>
      <c r="E46" s="12" t="n">
        <f aca="false">'Modelos empíricos'!I46+1.1854</f>
        <v>0.953094492167304</v>
      </c>
      <c r="F46" s="4" t="e">
        <f aca="false">-0.01753*('Modelos normativos'!AN46-'Dataset experimental'!C46-ABS(G46)-('Modelos Propostos'!E46-'Modelos normativos'!AP46)/0.25291)</f>
        <v>#REF!</v>
      </c>
      <c r="G46" s="4" t="e">
        <f aca="false">'Dataset experimental'!K46+'Modelos empíricos'!K46^2+('Modelos Propostos'!E46-'Modelos normativos'!AQ46)*4.10553</f>
        <v>#REF!</v>
      </c>
      <c r="H46" s="4" t="e">
        <f aca="false">0.03283*(J46+K46)</f>
        <v>#REF!</v>
      </c>
      <c r="I46" s="4" t="e">
        <f aca="false">(1.61428/'Dataset experimental'!Q46)^3</f>
        <v>#REF!</v>
      </c>
      <c r="J46" s="4" t="e">
        <f aca="false">SIN('Dataset experimental'!E46)+1.450178*(SIN('Avaliação do resultado ML'!I46)+'Dataset experimental'!C46)</f>
        <v>#REF!</v>
      </c>
      <c r="K46" s="4" t="e">
        <f aca="false">('Modelos empíricos'!C46-'Dataset experimental'!G46)*'Dataset experimental'!AE46-'Modelos normativos'!AP46</f>
        <v>#REF!</v>
      </c>
      <c r="L46" s="4" t="n">
        <f aca="false">0.0076*'Dataset experimental'!B46+'Avaliação do resultado ML'!M46+'Avaliação do resultado ML'!N46+(-0.0328)*(0.0171*'Dataset experimental'!AD46-0.9442)*'Avaliação do resultado ML'!O46-'Avaliação do resultado ML'!P46-0.0364</f>
        <v>0.0119973526960068</v>
      </c>
      <c r="M46" s="12" t="n">
        <f aca="false">0.03283*SIN(0.7328*'Dataset experimental'!D46-1.8266)</f>
        <v>0.0293265290156355</v>
      </c>
      <c r="N46" s="12" t="n">
        <f aca="false">0.0476*SIN(4.2067/(0.0095*'Dataset experimental'!P46-1.9338)^3)</f>
        <v>0.0475982941477051</v>
      </c>
      <c r="O46" s="12" t="n">
        <f aca="false">0.0214*'Dataset experimental'!F46-3.1067*'Dataset experimental'!B46*'Dataset experimental'!P46*('Dataset experimental'!T46-'Dataset experimental'!R46)*(0.39*'Dataset experimental'!P46*'Dataset experimental'!T46/'Dataset experimental'!V46-'Dataset experimental'!Z46+3.12)/(100000*'Dataset experimental'!V46)+0.7995</f>
        <v>0.0064643038695843</v>
      </c>
      <c r="P46" s="12" t="n">
        <f aca="false">0.4461*('Dataset experimental'!Z46-0.6*'Modelos normativos'!AB46)*(3.4*'Dataset experimental'!L46+0.17*'Dataset experimental'!B46/'Modelos normativos'!AC46)/200000</f>
        <v>0.119682933740822</v>
      </c>
      <c r="Q46" s="4" t="e">
        <f aca="false">L46/H46</f>
        <v>#REF!</v>
      </c>
      <c r="R46" s="4" t="e">
        <f aca="false">(-0.042-0.014*'Com TS variável MC2020'!Q55)*('Modelos normativos'!AP46-ABS('Modelos Propostos'!K46)-'Dataset experimental'!W46+COS(S46))</f>
        <v>#REF!</v>
      </c>
      <c r="S46" s="4" t="e">
        <f aca="false">'Dataset experimental'!O46-('Modelos normativos'!AQ46-SIN(0.083/('Dataset experimental'!M46-'Dataset experimental'!O46))-'Modelos empíricos'!I46)/0.646</f>
        <v>#REF!</v>
      </c>
      <c r="W46" s="4" t="e">
        <f aca="false">'Modelos normativos'!S46+'Avaliação do resultado ML'!A46</f>
        <v>#REF!</v>
      </c>
      <c r="X46" s="4" t="e">
        <f aca="false">W46/'Dataset experimental'!$AF46</f>
        <v>#REF!</v>
      </c>
      <c r="AJ46" s="4" t="e">
        <f aca="false">'Modelos Propostos'!B46+H46</f>
        <v>#REF!</v>
      </c>
      <c r="AK46" s="4" t="e">
        <f aca="false">AJ46/'Dataset experimental'!$AF46</f>
        <v>#REF!</v>
      </c>
      <c r="AV46" s="4" t="e">
        <f aca="false">'Modelos normativos'!S46+F46</f>
        <v>#REF!</v>
      </c>
      <c r="AW46" s="4" t="e">
        <f aca="false">AV46/'Dataset experimental'!$AF46</f>
        <v>#REF!</v>
      </c>
      <c r="BH46" s="4" t="e">
        <f aca="false">'Modelos Propostos'!B46+R46</f>
        <v>#REF!</v>
      </c>
      <c r="BI46" s="4" t="e">
        <f aca="false">BH46/'Dataset experimental'!$AF46</f>
        <v>#REF!</v>
      </c>
      <c r="BT46" s="4" t="n">
        <f aca="false">'Modelos Propostos'!B46+L46</f>
        <v>0.473187731985288</v>
      </c>
      <c r="BU46" s="4" t="n">
        <f aca="false">BT46/'Dataset experimental'!$AF46</f>
        <v>0.909976407664014</v>
      </c>
    </row>
    <row r="47" customFormat="false" ht="14.25" hidden="false" customHeight="false" outlineLevel="0" collapsed="false">
      <c r="A47" s="4" t="e">
        <f aca="false">0.0894*ABS(D47)-0.01603*E47</f>
        <v>#REF!</v>
      </c>
      <c r="B47" s="12" t="e">
        <f aca="false">'Dataset experimental'!K47*COS('Dataset experimental'!AC47)-'Dataset experimental'!M47-'Dataset experimental'!C47</f>
        <v>#REF!</v>
      </c>
      <c r="C47" s="12" t="e">
        <f aca="false">('Dataset experimental'!AE47+SIN('Avaliação do resultado ML'!B47))*0.70674187</f>
        <v>#REF!</v>
      </c>
      <c r="D47" s="12" t="e">
        <f aca="false">'Modelos Propostos'!E47+'Avaliação do resultado ML'!C47-'Modelos normativos'!AQ47</f>
        <v>#REF!</v>
      </c>
      <c r="E47" s="12" t="n">
        <f aca="false">'Modelos empíricos'!I47+1.1854</f>
        <v>1.91613816592312</v>
      </c>
      <c r="F47" s="4" t="e">
        <f aca="false">-0.01753*('Modelos normativos'!AN47-'Dataset experimental'!C47-ABS(G47)-('Modelos Propostos'!E47-'Modelos normativos'!AP47)/0.25291)</f>
        <v>#REF!</v>
      </c>
      <c r="G47" s="4" t="e">
        <f aca="false">'Dataset experimental'!K47+'Modelos empíricos'!K47^2+('Modelos Propostos'!E47-'Modelos normativos'!AQ47)*4.10553</f>
        <v>#REF!</v>
      </c>
      <c r="H47" s="4" t="e">
        <f aca="false">0.03283*(J47+K47)</f>
        <v>#REF!</v>
      </c>
      <c r="I47" s="4" t="e">
        <f aca="false">(1.61428/'Dataset experimental'!Q47)^3</f>
        <v>#REF!</v>
      </c>
      <c r="J47" s="4" t="e">
        <f aca="false">SIN('Dataset experimental'!E47)+1.450178*(SIN('Avaliação do resultado ML'!I47)+'Dataset experimental'!C47)</f>
        <v>#REF!</v>
      </c>
      <c r="K47" s="4" t="e">
        <f aca="false">('Modelos empíricos'!C47-'Dataset experimental'!G47)*'Dataset experimental'!AE47-'Modelos normativos'!AP47</f>
        <v>#REF!</v>
      </c>
      <c r="L47" s="4" t="n">
        <f aca="false">0.0076*'Dataset experimental'!B47+'Avaliação do resultado ML'!M47+'Avaliação do resultado ML'!N47+(-0.0328)*(0.0171*'Dataset experimental'!AD47-0.9442)*'Avaliação do resultado ML'!O47-'Avaliação do resultado ML'!P47-0.0364</f>
        <v>-0.0186099355770046</v>
      </c>
      <c r="M47" s="12" t="n">
        <f aca="false">0.03283*SIN(0.7328*'Dataset experimental'!D47-1.8266)</f>
        <v>0.0293265290156355</v>
      </c>
      <c r="N47" s="12" t="n">
        <f aca="false">0.0476*SIN(4.2067/(0.0095*'Dataset experimental'!P47-1.9338)^3)</f>
        <v>0.0475982941477051</v>
      </c>
      <c r="O47" s="12" t="n">
        <f aca="false">0.0214*'Dataset experimental'!F47-3.1067*'Dataset experimental'!B47*'Dataset experimental'!P47*('Dataset experimental'!T47-'Dataset experimental'!R47)*(0.39*'Dataset experimental'!P47*'Dataset experimental'!T47/'Dataset experimental'!V47-'Dataset experimental'!Z47+3.12)/(100000*'Dataset experimental'!V47)+0.7995</f>
        <v>-1.1473050683167</v>
      </c>
      <c r="P47" s="12" t="n">
        <f aca="false">0.4461*('Dataset experimental'!Z47-0.6*'Modelos normativos'!AB47)*(3.4*'Dataset experimental'!L47+0.17*'Dataset experimental'!B47/'Modelos normativos'!AC47)/200000</f>
        <v>0.172718038132366</v>
      </c>
      <c r="Q47" s="4" t="e">
        <f aca="false">L47/H47</f>
        <v>#REF!</v>
      </c>
      <c r="R47" s="4" t="e">
        <f aca="false">(-0.042-0.014*'Com TS variável MC2020'!Q56)*('Modelos normativos'!AP47-ABS('Modelos Propostos'!K47)-'Dataset experimental'!W47+COS(S47))</f>
        <v>#REF!</v>
      </c>
      <c r="S47" s="4" t="e">
        <f aca="false">'Dataset experimental'!O47-('Modelos normativos'!AQ47-SIN(0.083/('Dataset experimental'!M47-'Dataset experimental'!O47))-'Modelos empíricos'!I47)/0.646</f>
        <v>#REF!</v>
      </c>
      <c r="W47" s="4" t="e">
        <f aca="false">'Modelos normativos'!S47+'Avaliação do resultado ML'!A47</f>
        <v>#REF!</v>
      </c>
      <c r="X47" s="4" t="e">
        <f aca="false">W47/'Dataset experimental'!$AF47</f>
        <v>#REF!</v>
      </c>
      <c r="AJ47" s="4" t="e">
        <f aca="false">'Modelos Propostos'!B47+H47</f>
        <v>#REF!</v>
      </c>
      <c r="AK47" s="4" t="e">
        <f aca="false">AJ47/'Dataset experimental'!$AF47</f>
        <v>#REF!</v>
      </c>
      <c r="AV47" s="4" t="e">
        <f aca="false">'Modelos normativos'!S47+F47</f>
        <v>#REF!</v>
      </c>
      <c r="AW47" s="4" t="e">
        <f aca="false">AV47/'Dataset experimental'!$AF47</f>
        <v>#REF!</v>
      </c>
      <c r="BH47" s="4" t="e">
        <f aca="false">'Modelos Propostos'!B47+R47</f>
        <v>#REF!</v>
      </c>
      <c r="BI47" s="4" t="e">
        <f aca="false">BH47/'Dataset experimental'!$AF47</f>
        <v>#REF!</v>
      </c>
      <c r="BT47" s="4" t="n">
        <f aca="false">'Modelos Propostos'!B47+L47</f>
        <v>0.6581809750775</v>
      </c>
      <c r="BU47" s="4" t="n">
        <f aca="false">BT47/'Dataset experimental'!$AF47</f>
        <v>0.88943375010473</v>
      </c>
    </row>
    <row r="48" customFormat="false" ht="14.25" hidden="false" customHeight="false" outlineLevel="0" collapsed="false">
      <c r="A48" s="4" t="e">
        <f aca="false">0.0894*ABS(D48)-0.01603*E48</f>
        <v>#REF!</v>
      </c>
      <c r="B48" s="12" t="e">
        <f aca="false">'Dataset experimental'!K48*COS('Dataset experimental'!AC48)-'Dataset experimental'!M48-'Dataset experimental'!C48</f>
        <v>#REF!</v>
      </c>
      <c r="C48" s="12" t="e">
        <f aca="false">('Dataset experimental'!AE48+SIN('Avaliação do resultado ML'!B48))*0.70674187</f>
        <v>#REF!</v>
      </c>
      <c r="D48" s="12" t="e">
        <f aca="false">'Modelos Propostos'!E48+'Avaliação do resultado ML'!C48-'Modelos normativos'!AQ48</f>
        <v>#REF!</v>
      </c>
      <c r="E48" s="12" t="n">
        <f aca="false">'Modelos empíricos'!I48+1.1854</f>
        <v>-0.439440045825912</v>
      </c>
      <c r="F48" s="4" t="e">
        <f aca="false">-0.01753*('Modelos normativos'!AN48-'Dataset experimental'!C48-ABS(G48)-('Modelos Propostos'!E48-'Modelos normativos'!AP48)/0.25291)</f>
        <v>#REF!</v>
      </c>
      <c r="G48" s="4" t="e">
        <f aca="false">'Dataset experimental'!K48+'Modelos empíricos'!K48^2+('Modelos Propostos'!E48-'Modelos normativos'!AQ48)*4.10553</f>
        <v>#REF!</v>
      </c>
      <c r="H48" s="4" t="e">
        <f aca="false">0.03283*(J48+K48)</f>
        <v>#REF!</v>
      </c>
      <c r="I48" s="4" t="e">
        <f aca="false">(1.61428/'Dataset experimental'!Q48)^3</f>
        <v>#REF!</v>
      </c>
      <c r="J48" s="4" t="e">
        <f aca="false">SIN('Dataset experimental'!E48)+1.450178*(SIN('Avaliação do resultado ML'!I48)+'Dataset experimental'!C48)</f>
        <v>#REF!</v>
      </c>
      <c r="K48" s="4" t="e">
        <f aca="false">('Modelos empíricos'!C48-'Dataset experimental'!G48)*'Dataset experimental'!AE48-'Modelos normativos'!AP48</f>
        <v>#REF!</v>
      </c>
      <c r="L48" s="4" t="n">
        <f aca="false">0.0076*'Dataset experimental'!B48+'Avaliação do resultado ML'!M48+'Avaliação do resultado ML'!N48+(-0.0328)*(0.0171*'Dataset experimental'!AD48-0.9442)*'Avaliação do resultado ML'!O48-'Avaliação do resultado ML'!P48-0.0364</f>
        <v>0.105371100754776</v>
      </c>
      <c r="M48" s="12" t="n">
        <f aca="false">0.03283*SIN(0.7328*'Dataset experimental'!D48-1.8266)</f>
        <v>0.0293265290156355</v>
      </c>
      <c r="N48" s="12" t="n">
        <f aca="false">0.0476*SIN(4.2067/(0.0095*'Dataset experimental'!P48-1.9338)^3)</f>
        <v>0.0475982941477051</v>
      </c>
      <c r="O48" s="12" t="n">
        <f aca="false">0.0214*'Dataset experimental'!F48-3.1067*'Dataset experimental'!B48*'Dataset experimental'!P48*('Dataset experimental'!T48-'Dataset experimental'!R48)*(0.39*'Dataset experimental'!P48*'Dataset experimental'!T48/'Dataset experimental'!V48-'Dataset experimental'!Z48+3.12)/(100000*'Dataset experimental'!V48)+0.7995</f>
        <v>1.6747829309805</v>
      </c>
      <c r="P48" s="12" t="n">
        <f aca="false">0.4461*('Dataset experimental'!Z48-0.6*'Modelos normativos'!AB48)*(3.4*'Dataset experimental'!L48+0.17*'Dataset experimental'!B48/'Modelos normativos'!AC48)/200000</f>
        <v>0.0429956384458148</v>
      </c>
      <c r="Q48" s="4" t="e">
        <f aca="false">L48/H48</f>
        <v>#REF!</v>
      </c>
      <c r="R48" s="4" t="e">
        <f aca="false">(-0.042-0.014*'Com TS variável MC2020'!Q57)*('Modelos normativos'!AP48-ABS('Modelos Propostos'!K48)-'Dataset experimental'!W48+COS(S48))</f>
        <v>#REF!</v>
      </c>
      <c r="S48" s="4" t="e">
        <f aca="false">'Dataset experimental'!O48-('Modelos normativos'!AQ48-SIN(0.083/('Dataset experimental'!M48-'Dataset experimental'!O48))-'Modelos empíricos'!I48)/0.646</f>
        <v>#REF!</v>
      </c>
      <c r="W48" s="4" t="e">
        <f aca="false">'Modelos normativos'!S48+'Avaliação do resultado ML'!A48</f>
        <v>#REF!</v>
      </c>
      <c r="X48" s="4" t="e">
        <f aca="false">W48/'Dataset experimental'!$AF48</f>
        <v>#REF!</v>
      </c>
      <c r="AJ48" s="4" t="e">
        <f aca="false">'Modelos Propostos'!B48+H48</f>
        <v>#REF!</v>
      </c>
      <c r="AK48" s="4" t="e">
        <f aca="false">AJ48/'Dataset experimental'!$AF48</f>
        <v>#REF!</v>
      </c>
      <c r="AV48" s="4" t="e">
        <f aca="false">'Modelos normativos'!S48+F48</f>
        <v>#REF!</v>
      </c>
      <c r="AW48" s="4" t="e">
        <f aca="false">AV48/'Dataset experimental'!$AF48</f>
        <v>#REF!</v>
      </c>
      <c r="BH48" s="4" t="e">
        <f aca="false">'Modelos Propostos'!B48+R48</f>
        <v>#REF!</v>
      </c>
      <c r="BI48" s="4" t="e">
        <f aca="false">BH48/'Dataset experimental'!$AF48</f>
        <v>#REF!</v>
      </c>
      <c r="BT48" s="4" t="n">
        <f aca="false">'Modelos Propostos'!B48+L48</f>
        <v>0.233999379121608</v>
      </c>
      <c r="BU48" s="4" t="n">
        <f aca="false">BT48/'Dataset experimental'!$AF48</f>
        <v>1.37646693600946</v>
      </c>
    </row>
    <row r="49" customFormat="false" ht="14.25" hidden="false" customHeight="false" outlineLevel="0" collapsed="false">
      <c r="A49" s="4" t="e">
        <f aca="false">0.0894*ABS(D49)-0.01603*E49</f>
        <v>#REF!</v>
      </c>
      <c r="B49" s="12" t="e">
        <f aca="false">'Dataset experimental'!K49*COS('Dataset experimental'!AC49)-'Dataset experimental'!M49-'Dataset experimental'!C49</f>
        <v>#REF!</v>
      </c>
      <c r="C49" s="12" t="e">
        <f aca="false">('Dataset experimental'!AE49+SIN('Avaliação do resultado ML'!B49))*0.70674187</f>
        <v>#REF!</v>
      </c>
      <c r="D49" s="12" t="e">
        <f aca="false">'Modelos Propostos'!E49+'Avaliação do resultado ML'!C49-'Modelos normativos'!AQ49</f>
        <v>#REF!</v>
      </c>
      <c r="E49" s="12" t="n">
        <f aca="false">'Modelos empíricos'!I49+1.1854</f>
        <v>0.256827223170696</v>
      </c>
      <c r="F49" s="4" t="e">
        <f aca="false">-0.01753*('Modelos normativos'!AN49-'Dataset experimental'!C49-ABS(G49)-('Modelos Propostos'!E49-'Modelos normativos'!AP49)/0.25291)</f>
        <v>#REF!</v>
      </c>
      <c r="G49" s="4" t="e">
        <f aca="false">'Dataset experimental'!K49+'Modelos empíricos'!K49^2+('Modelos Propostos'!E49-'Modelos normativos'!AQ49)*4.10553</f>
        <v>#REF!</v>
      </c>
      <c r="H49" s="4" t="e">
        <f aca="false">0.03283*(J49+K49)</f>
        <v>#REF!</v>
      </c>
      <c r="I49" s="4" t="e">
        <f aca="false">(1.61428/'Dataset experimental'!Q49)^3</f>
        <v>#REF!</v>
      </c>
      <c r="J49" s="4" t="e">
        <f aca="false">SIN('Dataset experimental'!E49)+1.450178*(SIN('Avaliação do resultado ML'!I49)+'Dataset experimental'!C49)</f>
        <v>#REF!</v>
      </c>
      <c r="K49" s="4" t="e">
        <f aca="false">('Modelos empíricos'!C49-'Dataset experimental'!G49)*'Dataset experimental'!AE49-'Modelos normativos'!AP49</f>
        <v>#REF!</v>
      </c>
      <c r="L49" s="4" t="n">
        <f aca="false">0.0076*'Dataset experimental'!B49+'Avaliação do resultado ML'!M49+'Avaliação do resultado ML'!N49+(-0.0328)*(0.0171*'Dataset experimental'!AD49-0.9442)*'Avaliação do resultado ML'!O49-'Avaliação do resultado ML'!P49-0.0364</f>
        <v>0.0516662775885864</v>
      </c>
      <c r="M49" s="12" t="n">
        <f aca="false">0.03283*SIN(0.7328*'Dataset experimental'!D49-1.8266)</f>
        <v>0.0293265290156355</v>
      </c>
      <c r="N49" s="12" t="n">
        <f aca="false">0.0476*SIN(4.2067/(0.0095*'Dataset experimental'!P49-1.9338)^3)</f>
        <v>0.0475982941477051</v>
      </c>
      <c r="O49" s="12" t="n">
        <f aca="false">0.0214*'Dataset experimental'!F49-3.1067*'Dataset experimental'!B49*'Dataset experimental'!P49*('Dataset experimental'!T49-'Dataset experimental'!R49)*(0.39*'Dataset experimental'!P49*'Dataset experimental'!T49/'Dataset experimental'!V49-'Dataset experimental'!Z49+3.12)/(100000*'Dataset experimental'!V49)+0.7995</f>
        <v>0.840623617425041</v>
      </c>
      <c r="P49" s="12" t="n">
        <f aca="false">0.4461*('Dataset experimental'!Z49-0.6*'Modelos normativos'!AB49)*(3.4*'Dataset experimental'!L49+0.17*'Dataset experimental'!B49/'Modelos normativos'!AC49)/200000</f>
        <v>0.0813392860933182</v>
      </c>
      <c r="Q49" s="4" t="e">
        <f aca="false">L49/H49</f>
        <v>#REF!</v>
      </c>
      <c r="R49" s="4" t="e">
        <f aca="false">(-0.042-0.014*'Com TS variável MC2020'!Q58)*('Modelos normativos'!AP49-ABS('Modelos Propostos'!K49)-'Dataset experimental'!W49+COS(S49))</f>
        <v>#REF!</v>
      </c>
      <c r="S49" s="4" t="e">
        <f aca="false">'Dataset experimental'!O49-('Modelos normativos'!AQ49-SIN(0.083/('Dataset experimental'!M49-'Dataset experimental'!O49))-'Modelos empíricos'!I49)/0.646</f>
        <v>#REF!</v>
      </c>
      <c r="W49" s="4" t="e">
        <f aca="false">'Modelos normativos'!S49+'Avaliação do resultado ML'!A49</f>
        <v>#REF!</v>
      </c>
      <c r="X49" s="4" t="e">
        <f aca="false">W49/'Dataset experimental'!$AF49</f>
        <v>#REF!</v>
      </c>
      <c r="AJ49" s="4" t="e">
        <f aca="false">'Modelos Propostos'!B49+H49</f>
        <v>#REF!</v>
      </c>
      <c r="AK49" s="4" t="e">
        <f aca="false">AJ49/'Dataset experimental'!$AF49</f>
        <v>#REF!</v>
      </c>
      <c r="AV49" s="4" t="e">
        <f aca="false">'Modelos normativos'!S49+F49</f>
        <v>#REF!</v>
      </c>
      <c r="AW49" s="4" t="e">
        <f aca="false">AV49/'Dataset experimental'!$AF49</f>
        <v>#REF!</v>
      </c>
      <c r="BH49" s="4" t="e">
        <f aca="false">'Modelos Propostos'!B49+R49</f>
        <v>#REF!</v>
      </c>
      <c r="BI49" s="4" t="e">
        <f aca="false">BH49/'Dataset experimental'!$AF49</f>
        <v>#REF!</v>
      </c>
      <c r="BT49" s="4" t="n">
        <f aca="false">'Modelos Propostos'!B49+L49</f>
        <v>0.345982777003831</v>
      </c>
      <c r="BU49" s="4" t="n">
        <f aca="false">BT49/'Dataset experimental'!$AF49</f>
        <v>0.961063269455086</v>
      </c>
    </row>
    <row r="50" customFormat="false" ht="14.25" hidden="false" customHeight="false" outlineLevel="0" collapsed="false">
      <c r="A50" s="4" t="e">
        <f aca="false">0.0894*ABS(D50)-0.01603*E50</f>
        <v>#REF!</v>
      </c>
      <c r="B50" s="12" t="e">
        <f aca="false">'Dataset experimental'!K50*COS('Dataset experimental'!AC50)-'Dataset experimental'!M50-'Dataset experimental'!C50</f>
        <v>#REF!</v>
      </c>
      <c r="C50" s="12" t="e">
        <f aca="false">('Dataset experimental'!AE50+SIN('Avaliação do resultado ML'!B50))*0.70674187</f>
        <v>#REF!</v>
      </c>
      <c r="D50" s="12" t="e">
        <f aca="false">'Modelos Propostos'!E50+'Avaliação do resultado ML'!C50-'Modelos normativos'!AQ50</f>
        <v>#REF!</v>
      </c>
      <c r="E50" s="12" t="n">
        <f aca="false">'Modelos empíricos'!I50+1.1854</f>
        <v>0.953094492167304</v>
      </c>
      <c r="F50" s="4" t="e">
        <f aca="false">-0.01753*('Modelos normativos'!AN50-'Dataset experimental'!C50-ABS(G50)-('Modelos Propostos'!E50-'Modelos normativos'!AP50)/0.25291)</f>
        <v>#REF!</v>
      </c>
      <c r="G50" s="4" t="e">
        <f aca="false">'Dataset experimental'!K50+'Modelos empíricos'!K50^2+('Modelos Propostos'!E50-'Modelos normativos'!AQ50)*4.10553</f>
        <v>#REF!</v>
      </c>
      <c r="H50" s="4" t="e">
        <f aca="false">0.03283*(J50+K50)</f>
        <v>#REF!</v>
      </c>
      <c r="I50" s="4" t="e">
        <f aca="false">(1.61428/'Dataset experimental'!Q50)^3</f>
        <v>#REF!</v>
      </c>
      <c r="J50" s="4" t="e">
        <f aca="false">SIN('Dataset experimental'!E50)+1.450178*(SIN('Avaliação do resultado ML'!I50)+'Dataset experimental'!C50)</f>
        <v>#REF!</v>
      </c>
      <c r="K50" s="4" t="e">
        <f aca="false">('Modelos empíricos'!C50-'Dataset experimental'!G50)*'Dataset experimental'!AE50-'Modelos normativos'!AP50</f>
        <v>#REF!</v>
      </c>
      <c r="L50" s="4" t="n">
        <f aca="false">0.0076*'Dataset experimental'!B50+'Avaliação do resultado ML'!M50+'Avaliação do resultado ML'!N50+(-0.0328)*(0.0171*'Dataset experimental'!AD50-0.9442)*'Avaliação do resultado ML'!O50-'Avaliação do resultado ML'!P50-0.0364</f>
        <v>0.0119973526960068</v>
      </c>
      <c r="M50" s="12" t="n">
        <f aca="false">0.03283*SIN(0.7328*'Dataset experimental'!D50-1.8266)</f>
        <v>0.0293265290156355</v>
      </c>
      <c r="N50" s="12" t="n">
        <f aca="false">0.0476*SIN(4.2067/(0.0095*'Dataset experimental'!P50-1.9338)^3)</f>
        <v>0.0475982941477051</v>
      </c>
      <c r="O50" s="12" t="n">
        <f aca="false">0.0214*'Dataset experimental'!F50-3.1067*'Dataset experimental'!B50*'Dataset experimental'!P50*('Dataset experimental'!T50-'Dataset experimental'!R50)*(0.39*'Dataset experimental'!P50*'Dataset experimental'!T50/'Dataset experimental'!V50-'Dataset experimental'!Z50+3.12)/(100000*'Dataset experimental'!V50)+0.7995</f>
        <v>0.0064643038695843</v>
      </c>
      <c r="P50" s="12" t="n">
        <f aca="false">0.4461*('Dataset experimental'!Z50-0.6*'Modelos normativos'!AB50)*(3.4*'Dataset experimental'!L50+0.17*'Dataset experimental'!B50/'Modelos normativos'!AC50)/200000</f>
        <v>0.119682933740822</v>
      </c>
      <c r="Q50" s="4" t="e">
        <f aca="false">L50/H50</f>
        <v>#REF!</v>
      </c>
      <c r="R50" s="4" t="e">
        <f aca="false">(-0.042-0.014*'Com TS variável MC2020'!Q59)*('Modelos normativos'!AP50-ABS('Modelos Propostos'!K50)-'Dataset experimental'!W50+COS(S50))</f>
        <v>#REF!</v>
      </c>
      <c r="S50" s="4" t="e">
        <f aca="false">'Dataset experimental'!O50-('Modelos normativos'!AQ50-SIN(0.083/('Dataset experimental'!M50-'Dataset experimental'!O50))-'Modelos empíricos'!I50)/0.646</f>
        <v>#REF!</v>
      </c>
      <c r="W50" s="4" t="e">
        <f aca="false">'Modelos normativos'!S50+'Avaliação do resultado ML'!A50</f>
        <v>#REF!</v>
      </c>
      <c r="X50" s="4" t="e">
        <f aca="false">W50/'Dataset experimental'!$AF50</f>
        <v>#REF!</v>
      </c>
      <c r="AJ50" s="4" t="e">
        <f aca="false">'Modelos Propostos'!B50+H50</f>
        <v>#REF!</v>
      </c>
      <c r="AK50" s="4" t="e">
        <f aca="false">AJ50/'Dataset experimental'!$AF50</f>
        <v>#REF!</v>
      </c>
      <c r="AV50" s="4" t="e">
        <f aca="false">'Modelos normativos'!S50+F50</f>
        <v>#REF!</v>
      </c>
      <c r="AW50" s="4" t="e">
        <f aca="false">AV50/'Dataset experimental'!$AF50</f>
        <v>#REF!</v>
      </c>
      <c r="BH50" s="4" t="e">
        <f aca="false">'Modelos Propostos'!B50+R50</f>
        <v>#REF!</v>
      </c>
      <c r="BI50" s="4" t="e">
        <f aca="false">BH50/'Dataset experimental'!$AF50</f>
        <v>#REF!</v>
      </c>
      <c r="BT50" s="4" t="n">
        <f aca="false">'Modelos Propostos'!B50+L50</f>
        <v>0.473187731985288</v>
      </c>
      <c r="BU50" s="4" t="n">
        <f aca="false">BT50/'Dataset experimental'!$AF50</f>
        <v>0.84497809283087</v>
      </c>
    </row>
    <row r="51" customFormat="false" ht="14.25" hidden="false" customHeight="false" outlineLevel="0" collapsed="false">
      <c r="A51" s="4" t="e">
        <f aca="false">0.0894*ABS(D51)-0.01603*E51</f>
        <v>#REF!</v>
      </c>
      <c r="B51" s="12" t="e">
        <f aca="false">'Dataset experimental'!K51*COS('Dataset experimental'!AC51)-'Dataset experimental'!M51-'Dataset experimental'!C51</f>
        <v>#REF!</v>
      </c>
      <c r="C51" s="12" t="e">
        <f aca="false">('Dataset experimental'!AE51+SIN('Avaliação do resultado ML'!B51))*0.70674187</f>
        <v>#REF!</v>
      </c>
      <c r="D51" s="12" t="e">
        <f aca="false">'Modelos Propostos'!E51+'Avaliação do resultado ML'!C51-'Modelos normativos'!AQ51</f>
        <v>#REF!</v>
      </c>
      <c r="E51" s="12" t="n">
        <f aca="false">'Modelos empíricos'!I51+1.1854</f>
        <v>1.91613816592312</v>
      </c>
      <c r="F51" s="4" t="e">
        <f aca="false">-0.01753*('Modelos normativos'!AN51-'Dataset experimental'!C51-ABS(G51)-('Modelos Propostos'!E51-'Modelos normativos'!AP51)/0.25291)</f>
        <v>#REF!</v>
      </c>
      <c r="G51" s="4" t="e">
        <f aca="false">'Dataset experimental'!K51+'Modelos empíricos'!K51^2+('Modelos Propostos'!E51-'Modelos normativos'!AQ51)*4.10553</f>
        <v>#REF!</v>
      </c>
      <c r="H51" s="4" t="e">
        <f aca="false">0.03283*(J51+K51)</f>
        <v>#REF!</v>
      </c>
      <c r="I51" s="4" t="e">
        <f aca="false">(1.61428/'Dataset experimental'!Q51)^3</f>
        <v>#REF!</v>
      </c>
      <c r="J51" s="4" t="e">
        <f aca="false">SIN('Dataset experimental'!E51)+1.450178*(SIN('Avaliação do resultado ML'!I51)+'Dataset experimental'!C51)</f>
        <v>#REF!</v>
      </c>
      <c r="K51" s="4" t="e">
        <f aca="false">('Modelos empíricos'!C51-'Dataset experimental'!G51)*'Dataset experimental'!AE51-'Modelos normativos'!AP51</f>
        <v>#REF!</v>
      </c>
      <c r="L51" s="4" t="n">
        <f aca="false">0.0076*'Dataset experimental'!B51+'Avaliação do resultado ML'!M51+'Avaliação do resultado ML'!N51+(-0.0328)*(0.0171*'Dataset experimental'!AD51-0.9442)*'Avaliação do resultado ML'!O51-'Avaliação do resultado ML'!P51-0.0364</f>
        <v>-0.0186099355770046</v>
      </c>
      <c r="M51" s="12" t="n">
        <f aca="false">0.03283*SIN(0.7328*'Dataset experimental'!D51-1.8266)</f>
        <v>0.0293265290156355</v>
      </c>
      <c r="N51" s="12" t="n">
        <f aca="false">0.0476*SIN(4.2067/(0.0095*'Dataset experimental'!P51-1.9338)^3)</f>
        <v>0.0475982941477051</v>
      </c>
      <c r="O51" s="12" t="n">
        <f aca="false">0.0214*'Dataset experimental'!F51-3.1067*'Dataset experimental'!B51*'Dataset experimental'!P51*('Dataset experimental'!T51-'Dataset experimental'!R51)*(0.39*'Dataset experimental'!P51*'Dataset experimental'!T51/'Dataset experimental'!V51-'Dataset experimental'!Z51+3.12)/(100000*'Dataset experimental'!V51)+0.7995</f>
        <v>-1.1473050683167</v>
      </c>
      <c r="P51" s="12" t="n">
        <f aca="false">0.4461*('Dataset experimental'!Z51-0.6*'Modelos normativos'!AB51)*(3.4*'Dataset experimental'!L51+0.17*'Dataset experimental'!B51/'Modelos normativos'!AC51)/200000</f>
        <v>0.172718038132366</v>
      </c>
      <c r="Q51" s="4" t="e">
        <f aca="false">L51/H51</f>
        <v>#REF!</v>
      </c>
      <c r="R51" s="4" t="e">
        <f aca="false">(-0.042-0.014*'Com TS variável MC2020'!Q60)*('Modelos normativos'!AP51-ABS('Modelos Propostos'!K51)-'Dataset experimental'!W51+COS(S51))</f>
        <v>#REF!</v>
      </c>
      <c r="S51" s="4" t="e">
        <f aca="false">'Dataset experimental'!O51-('Modelos normativos'!AQ51-SIN(0.083/('Dataset experimental'!M51-'Dataset experimental'!O51))-'Modelos empíricos'!I51)/0.646</f>
        <v>#REF!</v>
      </c>
      <c r="W51" s="4" t="e">
        <f aca="false">'Modelos normativos'!S51+'Avaliação do resultado ML'!A51</f>
        <v>#REF!</v>
      </c>
      <c r="X51" s="4" t="e">
        <f aca="false">W51/'Dataset experimental'!$AF51</f>
        <v>#REF!</v>
      </c>
      <c r="AJ51" s="4" t="e">
        <f aca="false">'Modelos Propostos'!B51+H51</f>
        <v>#REF!</v>
      </c>
      <c r="AK51" s="4" t="e">
        <f aca="false">AJ51/'Dataset experimental'!$AF51</f>
        <v>#REF!</v>
      </c>
      <c r="AV51" s="4" t="e">
        <f aca="false">'Modelos normativos'!S51+F51</f>
        <v>#REF!</v>
      </c>
      <c r="AW51" s="4" t="e">
        <f aca="false">AV51/'Dataset experimental'!$AF51</f>
        <v>#REF!</v>
      </c>
      <c r="BH51" s="4" t="e">
        <f aca="false">'Modelos Propostos'!B51+R51</f>
        <v>#REF!</v>
      </c>
      <c r="BI51" s="4" t="e">
        <f aca="false">BH51/'Dataset experimental'!$AF51</f>
        <v>#REF!</v>
      </c>
      <c r="BT51" s="4" t="n">
        <f aca="false">'Modelos Propostos'!B51+L51</f>
        <v>0.6581809750775</v>
      </c>
      <c r="BU51" s="4" t="n">
        <f aca="false">BT51/'Dataset experimental'!$AF51</f>
        <v>0.843821762919872</v>
      </c>
    </row>
    <row r="52" customFormat="false" ht="14.25" hidden="false" customHeight="false" outlineLevel="0" collapsed="false">
      <c r="A52" s="4" t="e">
        <f aca="false">0.0894*ABS(D52)-0.01603*E52</f>
        <v>#REF!</v>
      </c>
      <c r="B52" s="12" t="e">
        <f aca="false">'Dataset experimental'!K52*COS('Dataset experimental'!AC52)-'Dataset experimental'!M52-'Dataset experimental'!C52</f>
        <v>#REF!</v>
      </c>
      <c r="C52" s="12" t="e">
        <f aca="false">('Dataset experimental'!AE52+SIN('Avaliação do resultado ML'!B52))*0.70674187</f>
        <v>#REF!</v>
      </c>
      <c r="D52" s="12" t="e">
        <f aca="false">'Modelos Propostos'!E52+'Avaliação do resultado ML'!C52-'Modelos normativos'!AQ52</f>
        <v>#REF!</v>
      </c>
      <c r="E52" s="12" t="n">
        <f aca="false">'Modelos empíricos'!I52+1.1854</f>
        <v>0.386067039975716</v>
      </c>
      <c r="F52" s="4" t="e">
        <f aca="false">-0.01753*('Modelos normativos'!AN52-'Dataset experimental'!C52-ABS(G52)-('Modelos Propostos'!E52-'Modelos normativos'!AP52)/0.25291)</f>
        <v>#REF!</v>
      </c>
      <c r="G52" s="4" t="e">
        <f aca="false">'Dataset experimental'!K52+'Modelos empíricos'!K52^2+('Modelos Propostos'!E52-'Modelos normativos'!AQ52)*4.10553</f>
        <v>#REF!</v>
      </c>
      <c r="H52" s="4" t="e">
        <f aca="false">0.03283*(J52+K52)</f>
        <v>#REF!</v>
      </c>
      <c r="I52" s="4" t="e">
        <f aca="false">(1.61428/'Dataset experimental'!Q52)^3</f>
        <v>#REF!</v>
      </c>
      <c r="J52" s="4" t="e">
        <f aca="false">SIN('Dataset experimental'!E52)+1.450178*(SIN('Avaliação do resultado ML'!I52)+'Dataset experimental'!C52)</f>
        <v>#REF!</v>
      </c>
      <c r="K52" s="4" t="e">
        <f aca="false">('Modelos empíricos'!C52-'Dataset experimental'!G52)*'Dataset experimental'!AE52-'Modelos normativos'!AP52</f>
        <v>#REF!</v>
      </c>
      <c r="L52" s="4" t="n">
        <f aca="false">0.0076*'Dataset experimental'!B52+'Avaliação do resultado ML'!M52+'Avaliação do resultado ML'!N52+(-0.0328)*(0.0171*'Dataset experimental'!AD52-0.9442)*'Avaliação do resultado ML'!O52-'Avaliação do resultado ML'!P52-0.0364</f>
        <v>0.0414983947604949</v>
      </c>
      <c r="M52" s="12" t="n">
        <f aca="false">0.03283*SIN(0.7328*'Dataset experimental'!D52-1.8266)</f>
        <v>0.0293265290156355</v>
      </c>
      <c r="N52" s="12" t="n">
        <f aca="false">0.0476*SIN(4.2067/(0.0095*'Dataset experimental'!P52-1.9338)^3)</f>
        <v>0.0475982941477051</v>
      </c>
      <c r="O52" s="12" t="n">
        <f aca="false">0.0214*'Dataset experimental'!F52-3.1067*'Dataset experimental'!B52*'Dataset experimental'!P52*('Dataset experimental'!T52-'Dataset experimental'!R52)*(0.39*'Dataset experimental'!P52*'Dataset experimental'!T52/'Dataset experimental'!V52-'Dataset experimental'!Z52+3.12)/(100000*'Dataset experimental'!V52)+0.7995</f>
        <v>-1.58851005752597</v>
      </c>
      <c r="P52" s="12" t="n">
        <f aca="false">0.4461*('Dataset experimental'!Z52-0.6*'Modelos normativos'!AB52)*(3.4*'Dataset experimental'!L52+0.17*'Dataset experimental'!B52/'Modelos normativos'!AC52)/200000</f>
        <v>0.0744417852036239</v>
      </c>
      <c r="Q52" s="4" t="e">
        <f aca="false">L52/H52</f>
        <v>#REF!</v>
      </c>
      <c r="R52" s="4" t="e">
        <f aca="false">(-0.042-0.014*'Com TS variável MC2020'!Q61)*('Modelos normativos'!AP52-ABS('Modelos Propostos'!K52)-'Dataset experimental'!W52+COS(S52))</f>
        <v>#REF!</v>
      </c>
      <c r="S52" s="4" t="e">
        <f aca="false">'Dataset experimental'!O52-('Modelos normativos'!AQ52-SIN(0.083/('Dataset experimental'!M52-'Dataset experimental'!O52))-'Modelos empíricos'!I52)/0.646</f>
        <v>#REF!</v>
      </c>
      <c r="W52" s="4" t="e">
        <f aca="false">'Modelos normativos'!S52+'Avaliação do resultado ML'!A52</f>
        <v>#REF!</v>
      </c>
      <c r="X52" s="4" t="e">
        <f aca="false">W52/'Dataset experimental'!$AF52</f>
        <v>#REF!</v>
      </c>
      <c r="AJ52" s="4" t="e">
        <f aca="false">'Modelos Propostos'!B52+H52</f>
        <v>#REF!</v>
      </c>
      <c r="AK52" s="4" t="e">
        <f aca="false">AJ52/'Dataset experimental'!$AF52</f>
        <v>#REF!</v>
      </c>
      <c r="AV52" s="4" t="e">
        <f aca="false">'Modelos normativos'!S52+F52</f>
        <v>#REF!</v>
      </c>
      <c r="AW52" s="4" t="e">
        <f aca="false">AV52/'Dataset experimental'!$AF52</f>
        <v>#REF!</v>
      </c>
      <c r="BH52" s="4" t="e">
        <f aca="false">'Modelos Propostos'!B52+R52</f>
        <v>#REF!</v>
      </c>
      <c r="BI52" s="4" t="e">
        <f aca="false">BH52/'Dataset experimental'!$AF52</f>
        <v>#REF!</v>
      </c>
      <c r="BT52" s="4" t="n">
        <f aca="false">'Modelos Propostos'!B52+L52</f>
        <v>0.37882835578086</v>
      </c>
      <c r="BU52" s="4" t="n">
        <f aca="false">BT52/'Dataset experimental'!$AF52</f>
        <v>1.22202695413181</v>
      </c>
    </row>
    <row r="53" customFormat="false" ht="14.25" hidden="false" customHeight="false" outlineLevel="0" collapsed="false">
      <c r="A53" s="4" t="e">
        <f aca="false">0.0894*ABS(D53)-0.01603*E53</f>
        <v>#REF!</v>
      </c>
      <c r="B53" s="12" t="e">
        <f aca="false">'Dataset experimental'!K53*COS('Dataset experimental'!AC53)-'Dataset experimental'!M53-'Dataset experimental'!C53</f>
        <v>#REF!</v>
      </c>
      <c r="C53" s="12" t="e">
        <f aca="false">('Dataset experimental'!AE53+SIN('Avaliação do resultado ML'!B53))*0.70674187</f>
        <v>#REF!</v>
      </c>
      <c r="D53" s="12" t="e">
        <f aca="false">'Modelos Propostos'!E53+'Avaliação do resultado ML'!C53-'Modelos normativos'!AQ53</f>
        <v>#REF!</v>
      </c>
      <c r="E53" s="12" t="n">
        <f aca="false">'Modelos empíricos'!I53+1.1854</f>
        <v>0.921034375469954</v>
      </c>
      <c r="F53" s="4" t="e">
        <f aca="false">-0.01753*('Modelos normativos'!AN53-'Dataset experimental'!C53-ABS(G53)-('Modelos Propostos'!E53-'Modelos normativos'!AP53)/0.25291)</f>
        <v>#REF!</v>
      </c>
      <c r="G53" s="4" t="e">
        <f aca="false">'Dataset experimental'!K53+'Modelos empíricos'!K53^2+('Modelos Propostos'!E53-'Modelos normativos'!AQ53)*4.10553</f>
        <v>#REF!</v>
      </c>
      <c r="H53" s="4" t="e">
        <f aca="false">0.03283*(J53+K53)</f>
        <v>#REF!</v>
      </c>
      <c r="I53" s="4" t="e">
        <f aca="false">(1.61428/'Dataset experimental'!Q53)^3</f>
        <v>#REF!</v>
      </c>
      <c r="J53" s="4" t="e">
        <f aca="false">SIN('Dataset experimental'!E53)+1.450178*(SIN('Avaliação do resultado ML'!I53)+'Dataset experimental'!C53)</f>
        <v>#REF!</v>
      </c>
      <c r="K53" s="4" t="e">
        <f aca="false">('Modelos empíricos'!C53-'Dataset experimental'!G53)*'Dataset experimental'!AE53-'Modelos normativos'!AP53</f>
        <v>#REF!</v>
      </c>
      <c r="L53" s="4" t="n">
        <f aca="false">0.0076*'Dataset experimental'!B53+'Avaliação do resultado ML'!M53+'Avaliação do resultado ML'!N53+(-0.0328)*(0.0171*'Dataset experimental'!AD53-0.9442)*'Avaliação do resultado ML'!O53-'Avaliação do resultado ML'!P53-0.0364</f>
        <v>-0.00682386946566474</v>
      </c>
      <c r="M53" s="12" t="n">
        <f aca="false">0.03283*SIN(0.7328*'Dataset experimental'!D53-1.8266)</f>
        <v>0.0293265290156355</v>
      </c>
      <c r="N53" s="12" t="n">
        <f aca="false">0.0476*SIN(4.2067/(0.0095*'Dataset experimental'!P53-1.9338)^3)</f>
        <v>0.0475982941477051</v>
      </c>
      <c r="O53" s="12" t="n">
        <f aca="false">0.0214*'Dataset experimental'!F53-3.1067*'Dataset experimental'!B53*'Dataset experimental'!P53*('Dataset experimental'!T53-'Dataset experimental'!R53)*(0.39*'Dataset experimental'!P53*'Dataset experimental'!T53/'Dataset experimental'!V53-'Dataset experimental'!Z53+3.12)/(100000*'Dataset experimental'!V53)+0.7995</f>
        <v>-2.83426908825817</v>
      </c>
      <c r="P53" s="12" t="n">
        <f aca="false">0.4461*('Dataset experimental'!Z53-0.6*'Modelos normativos'!AB53)*(3.4*'Dataset experimental'!L53+0.17*'Dataset experimental'!B53/'Modelos normativos'!AC53)/200000</f>
        <v>0.122307877270232</v>
      </c>
      <c r="Q53" s="4" t="e">
        <f aca="false">L53/H53</f>
        <v>#REF!</v>
      </c>
      <c r="R53" s="4" t="e">
        <f aca="false">(-0.042-0.014*'Com TS variável MC2020'!Q62)*('Modelos normativos'!AP53-ABS('Modelos Propostos'!K53)-'Dataset experimental'!W53+COS(S53))</f>
        <v>#REF!</v>
      </c>
      <c r="S53" s="4" t="e">
        <f aca="false">'Dataset experimental'!O53-('Modelos normativos'!AQ53-SIN(0.083/('Dataset experimental'!M53-'Dataset experimental'!O53))-'Modelos empíricos'!I53)/0.646</f>
        <v>#REF!</v>
      </c>
      <c r="W53" s="4" t="e">
        <f aca="false">'Modelos normativos'!S53+'Avaliação do resultado ML'!A53</f>
        <v>#REF!</v>
      </c>
      <c r="X53" s="4" t="e">
        <f aca="false">W53/'Dataset experimental'!$AF53</f>
        <v>#REF!</v>
      </c>
      <c r="AJ53" s="4" t="e">
        <f aca="false">'Modelos Propostos'!B53+H53</f>
        <v>#REF!</v>
      </c>
      <c r="AK53" s="4" t="e">
        <f aca="false">AJ53/'Dataset experimental'!$AF53</f>
        <v>#REF!</v>
      </c>
      <c r="AV53" s="4" t="e">
        <f aca="false">'Modelos normativos'!S53+F53</f>
        <v>#REF!</v>
      </c>
      <c r="AW53" s="4" t="e">
        <f aca="false">AV53/'Dataset experimental'!$AF53</f>
        <v>#REF!</v>
      </c>
      <c r="BH53" s="4" t="e">
        <f aca="false">'Modelos Propostos'!B53+R53</f>
        <v>#REF!</v>
      </c>
      <c r="BI53" s="4" t="e">
        <f aca="false">BH53/'Dataset experimental'!$AF53</f>
        <v>#REF!</v>
      </c>
      <c r="BT53" s="4" t="n">
        <f aca="false">'Modelos Propostos'!B53+L53</f>
        <v>0.505263849428556</v>
      </c>
      <c r="BU53" s="4" t="n">
        <f aca="false">BT53/'Dataset experimental'!$AF53</f>
        <v>1.14832693051945</v>
      </c>
    </row>
    <row r="54" customFormat="false" ht="14.25" hidden="false" customHeight="false" outlineLevel="0" collapsed="false">
      <c r="A54" s="4" t="e">
        <f aca="false">0.0894*ABS(D54)-0.01603*E54</f>
        <v>#REF!</v>
      </c>
      <c r="B54" s="12" t="e">
        <f aca="false">'Dataset experimental'!K54*COS('Dataset experimental'!AC54)-'Dataset experimental'!M54-'Dataset experimental'!C54</f>
        <v>#REF!</v>
      </c>
      <c r="C54" s="12" t="e">
        <f aca="false">('Dataset experimental'!AE54+SIN('Avaliação do resultado ML'!B54))*0.70674187</f>
        <v>#REF!</v>
      </c>
      <c r="D54" s="12" t="e">
        <f aca="false">'Modelos Propostos'!E54+'Avaliação do resultado ML'!C54-'Modelos normativos'!AQ54</f>
        <v>#REF!</v>
      </c>
      <c r="E54" s="12" t="n">
        <f aca="false">'Modelos empíricos'!I54+1.1854</f>
        <v>-0.210579528608632</v>
      </c>
      <c r="F54" s="4" t="e">
        <f aca="false">-0.01753*('Modelos normativos'!AN54-'Dataset experimental'!C54-ABS(G54)-('Modelos Propostos'!E54-'Modelos normativos'!AP54)/0.25291)</f>
        <v>#REF!</v>
      </c>
      <c r="G54" s="4" t="e">
        <f aca="false">'Dataset experimental'!K54+'Modelos empíricos'!K54^2+('Modelos Propostos'!E54-'Modelos normativos'!AQ54)*4.10553</f>
        <v>#REF!</v>
      </c>
      <c r="H54" s="4" t="e">
        <f aca="false">0.03283*(J54+K54)</f>
        <v>#REF!</v>
      </c>
      <c r="I54" s="4" t="e">
        <f aca="false">(1.61428/'Dataset experimental'!Q54)^3</f>
        <v>#REF!</v>
      </c>
      <c r="J54" s="4" t="e">
        <f aca="false">SIN('Dataset experimental'!E54)+1.450178*(SIN('Avaliação do resultado ML'!I54)+'Dataset experimental'!C54)</f>
        <v>#REF!</v>
      </c>
      <c r="K54" s="4" t="e">
        <f aca="false">('Modelos empíricos'!C54-'Dataset experimental'!G54)*'Dataset experimental'!AE54-'Modelos normativos'!AP54</f>
        <v>#REF!</v>
      </c>
      <c r="L54" s="4" t="n">
        <f aca="false">0.0076*'Dataset experimental'!B54+'Avaliação do resultado ML'!M54+'Avaliação do resultado ML'!N54+(-0.0328)*(0.0171*'Dataset experimental'!AD54-0.9442)*'Avaliação do resultado ML'!O54-'Avaliação do resultado ML'!P54-0.0364</f>
        <v>0.104834495454121</v>
      </c>
      <c r="M54" s="12" t="n">
        <f aca="false">0.03283*SIN(0.7328*'Dataset experimental'!D54-1.8266)</f>
        <v>0.0293265290156355</v>
      </c>
      <c r="N54" s="12" t="n">
        <f aca="false">0.0476*SIN(4.2067/(0.0095*'Dataset experimental'!P54-1.9338)^3)</f>
        <v>0.0475982941477051</v>
      </c>
      <c r="O54" s="12" t="n">
        <f aca="false">0.0214*'Dataset experimental'!F54-3.1067*'Dataset experimental'!B54*'Dataset experimental'!P54*('Dataset experimental'!T54-'Dataset experimental'!R54)*(0.39*'Dataset experimental'!P54*'Dataset experimental'!T54/'Dataset experimental'!V54-'Dataset experimental'!Z54+3.12)/(100000*'Dataset experimental'!V54)+0.7995</f>
        <v>-0.163203646393733</v>
      </c>
      <c r="P54" s="12" t="n">
        <f aca="false">0.4461*('Dataset experimental'!Z54-0.6*'Modelos normativos'!AB54)*(3.4*'Dataset experimental'!L54+0.17*'Dataset experimental'!B54/'Modelos normativos'!AC54)/200000</f>
        <v>0.02458207978496</v>
      </c>
      <c r="Q54" s="4" t="e">
        <f aca="false">L54/H54</f>
        <v>#REF!</v>
      </c>
      <c r="R54" s="4" t="e">
        <f aca="false">(-0.042-0.014*'Com TS variável MC2020'!Q63)*('Modelos normativos'!AP54-ABS('Modelos Propostos'!K54)-'Dataset experimental'!W54+COS(S54))</f>
        <v>#REF!</v>
      </c>
      <c r="S54" s="4" t="e">
        <f aca="false">'Dataset experimental'!O54-('Modelos normativos'!AQ54-SIN(0.083/('Dataset experimental'!M54-'Dataset experimental'!O54))-'Modelos empíricos'!I54)/0.646</f>
        <v>#REF!</v>
      </c>
      <c r="W54" s="4" t="e">
        <f aca="false">'Modelos normativos'!S54+'Avaliação do resultado ML'!A54</f>
        <v>#REF!</v>
      </c>
      <c r="X54" s="4" t="e">
        <f aca="false">W54/'Dataset experimental'!$AF54</f>
        <v>#REF!</v>
      </c>
      <c r="AJ54" s="4" t="e">
        <f aca="false">'Modelos Propostos'!B54+H54</f>
        <v>#REF!</v>
      </c>
      <c r="AK54" s="4" t="e">
        <f aca="false">AJ54/'Dataset experimental'!$AF54</f>
        <v>#REF!</v>
      </c>
      <c r="AV54" s="4" t="e">
        <f aca="false">'Modelos normativos'!S54+F54</f>
        <v>#REF!</v>
      </c>
      <c r="AW54" s="4" t="e">
        <f aca="false">AV54/'Dataset experimental'!$AF54</f>
        <v>#REF!</v>
      </c>
      <c r="BH54" s="4" t="e">
        <f aca="false">'Modelos Propostos'!B54+R54</f>
        <v>#REF!</v>
      </c>
      <c r="BI54" s="4" t="e">
        <f aca="false">BH54/'Dataset experimental'!$AF54</f>
        <v>#REF!</v>
      </c>
      <c r="BT54" s="4" t="n">
        <f aca="false">'Modelos Propostos'!B54+L54</f>
        <v>0.313082790113363</v>
      </c>
      <c r="BU54" s="4" t="n">
        <f aca="false">BT54/'Dataset experimental'!$AF54</f>
        <v>2.23630564366688</v>
      </c>
    </row>
    <row r="55" customFormat="false" ht="14.25" hidden="false" customHeight="false" outlineLevel="0" collapsed="false">
      <c r="A55" s="4" t="e">
        <f aca="false">0.0894*ABS(D55)-0.01603*E55</f>
        <v>#REF!</v>
      </c>
      <c r="B55" s="12" t="e">
        <f aca="false">'Dataset experimental'!K55*COS('Dataset experimental'!AC55)-'Dataset experimental'!M55-'Dataset experimental'!C55</f>
        <v>#REF!</v>
      </c>
      <c r="C55" s="12" t="e">
        <f aca="false">('Dataset experimental'!AE55+SIN('Avaliação do resultado ML'!B55))*0.70674187</f>
        <v>#REF!</v>
      </c>
      <c r="D55" s="12" t="e">
        <f aca="false">'Modelos Propostos'!E55+'Avaliação do resultado ML'!C55-'Modelos normativos'!AQ55</f>
        <v>#REF!</v>
      </c>
      <c r="E55" s="12" t="n">
        <f aca="false">'Modelos empíricos'!I55+1.1854</f>
        <v>0.306527512357511</v>
      </c>
      <c r="F55" s="4" t="e">
        <f aca="false">-0.01753*('Modelos normativos'!AN55-'Dataset experimental'!C55-ABS(G55)-('Modelos Propostos'!E55-'Modelos normativos'!AP55)/0.25291)</f>
        <v>#REF!</v>
      </c>
      <c r="G55" s="4" t="e">
        <f aca="false">'Dataset experimental'!K55+'Modelos empíricos'!K55^2+('Modelos Propostos'!E55-'Modelos normativos'!AQ55)*4.10553</f>
        <v>#REF!</v>
      </c>
      <c r="H55" s="4" t="e">
        <f aca="false">0.03283*(J55+K55)</f>
        <v>#REF!</v>
      </c>
      <c r="I55" s="4" t="e">
        <f aca="false">(1.61428/'Dataset experimental'!Q55)^3</f>
        <v>#REF!</v>
      </c>
      <c r="J55" s="4" t="e">
        <f aca="false">SIN('Dataset experimental'!E55)+1.450178*(SIN('Avaliação do resultado ML'!I55)+'Dataset experimental'!C55)</f>
        <v>#REF!</v>
      </c>
      <c r="K55" s="4" t="e">
        <f aca="false">('Modelos empíricos'!C55-'Dataset experimental'!G55)*'Dataset experimental'!AE55-'Modelos normativos'!AP55</f>
        <v>#REF!</v>
      </c>
      <c r="L55" s="4" t="n">
        <f aca="false">0.0076*'Dataset experimental'!B55+'Avaliação do resultado ML'!M55+'Avaliação do resultado ML'!N55+(-0.0328)*(0.0171*'Dataset experimental'!AD55-0.9442)*'Avaliação do resultado ML'!O55-'Avaliação do resultado ML'!P55-0.0364</f>
        <v>0.0465358800586412</v>
      </c>
      <c r="M55" s="12" t="n">
        <f aca="false">0.03283*SIN(0.7328*'Dataset experimental'!D55-1.8266)</f>
        <v>0.0293265290156355</v>
      </c>
      <c r="N55" s="12" t="n">
        <f aca="false">0.0476*SIN(4.2067/(0.0095*'Dataset experimental'!P55-1.9338)^3)</f>
        <v>0.0475982941477051</v>
      </c>
      <c r="O55" s="12" t="n">
        <f aca="false">0.0214*'Dataset experimental'!F55-3.1067*'Dataset experimental'!B55*'Dataset experimental'!P55*('Dataset experimental'!T55-'Dataset experimental'!R55)*(0.39*'Dataset experimental'!P55*'Dataset experimental'!T55/'Dataset experimental'!V55-'Dataset experimental'!Z55+3.12)/(100000*'Dataset experimental'!V55)+0.7995</f>
        <v>-1.33893982012534</v>
      </c>
      <c r="P55" s="12" t="n">
        <f aca="false">0.4461*('Dataset experimental'!Z55-0.6*'Modelos normativos'!AB55)*(3.4*'Dataset experimental'!L55+0.17*'Dataset experimental'!B55/'Modelos normativos'!AC55)/200000</f>
        <v>0.0718842194576707</v>
      </c>
      <c r="Q55" s="4" t="e">
        <f aca="false">L55/H55</f>
        <v>#REF!</v>
      </c>
      <c r="R55" s="4" t="e">
        <f aca="false">(-0.042-0.014*'Com TS variável MC2020'!Q64)*('Modelos normativos'!AP55-ABS('Modelos Propostos'!K55)-'Dataset experimental'!W55+COS(S55))</f>
        <v>#REF!</v>
      </c>
      <c r="S55" s="4" t="e">
        <f aca="false">'Dataset experimental'!O55-('Modelos normativos'!AQ55-SIN(0.083/('Dataset experimental'!M55-'Dataset experimental'!O55))-'Modelos empíricos'!I55)/0.646</f>
        <v>#REF!</v>
      </c>
      <c r="W55" s="4" t="e">
        <f aca="false">'Modelos normativos'!S55+'Avaliação do resultado ML'!A55</f>
        <v>#REF!</v>
      </c>
      <c r="X55" s="4" t="e">
        <f aca="false">W55/'Dataset experimental'!$AF55</f>
        <v>#REF!</v>
      </c>
      <c r="AJ55" s="4" t="e">
        <f aca="false">'Modelos Propostos'!B55+H55</f>
        <v>#REF!</v>
      </c>
      <c r="AK55" s="4" t="e">
        <f aca="false">AJ55/'Dataset experimental'!$AF55</f>
        <v>#REF!</v>
      </c>
      <c r="AV55" s="4" t="e">
        <f aca="false">'Modelos normativos'!S55+F55</f>
        <v>#REF!</v>
      </c>
      <c r="AW55" s="4" t="e">
        <f aca="false">AV55/'Dataset experimental'!$AF55</f>
        <v>#REF!</v>
      </c>
      <c r="BH55" s="4" t="e">
        <f aca="false">'Modelos Propostos'!B55+R55</f>
        <v>#REF!</v>
      </c>
      <c r="BI55" s="4" t="e">
        <f aca="false">BH55/'Dataset experimental'!$AF55</f>
        <v>#REF!</v>
      </c>
      <c r="BT55" s="4" t="n">
        <f aca="false">'Modelos Propostos'!B55+L55</f>
        <v>0.371923840463706</v>
      </c>
      <c r="BU55" s="4" t="n">
        <f aca="false">BT55/'Dataset experimental'!$AF55</f>
        <v>1.19975432407647</v>
      </c>
    </row>
    <row r="56" customFormat="false" ht="14.25" hidden="false" customHeight="false" outlineLevel="0" collapsed="false">
      <c r="A56" s="4" t="e">
        <f aca="false">0.0894*ABS(D56)-0.01603*E56</f>
        <v>#REF!</v>
      </c>
      <c r="B56" s="12" t="e">
        <f aca="false">'Dataset experimental'!K56*COS('Dataset experimental'!AC56)-'Dataset experimental'!M56-'Dataset experimental'!C56</f>
        <v>#REF!</v>
      </c>
      <c r="C56" s="12" t="e">
        <f aca="false">('Dataset experimental'!AE56+SIN('Avaliação do resultado ML'!B56))*0.70674187</f>
        <v>#REF!</v>
      </c>
      <c r="D56" s="12" t="e">
        <f aca="false">'Modelos Propostos'!E56+'Avaliação do resultado ML'!C56-'Modelos normativos'!AQ56</f>
        <v>#REF!</v>
      </c>
      <c r="E56" s="12" t="n">
        <f aca="false">'Modelos empíricos'!I56+1.1854</f>
        <v>0.823634553323654</v>
      </c>
      <c r="F56" s="4" t="e">
        <f aca="false">-0.01753*('Modelos normativos'!AN56-'Dataset experimental'!C56-ABS(G56)-('Modelos Propostos'!E56-'Modelos normativos'!AP56)/0.25291)</f>
        <v>#REF!</v>
      </c>
      <c r="G56" s="4" t="e">
        <f aca="false">'Dataset experimental'!K56+'Modelos empíricos'!K56^2+('Modelos Propostos'!E56-'Modelos normativos'!AQ56)*4.10553</f>
        <v>#REF!</v>
      </c>
      <c r="H56" s="4" t="e">
        <f aca="false">0.03283*(J56+K56)</f>
        <v>#REF!</v>
      </c>
      <c r="I56" s="4" t="e">
        <f aca="false">(1.61428/'Dataset experimental'!Q56)^3</f>
        <v>#REF!</v>
      </c>
      <c r="J56" s="4" t="e">
        <f aca="false">SIN('Dataset experimental'!E56)+1.450178*(SIN('Avaliação do resultado ML'!I56)+'Dataset experimental'!C56)</f>
        <v>#REF!</v>
      </c>
      <c r="K56" s="4" t="e">
        <f aca="false">('Modelos empíricos'!C56-'Dataset experimental'!G56)*'Dataset experimental'!AE56-'Modelos normativos'!AP56</f>
        <v>#REF!</v>
      </c>
      <c r="L56" s="4" t="n">
        <f aca="false">0.0076*'Dataset experimental'!B56+'Avaliação do resultado ML'!M56+'Avaliação do resultado ML'!N56+(-0.0328)*(0.0171*'Dataset experimental'!AD56-0.9442)*'Avaliação do resultado ML'!O56-'Avaliação do resultado ML'!P56-0.0364</f>
        <v>-0.00187103176000007</v>
      </c>
      <c r="M56" s="12" t="n">
        <f aca="false">0.03283*SIN(0.7328*'Dataset experimental'!D56-1.8266)</f>
        <v>0.0293265290156355</v>
      </c>
      <c r="N56" s="12" t="n">
        <f aca="false">0.0476*SIN(4.2067/(0.0095*'Dataset experimental'!P56-1.9338)^3)</f>
        <v>0.0475982941477051</v>
      </c>
      <c r="O56" s="12" t="n">
        <f aca="false">0.0214*'Dataset experimental'!F56-3.1067*'Dataset experimental'!B56*'Dataset experimental'!P56*('Dataset experimental'!T56-'Dataset experimental'!R56)*(0.39*'Dataset experimental'!P56*'Dataset experimental'!T56/'Dataset experimental'!V56-'Dataset experimental'!Z56+3.12)/(100000*'Dataset experimental'!V56)+0.7995</f>
        <v>-2.51467599385695</v>
      </c>
      <c r="P56" s="12" t="n">
        <f aca="false">0.4461*('Dataset experimental'!Z56-0.6*'Modelos normativos'!AB56)*(3.4*'Dataset experimental'!L56+0.17*'Dataset experimental'!B56/'Modelos normativos'!AC56)/200000</f>
        <v>0.119186359130381</v>
      </c>
      <c r="Q56" s="4" t="e">
        <f aca="false">L56/H56</f>
        <v>#REF!</v>
      </c>
      <c r="R56" s="4" t="e">
        <f aca="false">(-0.042-0.014*'Com TS variável MC2020'!Q65)*('Modelos normativos'!AP56-ABS('Modelos Propostos'!K56)-'Dataset experimental'!W56+COS(S56))</f>
        <v>#REF!</v>
      </c>
      <c r="S56" s="4" t="e">
        <f aca="false">'Dataset experimental'!O56-('Modelos normativos'!AQ56-SIN(0.083/('Dataset experimental'!M56-'Dataset experimental'!O56))-'Modelos empíricos'!I56)/0.646</f>
        <v>#REF!</v>
      </c>
      <c r="W56" s="4" t="e">
        <f aca="false">'Modelos normativos'!S56+'Avaliação do resultado ML'!A56</f>
        <v>#REF!</v>
      </c>
      <c r="X56" s="4" t="e">
        <f aca="false">W56/'Dataset experimental'!$AF56</f>
        <v>#REF!</v>
      </c>
      <c r="AJ56" s="4" t="e">
        <f aca="false">'Modelos Propostos'!B56+H56</f>
        <v>#REF!</v>
      </c>
      <c r="AK56" s="4" t="e">
        <f aca="false">AJ56/'Dataset experimental'!$AF56</f>
        <v>#REF!</v>
      </c>
      <c r="AV56" s="4" t="e">
        <f aca="false">'Modelos normativos'!S56+F56</f>
        <v>#REF!</v>
      </c>
      <c r="AW56" s="4" t="e">
        <f aca="false">AV56/'Dataset experimental'!$AF56</f>
        <v>#REF!</v>
      </c>
      <c r="BH56" s="4" t="e">
        <f aca="false">'Modelos Propostos'!B56+R56</f>
        <v>#REF!</v>
      </c>
      <c r="BI56" s="4" t="e">
        <f aca="false">BH56/'Dataset experimental'!$AF56</f>
        <v>#REF!</v>
      </c>
      <c r="BT56" s="4" t="n">
        <f aca="false">'Modelos Propostos'!B56+L56</f>
        <v>0.489766975753166</v>
      </c>
      <c r="BU56" s="4" t="n">
        <f aca="false">BT56/'Dataset experimental'!$AF56</f>
        <v>1.22441743938292</v>
      </c>
    </row>
    <row r="57" customFormat="false" ht="14.25" hidden="false" customHeight="false" outlineLevel="0" collapsed="false">
      <c r="A57" s="4" t="e">
        <f aca="false">0.0894*ABS(D57)-0.01603*E57</f>
        <v>#REF!</v>
      </c>
      <c r="B57" s="12" t="e">
        <f aca="false">'Dataset experimental'!K57*COS('Dataset experimental'!AC57)-'Dataset experimental'!M57-'Dataset experimental'!C57</f>
        <v>#REF!</v>
      </c>
      <c r="C57" s="12" t="e">
        <f aca="false">('Dataset experimental'!AE57+SIN('Avaliação do resultado ML'!B57))*0.70674187</f>
        <v>#REF!</v>
      </c>
      <c r="D57" s="12" t="e">
        <f aca="false">'Modelos Propostos'!E57+'Avaliação do resultado ML'!C57-'Modelos normativos'!AQ57</f>
        <v>#REF!</v>
      </c>
      <c r="E57" s="12" t="n">
        <f aca="false">'Modelos empíricos'!I57+1.1854</f>
        <v>-0.210579528608632</v>
      </c>
      <c r="F57" s="4" t="e">
        <f aca="false">-0.01753*('Modelos normativos'!AN57-'Dataset experimental'!C57-ABS(G57)-('Modelos Propostos'!E57-'Modelos normativos'!AP57)/0.25291)</f>
        <v>#REF!</v>
      </c>
      <c r="G57" s="4" t="e">
        <f aca="false">'Dataset experimental'!K57+'Modelos empíricos'!K57^2+('Modelos Propostos'!E57-'Modelos normativos'!AQ57)*4.10553</f>
        <v>#REF!</v>
      </c>
      <c r="H57" s="4" t="e">
        <f aca="false">0.03283*(J57+K57)</f>
        <v>#REF!</v>
      </c>
      <c r="I57" s="4" t="e">
        <f aca="false">(1.61428/'Dataset experimental'!Q57)^3</f>
        <v>#REF!</v>
      </c>
      <c r="J57" s="4" t="e">
        <f aca="false">SIN('Dataset experimental'!E57)+1.450178*(SIN('Avaliação do resultado ML'!I57)+'Dataset experimental'!C57)</f>
        <v>#REF!</v>
      </c>
      <c r="K57" s="4" t="e">
        <f aca="false">('Modelos empíricos'!C57-'Dataset experimental'!G57)*'Dataset experimental'!AE57-'Modelos normativos'!AP57</f>
        <v>#REF!</v>
      </c>
      <c r="L57" s="4" t="n">
        <f aca="false">0.0076*'Dataset experimental'!B57+'Avaliação do resultado ML'!M57+'Avaliação do resultado ML'!N57+(-0.0328)*(0.0171*'Dataset experimental'!AD57-0.9442)*'Avaliação do resultado ML'!O57-'Avaliação do resultado ML'!P57-0.0364</f>
        <v>0.104834495454121</v>
      </c>
      <c r="M57" s="12" t="n">
        <f aca="false">0.03283*SIN(0.7328*'Dataset experimental'!D57-1.8266)</f>
        <v>0.0293265290156355</v>
      </c>
      <c r="N57" s="12" t="n">
        <f aca="false">0.0476*SIN(4.2067/(0.0095*'Dataset experimental'!P57-1.9338)^3)</f>
        <v>0.0475982941477051</v>
      </c>
      <c r="O57" s="12" t="n">
        <f aca="false">0.0214*'Dataset experimental'!F57-3.1067*'Dataset experimental'!B57*'Dataset experimental'!P57*('Dataset experimental'!T57-'Dataset experimental'!R57)*(0.39*'Dataset experimental'!P57*'Dataset experimental'!T57/'Dataset experimental'!V57-'Dataset experimental'!Z57+3.12)/(100000*'Dataset experimental'!V57)+0.7995</f>
        <v>-0.163203646393733</v>
      </c>
      <c r="P57" s="12" t="n">
        <f aca="false">0.4461*('Dataset experimental'!Z57-0.6*'Modelos normativos'!AB57)*(3.4*'Dataset experimental'!L57+0.17*'Dataset experimental'!B57/'Modelos normativos'!AC57)/200000</f>
        <v>0.02458207978496</v>
      </c>
      <c r="Q57" s="4" t="e">
        <f aca="false">L57/H57</f>
        <v>#REF!</v>
      </c>
      <c r="R57" s="4" t="e">
        <f aca="false">(-0.042-0.014*'Com TS variável MC2020'!Q66)*('Modelos normativos'!AP57-ABS('Modelos Propostos'!K57)-'Dataset experimental'!W57+COS(S57))</f>
        <v>#REF!</v>
      </c>
      <c r="S57" s="4" t="e">
        <f aca="false">'Dataset experimental'!O57-('Modelos normativos'!AQ57-SIN(0.083/('Dataset experimental'!M57-'Dataset experimental'!O57))-'Modelos empíricos'!I57)/0.646</f>
        <v>#REF!</v>
      </c>
      <c r="W57" s="4" t="e">
        <f aca="false">'Modelos normativos'!S57+'Avaliação do resultado ML'!A57</f>
        <v>#REF!</v>
      </c>
      <c r="X57" s="4" t="e">
        <f aca="false">W57/'Dataset experimental'!$AF57</f>
        <v>#REF!</v>
      </c>
      <c r="AJ57" s="4" t="e">
        <f aca="false">'Modelos Propostos'!B57+H57</f>
        <v>#REF!</v>
      </c>
      <c r="AK57" s="4" t="e">
        <f aca="false">AJ57/'Dataset experimental'!$AF57</f>
        <v>#REF!</v>
      </c>
      <c r="AV57" s="4" t="e">
        <f aca="false">'Modelos normativos'!S57+F57</f>
        <v>#REF!</v>
      </c>
      <c r="AW57" s="4" t="e">
        <f aca="false">AV57/'Dataset experimental'!$AF57</f>
        <v>#REF!</v>
      </c>
      <c r="BH57" s="4" t="e">
        <f aca="false">'Modelos Propostos'!B57+R57</f>
        <v>#REF!</v>
      </c>
      <c r="BI57" s="4" t="e">
        <f aca="false">BH57/'Dataset experimental'!$AF57</f>
        <v>#REF!</v>
      </c>
      <c r="BT57" s="4" t="n">
        <f aca="false">'Modelos Propostos'!B57+L57</f>
        <v>0.313082790113363</v>
      </c>
      <c r="BU57" s="4" t="n">
        <f aca="false">BT57/'Dataset experimental'!$AF57</f>
        <v>1.25233116045345</v>
      </c>
    </row>
    <row r="58" customFormat="false" ht="14.25" hidden="false" customHeight="false" outlineLevel="0" collapsed="false">
      <c r="A58" s="4" t="e">
        <f aca="false">0.0894*ABS(D58)-0.01603*E58</f>
        <v>#REF!</v>
      </c>
      <c r="B58" s="12" t="e">
        <f aca="false">'Dataset experimental'!K58*COS('Dataset experimental'!AC58)-'Dataset experimental'!M58-'Dataset experimental'!C58</f>
        <v>#REF!</v>
      </c>
      <c r="C58" s="12" t="e">
        <f aca="false">('Dataset experimental'!AE58+SIN('Avaliação do resultado ML'!B58))*0.70674187</f>
        <v>#REF!</v>
      </c>
      <c r="D58" s="12" t="e">
        <f aca="false">'Modelos Propostos'!E58+'Avaliação do resultado ML'!C58-'Modelos normativos'!AQ58</f>
        <v>#REF!</v>
      </c>
      <c r="E58" s="12" t="n">
        <f aca="false">'Modelos empíricos'!I58+1.1854</f>
        <v>0.306527512357511</v>
      </c>
      <c r="F58" s="4" t="e">
        <f aca="false">-0.01753*('Modelos normativos'!AN58-'Dataset experimental'!C58-ABS(G58)-('Modelos Propostos'!E58-'Modelos normativos'!AP58)/0.25291)</f>
        <v>#REF!</v>
      </c>
      <c r="G58" s="4" t="e">
        <f aca="false">'Dataset experimental'!K58+'Modelos empíricos'!K58^2+('Modelos Propostos'!E58-'Modelos normativos'!AQ58)*4.10553</f>
        <v>#REF!</v>
      </c>
      <c r="H58" s="4" t="e">
        <f aca="false">0.03283*(J58+K58)</f>
        <v>#REF!</v>
      </c>
      <c r="I58" s="4" t="e">
        <f aca="false">(1.61428/'Dataset experimental'!Q58)^3</f>
        <v>#REF!</v>
      </c>
      <c r="J58" s="4" t="e">
        <f aca="false">SIN('Dataset experimental'!E58)+1.450178*(SIN('Avaliação do resultado ML'!I58)+'Dataset experimental'!C58)</f>
        <v>#REF!</v>
      </c>
      <c r="K58" s="4" t="e">
        <f aca="false">('Modelos empíricos'!C58-'Dataset experimental'!G58)*'Dataset experimental'!AE58-'Modelos normativos'!AP58</f>
        <v>#REF!</v>
      </c>
      <c r="L58" s="4" t="n">
        <f aca="false">0.0076*'Dataset experimental'!B58+'Avaliação do resultado ML'!M58+'Avaliação do resultado ML'!N58+(-0.0328)*(0.0171*'Dataset experimental'!AD58-0.9442)*'Avaliação do resultado ML'!O58-'Avaliação do resultado ML'!P58-0.0364</f>
        <v>0.0465358800586412</v>
      </c>
      <c r="M58" s="12" t="n">
        <f aca="false">0.03283*SIN(0.7328*'Dataset experimental'!D58-1.8266)</f>
        <v>0.0293265290156355</v>
      </c>
      <c r="N58" s="12" t="n">
        <f aca="false">0.0476*SIN(4.2067/(0.0095*'Dataset experimental'!P58-1.9338)^3)</f>
        <v>0.0475982941477051</v>
      </c>
      <c r="O58" s="12" t="n">
        <f aca="false">0.0214*'Dataset experimental'!F58-3.1067*'Dataset experimental'!B58*'Dataset experimental'!P58*('Dataset experimental'!T58-'Dataset experimental'!R58)*(0.39*'Dataset experimental'!P58*'Dataset experimental'!T58/'Dataset experimental'!V58-'Dataset experimental'!Z58+3.12)/(100000*'Dataset experimental'!V58)+0.7995</f>
        <v>-1.33893982012534</v>
      </c>
      <c r="P58" s="12" t="n">
        <f aca="false">0.4461*('Dataset experimental'!Z58-0.6*'Modelos normativos'!AB58)*(3.4*'Dataset experimental'!L58+0.17*'Dataset experimental'!B58/'Modelos normativos'!AC58)/200000</f>
        <v>0.0718842194576707</v>
      </c>
      <c r="Q58" s="4" t="e">
        <f aca="false">L58/H58</f>
        <v>#REF!</v>
      </c>
      <c r="R58" s="4" t="e">
        <f aca="false">(-0.042-0.014*'Com TS variável MC2020'!Q67)*('Modelos normativos'!AP58-ABS('Modelos Propostos'!K58)-'Dataset experimental'!W58+COS(S58))</f>
        <v>#REF!</v>
      </c>
      <c r="S58" s="4" t="e">
        <f aca="false">'Dataset experimental'!O58-('Modelos normativos'!AQ58-SIN(0.083/('Dataset experimental'!M58-'Dataset experimental'!O58))-'Modelos empíricos'!I58)/0.646</f>
        <v>#REF!</v>
      </c>
      <c r="W58" s="4" t="e">
        <f aca="false">'Modelos normativos'!S58+'Avaliação do resultado ML'!A58</f>
        <v>#REF!</v>
      </c>
      <c r="X58" s="4" t="e">
        <f aca="false">W58/'Dataset experimental'!$AF58</f>
        <v>#REF!</v>
      </c>
      <c r="AJ58" s="4" t="e">
        <f aca="false">'Modelos Propostos'!B58+H58</f>
        <v>#REF!</v>
      </c>
      <c r="AK58" s="4" t="e">
        <f aca="false">AJ58/'Dataset experimental'!$AF58</f>
        <v>#REF!</v>
      </c>
      <c r="AV58" s="4" t="e">
        <f aca="false">'Modelos normativos'!S58+F58</f>
        <v>#REF!</v>
      </c>
      <c r="AW58" s="4" t="e">
        <f aca="false">AV58/'Dataset experimental'!$AF58</f>
        <v>#REF!</v>
      </c>
      <c r="BH58" s="4" t="e">
        <f aca="false">'Modelos Propostos'!B58+R58</f>
        <v>#REF!</v>
      </c>
      <c r="BI58" s="4" t="e">
        <f aca="false">BH58/'Dataset experimental'!$AF58</f>
        <v>#REF!</v>
      </c>
      <c r="BT58" s="4" t="n">
        <f aca="false">'Modelos Propostos'!B58+L58</f>
        <v>0.371923840463706</v>
      </c>
      <c r="BU58" s="4" t="n">
        <f aca="false">BT58/'Dataset experimental'!$AF58</f>
        <v>0.845281455599331</v>
      </c>
    </row>
    <row r="59" customFormat="false" ht="14.25" hidden="false" customHeight="false" outlineLevel="0" collapsed="false">
      <c r="A59" s="4" t="e">
        <f aca="false">0.0894*ABS(D59)-0.01603*E59</f>
        <v>#REF!</v>
      </c>
      <c r="B59" s="12" t="e">
        <f aca="false">'Dataset experimental'!K59*COS('Dataset experimental'!AC59)-'Dataset experimental'!M59-'Dataset experimental'!C59</f>
        <v>#REF!</v>
      </c>
      <c r="C59" s="12" t="e">
        <f aca="false">('Dataset experimental'!AE59+SIN('Avaliação do resultado ML'!B59))*0.70674187</f>
        <v>#REF!</v>
      </c>
      <c r="D59" s="12" t="e">
        <f aca="false">'Modelos Propostos'!E59+'Avaliação do resultado ML'!C59-'Modelos normativos'!AQ59</f>
        <v>#REF!</v>
      </c>
      <c r="E59" s="12" t="n">
        <f aca="false">'Modelos empíricos'!I59+1.1854</f>
        <v>0.823634553323654</v>
      </c>
      <c r="F59" s="4" t="e">
        <f aca="false">-0.01753*('Modelos normativos'!AN59-'Dataset experimental'!C59-ABS(G59)-('Modelos Propostos'!E59-'Modelos normativos'!AP59)/0.25291)</f>
        <v>#REF!</v>
      </c>
      <c r="G59" s="4" t="e">
        <f aca="false">'Dataset experimental'!K59+'Modelos empíricos'!K59^2+('Modelos Propostos'!E59-'Modelos normativos'!AQ59)*4.10553</f>
        <v>#REF!</v>
      </c>
      <c r="H59" s="4" t="e">
        <f aca="false">0.03283*(J59+K59)</f>
        <v>#REF!</v>
      </c>
      <c r="I59" s="4" t="e">
        <f aca="false">(1.61428/'Dataset experimental'!Q59)^3</f>
        <v>#REF!</v>
      </c>
      <c r="J59" s="4" t="e">
        <f aca="false">SIN('Dataset experimental'!E59)+1.450178*(SIN('Avaliação do resultado ML'!I59)+'Dataset experimental'!C59)</f>
        <v>#REF!</v>
      </c>
      <c r="K59" s="4" t="e">
        <f aca="false">('Modelos empíricos'!C59-'Dataset experimental'!G59)*'Dataset experimental'!AE59-'Modelos normativos'!AP59</f>
        <v>#REF!</v>
      </c>
      <c r="L59" s="4" t="n">
        <f aca="false">0.0076*'Dataset experimental'!B59+'Avaliação do resultado ML'!M59+'Avaliação do resultado ML'!N59+(-0.0328)*(0.0171*'Dataset experimental'!AD59-0.9442)*'Avaliação do resultado ML'!O59-'Avaliação do resultado ML'!P59-0.0364</f>
        <v>-0.00187103176000007</v>
      </c>
      <c r="M59" s="12" t="n">
        <f aca="false">0.03283*SIN(0.7328*'Dataset experimental'!D59-1.8266)</f>
        <v>0.0293265290156355</v>
      </c>
      <c r="N59" s="12" t="n">
        <f aca="false">0.0476*SIN(4.2067/(0.0095*'Dataset experimental'!P59-1.9338)^3)</f>
        <v>0.0475982941477051</v>
      </c>
      <c r="O59" s="12" t="n">
        <f aca="false">0.0214*'Dataset experimental'!F59-3.1067*'Dataset experimental'!B59*'Dataset experimental'!P59*('Dataset experimental'!T59-'Dataset experimental'!R59)*(0.39*'Dataset experimental'!P59*'Dataset experimental'!T59/'Dataset experimental'!V59-'Dataset experimental'!Z59+3.12)/(100000*'Dataset experimental'!V59)+0.7995</f>
        <v>-2.51467599385695</v>
      </c>
      <c r="P59" s="12" t="n">
        <f aca="false">0.4461*('Dataset experimental'!Z59-0.6*'Modelos normativos'!AB59)*(3.4*'Dataset experimental'!L59+0.17*'Dataset experimental'!B59/'Modelos normativos'!AC59)/200000</f>
        <v>0.119186359130381</v>
      </c>
      <c r="Q59" s="4" t="e">
        <f aca="false">L59/H59</f>
        <v>#REF!</v>
      </c>
      <c r="R59" s="4" t="e">
        <f aca="false">(-0.042-0.014*'Com TS variável MC2020'!Q68)*('Modelos normativos'!AP59-ABS('Modelos Propostos'!K59)-'Dataset experimental'!W59+COS(S59))</f>
        <v>#REF!</v>
      </c>
      <c r="S59" s="4" t="e">
        <f aca="false">'Dataset experimental'!O59-('Modelos normativos'!AQ59-SIN(0.083/('Dataset experimental'!M59-'Dataset experimental'!O59))-'Modelos empíricos'!I59)/0.646</f>
        <v>#REF!</v>
      </c>
      <c r="W59" s="4" t="e">
        <f aca="false">'Modelos normativos'!S59+'Avaliação do resultado ML'!A59</f>
        <v>#REF!</v>
      </c>
      <c r="X59" s="4" t="e">
        <f aca="false">W59/'Dataset experimental'!$AF59</f>
        <v>#REF!</v>
      </c>
      <c r="AJ59" s="4" t="e">
        <f aca="false">'Modelos Propostos'!B59+H59</f>
        <v>#REF!</v>
      </c>
      <c r="AK59" s="4" t="e">
        <f aca="false">AJ59/'Dataset experimental'!$AF59</f>
        <v>#REF!</v>
      </c>
      <c r="AV59" s="4" t="e">
        <f aca="false">'Modelos normativos'!S59+F59</f>
        <v>#REF!</v>
      </c>
      <c r="AW59" s="4" t="e">
        <f aca="false">AV59/'Dataset experimental'!$AF59</f>
        <v>#REF!</v>
      </c>
      <c r="BH59" s="4" t="e">
        <f aca="false">'Modelos Propostos'!B59+R59</f>
        <v>#REF!</v>
      </c>
      <c r="BI59" s="4" t="e">
        <f aca="false">BH59/'Dataset experimental'!$AF59</f>
        <v>#REF!</v>
      </c>
      <c r="BT59" s="4" t="n">
        <f aca="false">'Modelos Propostos'!B59+L59</f>
        <v>0.489766975753166</v>
      </c>
      <c r="BU59" s="4" t="n">
        <f aca="false">BT59/'Dataset experimental'!$AF59</f>
        <v>0.874583885273511</v>
      </c>
    </row>
    <row r="60" customFormat="false" ht="14.25" hidden="false" customHeight="false" outlineLevel="0" collapsed="false">
      <c r="A60" s="4" t="e">
        <f aca="false">0.0894*ABS(D60)-0.01603*E60</f>
        <v>#REF!</v>
      </c>
      <c r="B60" s="12" t="e">
        <f aca="false">'Dataset experimental'!K60*COS('Dataset experimental'!AC60)-'Dataset experimental'!M60-'Dataset experimental'!C60</f>
        <v>#REF!</v>
      </c>
      <c r="C60" s="12" t="e">
        <f aca="false">('Dataset experimental'!AE60+SIN('Avaliação do resultado ML'!B60))*0.70674187</f>
        <v>#REF!</v>
      </c>
      <c r="D60" s="12" t="e">
        <f aca="false">'Modelos Propostos'!E60+'Avaliação do resultado ML'!C60-'Modelos normativos'!AQ60</f>
        <v>#REF!</v>
      </c>
      <c r="E60" s="12" t="n">
        <f aca="false">'Modelos empíricos'!I60+1.1854</f>
        <v>-0.0444371601140323</v>
      </c>
      <c r="F60" s="4" t="e">
        <f aca="false">-0.01753*('Modelos normativos'!AN60-'Dataset experimental'!C60-ABS(G60)-('Modelos Propostos'!E60-'Modelos normativos'!AP60)/0.25291)</f>
        <v>#REF!</v>
      </c>
      <c r="G60" s="4" t="e">
        <f aca="false">'Dataset experimental'!K60+'Modelos empíricos'!K60^2+('Modelos Propostos'!E60-'Modelos normativos'!AQ60)*4.10553</f>
        <v>#REF!</v>
      </c>
      <c r="H60" s="4" t="e">
        <f aca="false">0.03283*(J60+K60)</f>
        <v>#REF!</v>
      </c>
      <c r="I60" s="4" t="e">
        <f aca="false">(1.61428/'Dataset experimental'!Q60)^3</f>
        <v>#REF!</v>
      </c>
      <c r="J60" s="4" t="e">
        <f aca="false">SIN('Dataset experimental'!E60)+1.450178*(SIN('Avaliação do resultado ML'!I60)+'Dataset experimental'!C60)</f>
        <v>#REF!</v>
      </c>
      <c r="K60" s="4" t="e">
        <f aca="false">('Modelos empíricos'!C60-'Dataset experimental'!G60)*'Dataset experimental'!AE60-'Modelos normativos'!AP60</f>
        <v>#REF!</v>
      </c>
      <c r="L60" s="4" t="n">
        <f aca="false">0.0076*'Dataset experimental'!B60+'Avaliação do resultado ML'!M60+'Avaliação do resultado ML'!N60+(-0.0328)*(0.0171*'Dataset experimental'!AD60-0.9442)*'Avaliação do resultado ML'!O60-'Avaliação do resultado ML'!P60-0.0364</f>
        <v>0.115762211118553</v>
      </c>
      <c r="M60" s="12" t="n">
        <f aca="false">0.03283*SIN(0.7328*'Dataset experimental'!D60-1.8266)</f>
        <v>0.0293265290156355</v>
      </c>
      <c r="N60" s="12" t="n">
        <f aca="false">0.0476*SIN(4.2067/(0.0095*'Dataset experimental'!P60-1.9338)^3)</f>
        <v>0.0475982941477051</v>
      </c>
      <c r="O60" s="12" t="n">
        <f aca="false">0.0214*'Dataset experimental'!F60-3.1067*'Dataset experimental'!B60*'Dataset experimental'!P60*('Dataset experimental'!T60-'Dataset experimental'!R60)*(0.39*'Dataset experimental'!P60*'Dataset experimental'!T60/'Dataset experimental'!V60-'Dataset experimental'!Z60+3.12)/(100000*'Dataset experimental'!V60)+0.7995</f>
        <v>1.12146038402881</v>
      </c>
      <c r="P60" s="12" t="n">
        <f aca="false">0.4461*('Dataset experimental'!Z60-0.6*'Modelos normativos'!AB60)*(3.4*'Dataset experimental'!L60+0.17*'Dataset experimental'!B60/'Modelos normativos'!AC60)/200000</f>
        <v>0.055143265958556</v>
      </c>
      <c r="Q60" s="4" t="e">
        <f aca="false">L60/H60</f>
        <v>#REF!</v>
      </c>
      <c r="R60" s="4" t="e">
        <f aca="false">(-0.042-0.014*'Com TS variável MC2020'!Q69)*('Modelos normativos'!AP60-ABS('Modelos Propostos'!K60)-'Dataset experimental'!W60+COS(S60))</f>
        <v>#REF!</v>
      </c>
      <c r="S60" s="4" t="e">
        <f aca="false">'Dataset experimental'!O60-('Modelos normativos'!AQ60-SIN(0.083/('Dataset experimental'!M60-'Dataset experimental'!O60))-'Modelos empíricos'!I60)/0.646</f>
        <v>#REF!</v>
      </c>
      <c r="W60" s="4" t="e">
        <f aca="false">'Modelos normativos'!S60+'Avaliação do resultado ML'!A60</f>
        <v>#REF!</v>
      </c>
      <c r="X60" s="4" t="e">
        <f aca="false">W60/'Dataset experimental'!$AF60</f>
        <v>#REF!</v>
      </c>
      <c r="AJ60" s="4" t="e">
        <f aca="false">'Modelos Propostos'!B60+H60</f>
        <v>#REF!</v>
      </c>
      <c r="AK60" s="4" t="e">
        <f aca="false">AJ60/'Dataset experimental'!$AF60</f>
        <v>#REF!</v>
      </c>
      <c r="AV60" s="4" t="e">
        <f aca="false">'Modelos normativos'!S60+F60</f>
        <v>#REF!</v>
      </c>
      <c r="AW60" s="4" t="e">
        <f aca="false">AV60/'Dataset experimental'!$AF60</f>
        <v>#REF!</v>
      </c>
      <c r="BH60" s="4" t="e">
        <f aca="false">'Modelos Propostos'!B60+R60</f>
        <v>#REF!</v>
      </c>
      <c r="BI60" s="4" t="e">
        <f aca="false">BH60/'Dataset experimental'!$AF60</f>
        <v>#REF!</v>
      </c>
      <c r="BT60" s="4" t="n">
        <f aca="false">'Modelos Propostos'!B60+L60</f>
        <v>0.27555881847199</v>
      </c>
      <c r="BU60" s="4" t="n">
        <f aca="false">BT60/'Dataset experimental'!$AF60</f>
        <v>1.19808181944343</v>
      </c>
    </row>
    <row r="61" customFormat="false" ht="14.25" hidden="false" customHeight="false" outlineLevel="0" collapsed="false">
      <c r="A61" s="4" t="e">
        <f aca="false">0.0894*ABS(D61)-0.01603*E61</f>
        <v>#REF!</v>
      </c>
      <c r="B61" s="12" t="e">
        <f aca="false">'Dataset experimental'!K61*COS('Dataset experimental'!AC61)-'Dataset experimental'!M61-'Dataset experimental'!C61</f>
        <v>#REF!</v>
      </c>
      <c r="C61" s="12" t="e">
        <f aca="false">('Dataset experimental'!AE61+SIN('Avaliação do resultado ML'!B61))*0.70674187</f>
        <v>#REF!</v>
      </c>
      <c r="D61" s="12" t="e">
        <f aca="false">'Modelos Propostos'!E61+'Avaliação do resultado ML'!C61-'Modelos normativos'!AQ61</f>
        <v>#REF!</v>
      </c>
      <c r="E61" s="12" t="n">
        <f aca="false">'Modelos empíricos'!I61+1.1854</f>
        <v>1.0712082283827</v>
      </c>
      <c r="F61" s="4" t="e">
        <f aca="false">-0.01753*('Modelos normativos'!AN61-'Dataset experimental'!C61-ABS(G61)-('Modelos Propostos'!E61-'Modelos normativos'!AP61)/0.25291)</f>
        <v>#REF!</v>
      </c>
      <c r="G61" s="4" t="e">
        <f aca="false">'Dataset experimental'!K61+'Modelos empíricos'!K61^2+('Modelos Propostos'!E61-'Modelos normativos'!AQ61)*4.10553</f>
        <v>#REF!</v>
      </c>
      <c r="H61" s="4" t="e">
        <f aca="false">0.03283*(J61+K61)</f>
        <v>#REF!</v>
      </c>
      <c r="I61" s="4" t="e">
        <f aca="false">(1.61428/'Dataset experimental'!Q61)^3</f>
        <v>#REF!</v>
      </c>
      <c r="J61" s="4" t="e">
        <f aca="false">SIN('Dataset experimental'!E61)+1.450178*(SIN('Avaliação do resultado ML'!I61)+'Dataset experimental'!C61)</f>
        <v>#REF!</v>
      </c>
      <c r="K61" s="4" t="e">
        <f aca="false">('Modelos empíricos'!C61-'Dataset experimental'!G61)*'Dataset experimental'!AE61-'Modelos normativos'!AP61</f>
        <v>#REF!</v>
      </c>
      <c r="L61" s="4" t="n">
        <f aca="false">0.0076*'Dataset experimental'!B61+'Avaliação do resultado ML'!M61+'Avaliação do resultado ML'!N61+(-0.0328)*(0.0171*'Dataset experimental'!AD61-0.9442)*'Avaliação do resultado ML'!O61-'Avaliação do resultado ML'!P61-0.0364</f>
        <v>0.0908397100559511</v>
      </c>
      <c r="M61" s="12" t="n">
        <f aca="false">0.03283*SIN(0.7328*'Dataset experimental'!D61-1.8266)</f>
        <v>0.0293265290156355</v>
      </c>
      <c r="N61" s="12" t="n">
        <f aca="false">0.0476*SIN(4.2067/(0.0095*'Dataset experimental'!P61-1.9338)^3)</f>
        <v>0.0475982941477051</v>
      </c>
      <c r="O61" s="12" t="n">
        <f aca="false">0.0214*'Dataset experimental'!F61-3.1067*'Dataset experimental'!B61*'Dataset experimental'!P61*('Dataset experimental'!T61-'Dataset experimental'!R61)*(0.39*'Dataset experimental'!P61*'Dataset experimental'!T61/'Dataset experimental'!V61-'Dataset experimental'!Z61+3.12)/(100000*'Dataset experimental'!V61)+0.7995</f>
        <v>0.530526525965999</v>
      </c>
      <c r="P61" s="12" t="n">
        <f aca="false">0.4461*('Dataset experimental'!Z61-0.6*'Modelos normativos'!AB61)*(3.4*'Dataset experimental'!L61+0.17*'Dataset experimental'!B61/'Modelos normativos'!AC61)/200000</f>
        <v>0.089164005766333</v>
      </c>
      <c r="Q61" s="4" t="e">
        <f aca="false">L61/H61</f>
        <v>#REF!</v>
      </c>
      <c r="R61" s="4" t="e">
        <f aca="false">(-0.042-0.014*'Com TS variável MC2020'!Q70)*('Modelos normativos'!AP61-ABS('Modelos Propostos'!K61)-'Dataset experimental'!W61+COS(S61))</f>
        <v>#REF!</v>
      </c>
      <c r="S61" s="4" t="e">
        <f aca="false">'Dataset experimental'!O61-('Modelos normativos'!AQ61-SIN(0.083/('Dataset experimental'!M61-'Dataset experimental'!O61))-'Modelos empíricos'!I61)/0.646</f>
        <v>#REF!</v>
      </c>
      <c r="W61" s="4" t="e">
        <f aca="false">'Modelos normativos'!S61+'Avaliação do resultado ML'!A61</f>
        <v>#REF!</v>
      </c>
      <c r="X61" s="4" t="e">
        <f aca="false">W61/'Dataset experimental'!$AF61</f>
        <v>#REF!</v>
      </c>
      <c r="AJ61" s="4" t="e">
        <f aca="false">'Modelos Propostos'!B61+H61</f>
        <v>#REF!</v>
      </c>
      <c r="AK61" s="4" t="e">
        <f aca="false">AJ61/'Dataset experimental'!$AF61</f>
        <v>#REF!</v>
      </c>
      <c r="AV61" s="4" t="e">
        <f aca="false">'Modelos normativos'!S61+F61</f>
        <v>#REF!</v>
      </c>
      <c r="AW61" s="4" t="e">
        <f aca="false">AV61/'Dataset experimental'!$AF61</f>
        <v>#REF!</v>
      </c>
      <c r="BH61" s="4" t="e">
        <f aca="false">'Modelos Propostos'!B61+R61</f>
        <v>#REF!</v>
      </c>
      <c r="BI61" s="4" t="e">
        <f aca="false">BH61/'Dataset experimental'!$AF61</f>
        <v>#REF!</v>
      </c>
      <c r="BT61" s="4" t="n">
        <f aca="false">'Modelos Propostos'!B61+L61</f>
        <v>0.372720401546965</v>
      </c>
      <c r="BU61" s="4" t="n">
        <f aca="false">BT61/'Dataset experimental'!$AF61</f>
        <v>1.06491543299133</v>
      </c>
    </row>
    <row r="62" customFormat="false" ht="14.25" hidden="false" customHeight="false" outlineLevel="0" collapsed="false">
      <c r="A62" s="4" t="e">
        <f aca="false">0.0894*ABS(D62)-0.01603*E62</f>
        <v>#REF!</v>
      </c>
      <c r="B62" s="12" t="e">
        <f aca="false">'Dataset experimental'!K62*COS('Dataset experimental'!AC62)-'Dataset experimental'!M62-'Dataset experimental'!C62</f>
        <v>#REF!</v>
      </c>
      <c r="C62" s="12" t="e">
        <f aca="false">('Dataset experimental'!AE62+SIN('Avaliação do resultado ML'!B62))*0.70674187</f>
        <v>#REF!</v>
      </c>
      <c r="D62" s="12" t="e">
        <f aca="false">'Modelos Propostos'!E62+'Avaliação do resultado ML'!C62-'Modelos normativos'!AQ62</f>
        <v>#REF!</v>
      </c>
      <c r="E62" s="12" t="n">
        <f aca="false">'Modelos empíricos'!I62+1.1854</f>
        <v>2.18685361687944</v>
      </c>
      <c r="F62" s="4" t="e">
        <f aca="false">-0.01753*('Modelos normativos'!AN62-'Dataset experimental'!C62-ABS(G62)-('Modelos Propostos'!E62-'Modelos normativos'!AP62)/0.25291)</f>
        <v>#REF!</v>
      </c>
      <c r="G62" s="4" t="e">
        <f aca="false">'Dataset experimental'!K62+'Modelos empíricos'!K62^2+('Modelos Propostos'!E62-'Modelos normativos'!AQ62)*4.10553</f>
        <v>#REF!</v>
      </c>
      <c r="H62" s="4" t="e">
        <f aca="false">0.03283*(J62+K62)</f>
        <v>#REF!</v>
      </c>
      <c r="I62" s="4" t="e">
        <f aca="false">(1.61428/'Dataset experimental'!Q62)^3</f>
        <v>#REF!</v>
      </c>
      <c r="J62" s="4" t="e">
        <f aca="false">SIN('Dataset experimental'!E62)+1.450178*(SIN('Avaliação do resultado ML'!I62)+'Dataset experimental'!C62)</f>
        <v>#REF!</v>
      </c>
      <c r="K62" s="4" t="e">
        <f aca="false">('Modelos empíricos'!C62-'Dataset experimental'!G62)*'Dataset experimental'!AE62-'Modelos normativos'!AP62</f>
        <v>#REF!</v>
      </c>
      <c r="L62" s="4" t="n">
        <f aca="false">0.0076*'Dataset experimental'!B62+'Avaliação do resultado ML'!M62+'Avaliação do resultado ML'!N62+(-0.0328)*(0.0171*'Dataset experimental'!AD62-0.9442)*'Avaliação do resultado ML'!O62-'Avaliação do resultado ML'!P62-0.0364</f>
        <v>0.11563365633989</v>
      </c>
      <c r="M62" s="12" t="n">
        <f aca="false">0.03283*SIN(0.7328*'Dataset experimental'!D62-1.8266)</f>
        <v>0.0293265290156355</v>
      </c>
      <c r="N62" s="12" t="n">
        <f aca="false">0.0476*SIN(4.2067/(0.0095*'Dataset experimental'!P62-1.9338)^3)</f>
        <v>0.0475982941477051</v>
      </c>
      <c r="O62" s="12" t="n">
        <f aca="false">0.0214*'Dataset experimental'!F62-3.1067*'Dataset experimental'!B62*'Dataset experimental'!P62*('Dataset experimental'!T62-'Dataset experimental'!R62)*(0.39*'Dataset experimental'!P62*'Dataset experimental'!T62/'Dataset experimental'!V62-'Dataset experimental'!Z62+3.12)/(100000*'Dataset experimental'!V62)+0.7995</f>
        <v>-0.0604073320968129</v>
      </c>
      <c r="P62" s="12" t="n">
        <f aca="false">0.4461*('Dataset experimental'!Z62-0.6*'Modelos normativos'!AB62)*(3.4*'Dataset experimental'!L62+0.17*'Dataset experimental'!B62/'Modelos normativos'!AC62)/200000</f>
        <v>0.12318474557411</v>
      </c>
      <c r="Q62" s="4" t="e">
        <f aca="false">L62/H62</f>
        <v>#REF!</v>
      </c>
      <c r="R62" s="4" t="e">
        <f aca="false">(-0.042-0.014*'Com TS variável MC2020'!Q71)*('Modelos normativos'!AP62-ABS('Modelos Propostos'!K62)-'Dataset experimental'!W62+COS(S62))</f>
        <v>#REF!</v>
      </c>
      <c r="S62" s="4" t="e">
        <f aca="false">'Dataset experimental'!O62-('Modelos normativos'!AQ62-SIN(0.083/('Dataset experimental'!M62-'Dataset experimental'!O62))-'Modelos empíricos'!I62)/0.646</f>
        <v>#REF!</v>
      </c>
      <c r="W62" s="4" t="e">
        <f aca="false">'Modelos normativos'!S62+'Avaliação do resultado ML'!A62</f>
        <v>#REF!</v>
      </c>
      <c r="X62" s="4" t="e">
        <f aca="false">W62/'Dataset experimental'!$AF62</f>
        <v>#REF!</v>
      </c>
      <c r="AJ62" s="4" t="e">
        <f aca="false">'Modelos Propostos'!B62+H62</f>
        <v>#REF!</v>
      </c>
      <c r="AK62" s="4" t="e">
        <f aca="false">AJ62/'Dataset experimental'!$AF62</f>
        <v>#REF!</v>
      </c>
      <c r="AV62" s="4" t="e">
        <f aca="false">'Modelos normativos'!S62+F62</f>
        <v>#REF!</v>
      </c>
      <c r="AW62" s="4" t="e">
        <f aca="false">AV62/'Dataset experimental'!$AF62</f>
        <v>#REF!</v>
      </c>
      <c r="BH62" s="4" t="e">
        <f aca="false">'Modelos Propostos'!B62+R62</f>
        <v>#REF!</v>
      </c>
      <c r="BI62" s="4" t="e">
        <f aca="false">BH62/'Dataset experimental'!$AF62</f>
        <v>#REF!</v>
      </c>
      <c r="BT62" s="4" t="n">
        <f aca="false">'Modelos Propostos'!B62+L62</f>
        <v>0.519598431968481</v>
      </c>
      <c r="BU62" s="4" t="n">
        <f aca="false">BT62/'Dataset experimental'!$AF62</f>
        <v>1.06040496320098</v>
      </c>
    </row>
    <row r="63" customFormat="false" ht="14.25" hidden="false" customHeight="false" outlineLevel="0" collapsed="false">
      <c r="A63" s="4" t="e">
        <f aca="false">0.0894*ABS(D63)-0.01603*E63</f>
        <v>#REF!</v>
      </c>
      <c r="B63" s="12" t="e">
        <f aca="false">'Dataset experimental'!K63*COS('Dataset experimental'!AC63)-'Dataset experimental'!M63-'Dataset experimental'!C63</f>
        <v>#REF!</v>
      </c>
      <c r="C63" s="12" t="e">
        <f aca="false">('Dataset experimental'!AE63+SIN('Avaliação do resultado ML'!B63))*0.70674187</f>
        <v>#REF!</v>
      </c>
      <c r="D63" s="12" t="e">
        <f aca="false">'Modelos Propostos'!E63+'Avaliação do resultado ML'!C63-'Modelos normativos'!AQ63</f>
        <v>#REF!</v>
      </c>
      <c r="E63" s="12" t="n">
        <f aca="false">'Modelos empíricos'!I63+1.1854</f>
        <v>3.01576493200899</v>
      </c>
      <c r="F63" s="4" t="e">
        <f aca="false">-0.01753*('Modelos normativos'!AN63-'Dataset experimental'!C63-ABS(G63)-('Modelos Propostos'!E63-'Modelos normativos'!AP63)/0.25291)</f>
        <v>#REF!</v>
      </c>
      <c r="G63" s="4" t="e">
        <f aca="false">'Dataset experimental'!K63+'Modelos empíricos'!K63^2+('Modelos Propostos'!E63-'Modelos normativos'!AQ63)*4.10553</f>
        <v>#REF!</v>
      </c>
      <c r="H63" s="4" t="e">
        <f aca="false">0.03283*(J63+K63)</f>
        <v>#REF!</v>
      </c>
      <c r="I63" s="4" t="e">
        <f aca="false">(1.61428/'Dataset experimental'!Q63)^3</f>
        <v>#REF!</v>
      </c>
      <c r="J63" s="4" t="e">
        <f aca="false">SIN('Dataset experimental'!E63)+1.450178*(SIN('Avaliação do resultado ML'!I63)+'Dataset experimental'!C63)</f>
        <v>#REF!</v>
      </c>
      <c r="K63" s="4" t="e">
        <f aca="false">('Modelos empíricos'!C63-'Dataset experimental'!G63)*'Dataset experimental'!AE63-'Modelos normativos'!AP63</f>
        <v>#REF!</v>
      </c>
      <c r="L63" s="4" t="n">
        <f aca="false">0.0076*'Dataset experimental'!B63+'Avaliação do resultado ML'!M63+'Avaliação do resultado ML'!N63+(-0.0328)*(0.0171*'Dataset experimental'!AD63-0.9442)*'Avaliação do resultado ML'!O63-'Avaliação do resultado ML'!P63-0.0364</f>
        <v>0.171647088108967</v>
      </c>
      <c r="M63" s="12" t="n">
        <f aca="false">0.03283*SIN(0.7328*'Dataset experimental'!D63-1.8266)</f>
        <v>0.0293265290156355</v>
      </c>
      <c r="N63" s="12" t="n">
        <f aca="false">0.0476*SIN(4.2067/(0.0095*'Dataset experimental'!P63-1.9338)^3)</f>
        <v>0.0475982941477051</v>
      </c>
      <c r="O63" s="12" t="n">
        <f aca="false">0.0214*'Dataset experimental'!F63-3.1067*'Dataset experimental'!B63*'Dataset experimental'!P63*('Dataset experimental'!T63-'Dataset experimental'!R63)*(0.39*'Dataset experimental'!P63*'Dataset experimental'!T63/'Dataset experimental'!V63-'Dataset experimental'!Z63+3.12)/(100000*'Dataset experimental'!V63)+0.7995</f>
        <v>-0.499464192360842</v>
      </c>
      <c r="P63" s="12" t="n">
        <f aca="false">0.4461*('Dataset experimental'!Z63-0.6*'Modelos normativos'!AB63)*(3.4*'Dataset experimental'!L63+0.17*'Dataset experimental'!B63/'Modelos normativos'!AC63)/200000</f>
        <v>0.14846175246762</v>
      </c>
      <c r="Q63" s="4" t="e">
        <f aca="false">L63/H63</f>
        <v>#REF!</v>
      </c>
      <c r="R63" s="4" t="e">
        <f aca="false">(-0.042-0.014*'Com TS variável MC2020'!Q72)*('Modelos normativos'!AP63-ABS('Modelos Propostos'!K63)-'Dataset experimental'!W63+COS(S63))</f>
        <v>#REF!</v>
      </c>
      <c r="S63" s="4" t="e">
        <f aca="false">'Dataset experimental'!O63-('Modelos normativos'!AQ63-SIN(0.083/('Dataset experimental'!M63-'Dataset experimental'!O63))-'Modelos empíricos'!I63)/0.646</f>
        <v>#REF!</v>
      </c>
      <c r="W63" s="4" t="e">
        <f aca="false">'Modelos normativos'!S63+'Avaliação do resultado ML'!A63</f>
        <v>#REF!</v>
      </c>
      <c r="X63" s="4" t="e">
        <f aca="false">W63/'Dataset experimental'!$AF63</f>
        <v>#REF!</v>
      </c>
      <c r="AJ63" s="4" t="e">
        <f aca="false">'Modelos Propostos'!B63+H63</f>
        <v>#REF!</v>
      </c>
      <c r="AK63" s="4" t="e">
        <f aca="false">AJ63/'Dataset experimental'!$AF63</f>
        <v>#REF!</v>
      </c>
      <c r="AV63" s="4" t="e">
        <f aca="false">'Modelos normativos'!S63+F63</f>
        <v>#REF!</v>
      </c>
      <c r="AW63" s="4" t="e">
        <f aca="false">AV63/'Dataset experimental'!$AF63</f>
        <v>#REF!</v>
      </c>
      <c r="BH63" s="4" t="e">
        <f aca="false">'Modelos Propostos'!B63+R63</f>
        <v>#REF!</v>
      </c>
      <c r="BI63" s="4" t="e">
        <f aca="false">BH63/'Dataset experimental'!$AF63</f>
        <v>#REF!</v>
      </c>
      <c r="BT63" s="4" t="n">
        <f aca="false">'Modelos Propostos'!B63+L63</f>
        <v>0.661889385906388</v>
      </c>
      <c r="BU63" s="4" t="n">
        <f aca="false">BT63/'Dataset experimental'!$AF63</f>
        <v>0.987894605830429</v>
      </c>
    </row>
    <row r="64" customFormat="false" ht="14.25" hidden="false" customHeight="false" outlineLevel="0" collapsed="false">
      <c r="A64" s="4" t="e">
        <f aca="false">0.0894*ABS(D64)-0.01603*E64</f>
        <v>#REF!</v>
      </c>
      <c r="B64" s="12" t="e">
        <f aca="false">'Dataset experimental'!K64*COS('Dataset experimental'!AC64)-'Dataset experimental'!M64-'Dataset experimental'!C64</f>
        <v>#REF!</v>
      </c>
      <c r="C64" s="12" t="e">
        <f aca="false">('Dataset experimental'!AE64+SIN('Avaliação do resultado ML'!B64))*0.70674187</f>
        <v>#REF!</v>
      </c>
      <c r="D64" s="12" t="e">
        <f aca="false">'Modelos Propostos'!E64+'Avaliação do resultado ML'!C64-'Modelos normativos'!AQ64</f>
        <v>#REF!</v>
      </c>
      <c r="E64" s="12" t="n">
        <f aca="false">'Modelos empíricos'!I64+1.1854</f>
        <v>-0.0444371601140323</v>
      </c>
      <c r="F64" s="4" t="e">
        <f aca="false">-0.01753*('Modelos normativos'!AN64-'Dataset experimental'!C64-ABS(G64)-('Modelos Propostos'!E64-'Modelos normativos'!AP64)/0.25291)</f>
        <v>#REF!</v>
      </c>
      <c r="G64" s="4" t="e">
        <f aca="false">'Dataset experimental'!K64+'Modelos empíricos'!K64^2+('Modelos Propostos'!E64-'Modelos normativos'!AQ64)*4.10553</f>
        <v>#REF!</v>
      </c>
      <c r="H64" s="4" t="e">
        <f aca="false">0.03283*(J64+K64)</f>
        <v>#REF!</v>
      </c>
      <c r="I64" s="4" t="e">
        <f aca="false">(1.61428/'Dataset experimental'!Q64)^3</f>
        <v>#REF!</v>
      </c>
      <c r="J64" s="4" t="e">
        <f aca="false">SIN('Dataset experimental'!E64)+1.450178*(SIN('Avaliação do resultado ML'!I64)+'Dataset experimental'!C64)</f>
        <v>#REF!</v>
      </c>
      <c r="K64" s="4" t="e">
        <f aca="false">('Modelos empíricos'!C64-'Dataset experimental'!G64)*'Dataset experimental'!AE64-'Modelos normativos'!AP64</f>
        <v>#REF!</v>
      </c>
      <c r="L64" s="4" t="n">
        <f aca="false">0.0076*'Dataset experimental'!B64+'Avaliação do resultado ML'!M64+'Avaliação do resultado ML'!N64+(-0.0328)*(0.0171*'Dataset experimental'!AD64-0.9442)*'Avaliação do resultado ML'!O64-'Avaliação do resultado ML'!P64-0.0364</f>
        <v>0.115762211118553</v>
      </c>
      <c r="M64" s="12" t="n">
        <f aca="false">0.03283*SIN(0.7328*'Dataset experimental'!D64-1.8266)</f>
        <v>0.0293265290156355</v>
      </c>
      <c r="N64" s="12" t="n">
        <f aca="false">0.0476*SIN(4.2067/(0.0095*'Dataset experimental'!P64-1.9338)^3)</f>
        <v>0.0475982941477051</v>
      </c>
      <c r="O64" s="12" t="n">
        <f aca="false">0.0214*'Dataset experimental'!F64-3.1067*'Dataset experimental'!B64*'Dataset experimental'!P64*('Dataset experimental'!T64-'Dataset experimental'!R64)*(0.39*'Dataset experimental'!P64*'Dataset experimental'!T64/'Dataset experimental'!V64-'Dataset experimental'!Z64+3.12)/(100000*'Dataset experimental'!V64)+0.7995</f>
        <v>1.12146038402881</v>
      </c>
      <c r="P64" s="12" t="n">
        <f aca="false">0.4461*('Dataset experimental'!Z64-0.6*'Modelos normativos'!AB64)*(3.4*'Dataset experimental'!L64+0.17*'Dataset experimental'!B64/'Modelos normativos'!AC64)/200000</f>
        <v>0.055143265958556</v>
      </c>
      <c r="Q64" s="4" t="e">
        <f aca="false">L64/H64</f>
        <v>#REF!</v>
      </c>
      <c r="R64" s="4" t="e">
        <f aca="false">(-0.042-0.014*'Com TS variável MC2020'!Q73)*('Modelos normativos'!AP64-ABS('Modelos Propostos'!K64)-'Dataset experimental'!W64+COS(S64))</f>
        <v>#REF!</v>
      </c>
      <c r="S64" s="4" t="e">
        <f aca="false">'Dataset experimental'!O64-('Modelos normativos'!AQ64-SIN(0.083/('Dataset experimental'!M64-'Dataset experimental'!O64))-'Modelos empíricos'!I64)/0.646</f>
        <v>#REF!</v>
      </c>
      <c r="W64" s="4" t="e">
        <f aca="false">'Modelos normativos'!S64+'Avaliação do resultado ML'!A64</f>
        <v>#REF!</v>
      </c>
      <c r="X64" s="4" t="e">
        <f aca="false">W64/'Dataset experimental'!$AF64</f>
        <v>#REF!</v>
      </c>
      <c r="AJ64" s="4" t="e">
        <f aca="false">'Modelos Propostos'!B64+H64</f>
        <v>#REF!</v>
      </c>
      <c r="AK64" s="4" t="e">
        <f aca="false">AJ64/'Dataset experimental'!$AF64</f>
        <v>#REF!</v>
      </c>
      <c r="AV64" s="4" t="e">
        <f aca="false">'Modelos normativos'!S64+F64</f>
        <v>#REF!</v>
      </c>
      <c r="AW64" s="4" t="e">
        <f aca="false">AV64/'Dataset experimental'!$AF64</f>
        <v>#REF!</v>
      </c>
      <c r="BH64" s="4" t="e">
        <f aca="false">'Modelos Propostos'!B64+R64</f>
        <v>#REF!</v>
      </c>
      <c r="BI64" s="4" t="e">
        <f aca="false">BH64/'Dataset experimental'!$AF64</f>
        <v>#REF!</v>
      </c>
      <c r="BT64" s="4" t="n">
        <f aca="false">'Modelos Propostos'!B64+L64</f>
        <v>0.27555881847199</v>
      </c>
      <c r="BU64" s="4" t="n">
        <f aca="false">BT64/'Dataset experimental'!$AF64</f>
        <v>1.02058821656292</v>
      </c>
    </row>
    <row r="65" customFormat="false" ht="14.25" hidden="false" customHeight="false" outlineLevel="0" collapsed="false">
      <c r="A65" s="4" t="e">
        <f aca="false">0.0894*ABS(D65)-0.01603*E65</f>
        <v>#REF!</v>
      </c>
      <c r="B65" s="12" t="e">
        <f aca="false">'Dataset experimental'!K65*COS('Dataset experimental'!AC65)-'Dataset experimental'!M65-'Dataset experimental'!C65</f>
        <v>#REF!</v>
      </c>
      <c r="C65" s="12" t="e">
        <f aca="false">('Dataset experimental'!AE65+SIN('Avaliação do resultado ML'!B65))*0.70674187</f>
        <v>#REF!</v>
      </c>
      <c r="D65" s="12" t="e">
        <f aca="false">'Modelos Propostos'!E65+'Avaliação do resultado ML'!C65-'Modelos normativos'!AQ65</f>
        <v>#REF!</v>
      </c>
      <c r="E65" s="12" t="n">
        <f aca="false">'Modelos empíricos'!I65+1.1854</f>
        <v>1.0712082283827</v>
      </c>
      <c r="F65" s="4" t="e">
        <f aca="false">-0.01753*('Modelos normativos'!AN65-'Dataset experimental'!C65-ABS(G65)-('Modelos Propostos'!E65-'Modelos normativos'!AP65)/0.25291)</f>
        <v>#REF!</v>
      </c>
      <c r="G65" s="4" t="e">
        <f aca="false">'Dataset experimental'!K65+'Modelos empíricos'!K65^2+('Modelos Propostos'!E65-'Modelos normativos'!AQ65)*4.10553</f>
        <v>#REF!</v>
      </c>
      <c r="H65" s="4" t="e">
        <f aca="false">0.03283*(J65+K65)</f>
        <v>#REF!</v>
      </c>
      <c r="I65" s="4" t="e">
        <f aca="false">(1.61428/'Dataset experimental'!Q65)^3</f>
        <v>#REF!</v>
      </c>
      <c r="J65" s="4" t="e">
        <f aca="false">SIN('Dataset experimental'!E65)+1.450178*(SIN('Avaliação do resultado ML'!I65)+'Dataset experimental'!C65)</f>
        <v>#REF!</v>
      </c>
      <c r="K65" s="4" t="e">
        <f aca="false">('Modelos empíricos'!C65-'Dataset experimental'!G65)*'Dataset experimental'!AE65-'Modelos normativos'!AP65</f>
        <v>#REF!</v>
      </c>
      <c r="L65" s="4" t="n">
        <f aca="false">0.0076*'Dataset experimental'!B65+'Avaliação do resultado ML'!M65+'Avaliação do resultado ML'!N65+(-0.0328)*(0.0171*'Dataset experimental'!AD65-0.9442)*'Avaliação do resultado ML'!O65-'Avaliação do resultado ML'!P65-0.0364</f>
        <v>0.0908397100559511</v>
      </c>
      <c r="M65" s="12" t="n">
        <f aca="false">0.03283*SIN(0.7328*'Dataset experimental'!D65-1.8266)</f>
        <v>0.0293265290156355</v>
      </c>
      <c r="N65" s="12" t="n">
        <f aca="false">0.0476*SIN(4.2067/(0.0095*'Dataset experimental'!P65-1.9338)^3)</f>
        <v>0.0475982941477051</v>
      </c>
      <c r="O65" s="12" t="n">
        <f aca="false">0.0214*'Dataset experimental'!F65-3.1067*'Dataset experimental'!B65*'Dataset experimental'!P65*('Dataset experimental'!T65-'Dataset experimental'!R65)*(0.39*'Dataset experimental'!P65*'Dataset experimental'!T65/'Dataset experimental'!V65-'Dataset experimental'!Z65+3.12)/(100000*'Dataset experimental'!V65)+0.7995</f>
        <v>0.530526525965999</v>
      </c>
      <c r="P65" s="12" t="n">
        <f aca="false">0.4461*('Dataset experimental'!Z65-0.6*'Modelos normativos'!AB65)*(3.4*'Dataset experimental'!L65+0.17*'Dataset experimental'!B65/'Modelos normativos'!AC65)/200000</f>
        <v>0.089164005766333</v>
      </c>
      <c r="Q65" s="4" t="e">
        <f aca="false">L65/H65</f>
        <v>#REF!</v>
      </c>
      <c r="R65" s="4" t="e">
        <f aca="false">(-0.042-0.014*'Com TS variável MC2020'!Q74)*('Modelos normativos'!AP65-ABS('Modelos Propostos'!K65)-'Dataset experimental'!W65+COS(S65))</f>
        <v>#REF!</v>
      </c>
      <c r="S65" s="4" t="e">
        <f aca="false">'Dataset experimental'!O65-('Modelos normativos'!AQ65-SIN(0.083/('Dataset experimental'!M65-'Dataset experimental'!O65))-'Modelos empíricos'!I65)/0.646</f>
        <v>#REF!</v>
      </c>
      <c r="W65" s="4" t="e">
        <f aca="false">'Modelos normativos'!S65+'Avaliação do resultado ML'!A65</f>
        <v>#REF!</v>
      </c>
      <c r="X65" s="4" t="e">
        <f aca="false">W65/'Dataset experimental'!$AF65</f>
        <v>#REF!</v>
      </c>
      <c r="AJ65" s="4" t="e">
        <f aca="false">'Modelos Propostos'!B65+H65</f>
        <v>#REF!</v>
      </c>
      <c r="AK65" s="4" t="e">
        <f aca="false">AJ65/'Dataset experimental'!$AF65</f>
        <v>#REF!</v>
      </c>
      <c r="AV65" s="4" t="e">
        <f aca="false">'Modelos normativos'!S65+F65</f>
        <v>#REF!</v>
      </c>
      <c r="AW65" s="4" t="e">
        <f aca="false">AV65/'Dataset experimental'!$AF65</f>
        <v>#REF!</v>
      </c>
      <c r="BH65" s="4" t="e">
        <f aca="false">'Modelos Propostos'!B65+R65</f>
        <v>#REF!</v>
      </c>
      <c r="BI65" s="4" t="e">
        <f aca="false">BH65/'Dataset experimental'!$AF65</f>
        <v>#REF!</v>
      </c>
      <c r="BT65" s="4" t="n">
        <f aca="false">'Modelos Propostos'!B65+L65</f>
        <v>0.372720401546965</v>
      </c>
      <c r="BU65" s="4" t="n">
        <f aca="false">BT65/'Dataset experimental'!$AF65</f>
        <v>0.931801003867413</v>
      </c>
    </row>
    <row r="66" customFormat="false" ht="14.25" hidden="false" customHeight="false" outlineLevel="0" collapsed="false">
      <c r="A66" s="4" t="e">
        <f aca="false">0.0894*ABS(D66)-0.01603*E66</f>
        <v>#REF!</v>
      </c>
      <c r="B66" s="12" t="e">
        <f aca="false">'Dataset experimental'!K66*COS('Dataset experimental'!AC66)-'Dataset experimental'!M66-'Dataset experimental'!C66</f>
        <v>#REF!</v>
      </c>
      <c r="C66" s="12" t="e">
        <f aca="false">('Dataset experimental'!AE66+SIN('Avaliação do resultado ML'!B66))*0.70674187</f>
        <v>#REF!</v>
      </c>
      <c r="D66" s="12" t="e">
        <f aca="false">'Modelos Propostos'!E66+'Avaliação do resultado ML'!C66-'Modelos normativos'!AQ66</f>
        <v>#REF!</v>
      </c>
      <c r="E66" s="12" t="n">
        <f aca="false">'Modelos empíricos'!I66+1.1854</f>
        <v>2.18685361687944</v>
      </c>
      <c r="F66" s="4" t="e">
        <f aca="false">-0.01753*('Modelos normativos'!AN66-'Dataset experimental'!C66-ABS(G66)-('Modelos Propostos'!E66-'Modelos normativos'!AP66)/0.25291)</f>
        <v>#REF!</v>
      </c>
      <c r="G66" s="4" t="e">
        <f aca="false">'Dataset experimental'!K66+'Modelos empíricos'!K66^2+('Modelos Propostos'!E66-'Modelos normativos'!AQ66)*4.10553</f>
        <v>#REF!</v>
      </c>
      <c r="H66" s="4" t="e">
        <f aca="false">0.03283*(J66+K66)</f>
        <v>#REF!</v>
      </c>
      <c r="I66" s="4" t="e">
        <f aca="false">(1.61428/'Dataset experimental'!Q66)^3</f>
        <v>#REF!</v>
      </c>
      <c r="J66" s="4" t="e">
        <f aca="false">SIN('Dataset experimental'!E66)+1.450178*(SIN('Avaliação do resultado ML'!I66)+'Dataset experimental'!C66)</f>
        <v>#REF!</v>
      </c>
      <c r="K66" s="4" t="e">
        <f aca="false">('Modelos empíricos'!C66-'Dataset experimental'!G66)*'Dataset experimental'!AE66-'Modelos normativos'!AP66</f>
        <v>#REF!</v>
      </c>
      <c r="L66" s="4" t="n">
        <f aca="false">0.0076*'Dataset experimental'!B66+'Avaliação do resultado ML'!M66+'Avaliação do resultado ML'!N66+(-0.0328)*(0.0171*'Dataset experimental'!AD66-0.9442)*'Avaliação do resultado ML'!O66-'Avaliação do resultado ML'!P66-0.0364</f>
        <v>0.11563365633989</v>
      </c>
      <c r="M66" s="12" t="n">
        <f aca="false">0.03283*SIN(0.7328*'Dataset experimental'!D66-1.8266)</f>
        <v>0.0293265290156355</v>
      </c>
      <c r="N66" s="12" t="n">
        <f aca="false">0.0476*SIN(4.2067/(0.0095*'Dataset experimental'!P66-1.9338)^3)</f>
        <v>0.0475982941477051</v>
      </c>
      <c r="O66" s="12" t="n">
        <f aca="false">0.0214*'Dataset experimental'!F66-3.1067*'Dataset experimental'!B66*'Dataset experimental'!P66*('Dataset experimental'!T66-'Dataset experimental'!R66)*(0.39*'Dataset experimental'!P66*'Dataset experimental'!T66/'Dataset experimental'!V66-'Dataset experimental'!Z66+3.12)/(100000*'Dataset experimental'!V66)+0.7995</f>
        <v>-0.0604073320968129</v>
      </c>
      <c r="P66" s="12" t="n">
        <f aca="false">0.4461*('Dataset experimental'!Z66-0.6*'Modelos normativos'!AB66)*(3.4*'Dataset experimental'!L66+0.17*'Dataset experimental'!B66/'Modelos normativos'!AC66)/200000</f>
        <v>0.12318474557411</v>
      </c>
      <c r="Q66" s="4" t="e">
        <f aca="false">L66/H66</f>
        <v>#REF!</v>
      </c>
      <c r="R66" s="4" t="e">
        <f aca="false">(-0.042-0.014*'Com TS variável MC2020'!Q75)*('Modelos normativos'!AP66-ABS('Modelos Propostos'!K66)-'Dataset experimental'!W66+COS(S66))</f>
        <v>#REF!</v>
      </c>
      <c r="S66" s="4" t="e">
        <f aca="false">'Dataset experimental'!O66-('Modelos normativos'!AQ66-SIN(0.083/('Dataset experimental'!M66-'Dataset experimental'!O66))-'Modelos empíricos'!I66)/0.646</f>
        <v>#REF!</v>
      </c>
      <c r="W66" s="4" t="e">
        <f aca="false">'Modelos normativos'!S66+'Avaliação do resultado ML'!A66</f>
        <v>#REF!</v>
      </c>
      <c r="X66" s="4" t="e">
        <f aca="false">W66/'Dataset experimental'!$AF66</f>
        <v>#REF!</v>
      </c>
      <c r="AJ66" s="4" t="e">
        <f aca="false">'Modelos Propostos'!B66+H66</f>
        <v>#REF!</v>
      </c>
      <c r="AK66" s="4" t="e">
        <f aca="false">AJ66/'Dataset experimental'!$AF66</f>
        <v>#REF!</v>
      </c>
      <c r="AV66" s="4" t="e">
        <f aca="false">'Modelos normativos'!S66+F66</f>
        <v>#REF!</v>
      </c>
      <c r="AW66" s="4" t="e">
        <f aca="false">AV66/'Dataset experimental'!$AF66</f>
        <v>#REF!</v>
      </c>
      <c r="BH66" s="4" t="e">
        <f aca="false">'Modelos Propostos'!B66+R66</f>
        <v>#REF!</v>
      </c>
      <c r="BI66" s="4" t="e">
        <f aca="false">BH66/'Dataset experimental'!$AF66</f>
        <v>#REF!</v>
      </c>
      <c r="BT66" s="4" t="n">
        <f aca="false">'Modelos Propostos'!B66+L66</f>
        <v>0.519598431968481</v>
      </c>
      <c r="BU66" s="4" t="n">
        <f aca="false">BT66/'Dataset experimental'!$AF66</f>
        <v>0.98037439994053</v>
      </c>
    </row>
    <row r="67" customFormat="false" ht="14.25" hidden="false" customHeight="false" outlineLevel="0" collapsed="false">
      <c r="A67" s="4" t="e">
        <f aca="false">0.0894*ABS(D67)-0.01603*E67</f>
        <v>#REF!</v>
      </c>
      <c r="B67" s="12" t="e">
        <f aca="false">'Dataset experimental'!K67*COS('Dataset experimental'!AC67)-'Dataset experimental'!M67-'Dataset experimental'!C67</f>
        <v>#REF!</v>
      </c>
      <c r="C67" s="12" t="e">
        <f aca="false">('Dataset experimental'!AE67+SIN('Avaliação do resultado ML'!B67))*0.70674187</f>
        <v>#REF!</v>
      </c>
      <c r="D67" s="12" t="e">
        <f aca="false">'Modelos Propostos'!E67+'Avaliação do resultado ML'!C67-'Modelos normativos'!AQ67</f>
        <v>#REF!</v>
      </c>
      <c r="E67" s="12" t="n">
        <f aca="false">'Modelos empíricos'!I67+1.1854</f>
        <v>3.01576493200899</v>
      </c>
      <c r="F67" s="4" t="e">
        <f aca="false">-0.01753*('Modelos normativos'!AN67-'Dataset experimental'!C67-ABS(G67)-('Modelos Propostos'!E67-'Modelos normativos'!AP67)/0.25291)</f>
        <v>#REF!</v>
      </c>
      <c r="G67" s="4" t="e">
        <f aca="false">'Dataset experimental'!K67+'Modelos empíricos'!K67^2+('Modelos Propostos'!E67-'Modelos normativos'!AQ67)*4.10553</f>
        <v>#REF!</v>
      </c>
      <c r="H67" s="4" t="e">
        <f aca="false">0.03283*(J67+K67)</f>
        <v>#REF!</v>
      </c>
      <c r="I67" s="4" t="e">
        <f aca="false">(1.61428/'Dataset experimental'!Q67)^3</f>
        <v>#REF!</v>
      </c>
      <c r="J67" s="4" t="e">
        <f aca="false">SIN('Dataset experimental'!E67)+1.450178*(SIN('Avaliação do resultado ML'!I67)+'Dataset experimental'!C67)</f>
        <v>#REF!</v>
      </c>
      <c r="K67" s="4" t="e">
        <f aca="false">('Modelos empíricos'!C67-'Dataset experimental'!G67)*'Dataset experimental'!AE67-'Modelos normativos'!AP67</f>
        <v>#REF!</v>
      </c>
      <c r="L67" s="4" t="n">
        <f aca="false">0.0076*'Dataset experimental'!B67+'Avaliação do resultado ML'!M67+'Avaliação do resultado ML'!N67+(-0.0328)*(0.0171*'Dataset experimental'!AD67-0.9442)*'Avaliação do resultado ML'!O67-'Avaliação do resultado ML'!P67-0.0364</f>
        <v>0.171647088108967</v>
      </c>
      <c r="M67" s="12" t="n">
        <f aca="false">0.03283*SIN(0.7328*'Dataset experimental'!D67-1.8266)</f>
        <v>0.0293265290156355</v>
      </c>
      <c r="N67" s="12" t="n">
        <f aca="false">0.0476*SIN(4.2067/(0.0095*'Dataset experimental'!P67-1.9338)^3)</f>
        <v>0.0475982941477051</v>
      </c>
      <c r="O67" s="12" t="n">
        <f aca="false">0.0214*'Dataset experimental'!F67-3.1067*'Dataset experimental'!B67*'Dataset experimental'!P67*('Dataset experimental'!T67-'Dataset experimental'!R67)*(0.39*'Dataset experimental'!P67*'Dataset experimental'!T67/'Dataset experimental'!V67-'Dataset experimental'!Z67+3.12)/(100000*'Dataset experimental'!V67)+0.7995</f>
        <v>-0.499464192360842</v>
      </c>
      <c r="P67" s="12" t="n">
        <f aca="false">0.4461*('Dataset experimental'!Z67-0.6*'Modelos normativos'!AB67)*(3.4*'Dataset experimental'!L67+0.17*'Dataset experimental'!B67/'Modelos normativos'!AC67)/200000</f>
        <v>0.14846175246762</v>
      </c>
      <c r="Q67" s="4" t="e">
        <f aca="false">L67/H67</f>
        <v>#REF!</v>
      </c>
      <c r="R67" s="4" t="e">
        <f aca="false">(-0.042-0.014*'Com TS variável MC2020'!Q76)*('Modelos normativos'!AP67-ABS('Modelos Propostos'!K67)-'Dataset experimental'!W67+COS(S67))</f>
        <v>#REF!</v>
      </c>
      <c r="S67" s="4" t="e">
        <f aca="false">'Dataset experimental'!O67-('Modelos normativos'!AQ67-SIN(0.083/('Dataset experimental'!M67-'Dataset experimental'!O67))-'Modelos empíricos'!I67)/0.646</f>
        <v>#REF!</v>
      </c>
      <c r="W67" s="4" t="e">
        <f aca="false">'Modelos normativos'!S67+'Avaliação do resultado ML'!A67</f>
        <v>#REF!</v>
      </c>
      <c r="X67" s="4" t="e">
        <f aca="false">W67/'Dataset experimental'!$AF67</f>
        <v>#REF!</v>
      </c>
      <c r="AJ67" s="4" t="e">
        <f aca="false">'Modelos Propostos'!B67+H67</f>
        <v>#REF!</v>
      </c>
      <c r="AK67" s="4" t="e">
        <f aca="false">AJ67/'Dataset experimental'!$AF67</f>
        <v>#REF!</v>
      </c>
      <c r="AV67" s="4" t="e">
        <f aca="false">'Modelos normativos'!S67+F67</f>
        <v>#REF!</v>
      </c>
      <c r="AW67" s="4" t="e">
        <f aca="false">AV67/'Dataset experimental'!$AF67</f>
        <v>#REF!</v>
      </c>
      <c r="BH67" s="4" t="e">
        <f aca="false">'Modelos Propostos'!B67+R67</f>
        <v>#REF!</v>
      </c>
      <c r="BI67" s="4" t="e">
        <f aca="false">BH67/'Dataset experimental'!$AF67</f>
        <v>#REF!</v>
      </c>
      <c r="BT67" s="4" t="n">
        <f aca="false">'Modelos Propostos'!B67+L67</f>
        <v>0.661889385906388</v>
      </c>
      <c r="BU67" s="4" t="n">
        <f aca="false">BT67/'Dataset experimental'!$AF67</f>
        <v>0.919290813758872</v>
      </c>
    </row>
    <row r="68" customFormat="false" ht="14.25" hidden="false" customHeight="false" outlineLevel="0" collapsed="false">
      <c r="A68" s="4" t="e">
        <f aca="false">0.0894*ABS(D68)-0.01603*E68</f>
        <v>#REF!</v>
      </c>
      <c r="B68" s="12" t="e">
        <f aca="false">'Dataset experimental'!K68*COS('Dataset experimental'!AC68)-'Dataset experimental'!M68-'Dataset experimental'!C68</f>
        <v>#REF!</v>
      </c>
      <c r="C68" s="12" t="e">
        <f aca="false">('Dataset experimental'!AE68+SIN('Avaliação do resultado ML'!B68))*0.70674187</f>
        <v>#REF!</v>
      </c>
      <c r="D68" s="12" t="e">
        <f aca="false">'Modelos Propostos'!E68+'Avaliação do resultado ML'!C68-'Modelos normativos'!AQ68</f>
        <v>#REF!</v>
      </c>
      <c r="E68" s="12" t="n">
        <f aca="false">'Modelos empíricos'!I68+1.1854</f>
        <v>-0.600636969044874</v>
      </c>
      <c r="F68" s="4" t="e">
        <f aca="false">-0.01753*('Modelos normativos'!AN68-'Dataset experimental'!C68-ABS(G68)-('Modelos Propostos'!E68-'Modelos normativos'!AP68)/0.25291)</f>
        <v>#REF!</v>
      </c>
      <c r="G68" s="4" t="e">
        <f aca="false">'Dataset experimental'!K68+'Modelos empíricos'!K68^2+('Modelos Propostos'!E68-'Modelos normativos'!AQ68)*4.10553</f>
        <v>#REF!</v>
      </c>
      <c r="H68" s="4" t="e">
        <f aca="false">0.03283*(J68+K68)</f>
        <v>#REF!</v>
      </c>
      <c r="I68" s="4" t="e">
        <f aca="false">(1.61428/'Dataset experimental'!Q68)^3</f>
        <v>#REF!</v>
      </c>
      <c r="J68" s="4" t="e">
        <f aca="false">SIN('Dataset experimental'!E68)+1.450178*(SIN('Avaliação do resultado ML'!I68)+'Dataset experimental'!C68)</f>
        <v>#REF!</v>
      </c>
      <c r="K68" s="4" t="e">
        <f aca="false">('Modelos empíricos'!C68-'Dataset experimental'!G68)*'Dataset experimental'!AE68-'Modelos normativos'!AP68</f>
        <v>#REF!</v>
      </c>
      <c r="L68" s="4" t="n">
        <f aca="false">0.0076*'Dataset experimental'!B68+'Avaliação do resultado ML'!M68+'Avaliação do resultado ML'!N68+(-0.0328)*(0.0171*'Dataset experimental'!AD68-0.9442)*'Avaliação do resultado ML'!O68-'Avaliação do resultado ML'!P68-0.0364</f>
        <v>0.171090645396548</v>
      </c>
      <c r="M68" s="12" t="n">
        <f aca="false">0.03283*SIN(0.7328*'Dataset experimental'!D68-1.8266)</f>
        <v>0.0293265290156355</v>
      </c>
      <c r="N68" s="12" t="n">
        <f aca="false">0.0476*SIN(4.2067/(0.0095*'Dataset experimental'!P68-1.9338)^3)</f>
        <v>0.0475982941477051</v>
      </c>
      <c r="O68" s="12" t="n">
        <f aca="false">0.0214*'Dataset experimental'!F68-3.1067*'Dataset experimental'!B68*'Dataset experimental'!P68*('Dataset experimental'!T68-'Dataset experimental'!R68)*(0.39*'Dataset experimental'!P68*'Dataset experimental'!T68/'Dataset experimental'!V68-'Dataset experimental'!Z68+3.12)/(100000*'Dataset experimental'!V68)+0.7995</f>
        <v>0.177476551101908</v>
      </c>
      <c r="P68" s="12" t="n">
        <f aca="false">0.4461*('Dataset experimental'!Z68-0.6*'Modelos normativos'!AB68)*(3.4*'Dataset experimental'!L68+0.17*'Dataset experimental'!B68/'Modelos normativos'!AC68)/200000</f>
        <v>0.057464855361393</v>
      </c>
      <c r="Q68" s="4" t="e">
        <f aca="false">L68/H68</f>
        <v>#REF!</v>
      </c>
      <c r="R68" s="4" t="e">
        <f aca="false">(-0.042-0.014*'Com TS variável MC2020'!Q77)*('Modelos normativos'!AP68-ABS('Modelos Propostos'!K68)-'Dataset experimental'!W68+COS(S68))</f>
        <v>#REF!</v>
      </c>
      <c r="S68" s="4" t="e">
        <f aca="false">'Dataset experimental'!O68-('Modelos normativos'!AQ68-SIN(0.083/('Dataset experimental'!M68-'Dataset experimental'!O68))-'Modelos empíricos'!I68)/0.646</f>
        <v>#REF!</v>
      </c>
      <c r="W68" s="4" t="e">
        <f aca="false">'Modelos normativos'!S68+'Avaliação do resultado ML'!A68</f>
        <v>#REF!</v>
      </c>
      <c r="X68" s="4" t="e">
        <f aca="false">W68/'Dataset experimental'!$AF68</f>
        <v>#REF!</v>
      </c>
      <c r="AJ68" s="4" t="e">
        <f aca="false">'Modelos Propostos'!B68+H68</f>
        <v>#REF!</v>
      </c>
      <c r="AK68" s="4" t="e">
        <f aca="false">AJ68/'Dataset experimental'!$AF68</f>
        <v>#REF!</v>
      </c>
      <c r="AV68" s="4" t="e">
        <f aca="false">'Modelos normativos'!S68+F68</f>
        <v>#REF!</v>
      </c>
      <c r="AW68" s="4" t="e">
        <f aca="false">AV68/'Dataset experimental'!$AF68</f>
        <v>#REF!</v>
      </c>
      <c r="BH68" s="4" t="e">
        <f aca="false">'Modelos Propostos'!B68+R68</f>
        <v>#REF!</v>
      </c>
      <c r="BI68" s="4" t="e">
        <f aca="false">BH68/'Dataset experimental'!$AF68</f>
        <v>#REF!</v>
      </c>
      <c r="BT68" s="4" t="n">
        <f aca="false">'Modelos Propostos'!B68+L68</f>
        <v>0.39273044355316</v>
      </c>
      <c r="BU68" s="4" t="n">
        <f aca="false">BT68/'Dataset experimental'!$AF68</f>
        <v>1.30910147851053</v>
      </c>
    </row>
    <row r="69" customFormat="false" ht="14.25" hidden="false" customHeight="false" outlineLevel="0" collapsed="false">
      <c r="A69" s="4" t="e">
        <f aca="false">0.0894*ABS(D69)-0.01603*E69</f>
        <v>#REF!</v>
      </c>
      <c r="B69" s="12" t="e">
        <f aca="false">'Dataset experimental'!K69*COS('Dataset experimental'!AC69)-'Dataset experimental'!M69-'Dataset experimental'!C69</f>
        <v>#REF!</v>
      </c>
      <c r="C69" s="12" t="e">
        <f aca="false">('Dataset experimental'!AE69+SIN('Avaliação do resultado ML'!B69))*0.70674187</f>
        <v>#REF!</v>
      </c>
      <c r="D69" s="12" t="e">
        <f aca="false">'Modelos Propostos'!E69+'Avaliação do resultado ML'!C69-'Modelos normativos'!AQ69</f>
        <v>#REF!</v>
      </c>
      <c r="E69" s="12" t="n">
        <f aca="false">'Modelos empíricos'!I69+1.1854</f>
        <v>1.25922779083249</v>
      </c>
      <c r="F69" s="4" t="e">
        <f aca="false">-0.01753*('Modelos normativos'!AN69-'Dataset experimental'!C69-ABS(G69)-('Modelos Propostos'!E69-'Modelos normativos'!AP69)/0.25291)</f>
        <v>#REF!</v>
      </c>
      <c r="G69" s="4" t="e">
        <f aca="false">'Dataset experimental'!K69+'Modelos empíricos'!K69^2+('Modelos Propostos'!E69-'Modelos normativos'!AQ69)*4.10553</f>
        <v>#REF!</v>
      </c>
      <c r="H69" s="4" t="e">
        <f aca="false">0.03283*(J69+K69)</f>
        <v>#REF!</v>
      </c>
      <c r="I69" s="4" t="e">
        <f aca="false">(1.61428/'Dataset experimental'!Q69)^3</f>
        <v>#REF!</v>
      </c>
      <c r="J69" s="4" t="e">
        <f aca="false">SIN('Dataset experimental'!E69)+1.450178*(SIN('Avaliação do resultado ML'!I69)+'Dataset experimental'!C69)</f>
        <v>#REF!</v>
      </c>
      <c r="K69" s="4" t="e">
        <f aca="false">('Modelos empíricos'!C69-'Dataset experimental'!G69)*'Dataset experimental'!AE69-'Modelos normativos'!AP69</f>
        <v>#REF!</v>
      </c>
      <c r="L69" s="4" t="n">
        <f aca="false">0.0076*'Dataset experimental'!B69+'Avaliação do resultado ML'!M69+'Avaliação do resultado ML'!N69+(-0.0328)*(0.0171*'Dataset experimental'!AD69-0.9442)*'Avaliação do resultado ML'!O69-'Avaliação do resultado ML'!P69-0.0364</f>
        <v>0.161708637456972</v>
      </c>
      <c r="M69" s="12" t="n">
        <f aca="false">0.03283*SIN(0.7328*'Dataset experimental'!D69-1.8266)</f>
        <v>0.0293265290156355</v>
      </c>
      <c r="N69" s="12" t="n">
        <f aca="false">0.0476*SIN(4.2067/(0.0095*'Dataset experimental'!P69-1.9338)^3)</f>
        <v>0.0475982941477051</v>
      </c>
      <c r="O69" s="12" t="n">
        <f aca="false">0.0214*'Dataset experimental'!F69-3.1067*'Dataset experimental'!B69*'Dataset experimental'!P69*('Dataset experimental'!T69-'Dataset experimental'!R69)*(0.39*'Dataset experimental'!P69*'Dataset experimental'!T69/'Dataset experimental'!V69-'Dataset experimental'!Z69+3.12)/(100000*'Dataset experimental'!V69)+0.7995</f>
        <v>-1.42270364136192</v>
      </c>
      <c r="P69" s="12" t="n">
        <f aca="false">0.4461*('Dataset experimental'!Z69-0.6*'Modelos normativos'!AB69)*(3.4*'Dataset experimental'!L69+0.17*'Dataset experimental'!B69/'Modelos normativos'!AC69)/200000</f>
        <v>0.144450298137325</v>
      </c>
      <c r="Q69" s="4" t="e">
        <f aca="false">L69/H69</f>
        <v>#REF!</v>
      </c>
      <c r="R69" s="4" t="e">
        <f aca="false">(-0.042-0.014*'Com TS variável MC2020'!Q78)*('Modelos normativos'!AP69-ABS('Modelos Propostos'!K69)-'Dataset experimental'!W69+COS(S69))</f>
        <v>#REF!</v>
      </c>
      <c r="S69" s="4" t="e">
        <f aca="false">'Dataset experimental'!O69-('Modelos normativos'!AQ69-SIN(0.083/('Dataset experimental'!M69-'Dataset experimental'!O69))-'Modelos empíricos'!I69)/0.646</f>
        <v>#REF!</v>
      </c>
      <c r="W69" s="4" t="e">
        <f aca="false">'Modelos normativos'!S69+'Avaliação do resultado ML'!A69</f>
        <v>#REF!</v>
      </c>
      <c r="X69" s="4" t="e">
        <f aca="false">W69/'Dataset experimental'!$AF69</f>
        <v>#REF!</v>
      </c>
      <c r="AJ69" s="4" t="e">
        <f aca="false">'Modelos Propostos'!B69+H69</f>
        <v>#REF!</v>
      </c>
      <c r="AK69" s="4" t="e">
        <f aca="false">AJ69/'Dataset experimental'!$AF69</f>
        <v>#REF!</v>
      </c>
      <c r="AV69" s="4" t="e">
        <f aca="false">'Modelos normativos'!S69+F69</f>
        <v>#REF!</v>
      </c>
      <c r="AW69" s="4" t="e">
        <f aca="false">AV69/'Dataset experimental'!$AF69</f>
        <v>#REF!</v>
      </c>
      <c r="BH69" s="4" t="e">
        <f aca="false">'Modelos Propostos'!B69+R69</f>
        <v>#REF!</v>
      </c>
      <c r="BI69" s="4" t="e">
        <f aca="false">BH69/'Dataset experimental'!$AF69</f>
        <v>#REF!</v>
      </c>
      <c r="BT69" s="4" t="n">
        <f aca="false">'Modelos Propostos'!B69+L69</f>
        <v>0.604988233770195</v>
      </c>
      <c r="BU69" s="4" t="n">
        <f aca="false">BT69/'Dataset experimental'!$AF69</f>
        <v>1.0613828662635</v>
      </c>
    </row>
    <row r="70" customFormat="false" ht="14.25" hidden="false" customHeight="false" outlineLevel="0" collapsed="false">
      <c r="A70" s="4" t="e">
        <f aca="false">0.0894*ABS(D70)-0.01603*E70</f>
        <v>#REF!</v>
      </c>
      <c r="B70" s="12" t="e">
        <f aca="false">'Dataset experimental'!K70*COS('Dataset experimental'!AC70)-'Dataset experimental'!M70-'Dataset experimental'!C70</f>
        <v>#REF!</v>
      </c>
      <c r="C70" s="12" t="e">
        <f aca="false">('Dataset experimental'!AE70+SIN('Avaliação do resultado ML'!B70))*0.70674187</f>
        <v>#REF!</v>
      </c>
      <c r="D70" s="12" t="e">
        <f aca="false">'Modelos Propostos'!E70+'Avaliação do resultado ML'!C70-'Modelos normativos'!AQ70</f>
        <v>#REF!</v>
      </c>
      <c r="E70" s="12" t="n">
        <f aca="false">'Modelos empíricos'!I70+1.1854</f>
        <v>-0.657088734638037</v>
      </c>
      <c r="F70" s="4" t="e">
        <f aca="false">-0.01753*('Modelos normativos'!AN70-'Dataset experimental'!C70-ABS(G70)-('Modelos Propostos'!E70-'Modelos normativos'!AP70)/0.25291)</f>
        <v>#REF!</v>
      </c>
      <c r="G70" s="4" t="e">
        <f aca="false">'Dataset experimental'!K70+'Modelos empíricos'!K70^2+('Modelos Propostos'!E70-'Modelos normativos'!AQ70)*4.10553</f>
        <v>#REF!</v>
      </c>
      <c r="H70" s="4" t="e">
        <f aca="false">0.03283*(J70+K70)</f>
        <v>#REF!</v>
      </c>
      <c r="I70" s="4" t="e">
        <f aca="false">(1.61428/'Dataset experimental'!Q70)^3</f>
        <v>#REF!</v>
      </c>
      <c r="J70" s="4" t="e">
        <f aca="false">SIN('Dataset experimental'!E70)+1.450178*(SIN('Avaliação do resultado ML'!I70)+'Dataset experimental'!C70)</f>
        <v>#REF!</v>
      </c>
      <c r="K70" s="4" t="e">
        <f aca="false">('Modelos empíricos'!C70-'Dataset experimental'!G70)*'Dataset experimental'!AE70-'Modelos normativos'!AP70</f>
        <v>#REF!</v>
      </c>
      <c r="L70" s="4" t="n">
        <f aca="false">0.0076*'Dataset experimental'!B70+'Avaliação do resultado ML'!M70+'Avaliação do resultado ML'!N70+(-0.0328)*(0.0171*'Dataset experimental'!AD70-0.9442)*'Avaliação do resultado ML'!O70-'Avaliação do resultado ML'!P70-0.0364</f>
        <v>0.17127069162067</v>
      </c>
      <c r="M70" s="12" t="n">
        <f aca="false">0.03283*SIN(0.7328*'Dataset experimental'!D70-1.8266)</f>
        <v>0.0293265290156355</v>
      </c>
      <c r="N70" s="12" t="n">
        <f aca="false">0.0476*SIN(4.2067/(0.0095*'Dataset experimental'!P70-1.9338)^3)</f>
        <v>0.0475982941477051</v>
      </c>
      <c r="O70" s="12" t="n">
        <f aca="false">0.0214*'Dataset experimental'!F70-3.1067*'Dataset experimental'!B70*'Dataset experimental'!P70*('Dataset experimental'!T70-'Dataset experimental'!R70)*(0.39*'Dataset experimental'!P70*'Dataset experimental'!T70/'Dataset experimental'!V70-'Dataset experimental'!Z70+3.12)/(100000*'Dataset experimental'!V70)+0.7995</f>
        <v>0.251247940514147</v>
      </c>
      <c r="P70" s="12" t="n">
        <f aca="false">0.4461*('Dataset experimental'!Z70-0.6*'Modelos normativos'!AB70)*(3.4*'Dataset experimental'!L70+0.17*'Dataset experimental'!B70/'Modelos normativos'!AC70)/200000</f>
        <v>0.0564662240952202</v>
      </c>
      <c r="Q70" s="4" t="e">
        <f aca="false">L70/H70</f>
        <v>#REF!</v>
      </c>
      <c r="R70" s="4" t="e">
        <f aca="false">(-0.042-0.014*'Com TS variável MC2020'!Q79)*('Modelos normativos'!AP70-ABS('Modelos Propostos'!K70)-'Dataset experimental'!W70+COS(S70))</f>
        <v>#REF!</v>
      </c>
      <c r="S70" s="4" t="e">
        <f aca="false">'Dataset experimental'!O70-('Modelos normativos'!AQ70-SIN(0.083/('Dataset experimental'!M70-'Dataset experimental'!O70))-'Modelos empíricos'!I70)/0.646</f>
        <v>#REF!</v>
      </c>
      <c r="W70" s="4" t="e">
        <f aca="false">'Modelos normativos'!S70+'Avaliação do resultado ML'!A70</f>
        <v>#REF!</v>
      </c>
      <c r="X70" s="4" t="e">
        <f aca="false">W70/'Dataset experimental'!$AF70</f>
        <v>#REF!</v>
      </c>
      <c r="AJ70" s="4" t="e">
        <f aca="false">'Modelos Propostos'!B70+H70</f>
        <v>#REF!</v>
      </c>
      <c r="AK70" s="4" t="e">
        <f aca="false">AJ70/'Dataset experimental'!$AF70</f>
        <v>#REF!</v>
      </c>
      <c r="AV70" s="4" t="e">
        <f aca="false">'Modelos normativos'!S70+F70</f>
        <v>#REF!</v>
      </c>
      <c r="AW70" s="4" t="e">
        <f aca="false">AV70/'Dataset experimental'!$AF70</f>
        <v>#REF!</v>
      </c>
      <c r="BH70" s="4" t="e">
        <f aca="false">'Modelos Propostos'!B70+R70</f>
        <v>#REF!</v>
      </c>
      <c r="BI70" s="4" t="e">
        <f aca="false">BH70/'Dataset experimental'!$AF70</f>
        <v>#REF!</v>
      </c>
      <c r="BT70" s="4" t="n">
        <f aca="false">'Modelos Propostos'!B70+L70</f>
        <v>0.277568394197395</v>
      </c>
      <c r="BU70" s="4" t="n">
        <f aca="false">BT70/'Dataset experimental'!$AF70</f>
        <v>1.06757074691306</v>
      </c>
    </row>
    <row r="71" customFormat="false" ht="14.25" hidden="false" customHeight="false" outlineLevel="0" collapsed="false">
      <c r="A71" s="4" t="e">
        <f aca="false">0.0894*ABS(D71)-0.01603*E71</f>
        <v>#REF!</v>
      </c>
      <c r="B71" s="12" t="e">
        <f aca="false">'Dataset experimental'!K71*COS('Dataset experimental'!AC71)-'Dataset experimental'!M71-'Dataset experimental'!C71</f>
        <v>#REF!</v>
      </c>
      <c r="C71" s="12" t="e">
        <f aca="false">('Dataset experimental'!AE71+SIN('Avaliação do resultado ML'!B71))*0.70674187</f>
        <v>#REF!</v>
      </c>
      <c r="D71" s="12" t="e">
        <f aca="false">'Modelos Propostos'!E71+'Avaliação do resultado ML'!C71-'Modelos normativos'!AQ71</f>
        <v>#REF!</v>
      </c>
      <c r="E71" s="12" t="n">
        <f aca="false">'Modelos empíricos'!I71+1.1854</f>
        <v>1.12919300824735</v>
      </c>
      <c r="F71" s="4" t="e">
        <f aca="false">-0.01753*('Modelos normativos'!AN71-'Dataset experimental'!C71-ABS(G71)-('Modelos Propostos'!E71-'Modelos normativos'!AP71)/0.25291)</f>
        <v>#REF!</v>
      </c>
      <c r="G71" s="4" t="e">
        <f aca="false">'Dataset experimental'!K71+'Modelos empíricos'!K71^2+('Modelos Propostos'!E71-'Modelos normativos'!AQ71)*4.10553</f>
        <v>#REF!</v>
      </c>
      <c r="H71" s="4" t="e">
        <f aca="false">0.03283*(J71+K71)</f>
        <v>#REF!</v>
      </c>
      <c r="I71" s="4" t="e">
        <f aca="false">(1.61428/'Dataset experimental'!Q71)^3</f>
        <v>#REF!</v>
      </c>
      <c r="J71" s="4" t="e">
        <f aca="false">SIN('Dataset experimental'!E71)+1.450178*(SIN('Avaliação do resultado ML'!I71)+'Dataset experimental'!C71)</f>
        <v>#REF!</v>
      </c>
      <c r="K71" s="4" t="e">
        <f aca="false">('Modelos empíricos'!C71-'Dataset experimental'!G71)*'Dataset experimental'!AE71-'Modelos normativos'!AP71</f>
        <v>#REF!</v>
      </c>
      <c r="L71" s="4" t="n">
        <f aca="false">0.0076*'Dataset experimental'!B71+'Avaliação do resultado ML'!M71+'Avaliação do resultado ML'!N71+(-0.0328)*(0.0171*'Dataset experimental'!AD71-0.9442)*'Avaliação do resultado ML'!O71-'Avaliação do resultado ML'!P71-0.0364</f>
        <v>0.15531009629251</v>
      </c>
      <c r="M71" s="12" t="n">
        <f aca="false">0.03283*SIN(0.7328*'Dataset experimental'!D71-1.8266)</f>
        <v>0.0293265290156355</v>
      </c>
      <c r="N71" s="12" t="n">
        <f aca="false">0.0476*SIN(4.2067/(0.0095*'Dataset experimental'!P71-1.9338)^3)</f>
        <v>0.0475982941477051</v>
      </c>
      <c r="O71" s="12" t="n">
        <f aca="false">0.0214*'Dataset experimental'!F71-3.1067*'Dataset experimental'!B71*'Dataset experimental'!P71*('Dataset experimental'!T71-'Dataset experimental'!R71)*(0.39*'Dataset experimental'!P71*'Dataset experimental'!T71/'Dataset experimental'!V71-'Dataset experimental'!Z71+3.12)/(100000*'Dataset experimental'!V71)+0.7995</f>
        <v>-1.26323673506003</v>
      </c>
      <c r="P71" s="12" t="n">
        <f aca="false">0.4461*('Dataset experimental'!Z71-0.6*'Modelos normativos'!AB71)*(3.4*'Dataset experimental'!L71+0.17*'Dataset experimental'!B71/'Modelos normativos'!AC71)/200000</f>
        <v>0.142371221356908</v>
      </c>
      <c r="Q71" s="4" t="e">
        <f aca="false">L71/H71</f>
        <v>#REF!</v>
      </c>
      <c r="R71" s="4" t="e">
        <f aca="false">(-0.042-0.014*'Com TS variável MC2020'!Q80)*('Modelos normativos'!AP71-ABS('Modelos Propostos'!K71)-'Dataset experimental'!W71+COS(S71))</f>
        <v>#REF!</v>
      </c>
      <c r="S71" s="4" t="e">
        <f aca="false">'Dataset experimental'!O71-('Modelos normativos'!AQ71-SIN(0.083/('Dataset experimental'!M71-'Dataset experimental'!O71))-'Modelos empíricos'!I71)/0.646</f>
        <v>#REF!</v>
      </c>
      <c r="W71" s="4" t="e">
        <f aca="false">'Modelos normativos'!S71+'Avaliação do resultado ML'!A71</f>
        <v>#REF!</v>
      </c>
      <c r="X71" s="4" t="e">
        <f aca="false">W71/'Dataset experimental'!$AF71</f>
        <v>#REF!</v>
      </c>
      <c r="AJ71" s="4" t="e">
        <f aca="false">'Modelos Propostos'!B71+H71</f>
        <v>#REF!</v>
      </c>
      <c r="AK71" s="4" t="e">
        <f aca="false">AJ71/'Dataset experimental'!$AF71</f>
        <v>#REF!</v>
      </c>
      <c r="AV71" s="4" t="e">
        <f aca="false">'Modelos normativos'!S71+F71</f>
        <v>#REF!</v>
      </c>
      <c r="AW71" s="4" t="e">
        <f aca="false">AV71/'Dataset experimental'!$AF71</f>
        <v>#REF!</v>
      </c>
      <c r="BH71" s="4" t="e">
        <f aca="false">'Modelos Propostos'!B71+R71</f>
        <v>#REF!</v>
      </c>
      <c r="BI71" s="4" t="e">
        <f aca="false">BH71/'Dataset experimental'!$AF71</f>
        <v>#REF!</v>
      </c>
      <c r="BT71" s="4" t="n">
        <f aca="false">'Modelos Propostos'!B71+L71</f>
        <v>0.555737754264672</v>
      </c>
      <c r="BU71" s="4" t="n">
        <f aca="false">BT71/'Dataset experimental'!$AF71</f>
        <v>0.92622959044112</v>
      </c>
    </row>
    <row r="72" customFormat="false" ht="14.25" hidden="false" customHeight="false" outlineLevel="0" collapsed="false">
      <c r="A72" s="4" t="e">
        <f aca="false">0.0894*ABS(D72)-0.01603*E72</f>
        <v>#REF!</v>
      </c>
      <c r="B72" s="12" t="e">
        <f aca="false">'Dataset experimental'!K72*COS('Dataset experimental'!AC72)-'Dataset experimental'!M72-'Dataset experimental'!C72</f>
        <v>#REF!</v>
      </c>
      <c r="C72" s="12" t="e">
        <f aca="false">('Dataset experimental'!AE72+SIN('Avaliação do resultado ML'!B72))*0.70674187</f>
        <v>#REF!</v>
      </c>
      <c r="D72" s="12" t="e">
        <f aca="false">'Modelos Propostos'!E72+'Avaliação do resultado ML'!C72-'Modelos normativos'!AQ72</f>
        <v>#REF!</v>
      </c>
      <c r="E72" s="12" t="n">
        <f aca="false">'Modelos empíricos'!I72+1.1854</f>
        <v>-0.657088734638037</v>
      </c>
      <c r="F72" s="4" t="e">
        <f aca="false">-0.01753*('Modelos normativos'!AN72-'Dataset experimental'!C72-ABS(G72)-('Modelos Propostos'!E72-'Modelos normativos'!AP72)/0.25291)</f>
        <v>#REF!</v>
      </c>
      <c r="G72" s="4" t="e">
        <f aca="false">'Dataset experimental'!K72+'Modelos empíricos'!K72^2+('Modelos Propostos'!E72-'Modelos normativos'!AQ72)*4.10553</f>
        <v>#REF!</v>
      </c>
      <c r="H72" s="4" t="e">
        <f aca="false">0.03283*(J72+K72)</f>
        <v>#REF!</v>
      </c>
      <c r="I72" s="4" t="e">
        <f aca="false">(1.61428/'Dataset experimental'!Q72)^3</f>
        <v>#REF!</v>
      </c>
      <c r="J72" s="4" t="e">
        <f aca="false">SIN('Dataset experimental'!E72)+1.450178*(SIN('Avaliação do resultado ML'!I72)+'Dataset experimental'!C72)</f>
        <v>#REF!</v>
      </c>
      <c r="K72" s="4" t="e">
        <f aca="false">('Modelos empíricos'!C72-'Dataset experimental'!G72)*'Dataset experimental'!AE72-'Modelos normativos'!AP72</f>
        <v>#REF!</v>
      </c>
      <c r="L72" s="4" t="n">
        <f aca="false">0.0076*'Dataset experimental'!B72+'Avaliação do resultado ML'!M72+'Avaliação do resultado ML'!N72+(-0.0328)*(0.0171*'Dataset experimental'!AD72-0.9442)*'Avaliação do resultado ML'!O72-'Avaliação do resultado ML'!P72-0.0364</f>
        <v>0.17127069162067</v>
      </c>
      <c r="M72" s="12" t="n">
        <f aca="false">0.03283*SIN(0.7328*'Dataset experimental'!D72-1.8266)</f>
        <v>0.0293265290156355</v>
      </c>
      <c r="N72" s="12" t="n">
        <f aca="false">0.0476*SIN(4.2067/(0.0095*'Dataset experimental'!P72-1.9338)^3)</f>
        <v>0.0475982941477051</v>
      </c>
      <c r="O72" s="12" t="n">
        <f aca="false">0.0214*'Dataset experimental'!F72-3.1067*'Dataset experimental'!B72*'Dataset experimental'!P72*('Dataset experimental'!T72-'Dataset experimental'!R72)*(0.39*'Dataset experimental'!P72*'Dataset experimental'!T72/'Dataset experimental'!V72-'Dataset experimental'!Z72+3.12)/(100000*'Dataset experimental'!V72)+0.7995</f>
        <v>0.251247940514147</v>
      </c>
      <c r="P72" s="12" t="n">
        <f aca="false">0.4461*('Dataset experimental'!Z72-0.6*'Modelos normativos'!AB72)*(3.4*'Dataset experimental'!L72+0.17*'Dataset experimental'!B72/'Modelos normativos'!AC72)/200000</f>
        <v>0.0564662240952202</v>
      </c>
      <c r="Q72" s="4" t="e">
        <f aca="false">L72/H72</f>
        <v>#REF!</v>
      </c>
      <c r="R72" s="4" t="e">
        <f aca="false">(-0.042-0.014*'Com TS variável MC2020'!Q81)*('Modelos normativos'!AP72-ABS('Modelos Propostos'!K72)-'Dataset experimental'!W72+COS(S72))</f>
        <v>#REF!</v>
      </c>
      <c r="S72" s="4" t="e">
        <f aca="false">'Dataset experimental'!O72-('Modelos normativos'!AQ72-SIN(0.083/('Dataset experimental'!M72-'Dataset experimental'!O72))-'Modelos empíricos'!I72)/0.646</f>
        <v>#REF!</v>
      </c>
      <c r="W72" s="4" t="e">
        <f aca="false">'Modelos normativos'!S72+'Avaliação do resultado ML'!A72</f>
        <v>#REF!</v>
      </c>
      <c r="X72" s="4" t="e">
        <f aca="false">W72/'Dataset experimental'!$AF72</f>
        <v>#REF!</v>
      </c>
      <c r="AJ72" s="4" t="e">
        <f aca="false">'Modelos Propostos'!B72+H72</f>
        <v>#REF!</v>
      </c>
      <c r="AK72" s="4" t="e">
        <f aca="false">AJ72/'Dataset experimental'!$AF72</f>
        <v>#REF!</v>
      </c>
      <c r="AV72" s="4" t="e">
        <f aca="false">'Modelos normativos'!S72+F72</f>
        <v>#REF!</v>
      </c>
      <c r="AW72" s="4" t="e">
        <f aca="false">AV72/'Dataset experimental'!$AF72</f>
        <v>#REF!</v>
      </c>
      <c r="BH72" s="4" t="e">
        <f aca="false">'Modelos Propostos'!B72+R72</f>
        <v>#REF!</v>
      </c>
      <c r="BI72" s="4" t="e">
        <f aca="false">BH72/'Dataset experimental'!$AF72</f>
        <v>#REF!</v>
      </c>
      <c r="BT72" s="4" t="n">
        <f aca="false">'Modelos Propostos'!B72+L72</f>
        <v>0.277568394197395</v>
      </c>
      <c r="BU72" s="4" t="n">
        <f aca="false">BT72/'Dataset experimental'!$AF72</f>
        <v>1.02803108961998</v>
      </c>
    </row>
    <row r="73" customFormat="false" ht="14.25" hidden="false" customHeight="false" outlineLevel="0" collapsed="false">
      <c r="A73" s="4" t="e">
        <f aca="false">0.0894*ABS(D73)-0.01603*E73</f>
        <v>#REF!</v>
      </c>
      <c r="B73" s="12" t="e">
        <f aca="false">'Dataset experimental'!K73*COS('Dataset experimental'!AC73)-'Dataset experimental'!M73-'Dataset experimental'!C73</f>
        <v>#REF!</v>
      </c>
      <c r="C73" s="12" t="e">
        <f aca="false">('Dataset experimental'!AE73+SIN('Avaliação do resultado ML'!B73))*0.70674187</f>
        <v>#REF!</v>
      </c>
      <c r="D73" s="12" t="e">
        <f aca="false">'Modelos Propostos'!E73+'Avaliação do resultado ML'!C73-'Modelos normativos'!AQ73</f>
        <v>#REF!</v>
      </c>
      <c r="E73" s="12" t="n">
        <f aca="false">'Modelos empíricos'!I73+1.1854</f>
        <v>1.12919300824735</v>
      </c>
      <c r="F73" s="4" t="e">
        <f aca="false">-0.01753*('Modelos normativos'!AN73-'Dataset experimental'!C73-ABS(G73)-('Modelos Propostos'!E73-'Modelos normativos'!AP73)/0.25291)</f>
        <v>#REF!</v>
      </c>
      <c r="G73" s="4" t="e">
        <f aca="false">'Dataset experimental'!K73+'Modelos empíricos'!K73^2+('Modelos Propostos'!E73-'Modelos normativos'!AQ73)*4.10553</f>
        <v>#REF!</v>
      </c>
      <c r="H73" s="4" t="e">
        <f aca="false">0.03283*(J73+K73)</f>
        <v>#REF!</v>
      </c>
      <c r="I73" s="4" t="e">
        <f aca="false">(1.61428/'Dataset experimental'!Q73)^3</f>
        <v>#REF!</v>
      </c>
      <c r="J73" s="4" t="e">
        <f aca="false">SIN('Dataset experimental'!E73)+1.450178*(SIN('Avaliação do resultado ML'!I73)+'Dataset experimental'!C73)</f>
        <v>#REF!</v>
      </c>
      <c r="K73" s="4" t="e">
        <f aca="false">('Modelos empíricos'!C73-'Dataset experimental'!G73)*'Dataset experimental'!AE73-'Modelos normativos'!AP73</f>
        <v>#REF!</v>
      </c>
      <c r="L73" s="4" t="n">
        <f aca="false">0.0076*'Dataset experimental'!B73+'Avaliação do resultado ML'!M73+'Avaliação do resultado ML'!N73+(-0.0328)*(0.0171*'Dataset experimental'!AD73-0.9442)*'Avaliação do resultado ML'!O73-'Avaliação do resultado ML'!P73-0.0364</f>
        <v>0.15531009629251</v>
      </c>
      <c r="M73" s="12" t="n">
        <f aca="false">0.03283*SIN(0.7328*'Dataset experimental'!D73-1.8266)</f>
        <v>0.0293265290156355</v>
      </c>
      <c r="N73" s="12" t="n">
        <f aca="false">0.0476*SIN(4.2067/(0.0095*'Dataset experimental'!P73-1.9338)^3)</f>
        <v>0.0475982941477051</v>
      </c>
      <c r="O73" s="12" t="n">
        <f aca="false">0.0214*'Dataset experimental'!F73-3.1067*'Dataset experimental'!B73*'Dataset experimental'!P73*('Dataset experimental'!T73-'Dataset experimental'!R73)*(0.39*'Dataset experimental'!P73*'Dataset experimental'!T73/'Dataset experimental'!V73-'Dataset experimental'!Z73+3.12)/(100000*'Dataset experimental'!V73)+0.7995</f>
        <v>-1.26323673506003</v>
      </c>
      <c r="P73" s="12" t="n">
        <f aca="false">0.4461*('Dataset experimental'!Z73-0.6*'Modelos normativos'!AB73)*(3.4*'Dataset experimental'!L73+0.17*'Dataset experimental'!B73/'Modelos normativos'!AC73)/200000</f>
        <v>0.142371221356908</v>
      </c>
      <c r="Q73" s="4" t="e">
        <f aca="false">L73/H73</f>
        <v>#REF!</v>
      </c>
      <c r="R73" s="4" t="e">
        <f aca="false">(-0.042-0.014*'Com TS variável MC2020'!Q82)*('Modelos normativos'!AP73-ABS('Modelos Propostos'!K73)-'Dataset experimental'!W73+COS(S73))</f>
        <v>#REF!</v>
      </c>
      <c r="S73" s="4" t="e">
        <f aca="false">'Dataset experimental'!O73-('Modelos normativos'!AQ73-SIN(0.083/('Dataset experimental'!M73-'Dataset experimental'!O73))-'Modelos empíricos'!I73)/0.646</f>
        <v>#REF!</v>
      </c>
      <c r="W73" s="4" t="e">
        <f aca="false">'Modelos normativos'!S73+'Avaliação do resultado ML'!A73</f>
        <v>#REF!</v>
      </c>
      <c r="X73" s="4" t="e">
        <f aca="false">W73/'Dataset experimental'!$AF73</f>
        <v>#REF!</v>
      </c>
      <c r="AJ73" s="4" t="e">
        <f aca="false">'Modelos Propostos'!B73+H73</f>
        <v>#REF!</v>
      </c>
      <c r="AK73" s="4" t="e">
        <f aca="false">AJ73/'Dataset experimental'!$AF73</f>
        <v>#REF!</v>
      </c>
      <c r="AV73" s="4" t="e">
        <f aca="false">'Modelos normativos'!S73+F73</f>
        <v>#REF!</v>
      </c>
      <c r="AW73" s="4" t="e">
        <f aca="false">AV73/'Dataset experimental'!$AF73</f>
        <v>#REF!</v>
      </c>
      <c r="BH73" s="4" t="e">
        <f aca="false">'Modelos Propostos'!B73+R73</f>
        <v>#REF!</v>
      </c>
      <c r="BI73" s="4" t="e">
        <f aca="false">BH73/'Dataset experimental'!$AF73</f>
        <v>#REF!</v>
      </c>
      <c r="BT73" s="4" t="n">
        <f aca="false">'Modelos Propostos'!B73+L73</f>
        <v>0.555737754264672</v>
      </c>
      <c r="BU73" s="4" t="n">
        <f aca="false">BT73/'Dataset experimental'!$AF73</f>
        <v>0.941928397058766</v>
      </c>
    </row>
    <row r="74" customFormat="false" ht="14.25" hidden="false" customHeight="false" outlineLevel="0" collapsed="false">
      <c r="A74" s="4" t="e">
        <f aca="false">0.0894*ABS(D74)-0.01603*E74</f>
        <v>#REF!</v>
      </c>
      <c r="B74" s="12" t="e">
        <f aca="false">'Dataset experimental'!K74*COS('Dataset experimental'!AC74)-'Dataset experimental'!M74-'Dataset experimental'!C74</f>
        <v>#REF!</v>
      </c>
      <c r="C74" s="12" t="e">
        <f aca="false">('Dataset experimental'!AE74+SIN('Avaliação do resultado ML'!B74))*0.70674187</f>
        <v>#REF!</v>
      </c>
      <c r="D74" s="12" t="e">
        <f aca="false">'Modelos Propostos'!E74+'Avaliação do resultado ML'!C74-'Modelos normativos'!AQ74</f>
        <v>#REF!</v>
      </c>
      <c r="E74" s="12" t="n">
        <f aca="false">'Modelos empíricos'!I74+1.1854</f>
        <v>-0.46177398236274</v>
      </c>
      <c r="F74" s="4" t="e">
        <f aca="false">-0.01753*('Modelos normativos'!AN74-'Dataset experimental'!C74-ABS(G74)-('Modelos Propostos'!E74-'Modelos normativos'!AP74)/0.25291)</f>
        <v>#REF!</v>
      </c>
      <c r="G74" s="4" t="e">
        <f aca="false">'Dataset experimental'!K74+'Modelos empíricos'!K74^2+('Modelos Propostos'!E74-'Modelos normativos'!AQ74)*4.10553</f>
        <v>#REF!</v>
      </c>
      <c r="H74" s="4" t="e">
        <f aca="false">0.03283*(J74+K74)</f>
        <v>#REF!</v>
      </c>
      <c r="I74" s="4" t="e">
        <f aca="false">(1.61428/'Dataset experimental'!Q74)^3</f>
        <v>#REF!</v>
      </c>
      <c r="J74" s="4" t="e">
        <f aca="false">SIN('Dataset experimental'!E74)+1.450178*(SIN('Avaliação do resultado ML'!I74)+'Dataset experimental'!C74)</f>
        <v>#REF!</v>
      </c>
      <c r="K74" s="4" t="e">
        <f aca="false">('Modelos empíricos'!C74-'Dataset experimental'!G74)*'Dataset experimental'!AE74-'Modelos normativos'!AP74</f>
        <v>#REF!</v>
      </c>
      <c r="L74" s="4" t="n">
        <f aca="false">0.0076*'Dataset experimental'!B74+'Avaliação do resultado ML'!M74+'Avaliação do resultado ML'!N74+(-0.0328)*(0.0171*'Dataset experimental'!AD74-0.9442)*'Avaliação do resultado ML'!O74-'Avaliação do resultado ML'!P74-0.0364</f>
        <v>-0.0312523525153561</v>
      </c>
      <c r="M74" s="12" t="n">
        <f aca="false">0.03283*SIN(0.7328*'Dataset experimental'!D74-1.8266)</f>
        <v>0.0119269103214528</v>
      </c>
      <c r="N74" s="12" t="n">
        <f aca="false">0.0476*SIN(4.2067/(0.0095*'Dataset experimental'!P74-1.9338)^3)</f>
        <v>-0.0275224531868956</v>
      </c>
      <c r="O74" s="12" t="n">
        <f aca="false">0.0214*'Dataset experimental'!F74-3.1067*'Dataset experimental'!B74*'Dataset experimental'!P74*('Dataset experimental'!T74-'Dataset experimental'!R74)*(0.39*'Dataset experimental'!P74*'Dataset experimental'!T74/'Dataset experimental'!V74-'Dataset experimental'!Z74+3.12)/(100000*'Dataset experimental'!V74)+0.7995</f>
        <v>0.267089375687966</v>
      </c>
      <c r="P74" s="12" t="n">
        <f aca="false">0.4461*('Dataset experimental'!Z74-0.6*'Modelos normativos'!AB74)*(3.4*'Dataset experimental'!L74+0.17*'Dataset experimental'!B74/'Modelos normativos'!AC74)/200000</f>
        <v>0.0581427644807034</v>
      </c>
      <c r="Q74" s="4" t="e">
        <f aca="false">L74/H74</f>
        <v>#REF!</v>
      </c>
      <c r="R74" s="4" t="e">
        <f aca="false">(-0.042-0.014*'Com TS variável MC2020'!Q83)*('Modelos normativos'!AP74-ABS('Modelos Propostos'!K74)-'Dataset experimental'!W74+COS(S74))</f>
        <v>#REF!</v>
      </c>
      <c r="S74" s="4" t="e">
        <f aca="false">'Dataset experimental'!O74-('Modelos normativos'!AQ74-SIN(0.083/('Dataset experimental'!M74-'Dataset experimental'!O74))-'Modelos empíricos'!I74)/0.646</f>
        <v>#REF!</v>
      </c>
      <c r="W74" s="4" t="e">
        <f aca="false">'Modelos normativos'!S74+'Avaliação do resultado ML'!A74</f>
        <v>#REF!</v>
      </c>
      <c r="X74" s="4" t="e">
        <f aca="false">W74/'Dataset experimental'!$AF74</f>
        <v>#REF!</v>
      </c>
      <c r="AJ74" s="4" t="e">
        <f aca="false">'Modelos Propostos'!B74+H74</f>
        <v>#REF!</v>
      </c>
      <c r="AK74" s="4" t="e">
        <f aca="false">AJ74/'Dataset experimental'!$AF74</f>
        <v>#REF!</v>
      </c>
      <c r="AV74" s="4" t="e">
        <f aca="false">'Modelos normativos'!S74+F74</f>
        <v>#REF!</v>
      </c>
      <c r="AW74" s="4" t="e">
        <f aca="false">AV74/'Dataset experimental'!$AF74</f>
        <v>#REF!</v>
      </c>
      <c r="BH74" s="4" t="e">
        <f aca="false">'Modelos Propostos'!B74+R74</f>
        <v>#REF!</v>
      </c>
      <c r="BI74" s="4" t="e">
        <f aca="false">BH74/'Dataset experimental'!$AF74</f>
        <v>#REF!</v>
      </c>
      <c r="BT74" s="4" t="n">
        <f aca="false">'Modelos Propostos'!B74+L74</f>
        <v>0.114510503712542</v>
      </c>
      <c r="BU74" s="4" t="n">
        <f aca="false">BT74/'Dataset experimental'!$AF74</f>
        <v>0.763403358083616</v>
      </c>
    </row>
    <row r="75" customFormat="false" ht="14.25" hidden="false" customHeight="false" outlineLevel="0" collapsed="false">
      <c r="A75" s="4" t="e">
        <f aca="false">0.0894*ABS(D75)-0.01603*E75</f>
        <v>#REF!</v>
      </c>
      <c r="B75" s="12" t="e">
        <f aca="false">'Dataset experimental'!K75*COS('Dataset experimental'!AC75)-'Dataset experimental'!M75-'Dataset experimental'!C75</f>
        <v>#REF!</v>
      </c>
      <c r="C75" s="12" t="e">
        <f aca="false">('Dataset experimental'!AE75+SIN('Avaliação do resultado ML'!B75))*0.70674187</f>
        <v>#REF!</v>
      </c>
      <c r="D75" s="12" t="e">
        <f aca="false">'Modelos Propostos'!E75+'Avaliação do resultado ML'!C75-'Modelos normativos'!AQ75</f>
        <v>#REF!</v>
      </c>
      <c r="E75" s="12" t="n">
        <f aca="false">'Modelos empíricos'!I75+1.1854</f>
        <v>-0.198333836647788</v>
      </c>
      <c r="F75" s="4" t="e">
        <f aca="false">-0.01753*('Modelos normativos'!AN75-'Dataset experimental'!C75-ABS(G75)-('Modelos Propostos'!E75-'Modelos normativos'!AP75)/0.25291)</f>
        <v>#REF!</v>
      </c>
      <c r="G75" s="4" t="e">
        <f aca="false">'Dataset experimental'!K75+'Modelos empíricos'!K75^2+('Modelos Propostos'!E75-'Modelos normativos'!AQ75)*4.10553</f>
        <v>#REF!</v>
      </c>
      <c r="H75" s="4" t="e">
        <f aca="false">0.03283*(J75+K75)</f>
        <v>#REF!</v>
      </c>
      <c r="I75" s="4" t="e">
        <f aca="false">(1.61428/'Dataset experimental'!Q75)^3</f>
        <v>#REF!</v>
      </c>
      <c r="J75" s="4" t="e">
        <f aca="false">SIN('Dataset experimental'!E75)+1.450178*(SIN('Avaliação do resultado ML'!I75)+'Dataset experimental'!C75)</f>
        <v>#REF!</v>
      </c>
      <c r="K75" s="4" t="e">
        <f aca="false">('Modelos empíricos'!C75-'Dataset experimental'!G75)*'Dataset experimental'!AE75-'Modelos normativos'!AP75</f>
        <v>#REF!</v>
      </c>
      <c r="L75" s="4" t="n">
        <f aca="false">0.0076*'Dataset experimental'!B75+'Avaliação do resultado ML'!M75+'Avaliação do resultado ML'!N75+(-0.0328)*(0.0171*'Dataset experimental'!AD75-0.9442)*'Avaliação do resultado ML'!O75-'Avaliação do resultado ML'!P75-0.0364</f>
        <v>-0.0490632341109265</v>
      </c>
      <c r="M75" s="12" t="n">
        <f aca="false">0.03283*SIN(0.7328*'Dataset experimental'!D75-1.8266)</f>
        <v>0.0119269103214528</v>
      </c>
      <c r="N75" s="12" t="n">
        <f aca="false">0.0476*SIN(4.2067/(0.0095*'Dataset experimental'!P75-1.9338)^3)</f>
        <v>-0.0275224531868956</v>
      </c>
      <c r="O75" s="12" t="n">
        <f aca="false">0.0214*'Dataset experimental'!F75-3.1067*'Dataset experimental'!B75*'Dataset experimental'!P75*('Dataset experimental'!T75-'Dataset experimental'!R75)*(0.39*'Dataset experimental'!P75*'Dataset experimental'!T75/'Dataset experimental'!V75-'Dataset experimental'!Z75+3.12)/(100000*'Dataset experimental'!V75)+0.7995</f>
        <v>0.0719025578705413</v>
      </c>
      <c r="P75" s="12" t="n">
        <f aca="false">0.4461*('Dataset experimental'!Z75-0.6*'Modelos normativos'!AB75)*(3.4*'Dataset experimental'!L75+0.17*'Dataset experimental'!B75/'Modelos normativos'!AC75)/200000</f>
        <v>0.0711020586662317</v>
      </c>
      <c r="Q75" s="4" t="e">
        <f aca="false">L75/H75</f>
        <v>#REF!</v>
      </c>
      <c r="R75" s="4" t="e">
        <f aca="false">(-0.042-0.014*'Com TS variável MC2020'!Q84)*('Modelos normativos'!AP75-ABS('Modelos Propostos'!K75)-'Dataset experimental'!W75+COS(S75))</f>
        <v>#REF!</v>
      </c>
      <c r="S75" s="4" t="e">
        <f aca="false">'Dataset experimental'!O75-('Modelos normativos'!AQ75-SIN(0.083/('Dataset experimental'!M75-'Dataset experimental'!O75))-'Modelos empíricos'!I75)/0.646</f>
        <v>#REF!</v>
      </c>
      <c r="W75" s="4" t="e">
        <f aca="false">'Modelos normativos'!S75+'Avaliação do resultado ML'!A75</f>
        <v>#REF!</v>
      </c>
      <c r="X75" s="4" t="e">
        <f aca="false">W75/'Dataset experimental'!$AF75</f>
        <v>#REF!</v>
      </c>
      <c r="AJ75" s="4" t="e">
        <f aca="false">'Modelos Propostos'!B75+H75</f>
        <v>#REF!</v>
      </c>
      <c r="AK75" s="4" t="e">
        <f aca="false">AJ75/'Dataset experimental'!$AF75</f>
        <v>#REF!</v>
      </c>
      <c r="AV75" s="4" t="e">
        <f aca="false">'Modelos normativos'!S75+F75</f>
        <v>#REF!</v>
      </c>
      <c r="AW75" s="4" t="e">
        <f aca="false">AV75/'Dataset experimental'!$AF75</f>
        <v>#REF!</v>
      </c>
      <c r="BH75" s="4" t="e">
        <f aca="false">'Modelos Propostos'!B75+R75</f>
        <v>#REF!</v>
      </c>
      <c r="BI75" s="4" t="e">
        <f aca="false">BH75/'Dataset experimental'!$AF75</f>
        <v>#REF!</v>
      </c>
      <c r="BT75" s="4" t="n">
        <f aca="false">'Modelos Propostos'!B75+L75</f>
        <v>0.136883149105953</v>
      </c>
      <c r="BU75" s="4" t="n">
        <f aca="false">BT75/'Dataset experimental'!$AF75</f>
        <v>0.805194994740899</v>
      </c>
    </row>
    <row r="76" customFormat="false" ht="14.25" hidden="false" customHeight="false" outlineLevel="0" collapsed="false">
      <c r="A76" s="4" t="e">
        <f aca="false">0.0894*ABS(D76)-0.01603*E76</f>
        <v>#REF!</v>
      </c>
      <c r="B76" s="12" t="e">
        <f aca="false">'Dataset experimental'!K76*COS('Dataset experimental'!AC76)-'Dataset experimental'!M76-'Dataset experimental'!C76</f>
        <v>#REF!</v>
      </c>
      <c r="C76" s="12" t="e">
        <f aca="false">('Dataset experimental'!AE76+SIN('Avaliação do resultado ML'!B76))*0.70674187</f>
        <v>#REF!</v>
      </c>
      <c r="D76" s="12" t="e">
        <f aca="false">'Modelos Propostos'!E76+'Avaliação do resultado ML'!C76-'Modelos normativos'!AQ76</f>
        <v>#REF!</v>
      </c>
      <c r="E76" s="12" t="n">
        <f aca="false">'Modelos empíricos'!I76+1.1854</f>
        <v>-0.290065817359808</v>
      </c>
      <c r="F76" s="4" t="e">
        <f aca="false">-0.01753*('Modelos normativos'!AN76-'Dataset experimental'!C76-ABS(G76)-('Modelos Propostos'!E76-'Modelos normativos'!AP76)/0.25291)</f>
        <v>#REF!</v>
      </c>
      <c r="G76" s="4" t="e">
        <f aca="false">'Dataset experimental'!K76+'Modelos empíricos'!K76^2+('Modelos Propostos'!E76-'Modelos normativos'!AQ76)*4.10553</f>
        <v>#REF!</v>
      </c>
      <c r="H76" s="4" t="e">
        <f aca="false">0.03283*(J76+K76)</f>
        <v>#REF!</v>
      </c>
      <c r="I76" s="4" t="e">
        <f aca="false">(1.61428/'Dataset experimental'!Q76)^3</f>
        <v>#REF!</v>
      </c>
      <c r="J76" s="4" t="e">
        <f aca="false">SIN('Dataset experimental'!E76)+1.450178*(SIN('Avaliação do resultado ML'!I76)+'Dataset experimental'!C76)</f>
        <v>#REF!</v>
      </c>
      <c r="K76" s="4" t="e">
        <f aca="false">('Modelos empíricos'!C76-'Dataset experimental'!G76)*'Dataset experimental'!AE76-'Modelos normativos'!AP76</f>
        <v>#REF!</v>
      </c>
      <c r="L76" s="4" t="n">
        <f aca="false">0.0076*'Dataset experimental'!B76+'Avaliação do resultado ML'!M76+'Avaliação do resultado ML'!N76+(-0.0328)*(0.0171*'Dataset experimental'!AD76-0.9442)*'Avaliação do resultado ML'!O76-'Avaliação do resultado ML'!P76-0.0364</f>
        <v>-0.00356266951027742</v>
      </c>
      <c r="M76" s="12" t="n">
        <f aca="false">0.03283*SIN(0.7328*'Dataset experimental'!D76-1.8266)</f>
        <v>0.0119269103214528</v>
      </c>
      <c r="N76" s="12" t="n">
        <f aca="false">0.0476*SIN(4.2067/(0.0095*'Dataset experimental'!P76-1.9338)^3)</f>
        <v>-0.0275224531868956</v>
      </c>
      <c r="O76" s="12" t="n">
        <f aca="false">0.0214*'Dataset experimental'!F76-3.1067*'Dataset experimental'!B76*'Dataset experimental'!P76*('Dataset experimental'!T76-'Dataset experimental'!R76)*(0.39*'Dataset experimental'!P76*'Dataset experimental'!T76/'Dataset experimental'!V76-'Dataset experimental'!Z76+3.12)/(100000*'Dataset experimental'!V76)+0.7995</f>
        <v>0.388279387743756</v>
      </c>
      <c r="P76" s="12" t="n">
        <f aca="false">0.4461*('Dataset experimental'!Z76-0.6*'Modelos normativos'!AB76)*(3.4*'Dataset experimental'!L76+0.17*'Dataset experimental'!B76/'Modelos normativos'!AC76)/200000</f>
        <v>0.0555169272789539</v>
      </c>
      <c r="Q76" s="4" t="e">
        <f aca="false">L76/H76</f>
        <v>#REF!</v>
      </c>
      <c r="R76" s="4" t="e">
        <f aca="false">(-0.042-0.014*'Com TS variável MC2020'!Q85)*('Modelos normativos'!AP76-ABS('Modelos Propostos'!K76)-'Dataset experimental'!W76+COS(S76))</f>
        <v>#REF!</v>
      </c>
      <c r="S76" s="4" t="e">
        <f aca="false">'Dataset experimental'!O76-('Modelos normativos'!AQ76-SIN(0.083/('Dataset experimental'!M76-'Dataset experimental'!O76))-'Modelos empíricos'!I76)/0.646</f>
        <v>#REF!</v>
      </c>
      <c r="W76" s="4" t="e">
        <f aca="false">'Modelos normativos'!S76+'Avaliação do resultado ML'!A76</f>
        <v>#REF!</v>
      </c>
      <c r="X76" s="4" t="e">
        <f aca="false">W76/'Dataset experimental'!$AF76</f>
        <v>#REF!</v>
      </c>
      <c r="AJ76" s="4" t="e">
        <f aca="false">'Modelos Propostos'!B76+H76</f>
        <v>#REF!</v>
      </c>
      <c r="AK76" s="4" t="e">
        <f aca="false">AJ76/'Dataset experimental'!$AF76</f>
        <v>#REF!</v>
      </c>
      <c r="AV76" s="4" t="e">
        <f aca="false">'Modelos normativos'!S76+F76</f>
        <v>#REF!</v>
      </c>
      <c r="AW76" s="4" t="e">
        <f aca="false">AV76/'Dataset experimental'!$AF76</f>
        <v>#REF!</v>
      </c>
      <c r="BH76" s="4" t="e">
        <f aca="false">'Modelos Propostos'!B76+R76</f>
        <v>#REF!</v>
      </c>
      <c r="BI76" s="4" t="e">
        <f aca="false">BH76/'Dataset experimental'!$AF76</f>
        <v>#REF!</v>
      </c>
      <c r="BT76" s="4" t="n">
        <f aca="false">'Modelos Propostos'!B76+L76</f>
        <v>0.135225024291655</v>
      </c>
      <c r="BU76" s="4" t="n">
        <f aca="false">BT76/'Dataset experimental'!$AF76</f>
        <v>0.901500161944364</v>
      </c>
    </row>
    <row r="77" customFormat="false" ht="14.25" hidden="false" customHeight="false" outlineLevel="0" collapsed="false">
      <c r="A77" s="4" t="e">
        <f aca="false">0.0894*ABS(D77)-0.01603*E77</f>
        <v>#REF!</v>
      </c>
      <c r="B77" s="12" t="e">
        <f aca="false">'Dataset experimental'!K77*COS('Dataset experimental'!AC77)-'Dataset experimental'!M77-'Dataset experimental'!C77</f>
        <v>#REF!</v>
      </c>
      <c r="C77" s="12" t="e">
        <f aca="false">('Dataset experimental'!AE77+SIN('Avaliação do resultado ML'!B77))*0.70674187</f>
        <v>#REF!</v>
      </c>
      <c r="D77" s="12" t="e">
        <f aca="false">'Modelos Propostos'!E77+'Avaliação do resultado ML'!C77-'Modelos normativos'!AQ77</f>
        <v>#REF!</v>
      </c>
      <c r="E77" s="12" t="n">
        <f aca="false">'Modelos empíricos'!I77+1.1854</f>
        <v>-0.0256504713557437</v>
      </c>
      <c r="F77" s="4" t="e">
        <f aca="false">-0.01753*('Modelos normativos'!AN77-'Dataset experimental'!C77-ABS(G77)-('Modelos Propostos'!E77-'Modelos normativos'!AP77)/0.25291)</f>
        <v>#REF!</v>
      </c>
      <c r="G77" s="4" t="e">
        <f aca="false">'Dataset experimental'!K77+'Modelos empíricos'!K77^2+('Modelos Propostos'!E77-'Modelos normativos'!AQ77)*4.10553</f>
        <v>#REF!</v>
      </c>
      <c r="H77" s="4" t="e">
        <f aca="false">0.03283*(J77+K77)</f>
        <v>#REF!</v>
      </c>
      <c r="I77" s="4" t="e">
        <f aca="false">(1.61428/'Dataset experimental'!Q77)^3</f>
        <v>#REF!</v>
      </c>
      <c r="J77" s="4" t="e">
        <f aca="false">SIN('Dataset experimental'!E77)+1.450178*(SIN('Avaliação do resultado ML'!I77)+'Dataset experimental'!C77)</f>
        <v>#REF!</v>
      </c>
      <c r="K77" s="4" t="e">
        <f aca="false">('Modelos empíricos'!C77-'Dataset experimental'!G77)*'Dataset experimental'!AE77-'Modelos normativos'!AP77</f>
        <v>#REF!</v>
      </c>
      <c r="L77" s="4" t="n">
        <f aca="false">0.0076*'Dataset experimental'!B77+'Avaliação do resultado ML'!M77+'Avaliação do resultado ML'!N77+(-0.0328)*(0.0171*'Dataset experimental'!AD77-0.9442)*'Avaliação do resultado ML'!O77-'Avaliação do resultado ML'!P77-0.0364</f>
        <v>-0.0163094278427686</v>
      </c>
      <c r="M77" s="12" t="n">
        <f aca="false">0.03283*SIN(0.7328*'Dataset experimental'!D77-1.8266)</f>
        <v>0.0119269103214528</v>
      </c>
      <c r="N77" s="12" t="n">
        <f aca="false">0.0476*SIN(4.2067/(0.0095*'Dataset experimental'!P77-1.9338)^3)</f>
        <v>-0.0275224531868956</v>
      </c>
      <c r="O77" s="12" t="n">
        <f aca="false">0.0214*'Dataset experimental'!F77-3.1067*'Dataset experimental'!B77*'Dataset experimental'!P77*('Dataset experimental'!T77-'Dataset experimental'!R77)*(0.39*'Dataset experimental'!P77*'Dataset experimental'!T77/'Dataset experimental'!V77-'Dataset experimental'!Z77+3.12)/(100000*'Dataset experimental'!V77)+0.7995</f>
        <v>0.256438994116823</v>
      </c>
      <c r="P77" s="12" t="n">
        <f aca="false">0.4461*('Dataset experimental'!Z77-0.6*'Modelos normativos'!AB77)*(3.4*'Dataset experimental'!L77+0.17*'Dataset experimental'!B77/'Modelos normativos'!AC77)/200000</f>
        <v>0.0652950167066753</v>
      </c>
      <c r="Q77" s="4" t="e">
        <f aca="false">L77/H77</f>
        <v>#REF!</v>
      </c>
      <c r="R77" s="4" t="e">
        <f aca="false">(-0.042-0.014*'Com TS variável MC2020'!Q86)*('Modelos normativos'!AP77-ABS('Modelos Propostos'!K77)-'Dataset experimental'!W77+COS(S77))</f>
        <v>#REF!</v>
      </c>
      <c r="S77" s="4" t="e">
        <f aca="false">'Dataset experimental'!O77-('Modelos normativos'!AQ77-SIN(0.083/('Dataset experimental'!M77-'Dataset experimental'!O77))-'Modelos empíricos'!I77)/0.646</f>
        <v>#REF!</v>
      </c>
      <c r="W77" s="4" t="e">
        <f aca="false">'Modelos normativos'!S77+'Avaliação do resultado ML'!A77</f>
        <v>#REF!</v>
      </c>
      <c r="X77" s="4" t="e">
        <f aca="false">W77/'Dataset experimental'!$AF77</f>
        <v>#REF!</v>
      </c>
      <c r="AJ77" s="4" t="e">
        <f aca="false">'Modelos Propostos'!B77+H77</f>
        <v>#REF!</v>
      </c>
      <c r="AK77" s="4" t="e">
        <f aca="false">AJ77/'Dataset experimental'!$AF77</f>
        <v>#REF!</v>
      </c>
      <c r="AV77" s="4" t="e">
        <f aca="false">'Modelos normativos'!S77+F77</f>
        <v>#REF!</v>
      </c>
      <c r="AW77" s="4" t="e">
        <f aca="false">AV77/'Dataset experimental'!$AF77</f>
        <v>#REF!</v>
      </c>
      <c r="BH77" s="4" t="e">
        <f aca="false">'Modelos Propostos'!B77+R77</f>
        <v>#REF!</v>
      </c>
      <c r="BI77" s="4" t="e">
        <f aca="false">BH77/'Dataset experimental'!$AF77</f>
        <v>#REF!</v>
      </c>
      <c r="BT77" s="4" t="n">
        <f aca="false">'Modelos Propostos'!B77+L77</f>
        <v>0.152864701897511</v>
      </c>
      <c r="BU77" s="4" t="n">
        <f aca="false">BT77/'Dataset experimental'!$AF77</f>
        <v>0.899204128808885</v>
      </c>
    </row>
    <row r="78" customFormat="false" ht="14.25" hidden="false" customHeight="false" outlineLevel="0" collapsed="false">
      <c r="A78" s="4" t="e">
        <f aca="false">0.0894*ABS(D78)-0.01603*E78</f>
        <v>#REF!</v>
      </c>
      <c r="B78" s="12" t="e">
        <f aca="false">'Dataset experimental'!K78*COS('Dataset experimental'!AC78)-'Dataset experimental'!M78-'Dataset experimental'!C78</f>
        <v>#REF!</v>
      </c>
      <c r="C78" s="12" t="e">
        <f aca="false">('Dataset experimental'!AE78+SIN('Avaliação do resultado ML'!B78))*0.70674187</f>
        <v>#REF!</v>
      </c>
      <c r="D78" s="12" t="e">
        <f aca="false">'Modelos Propostos'!E78+'Avaliação do resultado ML'!C78-'Modelos normativos'!AQ78</f>
        <v>#REF!</v>
      </c>
      <c r="E78" s="12" t="n">
        <f aca="false">'Modelos empíricos'!I78+1.1854</f>
        <v>0.349648729424219</v>
      </c>
      <c r="F78" s="4" t="e">
        <f aca="false">-0.01753*('Modelos normativos'!AN78-'Dataset experimental'!C78-ABS(G78)-('Modelos Propostos'!E78-'Modelos normativos'!AP78)/0.25291)</f>
        <v>#REF!</v>
      </c>
      <c r="G78" s="4" t="e">
        <f aca="false">'Dataset experimental'!K78+'Modelos empíricos'!K78^2+('Modelos Propostos'!E78-'Modelos normativos'!AQ78)*4.10553</f>
        <v>#REF!</v>
      </c>
      <c r="H78" s="4" t="e">
        <f aca="false">0.03283*(J78+K78)</f>
        <v>#REF!</v>
      </c>
      <c r="I78" s="4" t="e">
        <f aca="false">(1.61428/'Dataset experimental'!Q78)^3</f>
        <v>#REF!</v>
      </c>
      <c r="J78" s="4" t="e">
        <f aca="false">SIN('Dataset experimental'!E78)+1.450178*(SIN('Avaliação do resultado ML'!I78)+'Dataset experimental'!C78)</f>
        <v>#REF!</v>
      </c>
      <c r="K78" s="4" t="e">
        <f aca="false">('Modelos empíricos'!C78-'Dataset experimental'!G78)*'Dataset experimental'!AE78-'Modelos normativos'!AP78</f>
        <v>#REF!</v>
      </c>
      <c r="L78" s="4" t="n">
        <f aca="false">0.0076*'Dataset experimental'!B78+'Avaliação do resultado ML'!M78+'Avaliação do resultado ML'!N78+(-0.0328)*(0.0171*'Dataset experimental'!AD78-0.9442)*'Avaliação do resultado ML'!O78-'Avaliação do resultado ML'!P78-0.0364</f>
        <v>-0.0336144270504153</v>
      </c>
      <c r="M78" s="12" t="n">
        <f aca="false">0.03283*SIN(0.7328*'Dataset experimental'!D78-1.8266)</f>
        <v>0.0119269103214528</v>
      </c>
      <c r="N78" s="12" t="n">
        <f aca="false">0.0476*SIN(4.2067/(0.0095*'Dataset experimental'!P78-1.9338)^3)</f>
        <v>-0.0275224531868956</v>
      </c>
      <c r="O78" s="12" t="n">
        <f aca="false">0.0214*'Dataset experimental'!F78-3.1067*'Dataset experimental'!B78*'Dataset experimental'!P78*('Dataset experimental'!T78-'Dataset experimental'!R78)*(0.39*'Dataset experimental'!P78*'Dataset experimental'!T78/'Dataset experimental'!V78-'Dataset experimental'!Z78+3.12)/(100000*'Dataset experimental'!V78)+0.7995</f>
        <v>0.0693106934850473</v>
      </c>
      <c r="P78" s="12" t="n">
        <f aca="false">0.4461*('Dataset experimental'!Z78-0.6*'Modelos normativos'!AB78)*(3.4*'Dataset experimental'!L78+0.17*'Dataset experimental'!B78/'Modelos normativos'!AC78)/200000</f>
        <v>0.0791735952492478</v>
      </c>
      <c r="Q78" s="4" t="e">
        <f aca="false">L78/H78</f>
        <v>#REF!</v>
      </c>
      <c r="R78" s="4" t="e">
        <f aca="false">(-0.042-0.014*'Com TS variável MC2020'!Q87)*('Modelos normativos'!AP78-ABS('Modelos Propostos'!K78)-'Dataset experimental'!W78+COS(S78))</f>
        <v>#REF!</v>
      </c>
      <c r="S78" s="4" t="e">
        <f aca="false">'Dataset experimental'!O78-('Modelos normativos'!AQ78-SIN(0.083/('Dataset experimental'!M78-'Dataset experimental'!O78))-'Modelos empíricos'!I78)/0.646</f>
        <v>#REF!</v>
      </c>
      <c r="W78" s="4" t="e">
        <f aca="false">'Modelos normativos'!S78+'Avaliação do resultado ML'!A78</f>
        <v>#REF!</v>
      </c>
      <c r="X78" s="4" t="e">
        <f aca="false">W78/'Dataset experimental'!$AF78</f>
        <v>#REF!</v>
      </c>
      <c r="AJ78" s="4" t="e">
        <f aca="false">'Modelos Propostos'!B78+H78</f>
        <v>#REF!</v>
      </c>
      <c r="AK78" s="4" t="e">
        <f aca="false">AJ78/'Dataset experimental'!$AF78</f>
        <v>#REF!</v>
      </c>
      <c r="AV78" s="4" t="e">
        <f aca="false">'Modelos normativos'!S78+F78</f>
        <v>#REF!</v>
      </c>
      <c r="AW78" s="4" t="e">
        <f aca="false">AV78/'Dataset experimental'!$AF78</f>
        <v>#REF!</v>
      </c>
      <c r="BH78" s="4" t="e">
        <f aca="false">'Modelos Propostos'!B78+R78</f>
        <v>#REF!</v>
      </c>
      <c r="BI78" s="4" t="e">
        <f aca="false">BH78/'Dataset experimental'!$AF78</f>
        <v>#REF!</v>
      </c>
      <c r="BT78" s="4" t="n">
        <f aca="false">'Modelos Propostos'!B78+L78</f>
        <v>0.178688837570098</v>
      </c>
      <c r="BU78" s="4" t="n">
        <f aca="false">BT78/'Dataset experimental'!$AF78</f>
        <v>0.893444187850492</v>
      </c>
    </row>
    <row r="79" customFormat="false" ht="14.25" hidden="false" customHeight="false" outlineLevel="0" collapsed="false">
      <c r="A79" s="4" t="e">
        <f aca="false">0.0894*ABS(D79)-0.01603*E79</f>
        <v>#REF!</v>
      </c>
      <c r="B79" s="12" t="e">
        <f aca="false">'Dataset experimental'!K79*COS('Dataset experimental'!AC79)-'Dataset experimental'!M79-'Dataset experimental'!C79</f>
        <v>#REF!</v>
      </c>
      <c r="C79" s="12" t="e">
        <f aca="false">('Dataset experimental'!AE79+SIN('Avaliação do resultado ML'!B79))*0.70674187</f>
        <v>#REF!</v>
      </c>
      <c r="D79" s="12" t="e">
        <f aca="false">'Modelos Propostos'!E79+'Avaliação do resultado ML'!C79-'Modelos normativos'!AQ79</f>
        <v>#REF!</v>
      </c>
      <c r="E79" s="12" t="n">
        <f aca="false">'Modelos empíricos'!I79+1.1854</f>
        <v>-0.248677042568502</v>
      </c>
      <c r="F79" s="4" t="e">
        <f aca="false">-0.01753*('Modelos normativos'!AN79-'Dataset experimental'!C79-ABS(G79)-('Modelos Propostos'!E79-'Modelos normativos'!AP79)/0.25291)</f>
        <v>#REF!</v>
      </c>
      <c r="G79" s="4" t="e">
        <f aca="false">'Dataset experimental'!K79+'Modelos empíricos'!K79^2+('Modelos Propostos'!E79-'Modelos normativos'!AQ79)*4.10553</f>
        <v>#REF!</v>
      </c>
      <c r="H79" s="4" t="e">
        <f aca="false">0.03283*(J79+K79)</f>
        <v>#REF!</v>
      </c>
      <c r="I79" s="4" t="e">
        <f aca="false">(1.61428/'Dataset experimental'!Q79)^3</f>
        <v>#REF!</v>
      </c>
      <c r="J79" s="4" t="e">
        <f aca="false">SIN('Dataset experimental'!E79)+1.450178*(SIN('Avaliação do resultado ML'!I79)+'Dataset experimental'!C79)</f>
        <v>#REF!</v>
      </c>
      <c r="K79" s="4" t="e">
        <f aca="false">('Modelos empíricos'!C79-'Dataset experimental'!G79)*'Dataset experimental'!AE79-'Modelos normativos'!AP79</f>
        <v>#REF!</v>
      </c>
      <c r="L79" s="4" t="n">
        <f aca="false">0.0076*'Dataset experimental'!B79+'Avaliação do resultado ML'!M79+'Avaliação do resultado ML'!N79+(-0.0328)*(0.0171*'Dataset experimental'!AD79-0.9442)*'Avaliação do resultado ML'!O79-'Avaliação do resultado ML'!P79-0.0364</f>
        <v>0.0277731109744752</v>
      </c>
      <c r="M79" s="12" t="n">
        <f aca="false">0.03283*SIN(0.7328*'Dataset experimental'!D79-1.8266)</f>
        <v>0.0119269103214528</v>
      </c>
      <c r="N79" s="12" t="n">
        <f aca="false">0.0476*SIN(4.2067/(0.0095*'Dataset experimental'!P79-1.9338)^3)</f>
        <v>-0.0275224531868956</v>
      </c>
      <c r="O79" s="12" t="n">
        <f aca="false">0.0214*'Dataset experimental'!F79-3.1067*'Dataset experimental'!B79*'Dataset experimental'!P79*('Dataset experimental'!T79-'Dataset experimental'!R79)*(0.39*'Dataset experimental'!P79*'Dataset experimental'!T79/'Dataset experimental'!V79-'Dataset experimental'!Z79+3.12)/(100000*'Dataset experimental'!V79)+0.7995</f>
        <v>0.490790852601254</v>
      </c>
      <c r="P79" s="12" t="n">
        <f aca="false">0.4461*('Dataset experimental'!Z79-0.6*'Modelos normativos'!AB79)*(3.4*'Dataset experimental'!L79+0.17*'Dataset experimental'!B79/'Modelos normativos'!AC79)/200000</f>
        <v>0.047875140486425</v>
      </c>
      <c r="Q79" s="4" t="e">
        <f aca="false">L79/H79</f>
        <v>#REF!</v>
      </c>
      <c r="R79" s="4" t="e">
        <f aca="false">(-0.042-0.014*'Com TS variável MC2020'!Q88)*('Modelos normativos'!AP79-ABS('Modelos Propostos'!K79)-'Dataset experimental'!W79+COS(S79))</f>
        <v>#REF!</v>
      </c>
      <c r="S79" s="4" t="e">
        <f aca="false">'Dataset experimental'!O79-('Modelos normativos'!AQ79-SIN(0.083/('Dataset experimental'!M79-'Dataset experimental'!O79))-'Modelos empíricos'!I79)/0.646</f>
        <v>#REF!</v>
      </c>
      <c r="W79" s="4" t="e">
        <f aca="false">'Modelos normativos'!S79+'Avaliação do resultado ML'!A79</f>
        <v>#REF!</v>
      </c>
      <c r="X79" s="4" t="e">
        <f aca="false">W79/'Dataset experimental'!$AF79</f>
        <v>#REF!</v>
      </c>
      <c r="AJ79" s="4" t="e">
        <f aca="false">'Modelos Propostos'!B79+H79</f>
        <v>#REF!</v>
      </c>
      <c r="AK79" s="4" t="e">
        <f aca="false">AJ79/'Dataset experimental'!$AF79</f>
        <v>#REF!</v>
      </c>
      <c r="AV79" s="4" t="e">
        <f aca="false">'Modelos normativos'!S79+F79</f>
        <v>#REF!</v>
      </c>
      <c r="AW79" s="4" t="e">
        <f aca="false">AV79/'Dataset experimental'!$AF79</f>
        <v>#REF!</v>
      </c>
      <c r="BH79" s="4" t="e">
        <f aca="false">'Modelos Propostos'!B79+R79</f>
        <v>#REF!</v>
      </c>
      <c r="BI79" s="4" t="e">
        <f aca="false">BH79/'Dataset experimental'!$AF79</f>
        <v>#REF!</v>
      </c>
      <c r="BT79" s="4" t="n">
        <f aca="false">'Modelos Propostos'!B79+L79</f>
        <v>0.147847304601993</v>
      </c>
      <c r="BU79" s="4" t="n">
        <f aca="false">BT79/'Dataset experimental'!$AF79</f>
        <v>0.924045653762455</v>
      </c>
    </row>
    <row r="80" customFormat="false" ht="14.25" hidden="false" customHeight="false" outlineLevel="0" collapsed="false">
      <c r="A80" s="4" t="e">
        <f aca="false">0.0894*ABS(D80)-0.01603*E80</f>
        <v>#REF!</v>
      </c>
      <c r="B80" s="12" t="e">
        <f aca="false">'Dataset experimental'!K80*COS('Dataset experimental'!AC80)-'Dataset experimental'!M80-'Dataset experimental'!C80</f>
        <v>#REF!</v>
      </c>
      <c r="C80" s="12" t="e">
        <f aca="false">('Dataset experimental'!AE80+SIN('Avaliação do resultado ML'!B80))*0.70674187</f>
        <v>#REF!</v>
      </c>
      <c r="D80" s="12" t="e">
        <f aca="false">'Modelos Propostos'!E80+'Avaliação do resultado ML'!C80-'Modelos normativos'!AQ80</f>
        <v>#REF!</v>
      </c>
      <c r="E80" s="12" t="n">
        <f aca="false">'Modelos empíricos'!I80+1.1854</f>
        <v>0.330854372895078</v>
      </c>
      <c r="F80" s="4" t="e">
        <f aca="false">-0.01753*('Modelos normativos'!AN80-'Dataset experimental'!C80-ABS(G80)-('Modelos Propostos'!E80-'Modelos normativos'!AP80)/0.25291)</f>
        <v>#REF!</v>
      </c>
      <c r="G80" s="4" t="e">
        <f aca="false">'Dataset experimental'!K80+'Modelos empíricos'!K80^2+('Modelos Propostos'!E80-'Modelos normativos'!AQ80)*4.10553</f>
        <v>#REF!</v>
      </c>
      <c r="H80" s="4" t="e">
        <f aca="false">0.03283*(J80+K80)</f>
        <v>#REF!</v>
      </c>
      <c r="I80" s="4" t="e">
        <f aca="false">(1.61428/'Dataset experimental'!Q80)^3</f>
        <v>#REF!</v>
      </c>
      <c r="J80" s="4" t="e">
        <f aca="false">SIN('Dataset experimental'!E80)+1.450178*(SIN('Avaliação do resultado ML'!I80)+'Dataset experimental'!C80)</f>
        <v>#REF!</v>
      </c>
      <c r="K80" s="4" t="e">
        <f aca="false">('Modelos empíricos'!C80-'Dataset experimental'!G80)*'Dataset experimental'!AE80-'Modelos normativos'!AP80</f>
        <v>#REF!</v>
      </c>
      <c r="L80" s="4" t="n">
        <f aca="false">0.0076*'Dataset experimental'!B80+'Avaliação do resultado ML'!M80+'Avaliação do resultado ML'!N80+(-0.0328)*(0.0171*'Dataset experimental'!AD80-0.9442)*'Avaliação do resultado ML'!O80-'Avaliação do resultado ML'!P80-0.0364</f>
        <v>0.00634600038339785</v>
      </c>
      <c r="M80" s="12" t="n">
        <f aca="false">0.03283*SIN(0.7328*'Dataset experimental'!D80-1.8266)</f>
        <v>0.0119269103214528</v>
      </c>
      <c r="N80" s="12" t="n">
        <f aca="false">0.0476*SIN(4.2067/(0.0095*'Dataset experimental'!P80-1.9338)^3)</f>
        <v>-0.0275224531868956</v>
      </c>
      <c r="O80" s="12" t="n">
        <f aca="false">0.0214*'Dataset experimental'!F80-3.1067*'Dataset experimental'!B80*'Dataset experimental'!P80*('Dataset experimental'!T80-'Dataset experimental'!R80)*(0.39*'Dataset experimental'!P80*'Dataset experimental'!T80/'Dataset experimental'!V80-'Dataset experimental'!Z80+3.12)/(100000*'Dataset experimental'!V80)+0.7995</f>
        <v>0.275091048868066</v>
      </c>
      <c r="P80" s="12" t="n">
        <f aca="false">0.4461*('Dataset experimental'!Z80-0.6*'Modelos normativos'!AB80)*(3.4*'Dataset experimental'!L80+0.17*'Dataset experimental'!B80/'Modelos normativos'!AC80)/200000</f>
        <v>0.0648462378131868</v>
      </c>
      <c r="Q80" s="4" t="e">
        <f aca="false">L80/H80</f>
        <v>#REF!</v>
      </c>
      <c r="R80" s="4" t="e">
        <f aca="false">(-0.042-0.014*'Com TS variável MC2020'!Q89)*('Modelos normativos'!AP80-ABS('Modelos Propostos'!K80)-'Dataset experimental'!W80+COS(S80))</f>
        <v>#REF!</v>
      </c>
      <c r="S80" s="4" t="e">
        <f aca="false">'Dataset experimental'!O80-('Modelos normativos'!AQ80-SIN(0.083/('Dataset experimental'!M80-'Dataset experimental'!O80))-'Modelos empíricos'!I80)/0.646</f>
        <v>#REF!</v>
      </c>
      <c r="W80" s="4" t="e">
        <f aca="false">'Modelos normativos'!S80+'Avaliação do resultado ML'!A80</f>
        <v>#REF!</v>
      </c>
      <c r="X80" s="4" t="e">
        <f aca="false">W80/'Dataset experimental'!$AF80</f>
        <v>#REF!</v>
      </c>
      <c r="AJ80" s="4" t="e">
        <f aca="false">'Modelos Propostos'!B80+H80</f>
        <v>#REF!</v>
      </c>
      <c r="AK80" s="4" t="e">
        <f aca="false">AJ80/'Dataset experimental'!$AF80</f>
        <v>#REF!</v>
      </c>
      <c r="AV80" s="4" t="e">
        <f aca="false">'Modelos normativos'!S80+F80</f>
        <v>#REF!</v>
      </c>
      <c r="AW80" s="4" t="e">
        <f aca="false">AV80/'Dataset experimental'!$AF80</f>
        <v>#REF!</v>
      </c>
      <c r="BH80" s="4" t="e">
        <f aca="false">'Modelos Propostos'!B80+R80</f>
        <v>#REF!</v>
      </c>
      <c r="BI80" s="4" t="e">
        <f aca="false">BH80/'Dataset experimental'!$AF80</f>
        <v>#REF!</v>
      </c>
      <c r="BT80" s="4" t="n">
        <f aca="false">'Modelos Propostos'!B80+L80</f>
        <v>0.17691220441023</v>
      </c>
      <c r="BU80" s="4" t="n">
        <f aca="false">BT80/'Dataset experimental'!$AF80</f>
        <v>0.842439068620143</v>
      </c>
    </row>
    <row r="81" customFormat="false" ht="14.25" hidden="false" customHeight="false" outlineLevel="0" collapsed="false">
      <c r="A81" s="4" t="e">
        <f aca="false">0.0894*ABS(D81)-0.01603*E81</f>
        <v>#REF!</v>
      </c>
      <c r="B81" s="12" t="e">
        <f aca="false">'Dataset experimental'!K81*COS('Dataset experimental'!AC81)-'Dataset experimental'!M81-'Dataset experimental'!C81</f>
        <v>#REF!</v>
      </c>
      <c r="C81" s="12" t="e">
        <f aca="false">('Dataset experimental'!AE81+SIN('Avaliação do resultado ML'!B81))*0.70674187</f>
        <v>#REF!</v>
      </c>
      <c r="D81" s="12" t="e">
        <f aca="false">'Modelos Propostos'!E81+'Avaliação do resultado ML'!C81-'Modelos normativos'!AQ81</f>
        <v>#REF!</v>
      </c>
      <c r="E81" s="12" t="n">
        <f aca="false">'Modelos empíricos'!I81+1.1854</f>
        <v>0.1216606785626</v>
      </c>
      <c r="F81" s="4" t="e">
        <f aca="false">-0.01753*('Modelos normativos'!AN81-'Dataset experimental'!C81-ABS(G81)-('Modelos Propostos'!E81-'Modelos normativos'!AP81)/0.25291)</f>
        <v>#REF!</v>
      </c>
      <c r="G81" s="4" t="e">
        <f aca="false">'Dataset experimental'!K81+'Modelos empíricos'!K81^2+('Modelos Propostos'!E81-'Modelos normativos'!AQ81)*4.10553</f>
        <v>#REF!</v>
      </c>
      <c r="H81" s="4" t="e">
        <f aca="false">0.03283*(J81+K81)</f>
        <v>#REF!</v>
      </c>
      <c r="I81" s="4" t="e">
        <f aca="false">(1.61428/'Dataset experimental'!Q81)^3</f>
        <v>#REF!</v>
      </c>
      <c r="J81" s="4" t="e">
        <f aca="false">SIN('Dataset experimental'!E81)+1.450178*(SIN('Avaliação do resultado ML'!I81)+'Dataset experimental'!C81)</f>
        <v>#REF!</v>
      </c>
      <c r="K81" s="4" t="e">
        <f aca="false">('Modelos empíricos'!C81-'Dataset experimental'!G81)*'Dataset experimental'!AE81-'Modelos normativos'!AP81</f>
        <v>#REF!</v>
      </c>
      <c r="L81" s="4" t="n">
        <f aca="false">0.0076*'Dataset experimental'!B81+'Avaliação do resultado ML'!M81+'Avaliação do resultado ML'!N81+(-0.0328)*(0.0171*'Dataset experimental'!AD81-0.9442)*'Avaliação do resultado ML'!O81-'Avaliação do resultado ML'!P81-0.0364</f>
        <v>0.0314150505108159</v>
      </c>
      <c r="M81" s="12" t="n">
        <f aca="false">0.03283*SIN(0.7328*'Dataset experimental'!D81-1.8266)</f>
        <v>-0.0115958827834406</v>
      </c>
      <c r="N81" s="12" t="n">
        <f aca="false">0.0476*SIN(4.2067/(0.0095*'Dataset experimental'!P81-1.9338)^3)</f>
        <v>-0.0456510623570613</v>
      </c>
      <c r="O81" s="12" t="n">
        <f aca="false">0.0214*'Dataset experimental'!F81-3.1067*'Dataset experimental'!B81*'Dataset experimental'!P81*('Dataset experimental'!T81-'Dataset experimental'!R81)*(0.39*'Dataset experimental'!P81*'Dataset experimental'!T81/'Dataset experimental'!V81-'Dataset experimental'!Z81+3.12)/(100000*'Dataset experimental'!V81)+0.7995</f>
        <v>2.12684263718657</v>
      </c>
      <c r="P81" s="12" t="n">
        <f aca="false">0.4461*('Dataset experimental'!Z81-0.6*'Modelos normativos'!AB81)*(3.4*'Dataset experimental'!L81+0.17*'Dataset experimental'!B81/'Modelos normativos'!AC81)/200000</f>
        <v>0.0380467209439083</v>
      </c>
      <c r="Q81" s="4" t="e">
        <f aca="false">L81/H81</f>
        <v>#REF!</v>
      </c>
      <c r="R81" s="4" t="e">
        <f aca="false">(-0.042-0.014*'Com TS variável MC2020'!Q90)*('Modelos normativos'!AP81-ABS('Modelos Propostos'!K81)-'Dataset experimental'!W81+COS(S81))</f>
        <v>#REF!</v>
      </c>
      <c r="S81" s="4" t="e">
        <f aca="false">'Dataset experimental'!O81-('Modelos normativos'!AQ81-SIN(0.083/('Dataset experimental'!M81-'Dataset experimental'!O81))-'Modelos empíricos'!I81)/0.646</f>
        <v>#REF!</v>
      </c>
      <c r="W81" s="4" t="e">
        <f aca="false">'Modelos normativos'!S81+'Avaliação do resultado ML'!A81</f>
        <v>#REF!</v>
      </c>
      <c r="X81" s="4" t="e">
        <f aca="false">W81/'Dataset experimental'!$AF81</f>
        <v>#REF!</v>
      </c>
      <c r="AJ81" s="4" t="e">
        <f aca="false">'Modelos Propostos'!B81+H81</f>
        <v>#REF!</v>
      </c>
      <c r="AK81" s="4" t="e">
        <f aca="false">AJ81/'Dataset experimental'!$AF81</f>
        <v>#REF!</v>
      </c>
      <c r="AV81" s="4" t="e">
        <f aca="false">'Modelos normativos'!S81+F81</f>
        <v>#REF!</v>
      </c>
      <c r="AW81" s="4" t="e">
        <f aca="false">AV81/'Dataset experimental'!$AF81</f>
        <v>#REF!</v>
      </c>
      <c r="BH81" s="4" t="e">
        <f aca="false">'Modelos Propostos'!B81+R81</f>
        <v>#REF!</v>
      </c>
      <c r="BI81" s="4" t="e">
        <f aca="false">BH81/'Dataset experimental'!$AF81</f>
        <v>#REF!</v>
      </c>
      <c r="BT81" s="4" t="n">
        <f aca="false">'Modelos Propostos'!B81+L81</f>
        <v>0.153476601642001</v>
      </c>
      <c r="BU81" s="4" t="n">
        <f aca="false">BT81/'Dataset experimental'!$AF81</f>
        <v>1.02317734428</v>
      </c>
    </row>
    <row r="82" customFormat="false" ht="14.25" hidden="false" customHeight="false" outlineLevel="0" collapsed="false">
      <c r="A82" s="4" t="e">
        <f aca="false">0.0894*ABS(D82)-0.01603*E82</f>
        <v>#REF!</v>
      </c>
      <c r="B82" s="12" t="e">
        <f aca="false">'Dataset experimental'!K82*COS('Dataset experimental'!AC82)-'Dataset experimental'!M82-'Dataset experimental'!C82</f>
        <v>#REF!</v>
      </c>
      <c r="C82" s="12" t="e">
        <f aca="false">('Dataset experimental'!AE82+SIN('Avaliação do resultado ML'!B82))*0.70674187</f>
        <v>#REF!</v>
      </c>
      <c r="D82" s="12" t="e">
        <f aca="false">'Modelos Propostos'!E82+'Avaliação do resultado ML'!C82-'Modelos normativos'!AQ82</f>
        <v>#REF!</v>
      </c>
      <c r="E82" s="12" t="n">
        <f aca="false">'Modelos empíricos'!I82+1.1854</f>
        <v>0.481671942771001</v>
      </c>
      <c r="F82" s="4" t="e">
        <f aca="false">-0.01753*('Modelos normativos'!AN82-'Dataset experimental'!C82-ABS(G82)-('Modelos Propostos'!E82-'Modelos normativos'!AP82)/0.25291)</f>
        <v>#REF!</v>
      </c>
      <c r="G82" s="4" t="e">
        <f aca="false">'Dataset experimental'!K82+'Modelos empíricos'!K82^2+('Modelos Propostos'!E82-'Modelos normativos'!AQ82)*4.10553</f>
        <v>#REF!</v>
      </c>
      <c r="H82" s="4" t="e">
        <f aca="false">0.03283*(J82+K82)</f>
        <v>#REF!</v>
      </c>
      <c r="I82" s="4" t="e">
        <f aca="false">(1.61428/'Dataset experimental'!Q82)^3</f>
        <v>#REF!</v>
      </c>
      <c r="J82" s="4" t="e">
        <f aca="false">SIN('Dataset experimental'!E82)+1.450178*(SIN('Avaliação do resultado ML'!I82)+'Dataset experimental'!C82)</f>
        <v>#REF!</v>
      </c>
      <c r="K82" s="4" t="e">
        <f aca="false">('Modelos empíricos'!C82-'Dataset experimental'!G82)*'Dataset experimental'!AE82-'Modelos normativos'!AP82</f>
        <v>#REF!</v>
      </c>
      <c r="L82" s="4" t="n">
        <f aca="false">0.0076*'Dataset experimental'!B82+'Avaliação do resultado ML'!M82+'Avaliação do resultado ML'!N82+(-0.0328)*(0.0171*'Dataset experimental'!AD82-0.9442)*'Avaliação do resultado ML'!O82-'Avaliação do resultado ML'!P82-0.0364</f>
        <v>0.00363557884728602</v>
      </c>
      <c r="M82" s="12" t="n">
        <f aca="false">0.03283*SIN(0.7328*'Dataset experimental'!D82-1.8266)</f>
        <v>-0.0115958827834406</v>
      </c>
      <c r="N82" s="12" t="n">
        <f aca="false">0.0476*SIN(4.2067/(0.0095*'Dataset experimental'!P82-1.9338)^3)</f>
        <v>-0.0456510623570613</v>
      </c>
      <c r="O82" s="12" t="n">
        <f aca="false">0.0214*'Dataset experimental'!F82-3.1067*'Dataset experimental'!B82*'Dataset experimental'!P82*('Dataset experimental'!T82-'Dataset experimental'!R82)*(0.39*'Dataset experimental'!P82*'Dataset experimental'!T82/'Dataset experimental'!V82-'Dataset experimental'!Z82+3.12)/(100000*'Dataset experimental'!V82)+0.7995</f>
        <v>1.7317653499251</v>
      </c>
      <c r="P82" s="12" t="n">
        <f aca="false">0.4461*('Dataset experimental'!Z82-0.6*'Modelos normativos'!AB82)*(3.4*'Dataset experimental'!L82+0.17*'Dataset experimental'!B82/'Modelos normativos'!AC82)/200000</f>
        <v>0.0552793983711723</v>
      </c>
      <c r="Q82" s="4" t="e">
        <f aca="false">L82/H82</f>
        <v>#REF!</v>
      </c>
      <c r="R82" s="4" t="e">
        <f aca="false">(-0.042-0.014*'Com TS variável MC2020'!Q91)*('Modelos normativos'!AP82-ABS('Modelos Propostos'!K82)-'Dataset experimental'!W82+COS(S82))</f>
        <v>#REF!</v>
      </c>
      <c r="S82" s="4" t="e">
        <f aca="false">'Dataset experimental'!O82-('Modelos normativos'!AQ82-SIN(0.083/('Dataset experimental'!M82-'Dataset experimental'!O82))-'Modelos empíricos'!I82)/0.646</f>
        <v>#REF!</v>
      </c>
      <c r="W82" s="4" t="e">
        <f aca="false">'Modelos normativos'!S82+'Avaliação do resultado ML'!A82</f>
        <v>#REF!</v>
      </c>
      <c r="X82" s="4" t="e">
        <f aca="false">W82/'Dataset experimental'!$AF82</f>
        <v>#REF!</v>
      </c>
      <c r="AJ82" s="4" t="e">
        <f aca="false">'Modelos Propostos'!B82+H82</f>
        <v>#REF!</v>
      </c>
      <c r="AK82" s="4" t="e">
        <f aca="false">AJ82/'Dataset experimental'!$AF82</f>
        <v>#REF!</v>
      </c>
      <c r="AV82" s="4" t="e">
        <f aca="false">'Modelos normativos'!S82+F82</f>
        <v>#REF!</v>
      </c>
      <c r="AW82" s="4" t="e">
        <f aca="false">AV82/'Dataset experimental'!$AF82</f>
        <v>#REF!</v>
      </c>
      <c r="BH82" s="4" t="e">
        <f aca="false">'Modelos Propostos'!B82+R82</f>
        <v>#REF!</v>
      </c>
      <c r="BI82" s="4" t="e">
        <f aca="false">BH82/'Dataset experimental'!$AF82</f>
        <v>#REF!</v>
      </c>
      <c r="BT82" s="4" t="n">
        <f aca="false">'Modelos Propostos'!B82+L82</f>
        <v>0.159115966915494</v>
      </c>
      <c r="BU82" s="4" t="n">
        <f aca="false">BT82/'Dataset experimental'!$AF82</f>
        <v>0.795579834577471</v>
      </c>
    </row>
    <row r="83" customFormat="false" ht="14.25" hidden="false" customHeight="false" outlineLevel="0" collapsed="false">
      <c r="A83" s="4" t="e">
        <f aca="false">0.0894*ABS(D83)-0.01603*E83</f>
        <v>#REF!</v>
      </c>
      <c r="B83" s="12" t="e">
        <f aca="false">'Dataset experimental'!K83*COS('Dataset experimental'!AC83)-'Dataset experimental'!M83-'Dataset experimental'!C83</f>
        <v>#REF!</v>
      </c>
      <c r="C83" s="12" t="e">
        <f aca="false">('Dataset experimental'!AE83+SIN('Avaliação do resultado ML'!B83))*0.70674187</f>
        <v>#REF!</v>
      </c>
      <c r="D83" s="12" t="e">
        <f aca="false">'Modelos Propostos'!E83+'Avaliação do resultado ML'!C83-'Modelos normativos'!AQ83</f>
        <v>#REF!</v>
      </c>
      <c r="E83" s="12" t="n">
        <f aca="false">'Modelos empíricos'!I83+1.1854</f>
        <v>0.841683206979404</v>
      </c>
      <c r="F83" s="4" t="e">
        <f aca="false">-0.01753*('Modelos normativos'!AN83-'Dataset experimental'!C83-ABS(G83)-('Modelos Propostos'!E83-'Modelos normativos'!AP83)/0.25291)</f>
        <v>#REF!</v>
      </c>
      <c r="G83" s="4" t="e">
        <f aca="false">'Dataset experimental'!K83+'Modelos empíricos'!K83^2+('Modelos Propostos'!E83-'Modelos normativos'!AQ83)*4.10553</f>
        <v>#REF!</v>
      </c>
      <c r="H83" s="4" t="e">
        <f aca="false">0.03283*(J83+K83)</f>
        <v>#REF!</v>
      </c>
      <c r="I83" s="4" t="e">
        <f aca="false">(1.61428/'Dataset experimental'!Q83)^3</f>
        <v>#REF!</v>
      </c>
      <c r="J83" s="4" t="e">
        <f aca="false">SIN('Dataset experimental'!E83)+1.450178*(SIN('Avaliação do resultado ML'!I83)+'Dataset experimental'!C83)</f>
        <v>#REF!</v>
      </c>
      <c r="K83" s="4" t="e">
        <f aca="false">('Modelos empíricos'!C83-'Dataset experimental'!G83)*'Dataset experimental'!AE83-'Modelos normativos'!AP83</f>
        <v>#REF!</v>
      </c>
      <c r="L83" s="4" t="n">
        <f aca="false">0.0076*'Dataset experimental'!B83+'Avaliação do resultado ML'!M83+'Avaliação do resultado ML'!N83+(-0.0328)*(0.0171*'Dataset experimental'!AD83-0.9442)*'Avaliação do resultado ML'!O83-'Avaliação do resultado ML'!P83-0.0364</f>
        <v>-0.0228498016747894</v>
      </c>
      <c r="M83" s="12" t="n">
        <f aca="false">0.03283*SIN(0.7328*'Dataset experimental'!D83-1.8266)</f>
        <v>-0.0115958827834406</v>
      </c>
      <c r="N83" s="12" t="n">
        <f aca="false">0.0476*SIN(4.2067/(0.0095*'Dataset experimental'!P83-1.9338)^3)</f>
        <v>-0.0456510623570613</v>
      </c>
      <c r="O83" s="12" t="n">
        <f aca="false">0.0214*'Dataset experimental'!F83-3.1067*'Dataset experimental'!B83*'Dataset experimental'!P83*('Dataset experimental'!T83-'Dataset experimental'!R83)*(0.39*'Dataset experimental'!P83*'Dataset experimental'!T83/'Dataset experimental'!V83-'Dataset experimental'!Z83+3.12)/(100000*'Dataset experimental'!V83)+0.7995</f>
        <v>1.33668806266363</v>
      </c>
      <c r="P83" s="12" t="n">
        <f aca="false">0.4461*('Dataset experimental'!Z83-0.6*'Modelos normativos'!AB83)*(3.4*'Dataset experimental'!L83+0.17*'Dataset experimental'!B83/'Modelos normativos'!AC83)/200000</f>
        <v>0.0725120757984364</v>
      </c>
      <c r="Q83" s="4" t="e">
        <f aca="false">L83/H83</f>
        <v>#REF!</v>
      </c>
      <c r="R83" s="4" t="e">
        <f aca="false">(-0.042-0.014*'Com TS variável MC2020'!Q92)*('Modelos normativos'!AP83-ABS('Modelos Propostos'!K83)-'Dataset experimental'!W83+COS(S83))</f>
        <v>#REF!</v>
      </c>
      <c r="S83" s="4" t="e">
        <f aca="false">'Dataset experimental'!O83-('Modelos normativos'!AQ83-SIN(0.083/('Dataset experimental'!M83-'Dataset experimental'!O83))-'Modelos empíricos'!I83)/0.646</f>
        <v>#REF!</v>
      </c>
      <c r="W83" s="4" t="e">
        <f aca="false">'Modelos normativos'!S83+'Avaliação do resultado ML'!A83</f>
        <v>#REF!</v>
      </c>
      <c r="X83" s="4" t="e">
        <f aca="false">W83/'Dataset experimental'!$AF83</f>
        <v>#REF!</v>
      </c>
      <c r="AJ83" s="4" t="e">
        <f aca="false">'Modelos Propostos'!B83+H83</f>
        <v>#REF!</v>
      </c>
      <c r="AK83" s="4" t="e">
        <f aca="false">AJ83/'Dataset experimental'!$AF83</f>
        <v>#REF!</v>
      </c>
      <c r="AV83" s="4" t="e">
        <f aca="false">'Modelos normativos'!S83+F83</f>
        <v>#REF!</v>
      </c>
      <c r="AW83" s="4" t="e">
        <f aca="false">AV83/'Dataset experimental'!$AF83</f>
        <v>#REF!</v>
      </c>
      <c r="BH83" s="4" t="e">
        <f aca="false">'Modelos Propostos'!B83+R83</f>
        <v>#REF!</v>
      </c>
      <c r="BI83" s="4" t="e">
        <f aca="false">BH83/'Dataset experimental'!$AF83</f>
        <v>#REF!</v>
      </c>
      <c r="BT83" s="4" t="n">
        <f aca="false">'Modelos Propostos'!B83+L83</f>
        <v>0.173967537431085</v>
      </c>
      <c r="BU83" s="4" t="n">
        <f aca="false">BT83/'Dataset experimental'!$AF83</f>
        <v>0.695870149724342</v>
      </c>
    </row>
    <row r="84" customFormat="false" ht="14.25" hidden="false" customHeight="false" outlineLevel="0" collapsed="false">
      <c r="A84" s="4" t="e">
        <f aca="false">0.0894*ABS(D84)-0.01603*E84</f>
        <v>#REF!</v>
      </c>
      <c r="B84" s="12" t="e">
        <f aca="false">'Dataset experimental'!K84*COS('Dataset experimental'!AC84)-'Dataset experimental'!M84-'Dataset experimental'!C84</f>
        <v>#REF!</v>
      </c>
      <c r="C84" s="12" t="e">
        <f aca="false">('Dataset experimental'!AE84+SIN('Avaliação do resultado ML'!B84))*0.70674187</f>
        <v>#REF!</v>
      </c>
      <c r="D84" s="12" t="e">
        <f aca="false">'Modelos Propostos'!E84+'Avaliação do resultado ML'!C84-'Modelos normativos'!AQ84</f>
        <v>#REF!</v>
      </c>
      <c r="E84" s="12" t="n">
        <f aca="false">'Modelos empíricos'!I84+1.1854</f>
        <v>1.20107801354361</v>
      </c>
      <c r="F84" s="4" t="e">
        <f aca="false">-0.01753*('Modelos normativos'!AN84-'Dataset experimental'!C84-ABS(G84)-('Modelos Propostos'!E84-'Modelos normativos'!AP84)/0.25291)</f>
        <v>#REF!</v>
      </c>
      <c r="G84" s="4" t="e">
        <f aca="false">'Dataset experimental'!K84+'Modelos empíricos'!K84^2+('Modelos Propostos'!E84-'Modelos normativos'!AQ84)*4.10553</f>
        <v>#REF!</v>
      </c>
      <c r="H84" s="4" t="e">
        <f aca="false">0.03283*(J84+K84)</f>
        <v>#REF!</v>
      </c>
      <c r="I84" s="4" t="e">
        <f aca="false">(1.61428/'Dataset experimental'!Q84)^3</f>
        <v>#REF!</v>
      </c>
      <c r="J84" s="4" t="e">
        <f aca="false">SIN('Dataset experimental'!E84)+1.450178*(SIN('Avaliação do resultado ML'!I84)+'Dataset experimental'!C84)</f>
        <v>#REF!</v>
      </c>
      <c r="K84" s="4" t="e">
        <f aca="false">('Modelos empíricos'!C84-'Dataset experimental'!G84)*'Dataset experimental'!AE84-'Modelos normativos'!AP84</f>
        <v>#REF!</v>
      </c>
      <c r="L84" s="4" t="n">
        <f aca="false">0.0076*'Dataset experimental'!B84+'Avaliação do resultado ML'!M84+'Avaliação do resultado ML'!N84+(-0.0328)*(0.0171*'Dataset experimental'!AD84-0.9442)*'Avaliação do resultado ML'!O84-'Avaliação do resultado ML'!P84-0.0364</f>
        <v>-0.0479990613434844</v>
      </c>
      <c r="M84" s="12" t="n">
        <f aca="false">0.03283*SIN(0.7328*'Dataset experimental'!D84-1.8266)</f>
        <v>-0.0115958827834406</v>
      </c>
      <c r="N84" s="12" t="n">
        <f aca="false">0.0476*SIN(4.2067/(0.0095*'Dataset experimental'!P84-1.9338)^3)</f>
        <v>-0.0456510623570613</v>
      </c>
      <c r="O84" s="12" t="n">
        <f aca="false">0.0214*'Dataset experimental'!F84-3.1067*'Dataset experimental'!B84*'Dataset experimental'!P84*('Dataset experimental'!T84-'Dataset experimental'!R84)*(0.39*'Dataset experimental'!P84*'Dataset experimental'!T84/'Dataset experimental'!V84-'Dataset experimental'!Z84+3.12)/(100000*'Dataset experimental'!V84)+0.7995</f>
        <v>0.94228727760638</v>
      </c>
      <c r="P84" s="12" t="n">
        <f aca="false">0.4461*('Dataset experimental'!Z84-0.6*'Modelos normativos'!AB84)*(3.4*'Dataset experimental'!L84+0.17*'Dataset experimental'!B84/'Modelos normativos'!AC84)/200000</f>
        <v>0.0897152452164072</v>
      </c>
      <c r="Q84" s="4" t="e">
        <f aca="false">L84/H84</f>
        <v>#REF!</v>
      </c>
      <c r="R84" s="4" t="e">
        <f aca="false">(-0.042-0.014*'Com TS variável MC2020'!Q93)*('Modelos normativos'!AP84-ABS('Modelos Propostos'!K84)-'Dataset experimental'!W84+COS(S84))</f>
        <v>#REF!</v>
      </c>
      <c r="S84" s="4" t="e">
        <f aca="false">'Dataset experimental'!O84-('Modelos normativos'!AQ84-SIN(0.083/('Dataset experimental'!M84-'Dataset experimental'!O84))-'Modelos empíricos'!I84)/0.646</f>
        <v>#REF!</v>
      </c>
      <c r="W84" s="4" t="e">
        <f aca="false">'Modelos normativos'!S84+'Avaliação do resultado ML'!A84</f>
        <v>#REF!</v>
      </c>
      <c r="X84" s="4" t="e">
        <f aca="false">W84/'Dataset experimental'!$AF84</f>
        <v>#REF!</v>
      </c>
      <c r="AJ84" s="4" t="e">
        <f aca="false">'Modelos Propostos'!B84+H84</f>
        <v>#REF!</v>
      </c>
      <c r="AK84" s="4" t="e">
        <f aca="false">AJ84/'Dataset experimental'!$AF84</f>
        <v>#REF!</v>
      </c>
      <c r="AV84" s="4" t="e">
        <f aca="false">'Modelos normativos'!S84+F84</f>
        <v>#REF!</v>
      </c>
      <c r="AW84" s="4" t="e">
        <f aca="false">AV84/'Dataset experimental'!$AF84</f>
        <v>#REF!</v>
      </c>
      <c r="BH84" s="4" t="e">
        <f aca="false">'Modelos Propostos'!B84+R84</f>
        <v>#REF!</v>
      </c>
      <c r="BI84" s="4" t="e">
        <f aca="false">BH84/'Dataset experimental'!$AF84</f>
        <v>#REF!</v>
      </c>
      <c r="BT84" s="4" t="n">
        <f aca="false">'Modelos Propostos'!B84+L84</f>
        <v>0.194939045013091</v>
      </c>
      <c r="BU84" s="4" t="n">
        <f aca="false">BT84/'Dataset experimental'!$AF84</f>
        <v>0.696210875046753</v>
      </c>
    </row>
    <row r="85" customFormat="false" ht="14.25" hidden="false" customHeight="false" outlineLevel="0" collapsed="false">
      <c r="A85" s="4" t="e">
        <f aca="false">0.0894*ABS(D85)-0.01603*E85</f>
        <v>#REF!</v>
      </c>
      <c r="B85" s="12" t="e">
        <f aca="false">'Dataset experimental'!K85*COS('Dataset experimental'!AC85)-'Dataset experimental'!M85-'Dataset experimental'!C85</f>
        <v>#REF!</v>
      </c>
      <c r="C85" s="12" t="e">
        <f aca="false">('Dataset experimental'!AE85+SIN('Avaliação do resultado ML'!B85))*0.70674187</f>
        <v>#REF!</v>
      </c>
      <c r="D85" s="12" t="e">
        <f aca="false">'Modelos Propostos'!E85+'Avaliação do resultado ML'!C85-'Modelos normativos'!AQ85</f>
        <v>#REF!</v>
      </c>
      <c r="E85" s="12" t="n">
        <f aca="false">'Modelos empíricos'!I85+1.1854</f>
        <v>1.56047282010782</v>
      </c>
      <c r="F85" s="4" t="e">
        <f aca="false">-0.01753*('Modelos normativos'!AN85-'Dataset experimental'!C85-ABS(G85)-('Modelos Propostos'!E85-'Modelos normativos'!AP85)/0.25291)</f>
        <v>#REF!</v>
      </c>
      <c r="G85" s="4" t="e">
        <f aca="false">'Dataset experimental'!K85+'Modelos empíricos'!K85^2+('Modelos Propostos'!E85-'Modelos normativos'!AQ85)*4.10553</f>
        <v>#REF!</v>
      </c>
      <c r="H85" s="4" t="e">
        <f aca="false">0.03283*(J85+K85)</f>
        <v>#REF!</v>
      </c>
      <c r="I85" s="4" t="e">
        <f aca="false">(1.61428/'Dataset experimental'!Q85)^3</f>
        <v>#REF!</v>
      </c>
      <c r="J85" s="4" t="e">
        <f aca="false">SIN('Dataset experimental'!E85)+1.450178*(SIN('Avaliação do resultado ML'!I85)+'Dataset experimental'!C85)</f>
        <v>#REF!</v>
      </c>
      <c r="K85" s="4" t="e">
        <f aca="false">('Modelos empíricos'!C85-'Dataset experimental'!G85)*'Dataset experimental'!AE85-'Modelos normativos'!AP85</f>
        <v>#REF!</v>
      </c>
      <c r="L85" s="4" t="n">
        <f aca="false">0.0076*'Dataset experimental'!B85+'Avaliação do resultado ML'!M85+'Avaliação do resultado ML'!N85+(-0.0328)*(0.0171*'Dataset experimental'!AD85-0.9442)*'Avaliação do resultado ML'!O85-'Avaliação do resultado ML'!P85-0.0364</f>
        <v>-0.0718586578953369</v>
      </c>
      <c r="M85" s="12" t="n">
        <f aca="false">0.03283*SIN(0.7328*'Dataset experimental'!D85-1.8266)</f>
        <v>-0.0115958827834406</v>
      </c>
      <c r="N85" s="12" t="n">
        <f aca="false">0.0476*SIN(4.2067/(0.0095*'Dataset experimental'!P85-1.9338)^3)</f>
        <v>-0.0456510623570613</v>
      </c>
      <c r="O85" s="12" t="n">
        <f aca="false">0.0214*'Dataset experimental'!F85-3.1067*'Dataset experimental'!B85*'Dataset experimental'!P85*('Dataset experimental'!T85-'Dataset experimental'!R85)*(0.39*'Dataset experimental'!P85*'Dataset experimental'!T85/'Dataset experimental'!V85-'Dataset experimental'!Z85+3.12)/(100000*'Dataset experimental'!V85)+0.7995</f>
        <v>0.547886492549125</v>
      </c>
      <c r="P85" s="12" t="n">
        <f aca="false">0.4461*('Dataset experimental'!Z85-0.6*'Modelos normativos'!AB85)*(3.4*'Dataset experimental'!L85+0.17*'Dataset experimental'!B85/'Modelos normativos'!AC85)/200000</f>
        <v>0.106918414634378</v>
      </c>
      <c r="Q85" s="4" t="e">
        <f aca="false">L85/H85</f>
        <v>#REF!</v>
      </c>
      <c r="R85" s="4" t="e">
        <f aca="false">(-0.042-0.014*'Com TS variável MC2020'!Q94)*('Modelos normativos'!AP85-ABS('Modelos Propostos'!K85)-'Dataset experimental'!W85+COS(S85))</f>
        <v>#REF!</v>
      </c>
      <c r="S85" s="4" t="e">
        <f aca="false">'Dataset experimental'!O85-('Modelos normativos'!AQ85-SIN(0.083/('Dataset experimental'!M85-'Dataset experimental'!O85))-'Modelos empíricos'!I85)/0.646</f>
        <v>#REF!</v>
      </c>
      <c r="W85" s="4" t="e">
        <f aca="false">'Modelos normativos'!S85+'Avaliação do resultado ML'!A85</f>
        <v>#REF!</v>
      </c>
      <c r="X85" s="4" t="e">
        <f aca="false">W85/'Dataset experimental'!$AF85</f>
        <v>#REF!</v>
      </c>
      <c r="AJ85" s="4" t="e">
        <f aca="false">'Modelos Propostos'!B85+H85</f>
        <v>#REF!</v>
      </c>
      <c r="AK85" s="4" t="e">
        <f aca="false">AJ85/'Dataset experimental'!$AF85</f>
        <v>#REF!</v>
      </c>
      <c r="AV85" s="4" t="e">
        <f aca="false">'Modelos normativos'!S85+F85</f>
        <v>#REF!</v>
      </c>
      <c r="AW85" s="4" t="e">
        <f aca="false">AV85/'Dataset experimental'!$AF85</f>
        <v>#REF!</v>
      </c>
      <c r="BH85" s="4" t="e">
        <f aca="false">'Modelos Propostos'!B85+R85</f>
        <v>#REF!</v>
      </c>
      <c r="BI85" s="4" t="e">
        <f aca="false">BH85/'Dataset experimental'!$AF85</f>
        <v>#REF!</v>
      </c>
      <c r="BT85" s="4" t="n">
        <f aca="false">'Modelos Propostos'!B85+L85</f>
        <v>0.225468145750023</v>
      </c>
      <c r="BU85" s="4" t="n">
        <f aca="false">BT85/'Dataset experimental'!$AF85</f>
        <v>0.805243377678654</v>
      </c>
    </row>
    <row r="86" customFormat="false" ht="14.25" hidden="false" customHeight="false" outlineLevel="0" collapsed="false">
      <c r="A86" s="4" t="e">
        <f aca="false">0.0894*ABS(D86)-0.01603*E86</f>
        <v>#REF!</v>
      </c>
      <c r="B86" s="12" t="e">
        <f aca="false">'Dataset experimental'!K86*COS('Dataset experimental'!AC86)-'Dataset experimental'!M86-'Dataset experimental'!C86</f>
        <v>#REF!</v>
      </c>
      <c r="C86" s="12" t="e">
        <f aca="false">('Dataset experimental'!AE86+SIN('Avaliação do resultado ML'!B86))*0.70674187</f>
        <v>#REF!</v>
      </c>
      <c r="D86" s="12" t="e">
        <f aca="false">'Modelos Propostos'!E86+'Avaliação do resultado ML'!C86-'Modelos normativos'!AQ86</f>
        <v>#REF!</v>
      </c>
      <c r="E86" s="12" t="n">
        <f aca="false">'Modelos empíricos'!I86+1.1854</f>
        <v>1.92048408431622</v>
      </c>
      <c r="F86" s="4" t="e">
        <f aca="false">-0.01753*('Modelos normativos'!AN86-'Dataset experimental'!C86-ABS(G86)-('Modelos Propostos'!E86-'Modelos normativos'!AP86)/0.25291)</f>
        <v>#REF!</v>
      </c>
      <c r="G86" s="4" t="e">
        <f aca="false">'Dataset experimental'!K86+'Modelos empíricos'!K86^2+('Modelos Propostos'!E86-'Modelos normativos'!AQ86)*4.10553</f>
        <v>#REF!</v>
      </c>
      <c r="H86" s="4" t="e">
        <f aca="false">0.03283*(J86+K86)</f>
        <v>#REF!</v>
      </c>
      <c r="I86" s="4" t="e">
        <f aca="false">(1.61428/'Dataset experimental'!Q86)^3</f>
        <v>#REF!</v>
      </c>
      <c r="J86" s="4" t="e">
        <f aca="false">SIN('Dataset experimental'!E86)+1.450178*(SIN('Avaliação do resultado ML'!I86)+'Dataset experimental'!C86)</f>
        <v>#REF!</v>
      </c>
      <c r="K86" s="4" t="e">
        <f aca="false">('Modelos empíricos'!C86-'Dataset experimental'!G86)*'Dataset experimental'!AE86-'Modelos normativos'!AP86</f>
        <v>#REF!</v>
      </c>
      <c r="L86" s="4" t="n">
        <f aca="false">0.0076*'Dataset experimental'!B86+'Avaliação do resultado ML'!M86+'Avaliação do resultado ML'!N86+(-0.0328)*(0.0171*'Dataset experimental'!AD86-0.9442)*'Avaliação do resultado ML'!O86-'Avaliação do resultado ML'!P86-0.0364</f>
        <v>-0.0944661968120261</v>
      </c>
      <c r="M86" s="12" t="n">
        <f aca="false">0.03283*SIN(0.7328*'Dataset experimental'!D86-1.8266)</f>
        <v>-0.0115958827834406</v>
      </c>
      <c r="N86" s="12" t="n">
        <f aca="false">0.0476*SIN(4.2067/(0.0095*'Dataset experimental'!P86-1.9338)^3)</f>
        <v>-0.0456510623570613</v>
      </c>
      <c r="O86" s="12" t="n">
        <f aca="false">0.0214*'Dataset experimental'!F86-3.1067*'Dataset experimental'!B86*'Dataset experimental'!P86*('Dataset experimental'!T86-'Dataset experimental'!R86)*(0.39*'Dataset experimental'!P86*'Dataset experimental'!T86/'Dataset experimental'!V86-'Dataset experimental'!Z86+3.12)/(100000*'Dataset experimental'!V86)+0.7995</f>
        <v>0.152809205287656</v>
      </c>
      <c r="P86" s="12" t="n">
        <f aca="false">0.4461*('Dataset experimental'!Z86-0.6*'Modelos normativos'!AB86)*(3.4*'Dataset experimental'!L86+0.17*'Dataset experimental'!B86/'Modelos normativos'!AC86)/200000</f>
        <v>0.124151092061642</v>
      </c>
      <c r="Q86" s="4" t="e">
        <f aca="false">L86/H86</f>
        <v>#REF!</v>
      </c>
      <c r="R86" s="4" t="e">
        <f aca="false">(-0.042-0.014*'Com TS variável MC2020'!Q95)*('Modelos normativos'!AP86-ABS('Modelos Propostos'!K86)-'Dataset experimental'!W86+COS(S86))</f>
        <v>#REF!</v>
      </c>
      <c r="S86" s="4" t="e">
        <f aca="false">'Dataset experimental'!O86-('Modelos normativos'!AQ86-SIN(0.083/('Dataset experimental'!M86-'Dataset experimental'!O86))-'Modelos empíricos'!I86)/0.646</f>
        <v>#REF!</v>
      </c>
      <c r="W86" s="4" t="e">
        <f aca="false">'Modelos normativos'!S86+'Avaliação do resultado ML'!A86</f>
        <v>#REF!</v>
      </c>
      <c r="X86" s="4" t="e">
        <f aca="false">W86/'Dataset experimental'!$AF86</f>
        <v>#REF!</v>
      </c>
      <c r="AJ86" s="4" t="e">
        <f aca="false">'Modelos Propostos'!B86+H86</f>
        <v>#REF!</v>
      </c>
      <c r="AK86" s="4" t="e">
        <f aca="false">AJ86/'Dataset experimental'!$AF86</f>
        <v>#REF!</v>
      </c>
      <c r="AV86" s="4" t="e">
        <f aca="false">'Modelos normativos'!S86+F86</f>
        <v>#REF!</v>
      </c>
      <c r="AW86" s="4" t="e">
        <f aca="false">AV86/'Dataset experimental'!$AF86</f>
        <v>#REF!</v>
      </c>
      <c r="BH86" s="4" t="e">
        <f aca="false">'Modelos Propostos'!B86+R86</f>
        <v>#REF!</v>
      </c>
      <c r="BI86" s="4" t="e">
        <f aca="false">BH86/'Dataset experimental'!$AF86</f>
        <v>#REF!</v>
      </c>
      <c r="BT86" s="4" t="n">
        <f aca="false">'Modelos Propostos'!B86+L86</f>
        <v>0.272748383951283</v>
      </c>
      <c r="BU86" s="4" t="n">
        <f aca="false">BT86/'Dataset experimental'!$AF86</f>
        <v>0.909161279837609</v>
      </c>
    </row>
    <row r="87" customFormat="false" ht="14.25" hidden="false" customHeight="false" outlineLevel="0" collapsed="false">
      <c r="A87" s="4" t="e">
        <f aca="false">0.0894*ABS(D87)-0.01603*E87</f>
        <v>#REF!</v>
      </c>
      <c r="B87" s="12" t="e">
        <f aca="false">'Dataset experimental'!K87*COS('Dataset experimental'!AC87)-'Dataset experimental'!M87-'Dataset experimental'!C87</f>
        <v>#REF!</v>
      </c>
      <c r="C87" s="12" t="e">
        <f aca="false">('Dataset experimental'!AE87+SIN('Avaliação do resultado ML'!B87))*0.70674187</f>
        <v>#REF!</v>
      </c>
      <c r="D87" s="12" t="e">
        <f aca="false">'Modelos Propostos'!E87+'Avaliação do resultado ML'!C87-'Modelos normativos'!AQ87</f>
        <v>#REF!</v>
      </c>
      <c r="E87" s="12" t="n">
        <f aca="false">'Modelos empíricos'!I87+1.1854</f>
        <v>2.28049534852463</v>
      </c>
      <c r="F87" s="4" t="e">
        <f aca="false">-0.01753*('Modelos normativos'!AN87-'Dataset experimental'!C87-ABS(G87)-('Modelos Propostos'!E87-'Modelos normativos'!AP87)/0.25291)</f>
        <v>#REF!</v>
      </c>
      <c r="G87" s="4" t="e">
        <f aca="false">'Dataset experimental'!K87+'Modelos empíricos'!K87^2+('Modelos Propostos'!E87-'Modelos normativos'!AQ87)*4.10553</f>
        <v>#REF!</v>
      </c>
      <c r="H87" s="4" t="e">
        <f aca="false">0.03283*(J87+K87)</f>
        <v>#REF!</v>
      </c>
      <c r="I87" s="4" t="e">
        <f aca="false">(1.61428/'Dataset experimental'!Q87)^3</f>
        <v>#REF!</v>
      </c>
      <c r="J87" s="4" t="e">
        <f aca="false">SIN('Dataset experimental'!E87)+1.450178*(SIN('Avaliação do resultado ML'!I87)+'Dataset experimental'!C87)</f>
        <v>#REF!</v>
      </c>
      <c r="K87" s="4" t="e">
        <f aca="false">('Modelos empíricos'!C87-'Dataset experimental'!G87)*'Dataset experimental'!AE87-'Modelos normativos'!AP87</f>
        <v>#REF!</v>
      </c>
      <c r="L87" s="4" t="n">
        <f aca="false">0.0076*'Dataset experimental'!B87+'Avaliação do resultado ML'!M87+'Avaliação do resultado ML'!N87+(-0.0328)*(0.0171*'Dataset experimental'!AD87-0.9442)*'Avaliação do resultado ML'!O87-'Avaliação do resultado ML'!P87-0.0364</f>
        <v>-0.115779644587261</v>
      </c>
      <c r="M87" s="12" t="n">
        <f aca="false">0.03283*SIN(0.7328*'Dataset experimental'!D87-1.8266)</f>
        <v>-0.0115958827834406</v>
      </c>
      <c r="N87" s="12" t="n">
        <f aca="false">0.0476*SIN(4.2067/(0.0095*'Dataset experimental'!P87-1.9338)^3)</f>
        <v>-0.0456510623570613</v>
      </c>
      <c r="O87" s="12" t="n">
        <f aca="false">0.0214*'Dataset experimental'!F87-3.1067*'Dataset experimental'!B87*'Dataset experimental'!P87*('Dataset experimental'!T87-'Dataset experimental'!R87)*(0.39*'Dataset experimental'!P87*'Dataset experimental'!T87/'Dataset experimental'!V87-'Dataset experimental'!Z87+3.12)/(100000*'Dataset experimental'!V87)+0.7995</f>
        <v>-0.242268081973814</v>
      </c>
      <c r="P87" s="12" t="n">
        <f aca="false">0.4461*('Dataset experimental'!Z87-0.6*'Modelos normativos'!AB87)*(3.4*'Dataset experimental'!L87+0.17*'Dataset experimental'!B87/'Modelos normativos'!AC87)/200000</f>
        <v>0.141383769488906</v>
      </c>
      <c r="Q87" s="4" t="e">
        <f aca="false">L87/H87</f>
        <v>#REF!</v>
      </c>
      <c r="R87" s="4" t="e">
        <f aca="false">(-0.042-0.014*'Com TS variável MC2020'!Q96)*('Modelos normativos'!AP87-ABS('Modelos Propostos'!K87)-'Dataset experimental'!W87+COS(S87))</f>
        <v>#REF!</v>
      </c>
      <c r="S87" s="4" t="e">
        <f aca="false">'Dataset experimental'!O87-('Modelos normativos'!AQ87-SIN(0.083/('Dataset experimental'!M87-'Dataset experimental'!O87))-'Modelos empíricos'!I87)/0.646</f>
        <v>#REF!</v>
      </c>
      <c r="W87" s="4" t="e">
        <f aca="false">'Modelos normativos'!S87+'Avaliação do resultado ML'!A87</f>
        <v>#REF!</v>
      </c>
      <c r="X87" s="4" t="e">
        <f aca="false">W87/'Dataset experimental'!$AF87</f>
        <v>#REF!</v>
      </c>
      <c r="AJ87" s="4" t="e">
        <f aca="false">'Modelos Propostos'!B87+H87</f>
        <v>#REF!</v>
      </c>
      <c r="AK87" s="4" t="e">
        <f aca="false">AJ87/'Dataset experimental'!$AF87</f>
        <v>#REF!</v>
      </c>
      <c r="AV87" s="4" t="e">
        <f aca="false">'Modelos normativos'!S87+F87</f>
        <v>#REF!</v>
      </c>
      <c r="AW87" s="4" t="e">
        <f aca="false">AV87/'Dataset experimental'!$AF87</f>
        <v>#REF!</v>
      </c>
      <c r="BH87" s="4" t="e">
        <f aca="false">'Modelos Propostos'!B87+R87</f>
        <v>#REF!</v>
      </c>
      <c r="BI87" s="4" t="e">
        <f aca="false">BH87/'Dataset experimental'!$AF87</f>
        <v>#REF!</v>
      </c>
      <c r="BT87" s="4" t="n">
        <f aca="false">'Modelos Propostos'!B87+L87</f>
        <v>0.321322713293997</v>
      </c>
      <c r="BU87" s="4" t="n">
        <f aca="false">BT87/'Dataset experimental'!$AF87</f>
        <v>0.973705191799991</v>
      </c>
    </row>
    <row r="88" customFormat="false" ht="14.25" hidden="false" customHeight="false" outlineLevel="0" collapsed="false">
      <c r="A88" s="4" t="e">
        <f aca="false">0.0894*ABS(D88)-0.01603*E88</f>
        <v>#REF!</v>
      </c>
      <c r="B88" s="12" t="e">
        <f aca="false">'Dataset experimental'!K88*COS('Dataset experimental'!AC88)-'Dataset experimental'!M88-'Dataset experimental'!C88</f>
        <v>#REF!</v>
      </c>
      <c r="C88" s="12" t="e">
        <f aca="false">('Dataset experimental'!AE88+SIN('Avaliação do resultado ML'!B88))*0.70674187</f>
        <v>#REF!</v>
      </c>
      <c r="D88" s="12" t="e">
        <f aca="false">'Modelos Propostos'!E88+'Avaliação do resultado ML'!C88-'Modelos normativos'!AQ88</f>
        <v>#REF!</v>
      </c>
      <c r="E88" s="12" t="n">
        <f aca="false">'Modelos empíricos'!I88+1.1854</f>
        <v>2.63927369744465</v>
      </c>
      <c r="F88" s="4" t="e">
        <f aca="false">-0.01753*('Modelos normativos'!AN88-'Dataset experimental'!C88-ABS(G88)-('Modelos Propostos'!E88-'Modelos normativos'!AP88)/0.25291)</f>
        <v>#REF!</v>
      </c>
      <c r="G88" s="4" t="e">
        <f aca="false">'Dataset experimental'!K88+'Modelos empíricos'!K88^2+('Modelos Propostos'!E88-'Modelos normativos'!AQ88)*4.10553</f>
        <v>#REF!</v>
      </c>
      <c r="H88" s="4" t="e">
        <f aca="false">0.03283*(J88+K88)</f>
        <v>#REF!</v>
      </c>
      <c r="I88" s="4" t="e">
        <f aca="false">(1.61428/'Dataset experimental'!Q88)^3</f>
        <v>#REF!</v>
      </c>
      <c r="J88" s="4" t="e">
        <f aca="false">SIN('Dataset experimental'!E88)+1.450178*(SIN('Avaliação do resultado ML'!I88)+'Dataset experimental'!C88)</f>
        <v>#REF!</v>
      </c>
      <c r="K88" s="4" t="e">
        <f aca="false">('Modelos empíricos'!C88-'Dataset experimental'!G88)*'Dataset experimental'!AE88-'Modelos normativos'!AP88</f>
        <v>#REF!</v>
      </c>
      <c r="L88" s="4" t="n">
        <f aca="false">0.0076*'Dataset experimental'!B88+'Avaliação do resultado ML'!M88+'Avaliação do resultado ML'!N88+(-0.0328)*(0.0171*'Dataset experimental'!AD88-0.9442)*'Avaliação do resultado ML'!O88-'Avaliação do resultado ML'!P88-0.0364</f>
        <v>-0.135732650101272</v>
      </c>
      <c r="M88" s="12" t="n">
        <f aca="false">0.03283*SIN(0.7328*'Dataset experimental'!D88-1.8266)</f>
        <v>-0.0115958827834406</v>
      </c>
      <c r="N88" s="12" t="n">
        <f aca="false">0.0476*SIN(4.2067/(0.0095*'Dataset experimental'!P88-1.9338)^3)</f>
        <v>-0.0456510623570613</v>
      </c>
      <c r="O88" s="12" t="n">
        <f aca="false">0.0214*'Dataset experimental'!F88-3.1067*'Dataset experimental'!B88*'Dataset experimental'!P88*('Dataset experimental'!T88-'Dataset experimental'!R88)*(0.39*'Dataset experimental'!P88*'Dataset experimental'!T88/'Dataset experimental'!V88-'Dataset experimental'!Z88+3.12)/(100000*'Dataset experimental'!V88)+0.7995</f>
        <v>-0.635992364826854</v>
      </c>
      <c r="P88" s="12" t="n">
        <f aca="false">0.4461*('Dataset experimental'!Z88-0.6*'Modelos normativos'!AB88)*(3.4*'Dataset experimental'!L88+0.17*'Dataset experimental'!B88/'Modelos normativos'!AC88)/200000</f>
        <v>0.158557430897584</v>
      </c>
      <c r="Q88" s="4" t="e">
        <f aca="false">L88/H88</f>
        <v>#REF!</v>
      </c>
      <c r="R88" s="4" t="e">
        <f aca="false">(-0.042-0.014*'Com TS variável MC2020'!Q97)*('Modelos normativos'!AP88-ABS('Modelos Propostos'!K88)-'Dataset experimental'!W88+COS(S88))</f>
        <v>#REF!</v>
      </c>
      <c r="S88" s="4" t="e">
        <f aca="false">'Dataset experimental'!O88-('Modelos normativos'!AQ88-SIN(0.083/('Dataset experimental'!M88-'Dataset experimental'!O88))-'Modelos empíricos'!I88)/0.646</f>
        <v>#REF!</v>
      </c>
      <c r="W88" s="4" t="e">
        <f aca="false">'Modelos normativos'!S88+'Avaliação do resultado ML'!A88</f>
        <v>#REF!</v>
      </c>
      <c r="X88" s="4" t="e">
        <f aca="false">W88/'Dataset experimental'!$AF88</f>
        <v>#REF!</v>
      </c>
      <c r="AJ88" s="4" t="e">
        <f aca="false">'Modelos Propostos'!B88+H88</f>
        <v>#REF!</v>
      </c>
      <c r="AK88" s="4" t="e">
        <f aca="false">AJ88/'Dataset experimental'!$AF88</f>
        <v>#REF!</v>
      </c>
      <c r="AV88" s="4" t="e">
        <f aca="false">'Modelos normativos'!S88+F88</f>
        <v>#REF!</v>
      </c>
      <c r="AW88" s="4" t="e">
        <f aca="false">AV88/'Dataset experimental'!$AF88</f>
        <v>#REF!</v>
      </c>
      <c r="BH88" s="4" t="e">
        <f aca="false">'Modelos Propostos'!B88+R88</f>
        <v>#REF!</v>
      </c>
      <c r="BI88" s="4" t="e">
        <f aca="false">BH88/'Dataset experimental'!$AF88</f>
        <v>#REF!</v>
      </c>
      <c r="BT88" s="4" t="n">
        <f aca="false">'Modelos Propostos'!B88+L88</f>
        <v>0.371018143195476</v>
      </c>
      <c r="BU88" s="4" t="n">
        <f aca="false">BT88/'Dataset experimental'!$AF88</f>
        <v>1.12429740362265</v>
      </c>
    </row>
    <row r="89" customFormat="false" ht="14.25" hidden="false" customHeight="false" outlineLevel="0" collapsed="false">
      <c r="A89" s="4" t="e">
        <f aca="false">0.0894*ABS(D89)-0.01603*E89</f>
        <v>#REF!</v>
      </c>
      <c r="B89" s="12" t="e">
        <f aca="false">'Dataset experimental'!K89*COS('Dataset experimental'!AC89)-'Dataset experimental'!M89-'Dataset experimental'!C89</f>
        <v>#REF!</v>
      </c>
      <c r="C89" s="12" t="e">
        <f aca="false">('Dataset experimental'!AE89+SIN('Avaliação do resultado ML'!B89))*0.70674187</f>
        <v>#REF!</v>
      </c>
      <c r="D89" s="12" t="e">
        <f aca="false">'Modelos Propostos'!E89+'Avaliação do resultado ML'!C89-'Modelos normativos'!AQ89</f>
        <v>#REF!</v>
      </c>
      <c r="E89" s="12" t="n">
        <f aca="false">'Modelos empíricos'!I89+1.1854</f>
        <v>0.481671942771001</v>
      </c>
      <c r="F89" s="4" t="e">
        <f aca="false">-0.01753*('Modelos normativos'!AN89-'Dataset experimental'!C89-ABS(G89)-('Modelos Propostos'!E89-'Modelos normativos'!AP89)/0.25291)</f>
        <v>#REF!</v>
      </c>
      <c r="G89" s="4" t="e">
        <f aca="false">'Dataset experimental'!K89+'Modelos empíricos'!K89^2+('Modelos Propostos'!E89-'Modelos normativos'!AQ89)*4.10553</f>
        <v>#REF!</v>
      </c>
      <c r="H89" s="4" t="e">
        <f aca="false">0.03283*(J89+K89)</f>
        <v>#REF!</v>
      </c>
      <c r="I89" s="4" t="e">
        <f aca="false">(1.61428/'Dataset experimental'!Q89)^3</f>
        <v>#REF!</v>
      </c>
      <c r="J89" s="4" t="e">
        <f aca="false">SIN('Dataset experimental'!E89)+1.450178*(SIN('Avaliação do resultado ML'!I89)+'Dataset experimental'!C89)</f>
        <v>#REF!</v>
      </c>
      <c r="K89" s="4" t="e">
        <f aca="false">('Modelos empíricos'!C89-'Dataset experimental'!G89)*'Dataset experimental'!AE89-'Modelos normativos'!AP89</f>
        <v>#REF!</v>
      </c>
      <c r="L89" s="4" t="n">
        <f aca="false">0.0076*'Dataset experimental'!B89+'Avaliação do resultado ML'!M89+'Avaliação do resultado ML'!N89+(-0.0328)*(0.0171*'Dataset experimental'!AD89-0.9442)*'Avaliação do resultado ML'!O89-'Avaliação do resultado ML'!P89-0.0364</f>
        <v>0.00363557884728602</v>
      </c>
      <c r="M89" s="12" t="n">
        <f aca="false">0.03283*SIN(0.7328*'Dataset experimental'!D89-1.8266)</f>
        <v>-0.0115958827834406</v>
      </c>
      <c r="N89" s="12" t="n">
        <f aca="false">0.0476*SIN(4.2067/(0.0095*'Dataset experimental'!P89-1.9338)^3)</f>
        <v>-0.0456510623570613</v>
      </c>
      <c r="O89" s="12" t="n">
        <f aca="false">0.0214*'Dataset experimental'!F89-3.1067*'Dataset experimental'!B89*'Dataset experimental'!P89*('Dataset experimental'!T89-'Dataset experimental'!R89)*(0.39*'Dataset experimental'!P89*'Dataset experimental'!T89/'Dataset experimental'!V89-'Dataset experimental'!Z89+3.12)/(100000*'Dataset experimental'!V89)+0.7995</f>
        <v>1.7317653499251</v>
      </c>
      <c r="P89" s="12" t="n">
        <f aca="false">0.4461*('Dataset experimental'!Z89-0.6*'Modelos normativos'!AB89)*(3.4*'Dataset experimental'!L89+0.17*'Dataset experimental'!B89/'Modelos normativos'!AC89)/200000</f>
        <v>0.0552793983711723</v>
      </c>
      <c r="Q89" s="4" t="e">
        <f aca="false">L89/H89</f>
        <v>#REF!</v>
      </c>
      <c r="R89" s="4" t="e">
        <f aca="false">(-0.042-0.014*'Com TS variável MC2020'!Q98)*('Modelos normativos'!AP89-ABS('Modelos Propostos'!K89)-'Dataset experimental'!W89+COS(S89))</f>
        <v>#REF!</v>
      </c>
      <c r="S89" s="4" t="e">
        <f aca="false">'Dataset experimental'!O89-('Modelos normativos'!AQ89-SIN(0.083/('Dataset experimental'!M89-'Dataset experimental'!O89))-'Modelos empíricos'!I89)/0.646</f>
        <v>#REF!</v>
      </c>
      <c r="W89" s="4" t="e">
        <f aca="false">'Modelos normativos'!S89+'Avaliação do resultado ML'!A89</f>
        <v>#REF!</v>
      </c>
      <c r="X89" s="4" t="e">
        <f aca="false">W89/'Dataset experimental'!$AF89</f>
        <v>#REF!</v>
      </c>
      <c r="AJ89" s="4" t="e">
        <f aca="false">'Modelos Propostos'!B89+H89</f>
        <v>#REF!</v>
      </c>
      <c r="AK89" s="4" t="e">
        <f aca="false">AJ89/'Dataset experimental'!$AF89</f>
        <v>#REF!</v>
      </c>
      <c r="AV89" s="4" t="e">
        <f aca="false">'Modelos normativos'!S89+F89</f>
        <v>#REF!</v>
      </c>
      <c r="AW89" s="4" t="e">
        <f aca="false">AV89/'Dataset experimental'!$AF89</f>
        <v>#REF!</v>
      </c>
      <c r="BH89" s="4" t="e">
        <f aca="false">'Modelos Propostos'!B89+R89</f>
        <v>#REF!</v>
      </c>
      <c r="BI89" s="4" t="e">
        <f aca="false">BH89/'Dataset experimental'!$AF89</f>
        <v>#REF!</v>
      </c>
      <c r="BT89" s="4" t="n">
        <f aca="false">'Modelos Propostos'!B89+L89</f>
        <v>0.159115966915494</v>
      </c>
      <c r="BU89" s="4" t="n">
        <f aca="false">BT89/'Dataset experimental'!$AF89</f>
        <v>1.06077311276996</v>
      </c>
    </row>
    <row r="90" customFormat="false" ht="14.25" hidden="false" customHeight="false" outlineLevel="0" collapsed="false">
      <c r="A90" s="4" t="e">
        <f aca="false">0.0894*ABS(D90)-0.01603*E90</f>
        <v>#REF!</v>
      </c>
      <c r="B90" s="12" t="e">
        <f aca="false">'Dataset experimental'!K90*COS('Dataset experimental'!AC90)-'Dataset experimental'!M90-'Dataset experimental'!C90</f>
        <v>#REF!</v>
      </c>
      <c r="C90" s="12" t="e">
        <f aca="false">('Dataset experimental'!AE90+SIN('Avaliação do resultado ML'!B90))*0.70674187</f>
        <v>#REF!</v>
      </c>
      <c r="D90" s="12" t="e">
        <f aca="false">'Modelos Propostos'!E90+'Avaliação do resultado ML'!C90-'Modelos normativos'!AQ90</f>
        <v>#REF!</v>
      </c>
      <c r="E90" s="12" t="n">
        <f aca="false">'Modelos empíricos'!I90+1.1854</f>
        <v>0.841683206979404</v>
      </c>
      <c r="F90" s="4" t="e">
        <f aca="false">-0.01753*('Modelos normativos'!AN90-'Dataset experimental'!C90-ABS(G90)-('Modelos Propostos'!E90-'Modelos normativos'!AP90)/0.25291)</f>
        <v>#REF!</v>
      </c>
      <c r="G90" s="4" t="e">
        <f aca="false">'Dataset experimental'!K90+'Modelos empíricos'!K90^2+('Modelos Propostos'!E90-'Modelos normativos'!AQ90)*4.10553</f>
        <v>#REF!</v>
      </c>
      <c r="H90" s="4" t="e">
        <f aca="false">0.03283*(J90+K90)</f>
        <v>#REF!</v>
      </c>
      <c r="I90" s="4" t="e">
        <f aca="false">(1.61428/'Dataset experimental'!Q90)^3</f>
        <v>#REF!</v>
      </c>
      <c r="J90" s="4" t="e">
        <f aca="false">SIN('Dataset experimental'!E90)+1.450178*(SIN('Avaliação do resultado ML'!I90)+'Dataset experimental'!C90)</f>
        <v>#REF!</v>
      </c>
      <c r="K90" s="4" t="e">
        <f aca="false">('Modelos empíricos'!C90-'Dataset experimental'!G90)*'Dataset experimental'!AE90-'Modelos normativos'!AP90</f>
        <v>#REF!</v>
      </c>
      <c r="L90" s="4" t="n">
        <f aca="false">0.0076*'Dataset experimental'!B90+'Avaliação do resultado ML'!M90+'Avaliação do resultado ML'!N90+(-0.0328)*(0.0171*'Dataset experimental'!AD90-0.9442)*'Avaliação do resultado ML'!O90-'Avaliação do resultado ML'!P90-0.0364</f>
        <v>-0.0228498016747894</v>
      </c>
      <c r="M90" s="12" t="n">
        <f aca="false">0.03283*SIN(0.7328*'Dataset experimental'!D90-1.8266)</f>
        <v>-0.0115958827834406</v>
      </c>
      <c r="N90" s="12" t="n">
        <f aca="false">0.0476*SIN(4.2067/(0.0095*'Dataset experimental'!P90-1.9338)^3)</f>
        <v>-0.0456510623570613</v>
      </c>
      <c r="O90" s="12" t="n">
        <f aca="false">0.0214*'Dataset experimental'!F90-3.1067*'Dataset experimental'!B90*'Dataset experimental'!P90*('Dataset experimental'!T90-'Dataset experimental'!R90)*(0.39*'Dataset experimental'!P90*'Dataset experimental'!T90/'Dataset experimental'!V90-'Dataset experimental'!Z90+3.12)/(100000*'Dataset experimental'!V90)+0.7995</f>
        <v>1.33668806266363</v>
      </c>
      <c r="P90" s="12" t="n">
        <f aca="false">0.4461*('Dataset experimental'!Z90-0.6*'Modelos normativos'!AB90)*(3.4*'Dataset experimental'!L90+0.17*'Dataset experimental'!B90/'Modelos normativos'!AC90)/200000</f>
        <v>0.0725120757984364</v>
      </c>
      <c r="Q90" s="4" t="e">
        <f aca="false">L90/H90</f>
        <v>#REF!</v>
      </c>
      <c r="R90" s="4" t="e">
        <f aca="false">(-0.042-0.014*'Com TS variável MC2020'!Q99)*('Modelos normativos'!AP90-ABS('Modelos Propostos'!K90)-'Dataset experimental'!W90+COS(S90))</f>
        <v>#REF!</v>
      </c>
      <c r="S90" s="4" t="e">
        <f aca="false">'Dataset experimental'!O90-('Modelos normativos'!AQ90-SIN(0.083/('Dataset experimental'!M90-'Dataset experimental'!O90))-'Modelos empíricos'!I90)/0.646</f>
        <v>#REF!</v>
      </c>
      <c r="W90" s="4" t="e">
        <f aca="false">'Modelos normativos'!S90+'Avaliação do resultado ML'!A90</f>
        <v>#REF!</v>
      </c>
      <c r="X90" s="4" t="e">
        <f aca="false">W90/'Dataset experimental'!$AF90</f>
        <v>#REF!</v>
      </c>
      <c r="AJ90" s="4" t="e">
        <f aca="false">'Modelos Propostos'!B90+H90</f>
        <v>#REF!</v>
      </c>
      <c r="AK90" s="4" t="e">
        <f aca="false">AJ90/'Dataset experimental'!$AF90</f>
        <v>#REF!</v>
      </c>
      <c r="AV90" s="4" t="e">
        <f aca="false">'Modelos normativos'!S90+F90</f>
        <v>#REF!</v>
      </c>
      <c r="AW90" s="4" t="e">
        <f aca="false">AV90/'Dataset experimental'!$AF90</f>
        <v>#REF!</v>
      </c>
      <c r="BH90" s="4" t="e">
        <f aca="false">'Modelos Propostos'!B90+R90</f>
        <v>#REF!</v>
      </c>
      <c r="BI90" s="4" t="e">
        <f aca="false">BH90/'Dataset experimental'!$AF90</f>
        <v>#REF!</v>
      </c>
      <c r="BT90" s="4" t="n">
        <f aca="false">'Modelos Propostos'!B90+L90</f>
        <v>0.173967537431085</v>
      </c>
      <c r="BU90" s="4" t="n">
        <f aca="false">BT90/'Dataset experimental'!$AF90</f>
        <v>0.966486319061586</v>
      </c>
    </row>
    <row r="91" customFormat="false" ht="14.25" hidden="false" customHeight="false" outlineLevel="0" collapsed="false">
      <c r="A91" s="4" t="e">
        <f aca="false">0.0894*ABS(D91)-0.01603*E91</f>
        <v>#REF!</v>
      </c>
      <c r="B91" s="12" t="e">
        <f aca="false">'Dataset experimental'!K91*COS('Dataset experimental'!AC91)-'Dataset experimental'!M91-'Dataset experimental'!C91</f>
        <v>#REF!</v>
      </c>
      <c r="C91" s="12" t="e">
        <f aca="false">('Dataset experimental'!AE91+SIN('Avaliação do resultado ML'!B91))*0.70674187</f>
        <v>#REF!</v>
      </c>
      <c r="D91" s="12" t="e">
        <f aca="false">'Modelos Propostos'!E91+'Avaliação do resultado ML'!C91-'Modelos normativos'!AQ91</f>
        <v>#REF!</v>
      </c>
      <c r="E91" s="12" t="n">
        <f aca="false">'Modelos empíricos'!I91+1.1854</f>
        <v>1.20107801354361</v>
      </c>
      <c r="F91" s="4" t="e">
        <f aca="false">-0.01753*('Modelos normativos'!AN91-'Dataset experimental'!C91-ABS(G91)-('Modelos Propostos'!E91-'Modelos normativos'!AP91)/0.25291)</f>
        <v>#REF!</v>
      </c>
      <c r="G91" s="4" t="e">
        <f aca="false">'Dataset experimental'!K91+'Modelos empíricos'!K91^2+('Modelos Propostos'!E91-'Modelos normativos'!AQ91)*4.10553</f>
        <v>#REF!</v>
      </c>
      <c r="H91" s="4" t="e">
        <f aca="false">0.03283*(J91+K91)</f>
        <v>#REF!</v>
      </c>
      <c r="I91" s="4" t="e">
        <f aca="false">(1.61428/'Dataset experimental'!Q91)^3</f>
        <v>#REF!</v>
      </c>
      <c r="J91" s="4" t="e">
        <f aca="false">SIN('Dataset experimental'!E91)+1.450178*(SIN('Avaliação do resultado ML'!I91)+'Dataset experimental'!C91)</f>
        <v>#REF!</v>
      </c>
      <c r="K91" s="4" t="e">
        <f aca="false">('Modelos empíricos'!C91-'Dataset experimental'!G91)*'Dataset experimental'!AE91-'Modelos normativos'!AP91</f>
        <v>#REF!</v>
      </c>
      <c r="L91" s="4" t="n">
        <f aca="false">0.0076*'Dataset experimental'!B91+'Avaliação do resultado ML'!M91+'Avaliação do resultado ML'!N91+(-0.0328)*(0.0171*'Dataset experimental'!AD91-0.9442)*'Avaliação do resultado ML'!O91-'Avaliação do resultado ML'!P91-0.0364</f>
        <v>-0.0479990613434844</v>
      </c>
      <c r="M91" s="12" t="n">
        <f aca="false">0.03283*SIN(0.7328*'Dataset experimental'!D91-1.8266)</f>
        <v>-0.0115958827834406</v>
      </c>
      <c r="N91" s="12" t="n">
        <f aca="false">0.0476*SIN(4.2067/(0.0095*'Dataset experimental'!P91-1.9338)^3)</f>
        <v>-0.0456510623570613</v>
      </c>
      <c r="O91" s="12" t="n">
        <f aca="false">0.0214*'Dataset experimental'!F91-3.1067*'Dataset experimental'!B91*'Dataset experimental'!P91*('Dataset experimental'!T91-'Dataset experimental'!R91)*(0.39*'Dataset experimental'!P91*'Dataset experimental'!T91/'Dataset experimental'!V91-'Dataset experimental'!Z91+3.12)/(100000*'Dataset experimental'!V91)+0.7995</f>
        <v>0.94228727760638</v>
      </c>
      <c r="P91" s="12" t="n">
        <f aca="false">0.4461*('Dataset experimental'!Z91-0.6*'Modelos normativos'!AB91)*(3.4*'Dataset experimental'!L91+0.17*'Dataset experimental'!B91/'Modelos normativos'!AC91)/200000</f>
        <v>0.0897152452164072</v>
      </c>
      <c r="Q91" s="4" t="e">
        <f aca="false">L91/H91</f>
        <v>#REF!</v>
      </c>
      <c r="R91" s="4" t="e">
        <f aca="false">(-0.042-0.014*'Com TS variável MC2020'!Q100)*('Modelos normativos'!AP91-ABS('Modelos Propostos'!K91)-'Dataset experimental'!W91+COS(S91))</f>
        <v>#REF!</v>
      </c>
      <c r="S91" s="4" t="e">
        <f aca="false">'Dataset experimental'!O91-('Modelos normativos'!AQ91-SIN(0.083/('Dataset experimental'!M91-'Dataset experimental'!O91))-'Modelos empíricos'!I91)/0.646</f>
        <v>#REF!</v>
      </c>
      <c r="W91" s="4" t="e">
        <f aca="false">'Modelos normativos'!S91+'Avaliação do resultado ML'!A91</f>
        <v>#REF!</v>
      </c>
      <c r="X91" s="4" t="e">
        <f aca="false">W91/'Dataset experimental'!$AF91</f>
        <v>#REF!</v>
      </c>
      <c r="AJ91" s="4" t="e">
        <f aca="false">'Modelos Propostos'!B91+H91</f>
        <v>#REF!</v>
      </c>
      <c r="AK91" s="4" t="e">
        <f aca="false">AJ91/'Dataset experimental'!$AF91</f>
        <v>#REF!</v>
      </c>
      <c r="AV91" s="4" t="e">
        <f aca="false">'Modelos normativos'!S91+F91</f>
        <v>#REF!</v>
      </c>
      <c r="AW91" s="4" t="e">
        <f aca="false">AV91/'Dataset experimental'!$AF91</f>
        <v>#REF!</v>
      </c>
      <c r="BH91" s="4" t="e">
        <f aca="false">'Modelos Propostos'!B91+R91</f>
        <v>#REF!</v>
      </c>
      <c r="BI91" s="4" t="e">
        <f aca="false">BH91/'Dataset experimental'!$AF91</f>
        <v>#REF!</v>
      </c>
      <c r="BT91" s="4" t="n">
        <f aca="false">'Modelos Propostos'!B91+L91</f>
        <v>0.194939045013091</v>
      </c>
      <c r="BU91" s="4" t="n">
        <f aca="false">BT91/'Dataset experimental'!$AF91</f>
        <v>0.974695225065454</v>
      </c>
    </row>
    <row r="92" customFormat="false" ht="14.25" hidden="false" customHeight="false" outlineLevel="0" collapsed="false">
      <c r="A92" s="4" t="e">
        <f aca="false">0.0894*ABS(D92)-0.01603*E92</f>
        <v>#REF!</v>
      </c>
      <c r="B92" s="12" t="e">
        <f aca="false">'Dataset experimental'!K92*COS('Dataset experimental'!AC92)-'Dataset experimental'!M92-'Dataset experimental'!C92</f>
        <v>#REF!</v>
      </c>
      <c r="C92" s="12" t="e">
        <f aca="false">('Dataset experimental'!AE92+SIN('Avaliação do resultado ML'!B92))*0.70674187</f>
        <v>#REF!</v>
      </c>
      <c r="D92" s="12" t="e">
        <f aca="false">'Modelos Propostos'!E92+'Avaliação do resultado ML'!C92-'Modelos normativos'!AQ92</f>
        <v>#REF!</v>
      </c>
      <c r="E92" s="12" t="n">
        <f aca="false">'Modelos empíricos'!I92+1.1854</f>
        <v>1.56047282010782</v>
      </c>
      <c r="F92" s="4" t="e">
        <f aca="false">-0.01753*('Modelos normativos'!AN92-'Dataset experimental'!C92-ABS(G92)-('Modelos Propostos'!E92-'Modelos normativos'!AP92)/0.25291)</f>
        <v>#REF!</v>
      </c>
      <c r="G92" s="4" t="e">
        <f aca="false">'Dataset experimental'!K92+'Modelos empíricos'!K92^2+('Modelos Propostos'!E92-'Modelos normativos'!AQ92)*4.10553</f>
        <v>#REF!</v>
      </c>
      <c r="H92" s="4" t="e">
        <f aca="false">0.03283*(J92+K92)</f>
        <v>#REF!</v>
      </c>
      <c r="I92" s="4" t="e">
        <f aca="false">(1.61428/'Dataset experimental'!Q92)^3</f>
        <v>#REF!</v>
      </c>
      <c r="J92" s="4" t="e">
        <f aca="false">SIN('Dataset experimental'!E92)+1.450178*(SIN('Avaliação do resultado ML'!I92)+'Dataset experimental'!C92)</f>
        <v>#REF!</v>
      </c>
      <c r="K92" s="4" t="e">
        <f aca="false">('Modelos empíricos'!C92-'Dataset experimental'!G92)*'Dataset experimental'!AE92-'Modelos normativos'!AP92</f>
        <v>#REF!</v>
      </c>
      <c r="L92" s="4" t="n">
        <f aca="false">0.0076*'Dataset experimental'!B92+'Avaliação do resultado ML'!M92+'Avaliação do resultado ML'!N92+(-0.0328)*(0.0171*'Dataset experimental'!AD92-0.9442)*'Avaliação do resultado ML'!O92-'Avaliação do resultado ML'!P92-0.0364</f>
        <v>-0.0718586578953369</v>
      </c>
      <c r="M92" s="12" t="n">
        <f aca="false">0.03283*SIN(0.7328*'Dataset experimental'!D92-1.8266)</f>
        <v>-0.0115958827834406</v>
      </c>
      <c r="N92" s="12" t="n">
        <f aca="false">0.0476*SIN(4.2067/(0.0095*'Dataset experimental'!P92-1.9338)^3)</f>
        <v>-0.0456510623570613</v>
      </c>
      <c r="O92" s="12" t="n">
        <f aca="false">0.0214*'Dataset experimental'!F92-3.1067*'Dataset experimental'!B92*'Dataset experimental'!P92*('Dataset experimental'!T92-'Dataset experimental'!R92)*(0.39*'Dataset experimental'!P92*'Dataset experimental'!T92/'Dataset experimental'!V92-'Dataset experimental'!Z92+3.12)/(100000*'Dataset experimental'!V92)+0.7995</f>
        <v>0.547886492549125</v>
      </c>
      <c r="P92" s="12" t="n">
        <f aca="false">0.4461*('Dataset experimental'!Z92-0.6*'Modelos normativos'!AB92)*(3.4*'Dataset experimental'!L92+0.17*'Dataset experimental'!B92/'Modelos normativos'!AC92)/200000</f>
        <v>0.106918414634378</v>
      </c>
      <c r="Q92" s="4" t="e">
        <f aca="false">L92/H92</f>
        <v>#REF!</v>
      </c>
      <c r="R92" s="4" t="e">
        <f aca="false">(-0.042-0.014*'Com TS variável MC2020'!Q101)*('Modelos normativos'!AP92-ABS('Modelos Propostos'!K92)-'Dataset experimental'!W92+COS(S92))</f>
        <v>#REF!</v>
      </c>
      <c r="S92" s="4" t="e">
        <f aca="false">'Dataset experimental'!O92-('Modelos normativos'!AQ92-SIN(0.083/('Dataset experimental'!M92-'Dataset experimental'!O92))-'Modelos empíricos'!I92)/0.646</f>
        <v>#REF!</v>
      </c>
      <c r="W92" s="4" t="e">
        <f aca="false">'Modelos normativos'!S92+'Avaliação do resultado ML'!A92</f>
        <v>#REF!</v>
      </c>
      <c r="X92" s="4" t="e">
        <f aca="false">W92/'Dataset experimental'!$AF92</f>
        <v>#REF!</v>
      </c>
      <c r="AJ92" s="4" t="e">
        <f aca="false">'Modelos Propostos'!B92+H92</f>
        <v>#REF!</v>
      </c>
      <c r="AK92" s="4" t="e">
        <f aca="false">AJ92/'Dataset experimental'!$AF92</f>
        <v>#REF!</v>
      </c>
      <c r="AV92" s="4" t="e">
        <f aca="false">'Modelos normativos'!S92+F92</f>
        <v>#REF!</v>
      </c>
      <c r="AW92" s="4" t="e">
        <f aca="false">AV92/'Dataset experimental'!$AF92</f>
        <v>#REF!</v>
      </c>
      <c r="BH92" s="4" t="e">
        <f aca="false">'Modelos Propostos'!B92+R92</f>
        <v>#REF!</v>
      </c>
      <c r="BI92" s="4" t="e">
        <f aca="false">BH92/'Dataset experimental'!$AF92</f>
        <v>#REF!</v>
      </c>
      <c r="BT92" s="4" t="n">
        <f aca="false">'Modelos Propostos'!B92+L92</f>
        <v>0.225468145750023</v>
      </c>
      <c r="BU92" s="4" t="n">
        <f aca="false">BT92/'Dataset experimental'!$AF92</f>
        <v>0.901872583000093</v>
      </c>
    </row>
    <row r="93" customFormat="false" ht="14.25" hidden="false" customHeight="false" outlineLevel="0" collapsed="false">
      <c r="A93" s="4" t="e">
        <f aca="false">0.0894*ABS(D93)-0.01603*E93</f>
        <v>#REF!</v>
      </c>
      <c r="B93" s="12" t="e">
        <f aca="false">'Dataset experimental'!K93*COS('Dataset experimental'!AC93)-'Dataset experimental'!M93-'Dataset experimental'!C93</f>
        <v>#REF!</v>
      </c>
      <c r="C93" s="12" t="e">
        <f aca="false">('Dataset experimental'!AE93+SIN('Avaliação do resultado ML'!B93))*0.70674187</f>
        <v>#REF!</v>
      </c>
      <c r="D93" s="12" t="e">
        <f aca="false">'Modelos Propostos'!E93+'Avaliação do resultado ML'!C93-'Modelos normativos'!AQ93</f>
        <v>#REF!</v>
      </c>
      <c r="E93" s="12" t="n">
        <f aca="false">'Modelos empíricos'!I93+1.1854</f>
        <v>1.92048408431622</v>
      </c>
      <c r="F93" s="4" t="e">
        <f aca="false">-0.01753*('Modelos normativos'!AN93-'Dataset experimental'!C93-ABS(G93)-('Modelos Propostos'!E93-'Modelos normativos'!AP93)/0.25291)</f>
        <v>#REF!</v>
      </c>
      <c r="G93" s="4" t="e">
        <f aca="false">'Dataset experimental'!K93+'Modelos empíricos'!K93^2+('Modelos Propostos'!E93-'Modelos normativos'!AQ93)*4.10553</f>
        <v>#REF!</v>
      </c>
      <c r="H93" s="4" t="e">
        <f aca="false">0.03283*(J93+K93)</f>
        <v>#REF!</v>
      </c>
      <c r="I93" s="4" t="e">
        <f aca="false">(1.61428/'Dataset experimental'!Q93)^3</f>
        <v>#REF!</v>
      </c>
      <c r="J93" s="4" t="e">
        <f aca="false">SIN('Dataset experimental'!E93)+1.450178*(SIN('Avaliação do resultado ML'!I93)+'Dataset experimental'!C93)</f>
        <v>#REF!</v>
      </c>
      <c r="K93" s="4" t="e">
        <f aca="false">('Modelos empíricos'!C93-'Dataset experimental'!G93)*'Dataset experimental'!AE93-'Modelos normativos'!AP93</f>
        <v>#REF!</v>
      </c>
      <c r="L93" s="4" t="n">
        <f aca="false">0.0076*'Dataset experimental'!B93+'Avaliação do resultado ML'!M93+'Avaliação do resultado ML'!N93+(-0.0328)*(0.0171*'Dataset experimental'!AD93-0.9442)*'Avaliação do resultado ML'!O93-'Avaliação do resultado ML'!P93-0.0364</f>
        <v>-0.0944661968120261</v>
      </c>
      <c r="M93" s="12" t="n">
        <f aca="false">0.03283*SIN(0.7328*'Dataset experimental'!D93-1.8266)</f>
        <v>-0.0115958827834406</v>
      </c>
      <c r="N93" s="12" t="n">
        <f aca="false">0.0476*SIN(4.2067/(0.0095*'Dataset experimental'!P93-1.9338)^3)</f>
        <v>-0.0456510623570613</v>
      </c>
      <c r="O93" s="12" t="n">
        <f aca="false">0.0214*'Dataset experimental'!F93-3.1067*'Dataset experimental'!B93*'Dataset experimental'!P93*('Dataset experimental'!T93-'Dataset experimental'!R93)*(0.39*'Dataset experimental'!P93*'Dataset experimental'!T93/'Dataset experimental'!V93-'Dataset experimental'!Z93+3.12)/(100000*'Dataset experimental'!V93)+0.7995</f>
        <v>0.152809205287656</v>
      </c>
      <c r="P93" s="12" t="n">
        <f aca="false">0.4461*('Dataset experimental'!Z93-0.6*'Modelos normativos'!AB93)*(3.4*'Dataset experimental'!L93+0.17*'Dataset experimental'!B93/'Modelos normativos'!AC93)/200000</f>
        <v>0.124151092061642</v>
      </c>
      <c r="Q93" s="4" t="e">
        <f aca="false">L93/H93</f>
        <v>#REF!</v>
      </c>
      <c r="R93" s="4" t="e">
        <f aca="false">(-0.042-0.014*'Com TS variável MC2020'!Q102)*('Modelos normativos'!AP93-ABS('Modelos Propostos'!K93)-'Dataset experimental'!W93+COS(S93))</f>
        <v>#REF!</v>
      </c>
      <c r="S93" s="4" t="e">
        <f aca="false">'Dataset experimental'!O93-('Modelos normativos'!AQ93-SIN(0.083/('Dataset experimental'!M93-'Dataset experimental'!O93))-'Modelos empíricos'!I93)/0.646</f>
        <v>#REF!</v>
      </c>
      <c r="W93" s="4" t="e">
        <f aca="false">'Modelos normativos'!S93+'Avaliação do resultado ML'!A93</f>
        <v>#REF!</v>
      </c>
      <c r="X93" s="4" t="e">
        <f aca="false">W93/'Dataset experimental'!$AF93</f>
        <v>#REF!</v>
      </c>
      <c r="AJ93" s="4" t="e">
        <f aca="false">'Modelos Propostos'!B93+H93</f>
        <v>#REF!</v>
      </c>
      <c r="AK93" s="4" t="e">
        <f aca="false">AJ93/'Dataset experimental'!$AF93</f>
        <v>#REF!</v>
      </c>
      <c r="AV93" s="4" t="e">
        <f aca="false">'Modelos normativos'!S93+F93</f>
        <v>#REF!</v>
      </c>
      <c r="AW93" s="4" t="e">
        <f aca="false">AV93/'Dataset experimental'!$AF93</f>
        <v>#REF!</v>
      </c>
      <c r="BH93" s="4" t="e">
        <f aca="false">'Modelos Propostos'!B93+R93</f>
        <v>#REF!</v>
      </c>
      <c r="BI93" s="4" t="e">
        <f aca="false">BH93/'Dataset experimental'!$AF93</f>
        <v>#REF!</v>
      </c>
      <c r="BT93" s="4" t="n">
        <f aca="false">'Modelos Propostos'!B93+L93</f>
        <v>0.272748383951283</v>
      </c>
      <c r="BU93" s="4" t="n">
        <f aca="false">BT93/'Dataset experimental'!$AF93</f>
        <v>0.909161279837609</v>
      </c>
    </row>
    <row r="94" customFormat="false" ht="14.25" hidden="false" customHeight="false" outlineLevel="0" collapsed="false">
      <c r="A94" s="4" t="e">
        <f aca="false">0.0894*ABS(D94)-0.01603*E94</f>
        <v>#REF!</v>
      </c>
      <c r="B94" s="12" t="e">
        <f aca="false">'Dataset experimental'!K94*COS('Dataset experimental'!AC94)-'Dataset experimental'!M94-'Dataset experimental'!C94</f>
        <v>#REF!</v>
      </c>
      <c r="C94" s="12" t="e">
        <f aca="false">('Dataset experimental'!AE94+SIN('Avaliação do resultado ML'!B94))*0.70674187</f>
        <v>#REF!</v>
      </c>
      <c r="D94" s="12" t="e">
        <f aca="false">'Modelos Propostos'!E94+'Avaliação do resultado ML'!C94-'Modelos normativos'!AQ94</f>
        <v>#REF!</v>
      </c>
      <c r="E94" s="12" t="n">
        <f aca="false">'Modelos empíricos'!I94+1.1854</f>
        <v>2.28049534852463</v>
      </c>
      <c r="F94" s="4" t="e">
        <f aca="false">-0.01753*('Modelos normativos'!AN94-'Dataset experimental'!C94-ABS(G94)-('Modelos Propostos'!E94-'Modelos normativos'!AP94)/0.25291)</f>
        <v>#REF!</v>
      </c>
      <c r="G94" s="4" t="e">
        <f aca="false">'Dataset experimental'!K94+'Modelos empíricos'!K94^2+('Modelos Propostos'!E94-'Modelos normativos'!AQ94)*4.10553</f>
        <v>#REF!</v>
      </c>
      <c r="H94" s="4" t="e">
        <f aca="false">0.03283*(J94+K94)</f>
        <v>#REF!</v>
      </c>
      <c r="I94" s="4" t="e">
        <f aca="false">(1.61428/'Dataset experimental'!Q94)^3</f>
        <v>#REF!</v>
      </c>
      <c r="J94" s="4" t="e">
        <f aca="false">SIN('Dataset experimental'!E94)+1.450178*(SIN('Avaliação do resultado ML'!I94)+'Dataset experimental'!C94)</f>
        <v>#REF!</v>
      </c>
      <c r="K94" s="4" t="e">
        <f aca="false">('Modelos empíricos'!C94-'Dataset experimental'!G94)*'Dataset experimental'!AE94-'Modelos normativos'!AP94</f>
        <v>#REF!</v>
      </c>
      <c r="L94" s="4" t="n">
        <f aca="false">0.0076*'Dataset experimental'!B94+'Avaliação do resultado ML'!M94+'Avaliação do resultado ML'!N94+(-0.0328)*(0.0171*'Dataset experimental'!AD94-0.9442)*'Avaliação do resultado ML'!O94-'Avaliação do resultado ML'!P94-0.0364</f>
        <v>-0.115779644587261</v>
      </c>
      <c r="M94" s="12" t="n">
        <f aca="false">0.03283*SIN(0.7328*'Dataset experimental'!D94-1.8266)</f>
        <v>-0.0115958827834406</v>
      </c>
      <c r="N94" s="12" t="n">
        <f aca="false">0.0476*SIN(4.2067/(0.0095*'Dataset experimental'!P94-1.9338)^3)</f>
        <v>-0.0456510623570613</v>
      </c>
      <c r="O94" s="12" t="n">
        <f aca="false">0.0214*'Dataset experimental'!F94-3.1067*'Dataset experimental'!B94*'Dataset experimental'!P94*('Dataset experimental'!T94-'Dataset experimental'!R94)*(0.39*'Dataset experimental'!P94*'Dataset experimental'!T94/'Dataset experimental'!V94-'Dataset experimental'!Z94+3.12)/(100000*'Dataset experimental'!V94)+0.7995</f>
        <v>-0.242268081973814</v>
      </c>
      <c r="P94" s="12" t="n">
        <f aca="false">0.4461*('Dataset experimental'!Z94-0.6*'Modelos normativos'!AB94)*(3.4*'Dataset experimental'!L94+0.17*'Dataset experimental'!B94/'Modelos normativos'!AC94)/200000</f>
        <v>0.141383769488906</v>
      </c>
      <c r="Q94" s="4" t="e">
        <f aca="false">L94/H94</f>
        <v>#REF!</v>
      </c>
      <c r="R94" s="4" t="e">
        <f aca="false">(-0.042-0.014*'Com TS variável MC2020'!Q103)*('Modelos normativos'!AP94-ABS('Modelos Propostos'!K94)-'Dataset experimental'!W94+COS(S94))</f>
        <v>#REF!</v>
      </c>
      <c r="S94" s="4" t="e">
        <f aca="false">'Dataset experimental'!O94-('Modelos normativos'!AQ94-SIN(0.083/('Dataset experimental'!M94-'Dataset experimental'!O94))-'Modelos empíricos'!I94)/0.646</f>
        <v>#REF!</v>
      </c>
      <c r="W94" s="4" t="e">
        <f aca="false">'Modelos normativos'!S94+'Avaliação do resultado ML'!A94</f>
        <v>#REF!</v>
      </c>
      <c r="X94" s="4" t="e">
        <f aca="false">W94/'Dataset experimental'!$AF94</f>
        <v>#REF!</v>
      </c>
      <c r="AJ94" s="4" t="e">
        <f aca="false">'Modelos Propostos'!B94+H94</f>
        <v>#REF!</v>
      </c>
      <c r="AK94" s="4" t="e">
        <f aca="false">AJ94/'Dataset experimental'!$AF94</f>
        <v>#REF!</v>
      </c>
      <c r="AV94" s="4" t="e">
        <f aca="false">'Modelos normativos'!S94+F94</f>
        <v>#REF!</v>
      </c>
      <c r="AW94" s="4" t="e">
        <f aca="false">AV94/'Dataset experimental'!$AF94</f>
        <v>#REF!</v>
      </c>
      <c r="BH94" s="4" t="e">
        <f aca="false">'Modelos Propostos'!B94+R94</f>
        <v>#REF!</v>
      </c>
      <c r="BI94" s="4" t="e">
        <f aca="false">BH94/'Dataset experimental'!$AF94</f>
        <v>#REF!</v>
      </c>
      <c r="BT94" s="4" t="n">
        <f aca="false">'Modelos Propostos'!B94+L94</f>
        <v>0.321322713293997</v>
      </c>
      <c r="BU94" s="4" t="n">
        <f aca="false">BT94/'Dataset experimental'!$AF94</f>
        <v>0.973705191799991</v>
      </c>
    </row>
    <row r="95" customFormat="false" ht="14.25" hidden="false" customHeight="false" outlineLevel="0" collapsed="false">
      <c r="A95" s="4" t="e">
        <f aca="false">0.0894*ABS(D95)-0.01603*E95</f>
        <v>#REF!</v>
      </c>
      <c r="B95" s="12" t="e">
        <f aca="false">'Dataset experimental'!K95*COS('Dataset experimental'!AC95)-'Dataset experimental'!M95-'Dataset experimental'!C95</f>
        <v>#REF!</v>
      </c>
      <c r="C95" s="12" t="e">
        <f aca="false">('Dataset experimental'!AE95+SIN('Avaliação do resultado ML'!B95))*0.70674187</f>
        <v>#REF!</v>
      </c>
      <c r="D95" s="12" t="e">
        <f aca="false">'Modelos Propostos'!E95+'Avaliação do resultado ML'!C95-'Modelos normativos'!AQ95</f>
        <v>#REF!</v>
      </c>
      <c r="E95" s="12" t="n">
        <f aca="false">'Modelos empíricos'!I95+1.1854</f>
        <v>2.63927369744465</v>
      </c>
      <c r="F95" s="4" t="e">
        <f aca="false">-0.01753*('Modelos normativos'!AN95-'Dataset experimental'!C95-ABS(G95)-('Modelos Propostos'!E95-'Modelos normativos'!AP95)/0.25291)</f>
        <v>#REF!</v>
      </c>
      <c r="G95" s="4" t="e">
        <f aca="false">'Dataset experimental'!K95+'Modelos empíricos'!K95^2+('Modelos Propostos'!E95-'Modelos normativos'!AQ95)*4.10553</f>
        <v>#REF!</v>
      </c>
      <c r="H95" s="4" t="e">
        <f aca="false">0.03283*(J95+K95)</f>
        <v>#REF!</v>
      </c>
      <c r="I95" s="4" t="e">
        <f aca="false">(1.61428/'Dataset experimental'!Q95)^3</f>
        <v>#REF!</v>
      </c>
      <c r="J95" s="4" t="e">
        <f aca="false">SIN('Dataset experimental'!E95)+1.450178*(SIN('Avaliação do resultado ML'!I95)+'Dataset experimental'!C95)</f>
        <v>#REF!</v>
      </c>
      <c r="K95" s="4" t="e">
        <f aca="false">('Modelos empíricos'!C95-'Dataset experimental'!G95)*'Dataset experimental'!AE95-'Modelos normativos'!AP95</f>
        <v>#REF!</v>
      </c>
      <c r="L95" s="4" t="n">
        <f aca="false">0.0076*'Dataset experimental'!B95+'Avaliação do resultado ML'!M95+'Avaliação do resultado ML'!N95+(-0.0328)*(0.0171*'Dataset experimental'!AD95-0.9442)*'Avaliação do resultado ML'!O95-'Avaliação do resultado ML'!P95-0.0364</f>
        <v>-0.135732650101272</v>
      </c>
      <c r="M95" s="12" t="n">
        <f aca="false">0.03283*SIN(0.7328*'Dataset experimental'!D95-1.8266)</f>
        <v>-0.0115958827834406</v>
      </c>
      <c r="N95" s="12" t="n">
        <f aca="false">0.0476*SIN(4.2067/(0.0095*'Dataset experimental'!P95-1.9338)^3)</f>
        <v>-0.0456510623570613</v>
      </c>
      <c r="O95" s="12" t="n">
        <f aca="false">0.0214*'Dataset experimental'!F95-3.1067*'Dataset experimental'!B95*'Dataset experimental'!P95*('Dataset experimental'!T95-'Dataset experimental'!R95)*(0.39*'Dataset experimental'!P95*'Dataset experimental'!T95/'Dataset experimental'!V95-'Dataset experimental'!Z95+3.12)/(100000*'Dataset experimental'!V95)+0.7995</f>
        <v>-0.635992364826854</v>
      </c>
      <c r="P95" s="12" t="n">
        <f aca="false">0.4461*('Dataset experimental'!Z95-0.6*'Modelos normativos'!AB95)*(3.4*'Dataset experimental'!L95+0.17*'Dataset experimental'!B95/'Modelos normativos'!AC95)/200000</f>
        <v>0.158557430897584</v>
      </c>
      <c r="Q95" s="4" t="e">
        <f aca="false">L95/H95</f>
        <v>#REF!</v>
      </c>
      <c r="R95" s="4" t="e">
        <f aca="false">(-0.042-0.014*'Com TS variável MC2020'!Q104)*('Modelos normativos'!AP95-ABS('Modelos Propostos'!K95)-'Dataset experimental'!W95+COS(S95))</f>
        <v>#REF!</v>
      </c>
      <c r="S95" s="4" t="e">
        <f aca="false">'Dataset experimental'!O95-('Modelos normativos'!AQ95-SIN(0.083/('Dataset experimental'!M95-'Dataset experimental'!O95))-'Modelos empíricos'!I95)/0.646</f>
        <v>#REF!</v>
      </c>
      <c r="W95" s="4" t="e">
        <f aca="false">'Modelos normativos'!S95+'Avaliação do resultado ML'!A95</f>
        <v>#REF!</v>
      </c>
      <c r="X95" s="4" t="e">
        <f aca="false">W95/'Dataset experimental'!$AF95</f>
        <v>#REF!</v>
      </c>
      <c r="AJ95" s="4" t="e">
        <f aca="false">'Modelos Propostos'!B95+H95</f>
        <v>#REF!</v>
      </c>
      <c r="AK95" s="4" t="e">
        <f aca="false">AJ95/'Dataset experimental'!$AF95</f>
        <v>#REF!</v>
      </c>
      <c r="AV95" s="4" t="e">
        <f aca="false">'Modelos normativos'!S95+F95</f>
        <v>#REF!</v>
      </c>
      <c r="AW95" s="4" t="e">
        <f aca="false">AV95/'Dataset experimental'!$AF95</f>
        <v>#REF!</v>
      </c>
      <c r="BH95" s="4" t="e">
        <f aca="false">'Modelos Propostos'!B95+R95</f>
        <v>#REF!</v>
      </c>
      <c r="BI95" s="4" t="e">
        <f aca="false">BH95/'Dataset experimental'!$AF95</f>
        <v>#REF!</v>
      </c>
      <c r="BT95" s="4" t="n">
        <f aca="false">'Modelos Propostos'!B95+L95</f>
        <v>0.371018143195476</v>
      </c>
      <c r="BU95" s="4" t="n">
        <f aca="false">BT95/'Dataset experimental'!$AF95</f>
        <v>0.976363534724937</v>
      </c>
    </row>
    <row r="96" customFormat="false" ht="14.25" hidden="false" customHeight="false" outlineLevel="0" collapsed="false">
      <c r="A96" s="4" t="e">
        <f aca="false">0.0894*ABS(D96)-0.01603*E96</f>
        <v>#REF!</v>
      </c>
      <c r="B96" s="12" t="e">
        <f aca="false">'Dataset experimental'!K96*COS('Dataset experimental'!AC96)-'Dataset experimental'!M96-'Dataset experimental'!C96</f>
        <v>#REF!</v>
      </c>
      <c r="C96" s="12" t="e">
        <f aca="false">('Dataset experimental'!AE96+SIN('Avaliação do resultado ML'!B96))*0.70674187</f>
        <v>#REF!</v>
      </c>
      <c r="D96" s="12" t="e">
        <f aca="false">'Modelos Propostos'!E96+'Avaliação do resultado ML'!C96-'Modelos normativos'!AQ96</f>
        <v>#REF!</v>
      </c>
      <c r="E96" s="12" t="n">
        <f aca="false">'Modelos empíricos'!I96+1.1854</f>
        <v>0.233552363415628</v>
      </c>
      <c r="F96" s="4" t="e">
        <f aca="false">-0.01753*('Modelos normativos'!AN96-'Dataset experimental'!C96-ABS(G96)-('Modelos Propostos'!E96-'Modelos normativos'!AP96)/0.25291)</f>
        <v>#REF!</v>
      </c>
      <c r="G96" s="4" t="e">
        <f aca="false">'Dataset experimental'!K96+'Modelos empíricos'!K96^2+('Modelos Propostos'!E96-'Modelos normativos'!AQ96)*4.10553</f>
        <v>#REF!</v>
      </c>
      <c r="H96" s="4" t="e">
        <f aca="false">0.03283*(J96+K96)</f>
        <v>#REF!</v>
      </c>
      <c r="I96" s="4" t="e">
        <f aca="false">(1.61428/'Dataset experimental'!Q96)^3</f>
        <v>#REF!</v>
      </c>
      <c r="J96" s="4" t="e">
        <f aca="false">SIN('Dataset experimental'!E96)+1.450178*(SIN('Avaliação do resultado ML'!I96)+'Dataset experimental'!C96)</f>
        <v>#REF!</v>
      </c>
      <c r="K96" s="4" t="e">
        <f aca="false">('Modelos empíricos'!C96-'Dataset experimental'!G96)*'Dataset experimental'!AE96-'Modelos normativos'!AP96</f>
        <v>#REF!</v>
      </c>
      <c r="L96" s="4" t="n">
        <f aca="false">0.0076*'Dataset experimental'!B96+'Avaliação do resultado ML'!M96+'Avaliação do resultado ML'!N96+(-0.0328)*(0.0171*'Dataset experimental'!AD96-0.9442)*'Avaliação do resultado ML'!O96-'Avaliação do resultado ML'!P96-0.0364</f>
        <v>0.0334187878636448</v>
      </c>
      <c r="M96" s="12" t="n">
        <f aca="false">0.03283*SIN(0.7328*'Dataset experimental'!D96-1.8266)</f>
        <v>-0.0115958827834406</v>
      </c>
      <c r="N96" s="12" t="n">
        <f aca="false">0.0476*SIN(4.2067/(0.0095*'Dataset experimental'!P96-1.9338)^3)</f>
        <v>-0.0456510623570613</v>
      </c>
      <c r="O96" s="12" t="n">
        <f aca="false">0.0214*'Dataset experimental'!F96-3.1067*'Dataset experimental'!B96*'Dataset experimental'!P96*('Dataset experimental'!T96-'Dataset experimental'!R96)*(0.39*'Dataset experimental'!P96*'Dataset experimental'!T96/'Dataset experimental'!V96-'Dataset experimental'!Z96+3.12)/(100000*'Dataset experimental'!V96)+0.7995</f>
        <v>3.00530742807351</v>
      </c>
      <c r="P96" s="12" t="n">
        <f aca="false">0.4461*('Dataset experimental'!Z96-0.6*'Modelos normativos'!AB96)*(3.4*'Dataset experimental'!L96+0.17*'Dataset experimental'!B96/'Modelos normativos'!AC96)/200000</f>
        <v>0.0482656199512884</v>
      </c>
      <c r="Q96" s="4" t="e">
        <f aca="false">L96/H96</f>
        <v>#REF!</v>
      </c>
      <c r="R96" s="4" t="e">
        <f aca="false">(-0.042-0.014*'Com TS variável MC2020'!Q105)*('Modelos normativos'!AP96-ABS('Modelos Propostos'!K96)-'Dataset experimental'!W96+COS(S96))</f>
        <v>#REF!</v>
      </c>
      <c r="S96" s="4" t="e">
        <f aca="false">'Dataset experimental'!O96-('Modelos normativos'!AQ96-SIN(0.083/('Dataset experimental'!M96-'Dataset experimental'!O96))-'Modelos empíricos'!I96)/0.646</f>
        <v>#REF!</v>
      </c>
      <c r="W96" s="4" t="e">
        <f aca="false">'Modelos normativos'!S96+'Avaliação do resultado ML'!A96</f>
        <v>#REF!</v>
      </c>
      <c r="X96" s="4" t="e">
        <f aca="false">W96/'Dataset experimental'!$AF96</f>
        <v>#REF!</v>
      </c>
      <c r="AJ96" s="4" t="e">
        <f aca="false">'Modelos Propostos'!B96+H96</f>
        <v>#REF!</v>
      </c>
      <c r="AK96" s="4" t="e">
        <f aca="false">AJ96/'Dataset experimental'!$AF96</f>
        <v>#REF!</v>
      </c>
      <c r="AV96" s="4" t="e">
        <f aca="false">'Modelos normativos'!S96+F96</f>
        <v>#REF!</v>
      </c>
      <c r="AW96" s="4" t="e">
        <f aca="false">AV96/'Dataset experimental'!$AF96</f>
        <v>#REF!</v>
      </c>
      <c r="BH96" s="4" t="e">
        <f aca="false">'Modelos Propostos'!B96+R96</f>
        <v>#REF!</v>
      </c>
      <c r="BI96" s="4" t="e">
        <f aca="false">BH96/'Dataset experimental'!$AF96</f>
        <v>#REF!</v>
      </c>
      <c r="BT96" s="4" t="n">
        <f aca="false">'Modelos Propostos'!B96+L96</f>
        <v>0.144053249897441</v>
      </c>
      <c r="BU96" s="4" t="n">
        <f aca="false">BT96/'Dataset experimental'!$AF96</f>
        <v>0.960354999316273</v>
      </c>
    </row>
    <row r="97" customFormat="false" ht="14.25" hidden="false" customHeight="false" outlineLevel="0" collapsed="false">
      <c r="A97" s="4" t="e">
        <f aca="false">0.0894*ABS(D97)-0.01603*E97</f>
        <v>#REF!</v>
      </c>
      <c r="B97" s="12" t="e">
        <f aca="false">'Dataset experimental'!K97*COS('Dataset experimental'!AC97)-'Dataset experimental'!M97-'Dataset experimental'!C97</f>
        <v>#REF!</v>
      </c>
      <c r="C97" s="12" t="e">
        <f aca="false">('Dataset experimental'!AE97+SIN('Avaliação do resultado ML'!B97))*0.70674187</f>
        <v>#REF!</v>
      </c>
      <c r="D97" s="12" t="e">
        <f aca="false">'Modelos Propostos'!E97+'Avaliação do resultado ML'!C97-'Modelos normativos'!AQ97</f>
        <v>#REF!</v>
      </c>
      <c r="E97" s="12" t="n">
        <f aca="false">'Modelos empíricos'!I97+1.1854</f>
        <v>0.555293377159774</v>
      </c>
      <c r="F97" s="4" t="e">
        <f aca="false">-0.01753*('Modelos normativos'!AN97-'Dataset experimental'!C97-ABS(G97)-('Modelos Propostos'!E97-'Modelos normativos'!AP97)/0.25291)</f>
        <v>#REF!</v>
      </c>
      <c r="G97" s="4" t="e">
        <f aca="false">'Dataset experimental'!K97+'Modelos empíricos'!K97^2+('Modelos Propostos'!E97-'Modelos normativos'!AQ97)*4.10553</f>
        <v>#REF!</v>
      </c>
      <c r="H97" s="4" t="e">
        <f aca="false">0.03283*(J97+K97)</f>
        <v>#REF!</v>
      </c>
      <c r="I97" s="4" t="e">
        <f aca="false">(1.61428/'Dataset experimental'!Q97)^3</f>
        <v>#REF!</v>
      </c>
      <c r="J97" s="4" t="e">
        <f aca="false">SIN('Dataset experimental'!E97)+1.450178*(SIN('Avaliação do resultado ML'!I97)+'Dataset experimental'!C97)</f>
        <v>#REF!</v>
      </c>
      <c r="K97" s="4" t="e">
        <f aca="false">('Modelos empíricos'!C97-'Dataset experimental'!G97)*'Dataset experimental'!AE97-'Modelos normativos'!AP97</f>
        <v>#REF!</v>
      </c>
      <c r="L97" s="4" t="n">
        <f aca="false">0.0076*'Dataset experimental'!B97+'Avaliação do resultado ML'!M97+'Avaliação do resultado ML'!N97+(-0.0328)*(0.0171*'Dataset experimental'!AD97-0.9442)*'Avaliação do resultado ML'!O97-'Avaliação do resultado ML'!P97-0.0364</f>
        <v>0.0107745291174744</v>
      </c>
      <c r="M97" s="12" t="n">
        <f aca="false">0.03283*SIN(0.7328*'Dataset experimental'!D97-1.8266)</f>
        <v>-0.0115958827834406</v>
      </c>
      <c r="N97" s="12" t="n">
        <f aca="false">0.0476*SIN(4.2067/(0.0095*'Dataset experimental'!P97-1.9338)^3)</f>
        <v>-0.0456510623570613</v>
      </c>
      <c r="O97" s="12" t="n">
        <f aca="false">0.0214*'Dataset experimental'!F97-3.1067*'Dataset experimental'!B97*'Dataset experimental'!P97*('Dataset experimental'!T97-'Dataset experimental'!R97)*(0.39*'Dataset experimental'!P97*'Dataset experimental'!T97/'Dataset experimental'!V97-'Dataset experimental'!Z97+3.12)/(100000*'Dataset experimental'!V97)+0.7995</f>
        <v>2.73369179308125</v>
      </c>
      <c r="P97" s="12" t="n">
        <f aca="false">0.4461*('Dataset experimental'!Z97-0.6*'Modelos normativos'!AB97)*(3.4*'Dataset experimental'!L97+0.17*'Dataset experimental'!B97/'Modelos normativos'!AC97)/200000</f>
        <v>0.061576554118476</v>
      </c>
      <c r="Q97" s="4" t="e">
        <f aca="false">L97/H97</f>
        <v>#REF!</v>
      </c>
      <c r="R97" s="4" t="e">
        <f aca="false">(-0.042-0.014*'Com TS variável MC2020'!Q106)*('Modelos normativos'!AP97-ABS('Modelos Propostos'!K97)-'Dataset experimental'!W97+COS(S97))</f>
        <v>#REF!</v>
      </c>
      <c r="S97" s="4" t="e">
        <f aca="false">'Dataset experimental'!O97-('Modelos normativos'!AQ97-SIN(0.083/('Dataset experimental'!M97-'Dataset experimental'!O97))-'Modelos empíricos'!I97)/0.646</f>
        <v>#REF!</v>
      </c>
      <c r="W97" s="4" t="e">
        <f aca="false">'Modelos normativos'!S97+'Avaliação do resultado ML'!A97</f>
        <v>#REF!</v>
      </c>
      <c r="X97" s="4" t="e">
        <f aca="false">W97/'Dataset experimental'!$AF97</f>
        <v>#REF!</v>
      </c>
      <c r="AJ97" s="4" t="e">
        <f aca="false">'Modelos Propostos'!B97+H97</f>
        <v>#REF!</v>
      </c>
      <c r="AK97" s="4" t="e">
        <f aca="false">AJ97/'Dataset experimental'!$AF97</f>
        <v>#REF!</v>
      </c>
      <c r="AV97" s="4" t="e">
        <f aca="false">'Modelos normativos'!S97+F97</f>
        <v>#REF!</v>
      </c>
      <c r="AW97" s="4" t="e">
        <f aca="false">AV97/'Dataset experimental'!$AF97</f>
        <v>#REF!</v>
      </c>
      <c r="BH97" s="4" t="e">
        <f aca="false">'Modelos Propostos'!B97+R97</f>
        <v>#REF!</v>
      </c>
      <c r="BI97" s="4" t="e">
        <f aca="false">BH97/'Dataset experimental'!$AF97</f>
        <v>#REF!</v>
      </c>
      <c r="BT97" s="4" t="n">
        <f aca="false">'Modelos Propostos'!B97+L97</f>
        <v>0.154547977184241</v>
      </c>
      <c r="BU97" s="4" t="n">
        <f aca="false">BT97/'Dataset experimental'!$AF97</f>
        <v>0.858599873245784</v>
      </c>
    </row>
    <row r="98" customFormat="false" ht="14.25" hidden="false" customHeight="false" outlineLevel="0" collapsed="false">
      <c r="A98" s="4" t="e">
        <f aca="false">0.0894*ABS(D98)-0.01603*E98</f>
        <v>#REF!</v>
      </c>
      <c r="B98" s="12" t="e">
        <f aca="false">'Dataset experimental'!K98*COS('Dataset experimental'!AC98)-'Dataset experimental'!M98-'Dataset experimental'!C98</f>
        <v>#REF!</v>
      </c>
      <c r="C98" s="12" t="e">
        <f aca="false">('Dataset experimental'!AE98+SIN('Avaliação do resultado ML'!B98))*0.70674187</f>
        <v>#REF!</v>
      </c>
      <c r="D98" s="12" t="e">
        <f aca="false">'Modelos Propostos'!E98+'Avaliação do resultado ML'!C98-'Modelos normativos'!AQ98</f>
        <v>#REF!</v>
      </c>
      <c r="E98" s="12" t="n">
        <f aca="false">'Modelos empíricos'!I98+1.1854</f>
        <v>0.876483464510524</v>
      </c>
      <c r="F98" s="4" t="e">
        <f aca="false">-0.01753*('Modelos normativos'!AN98-'Dataset experimental'!C98-ABS(G98)-('Modelos Propostos'!E98-'Modelos normativos'!AP98)/0.25291)</f>
        <v>#REF!</v>
      </c>
      <c r="G98" s="4" t="e">
        <f aca="false">'Dataset experimental'!K98+'Modelos empíricos'!K98^2+('Modelos Propostos'!E98-'Modelos normativos'!AQ98)*4.10553</f>
        <v>#REF!</v>
      </c>
      <c r="H98" s="4" t="e">
        <f aca="false">0.03283*(J98+K98)</f>
        <v>#REF!</v>
      </c>
      <c r="I98" s="4" t="e">
        <f aca="false">(1.61428/'Dataset experimental'!Q98)^3</f>
        <v>#REF!</v>
      </c>
      <c r="J98" s="4" t="e">
        <f aca="false">SIN('Dataset experimental'!E98)+1.450178*(SIN('Avaliação do resultado ML'!I98)+'Dataset experimental'!C98)</f>
        <v>#REF!</v>
      </c>
      <c r="K98" s="4" t="e">
        <f aca="false">('Modelos empíricos'!C98-'Dataset experimental'!G98)*'Dataset experimental'!AE98-'Modelos normativos'!AP98</f>
        <v>#REF!</v>
      </c>
      <c r="L98" s="4" t="n">
        <f aca="false">0.0076*'Dataset experimental'!B98+'Avaliação do resultado ML'!M98+'Avaliação do resultado ML'!N98+(-0.0328)*(0.0171*'Dataset experimental'!AD98-0.9442)*'Avaliação do resultado ML'!O98-'Avaliação do resultado ML'!P98-0.0364</f>
        <v>-0.0109435514056318</v>
      </c>
      <c r="M98" s="12" t="n">
        <f aca="false">0.03283*SIN(0.7328*'Dataset experimental'!D98-1.8266)</f>
        <v>-0.0115958827834406</v>
      </c>
      <c r="N98" s="12" t="n">
        <f aca="false">0.0476*SIN(4.2067/(0.0095*'Dataset experimental'!P98-1.9338)^3)</f>
        <v>-0.0456510623570613</v>
      </c>
      <c r="O98" s="12" t="n">
        <f aca="false">0.0214*'Dataset experimental'!F98-3.1067*'Dataset experimental'!B98*'Dataset experimental'!P98*('Dataset experimental'!T98-'Dataset experimental'!R98)*(0.39*'Dataset experimental'!P98*'Dataset experimental'!T98/'Dataset experimental'!V98-'Dataset experimental'!Z98+3.12)/(100000*'Dataset experimental'!V98)+0.7995</f>
        <v>2.46254125335439</v>
      </c>
      <c r="P98" s="12" t="n">
        <f aca="false">0.4461*('Dataset experimental'!Z98-0.6*'Modelos normativos'!AB98)*(3.4*'Dataset experimental'!L98+0.17*'Dataset experimental'!B98/'Modelos normativos'!AC98)/200000</f>
        <v>0.0748646955901719</v>
      </c>
      <c r="Q98" s="4" t="e">
        <f aca="false">L98/H98</f>
        <v>#REF!</v>
      </c>
      <c r="R98" s="4" t="e">
        <f aca="false">(-0.042-0.014*'Com TS variável MC2020'!Q107)*('Modelos normativos'!AP98-ABS('Modelos Propostos'!K98)-'Dataset experimental'!W98+COS(S98))</f>
        <v>#REF!</v>
      </c>
      <c r="S98" s="4" t="e">
        <f aca="false">'Dataset experimental'!O98-('Modelos normativos'!AQ98-SIN(0.083/('Dataset experimental'!M98-'Dataset experimental'!O98))-'Modelos empíricos'!I98)/0.646</f>
        <v>#REF!</v>
      </c>
      <c r="W98" s="4" t="e">
        <f aca="false">'Modelos normativos'!S98+'Avaliação do resultado ML'!A98</f>
        <v>#REF!</v>
      </c>
      <c r="X98" s="4" t="e">
        <f aca="false">W98/'Dataset experimental'!$AF98</f>
        <v>#REF!</v>
      </c>
      <c r="AJ98" s="4" t="e">
        <f aca="false">'Modelos Propostos'!B98+H98</f>
        <v>#REF!</v>
      </c>
      <c r="AK98" s="4" t="e">
        <f aca="false">AJ98/'Dataset experimental'!$AF98</f>
        <v>#REF!</v>
      </c>
      <c r="AV98" s="4" t="e">
        <f aca="false">'Modelos normativos'!S98+F98</f>
        <v>#REF!</v>
      </c>
      <c r="AW98" s="4" t="e">
        <f aca="false">AV98/'Dataset experimental'!$AF98</f>
        <v>#REF!</v>
      </c>
      <c r="BH98" s="4" t="e">
        <f aca="false">'Modelos Propostos'!B98+R98</f>
        <v>#REF!</v>
      </c>
      <c r="BI98" s="4" t="e">
        <f aca="false">BH98/'Dataset experimental'!$AF98</f>
        <v>#REF!</v>
      </c>
      <c r="BT98" s="4" t="n">
        <f aca="false">'Modelos Propostos'!B98+L98</f>
        <v>0.178956738038565</v>
      </c>
      <c r="BU98" s="4" t="n">
        <f aca="false">BT98/'Dataset experimental'!$AF98</f>
        <v>0.894783690192825</v>
      </c>
    </row>
    <row r="99" customFormat="false" ht="14.25" hidden="false" customHeight="false" outlineLevel="0" collapsed="false">
      <c r="A99" s="4" t="e">
        <f aca="false">0.0894*ABS(D99)-0.01603*E99</f>
        <v>#REF!</v>
      </c>
      <c r="B99" s="12" t="e">
        <f aca="false">'Dataset experimental'!K99*COS('Dataset experimental'!AC99)-'Dataset experimental'!M99-'Dataset experimental'!C99</f>
        <v>#REF!</v>
      </c>
      <c r="C99" s="12" t="e">
        <f aca="false">('Dataset experimental'!AE99+SIN('Avaliação do resultado ML'!B99))*0.70674187</f>
        <v>#REF!</v>
      </c>
      <c r="D99" s="12" t="e">
        <f aca="false">'Modelos Propostos'!E99+'Avaliação do resultado ML'!C99-'Modelos normativos'!AQ99</f>
        <v>#REF!</v>
      </c>
      <c r="E99" s="12" t="n">
        <f aca="false">'Modelos empíricos'!I99+1.1854</f>
        <v>1.19767355186127</v>
      </c>
      <c r="F99" s="4" t="e">
        <f aca="false">-0.01753*('Modelos normativos'!AN99-'Dataset experimental'!C99-ABS(G99)-('Modelos Propostos'!E99-'Modelos normativos'!AP99)/0.25291)</f>
        <v>#REF!</v>
      </c>
      <c r="G99" s="4" t="e">
        <f aca="false">'Dataset experimental'!K99+'Modelos empíricos'!K99^2+('Modelos Propostos'!E99-'Modelos normativos'!AQ99)*4.10553</f>
        <v>#REF!</v>
      </c>
      <c r="H99" s="4" t="e">
        <f aca="false">0.03283*(J99+K99)</f>
        <v>#REF!</v>
      </c>
      <c r="I99" s="4" t="e">
        <f aca="false">(1.61428/'Dataset experimental'!Q99)^3</f>
        <v>#REF!</v>
      </c>
      <c r="J99" s="4" t="e">
        <f aca="false">SIN('Dataset experimental'!E99)+1.450178*(SIN('Avaliação do resultado ML'!I99)+'Dataset experimental'!C99)</f>
        <v>#REF!</v>
      </c>
      <c r="K99" s="4" t="e">
        <f aca="false">('Modelos empíricos'!C99-'Dataset experimental'!G99)*'Dataset experimental'!AE99-'Modelos normativos'!AP99</f>
        <v>#REF!</v>
      </c>
      <c r="L99" s="4" t="n">
        <f aca="false">0.0076*'Dataset experimental'!B99+'Avaliação do resultado ML'!M99+'Avaliação do resultado ML'!N99+(-0.0328)*(0.0171*'Dataset experimental'!AD99-0.9442)*'Avaliação do resultado ML'!O99-'Avaliação do resultado ML'!P99-0.0364</f>
        <v>-0.0317749885359088</v>
      </c>
      <c r="M99" s="12" t="n">
        <f aca="false">0.03283*SIN(0.7328*'Dataset experimental'!D99-1.8266)</f>
        <v>-0.0115958827834406</v>
      </c>
      <c r="N99" s="12" t="n">
        <f aca="false">0.0476*SIN(4.2067/(0.0095*'Dataset experimental'!P99-1.9338)^3)</f>
        <v>-0.0456510623570613</v>
      </c>
      <c r="O99" s="12" t="n">
        <f aca="false">0.0214*'Dataset experimental'!F99-3.1067*'Dataset experimental'!B99*'Dataset experimental'!P99*('Dataset experimental'!T99-'Dataset experimental'!R99)*(0.39*'Dataset experimental'!P99*'Dataset experimental'!T99/'Dataset experimental'!V99-'Dataset experimental'!Z99+3.12)/(100000*'Dataset experimental'!V99)+0.7995</f>
        <v>2.19139071362752</v>
      </c>
      <c r="P99" s="12" t="n">
        <f aca="false">0.4461*('Dataset experimental'!Z99-0.6*'Modelos normativos'!AB99)*(3.4*'Dataset experimental'!L99+0.17*'Dataset experimental'!B99/'Modelos normativos'!AC99)/200000</f>
        <v>0.0881528370618677</v>
      </c>
      <c r="Q99" s="4" t="e">
        <f aca="false">L99/H99</f>
        <v>#REF!</v>
      </c>
      <c r="R99" s="4" t="e">
        <f aca="false">(-0.042-0.014*'Com TS variável MC2020'!Q108)*('Modelos normativos'!AP99-ABS('Modelos Propostos'!K99)-'Dataset experimental'!W99+COS(S99))</f>
        <v>#REF!</v>
      </c>
      <c r="S99" s="4" t="e">
        <f aca="false">'Dataset experimental'!O99-('Modelos normativos'!AQ99-SIN(0.083/('Dataset experimental'!M99-'Dataset experimental'!O99))-'Modelos empíricos'!I99)/0.646</f>
        <v>#REF!</v>
      </c>
      <c r="W99" s="4" t="e">
        <f aca="false">'Modelos normativos'!S99+'Avaliação do resultado ML'!A99</f>
        <v>#REF!</v>
      </c>
      <c r="X99" s="4" t="e">
        <f aca="false">W99/'Dataset experimental'!$AF99</f>
        <v>#REF!</v>
      </c>
      <c r="AJ99" s="4" t="e">
        <f aca="false">'Modelos Propostos'!B99+H99</f>
        <v>#REF!</v>
      </c>
      <c r="AK99" s="4" t="e">
        <f aca="false">AJ99/'Dataset experimental'!$AF99</f>
        <v>#REF!</v>
      </c>
      <c r="AV99" s="4" t="e">
        <f aca="false">'Modelos normativos'!S99+F99</f>
        <v>#REF!</v>
      </c>
      <c r="AW99" s="4" t="e">
        <f aca="false">AV99/'Dataset experimental'!$AF99</f>
        <v>#REF!</v>
      </c>
      <c r="BH99" s="4" t="e">
        <f aca="false">'Modelos Propostos'!B99+R99</f>
        <v>#REF!</v>
      </c>
      <c r="BI99" s="4" t="e">
        <f aca="false">BH99/'Dataset experimental'!$AF99</f>
        <v>#REF!</v>
      </c>
      <c r="BT99" s="4" t="n">
        <f aca="false">'Modelos Propostos'!B99+L99</f>
        <v>0.204252142285718</v>
      </c>
      <c r="BU99" s="4" t="n">
        <f aca="false">BT99/'Dataset experimental'!$AF99</f>
        <v>0.8880527925466</v>
      </c>
    </row>
    <row r="100" customFormat="false" ht="14.25" hidden="false" customHeight="false" outlineLevel="0" collapsed="false">
      <c r="A100" s="4" t="e">
        <f aca="false">0.0894*ABS(D100)-0.01603*E100</f>
        <v>#REF!</v>
      </c>
      <c r="B100" s="12" t="e">
        <f aca="false">'Dataset experimental'!K100*COS('Dataset experimental'!AC100)-'Dataset experimental'!M100-'Dataset experimental'!C100</f>
        <v>#REF!</v>
      </c>
      <c r="C100" s="12" t="e">
        <f aca="false">('Dataset experimental'!AE100+SIN('Avaliação do resultado ML'!B100))*0.70674187</f>
        <v>#REF!</v>
      </c>
      <c r="D100" s="12" t="e">
        <f aca="false">'Modelos Propostos'!E100+'Avaliação do resultado ML'!C100-'Modelos normativos'!AQ100</f>
        <v>#REF!</v>
      </c>
      <c r="E100" s="12" t="n">
        <f aca="false">'Modelos empíricos'!I100+1.1854</f>
        <v>1.51941456560542</v>
      </c>
      <c r="F100" s="4" t="e">
        <f aca="false">-0.01753*('Modelos normativos'!AN100-'Dataset experimental'!C100-ABS(G100)-('Modelos Propostos'!E100-'Modelos normativos'!AP100)/0.25291)</f>
        <v>#REF!</v>
      </c>
      <c r="G100" s="4" t="e">
        <f aca="false">'Dataset experimental'!K100+'Modelos empíricos'!K100^2+('Modelos Propostos'!E100-'Modelos normativos'!AQ100)*4.10553</f>
        <v>#REF!</v>
      </c>
      <c r="H100" s="4" t="e">
        <f aca="false">0.03283*(J100+K100)</f>
        <v>#REF!</v>
      </c>
      <c r="I100" s="4" t="e">
        <f aca="false">(1.61428/'Dataset experimental'!Q100)^3</f>
        <v>#REF!</v>
      </c>
      <c r="J100" s="4" t="e">
        <f aca="false">SIN('Dataset experimental'!E100)+1.450178*(SIN('Avaliação do resultado ML'!I100)+'Dataset experimental'!C100)</f>
        <v>#REF!</v>
      </c>
      <c r="K100" s="4" t="e">
        <f aca="false">('Modelos empíricos'!C100-'Dataset experimental'!G100)*'Dataset experimental'!AE100-'Modelos normativos'!AP100</f>
        <v>#REF!</v>
      </c>
      <c r="L100" s="4" t="n">
        <f aca="false">0.0076*'Dataset experimental'!B100+'Avaliação do resultado ML'!M100+'Avaliação do resultado ML'!N100+(-0.0328)*(0.0171*'Dataset experimental'!AD100-0.9442)*'Avaliação do resultado ML'!O100-'Avaliação do resultado ML'!P100-0.0364</f>
        <v>-0.0517532311783762</v>
      </c>
      <c r="M100" s="12" t="n">
        <f aca="false">0.03283*SIN(0.7328*'Dataset experimental'!D100-1.8266)</f>
        <v>-0.0115958827834406</v>
      </c>
      <c r="N100" s="12" t="n">
        <f aca="false">0.0476*SIN(4.2067/(0.0095*'Dataset experimental'!P100-1.9338)^3)</f>
        <v>-0.0456510623570613</v>
      </c>
      <c r="O100" s="12" t="n">
        <f aca="false">0.0214*'Dataset experimental'!F100-3.1067*'Dataset experimental'!B100*'Dataset experimental'!P100*('Dataset experimental'!T100-'Dataset experimental'!R100)*(0.39*'Dataset experimental'!P100*'Dataset experimental'!T100/'Dataset experimental'!V100-'Dataset experimental'!Z100+3.12)/(100000*'Dataset experimental'!V100)+0.7995</f>
        <v>1.91977507863526</v>
      </c>
      <c r="P100" s="12" t="n">
        <f aca="false">0.4461*('Dataset experimental'!Z100-0.6*'Modelos normativos'!AB100)*(3.4*'Dataset experimental'!L100+0.17*'Dataset experimental'!B100/'Modelos normativos'!AC100)/200000</f>
        <v>0.101463771229055</v>
      </c>
      <c r="Q100" s="4" t="e">
        <f aca="false">L100/H100</f>
        <v>#REF!</v>
      </c>
      <c r="R100" s="4" t="e">
        <f aca="false">(-0.042-0.014*'Com TS variável MC2020'!Q109)*('Modelos normativos'!AP100-ABS('Modelos Propostos'!K100)-'Dataset experimental'!W100+COS(S100))</f>
        <v>#REF!</v>
      </c>
      <c r="S100" s="4" t="e">
        <f aca="false">'Dataset experimental'!O100-('Modelos normativos'!AQ100-SIN(0.083/('Dataset experimental'!M100-'Dataset experimental'!O100))-'Modelos empíricos'!I100)/0.646</f>
        <v>#REF!</v>
      </c>
      <c r="W100" s="4" t="e">
        <f aca="false">'Modelos normativos'!S100+'Avaliação do resultado ML'!A100</f>
        <v>#REF!</v>
      </c>
      <c r="X100" s="4" t="e">
        <f aca="false">W100/'Dataset experimental'!$AF100</f>
        <v>#REF!</v>
      </c>
      <c r="AJ100" s="4" t="e">
        <f aca="false">'Modelos Propostos'!B100+H100</f>
        <v>#REF!</v>
      </c>
      <c r="AK100" s="4" t="e">
        <f aca="false">AJ100/'Dataset experimental'!$AF100</f>
        <v>#REF!</v>
      </c>
      <c r="AV100" s="4" t="e">
        <f aca="false">'Modelos normativos'!S100+F100</f>
        <v>#REF!</v>
      </c>
      <c r="AW100" s="4" t="e">
        <f aca="false">AV100/'Dataset experimental'!$AF100</f>
        <v>#REF!</v>
      </c>
      <c r="BH100" s="4" t="e">
        <f aca="false">'Modelos Propostos'!B100+R100</f>
        <v>#REF!</v>
      </c>
      <c r="BI100" s="4" t="e">
        <f aca="false">BH100/'Dataset experimental'!$AF100</f>
        <v>#REF!</v>
      </c>
      <c r="BT100" s="4" t="n">
        <f aca="false">'Modelos Propostos'!B100+L100</f>
        <v>0.230479860817212</v>
      </c>
      <c r="BU100" s="4" t="n">
        <f aca="false">BT100/'Dataset experimental'!$AF100</f>
        <v>0.921919443268847</v>
      </c>
    </row>
    <row r="101" customFormat="false" ht="14.25" hidden="false" customHeight="false" outlineLevel="0" collapsed="false">
      <c r="A101" s="4" t="e">
        <f aca="false">0.0894*ABS(D101)-0.01603*E101</f>
        <v>#REF!</v>
      </c>
      <c r="B101" s="12" t="e">
        <f aca="false">'Dataset experimental'!K101*COS('Dataset experimental'!AC101)-'Dataset experimental'!M101-'Dataset experimental'!C101</f>
        <v>#REF!</v>
      </c>
      <c r="C101" s="12" t="e">
        <f aca="false">('Dataset experimental'!AE101+SIN('Avaliação do resultado ML'!B101))*0.70674187</f>
        <v>#REF!</v>
      </c>
      <c r="D101" s="12" t="e">
        <f aca="false">'Modelos Propostos'!E101+'Avaliação do resultado ML'!C101-'Modelos normativos'!AQ101</f>
        <v>#REF!</v>
      </c>
      <c r="E101" s="12" t="n">
        <f aca="false">'Modelos empíricos'!I101+1.1854</f>
        <v>1.84115557934957</v>
      </c>
      <c r="F101" s="4" t="e">
        <f aca="false">-0.01753*('Modelos normativos'!AN101-'Dataset experimental'!C101-ABS(G101)-('Modelos Propostos'!E101-'Modelos normativos'!AP101)/0.25291)</f>
        <v>#REF!</v>
      </c>
      <c r="G101" s="4" t="e">
        <f aca="false">'Dataset experimental'!K101+'Modelos empíricos'!K101^2+('Modelos Propostos'!E101-'Modelos normativos'!AQ101)*4.10553</f>
        <v>#REF!</v>
      </c>
      <c r="H101" s="4" t="e">
        <f aca="false">0.03283*(J101+K101)</f>
        <v>#REF!</v>
      </c>
      <c r="I101" s="4" t="e">
        <f aca="false">(1.61428/'Dataset experimental'!Q101)^3</f>
        <v>#REF!</v>
      </c>
      <c r="J101" s="4" t="e">
        <f aca="false">SIN('Dataset experimental'!E101)+1.450178*(SIN('Avaliação do resultado ML'!I101)+'Dataset experimental'!C101)</f>
        <v>#REF!</v>
      </c>
      <c r="K101" s="4" t="e">
        <f aca="false">('Modelos empíricos'!C101-'Dataset experimental'!G101)*'Dataset experimental'!AE101-'Modelos normativos'!AP101</f>
        <v>#REF!</v>
      </c>
      <c r="L101" s="4" t="n">
        <f aca="false">0.0076*'Dataset experimental'!B101+'Avaliação do resultado ML'!M101+'Avaliação do resultado ML'!N101+(-0.0328)*(0.0171*'Dataset experimental'!AD101-0.9442)*'Avaliação do resultado ML'!O101-'Avaliação do resultado ML'!P101-0.0364</f>
        <v>-0.0708417861610935</v>
      </c>
      <c r="M101" s="12" t="n">
        <f aca="false">0.03283*SIN(0.7328*'Dataset experimental'!D101-1.8266)</f>
        <v>-0.0115958827834406</v>
      </c>
      <c r="N101" s="12" t="n">
        <f aca="false">0.0476*SIN(4.2067/(0.0095*'Dataset experimental'!P101-1.9338)^3)</f>
        <v>-0.0456510623570613</v>
      </c>
      <c r="O101" s="12" t="n">
        <f aca="false">0.0214*'Dataset experimental'!F101-3.1067*'Dataset experimental'!B101*'Dataset experimental'!P101*('Dataset experimental'!T101-'Dataset experimental'!R101)*(0.39*'Dataset experimental'!P101*'Dataset experimental'!T101/'Dataset experimental'!V101-'Dataset experimental'!Z101+3.12)/(100000*'Dataset experimental'!V101)+0.7995</f>
        <v>1.648159443643</v>
      </c>
      <c r="P101" s="12" t="n">
        <f aca="false">0.4461*('Dataset experimental'!Z101-0.6*'Modelos normativos'!AB101)*(3.4*'Dataset experimental'!L101+0.17*'Dataset experimental'!B101/'Modelos normativos'!AC101)/200000</f>
        <v>0.114774705396243</v>
      </c>
      <c r="Q101" s="4" t="e">
        <f aca="false">L101/H101</f>
        <v>#REF!</v>
      </c>
      <c r="R101" s="4" t="e">
        <f aca="false">(-0.042-0.014*'Com TS variável MC2020'!Q110)*('Modelos normativos'!AP101-ABS('Modelos Propostos'!K101)-'Dataset experimental'!W101+COS(S101))</f>
        <v>#REF!</v>
      </c>
      <c r="S101" s="4" t="e">
        <f aca="false">'Dataset experimental'!O101-('Modelos normativos'!AQ101-SIN(0.083/('Dataset experimental'!M101-'Dataset experimental'!O101))-'Modelos empíricos'!I101)/0.646</f>
        <v>#REF!</v>
      </c>
      <c r="W101" s="4" t="e">
        <f aca="false">'Modelos normativos'!S101+'Avaliação do resultado ML'!A101</f>
        <v>#REF!</v>
      </c>
      <c r="X101" s="4" t="e">
        <f aca="false">W101/'Dataset experimental'!$AF101</f>
        <v>#REF!</v>
      </c>
      <c r="AJ101" s="4" t="e">
        <f aca="false">'Modelos Propostos'!B101+H101</f>
        <v>#REF!</v>
      </c>
      <c r="AK101" s="4" t="e">
        <f aca="false">AJ101/'Dataset experimental'!$AF101</f>
        <v>#REF!</v>
      </c>
      <c r="AV101" s="4" t="e">
        <f aca="false">'Modelos normativos'!S101+F101</f>
        <v>#REF!</v>
      </c>
      <c r="AW101" s="4" t="e">
        <f aca="false">AV101/'Dataset experimental'!$AF101</f>
        <v>#REF!</v>
      </c>
      <c r="BH101" s="4" t="e">
        <f aca="false">'Modelos Propostos'!B101+R101</f>
        <v>#REF!</v>
      </c>
      <c r="BI101" s="4" t="e">
        <f aca="false">BH101/'Dataset experimental'!$AF101</f>
        <v>#REF!</v>
      </c>
      <c r="BT101" s="4" t="n">
        <f aca="false">'Modelos Propostos'!B101+L101</f>
        <v>0.257597267008455</v>
      </c>
      <c r="BU101" s="4" t="n">
        <f aca="false">BT101/'Dataset experimental'!$AF101</f>
        <v>0.858657556694851</v>
      </c>
    </row>
    <row r="102" customFormat="false" ht="14.25" hidden="false" customHeight="false" outlineLevel="0" collapsed="false">
      <c r="A102" s="4" t="e">
        <f aca="false">0.0894*ABS(D102)-0.01603*E102</f>
        <v>#REF!</v>
      </c>
      <c r="B102" s="12" t="e">
        <f aca="false">'Dataset experimental'!K102*COS('Dataset experimental'!AC102)-'Dataset experimental'!M102-'Dataset experimental'!C102</f>
        <v>#REF!</v>
      </c>
      <c r="C102" s="12" t="e">
        <f aca="false">('Dataset experimental'!AE102+SIN('Avaliação do resultado ML'!B102))*0.70674187</f>
        <v>#REF!</v>
      </c>
      <c r="D102" s="12" t="e">
        <f aca="false">'Modelos Propostos'!E102+'Avaliação do resultado ML'!C102-'Modelos normativos'!AQ102</f>
        <v>#REF!</v>
      </c>
      <c r="E102" s="12" t="n">
        <f aca="false">'Modelos empíricos'!I102+1.1854</f>
        <v>2.16179474030692</v>
      </c>
      <c r="F102" s="4" t="e">
        <f aca="false">-0.01753*('Modelos normativos'!AN102-'Dataset experimental'!C102-ABS(G102)-('Modelos Propostos'!E102-'Modelos normativos'!AP102)/0.25291)</f>
        <v>#REF!</v>
      </c>
      <c r="G102" s="4" t="e">
        <f aca="false">'Dataset experimental'!K102+'Modelos empíricos'!K102^2+('Modelos Propostos'!E102-'Modelos normativos'!AQ102)*4.10553</f>
        <v>#REF!</v>
      </c>
      <c r="H102" s="4" t="e">
        <f aca="false">0.03283*(J102+K102)</f>
        <v>#REF!</v>
      </c>
      <c r="I102" s="4" t="e">
        <f aca="false">(1.61428/'Dataset experimental'!Q102)^3</f>
        <v>#REF!</v>
      </c>
      <c r="J102" s="4" t="e">
        <f aca="false">SIN('Dataset experimental'!E102)+1.450178*(SIN('Avaliação do resultado ML'!I102)+'Dataset experimental'!C102)</f>
        <v>#REF!</v>
      </c>
      <c r="K102" s="4" t="e">
        <f aca="false">('Modelos empíricos'!C102-'Dataset experimental'!G102)*'Dataset experimental'!AE102-'Modelos normativos'!AP102</f>
        <v>#REF!</v>
      </c>
      <c r="L102" s="4" t="n">
        <f aca="false">0.0076*'Dataset experimental'!B102+'Avaliação do resultado ML'!M102+'Avaliação do resultado ML'!N102+(-0.0328)*(0.0171*'Dataset experimental'!AD102-0.9442)*'Avaliação do resultado ML'!O102-'Avaliação do resultado ML'!P102-0.0364</f>
        <v>-0.0889798468164894</v>
      </c>
      <c r="M102" s="12" t="n">
        <f aca="false">0.03283*SIN(0.7328*'Dataset experimental'!D102-1.8266)</f>
        <v>-0.0115958827834406</v>
      </c>
      <c r="N102" s="12" t="n">
        <f aca="false">0.0476*SIN(4.2067/(0.0095*'Dataset experimental'!P102-1.9338)^3)</f>
        <v>-0.0456510623570613</v>
      </c>
      <c r="O102" s="12" t="n">
        <f aca="false">0.0214*'Dataset experimental'!F102-3.1067*'Dataset experimental'!B102*'Dataset experimental'!P102*('Dataset experimental'!T102-'Dataset experimental'!R102)*(0.39*'Dataset experimental'!P102*'Dataset experimental'!T102/'Dataset experimental'!V102-'Dataset experimental'!Z102+3.12)/(100000*'Dataset experimental'!V102)+0.7995</f>
        <v>1.37747399918154</v>
      </c>
      <c r="P102" s="12" t="n">
        <f aca="false">0.4461*('Dataset experimental'!Z102-0.6*'Modelos normativos'!AB102)*(3.4*'Dataset experimental'!L102+0.17*'Dataset experimental'!B102/'Modelos normativos'!AC102)/200000</f>
        <v>0.128040054172447</v>
      </c>
      <c r="Q102" s="4" t="e">
        <f aca="false">L102/H102</f>
        <v>#REF!</v>
      </c>
      <c r="R102" s="4" t="e">
        <f aca="false">(-0.042-0.014*'Com TS variável MC2020'!Q111)*('Modelos normativos'!AP102-ABS('Modelos Propostos'!K102)-'Dataset experimental'!W102+COS(S102))</f>
        <v>#REF!</v>
      </c>
      <c r="S102" s="4" t="e">
        <f aca="false">'Dataset experimental'!O102-('Modelos normativos'!AQ102-SIN(0.083/('Dataset experimental'!M102-'Dataset experimental'!O102))-'Modelos empíricos'!I102)/0.646</f>
        <v>#REF!</v>
      </c>
      <c r="W102" s="4" t="e">
        <f aca="false">'Modelos normativos'!S102+'Avaliação do resultado ML'!A102</f>
        <v>#REF!</v>
      </c>
      <c r="X102" s="4" t="e">
        <f aca="false">W102/'Dataset experimental'!$AF102</f>
        <v>#REF!</v>
      </c>
      <c r="AJ102" s="4" t="e">
        <f aca="false">'Modelos Propostos'!B102+H102</f>
        <v>#REF!</v>
      </c>
      <c r="AK102" s="4" t="e">
        <f aca="false">AJ102/'Dataset experimental'!$AF102</f>
        <v>#REF!</v>
      </c>
      <c r="AV102" s="4" t="e">
        <f aca="false">'Modelos normativos'!S102+F102</f>
        <v>#REF!</v>
      </c>
      <c r="AW102" s="4" t="e">
        <f aca="false">AV102/'Dataset experimental'!$AF102</f>
        <v>#REF!</v>
      </c>
      <c r="BH102" s="4" t="e">
        <f aca="false">'Modelos Propostos'!B102+R102</f>
        <v>#REF!</v>
      </c>
      <c r="BI102" s="4" t="e">
        <f aca="false">BH102/'Dataset experimental'!$AF102</f>
        <v>#REF!</v>
      </c>
      <c r="BT102" s="4" t="n">
        <f aca="false">'Modelos Propostos'!B102+L102</f>
        <v>0.285506927933959</v>
      </c>
      <c r="BU102" s="4" t="n">
        <f aca="false">BT102/'Dataset experimental'!$AF102</f>
        <v>0.951689759779863</v>
      </c>
    </row>
    <row r="103" customFormat="false" ht="14.25" hidden="false" customHeight="false" outlineLevel="0" collapsed="false">
      <c r="A103" s="4" t="e">
        <f aca="false">0.0894*ABS(D103)-0.01603*E103</f>
        <v>#REF!</v>
      </c>
      <c r="B103" s="12" t="e">
        <f aca="false">'Dataset experimental'!K103*COS('Dataset experimental'!AC103)-'Dataset experimental'!M103-'Dataset experimental'!C103</f>
        <v>#REF!</v>
      </c>
      <c r="C103" s="12" t="e">
        <f aca="false">('Dataset experimental'!AE103+SIN('Avaliação do resultado ML'!B103))*0.70674187</f>
        <v>#REF!</v>
      </c>
      <c r="D103" s="12" t="e">
        <f aca="false">'Modelos Propostos'!E103+'Avaliação do resultado ML'!C103-'Modelos normativos'!AQ103</f>
        <v>#REF!</v>
      </c>
      <c r="E103" s="12" t="n">
        <f aca="false">'Modelos empíricos'!I103+1.1854</f>
        <v>-0.0881886503285192</v>
      </c>
      <c r="F103" s="4" t="e">
        <f aca="false">-0.01753*('Modelos normativos'!AN103-'Dataset experimental'!C103-ABS(G103)-('Modelos Propostos'!E103-'Modelos normativos'!AP103)/0.25291)</f>
        <v>#REF!</v>
      </c>
      <c r="G103" s="4" t="e">
        <f aca="false">'Dataset experimental'!K103+'Modelos empíricos'!K103^2+('Modelos Propostos'!E103-'Modelos normativos'!AQ103)*4.10553</f>
        <v>#REF!</v>
      </c>
      <c r="H103" s="4" t="e">
        <f aca="false">0.03283*(J103+K103)</f>
        <v>#REF!</v>
      </c>
      <c r="I103" s="4" t="e">
        <f aca="false">(1.61428/'Dataset experimental'!Q103)^3</f>
        <v>#REF!</v>
      </c>
      <c r="J103" s="4" t="e">
        <f aca="false">SIN('Dataset experimental'!E103)+1.450178*(SIN('Avaliação do resultado ML'!I103)+'Dataset experimental'!C103)</f>
        <v>#REF!</v>
      </c>
      <c r="K103" s="4" t="e">
        <f aca="false">('Modelos empíricos'!C103-'Dataset experimental'!G103)*'Dataset experimental'!AE103-'Modelos normativos'!AP103</f>
        <v>#REF!</v>
      </c>
      <c r="L103" s="4" t="n">
        <f aca="false">0.0076*'Dataset experimental'!B103+'Avaliação do resultado ML'!M103+'Avaliação do resultado ML'!N103+(-0.0328)*(0.0171*'Dataset experimental'!AD103-0.9442)*'Avaliação do resultado ML'!O103-'Avaliação do resultado ML'!P103-0.0364</f>
        <v>0.0569527342695653</v>
      </c>
      <c r="M103" s="12" t="n">
        <f aca="false">0.03283*SIN(0.7328*'Dataset experimental'!D103-1.8266)</f>
        <v>-0.0115958827834406</v>
      </c>
      <c r="N103" s="12" t="n">
        <f aca="false">0.0476*SIN(4.2067/(0.0095*'Dataset experimental'!P103-1.9338)^3)</f>
        <v>-0.0456510623570613</v>
      </c>
      <c r="O103" s="12" t="n">
        <f aca="false">0.0214*'Dataset experimental'!F103-3.1067*'Dataset experimental'!B103*'Dataset experimental'!P103*('Dataset experimental'!T103-'Dataset experimental'!R103)*(0.39*'Dataset experimental'!P103*'Dataset experimental'!T103/'Dataset experimental'!V103-'Dataset experimental'!Z103+3.12)/(100000*'Dataset experimental'!V103)+0.7995</f>
        <v>3.27692306306577</v>
      </c>
      <c r="P103" s="12" t="n">
        <f aca="false">0.4461*('Dataset experimental'!Z103-0.6*'Modelos normativos'!AB103)*(3.4*'Dataset experimental'!L103+0.17*'Dataset experimental'!B103/'Modelos normativos'!AC103)/200000</f>
        <v>0.0349546857841008</v>
      </c>
      <c r="Q103" s="4" t="e">
        <f aca="false">L103/H103</f>
        <v>#REF!</v>
      </c>
      <c r="R103" s="4" t="e">
        <f aca="false">(-0.042-0.014*'Com TS variável MC2020'!Q112)*('Modelos normativos'!AP103-ABS('Modelos Propostos'!K103)-'Dataset experimental'!W103+COS(S103))</f>
        <v>#REF!</v>
      </c>
      <c r="S103" s="4" t="e">
        <f aca="false">'Dataset experimental'!O103-('Modelos normativos'!AQ103-SIN(0.083/('Dataset experimental'!M103-'Dataset experimental'!O103))-'Modelos empíricos'!I103)/0.646</f>
        <v>#REF!</v>
      </c>
      <c r="W103" s="4" t="e">
        <f aca="false">'Modelos normativos'!S103+'Avaliação do resultado ML'!A103</f>
        <v>#REF!</v>
      </c>
      <c r="X103" s="4" t="e">
        <f aca="false">W103/'Dataset experimental'!$AF103</f>
        <v>#REF!</v>
      </c>
      <c r="AJ103" s="4" t="e">
        <f aca="false">'Modelos Propostos'!B103+H103</f>
        <v>#REF!</v>
      </c>
      <c r="AK103" s="4" t="e">
        <f aca="false">AJ103/'Dataset experimental'!$AF103</f>
        <v>#REF!</v>
      </c>
      <c r="AV103" s="4" t="e">
        <f aca="false">'Modelos normativos'!S103+F103</f>
        <v>#REF!</v>
      </c>
      <c r="AW103" s="4" t="e">
        <f aca="false">AV103/'Dataset experimental'!$AF103</f>
        <v>#REF!</v>
      </c>
      <c r="BH103" s="4" t="e">
        <f aca="false">'Modelos Propostos'!B103+R103</f>
        <v>#REF!</v>
      </c>
      <c r="BI103" s="4" t="e">
        <f aca="false">BH103/'Dataset experimental'!$AF103</f>
        <v>#REF!</v>
      </c>
      <c r="BT103" s="4" t="n">
        <f aca="false">'Modelos Propostos'!B103+L103</f>
        <v>0.143807508766816</v>
      </c>
      <c r="BU103" s="4" t="n">
        <f aca="false">BT103/'Dataset experimental'!$AF103</f>
        <v>0.95871672511211</v>
      </c>
    </row>
    <row r="104" customFormat="false" ht="14.25" hidden="false" customHeight="false" outlineLevel="0" collapsed="false">
      <c r="A104" s="4" t="e">
        <f aca="false">0.0894*ABS(D104)-0.01603*E104</f>
        <v>#REF!</v>
      </c>
      <c r="B104" s="12" t="e">
        <f aca="false">'Dataset experimental'!K104*COS('Dataset experimental'!AC104)-'Dataset experimental'!M104-'Dataset experimental'!C104</f>
        <v>#REF!</v>
      </c>
      <c r="C104" s="12" t="e">
        <f aca="false">('Dataset experimental'!AE104+SIN('Avaliação do resultado ML'!B104))*0.70674187</f>
        <v>#REF!</v>
      </c>
      <c r="D104" s="12" t="e">
        <f aca="false">'Modelos Propostos'!E104+'Avaliação do resultado ML'!C104-'Modelos normativos'!AQ104</f>
        <v>#REF!</v>
      </c>
      <c r="E104" s="12" t="n">
        <f aca="false">'Modelos empíricos'!I104+1.1854</f>
        <v>0.233552363415628</v>
      </c>
      <c r="F104" s="4" t="e">
        <f aca="false">-0.01753*('Modelos normativos'!AN104-'Dataset experimental'!C104-ABS(G104)-('Modelos Propostos'!E104-'Modelos normativos'!AP104)/0.25291)</f>
        <v>#REF!</v>
      </c>
      <c r="G104" s="4" t="e">
        <f aca="false">'Dataset experimental'!K104+'Modelos empíricos'!K104^2+('Modelos Propostos'!E104-'Modelos normativos'!AQ104)*4.10553</f>
        <v>#REF!</v>
      </c>
      <c r="H104" s="4" t="e">
        <f aca="false">0.03283*(J104+K104)</f>
        <v>#REF!</v>
      </c>
      <c r="I104" s="4" t="e">
        <f aca="false">(1.61428/'Dataset experimental'!Q104)^3</f>
        <v>#REF!</v>
      </c>
      <c r="J104" s="4" t="e">
        <f aca="false">SIN('Dataset experimental'!E104)+1.450178*(SIN('Avaliação do resultado ML'!I104)+'Dataset experimental'!C104)</f>
        <v>#REF!</v>
      </c>
      <c r="K104" s="4" t="e">
        <f aca="false">('Modelos empíricos'!C104-'Dataset experimental'!G104)*'Dataset experimental'!AE104-'Modelos normativos'!AP104</f>
        <v>#REF!</v>
      </c>
      <c r="L104" s="4" t="n">
        <f aca="false">0.0076*'Dataset experimental'!B104+'Avaliação do resultado ML'!M104+'Avaliação do resultado ML'!N104+(-0.0328)*(0.0171*'Dataset experimental'!AD104-0.9442)*'Avaliação do resultado ML'!O104-'Avaliação do resultado ML'!P104-0.0364</f>
        <v>0.0334187878636448</v>
      </c>
      <c r="M104" s="12" t="n">
        <f aca="false">0.03283*SIN(0.7328*'Dataset experimental'!D104-1.8266)</f>
        <v>-0.0115958827834406</v>
      </c>
      <c r="N104" s="12" t="n">
        <f aca="false">0.0476*SIN(4.2067/(0.0095*'Dataset experimental'!P104-1.9338)^3)</f>
        <v>-0.0456510623570613</v>
      </c>
      <c r="O104" s="12" t="n">
        <f aca="false">0.0214*'Dataset experimental'!F104-3.1067*'Dataset experimental'!B104*'Dataset experimental'!P104*('Dataset experimental'!T104-'Dataset experimental'!R104)*(0.39*'Dataset experimental'!P104*'Dataset experimental'!T104/'Dataset experimental'!V104-'Dataset experimental'!Z104+3.12)/(100000*'Dataset experimental'!V104)+0.7995</f>
        <v>3.00530742807351</v>
      </c>
      <c r="P104" s="12" t="n">
        <f aca="false">0.4461*('Dataset experimental'!Z104-0.6*'Modelos normativos'!AB104)*(3.4*'Dataset experimental'!L104+0.17*'Dataset experimental'!B104/'Modelos normativos'!AC104)/200000</f>
        <v>0.0482656199512884</v>
      </c>
      <c r="Q104" s="4" t="e">
        <f aca="false">L104/H104</f>
        <v>#REF!</v>
      </c>
      <c r="R104" s="4" t="e">
        <f aca="false">(-0.042-0.014*'Com TS variável MC2020'!Q113)*('Modelos normativos'!AP104-ABS('Modelos Propostos'!K104)-'Dataset experimental'!W104+COS(S104))</f>
        <v>#REF!</v>
      </c>
      <c r="S104" s="4" t="e">
        <f aca="false">'Dataset experimental'!O104-('Modelos normativos'!AQ104-SIN(0.083/('Dataset experimental'!M104-'Dataset experimental'!O104))-'Modelos empíricos'!I104)/0.646</f>
        <v>#REF!</v>
      </c>
      <c r="W104" s="4" t="e">
        <f aca="false">'Modelos normativos'!S104+'Avaliação do resultado ML'!A104</f>
        <v>#REF!</v>
      </c>
      <c r="X104" s="4" t="e">
        <f aca="false">W104/'Dataset experimental'!$AF104</f>
        <v>#REF!</v>
      </c>
      <c r="AJ104" s="4" t="e">
        <f aca="false">'Modelos Propostos'!B104+H104</f>
        <v>#REF!</v>
      </c>
      <c r="AK104" s="4" t="e">
        <f aca="false">AJ104/'Dataset experimental'!$AF104</f>
        <v>#REF!</v>
      </c>
      <c r="AV104" s="4" t="e">
        <f aca="false">'Modelos normativos'!S104+F104</f>
        <v>#REF!</v>
      </c>
      <c r="AW104" s="4" t="e">
        <f aca="false">AV104/'Dataset experimental'!$AF104</f>
        <v>#REF!</v>
      </c>
      <c r="BH104" s="4" t="e">
        <f aca="false">'Modelos Propostos'!B104+R104</f>
        <v>#REF!</v>
      </c>
      <c r="BI104" s="4" t="e">
        <f aca="false">BH104/'Dataset experimental'!$AF104</f>
        <v>#REF!</v>
      </c>
      <c r="BT104" s="4" t="n">
        <f aca="false">'Modelos Propostos'!B104+L104</f>
        <v>0.144053249897441</v>
      </c>
      <c r="BU104" s="4" t="n">
        <f aca="false">BT104/'Dataset experimental'!$AF104</f>
        <v>0.800295832763561</v>
      </c>
    </row>
    <row r="105" customFormat="false" ht="14.25" hidden="false" customHeight="false" outlineLevel="0" collapsed="false">
      <c r="A105" s="4" t="e">
        <f aca="false">0.0894*ABS(D105)-0.01603*E105</f>
        <v>#REF!</v>
      </c>
      <c r="B105" s="12" t="e">
        <f aca="false">'Dataset experimental'!K105*COS('Dataset experimental'!AC105)-'Dataset experimental'!M105-'Dataset experimental'!C105</f>
        <v>#REF!</v>
      </c>
      <c r="C105" s="12" t="e">
        <f aca="false">('Dataset experimental'!AE105+SIN('Avaliação do resultado ML'!B105))*0.70674187</f>
        <v>#REF!</v>
      </c>
      <c r="D105" s="12" t="e">
        <f aca="false">'Modelos Propostos'!E105+'Avaliação do resultado ML'!C105-'Modelos normativos'!AQ105</f>
        <v>#REF!</v>
      </c>
      <c r="E105" s="12" t="n">
        <f aca="false">'Modelos empíricos'!I105+1.1854</f>
        <v>0.555293377159774</v>
      </c>
      <c r="F105" s="4" t="e">
        <f aca="false">-0.01753*('Modelos normativos'!AN105-'Dataset experimental'!C105-ABS(G105)-('Modelos Propostos'!E105-'Modelos normativos'!AP105)/0.25291)</f>
        <v>#REF!</v>
      </c>
      <c r="G105" s="4" t="e">
        <f aca="false">'Dataset experimental'!K105+'Modelos empíricos'!K105^2+('Modelos Propostos'!E105-'Modelos normativos'!AQ105)*4.10553</f>
        <v>#REF!</v>
      </c>
      <c r="H105" s="4" t="e">
        <f aca="false">0.03283*(J105+K105)</f>
        <v>#REF!</v>
      </c>
      <c r="I105" s="4" t="e">
        <f aca="false">(1.61428/'Dataset experimental'!Q105)^3</f>
        <v>#REF!</v>
      </c>
      <c r="J105" s="4" t="e">
        <f aca="false">SIN('Dataset experimental'!E105)+1.450178*(SIN('Avaliação do resultado ML'!I105)+'Dataset experimental'!C105)</f>
        <v>#REF!</v>
      </c>
      <c r="K105" s="4" t="e">
        <f aca="false">('Modelos empíricos'!C105-'Dataset experimental'!G105)*'Dataset experimental'!AE105-'Modelos normativos'!AP105</f>
        <v>#REF!</v>
      </c>
      <c r="L105" s="4" t="n">
        <f aca="false">0.0076*'Dataset experimental'!B105+'Avaliação do resultado ML'!M105+'Avaliação do resultado ML'!N105+(-0.0328)*(0.0171*'Dataset experimental'!AD105-0.9442)*'Avaliação do resultado ML'!O105-'Avaliação do resultado ML'!P105-0.0364</f>
        <v>0.0107745291174744</v>
      </c>
      <c r="M105" s="12" t="n">
        <f aca="false">0.03283*SIN(0.7328*'Dataset experimental'!D105-1.8266)</f>
        <v>-0.0115958827834406</v>
      </c>
      <c r="N105" s="12" t="n">
        <f aca="false">0.0476*SIN(4.2067/(0.0095*'Dataset experimental'!P105-1.9338)^3)</f>
        <v>-0.0456510623570613</v>
      </c>
      <c r="O105" s="12" t="n">
        <f aca="false">0.0214*'Dataset experimental'!F105-3.1067*'Dataset experimental'!B105*'Dataset experimental'!P105*('Dataset experimental'!T105-'Dataset experimental'!R105)*(0.39*'Dataset experimental'!P105*'Dataset experimental'!T105/'Dataset experimental'!V105-'Dataset experimental'!Z105+3.12)/(100000*'Dataset experimental'!V105)+0.7995</f>
        <v>2.73369179308125</v>
      </c>
      <c r="P105" s="12" t="n">
        <f aca="false">0.4461*('Dataset experimental'!Z105-0.6*'Modelos normativos'!AB105)*(3.4*'Dataset experimental'!L105+0.17*'Dataset experimental'!B105/'Modelos normativos'!AC105)/200000</f>
        <v>0.061576554118476</v>
      </c>
      <c r="Q105" s="4" t="e">
        <f aca="false">L105/H105</f>
        <v>#REF!</v>
      </c>
      <c r="R105" s="4" t="e">
        <f aca="false">(-0.042-0.014*'Com TS variável MC2020'!Q114)*('Modelos normativos'!AP105-ABS('Modelos Propostos'!K105)-'Dataset experimental'!W105+COS(S105))</f>
        <v>#REF!</v>
      </c>
      <c r="S105" s="4" t="e">
        <f aca="false">'Dataset experimental'!O105-('Modelos normativos'!AQ105-SIN(0.083/('Dataset experimental'!M105-'Dataset experimental'!O105))-'Modelos empíricos'!I105)/0.646</f>
        <v>#REF!</v>
      </c>
      <c r="W105" s="4" t="e">
        <f aca="false">'Modelos normativos'!S105+'Avaliação do resultado ML'!A105</f>
        <v>#REF!</v>
      </c>
      <c r="X105" s="4" t="e">
        <f aca="false">W105/'Dataset experimental'!$AF105</f>
        <v>#REF!</v>
      </c>
      <c r="AJ105" s="4" t="e">
        <f aca="false">'Modelos Propostos'!B105+H105</f>
        <v>#REF!</v>
      </c>
      <c r="AK105" s="4" t="e">
        <f aca="false">AJ105/'Dataset experimental'!$AF105</f>
        <v>#REF!</v>
      </c>
      <c r="AV105" s="4" t="e">
        <f aca="false">'Modelos normativos'!S105+F105</f>
        <v>#REF!</v>
      </c>
      <c r="AW105" s="4" t="e">
        <f aca="false">AV105/'Dataset experimental'!$AF105</f>
        <v>#REF!</v>
      </c>
      <c r="BH105" s="4" t="e">
        <f aca="false">'Modelos Propostos'!B105+R105</f>
        <v>#REF!</v>
      </c>
      <c r="BI105" s="4" t="e">
        <f aca="false">BH105/'Dataset experimental'!$AF105</f>
        <v>#REF!</v>
      </c>
      <c r="BT105" s="4" t="n">
        <f aca="false">'Modelos Propostos'!B105+L105</f>
        <v>0.154547977184241</v>
      </c>
      <c r="BU105" s="4" t="n">
        <f aca="false">BT105/'Dataset experimental'!$AF105</f>
        <v>0.858599873245784</v>
      </c>
    </row>
    <row r="106" customFormat="false" ht="14.25" hidden="false" customHeight="false" outlineLevel="0" collapsed="false">
      <c r="A106" s="4" t="e">
        <f aca="false">0.0894*ABS(D106)-0.01603*E106</f>
        <v>#REF!</v>
      </c>
      <c r="B106" s="12" t="e">
        <f aca="false">'Dataset experimental'!K106*COS('Dataset experimental'!AC106)-'Dataset experimental'!M106-'Dataset experimental'!C106</f>
        <v>#REF!</v>
      </c>
      <c r="C106" s="12" t="e">
        <f aca="false">('Dataset experimental'!AE106+SIN('Avaliação do resultado ML'!B106))*0.70674187</f>
        <v>#REF!</v>
      </c>
      <c r="D106" s="12" t="e">
        <f aca="false">'Modelos Propostos'!E106+'Avaliação do resultado ML'!C106-'Modelos normativos'!AQ106</f>
        <v>#REF!</v>
      </c>
      <c r="E106" s="12" t="n">
        <f aca="false">'Modelos empíricos'!I106+1.1854</f>
        <v>0.876483464510524</v>
      </c>
      <c r="F106" s="4" t="e">
        <f aca="false">-0.01753*('Modelos normativos'!AN106-'Dataset experimental'!C106-ABS(G106)-('Modelos Propostos'!E106-'Modelos normativos'!AP106)/0.25291)</f>
        <v>#REF!</v>
      </c>
      <c r="G106" s="4" t="e">
        <f aca="false">'Dataset experimental'!K106+'Modelos empíricos'!K106^2+('Modelos Propostos'!E106-'Modelos normativos'!AQ106)*4.10553</f>
        <v>#REF!</v>
      </c>
      <c r="H106" s="4" t="e">
        <f aca="false">0.03283*(J106+K106)</f>
        <v>#REF!</v>
      </c>
      <c r="I106" s="4" t="e">
        <f aca="false">(1.61428/'Dataset experimental'!Q106)^3</f>
        <v>#REF!</v>
      </c>
      <c r="J106" s="4" t="e">
        <f aca="false">SIN('Dataset experimental'!E106)+1.450178*(SIN('Avaliação do resultado ML'!I106)+'Dataset experimental'!C106)</f>
        <v>#REF!</v>
      </c>
      <c r="K106" s="4" t="e">
        <f aca="false">('Modelos empíricos'!C106-'Dataset experimental'!G106)*'Dataset experimental'!AE106-'Modelos normativos'!AP106</f>
        <v>#REF!</v>
      </c>
      <c r="L106" s="4" t="n">
        <f aca="false">0.0076*'Dataset experimental'!B106+'Avaliação do resultado ML'!M106+'Avaliação do resultado ML'!N106+(-0.0328)*(0.0171*'Dataset experimental'!AD106-0.9442)*'Avaliação do resultado ML'!O106-'Avaliação do resultado ML'!P106-0.0364</f>
        <v>-0.0109435514056318</v>
      </c>
      <c r="M106" s="12" t="n">
        <f aca="false">0.03283*SIN(0.7328*'Dataset experimental'!D106-1.8266)</f>
        <v>-0.0115958827834406</v>
      </c>
      <c r="N106" s="12" t="n">
        <f aca="false">0.0476*SIN(4.2067/(0.0095*'Dataset experimental'!P106-1.9338)^3)</f>
        <v>-0.0456510623570613</v>
      </c>
      <c r="O106" s="12" t="n">
        <f aca="false">0.0214*'Dataset experimental'!F106-3.1067*'Dataset experimental'!B106*'Dataset experimental'!P106*('Dataset experimental'!T106-'Dataset experimental'!R106)*(0.39*'Dataset experimental'!P106*'Dataset experimental'!T106/'Dataset experimental'!V106-'Dataset experimental'!Z106+3.12)/(100000*'Dataset experimental'!V106)+0.7995</f>
        <v>2.46254125335439</v>
      </c>
      <c r="P106" s="12" t="n">
        <f aca="false">0.4461*('Dataset experimental'!Z106-0.6*'Modelos normativos'!AB106)*(3.4*'Dataset experimental'!L106+0.17*'Dataset experimental'!B106/'Modelos normativos'!AC106)/200000</f>
        <v>0.0748646955901719</v>
      </c>
      <c r="Q106" s="4" t="e">
        <f aca="false">L106/H106</f>
        <v>#REF!</v>
      </c>
      <c r="R106" s="4" t="e">
        <f aca="false">(-0.042-0.014*'Com TS variável MC2020'!Q115)*('Modelos normativos'!AP106-ABS('Modelos Propostos'!K106)-'Dataset experimental'!W106+COS(S106))</f>
        <v>#REF!</v>
      </c>
      <c r="S106" s="4" t="e">
        <f aca="false">'Dataset experimental'!O106-('Modelos normativos'!AQ106-SIN(0.083/('Dataset experimental'!M106-'Dataset experimental'!O106))-'Modelos empíricos'!I106)/0.646</f>
        <v>#REF!</v>
      </c>
      <c r="W106" s="4" t="e">
        <f aca="false">'Modelos normativos'!S106+'Avaliação do resultado ML'!A106</f>
        <v>#REF!</v>
      </c>
      <c r="X106" s="4" t="e">
        <f aca="false">W106/'Dataset experimental'!$AF106</f>
        <v>#REF!</v>
      </c>
      <c r="AJ106" s="4" t="e">
        <f aca="false">'Modelos Propostos'!B106+H106</f>
        <v>#REF!</v>
      </c>
      <c r="AK106" s="4" t="e">
        <f aca="false">AJ106/'Dataset experimental'!$AF106</f>
        <v>#REF!</v>
      </c>
      <c r="AV106" s="4" t="e">
        <f aca="false">'Modelos normativos'!S106+F106</f>
        <v>#REF!</v>
      </c>
      <c r="AW106" s="4" t="e">
        <f aca="false">AV106/'Dataset experimental'!$AF106</f>
        <v>#REF!</v>
      </c>
      <c r="BH106" s="4" t="e">
        <f aca="false">'Modelos Propostos'!B106+R106</f>
        <v>#REF!</v>
      </c>
      <c r="BI106" s="4" t="e">
        <f aca="false">BH106/'Dataset experimental'!$AF106</f>
        <v>#REF!</v>
      </c>
      <c r="BT106" s="4" t="n">
        <f aca="false">'Modelos Propostos'!B106+L106</f>
        <v>0.178956738038565</v>
      </c>
      <c r="BU106" s="4" t="n">
        <f aca="false">BT106/'Dataset experimental'!$AF106</f>
        <v>0.71582695215426</v>
      </c>
    </row>
    <row r="107" customFormat="false" ht="14.25" hidden="false" customHeight="false" outlineLevel="0" collapsed="false">
      <c r="A107" s="4" t="e">
        <f aca="false">0.0894*ABS(D107)-0.01603*E107</f>
        <v>#REF!</v>
      </c>
      <c r="B107" s="12" t="e">
        <f aca="false">'Dataset experimental'!K107*COS('Dataset experimental'!AC107)-'Dataset experimental'!M107-'Dataset experimental'!C107</f>
        <v>#REF!</v>
      </c>
      <c r="C107" s="12" t="e">
        <f aca="false">('Dataset experimental'!AE107+SIN('Avaliação do resultado ML'!B107))*0.70674187</f>
        <v>#REF!</v>
      </c>
      <c r="D107" s="12" t="e">
        <f aca="false">'Modelos Propostos'!E107+'Avaliação do resultado ML'!C107-'Modelos normativos'!AQ107</f>
        <v>#REF!</v>
      </c>
      <c r="E107" s="12" t="n">
        <f aca="false">'Modelos empíricos'!I107+1.1854</f>
        <v>1.19767355186127</v>
      </c>
      <c r="F107" s="4" t="e">
        <f aca="false">-0.01753*('Modelos normativos'!AN107-'Dataset experimental'!C107-ABS(G107)-('Modelos Propostos'!E107-'Modelos normativos'!AP107)/0.25291)</f>
        <v>#REF!</v>
      </c>
      <c r="G107" s="4" t="e">
        <f aca="false">'Dataset experimental'!K107+'Modelos empíricos'!K107^2+('Modelos Propostos'!E107-'Modelos normativos'!AQ107)*4.10553</f>
        <v>#REF!</v>
      </c>
      <c r="H107" s="4" t="e">
        <f aca="false">0.03283*(J107+K107)</f>
        <v>#REF!</v>
      </c>
      <c r="I107" s="4" t="e">
        <f aca="false">(1.61428/'Dataset experimental'!Q107)^3</f>
        <v>#REF!</v>
      </c>
      <c r="J107" s="4" t="e">
        <f aca="false">SIN('Dataset experimental'!E107)+1.450178*(SIN('Avaliação do resultado ML'!I107)+'Dataset experimental'!C107)</f>
        <v>#REF!</v>
      </c>
      <c r="K107" s="4" t="e">
        <f aca="false">('Modelos empíricos'!C107-'Dataset experimental'!G107)*'Dataset experimental'!AE107-'Modelos normativos'!AP107</f>
        <v>#REF!</v>
      </c>
      <c r="L107" s="4" t="n">
        <f aca="false">0.0076*'Dataset experimental'!B107+'Avaliação do resultado ML'!M107+'Avaliação do resultado ML'!N107+(-0.0328)*(0.0171*'Dataset experimental'!AD107-0.9442)*'Avaliação do resultado ML'!O107-'Avaliação do resultado ML'!P107-0.0364</f>
        <v>-0.0317749885359088</v>
      </c>
      <c r="M107" s="12" t="n">
        <f aca="false">0.03283*SIN(0.7328*'Dataset experimental'!D107-1.8266)</f>
        <v>-0.0115958827834406</v>
      </c>
      <c r="N107" s="12" t="n">
        <f aca="false">0.0476*SIN(4.2067/(0.0095*'Dataset experimental'!P107-1.9338)^3)</f>
        <v>-0.0456510623570613</v>
      </c>
      <c r="O107" s="12" t="n">
        <f aca="false">0.0214*'Dataset experimental'!F107-3.1067*'Dataset experimental'!B107*'Dataset experimental'!P107*('Dataset experimental'!T107-'Dataset experimental'!R107)*(0.39*'Dataset experimental'!P107*'Dataset experimental'!T107/'Dataset experimental'!V107-'Dataset experimental'!Z107+3.12)/(100000*'Dataset experimental'!V107)+0.7995</f>
        <v>2.19139071362752</v>
      </c>
      <c r="P107" s="12" t="n">
        <f aca="false">0.4461*('Dataset experimental'!Z107-0.6*'Modelos normativos'!AB107)*(3.4*'Dataset experimental'!L107+0.17*'Dataset experimental'!B107/'Modelos normativos'!AC107)/200000</f>
        <v>0.0881528370618677</v>
      </c>
      <c r="Q107" s="4" t="e">
        <f aca="false">L107/H107</f>
        <v>#REF!</v>
      </c>
      <c r="R107" s="4" t="e">
        <f aca="false">(-0.042-0.014*'Com TS variável MC2020'!Q116)*('Modelos normativos'!AP107-ABS('Modelos Propostos'!K107)-'Dataset experimental'!W107+COS(S107))</f>
        <v>#REF!</v>
      </c>
      <c r="S107" s="4" t="e">
        <f aca="false">'Dataset experimental'!O107-('Modelos normativos'!AQ107-SIN(0.083/('Dataset experimental'!M107-'Dataset experimental'!O107))-'Modelos empíricos'!I107)/0.646</f>
        <v>#REF!</v>
      </c>
      <c r="W107" s="4" t="e">
        <f aca="false">'Modelos normativos'!S107+'Avaliação do resultado ML'!A107</f>
        <v>#REF!</v>
      </c>
      <c r="X107" s="4" t="e">
        <f aca="false">W107/'Dataset experimental'!$AF107</f>
        <v>#REF!</v>
      </c>
      <c r="AJ107" s="4" t="e">
        <f aca="false">'Modelos Propostos'!B107+H107</f>
        <v>#REF!</v>
      </c>
      <c r="AK107" s="4" t="e">
        <f aca="false">AJ107/'Dataset experimental'!$AF107</f>
        <v>#REF!</v>
      </c>
      <c r="AV107" s="4" t="e">
        <f aca="false">'Modelos normativos'!S107+F107</f>
        <v>#REF!</v>
      </c>
      <c r="AW107" s="4" t="e">
        <f aca="false">AV107/'Dataset experimental'!$AF107</f>
        <v>#REF!</v>
      </c>
      <c r="BH107" s="4" t="e">
        <f aca="false">'Modelos Propostos'!B107+R107</f>
        <v>#REF!</v>
      </c>
      <c r="BI107" s="4" t="e">
        <f aca="false">BH107/'Dataset experimental'!$AF107</f>
        <v>#REF!</v>
      </c>
      <c r="BT107" s="4" t="n">
        <f aca="false">'Modelos Propostos'!B107+L107</f>
        <v>0.204252142285718</v>
      </c>
      <c r="BU107" s="4" t="n">
        <f aca="false">BT107/'Dataset experimental'!$AF107</f>
        <v>0.729471936734707</v>
      </c>
    </row>
    <row r="108" customFormat="false" ht="14.25" hidden="false" customHeight="false" outlineLevel="0" collapsed="false">
      <c r="A108" s="4" t="e">
        <f aca="false">0.0894*ABS(D108)-0.01603*E108</f>
        <v>#REF!</v>
      </c>
      <c r="B108" s="12" t="e">
        <f aca="false">'Dataset experimental'!K108*COS('Dataset experimental'!AC108)-'Dataset experimental'!M108-'Dataset experimental'!C108</f>
        <v>#REF!</v>
      </c>
      <c r="C108" s="12" t="e">
        <f aca="false">('Dataset experimental'!AE108+SIN('Avaliação do resultado ML'!B108))*0.70674187</f>
        <v>#REF!</v>
      </c>
      <c r="D108" s="12" t="e">
        <f aca="false">'Modelos Propostos'!E108+'Avaliação do resultado ML'!C108-'Modelos normativos'!AQ108</f>
        <v>#REF!</v>
      </c>
      <c r="E108" s="12" t="n">
        <f aca="false">'Modelos empíricos'!I108+1.1854</f>
        <v>1.51941456560542</v>
      </c>
      <c r="F108" s="4" t="e">
        <f aca="false">-0.01753*('Modelos normativos'!AN108-'Dataset experimental'!C108-ABS(G108)-('Modelos Propostos'!E108-'Modelos normativos'!AP108)/0.25291)</f>
        <v>#REF!</v>
      </c>
      <c r="G108" s="4" t="e">
        <f aca="false">'Dataset experimental'!K108+'Modelos empíricos'!K108^2+('Modelos Propostos'!E108-'Modelos normativos'!AQ108)*4.10553</f>
        <v>#REF!</v>
      </c>
      <c r="H108" s="4" t="e">
        <f aca="false">0.03283*(J108+K108)</f>
        <v>#REF!</v>
      </c>
      <c r="I108" s="4" t="e">
        <f aca="false">(1.61428/'Dataset experimental'!Q108)^3</f>
        <v>#REF!</v>
      </c>
      <c r="J108" s="4" t="e">
        <f aca="false">SIN('Dataset experimental'!E108)+1.450178*(SIN('Avaliação do resultado ML'!I108)+'Dataset experimental'!C108)</f>
        <v>#REF!</v>
      </c>
      <c r="K108" s="4" t="e">
        <f aca="false">('Modelos empíricos'!C108-'Dataset experimental'!G108)*'Dataset experimental'!AE108-'Modelos normativos'!AP108</f>
        <v>#REF!</v>
      </c>
      <c r="L108" s="4" t="n">
        <f aca="false">0.0076*'Dataset experimental'!B108+'Avaliação do resultado ML'!M108+'Avaliação do resultado ML'!N108+(-0.0328)*(0.0171*'Dataset experimental'!AD108-0.9442)*'Avaliação do resultado ML'!O108-'Avaliação do resultado ML'!P108-0.0364</f>
        <v>-0.0517532311783762</v>
      </c>
      <c r="M108" s="12" t="n">
        <f aca="false">0.03283*SIN(0.7328*'Dataset experimental'!D108-1.8266)</f>
        <v>-0.0115958827834406</v>
      </c>
      <c r="N108" s="12" t="n">
        <f aca="false">0.0476*SIN(4.2067/(0.0095*'Dataset experimental'!P108-1.9338)^3)</f>
        <v>-0.0456510623570613</v>
      </c>
      <c r="O108" s="12" t="n">
        <f aca="false">0.0214*'Dataset experimental'!F108-3.1067*'Dataset experimental'!B108*'Dataset experimental'!P108*('Dataset experimental'!T108-'Dataset experimental'!R108)*(0.39*'Dataset experimental'!P108*'Dataset experimental'!T108/'Dataset experimental'!V108-'Dataset experimental'!Z108+3.12)/(100000*'Dataset experimental'!V108)+0.7995</f>
        <v>1.91977507863526</v>
      </c>
      <c r="P108" s="12" t="n">
        <f aca="false">0.4461*('Dataset experimental'!Z108-0.6*'Modelos normativos'!AB108)*(3.4*'Dataset experimental'!L108+0.17*'Dataset experimental'!B108/'Modelos normativos'!AC108)/200000</f>
        <v>0.101463771229055</v>
      </c>
      <c r="Q108" s="4" t="e">
        <f aca="false">L108/H108</f>
        <v>#REF!</v>
      </c>
      <c r="R108" s="4" t="e">
        <f aca="false">(-0.042-0.014*'Com TS variável MC2020'!Q117)*('Modelos normativos'!AP108-ABS('Modelos Propostos'!K108)-'Dataset experimental'!W108+COS(S108))</f>
        <v>#REF!</v>
      </c>
      <c r="S108" s="4" t="e">
        <f aca="false">'Dataset experimental'!O108-('Modelos normativos'!AQ108-SIN(0.083/('Dataset experimental'!M108-'Dataset experimental'!O108))-'Modelos empíricos'!I108)/0.646</f>
        <v>#REF!</v>
      </c>
      <c r="W108" s="4" t="e">
        <f aca="false">'Modelos normativos'!S108+'Avaliação do resultado ML'!A108</f>
        <v>#REF!</v>
      </c>
      <c r="X108" s="4" t="e">
        <f aca="false">W108/'Dataset experimental'!$AF108</f>
        <v>#REF!</v>
      </c>
      <c r="AJ108" s="4" t="e">
        <f aca="false">'Modelos Propostos'!B108+H108</f>
        <v>#REF!</v>
      </c>
      <c r="AK108" s="4" t="e">
        <f aca="false">AJ108/'Dataset experimental'!$AF108</f>
        <v>#REF!</v>
      </c>
      <c r="AV108" s="4" t="e">
        <f aca="false">'Modelos normativos'!S108+F108</f>
        <v>#REF!</v>
      </c>
      <c r="AW108" s="4" t="e">
        <f aca="false">AV108/'Dataset experimental'!$AF108</f>
        <v>#REF!</v>
      </c>
      <c r="BH108" s="4" t="e">
        <f aca="false">'Modelos Propostos'!B108+R108</f>
        <v>#REF!</v>
      </c>
      <c r="BI108" s="4" t="e">
        <f aca="false">BH108/'Dataset experimental'!$AF108</f>
        <v>#REF!</v>
      </c>
      <c r="BT108" s="4" t="n">
        <f aca="false">'Modelos Propostos'!B108+L108</f>
        <v>0.230479860817212</v>
      </c>
      <c r="BU108" s="4" t="n">
        <f aca="false">BT108/'Dataset experimental'!$AF108</f>
        <v>0.698423820658217</v>
      </c>
    </row>
    <row r="109" customFormat="false" ht="14.25" hidden="false" customHeight="false" outlineLevel="0" collapsed="false">
      <c r="A109" s="4" t="e">
        <f aca="false">0.0894*ABS(D109)-0.01603*E109</f>
        <v>#REF!</v>
      </c>
      <c r="B109" s="12" t="e">
        <f aca="false">'Dataset experimental'!K109*COS('Dataset experimental'!AC109)-'Dataset experimental'!M109-'Dataset experimental'!C109</f>
        <v>#REF!</v>
      </c>
      <c r="C109" s="12" t="e">
        <f aca="false">('Dataset experimental'!AE109+SIN('Avaliação do resultado ML'!B109))*0.70674187</f>
        <v>#REF!</v>
      </c>
      <c r="D109" s="12" t="e">
        <f aca="false">'Modelos Propostos'!E109+'Avaliação do resultado ML'!C109-'Modelos normativos'!AQ109</f>
        <v>#REF!</v>
      </c>
      <c r="E109" s="12" t="n">
        <f aca="false">'Modelos empíricos'!I109+1.1854</f>
        <v>1.84115557934957</v>
      </c>
      <c r="F109" s="4" t="e">
        <f aca="false">-0.01753*('Modelos normativos'!AN109-'Dataset experimental'!C109-ABS(G109)-('Modelos Propostos'!E109-'Modelos normativos'!AP109)/0.25291)</f>
        <v>#REF!</v>
      </c>
      <c r="G109" s="4" t="e">
        <f aca="false">'Dataset experimental'!K109+'Modelos empíricos'!K109^2+('Modelos Propostos'!E109-'Modelos normativos'!AQ109)*4.10553</f>
        <v>#REF!</v>
      </c>
      <c r="H109" s="4" t="e">
        <f aca="false">0.03283*(J109+K109)</f>
        <v>#REF!</v>
      </c>
      <c r="I109" s="4" t="e">
        <f aca="false">(1.61428/'Dataset experimental'!Q109)^3</f>
        <v>#REF!</v>
      </c>
      <c r="J109" s="4" t="e">
        <f aca="false">SIN('Dataset experimental'!E109)+1.450178*(SIN('Avaliação do resultado ML'!I109)+'Dataset experimental'!C109)</f>
        <v>#REF!</v>
      </c>
      <c r="K109" s="4" t="e">
        <f aca="false">('Modelos empíricos'!C109-'Dataset experimental'!G109)*'Dataset experimental'!AE109-'Modelos normativos'!AP109</f>
        <v>#REF!</v>
      </c>
      <c r="L109" s="4" t="n">
        <f aca="false">0.0076*'Dataset experimental'!B109+'Avaliação do resultado ML'!M109+'Avaliação do resultado ML'!N109+(-0.0328)*(0.0171*'Dataset experimental'!AD109-0.9442)*'Avaliação do resultado ML'!O109-'Avaliação do resultado ML'!P109-0.0364</f>
        <v>-0.0708417861610935</v>
      </c>
      <c r="M109" s="12" t="n">
        <f aca="false">0.03283*SIN(0.7328*'Dataset experimental'!D109-1.8266)</f>
        <v>-0.0115958827834406</v>
      </c>
      <c r="N109" s="12" t="n">
        <f aca="false">0.0476*SIN(4.2067/(0.0095*'Dataset experimental'!P109-1.9338)^3)</f>
        <v>-0.0456510623570613</v>
      </c>
      <c r="O109" s="12" t="n">
        <f aca="false">0.0214*'Dataset experimental'!F109-3.1067*'Dataset experimental'!B109*'Dataset experimental'!P109*('Dataset experimental'!T109-'Dataset experimental'!R109)*(0.39*'Dataset experimental'!P109*'Dataset experimental'!T109/'Dataset experimental'!V109-'Dataset experimental'!Z109+3.12)/(100000*'Dataset experimental'!V109)+0.7995</f>
        <v>1.648159443643</v>
      </c>
      <c r="P109" s="12" t="n">
        <f aca="false">0.4461*('Dataset experimental'!Z109-0.6*'Modelos normativos'!AB109)*(3.4*'Dataset experimental'!L109+0.17*'Dataset experimental'!B109/'Modelos normativos'!AC109)/200000</f>
        <v>0.114774705396243</v>
      </c>
      <c r="Q109" s="4" t="e">
        <f aca="false">L109/H109</f>
        <v>#REF!</v>
      </c>
      <c r="R109" s="4" t="e">
        <f aca="false">(-0.042-0.014*'Com TS variável MC2020'!Q118)*('Modelos normativos'!AP109-ABS('Modelos Propostos'!K109)-'Dataset experimental'!W109+COS(S109))</f>
        <v>#REF!</v>
      </c>
      <c r="S109" s="4" t="e">
        <f aca="false">'Dataset experimental'!O109-('Modelos normativos'!AQ109-SIN(0.083/('Dataset experimental'!M109-'Dataset experimental'!O109))-'Modelos empíricos'!I109)/0.646</f>
        <v>#REF!</v>
      </c>
      <c r="W109" s="4" t="e">
        <f aca="false">'Modelos normativos'!S109+'Avaliação do resultado ML'!A109</f>
        <v>#REF!</v>
      </c>
      <c r="X109" s="4" t="e">
        <f aca="false">W109/'Dataset experimental'!$AF109</f>
        <v>#REF!</v>
      </c>
      <c r="AJ109" s="4" t="e">
        <f aca="false">'Modelos Propostos'!B109+H109</f>
        <v>#REF!</v>
      </c>
      <c r="AK109" s="4" t="e">
        <f aca="false">AJ109/'Dataset experimental'!$AF109</f>
        <v>#REF!</v>
      </c>
      <c r="AV109" s="4" t="e">
        <f aca="false">'Modelos normativos'!S109+F109</f>
        <v>#REF!</v>
      </c>
      <c r="AW109" s="4" t="e">
        <f aca="false">AV109/'Dataset experimental'!$AF109</f>
        <v>#REF!</v>
      </c>
      <c r="BH109" s="4" t="e">
        <f aca="false">'Modelos Propostos'!B109+R109</f>
        <v>#REF!</v>
      </c>
      <c r="BI109" s="4" t="e">
        <f aca="false">BH109/'Dataset experimental'!$AF109</f>
        <v>#REF!</v>
      </c>
      <c r="BT109" s="4" t="n">
        <f aca="false">'Modelos Propostos'!B109+L109</f>
        <v>0.257597267008455</v>
      </c>
      <c r="BU109" s="4" t="n">
        <f aca="false">BT109/'Dataset experimental'!$AF109</f>
        <v>0.677887544759093</v>
      </c>
    </row>
    <row r="110" customFormat="false" ht="14.25" hidden="false" customHeight="false" outlineLevel="0" collapsed="false">
      <c r="A110" s="4" t="e">
        <f aca="false">0.0894*ABS(D110)-0.01603*E110</f>
        <v>#REF!</v>
      </c>
      <c r="B110" s="12" t="e">
        <f aca="false">'Dataset experimental'!K110*COS('Dataset experimental'!AC110)-'Dataset experimental'!M110-'Dataset experimental'!C110</f>
        <v>#REF!</v>
      </c>
      <c r="C110" s="12" t="e">
        <f aca="false">('Dataset experimental'!AE110+SIN('Avaliação do resultado ML'!B110))*0.70674187</f>
        <v>#REF!</v>
      </c>
      <c r="D110" s="12" t="e">
        <f aca="false">'Modelos Propostos'!E110+'Avaliação do resultado ML'!C110-'Modelos normativos'!AQ110</f>
        <v>#REF!</v>
      </c>
      <c r="E110" s="12" t="n">
        <f aca="false">'Modelos empíricos'!I110+1.1854</f>
        <v>2.16179474030692</v>
      </c>
      <c r="F110" s="4" t="e">
        <f aca="false">-0.01753*('Modelos normativos'!AN110-'Dataset experimental'!C110-ABS(G110)-('Modelos Propostos'!E110-'Modelos normativos'!AP110)/0.25291)</f>
        <v>#REF!</v>
      </c>
      <c r="G110" s="4" t="e">
        <f aca="false">'Dataset experimental'!K110+'Modelos empíricos'!K110^2+('Modelos Propostos'!E110-'Modelos normativos'!AQ110)*4.10553</f>
        <v>#REF!</v>
      </c>
      <c r="H110" s="4" t="e">
        <f aca="false">0.03283*(J110+K110)</f>
        <v>#REF!</v>
      </c>
      <c r="I110" s="4" t="e">
        <f aca="false">(1.61428/'Dataset experimental'!Q110)^3</f>
        <v>#REF!</v>
      </c>
      <c r="J110" s="4" t="e">
        <f aca="false">SIN('Dataset experimental'!E110)+1.450178*(SIN('Avaliação do resultado ML'!I110)+'Dataset experimental'!C110)</f>
        <v>#REF!</v>
      </c>
      <c r="K110" s="4" t="e">
        <f aca="false">('Modelos empíricos'!C110-'Dataset experimental'!G110)*'Dataset experimental'!AE110-'Modelos normativos'!AP110</f>
        <v>#REF!</v>
      </c>
      <c r="L110" s="4" t="n">
        <f aca="false">0.0076*'Dataset experimental'!B110+'Avaliação do resultado ML'!M110+'Avaliação do resultado ML'!N110+(-0.0328)*(0.0171*'Dataset experimental'!AD110-0.9442)*'Avaliação do resultado ML'!O110-'Avaliação do resultado ML'!P110-0.0364</f>
        <v>-0.0889798468164894</v>
      </c>
      <c r="M110" s="12" t="n">
        <f aca="false">0.03283*SIN(0.7328*'Dataset experimental'!D110-1.8266)</f>
        <v>-0.0115958827834406</v>
      </c>
      <c r="N110" s="12" t="n">
        <f aca="false">0.0476*SIN(4.2067/(0.0095*'Dataset experimental'!P110-1.9338)^3)</f>
        <v>-0.0456510623570613</v>
      </c>
      <c r="O110" s="12" t="n">
        <f aca="false">0.0214*'Dataset experimental'!F110-3.1067*'Dataset experimental'!B110*'Dataset experimental'!P110*('Dataset experimental'!T110-'Dataset experimental'!R110)*(0.39*'Dataset experimental'!P110*'Dataset experimental'!T110/'Dataset experimental'!V110-'Dataset experimental'!Z110+3.12)/(100000*'Dataset experimental'!V110)+0.7995</f>
        <v>1.37747399918154</v>
      </c>
      <c r="P110" s="12" t="n">
        <f aca="false">0.4461*('Dataset experimental'!Z110-0.6*'Modelos normativos'!AB110)*(3.4*'Dataset experimental'!L110+0.17*'Dataset experimental'!B110/'Modelos normativos'!AC110)/200000</f>
        <v>0.128040054172447</v>
      </c>
      <c r="Q110" s="4" t="e">
        <f aca="false">L110/H110</f>
        <v>#REF!</v>
      </c>
      <c r="R110" s="4" t="e">
        <f aca="false">(-0.042-0.014*'Com TS variável MC2020'!Q119)*('Modelos normativos'!AP110-ABS('Modelos Propostos'!K110)-'Dataset experimental'!W110+COS(S110))</f>
        <v>#REF!</v>
      </c>
      <c r="S110" s="4" t="e">
        <f aca="false">'Dataset experimental'!O110-('Modelos normativos'!AQ110-SIN(0.083/('Dataset experimental'!M110-'Dataset experimental'!O110))-'Modelos empíricos'!I110)/0.646</f>
        <v>#REF!</v>
      </c>
      <c r="W110" s="4" t="e">
        <f aca="false">'Modelos normativos'!S110+'Avaliação do resultado ML'!A110</f>
        <v>#REF!</v>
      </c>
      <c r="X110" s="4" t="e">
        <f aca="false">W110/'Dataset experimental'!$AF110</f>
        <v>#REF!</v>
      </c>
      <c r="AJ110" s="4" t="e">
        <f aca="false">'Modelos Propostos'!B110+H110</f>
        <v>#REF!</v>
      </c>
      <c r="AK110" s="4" t="e">
        <f aca="false">AJ110/'Dataset experimental'!$AF110</f>
        <v>#REF!</v>
      </c>
      <c r="AV110" s="4" t="e">
        <f aca="false">'Modelos normativos'!S110+F110</f>
        <v>#REF!</v>
      </c>
      <c r="AW110" s="4" t="e">
        <f aca="false">AV110/'Dataset experimental'!$AF110</f>
        <v>#REF!</v>
      </c>
      <c r="BH110" s="4" t="e">
        <f aca="false">'Modelos Propostos'!B110+R110</f>
        <v>#REF!</v>
      </c>
      <c r="BI110" s="4" t="e">
        <f aca="false">BH110/'Dataset experimental'!$AF110</f>
        <v>#REF!</v>
      </c>
      <c r="BT110" s="4" t="n">
        <f aca="false">'Modelos Propostos'!B110+L110</f>
        <v>0.285506927933959</v>
      </c>
      <c r="BU110" s="4" t="n">
        <f aca="false">BT110/'Dataset experimental'!$AF110</f>
        <v>0.663969599846416</v>
      </c>
    </row>
    <row r="111" customFormat="false" ht="14.25" hidden="false" customHeight="false" outlineLevel="0" collapsed="false">
      <c r="A111" s="4" t="e">
        <f aca="false">0.0894*ABS(D111)-0.01603*E111</f>
        <v>#REF!</v>
      </c>
      <c r="B111" s="12" t="e">
        <f aca="false">'Dataset experimental'!K111*COS('Dataset experimental'!AC111)-'Dataset experimental'!M111-'Dataset experimental'!C111</f>
        <v>#REF!</v>
      </c>
      <c r="C111" s="12" t="e">
        <f aca="false">('Dataset experimental'!AE111+SIN('Avaliação do resultado ML'!B111))*0.70674187</f>
        <v>#REF!</v>
      </c>
      <c r="D111" s="12" t="e">
        <f aca="false">'Modelos Propostos'!E111+'Avaliação do resultado ML'!C111-'Modelos normativos'!AQ111</f>
        <v>#REF!</v>
      </c>
      <c r="E111" s="12" t="n">
        <f aca="false">'Modelos empíricos'!I111+1.1854</f>
        <v>-0.06895402993472</v>
      </c>
      <c r="F111" s="4" t="e">
        <f aca="false">-0.01753*('Modelos normativos'!AN111-'Dataset experimental'!C111-ABS(G111)-('Modelos Propostos'!E111-'Modelos normativos'!AP111)/0.25291)</f>
        <v>#REF!</v>
      </c>
      <c r="G111" s="4" t="e">
        <f aca="false">'Dataset experimental'!K111+'Modelos empíricos'!K111^2+('Modelos Propostos'!E111-'Modelos normativos'!AQ111)*4.10553</f>
        <v>#REF!</v>
      </c>
      <c r="H111" s="4" t="e">
        <f aca="false">0.03283*(J111+K111)</f>
        <v>#REF!</v>
      </c>
      <c r="I111" s="4" t="e">
        <f aca="false">(1.61428/'Dataset experimental'!Q111)^3</f>
        <v>#REF!</v>
      </c>
      <c r="J111" s="4" t="e">
        <f aca="false">SIN('Dataset experimental'!E111)+1.450178*(SIN('Avaliação do resultado ML'!I111)+'Dataset experimental'!C111)</f>
        <v>#REF!</v>
      </c>
      <c r="K111" s="4" t="e">
        <f aca="false">('Modelos empíricos'!C111-'Dataset experimental'!G111)*'Dataset experimental'!AE111-'Modelos normativos'!AP111</f>
        <v>#REF!</v>
      </c>
      <c r="L111" s="4" t="n">
        <f aca="false">0.0076*'Dataset experimental'!B111+'Avaliação do resultado ML'!M111+'Avaliação do resultado ML'!N111+(-0.0328)*(0.0171*'Dataset experimental'!AD111-0.9442)*'Avaliação do resultado ML'!O111-'Avaliação do resultado ML'!P111-0.0364</f>
        <v>0.00275944572549896</v>
      </c>
      <c r="M111" s="12" t="n">
        <f aca="false">0.03283*SIN(0.7328*'Dataset experimental'!D111-1.8266)</f>
        <v>0.0119269103214528</v>
      </c>
      <c r="N111" s="12" t="n">
        <f aca="false">0.0476*SIN(4.2067/(0.0095*'Dataset experimental'!P111-1.9338)^3)</f>
        <v>-0.0456510623570613</v>
      </c>
      <c r="O111" s="12" t="n">
        <f aca="false">0.0214*'Dataset experimental'!F111-3.1067*'Dataset experimental'!B111*'Dataset experimental'!P111*('Dataset experimental'!T111-'Dataset experimental'!R111)*(0.39*'Dataset experimental'!P111*'Dataset experimental'!T111/'Dataset experimental'!V111-'Dataset experimental'!Z111+3.12)/(100000*'Dataset experimental'!V111)+0.7995</f>
        <v>1.18584105275995</v>
      </c>
      <c r="P111" s="12" t="n">
        <f aca="false">0.4461*('Dataset experimental'!Z111-0.6*'Modelos normativos'!AB111)*(3.4*'Dataset experimental'!L111+0.17*'Dataset experimental'!B111/'Modelos normativos'!AC111)/200000</f>
        <v>0.0602138209305565</v>
      </c>
      <c r="Q111" s="4" t="e">
        <f aca="false">L111/H111</f>
        <v>#REF!</v>
      </c>
      <c r="R111" s="4" t="e">
        <f aca="false">(-0.042-0.014*'Com TS variável MC2020'!Q120)*('Modelos normativos'!AP111-ABS('Modelos Propostos'!K111)-'Dataset experimental'!W111+COS(S111))</f>
        <v>#REF!</v>
      </c>
      <c r="S111" s="4" t="e">
        <f aca="false">'Dataset experimental'!O111-('Modelos normativos'!AQ111-SIN(0.083/('Dataset experimental'!M111-'Dataset experimental'!O111))-'Modelos empíricos'!I111)/0.646</f>
        <v>#REF!</v>
      </c>
      <c r="W111" s="4" t="e">
        <f aca="false">'Modelos normativos'!S111+'Avaliação do resultado ML'!A111</f>
        <v>#REF!</v>
      </c>
      <c r="X111" s="4" t="e">
        <f aca="false">W111/'Dataset experimental'!$AF111</f>
        <v>#REF!</v>
      </c>
      <c r="AJ111" s="4" t="e">
        <f aca="false">'Modelos Propostos'!B111+H111</f>
        <v>#REF!</v>
      </c>
      <c r="AK111" s="4" t="e">
        <f aca="false">AJ111/'Dataset experimental'!$AF111</f>
        <v>#REF!</v>
      </c>
      <c r="AV111" s="4" t="e">
        <f aca="false">'Modelos normativos'!S111+F111</f>
        <v>#REF!</v>
      </c>
      <c r="AW111" s="4" t="e">
        <f aca="false">AV111/'Dataset experimental'!$AF111</f>
        <v>#REF!</v>
      </c>
      <c r="BH111" s="4" t="e">
        <f aca="false">'Modelos Propostos'!B111+R111</f>
        <v>#REF!</v>
      </c>
      <c r="BI111" s="4" t="e">
        <f aca="false">BH111/'Dataset experimental'!$AF111</f>
        <v>#REF!</v>
      </c>
      <c r="BT111" s="4" t="n">
        <f aca="false">'Modelos Propostos'!B111+L111</f>
        <v>0.140731927659047</v>
      </c>
      <c r="BU111" s="4" t="n">
        <f aca="false">BT111/'Dataset experimental'!$AF111</f>
        <v>0.938212851060313</v>
      </c>
    </row>
    <row r="112" customFormat="false" ht="14.25" hidden="false" customHeight="false" outlineLevel="0" collapsed="false">
      <c r="A112" s="4" t="e">
        <f aca="false">0.0894*ABS(D112)-0.01603*E112</f>
        <v>#REF!</v>
      </c>
      <c r="B112" s="12" t="e">
        <f aca="false">'Dataset experimental'!K112*COS('Dataset experimental'!AC112)-'Dataset experimental'!M112-'Dataset experimental'!C112</f>
        <v>#REF!</v>
      </c>
      <c r="C112" s="12" t="e">
        <f aca="false">('Dataset experimental'!AE112+SIN('Avaliação do resultado ML'!B112))*0.70674187</f>
        <v>#REF!</v>
      </c>
      <c r="D112" s="12" t="e">
        <f aca="false">'Modelos Propostos'!E112+'Avaliação do resultado ML'!C112-'Modelos normativos'!AQ112</f>
        <v>#REF!</v>
      </c>
      <c r="E112" s="12" t="n">
        <f aca="false">'Modelos empíricos'!I112+1.1854</f>
        <v>0.0961863396389717</v>
      </c>
      <c r="F112" s="4" t="e">
        <f aca="false">-0.01753*('Modelos normativos'!AN112-'Dataset experimental'!C112-ABS(G112)-('Modelos Propostos'!E112-'Modelos normativos'!AP112)/0.25291)</f>
        <v>#REF!</v>
      </c>
      <c r="G112" s="4" t="e">
        <f aca="false">'Dataset experimental'!K112+'Modelos empíricos'!K112^2+('Modelos Propostos'!E112-'Modelos normativos'!AQ112)*4.10553</f>
        <v>#REF!</v>
      </c>
      <c r="H112" s="4" t="e">
        <f aca="false">0.03283*(J112+K112)</f>
        <v>#REF!</v>
      </c>
      <c r="I112" s="4" t="e">
        <f aca="false">(1.61428/'Dataset experimental'!Q112)^3</f>
        <v>#REF!</v>
      </c>
      <c r="J112" s="4" t="e">
        <f aca="false">SIN('Dataset experimental'!E112)+1.450178*(SIN('Avaliação do resultado ML'!I112)+'Dataset experimental'!C112)</f>
        <v>#REF!</v>
      </c>
      <c r="K112" s="4" t="e">
        <f aca="false">('Modelos empíricos'!C112-'Dataset experimental'!G112)*'Dataset experimental'!AE112-'Modelos normativos'!AP112</f>
        <v>#REF!</v>
      </c>
      <c r="L112" s="4" t="n">
        <f aca="false">0.0076*'Dataset experimental'!B112+'Avaliação do resultado ML'!M112+'Avaliação do resultado ML'!N112+(-0.0328)*(0.0171*'Dataset experimental'!AD112-0.9442)*'Avaliação do resultado ML'!O112-'Avaliação do resultado ML'!P112-0.0364</f>
        <v>-0.00726460006982455</v>
      </c>
      <c r="M112" s="12" t="n">
        <f aca="false">0.03283*SIN(0.7328*'Dataset experimental'!D112-1.8266)</f>
        <v>0.0119269103214528</v>
      </c>
      <c r="N112" s="12" t="n">
        <f aca="false">0.0476*SIN(4.2067/(0.0095*'Dataset experimental'!P112-1.9338)^3)</f>
        <v>-0.0456510623570613</v>
      </c>
      <c r="O112" s="12" t="n">
        <f aca="false">0.0214*'Dataset experimental'!F112-3.1067*'Dataset experimental'!B112*'Dataset experimental'!P112*('Dataset experimental'!T112-'Dataset experimental'!R112)*(0.39*'Dataset experimental'!P112*'Dataset experimental'!T112/'Dataset experimental'!V112-'Dataset experimental'!Z112+3.12)/(100000*'Dataset experimental'!V112)+0.7995</f>
        <v>1.06350467492904</v>
      </c>
      <c r="P112" s="12" t="n">
        <f aca="false">0.4461*('Dataset experimental'!Z112-0.6*'Modelos normativos'!AB112)*(3.4*'Dataset experimental'!L112+0.17*'Dataset experimental'!B112/'Modelos normativos'!AC112)/200000</f>
        <v>0.067315933750936</v>
      </c>
      <c r="Q112" s="4" t="e">
        <f aca="false">L112/H112</f>
        <v>#REF!</v>
      </c>
      <c r="R112" s="4" t="e">
        <f aca="false">(-0.042-0.014*'Com TS variável MC2020'!Q121)*('Modelos normativos'!AP112-ABS('Modelos Propostos'!K112)-'Dataset experimental'!W112+COS(S112))</f>
        <v>#REF!</v>
      </c>
      <c r="S112" s="4" t="e">
        <f aca="false">'Dataset experimental'!O112-('Modelos normativos'!AQ112-SIN(0.083/('Dataset experimental'!M112-'Dataset experimental'!O112))-'Modelos empíricos'!I112)/0.646</f>
        <v>#REF!</v>
      </c>
      <c r="W112" s="4" t="e">
        <f aca="false">'Modelos normativos'!S112+'Avaliação do resultado ML'!A112</f>
        <v>#REF!</v>
      </c>
      <c r="X112" s="4" t="e">
        <f aca="false">W112/'Dataset experimental'!$AF112</f>
        <v>#REF!</v>
      </c>
      <c r="AJ112" s="4" t="e">
        <f aca="false">'Modelos Propostos'!B112+H112</f>
        <v>#REF!</v>
      </c>
      <c r="AK112" s="4" t="e">
        <f aca="false">AJ112/'Dataset experimental'!$AF112</f>
        <v>#REF!</v>
      </c>
      <c r="AV112" s="4" t="e">
        <f aca="false">'Modelos normativos'!S112+F112</f>
        <v>#REF!</v>
      </c>
      <c r="AW112" s="4" t="e">
        <f aca="false">AV112/'Dataset experimental'!$AF112</f>
        <v>#REF!</v>
      </c>
      <c r="BH112" s="4" t="e">
        <f aca="false">'Modelos Propostos'!B112+R112</f>
        <v>#REF!</v>
      </c>
      <c r="BI112" s="4" t="e">
        <f aca="false">BH112/'Dataset experimental'!$AF112</f>
        <v>#REF!</v>
      </c>
      <c r="BT112" s="4" t="n">
        <f aca="false">'Modelos Propostos'!B112+L112</f>
        <v>0.154518395586675</v>
      </c>
      <c r="BU112" s="4" t="n">
        <f aca="false">BT112/'Dataset experimental'!$AF112</f>
        <v>0.858435531037084</v>
      </c>
    </row>
    <row r="113" customFormat="false" ht="14.25" hidden="false" customHeight="false" outlineLevel="0" collapsed="false">
      <c r="A113" s="4" t="e">
        <f aca="false">0.0894*ABS(D113)-0.01603*E113</f>
        <v>#REF!</v>
      </c>
      <c r="B113" s="12" t="e">
        <f aca="false">'Dataset experimental'!K113*COS('Dataset experimental'!AC113)-'Dataset experimental'!M113-'Dataset experimental'!C113</f>
        <v>#REF!</v>
      </c>
      <c r="C113" s="12" t="e">
        <f aca="false">('Dataset experimental'!AE113+SIN('Avaliação do resultado ML'!B113))*0.70674187</f>
        <v>#REF!</v>
      </c>
      <c r="D113" s="12" t="e">
        <f aca="false">'Modelos Propostos'!E113+'Avaliação do resultado ML'!C113-'Modelos normativos'!AQ113</f>
        <v>#REF!</v>
      </c>
      <c r="E113" s="12" t="n">
        <f aca="false">'Modelos empíricos'!I113+1.1854</f>
        <v>0.261894201891611</v>
      </c>
      <c r="F113" s="4" t="e">
        <f aca="false">-0.01753*('Modelos normativos'!AN113-'Dataset experimental'!C113-ABS(G113)-('Modelos Propostos'!E113-'Modelos normativos'!AP113)/0.25291)</f>
        <v>#REF!</v>
      </c>
      <c r="G113" s="4" t="e">
        <f aca="false">'Dataset experimental'!K113+'Modelos empíricos'!K113^2+('Modelos Propostos'!E113-'Modelos normativos'!AQ113)*4.10553</f>
        <v>#REF!</v>
      </c>
      <c r="H113" s="4" t="e">
        <f aca="false">0.03283*(J113+K113)</f>
        <v>#REF!</v>
      </c>
      <c r="I113" s="4" t="e">
        <f aca="false">(1.61428/'Dataset experimental'!Q113)^3</f>
        <v>#REF!</v>
      </c>
      <c r="J113" s="4" t="e">
        <f aca="false">SIN('Dataset experimental'!E113)+1.450178*(SIN('Avaliação do resultado ML'!I113)+'Dataset experimental'!C113)</f>
        <v>#REF!</v>
      </c>
      <c r="K113" s="4" t="e">
        <f aca="false">('Modelos empíricos'!C113-'Dataset experimental'!G113)*'Dataset experimental'!AE113-'Modelos normativos'!AP113</f>
        <v>#REF!</v>
      </c>
      <c r="L113" s="4" t="n">
        <f aca="false">0.0076*'Dataset experimental'!B113+'Avaliação do resultado ML'!M113+'Avaliação do resultado ML'!N113+(-0.0328)*(0.0171*'Dataset experimental'!AD113-0.9442)*'Avaliação do resultado ML'!O113-'Avaliação do resultado ML'!P113-0.0364</f>
        <v>-0.0169216866385292</v>
      </c>
      <c r="M113" s="12" t="n">
        <f aca="false">0.03283*SIN(0.7328*'Dataset experimental'!D113-1.8266)</f>
        <v>0.0119269103214528</v>
      </c>
      <c r="N113" s="12" t="n">
        <f aca="false">0.0476*SIN(4.2067/(0.0095*'Dataset experimental'!P113-1.9338)^3)</f>
        <v>-0.0456510623570613</v>
      </c>
      <c r="O113" s="12" t="n">
        <f aca="false">0.0214*'Dataset experimental'!F113-3.1067*'Dataset experimental'!B113*'Dataset experimental'!P113*('Dataset experimental'!T113-'Dataset experimental'!R113)*(0.39*'Dataset experimental'!P113*'Dataset experimental'!T113/'Dataset experimental'!V113-'Dataset experimental'!Z113+3.12)/(100000*'Dataset experimental'!V113)+0.7995</f>
        <v>0.940747897174307</v>
      </c>
      <c r="P113" s="12" t="n">
        <f aca="false">0.4461*('Dataset experimental'!Z113-0.6*'Modelos normativos'!AB113)*(3.4*'Dataset experimental'!L113+0.17*'Dataset experimental'!B113/'Modelos normativos'!AC113)/200000</f>
        <v>0.0744424524572962</v>
      </c>
      <c r="Q113" s="4" t="e">
        <f aca="false">L113/H113</f>
        <v>#REF!</v>
      </c>
      <c r="R113" s="4" t="e">
        <f aca="false">(-0.042-0.014*'Com TS variável MC2020'!Q122)*('Modelos normativos'!AP113-ABS('Modelos Propostos'!K113)-'Dataset experimental'!W113+COS(S113))</f>
        <v>#REF!</v>
      </c>
      <c r="S113" s="4" t="e">
        <f aca="false">'Dataset experimental'!O113-('Modelos normativos'!AQ113-SIN(0.083/('Dataset experimental'!M113-'Dataset experimental'!O113))-'Modelos empíricos'!I113)/0.646</f>
        <v>#REF!</v>
      </c>
      <c r="W113" s="4" t="e">
        <f aca="false">'Modelos normativos'!S113+'Avaliação do resultado ML'!A113</f>
        <v>#REF!</v>
      </c>
      <c r="X113" s="4" t="e">
        <f aca="false">W113/'Dataset experimental'!$AF113</f>
        <v>#REF!</v>
      </c>
      <c r="AJ113" s="4" t="e">
        <f aca="false">'Modelos Propostos'!B113+H113</f>
        <v>#REF!</v>
      </c>
      <c r="AK113" s="4" t="e">
        <f aca="false">AJ113/'Dataset experimental'!$AF113</f>
        <v>#REF!</v>
      </c>
      <c r="AV113" s="4" t="e">
        <f aca="false">'Modelos normativos'!S113+F113</f>
        <v>#REF!</v>
      </c>
      <c r="AW113" s="4" t="e">
        <f aca="false">AV113/'Dataset experimental'!$AF113</f>
        <v>#REF!</v>
      </c>
      <c r="BH113" s="4" t="e">
        <f aca="false">'Modelos Propostos'!B113+R113</f>
        <v>#REF!</v>
      </c>
      <c r="BI113" s="4" t="e">
        <f aca="false">BH113/'Dataset experimental'!$AF113</f>
        <v>#REF!</v>
      </c>
      <c r="BT113" s="4" t="n">
        <f aca="false">'Modelos Propostos'!B113+L113</f>
        <v>0.168753645812135</v>
      </c>
      <c r="BU113" s="4" t="n">
        <f aca="false">BT113/'Dataset experimental'!$AF113</f>
        <v>0.937520254511862</v>
      </c>
    </row>
    <row r="114" customFormat="false" ht="14.25" hidden="false" customHeight="false" outlineLevel="0" collapsed="false">
      <c r="A114" s="4" t="e">
        <f aca="false">0.0894*ABS(D114)-0.01603*E114</f>
        <v>#REF!</v>
      </c>
      <c r="B114" s="12" t="e">
        <f aca="false">'Dataset experimental'!K114*COS('Dataset experimental'!AC114)-'Dataset experimental'!M114-'Dataset experimental'!C114</f>
        <v>#REF!</v>
      </c>
      <c r="C114" s="12" t="e">
        <f aca="false">('Dataset experimental'!AE114+SIN('Avaliação do resultado ML'!B114))*0.70674187</f>
        <v>#REF!</v>
      </c>
      <c r="D114" s="12" t="e">
        <f aca="false">'Modelos Propostos'!E114+'Avaliação do resultado ML'!C114-'Modelos normativos'!AQ114</f>
        <v>#REF!</v>
      </c>
      <c r="E114" s="12" t="n">
        <f aca="false">'Modelos empíricos'!I114+1.1854</f>
        <v>0.427602064144249</v>
      </c>
      <c r="F114" s="4" t="e">
        <f aca="false">-0.01753*('Modelos normativos'!AN114-'Dataset experimental'!C114-ABS(G114)-('Modelos Propostos'!E114-'Modelos normativos'!AP114)/0.25291)</f>
        <v>#REF!</v>
      </c>
      <c r="G114" s="4" t="e">
        <f aca="false">'Dataset experimental'!K114+'Modelos empíricos'!K114^2+('Modelos Propostos'!E114-'Modelos normativos'!AQ114)*4.10553</f>
        <v>#REF!</v>
      </c>
      <c r="H114" s="4" t="e">
        <f aca="false">0.03283*(J114+K114)</f>
        <v>#REF!</v>
      </c>
      <c r="I114" s="4" t="e">
        <f aca="false">(1.61428/'Dataset experimental'!Q114)^3</f>
        <v>#REF!</v>
      </c>
      <c r="J114" s="4" t="e">
        <f aca="false">SIN('Dataset experimental'!E114)+1.450178*(SIN('Avaliação do resultado ML'!I114)+'Dataset experimental'!C114)</f>
        <v>#REF!</v>
      </c>
      <c r="K114" s="4" t="e">
        <f aca="false">('Modelos empíricos'!C114-'Dataset experimental'!G114)*'Dataset experimental'!AE114-'Modelos normativos'!AP114</f>
        <v>#REF!</v>
      </c>
      <c r="L114" s="4" t="n">
        <f aca="false">0.0076*'Dataset experimental'!B114+'Avaliação do resultado ML'!M114+'Avaliação do resultado ML'!N114+(-0.0328)*(0.0171*'Dataset experimental'!AD114-0.9442)*'Avaliação do resultado ML'!O114-'Avaliação do resultado ML'!P114-0.0364</f>
        <v>-0.0261766785696326</v>
      </c>
      <c r="M114" s="12" t="n">
        <f aca="false">0.03283*SIN(0.7328*'Dataset experimental'!D114-1.8266)</f>
        <v>0.0119269103214528</v>
      </c>
      <c r="N114" s="12" t="n">
        <f aca="false">0.0476*SIN(4.2067/(0.0095*'Dataset experimental'!P114-1.9338)^3)</f>
        <v>-0.0456510623570613</v>
      </c>
      <c r="O114" s="12" t="n">
        <f aca="false">0.0214*'Dataset experimental'!F114-3.1067*'Dataset experimental'!B114*'Dataset experimental'!P114*('Dataset experimental'!T114-'Dataset experimental'!R114)*(0.39*'Dataset experimental'!P114*'Dataset experimental'!T114/'Dataset experimental'!V114-'Dataset experimental'!Z114+3.12)/(100000*'Dataset experimental'!V114)+0.7995</f>
        <v>0.817991119419576</v>
      </c>
      <c r="P114" s="12" t="n">
        <f aca="false">0.4461*('Dataset experimental'!Z114-0.6*'Modelos normativos'!AB114)*(3.4*'Dataset experimental'!L114+0.17*'Dataset experimental'!B114/'Modelos normativos'!AC114)/200000</f>
        <v>0.0815689711636564</v>
      </c>
      <c r="Q114" s="4" t="e">
        <f aca="false">L114/H114</f>
        <v>#REF!</v>
      </c>
      <c r="R114" s="4" t="e">
        <f aca="false">(-0.042-0.014*'Com TS variável MC2020'!Q123)*('Modelos normativos'!AP114-ABS('Modelos Propostos'!K114)-'Dataset experimental'!W114+COS(S114))</f>
        <v>#REF!</v>
      </c>
      <c r="S114" s="4" t="e">
        <f aca="false">'Dataset experimental'!O114-('Modelos normativos'!AQ114-SIN(0.083/('Dataset experimental'!M114-'Dataset experimental'!O114))-'Modelos empíricos'!I114)/0.646</f>
        <v>#REF!</v>
      </c>
      <c r="W114" s="4" t="e">
        <f aca="false">'Modelos normativos'!S114+'Avaliação do resultado ML'!A114</f>
        <v>#REF!</v>
      </c>
      <c r="X114" s="4" t="e">
        <f aca="false">W114/'Dataset experimental'!$AF114</f>
        <v>#REF!</v>
      </c>
      <c r="AJ114" s="4" t="e">
        <f aca="false">'Modelos Propostos'!B114+H114</f>
        <v>#REF!</v>
      </c>
      <c r="AK114" s="4" t="e">
        <f aca="false">AJ114/'Dataset experimental'!$AF114</f>
        <v>#REF!</v>
      </c>
      <c r="AV114" s="4" t="e">
        <f aca="false">'Modelos normativos'!S114+F114</f>
        <v>#REF!</v>
      </c>
      <c r="AW114" s="4" t="e">
        <f aca="false">AV114/'Dataset experimental'!$AF114</f>
        <v>#REF!</v>
      </c>
      <c r="BH114" s="4" t="e">
        <f aca="false">'Modelos Propostos'!B114+R114</f>
        <v>#REF!</v>
      </c>
      <c r="BI114" s="4" t="e">
        <f aca="false">BH114/'Dataset experimental'!$AF114</f>
        <v>#REF!</v>
      </c>
      <c r="BT114" s="4" t="n">
        <f aca="false">'Modelos Propostos'!B114+L114</f>
        <v>0.183390990675196</v>
      </c>
      <c r="BU114" s="4" t="n">
        <f aca="false">BT114/'Dataset experimental'!$AF114</f>
        <v>0.916954953375981</v>
      </c>
    </row>
    <row r="115" customFormat="false" ht="14.25" hidden="false" customHeight="false" outlineLevel="0" collapsed="false">
      <c r="A115" s="4" t="e">
        <f aca="false">0.0894*ABS(D115)-0.01603*E115</f>
        <v>#REF!</v>
      </c>
      <c r="B115" s="12" t="e">
        <f aca="false">'Dataset experimental'!K115*COS('Dataset experimental'!AC115)-'Dataset experimental'!M115-'Dataset experimental'!C115</f>
        <v>#REF!</v>
      </c>
      <c r="C115" s="12" t="e">
        <f aca="false">('Dataset experimental'!AE115+SIN('Avaliação do resultado ML'!B115))*0.70674187</f>
        <v>#REF!</v>
      </c>
      <c r="D115" s="12" t="e">
        <f aca="false">'Modelos Propostos'!E115+'Avaliação do resultado ML'!C115-'Modelos normativos'!AQ115</f>
        <v>#REF!</v>
      </c>
      <c r="E115" s="12" t="n">
        <f aca="false">'Modelos empíricos'!I115+1.1854</f>
        <v>0.593309926396889</v>
      </c>
      <c r="F115" s="4" t="e">
        <f aca="false">-0.01753*('Modelos normativos'!AN115-'Dataset experimental'!C115-ABS(G115)-('Modelos Propostos'!E115-'Modelos normativos'!AP115)/0.25291)</f>
        <v>#REF!</v>
      </c>
      <c r="G115" s="4" t="e">
        <f aca="false">'Dataset experimental'!K115+'Modelos empíricos'!K115^2+('Modelos Propostos'!E115-'Modelos normativos'!AQ115)*4.10553</f>
        <v>#REF!</v>
      </c>
      <c r="H115" s="4" t="e">
        <f aca="false">0.03283*(J115+K115)</f>
        <v>#REF!</v>
      </c>
      <c r="I115" s="4" t="e">
        <f aca="false">(1.61428/'Dataset experimental'!Q115)^3</f>
        <v>#REF!</v>
      </c>
      <c r="J115" s="4" t="e">
        <f aca="false">SIN('Dataset experimental'!E115)+1.450178*(SIN('Avaliação do resultado ML'!I115)+'Dataset experimental'!C115)</f>
        <v>#REF!</v>
      </c>
      <c r="K115" s="4" t="e">
        <f aca="false">('Modelos empíricos'!C115-'Dataset experimental'!G115)*'Dataset experimental'!AE115-'Modelos normativos'!AP115</f>
        <v>#REF!</v>
      </c>
      <c r="L115" s="4" t="n">
        <f aca="false">0.0076*'Dataset experimental'!B115+'Avaliação do resultado ML'!M115+'Avaliação do resultado ML'!N115+(-0.0328)*(0.0171*'Dataset experimental'!AD115-0.9442)*'Avaliação do resultado ML'!O115-'Avaliação do resultado ML'!P115-0.0364</f>
        <v>-0.0350295758631347</v>
      </c>
      <c r="M115" s="12" t="n">
        <f aca="false">0.03283*SIN(0.7328*'Dataset experimental'!D115-1.8266)</f>
        <v>0.0119269103214528</v>
      </c>
      <c r="N115" s="12" t="n">
        <f aca="false">0.0476*SIN(4.2067/(0.0095*'Dataset experimental'!P115-1.9338)^3)</f>
        <v>-0.0456510623570613</v>
      </c>
      <c r="O115" s="12" t="n">
        <f aca="false">0.0214*'Dataset experimental'!F115-3.1067*'Dataset experimental'!B115*'Dataset experimental'!P115*('Dataset experimental'!T115-'Dataset experimental'!R115)*(0.39*'Dataset experimental'!P115*'Dataset experimental'!T115/'Dataset experimental'!V115-'Dataset experimental'!Z115+3.12)/(100000*'Dataset experimental'!V115)+0.7995</f>
        <v>0.695234341664844</v>
      </c>
      <c r="P115" s="12" t="n">
        <f aca="false">0.4461*('Dataset experimental'!Z115-0.6*'Modelos normativos'!AB115)*(3.4*'Dataset experimental'!L115+0.17*'Dataset experimental'!B115/'Modelos normativos'!AC115)/200000</f>
        <v>0.0886954898700166</v>
      </c>
      <c r="Q115" s="4" t="e">
        <f aca="false">L115/H115</f>
        <v>#REF!</v>
      </c>
      <c r="R115" s="4" t="e">
        <f aca="false">(-0.042-0.014*'Com TS variável MC2020'!Q124)*('Modelos normativos'!AP115-ABS('Modelos Propostos'!K115)-'Dataset experimental'!W115+COS(S115))</f>
        <v>#REF!</v>
      </c>
      <c r="S115" s="4" t="e">
        <f aca="false">'Dataset experimental'!O115-('Modelos normativos'!AQ115-SIN(0.083/('Dataset experimental'!M115-'Dataset experimental'!O115))-'Modelos empíricos'!I115)/0.646</f>
        <v>#REF!</v>
      </c>
      <c r="W115" s="4" t="e">
        <f aca="false">'Modelos normativos'!S115+'Avaliação do resultado ML'!A115</f>
        <v>#REF!</v>
      </c>
      <c r="X115" s="4" t="e">
        <f aca="false">W115/'Dataset experimental'!$AF115</f>
        <v>#REF!</v>
      </c>
      <c r="AJ115" s="4" t="e">
        <f aca="false">'Modelos Propostos'!B115+H115</f>
        <v>#REF!</v>
      </c>
      <c r="AK115" s="4" t="e">
        <f aca="false">AJ115/'Dataset experimental'!$AF115</f>
        <v>#REF!</v>
      </c>
      <c r="AV115" s="4" t="e">
        <f aca="false">'Modelos normativos'!S115+F115</f>
        <v>#REF!</v>
      </c>
      <c r="AW115" s="4" t="e">
        <f aca="false">AV115/'Dataset experimental'!$AF115</f>
        <v>#REF!</v>
      </c>
      <c r="BH115" s="4" t="e">
        <f aca="false">'Modelos Propostos'!B115+R115</f>
        <v>#REF!</v>
      </c>
      <c r="BI115" s="4" t="e">
        <f aca="false">BH115/'Dataset experimental'!$AF115</f>
        <v>#REF!</v>
      </c>
      <c r="BT115" s="4" t="n">
        <f aca="false">'Modelos Propostos'!B115+L115</f>
        <v>0.198430430175859</v>
      </c>
      <c r="BU115" s="4" t="n">
        <f aca="false">BT115/'Dataset experimental'!$AF115</f>
        <v>0.992152150879295</v>
      </c>
    </row>
    <row r="116" customFormat="false" ht="14.25" hidden="false" customHeight="false" outlineLevel="0" collapsed="false">
      <c r="A116" s="4" t="e">
        <f aca="false">0.0894*ABS(D116)-0.01603*E116</f>
        <v>#REF!</v>
      </c>
      <c r="B116" s="12" t="e">
        <f aca="false">'Dataset experimental'!K116*COS('Dataset experimental'!AC116)-'Dataset experimental'!M116-'Dataset experimental'!C116</f>
        <v>#REF!</v>
      </c>
      <c r="C116" s="12" t="e">
        <f aca="false">('Dataset experimental'!AE116+SIN('Avaliação do resultado ML'!B116))*0.70674187</f>
        <v>#REF!</v>
      </c>
      <c r="D116" s="12" t="e">
        <f aca="false">'Modelos Propostos'!E116+'Avaliação do resultado ML'!C116-'Modelos normativos'!AQ116</f>
        <v>#REF!</v>
      </c>
      <c r="E116" s="12" t="n">
        <f aca="false">'Modelos empíricos'!I116+1.1854</f>
        <v>0.0961863396389717</v>
      </c>
      <c r="F116" s="4" t="e">
        <f aca="false">-0.01753*('Modelos normativos'!AN116-'Dataset experimental'!C116-ABS(G116)-('Modelos Propostos'!E116-'Modelos normativos'!AP116)/0.25291)</f>
        <v>#REF!</v>
      </c>
      <c r="G116" s="4" t="e">
        <f aca="false">'Dataset experimental'!K116+'Modelos empíricos'!K116^2+('Modelos Propostos'!E116-'Modelos normativos'!AQ116)*4.10553</f>
        <v>#REF!</v>
      </c>
      <c r="H116" s="4" t="e">
        <f aca="false">0.03283*(J116+K116)</f>
        <v>#REF!</v>
      </c>
      <c r="I116" s="4" t="e">
        <f aca="false">(1.61428/'Dataset experimental'!Q116)^3</f>
        <v>#REF!</v>
      </c>
      <c r="J116" s="4" t="e">
        <f aca="false">SIN('Dataset experimental'!E116)+1.450178*(SIN('Avaliação do resultado ML'!I116)+'Dataset experimental'!C116)</f>
        <v>#REF!</v>
      </c>
      <c r="K116" s="4" t="e">
        <f aca="false">('Modelos empíricos'!C116-'Dataset experimental'!G116)*'Dataset experimental'!AE116-'Modelos normativos'!AP116</f>
        <v>#REF!</v>
      </c>
      <c r="L116" s="4" t="n">
        <f aca="false">0.0076*'Dataset experimental'!B116+'Avaliação do resultado ML'!M116+'Avaliação do resultado ML'!N116+(-0.0328)*(0.0171*'Dataset experimental'!AD116-0.9442)*'Avaliação do resultado ML'!O116-'Avaliação do resultado ML'!P116-0.0364</f>
        <v>-0.00726460006982455</v>
      </c>
      <c r="M116" s="12" t="n">
        <f aca="false">0.03283*SIN(0.7328*'Dataset experimental'!D116-1.8266)</f>
        <v>0.0119269103214528</v>
      </c>
      <c r="N116" s="12" t="n">
        <f aca="false">0.0476*SIN(4.2067/(0.0095*'Dataset experimental'!P116-1.9338)^3)</f>
        <v>-0.0456510623570613</v>
      </c>
      <c r="O116" s="12" t="n">
        <f aca="false">0.0214*'Dataset experimental'!F116-3.1067*'Dataset experimental'!B116*'Dataset experimental'!P116*('Dataset experimental'!T116-'Dataset experimental'!R116)*(0.39*'Dataset experimental'!P116*'Dataset experimental'!T116/'Dataset experimental'!V116-'Dataset experimental'!Z116+3.12)/(100000*'Dataset experimental'!V116)+0.7995</f>
        <v>1.06350467492904</v>
      </c>
      <c r="P116" s="12" t="n">
        <f aca="false">0.4461*('Dataset experimental'!Z116-0.6*'Modelos normativos'!AB116)*(3.4*'Dataset experimental'!L116+0.17*'Dataset experimental'!B116/'Modelos normativos'!AC116)/200000</f>
        <v>0.067315933750936</v>
      </c>
      <c r="Q116" s="4" t="e">
        <f aca="false">L116/H116</f>
        <v>#REF!</v>
      </c>
      <c r="R116" s="4" t="e">
        <f aca="false">(-0.042-0.014*'Com TS variável MC2020'!Q125)*('Modelos normativos'!AP116-ABS('Modelos Propostos'!K116)-'Dataset experimental'!W116+COS(S116))</f>
        <v>#REF!</v>
      </c>
      <c r="S116" s="4" t="e">
        <f aca="false">'Dataset experimental'!O116-('Modelos normativos'!AQ116-SIN(0.083/('Dataset experimental'!M116-'Dataset experimental'!O116))-'Modelos empíricos'!I116)/0.646</f>
        <v>#REF!</v>
      </c>
      <c r="W116" s="4" t="e">
        <f aca="false">'Modelos normativos'!S116+'Avaliação do resultado ML'!A116</f>
        <v>#REF!</v>
      </c>
      <c r="X116" s="4" t="e">
        <f aca="false">W116/'Dataset experimental'!$AF116</f>
        <v>#REF!</v>
      </c>
      <c r="AJ116" s="4" t="e">
        <f aca="false">'Modelos Propostos'!B116+H116</f>
        <v>#REF!</v>
      </c>
      <c r="AK116" s="4" t="e">
        <f aca="false">AJ116/'Dataset experimental'!$AF116</f>
        <v>#REF!</v>
      </c>
      <c r="AV116" s="4" t="e">
        <f aca="false">'Modelos normativos'!S116+F116</f>
        <v>#REF!</v>
      </c>
      <c r="AW116" s="4" t="e">
        <f aca="false">AV116/'Dataset experimental'!$AF116</f>
        <v>#REF!</v>
      </c>
      <c r="BH116" s="4" t="e">
        <f aca="false">'Modelos Propostos'!B116+R116</f>
        <v>#REF!</v>
      </c>
      <c r="BI116" s="4" t="e">
        <f aca="false">BH116/'Dataset experimental'!$AF116</f>
        <v>#REF!</v>
      </c>
      <c r="BT116" s="4" t="n">
        <f aca="false">'Modelos Propostos'!B116+L116</f>
        <v>0.154518395586675</v>
      </c>
      <c r="BU116" s="4" t="n">
        <f aca="false">BT116/'Dataset experimental'!$AF116</f>
        <v>1.0301226372445</v>
      </c>
    </row>
    <row r="117" customFormat="false" ht="14.25" hidden="false" customHeight="false" outlineLevel="0" collapsed="false">
      <c r="A117" s="4" t="e">
        <f aca="false">0.0894*ABS(D117)-0.01603*E117</f>
        <v>#REF!</v>
      </c>
      <c r="B117" s="12" t="e">
        <f aca="false">'Dataset experimental'!K117*COS('Dataset experimental'!AC117)-'Dataset experimental'!M117-'Dataset experimental'!C117</f>
        <v>#REF!</v>
      </c>
      <c r="C117" s="12" t="e">
        <f aca="false">('Dataset experimental'!AE117+SIN('Avaliação do resultado ML'!B117))*0.70674187</f>
        <v>#REF!</v>
      </c>
      <c r="D117" s="12" t="e">
        <f aca="false">'Modelos Propostos'!E117+'Avaliação do resultado ML'!C117-'Modelos normativos'!AQ117</f>
        <v>#REF!</v>
      </c>
      <c r="E117" s="12" t="n">
        <f aca="false">'Modelos empíricos'!I117+1.1854</f>
        <v>0.261894201891611</v>
      </c>
      <c r="F117" s="4" t="e">
        <f aca="false">-0.01753*('Modelos normativos'!AN117-'Dataset experimental'!C117-ABS(G117)-('Modelos Propostos'!E117-'Modelos normativos'!AP117)/0.25291)</f>
        <v>#REF!</v>
      </c>
      <c r="G117" s="4" t="e">
        <f aca="false">'Dataset experimental'!K117+'Modelos empíricos'!K117^2+('Modelos Propostos'!E117-'Modelos normativos'!AQ117)*4.10553</f>
        <v>#REF!</v>
      </c>
      <c r="H117" s="4" t="e">
        <f aca="false">0.03283*(J117+K117)</f>
        <v>#REF!</v>
      </c>
      <c r="I117" s="4" t="e">
        <f aca="false">(1.61428/'Dataset experimental'!Q117)^3</f>
        <v>#REF!</v>
      </c>
      <c r="J117" s="4" t="e">
        <f aca="false">SIN('Dataset experimental'!E117)+1.450178*(SIN('Avaliação do resultado ML'!I117)+'Dataset experimental'!C117)</f>
        <v>#REF!</v>
      </c>
      <c r="K117" s="4" t="e">
        <f aca="false">('Modelos empíricos'!C117-'Dataset experimental'!G117)*'Dataset experimental'!AE117-'Modelos normativos'!AP117</f>
        <v>#REF!</v>
      </c>
      <c r="L117" s="4" t="n">
        <f aca="false">0.0076*'Dataset experimental'!B117+'Avaliação do resultado ML'!M117+'Avaliação do resultado ML'!N117+(-0.0328)*(0.0171*'Dataset experimental'!AD117-0.9442)*'Avaliação do resultado ML'!O117-'Avaliação do resultado ML'!P117-0.0364</f>
        <v>-0.0169216866385292</v>
      </c>
      <c r="M117" s="12" t="n">
        <f aca="false">0.03283*SIN(0.7328*'Dataset experimental'!D117-1.8266)</f>
        <v>0.0119269103214528</v>
      </c>
      <c r="N117" s="12" t="n">
        <f aca="false">0.0476*SIN(4.2067/(0.0095*'Dataset experimental'!P117-1.9338)^3)</f>
        <v>-0.0456510623570613</v>
      </c>
      <c r="O117" s="12" t="n">
        <f aca="false">0.0214*'Dataset experimental'!F117-3.1067*'Dataset experimental'!B117*'Dataset experimental'!P117*('Dataset experimental'!T117-'Dataset experimental'!R117)*(0.39*'Dataset experimental'!P117*'Dataset experimental'!T117/'Dataset experimental'!V117-'Dataset experimental'!Z117+3.12)/(100000*'Dataset experimental'!V117)+0.7995</f>
        <v>0.940747897174307</v>
      </c>
      <c r="P117" s="12" t="n">
        <f aca="false">0.4461*('Dataset experimental'!Z117-0.6*'Modelos normativos'!AB117)*(3.4*'Dataset experimental'!L117+0.17*'Dataset experimental'!B117/'Modelos normativos'!AC117)/200000</f>
        <v>0.0744424524572962</v>
      </c>
      <c r="Q117" s="4" t="e">
        <f aca="false">L117/H117</f>
        <v>#REF!</v>
      </c>
      <c r="R117" s="4" t="e">
        <f aca="false">(-0.042-0.014*'Com TS variável MC2020'!Q126)*('Modelos normativos'!AP117-ABS('Modelos Propostos'!K117)-'Dataset experimental'!W117+COS(S117))</f>
        <v>#REF!</v>
      </c>
      <c r="S117" s="4" t="e">
        <f aca="false">'Dataset experimental'!O117-('Modelos normativos'!AQ117-SIN(0.083/('Dataset experimental'!M117-'Dataset experimental'!O117))-'Modelos empíricos'!I117)/0.646</f>
        <v>#REF!</v>
      </c>
      <c r="W117" s="4" t="e">
        <f aca="false">'Modelos normativos'!S117+'Avaliação do resultado ML'!A117</f>
        <v>#REF!</v>
      </c>
      <c r="X117" s="4" t="e">
        <f aca="false">W117/'Dataset experimental'!$AF117</f>
        <v>#REF!</v>
      </c>
      <c r="AJ117" s="4" t="e">
        <f aca="false">'Modelos Propostos'!B117+H117</f>
        <v>#REF!</v>
      </c>
      <c r="AK117" s="4" t="e">
        <f aca="false">AJ117/'Dataset experimental'!$AF117</f>
        <v>#REF!</v>
      </c>
      <c r="AV117" s="4" t="e">
        <f aca="false">'Modelos normativos'!S117+F117</f>
        <v>#REF!</v>
      </c>
      <c r="AW117" s="4" t="e">
        <f aca="false">AV117/'Dataset experimental'!$AF117</f>
        <v>#REF!</v>
      </c>
      <c r="BH117" s="4" t="e">
        <f aca="false">'Modelos Propostos'!B117+R117</f>
        <v>#REF!</v>
      </c>
      <c r="BI117" s="4" t="e">
        <f aca="false">BH117/'Dataset experimental'!$AF117</f>
        <v>#REF!</v>
      </c>
      <c r="BT117" s="4" t="n">
        <f aca="false">'Modelos Propostos'!B117+L117</f>
        <v>0.168753645812135</v>
      </c>
      <c r="BU117" s="4" t="n">
        <f aca="false">BT117/'Dataset experimental'!$AF117</f>
        <v>0.937520254511862</v>
      </c>
    </row>
    <row r="118" customFormat="false" ht="14.25" hidden="false" customHeight="false" outlineLevel="0" collapsed="false">
      <c r="A118" s="4" t="e">
        <f aca="false">0.0894*ABS(D118)-0.01603*E118</f>
        <v>#REF!</v>
      </c>
      <c r="B118" s="12" t="e">
        <f aca="false">'Dataset experimental'!K118*COS('Dataset experimental'!AC118)-'Dataset experimental'!M118-'Dataset experimental'!C118</f>
        <v>#REF!</v>
      </c>
      <c r="C118" s="12" t="e">
        <f aca="false">('Dataset experimental'!AE118+SIN('Avaliação do resultado ML'!B118))*0.70674187</f>
        <v>#REF!</v>
      </c>
      <c r="D118" s="12" t="e">
        <f aca="false">'Modelos Propostos'!E118+'Avaliação do resultado ML'!C118-'Modelos normativos'!AQ118</f>
        <v>#REF!</v>
      </c>
      <c r="E118" s="12" t="n">
        <f aca="false">'Modelos empíricos'!I118+1.1854</f>
        <v>0.427602064144249</v>
      </c>
      <c r="F118" s="4" t="e">
        <f aca="false">-0.01753*('Modelos normativos'!AN118-'Dataset experimental'!C118-ABS(G118)-('Modelos Propostos'!E118-'Modelos normativos'!AP118)/0.25291)</f>
        <v>#REF!</v>
      </c>
      <c r="G118" s="4" t="e">
        <f aca="false">'Dataset experimental'!K118+'Modelos empíricos'!K118^2+('Modelos Propostos'!E118-'Modelos normativos'!AQ118)*4.10553</f>
        <v>#REF!</v>
      </c>
      <c r="H118" s="4" t="e">
        <f aca="false">0.03283*(J118+K118)</f>
        <v>#REF!</v>
      </c>
      <c r="I118" s="4" t="e">
        <f aca="false">(1.61428/'Dataset experimental'!Q118)^3</f>
        <v>#REF!</v>
      </c>
      <c r="J118" s="4" t="e">
        <f aca="false">SIN('Dataset experimental'!E118)+1.450178*(SIN('Avaliação do resultado ML'!I118)+'Dataset experimental'!C118)</f>
        <v>#REF!</v>
      </c>
      <c r="K118" s="4" t="e">
        <f aca="false">('Modelos empíricos'!C118-'Dataset experimental'!G118)*'Dataset experimental'!AE118-'Modelos normativos'!AP118</f>
        <v>#REF!</v>
      </c>
      <c r="L118" s="4" t="n">
        <f aca="false">0.0076*'Dataset experimental'!B118+'Avaliação do resultado ML'!M118+'Avaliação do resultado ML'!N118+(-0.0328)*(0.0171*'Dataset experimental'!AD118-0.9442)*'Avaliação do resultado ML'!O118-'Avaliação do resultado ML'!P118-0.0364</f>
        <v>-0.0261766785696326</v>
      </c>
      <c r="M118" s="12" t="n">
        <f aca="false">0.03283*SIN(0.7328*'Dataset experimental'!D118-1.8266)</f>
        <v>0.0119269103214528</v>
      </c>
      <c r="N118" s="12" t="n">
        <f aca="false">0.0476*SIN(4.2067/(0.0095*'Dataset experimental'!P118-1.9338)^3)</f>
        <v>-0.0456510623570613</v>
      </c>
      <c r="O118" s="12" t="n">
        <f aca="false">0.0214*'Dataset experimental'!F118-3.1067*'Dataset experimental'!B118*'Dataset experimental'!P118*('Dataset experimental'!T118-'Dataset experimental'!R118)*(0.39*'Dataset experimental'!P118*'Dataset experimental'!T118/'Dataset experimental'!V118-'Dataset experimental'!Z118+3.12)/(100000*'Dataset experimental'!V118)+0.7995</f>
        <v>0.817991119419576</v>
      </c>
      <c r="P118" s="12" t="n">
        <f aca="false">0.4461*('Dataset experimental'!Z118-0.6*'Modelos normativos'!AB118)*(3.4*'Dataset experimental'!L118+0.17*'Dataset experimental'!B118/'Modelos normativos'!AC118)/200000</f>
        <v>0.0815689711636564</v>
      </c>
      <c r="Q118" s="4" t="e">
        <f aca="false">L118/H118</f>
        <v>#REF!</v>
      </c>
      <c r="R118" s="4" t="e">
        <f aca="false">(-0.042-0.014*'Com TS variável MC2020'!Q127)*('Modelos normativos'!AP118-ABS('Modelos Propostos'!K118)-'Dataset experimental'!W118+COS(S118))</f>
        <v>#REF!</v>
      </c>
      <c r="S118" s="4" t="e">
        <f aca="false">'Dataset experimental'!O118-('Modelos normativos'!AQ118-SIN(0.083/('Dataset experimental'!M118-'Dataset experimental'!O118))-'Modelos empíricos'!I118)/0.646</f>
        <v>#REF!</v>
      </c>
      <c r="W118" s="4" t="e">
        <f aca="false">'Modelos normativos'!S118+'Avaliação do resultado ML'!A118</f>
        <v>#REF!</v>
      </c>
      <c r="X118" s="4" t="e">
        <f aca="false">W118/'Dataset experimental'!$AF118</f>
        <v>#REF!</v>
      </c>
      <c r="AJ118" s="4" t="e">
        <f aca="false">'Modelos Propostos'!B118+H118</f>
        <v>#REF!</v>
      </c>
      <c r="AK118" s="4" t="e">
        <f aca="false">AJ118/'Dataset experimental'!$AF118</f>
        <v>#REF!</v>
      </c>
      <c r="AV118" s="4" t="e">
        <f aca="false">'Modelos normativos'!S118+F118</f>
        <v>#REF!</v>
      </c>
      <c r="AW118" s="4" t="e">
        <f aca="false">AV118/'Dataset experimental'!$AF118</f>
        <v>#REF!</v>
      </c>
      <c r="BH118" s="4" t="e">
        <f aca="false">'Modelos Propostos'!B118+R118</f>
        <v>#REF!</v>
      </c>
      <c r="BI118" s="4" t="e">
        <f aca="false">BH118/'Dataset experimental'!$AF118</f>
        <v>#REF!</v>
      </c>
      <c r="BT118" s="4" t="n">
        <f aca="false">'Modelos Propostos'!B118+L118</f>
        <v>0.183390990675196</v>
      </c>
      <c r="BU118" s="4" t="n">
        <f aca="false">BT118/'Dataset experimental'!$AF118</f>
        <v>0.916954953375981</v>
      </c>
    </row>
    <row r="119" customFormat="false" ht="14.25" hidden="false" customHeight="false" outlineLevel="0" collapsed="false">
      <c r="A119" s="4" t="e">
        <f aca="false">0.0894*ABS(D119)-0.01603*E119</f>
        <v>#REF!</v>
      </c>
      <c r="B119" s="12" t="e">
        <f aca="false">'Dataset experimental'!K119*COS('Dataset experimental'!AC119)-'Dataset experimental'!M119-'Dataset experimental'!C119</f>
        <v>#REF!</v>
      </c>
      <c r="C119" s="12" t="e">
        <f aca="false">('Dataset experimental'!AE119+SIN('Avaliação do resultado ML'!B119))*0.70674187</f>
        <v>#REF!</v>
      </c>
      <c r="D119" s="12" t="e">
        <f aca="false">'Modelos Propostos'!E119+'Avaliação do resultado ML'!C119-'Modelos normativos'!AQ119</f>
        <v>#REF!</v>
      </c>
      <c r="E119" s="12" t="n">
        <f aca="false">'Modelos empíricos'!I119+1.1854</f>
        <v>0.593309926396889</v>
      </c>
      <c r="F119" s="4" t="e">
        <f aca="false">-0.01753*('Modelos normativos'!AN119-'Dataset experimental'!C119-ABS(G119)-('Modelos Propostos'!E119-'Modelos normativos'!AP119)/0.25291)</f>
        <v>#REF!</v>
      </c>
      <c r="G119" s="4" t="e">
        <f aca="false">'Dataset experimental'!K119+'Modelos empíricos'!K119^2+('Modelos Propostos'!E119-'Modelos normativos'!AQ119)*4.10553</f>
        <v>#REF!</v>
      </c>
      <c r="H119" s="4" t="e">
        <f aca="false">0.03283*(J119+K119)</f>
        <v>#REF!</v>
      </c>
      <c r="I119" s="4" t="e">
        <f aca="false">(1.61428/'Dataset experimental'!Q119)^3</f>
        <v>#REF!</v>
      </c>
      <c r="J119" s="4" t="e">
        <f aca="false">SIN('Dataset experimental'!E119)+1.450178*(SIN('Avaliação do resultado ML'!I119)+'Dataset experimental'!C119)</f>
        <v>#REF!</v>
      </c>
      <c r="K119" s="4" t="e">
        <f aca="false">('Modelos empíricos'!C119-'Dataset experimental'!G119)*'Dataset experimental'!AE119-'Modelos normativos'!AP119</f>
        <v>#REF!</v>
      </c>
      <c r="L119" s="4" t="n">
        <f aca="false">0.0076*'Dataset experimental'!B119+'Avaliação do resultado ML'!M119+'Avaliação do resultado ML'!N119+(-0.0328)*(0.0171*'Dataset experimental'!AD119-0.9442)*'Avaliação do resultado ML'!O119-'Avaliação do resultado ML'!P119-0.0364</f>
        <v>-0.0350295758631347</v>
      </c>
      <c r="M119" s="12" t="n">
        <f aca="false">0.03283*SIN(0.7328*'Dataset experimental'!D119-1.8266)</f>
        <v>0.0119269103214528</v>
      </c>
      <c r="N119" s="12" t="n">
        <f aca="false">0.0476*SIN(4.2067/(0.0095*'Dataset experimental'!P119-1.9338)^3)</f>
        <v>-0.0456510623570613</v>
      </c>
      <c r="O119" s="12" t="n">
        <f aca="false">0.0214*'Dataset experimental'!F119-3.1067*'Dataset experimental'!B119*'Dataset experimental'!P119*('Dataset experimental'!T119-'Dataset experimental'!R119)*(0.39*'Dataset experimental'!P119*'Dataset experimental'!T119/'Dataset experimental'!V119-'Dataset experimental'!Z119+3.12)/(100000*'Dataset experimental'!V119)+0.7995</f>
        <v>0.695234341664844</v>
      </c>
      <c r="P119" s="12" t="n">
        <f aca="false">0.4461*('Dataset experimental'!Z119-0.6*'Modelos normativos'!AB119)*(3.4*'Dataset experimental'!L119+0.17*'Dataset experimental'!B119/'Modelos normativos'!AC119)/200000</f>
        <v>0.0886954898700166</v>
      </c>
      <c r="Q119" s="4" t="e">
        <f aca="false">L119/H119</f>
        <v>#REF!</v>
      </c>
      <c r="R119" s="4" t="e">
        <f aca="false">(-0.042-0.014*'Com TS variável MC2020'!Q128)*('Modelos normativos'!AP119-ABS('Modelos Propostos'!K119)-'Dataset experimental'!W119+COS(S119))</f>
        <v>#REF!</v>
      </c>
      <c r="S119" s="4" t="e">
        <f aca="false">'Dataset experimental'!O119-('Modelos normativos'!AQ119-SIN(0.083/('Dataset experimental'!M119-'Dataset experimental'!O119))-'Modelos empíricos'!I119)/0.646</f>
        <v>#REF!</v>
      </c>
      <c r="W119" s="4" t="e">
        <f aca="false">'Modelos normativos'!S119+'Avaliação do resultado ML'!A119</f>
        <v>#REF!</v>
      </c>
      <c r="X119" s="4" t="e">
        <f aca="false">W119/'Dataset experimental'!$AF119</f>
        <v>#REF!</v>
      </c>
      <c r="AJ119" s="4" t="e">
        <f aca="false">'Modelos Propostos'!B119+H119</f>
        <v>#REF!</v>
      </c>
      <c r="AK119" s="4" t="e">
        <f aca="false">AJ119/'Dataset experimental'!$AF119</f>
        <v>#REF!</v>
      </c>
      <c r="AV119" s="4" t="e">
        <f aca="false">'Modelos normativos'!S119+F119</f>
        <v>#REF!</v>
      </c>
      <c r="AW119" s="4" t="e">
        <f aca="false">AV119/'Dataset experimental'!$AF119</f>
        <v>#REF!</v>
      </c>
      <c r="BH119" s="4" t="e">
        <f aca="false">'Modelos Propostos'!B119+R119</f>
        <v>#REF!</v>
      </c>
      <c r="BI119" s="4" t="e">
        <f aca="false">BH119/'Dataset experimental'!$AF119</f>
        <v>#REF!</v>
      </c>
      <c r="BT119" s="4" t="n">
        <f aca="false">'Modelos Propostos'!B119+L119</f>
        <v>0.198430430175859</v>
      </c>
      <c r="BU119" s="4" t="n">
        <f aca="false">BT119/'Dataset experimental'!$AF119</f>
        <v>0.992152150879295</v>
      </c>
    </row>
    <row r="120" customFormat="false" ht="14.25" hidden="false" customHeight="false" outlineLevel="0" collapsed="false">
      <c r="A120" s="4" t="e">
        <f aca="false">0.0894*ABS(D120)-0.01603*E120</f>
        <v>#REF!</v>
      </c>
      <c r="B120" s="12" t="e">
        <f aca="false">'Dataset experimental'!K120*COS('Dataset experimental'!AC120)-'Dataset experimental'!M120-'Dataset experimental'!C120</f>
        <v>#REF!</v>
      </c>
      <c r="C120" s="12" t="e">
        <f aca="false">('Dataset experimental'!AE120+SIN('Avaliação do resultado ML'!B120))*0.70674187</f>
        <v>#REF!</v>
      </c>
      <c r="D120" s="12" t="e">
        <f aca="false">'Modelos Propostos'!E120+'Avaliação do resultado ML'!C120-'Modelos normativos'!AQ120</f>
        <v>#REF!</v>
      </c>
      <c r="E120" s="12" t="n">
        <f aca="false">'Modelos empíricos'!I120+1.1854</f>
        <v>-0.0910926335290252</v>
      </c>
      <c r="F120" s="4" t="e">
        <f aca="false">-0.01753*('Modelos normativos'!AN120-'Dataset experimental'!C120-ABS(G120)-('Modelos Propostos'!E120-'Modelos normativos'!AP120)/0.25291)</f>
        <v>#REF!</v>
      </c>
      <c r="G120" s="4" t="e">
        <f aca="false">'Dataset experimental'!K120+'Modelos empíricos'!K120^2+('Modelos Propostos'!E120-'Modelos normativos'!AQ120)*4.10553</f>
        <v>#REF!</v>
      </c>
      <c r="H120" s="4" t="e">
        <f aca="false">0.03283*(J120+K120)</f>
        <v>#REF!</v>
      </c>
      <c r="I120" s="4" t="e">
        <f aca="false">(1.61428/'Dataset experimental'!Q120)^3</f>
        <v>#REF!</v>
      </c>
      <c r="J120" s="4" t="e">
        <f aca="false">SIN('Dataset experimental'!E120)+1.450178*(SIN('Avaliação do resultado ML'!I120)+'Dataset experimental'!C120)</f>
        <v>#REF!</v>
      </c>
      <c r="K120" s="4" t="e">
        <f aca="false">('Modelos empíricos'!C120-'Dataset experimental'!G120)*'Dataset experimental'!AE120-'Modelos normativos'!AP120</f>
        <v>#REF!</v>
      </c>
      <c r="L120" s="4" t="n">
        <f aca="false">0.0076*'Dataset experimental'!B120+'Avaliação do resultado ML'!M120+'Avaliação do resultado ML'!N120+(-0.0328)*(0.0171*'Dataset experimental'!AD120-0.9442)*'Avaliação do resultado ML'!O120-'Avaliação do resultado ML'!P120-0.0364</f>
        <v>0.223406153440815</v>
      </c>
      <c r="M120" s="12" t="n">
        <f aca="false">0.03283*SIN(0.7328*'Dataset experimental'!D120-1.8266)</f>
        <v>-0.0115958827834406</v>
      </c>
      <c r="N120" s="12" t="n">
        <f aca="false">0.0476*SIN(4.2067/(0.0095*'Dataset experimental'!P120-1.9338)^3)</f>
        <v>0.028702269662646</v>
      </c>
      <c r="O120" s="12" t="n">
        <f aca="false">0.0214*'Dataset experimental'!F120-3.1067*'Dataset experimental'!B120*'Dataset experimental'!P120*('Dataset experimental'!T120-'Dataset experimental'!R120)*(0.39*'Dataset experimental'!P120*'Dataset experimental'!T120/'Dataset experimental'!V120-'Dataset experimental'!Z120+3.12)/(100000*'Dataset experimental'!V120)+0.7995</f>
        <v>5.43220901848098</v>
      </c>
      <c r="P120" s="12" t="n">
        <f aca="false">0.4461*('Dataset experimental'!Z120-0.6*'Modelos normativos'!AB120)*(3.4*'Dataset experimental'!L120+0.17*'Dataset experimental'!B120/'Modelos normativos'!AC120)/200000</f>
        <v>0.00250580577926854</v>
      </c>
      <c r="Q120" s="4" t="e">
        <f aca="false">L120/H120</f>
        <v>#REF!</v>
      </c>
      <c r="R120" s="4" t="e">
        <f aca="false">(-0.042-0.014*'Com TS variável MC2020'!Q129)*('Modelos normativos'!AP120-ABS('Modelos Propostos'!K120)-'Dataset experimental'!W120+COS(S120))</f>
        <v>#REF!</v>
      </c>
      <c r="S120" s="4" t="e">
        <f aca="false">'Dataset experimental'!O120-('Modelos normativos'!AQ120-SIN(0.083/('Dataset experimental'!M120-'Dataset experimental'!O120))-'Modelos empíricos'!I120)/0.646</f>
        <v>#REF!</v>
      </c>
      <c r="W120" s="4" t="e">
        <f aca="false">'Modelos normativos'!S120+'Avaliação do resultado ML'!A120</f>
        <v>#REF!</v>
      </c>
      <c r="X120" s="4" t="e">
        <f aca="false">W120/'Dataset experimental'!$AF120</f>
        <v>#REF!</v>
      </c>
      <c r="AJ120" s="4" t="e">
        <f aca="false">'Modelos Propostos'!B120+H120</f>
        <v>#REF!</v>
      </c>
      <c r="AK120" s="4" t="e">
        <f aca="false">AJ120/'Dataset experimental'!$AF120</f>
        <v>#REF!</v>
      </c>
      <c r="AV120" s="4" t="e">
        <f aca="false">'Modelos normativos'!S120+F120</f>
        <v>#REF!</v>
      </c>
      <c r="AW120" s="4" t="e">
        <f aca="false">AV120/'Dataset experimental'!$AF120</f>
        <v>#REF!</v>
      </c>
      <c r="BH120" s="4" t="e">
        <f aca="false">'Modelos Propostos'!B120+R120</f>
        <v>#REF!</v>
      </c>
      <c r="BI120" s="4" t="e">
        <f aca="false">BH120/'Dataset experimental'!$AF120</f>
        <v>#REF!</v>
      </c>
      <c r="BT120" s="4" t="n">
        <f aca="false">'Modelos Propostos'!B120+L120</f>
        <v>0.295554763109451</v>
      </c>
      <c r="BU120" s="4" t="n">
        <f aca="false">BT120/'Dataset experimental'!$AF120</f>
        <v>1.47777381554725</v>
      </c>
    </row>
    <row r="121" customFormat="false" ht="14.25" hidden="false" customHeight="false" outlineLevel="0" collapsed="false">
      <c r="A121" s="4" t="e">
        <f aca="false">0.0894*ABS(D121)-0.01603*E121</f>
        <v>#REF!</v>
      </c>
      <c r="B121" s="12" t="e">
        <f aca="false">'Dataset experimental'!K121*COS('Dataset experimental'!AC121)-'Dataset experimental'!M121-'Dataset experimental'!C121</f>
        <v>#REF!</v>
      </c>
      <c r="C121" s="12" t="e">
        <f aca="false">('Dataset experimental'!AE121+SIN('Avaliação do resultado ML'!B121))*0.70674187</f>
        <v>#REF!</v>
      </c>
      <c r="D121" s="12" t="e">
        <f aca="false">'Modelos Propostos'!E121+'Avaliação do resultado ML'!C121-'Modelos normativos'!AQ121</f>
        <v>#REF!</v>
      </c>
      <c r="E121" s="12" t="n">
        <f aca="false">'Modelos empíricos'!I121+1.1854</f>
        <v>0.76264587352657</v>
      </c>
      <c r="F121" s="4" t="e">
        <f aca="false">-0.01753*('Modelos normativos'!AN121-'Dataset experimental'!C121-ABS(G121)-('Modelos Propostos'!E121-'Modelos normativos'!AP121)/0.25291)</f>
        <v>#REF!</v>
      </c>
      <c r="G121" s="4" t="e">
        <f aca="false">'Dataset experimental'!K121+'Modelos empíricos'!K121^2+('Modelos Propostos'!E121-'Modelos normativos'!AQ121)*4.10553</f>
        <v>#REF!</v>
      </c>
      <c r="H121" s="4" t="e">
        <f aca="false">0.03283*(J121+K121)</f>
        <v>#REF!</v>
      </c>
      <c r="I121" s="4" t="e">
        <f aca="false">(1.61428/'Dataset experimental'!Q121)^3</f>
        <v>#REF!</v>
      </c>
      <c r="J121" s="4" t="e">
        <f aca="false">SIN('Dataset experimental'!E121)+1.450178*(SIN('Avaliação do resultado ML'!I121)+'Dataset experimental'!C121)</f>
        <v>#REF!</v>
      </c>
      <c r="K121" s="4" t="e">
        <f aca="false">('Modelos empíricos'!C121-'Dataset experimental'!G121)*'Dataset experimental'!AE121-'Modelos normativos'!AP121</f>
        <v>#REF!</v>
      </c>
      <c r="L121" s="4" t="n">
        <f aca="false">0.0076*'Dataset experimental'!B121+'Avaliação do resultado ML'!M121+'Avaliação do resultado ML'!N121+(-0.0328)*(0.0171*'Dataset experimental'!AD121-0.9442)*'Avaliação do resultado ML'!O121-'Avaliação do resultado ML'!P121-0.0364</f>
        <v>0.143468108822955</v>
      </c>
      <c r="M121" s="12" t="n">
        <f aca="false">0.03283*SIN(0.7328*'Dataset experimental'!D121-1.8266)</f>
        <v>-0.0115958827834406</v>
      </c>
      <c r="N121" s="12" t="n">
        <f aca="false">0.0476*SIN(4.2067/(0.0095*'Dataset experimental'!P121-1.9338)^3)</f>
        <v>0.028702269662646</v>
      </c>
      <c r="O121" s="12" t="n">
        <f aca="false">0.0214*'Dataset experimental'!F121-3.1067*'Dataset experimental'!B121*'Dataset experimental'!P121*('Dataset experimental'!T121-'Dataset experimental'!R121)*(0.39*'Dataset experimental'!P121*'Dataset experimental'!T121/'Dataset experimental'!V121-'Dataset experimental'!Z121+3.12)/(100000*'Dataset experimental'!V121)+0.7995</f>
        <v>4.04411466697506</v>
      </c>
      <c r="P121" s="12" t="n">
        <f aca="false">0.4461*('Dataset experimental'!Z121-0.6*'Modelos normativos'!AB121)*(3.4*'Dataset experimental'!L121+0.17*'Dataset experimental'!B121/'Modelos normativos'!AC121)/200000</f>
        <v>0.0391212900240169</v>
      </c>
      <c r="Q121" s="4" t="e">
        <f aca="false">L121/H121</f>
        <v>#REF!</v>
      </c>
      <c r="R121" s="4" t="e">
        <f aca="false">(-0.042-0.014*'Com TS variável MC2020'!Q130)*('Modelos normativos'!AP121-ABS('Modelos Propostos'!K121)-'Dataset experimental'!W121+COS(S121))</f>
        <v>#REF!</v>
      </c>
      <c r="S121" s="4" t="e">
        <f aca="false">'Dataset experimental'!O121-('Modelos normativos'!AQ121-SIN(0.083/('Dataset experimental'!M121-'Dataset experimental'!O121))-'Modelos empíricos'!I121)/0.646</f>
        <v>#REF!</v>
      </c>
      <c r="W121" s="4" t="e">
        <f aca="false">'Modelos normativos'!S121+'Avaliação do resultado ML'!A121</f>
        <v>#REF!</v>
      </c>
      <c r="X121" s="4" t="e">
        <f aca="false">W121/'Dataset experimental'!$AF121</f>
        <v>#REF!</v>
      </c>
      <c r="AJ121" s="4" t="e">
        <f aca="false">'Modelos Propostos'!B121+H121</f>
        <v>#REF!</v>
      </c>
      <c r="AK121" s="4" t="e">
        <f aca="false">AJ121/'Dataset experimental'!$AF121</f>
        <v>#REF!</v>
      </c>
      <c r="AV121" s="4" t="e">
        <f aca="false">'Modelos normativos'!S121+F121</f>
        <v>#REF!</v>
      </c>
      <c r="AW121" s="4" t="e">
        <f aca="false">AV121/'Dataset experimental'!$AF121</f>
        <v>#REF!</v>
      </c>
      <c r="BH121" s="4" t="e">
        <f aca="false">'Modelos Propostos'!B121+R121</f>
        <v>#REF!</v>
      </c>
      <c r="BI121" s="4" t="e">
        <f aca="false">BH121/'Dataset experimental'!$AF121</f>
        <v>#REF!</v>
      </c>
      <c r="BT121" s="4" t="n">
        <f aca="false">'Modelos Propostos'!B121+L121</f>
        <v>0.269963476400361</v>
      </c>
      <c r="BU121" s="4" t="n">
        <f aca="false">BT121/'Dataset experimental'!$AF121</f>
        <v>1.07985390560145</v>
      </c>
    </row>
    <row r="122" customFormat="false" ht="14.25" hidden="false" customHeight="false" outlineLevel="0" collapsed="false">
      <c r="A122" s="4" t="e">
        <f aca="false">0.0894*ABS(D122)-0.01603*E122</f>
        <v>#REF!</v>
      </c>
      <c r="B122" s="12" t="e">
        <f aca="false">'Dataset experimental'!K122*COS('Dataset experimental'!AC122)-'Dataset experimental'!M122-'Dataset experimental'!C122</f>
        <v>#REF!</v>
      </c>
      <c r="C122" s="12" t="e">
        <f aca="false">('Dataset experimental'!AE122+SIN('Avaliação do resultado ML'!B122))*0.70674187</f>
        <v>#REF!</v>
      </c>
      <c r="D122" s="12" t="e">
        <f aca="false">'Modelos Propostos'!E122+'Avaliação do resultado ML'!C122-'Modelos normativos'!AQ122</f>
        <v>#REF!</v>
      </c>
      <c r="E122" s="12" t="n">
        <f aca="false">'Modelos empíricos'!I122+1.1854</f>
        <v>1.61638438058217</v>
      </c>
      <c r="F122" s="4" t="e">
        <f aca="false">-0.01753*('Modelos normativos'!AN122-'Dataset experimental'!C122-ABS(G122)-('Modelos Propostos'!E122-'Modelos normativos'!AP122)/0.25291)</f>
        <v>#REF!</v>
      </c>
      <c r="G122" s="4" t="e">
        <f aca="false">'Dataset experimental'!K122+'Modelos empíricos'!K122^2+('Modelos Propostos'!E122-'Modelos normativos'!AQ122)*4.10553</f>
        <v>#REF!</v>
      </c>
      <c r="H122" s="4" t="e">
        <f aca="false">0.03283*(J122+K122)</f>
        <v>#REF!</v>
      </c>
      <c r="I122" s="4" t="e">
        <f aca="false">(1.61428/'Dataset experimental'!Q122)^3</f>
        <v>#REF!</v>
      </c>
      <c r="J122" s="4" t="e">
        <f aca="false">SIN('Dataset experimental'!E122)+1.450178*(SIN('Avaliação do resultado ML'!I122)+'Dataset experimental'!C122)</f>
        <v>#REF!</v>
      </c>
      <c r="K122" s="4" t="e">
        <f aca="false">('Modelos empíricos'!C122-'Dataset experimental'!G122)*'Dataset experimental'!AE122-'Modelos normativos'!AP122</f>
        <v>#REF!</v>
      </c>
      <c r="L122" s="4" t="n">
        <f aca="false">0.0076*'Dataset experimental'!B122+'Avaliação do resultado ML'!M122+'Avaliação do resultado ML'!N122+(-0.0328)*(0.0171*'Dataset experimental'!AD122-0.9442)*'Avaliação do resultado ML'!O122-'Avaliação do resultado ML'!P122-0.0364</f>
        <v>0.066255004464649</v>
      </c>
      <c r="M122" s="12" t="n">
        <f aca="false">0.03283*SIN(0.7328*'Dataset experimental'!D122-1.8266)</f>
        <v>-0.0115958827834406</v>
      </c>
      <c r="N122" s="12" t="n">
        <f aca="false">0.0476*SIN(4.2067/(0.0095*'Dataset experimental'!P122-1.9338)^3)</f>
        <v>0.028702269662646</v>
      </c>
      <c r="O122" s="12" t="n">
        <f aca="false">0.0214*'Dataset experimental'!F122-3.1067*'Dataset experimental'!B122*'Dataset experimental'!P122*('Dataset experimental'!T122-'Dataset experimental'!R122)*(0.39*'Dataset experimental'!P122*'Dataset experimental'!T122/'Dataset experimental'!V122-'Dataset experimental'!Z122+3.12)/(100000*'Dataset experimental'!V122)+0.7995</f>
        <v>2.65602031546913</v>
      </c>
      <c r="P122" s="12" t="n">
        <f aca="false">0.4461*('Dataset experimental'!Z122-0.6*'Modelos normativos'!AB122)*(3.4*'Dataset experimental'!L122+0.17*'Dataset experimental'!B122/'Modelos normativos'!AC122)/200000</f>
        <v>0.0757367742687653</v>
      </c>
      <c r="Q122" s="4" t="e">
        <f aca="false">L122/H122</f>
        <v>#REF!</v>
      </c>
      <c r="R122" s="4" t="e">
        <f aca="false">(-0.042-0.014*'Com TS variável MC2020'!Q131)*('Modelos normativos'!AP122-ABS('Modelos Propostos'!K122)-'Dataset experimental'!W122+COS(S122))</f>
        <v>#REF!</v>
      </c>
      <c r="S122" s="4" t="e">
        <f aca="false">'Dataset experimental'!O122-('Modelos normativos'!AQ122-SIN(0.083/('Dataset experimental'!M122-'Dataset experimental'!O122))-'Modelos empíricos'!I122)/0.646</f>
        <v>#REF!</v>
      </c>
      <c r="W122" s="4" t="e">
        <f aca="false">'Modelos normativos'!S122+'Avaliação do resultado ML'!A122</f>
        <v>#REF!</v>
      </c>
      <c r="X122" s="4" t="e">
        <f aca="false">W122/'Dataset experimental'!$AF122</f>
        <v>#REF!</v>
      </c>
      <c r="AJ122" s="4" t="e">
        <f aca="false">'Modelos Propostos'!B122+H122</f>
        <v>#REF!</v>
      </c>
      <c r="AK122" s="4" t="e">
        <f aca="false">AJ122/'Dataset experimental'!$AF122</f>
        <v>#REF!</v>
      </c>
      <c r="AV122" s="4" t="e">
        <f aca="false">'Modelos normativos'!S122+F122</f>
        <v>#REF!</v>
      </c>
      <c r="AW122" s="4" t="e">
        <f aca="false">AV122/'Dataset experimental'!$AF122</f>
        <v>#REF!</v>
      </c>
      <c r="BH122" s="4" t="e">
        <f aca="false">'Modelos Propostos'!B122+R122</f>
        <v>#REF!</v>
      </c>
      <c r="BI122" s="4" t="e">
        <f aca="false">BH122/'Dataset experimental'!$AF122</f>
        <v>#REF!</v>
      </c>
      <c r="BT122" s="4" t="n">
        <f aca="false">'Modelos Propostos'!B122+L122</f>
        <v>0.273019717917202</v>
      </c>
      <c r="BU122" s="4" t="n">
        <f aca="false">BT122/'Dataset experimental'!$AF122</f>
        <v>0.827332478536976</v>
      </c>
    </row>
    <row r="123" customFormat="false" ht="14.25" hidden="false" customHeight="false" outlineLevel="0" collapsed="false">
      <c r="A123" s="4" t="e">
        <f aca="false">0.0894*ABS(D123)-0.01603*E123</f>
        <v>#REF!</v>
      </c>
      <c r="B123" s="12" t="e">
        <f aca="false">'Dataset experimental'!K123*COS('Dataset experimental'!AC123)-'Dataset experimental'!M123-'Dataset experimental'!C123</f>
        <v>#REF!</v>
      </c>
      <c r="C123" s="12" t="e">
        <f aca="false">('Dataset experimental'!AE123+SIN('Avaliação do resultado ML'!B123))*0.70674187</f>
        <v>#REF!</v>
      </c>
      <c r="D123" s="12" t="e">
        <f aca="false">'Modelos Propostos'!E123+'Avaliação do resultado ML'!C123-'Modelos normativos'!AQ123</f>
        <v>#REF!</v>
      </c>
      <c r="E123" s="12" t="n">
        <f aca="false">'Modelos empíricos'!I123+1.1854</f>
        <v>0.76264587352657</v>
      </c>
      <c r="F123" s="4" t="e">
        <f aca="false">-0.01753*('Modelos normativos'!AN123-'Dataset experimental'!C123-ABS(G123)-('Modelos Propostos'!E123-'Modelos normativos'!AP123)/0.25291)</f>
        <v>#REF!</v>
      </c>
      <c r="G123" s="4" t="e">
        <f aca="false">'Dataset experimental'!K123+'Modelos empíricos'!K123^2+('Modelos Propostos'!E123-'Modelos normativos'!AQ123)*4.10553</f>
        <v>#REF!</v>
      </c>
      <c r="H123" s="4" t="e">
        <f aca="false">0.03283*(J123+K123)</f>
        <v>#REF!</v>
      </c>
      <c r="I123" s="4" t="e">
        <f aca="false">(1.61428/'Dataset experimental'!Q123)^3</f>
        <v>#REF!</v>
      </c>
      <c r="J123" s="4" t="e">
        <f aca="false">SIN('Dataset experimental'!E123)+1.450178*(SIN('Avaliação do resultado ML'!I123)+'Dataset experimental'!C123)</f>
        <v>#REF!</v>
      </c>
      <c r="K123" s="4" t="e">
        <f aca="false">('Modelos empíricos'!C123-'Dataset experimental'!G123)*'Dataset experimental'!AE123-'Modelos normativos'!AP123</f>
        <v>#REF!</v>
      </c>
      <c r="L123" s="4" t="n">
        <f aca="false">0.0076*'Dataset experimental'!B123+'Avaliação do resultado ML'!M123+'Avaliação do resultado ML'!N123+(-0.0328)*(0.0171*'Dataset experimental'!AD123-0.9442)*'Avaliação do resultado ML'!O123-'Avaliação do resultado ML'!P123-0.0364</f>
        <v>0.143468108822955</v>
      </c>
      <c r="M123" s="12" t="n">
        <f aca="false">0.03283*SIN(0.7328*'Dataset experimental'!D123-1.8266)</f>
        <v>-0.0115958827834406</v>
      </c>
      <c r="N123" s="12" t="n">
        <f aca="false">0.0476*SIN(4.2067/(0.0095*'Dataset experimental'!P123-1.9338)^3)</f>
        <v>0.028702269662646</v>
      </c>
      <c r="O123" s="12" t="n">
        <f aca="false">0.0214*'Dataset experimental'!F123-3.1067*'Dataset experimental'!B123*'Dataset experimental'!P123*('Dataset experimental'!T123-'Dataset experimental'!R123)*(0.39*'Dataset experimental'!P123*'Dataset experimental'!T123/'Dataset experimental'!V123-'Dataset experimental'!Z123+3.12)/(100000*'Dataset experimental'!V123)+0.7995</f>
        <v>4.04411466697506</v>
      </c>
      <c r="P123" s="12" t="n">
        <f aca="false">0.4461*('Dataset experimental'!Z123-0.6*'Modelos normativos'!AB123)*(3.4*'Dataset experimental'!L123+0.17*'Dataset experimental'!B123/'Modelos normativos'!AC123)/200000</f>
        <v>0.0391212900240169</v>
      </c>
      <c r="Q123" s="4" t="e">
        <f aca="false">L123/H123</f>
        <v>#REF!</v>
      </c>
      <c r="R123" s="4" t="e">
        <f aca="false">(-0.042-0.014*'Com TS variável MC2020'!Q132)*('Modelos normativos'!AP123-ABS('Modelos Propostos'!K123)-'Dataset experimental'!W123+COS(S123))</f>
        <v>#REF!</v>
      </c>
      <c r="S123" s="4" t="e">
        <f aca="false">'Dataset experimental'!O123-('Modelos normativos'!AQ123-SIN(0.083/('Dataset experimental'!M123-'Dataset experimental'!O123))-'Modelos empíricos'!I123)/0.646</f>
        <v>#REF!</v>
      </c>
      <c r="W123" s="4" t="e">
        <f aca="false">'Modelos normativos'!S123+'Avaliação do resultado ML'!A123</f>
        <v>#REF!</v>
      </c>
      <c r="X123" s="4" t="e">
        <f aca="false">W123/'Dataset experimental'!$AF123</f>
        <v>#REF!</v>
      </c>
      <c r="AJ123" s="4" t="e">
        <f aca="false">'Modelos Propostos'!B123+H123</f>
        <v>#REF!</v>
      </c>
      <c r="AK123" s="4" t="e">
        <f aca="false">AJ123/'Dataset experimental'!$AF123</f>
        <v>#REF!</v>
      </c>
      <c r="AV123" s="4" t="e">
        <f aca="false">'Modelos normativos'!S123+F123</f>
        <v>#REF!</v>
      </c>
      <c r="AW123" s="4" t="e">
        <f aca="false">AV123/'Dataset experimental'!$AF123</f>
        <v>#REF!</v>
      </c>
      <c r="BH123" s="4" t="e">
        <f aca="false">'Modelos Propostos'!B123+R123</f>
        <v>#REF!</v>
      </c>
      <c r="BI123" s="4" t="e">
        <f aca="false">BH123/'Dataset experimental'!$AF123</f>
        <v>#REF!</v>
      </c>
      <c r="BT123" s="4" t="n">
        <f aca="false">'Modelos Propostos'!B123+L123</f>
        <v>0.269963476400361</v>
      </c>
      <c r="BU123" s="4" t="n">
        <f aca="false">BT123/'Dataset experimental'!$AF123</f>
        <v>1.17375424521896</v>
      </c>
    </row>
    <row r="124" customFormat="false" ht="14.25" hidden="false" customHeight="false" outlineLevel="0" collapsed="false">
      <c r="A124" s="4" t="e">
        <f aca="false">0.0894*ABS(D124)-0.01603*E124</f>
        <v>#REF!</v>
      </c>
      <c r="B124" s="12" t="e">
        <f aca="false">'Dataset experimental'!K124*COS('Dataset experimental'!AC124)-'Dataset experimental'!M124-'Dataset experimental'!C124</f>
        <v>#REF!</v>
      </c>
      <c r="C124" s="12" t="e">
        <f aca="false">('Dataset experimental'!AE124+SIN('Avaliação do resultado ML'!B124))*0.70674187</f>
        <v>#REF!</v>
      </c>
      <c r="D124" s="12" t="e">
        <f aca="false">'Modelos Propostos'!E124+'Avaliação do resultado ML'!C124-'Modelos normativos'!AQ124</f>
        <v>#REF!</v>
      </c>
      <c r="E124" s="12" t="n">
        <f aca="false">'Modelos empíricos'!I124+1.1854</f>
        <v>1.61638438058217</v>
      </c>
      <c r="F124" s="4" t="e">
        <f aca="false">-0.01753*('Modelos normativos'!AN124-'Dataset experimental'!C124-ABS(G124)-('Modelos Propostos'!E124-'Modelos normativos'!AP124)/0.25291)</f>
        <v>#REF!</v>
      </c>
      <c r="G124" s="4" t="e">
        <f aca="false">'Dataset experimental'!K124+'Modelos empíricos'!K124^2+('Modelos Propostos'!E124-'Modelos normativos'!AQ124)*4.10553</f>
        <v>#REF!</v>
      </c>
      <c r="H124" s="4" t="e">
        <f aca="false">0.03283*(J124+K124)</f>
        <v>#REF!</v>
      </c>
      <c r="I124" s="4" t="e">
        <f aca="false">(1.61428/'Dataset experimental'!Q124)^3</f>
        <v>#REF!</v>
      </c>
      <c r="J124" s="4" t="e">
        <f aca="false">SIN('Dataset experimental'!E124)+1.450178*(SIN('Avaliação do resultado ML'!I124)+'Dataset experimental'!C124)</f>
        <v>#REF!</v>
      </c>
      <c r="K124" s="4" t="e">
        <f aca="false">('Modelos empíricos'!C124-'Dataset experimental'!G124)*'Dataset experimental'!AE124-'Modelos normativos'!AP124</f>
        <v>#REF!</v>
      </c>
      <c r="L124" s="4" t="n">
        <f aca="false">0.0076*'Dataset experimental'!B124+'Avaliação do resultado ML'!M124+'Avaliação do resultado ML'!N124+(-0.0328)*(0.0171*'Dataset experimental'!AD124-0.9442)*'Avaliação do resultado ML'!O124-'Avaliação do resultado ML'!P124-0.0364</f>
        <v>0.066255004464649</v>
      </c>
      <c r="M124" s="12" t="n">
        <f aca="false">0.03283*SIN(0.7328*'Dataset experimental'!D124-1.8266)</f>
        <v>-0.0115958827834406</v>
      </c>
      <c r="N124" s="12" t="n">
        <f aca="false">0.0476*SIN(4.2067/(0.0095*'Dataset experimental'!P124-1.9338)^3)</f>
        <v>0.028702269662646</v>
      </c>
      <c r="O124" s="12" t="n">
        <f aca="false">0.0214*'Dataset experimental'!F124-3.1067*'Dataset experimental'!B124*'Dataset experimental'!P124*('Dataset experimental'!T124-'Dataset experimental'!R124)*(0.39*'Dataset experimental'!P124*'Dataset experimental'!T124/'Dataset experimental'!V124-'Dataset experimental'!Z124+3.12)/(100000*'Dataset experimental'!V124)+0.7995</f>
        <v>2.65602031546913</v>
      </c>
      <c r="P124" s="12" t="n">
        <f aca="false">0.4461*('Dataset experimental'!Z124-0.6*'Modelos normativos'!AB124)*(3.4*'Dataset experimental'!L124+0.17*'Dataset experimental'!B124/'Modelos normativos'!AC124)/200000</f>
        <v>0.0757367742687653</v>
      </c>
      <c r="Q124" s="4" t="e">
        <f aca="false">L124/H124</f>
        <v>#REF!</v>
      </c>
      <c r="R124" s="4" t="e">
        <f aca="false">(-0.042-0.014*'Com TS variável MC2020'!Q133)*('Modelos normativos'!AP124-ABS('Modelos Propostos'!K124)-'Dataset experimental'!W124+COS(S124))</f>
        <v>#REF!</v>
      </c>
      <c r="S124" s="4" t="e">
        <f aca="false">'Dataset experimental'!O124-('Modelos normativos'!AQ124-SIN(0.083/('Dataset experimental'!M124-'Dataset experimental'!O124))-'Modelos empíricos'!I124)/0.646</f>
        <v>#REF!</v>
      </c>
      <c r="W124" s="4" t="e">
        <f aca="false">'Modelos normativos'!S124+'Avaliação do resultado ML'!A124</f>
        <v>#REF!</v>
      </c>
      <c r="X124" s="4" t="e">
        <f aca="false">W124/'Dataset experimental'!$AF124</f>
        <v>#REF!</v>
      </c>
      <c r="AJ124" s="4" t="e">
        <f aca="false">'Modelos Propostos'!B124+H124</f>
        <v>#REF!</v>
      </c>
      <c r="AK124" s="4" t="e">
        <f aca="false">AJ124/'Dataset experimental'!$AF124</f>
        <v>#REF!</v>
      </c>
      <c r="AV124" s="4" t="e">
        <f aca="false">'Modelos normativos'!S124+F124</f>
        <v>#REF!</v>
      </c>
      <c r="AW124" s="4" t="e">
        <f aca="false">AV124/'Dataset experimental'!$AF124</f>
        <v>#REF!</v>
      </c>
      <c r="BH124" s="4" t="e">
        <f aca="false">'Modelos Propostos'!B124+R124</f>
        <v>#REF!</v>
      </c>
      <c r="BI124" s="4" t="e">
        <f aca="false">BH124/'Dataset experimental'!$AF124</f>
        <v>#REF!</v>
      </c>
      <c r="BT124" s="4" t="n">
        <f aca="false">'Modelos Propostos'!B124+L124</f>
        <v>0.273019717917202</v>
      </c>
      <c r="BU124" s="4" t="n">
        <f aca="false">BT124/'Dataset experimental'!$AF124</f>
        <v>0.975070421132865</v>
      </c>
    </row>
    <row r="125" customFormat="false" ht="14.25" hidden="false" customHeight="false" outlineLevel="0" collapsed="false">
      <c r="A125" s="4" t="e">
        <f aca="false">0.0894*ABS(D125)-0.01603*E125</f>
        <v>#REF!</v>
      </c>
      <c r="B125" s="12" t="e">
        <f aca="false">'Dataset experimental'!K125*COS('Dataset experimental'!AC125)-'Dataset experimental'!M125-'Dataset experimental'!C125</f>
        <v>#REF!</v>
      </c>
      <c r="C125" s="12" t="e">
        <f aca="false">('Dataset experimental'!AE125+SIN('Avaliação do resultado ML'!B125))*0.70674187</f>
        <v>#REF!</v>
      </c>
      <c r="D125" s="12" t="e">
        <f aca="false">'Modelos Propostos'!E125+'Avaliação do resultado ML'!C125-'Modelos normativos'!AQ125</f>
        <v>#REF!</v>
      </c>
      <c r="E125" s="12" t="n">
        <f aca="false">'Modelos empíricos'!I125+1.1854</f>
        <v>-0.174021165520489</v>
      </c>
      <c r="F125" s="4" t="e">
        <f aca="false">-0.01753*('Modelos normativos'!AN125-'Dataset experimental'!C125-ABS(G125)-('Modelos Propostos'!E125-'Modelos normativos'!AP125)/0.25291)</f>
        <v>#REF!</v>
      </c>
      <c r="G125" s="4" t="e">
        <f aca="false">'Dataset experimental'!K125+'Modelos empíricos'!K125^2+('Modelos Propostos'!E125-'Modelos normativos'!AQ125)*4.10553</f>
        <v>#REF!</v>
      </c>
      <c r="H125" s="4" t="e">
        <f aca="false">0.03283*(J125+K125)</f>
        <v>#REF!</v>
      </c>
      <c r="I125" s="4" t="e">
        <f aca="false">(1.61428/'Dataset experimental'!Q125)^3</f>
        <v>#REF!</v>
      </c>
      <c r="J125" s="4" t="e">
        <f aca="false">SIN('Dataset experimental'!E125)+1.450178*(SIN('Avaliação do resultado ML'!I125)+'Dataset experimental'!C125)</f>
        <v>#REF!</v>
      </c>
      <c r="K125" s="4" t="e">
        <f aca="false">('Modelos empíricos'!C125-'Dataset experimental'!G125)*'Dataset experimental'!AE125-'Modelos normativos'!AP125</f>
        <v>#REF!</v>
      </c>
      <c r="L125" s="4" t="n">
        <f aca="false">0.0076*'Dataset experimental'!B125+'Avaliação do resultado ML'!M125+'Avaliação do resultado ML'!N125+(-0.0328)*(0.0171*'Dataset experimental'!AD125-0.9442)*'Avaliação do resultado ML'!O125-'Avaliação do resultado ML'!P125-0.0364</f>
        <v>0.103779498760345</v>
      </c>
      <c r="M125" s="12" t="n">
        <f aca="false">0.03283*SIN(0.7328*'Dataset experimental'!D125-1.8266)</f>
        <v>0.0119269103214528</v>
      </c>
      <c r="N125" s="12" t="n">
        <f aca="false">0.0476*SIN(4.2067/(0.0095*'Dataset experimental'!P125-1.9338)^3)</f>
        <v>0.028702269662646</v>
      </c>
      <c r="O125" s="12" t="n">
        <f aca="false">0.0214*'Dataset experimental'!F125-3.1067*'Dataset experimental'!B125*'Dataset experimental'!P125*('Dataset experimental'!T125-'Dataset experimental'!R125)*(0.39*'Dataset experimental'!P125*'Dataset experimental'!T125/'Dataset experimental'!V125-'Dataset experimental'!Z125+3.12)/(100000*'Dataset experimental'!V125)+0.7995</f>
        <v>1.81821701145022</v>
      </c>
      <c r="P125" s="12" t="n">
        <f aca="false">0.4461*('Dataset experimental'!Z125-0.6*'Modelos normativos'!AB125)*(3.4*'Dataset experimental'!L125+0.17*'Dataset experimental'!B125/'Modelos normativos'!AC125)/200000</f>
        <v>0.0396276469724713</v>
      </c>
      <c r="Q125" s="4" t="e">
        <f aca="false">L125/H125</f>
        <v>#REF!</v>
      </c>
      <c r="R125" s="4" t="e">
        <f aca="false">(-0.042-0.014*'Com TS variável MC2020'!Q134)*('Modelos normativos'!AP125-ABS('Modelos Propostos'!K125)-'Dataset experimental'!W125+COS(S125))</f>
        <v>#REF!</v>
      </c>
      <c r="S125" s="4" t="e">
        <f aca="false">'Dataset experimental'!O125-('Modelos normativos'!AQ125-SIN(0.083/('Dataset experimental'!M125-'Dataset experimental'!O125))-'Modelos empíricos'!I125)/0.646</f>
        <v>#REF!</v>
      </c>
      <c r="W125" s="4" t="e">
        <f aca="false">'Modelos normativos'!S125+'Avaliação do resultado ML'!A125</f>
        <v>#REF!</v>
      </c>
      <c r="X125" s="4" t="e">
        <f aca="false">W125/'Dataset experimental'!$AF125</f>
        <v>#REF!</v>
      </c>
      <c r="AJ125" s="4" t="e">
        <f aca="false">'Modelos Propostos'!B125+H125</f>
        <v>#REF!</v>
      </c>
      <c r="AK125" s="4" t="e">
        <f aca="false">AJ125/'Dataset experimental'!$AF125</f>
        <v>#REF!</v>
      </c>
      <c r="AV125" s="4" t="e">
        <f aca="false">'Modelos normativos'!S125+F125</f>
        <v>#REF!</v>
      </c>
      <c r="AW125" s="4" t="e">
        <f aca="false">AV125/'Dataset experimental'!$AF125</f>
        <v>#REF!</v>
      </c>
      <c r="BH125" s="4" t="e">
        <f aca="false">'Modelos Propostos'!B125+R125</f>
        <v>#REF!</v>
      </c>
      <c r="BI125" s="4" t="e">
        <f aca="false">BH125/'Dataset experimental'!$AF125</f>
        <v>#REF!</v>
      </c>
      <c r="BT125" s="4" t="n">
        <f aca="false">'Modelos Propostos'!B125+L125</f>
        <v>0.198430120221625</v>
      </c>
      <c r="BU125" s="4" t="n">
        <f aca="false">BT125/'Dataset experimental'!$AF125</f>
        <v>1.10238955678681</v>
      </c>
    </row>
    <row r="126" customFormat="false" ht="14.25" hidden="false" customHeight="false" outlineLevel="0" collapsed="false">
      <c r="A126" s="4" t="e">
        <f aca="false">0.0894*ABS(D126)-0.01603*E126</f>
        <v>#REF!</v>
      </c>
      <c r="B126" s="12" t="e">
        <f aca="false">'Dataset experimental'!K126*COS('Dataset experimental'!AC126)-'Dataset experimental'!M126-'Dataset experimental'!C126</f>
        <v>#REF!</v>
      </c>
      <c r="C126" s="12" t="e">
        <f aca="false">('Dataset experimental'!AE126+SIN('Avaliação do resultado ML'!B126))*0.70674187</f>
        <v>#REF!</v>
      </c>
      <c r="D126" s="12" t="e">
        <f aca="false">'Modelos Propostos'!E126+'Avaliação do resultado ML'!C126-'Modelos normativos'!AQ126</f>
        <v>#REF!</v>
      </c>
      <c r="E126" s="12" t="n">
        <f aca="false">'Modelos empíricos'!I126+1.1854</f>
        <v>0.270688150011621</v>
      </c>
      <c r="F126" s="4" t="e">
        <f aca="false">-0.01753*('Modelos normativos'!AN126-'Dataset experimental'!C126-ABS(G126)-('Modelos Propostos'!E126-'Modelos normativos'!AP126)/0.25291)</f>
        <v>#REF!</v>
      </c>
      <c r="G126" s="4" t="e">
        <f aca="false">'Dataset experimental'!K126+'Modelos empíricos'!K126^2+('Modelos Propostos'!E126-'Modelos normativos'!AQ126)*4.10553</f>
        <v>#REF!</v>
      </c>
      <c r="H126" s="4" t="e">
        <f aca="false">0.03283*(J126+K126)</f>
        <v>#REF!</v>
      </c>
      <c r="I126" s="4" t="e">
        <f aca="false">(1.61428/'Dataset experimental'!Q126)^3</f>
        <v>#REF!</v>
      </c>
      <c r="J126" s="4" t="e">
        <f aca="false">SIN('Dataset experimental'!E126)+1.450178*(SIN('Avaliação do resultado ML'!I126)+'Dataset experimental'!C126)</f>
        <v>#REF!</v>
      </c>
      <c r="K126" s="4" t="e">
        <f aca="false">('Modelos empíricos'!C126-'Dataset experimental'!G126)*'Dataset experimental'!AE126-'Modelos normativos'!AP126</f>
        <v>#REF!</v>
      </c>
      <c r="L126" s="4" t="n">
        <f aca="false">0.0076*'Dataset experimental'!B126+'Avaliação do resultado ML'!M126+'Avaliação do resultado ML'!N126+(-0.0328)*(0.0171*'Dataset experimental'!AD126-0.9442)*'Avaliação do resultado ML'!O126-'Avaliação do resultado ML'!P126-0.0364</f>
        <v>0.0671797679208212</v>
      </c>
      <c r="M126" s="12" t="n">
        <f aca="false">0.03283*SIN(0.7328*'Dataset experimental'!D126-1.8266)</f>
        <v>0.0119269103214528</v>
      </c>
      <c r="N126" s="12" t="n">
        <f aca="false">0.0476*SIN(4.2067/(0.0095*'Dataset experimental'!P126-1.9338)^3)</f>
        <v>0.028702269662646</v>
      </c>
      <c r="O126" s="12" t="n">
        <f aca="false">0.0214*'Dataset experimental'!F126-3.1067*'Dataset experimental'!B126*'Dataset experimental'!P126*('Dataset experimental'!T126-'Dataset experimental'!R126)*(0.39*'Dataset experimental'!P126*'Dataset experimental'!T126/'Dataset experimental'!V126-'Dataset experimental'!Z126+3.12)/(100000*'Dataset experimental'!V126)+0.7995</f>
        <v>1.19175801297301</v>
      </c>
      <c r="P126" s="12" t="n">
        <f aca="false">0.4461*('Dataset experimental'!Z126-0.6*'Modelos normativos'!AB126)*(3.4*'Dataset experimental'!L126+0.17*'Dataset experimental'!B126/'Modelos normativos'!AC126)/200000</f>
        <v>0.0585270140187108</v>
      </c>
      <c r="Q126" s="4" t="e">
        <f aca="false">L126/H126</f>
        <v>#REF!</v>
      </c>
      <c r="R126" s="4" t="e">
        <f aca="false">(-0.042-0.014*'Com TS variável MC2020'!Q135)*('Modelos normativos'!AP126-ABS('Modelos Propostos'!K126)-'Dataset experimental'!W126+COS(S126))</f>
        <v>#REF!</v>
      </c>
      <c r="S126" s="4" t="e">
        <f aca="false">'Dataset experimental'!O126-('Modelos normativos'!AQ126-SIN(0.083/('Dataset experimental'!M126-'Dataset experimental'!O126))-'Modelos empíricos'!I126)/0.646</f>
        <v>#REF!</v>
      </c>
      <c r="W126" s="4" t="e">
        <f aca="false">'Modelos normativos'!S126+'Avaliação do resultado ML'!A126</f>
        <v>#REF!</v>
      </c>
      <c r="X126" s="4" t="e">
        <f aca="false">W126/'Dataset experimental'!$AF126</f>
        <v>#REF!</v>
      </c>
      <c r="AJ126" s="4" t="e">
        <f aca="false">'Modelos Propostos'!B126+H126</f>
        <v>#REF!</v>
      </c>
      <c r="AK126" s="4" t="e">
        <f aca="false">AJ126/'Dataset experimental'!$AF126</f>
        <v>#REF!</v>
      </c>
      <c r="AV126" s="4" t="e">
        <f aca="false">'Modelos normativos'!S126+F126</f>
        <v>#REF!</v>
      </c>
      <c r="AW126" s="4" t="e">
        <f aca="false">AV126/'Dataset experimental'!$AF126</f>
        <v>#REF!</v>
      </c>
      <c r="BH126" s="4" t="e">
        <f aca="false">'Modelos Propostos'!B126+R126</f>
        <v>#REF!</v>
      </c>
      <c r="BI126" s="4" t="e">
        <f aca="false">BH126/'Dataset experimental'!$AF126</f>
        <v>#REF!</v>
      </c>
      <c r="BT126" s="4" t="n">
        <f aca="false">'Modelos Propostos'!B126+L126</f>
        <v>0.206721047488983</v>
      </c>
      <c r="BU126" s="4" t="n">
        <f aca="false">BT126/'Dataset experimental'!$AF126</f>
        <v>0.89878716299558</v>
      </c>
    </row>
    <row r="127" customFormat="false" ht="14.25" hidden="false" customHeight="false" outlineLevel="0" collapsed="false">
      <c r="A127" s="4" t="e">
        <f aca="false">0.0894*ABS(D127)-0.01603*E127</f>
        <v>#REF!</v>
      </c>
      <c r="B127" s="12" t="e">
        <f aca="false">'Dataset experimental'!K127*COS('Dataset experimental'!AC127)-'Dataset experimental'!M127-'Dataset experimental'!C127</f>
        <v>#REF!</v>
      </c>
      <c r="C127" s="12" t="e">
        <f aca="false">('Dataset experimental'!AE127+SIN('Avaliação do resultado ML'!B127))*0.70674187</f>
        <v>#REF!</v>
      </c>
      <c r="D127" s="12" t="e">
        <f aca="false">'Modelos Propostos'!E127+'Avaliação do resultado ML'!C127-'Modelos normativos'!AQ127</f>
        <v>#REF!</v>
      </c>
      <c r="E127" s="12" t="n">
        <f aca="false">'Modelos empíricos'!I127+1.1854</f>
        <v>0.715397465543729</v>
      </c>
      <c r="F127" s="4" t="e">
        <f aca="false">-0.01753*('Modelos normativos'!AN127-'Dataset experimental'!C127-ABS(G127)-('Modelos Propostos'!E127-'Modelos normativos'!AP127)/0.25291)</f>
        <v>#REF!</v>
      </c>
      <c r="G127" s="4" t="e">
        <f aca="false">'Dataset experimental'!K127+'Modelos empíricos'!K127^2+('Modelos Propostos'!E127-'Modelos normativos'!AQ127)*4.10553</f>
        <v>#REF!</v>
      </c>
      <c r="H127" s="4" t="e">
        <f aca="false">0.03283*(J127+K127)</f>
        <v>#REF!</v>
      </c>
      <c r="I127" s="4" t="e">
        <f aca="false">(1.61428/'Dataset experimental'!Q127)^3</f>
        <v>#REF!</v>
      </c>
      <c r="J127" s="4" t="e">
        <f aca="false">SIN('Dataset experimental'!E127)+1.450178*(SIN('Avaliação do resultado ML'!I127)+'Dataset experimental'!C127)</f>
        <v>#REF!</v>
      </c>
      <c r="K127" s="4" t="e">
        <f aca="false">('Modelos empíricos'!C127-'Dataset experimental'!G127)*'Dataset experimental'!AE127-'Modelos normativos'!AP127</f>
        <v>#REF!</v>
      </c>
      <c r="L127" s="4" t="n">
        <f aca="false">0.0076*'Dataset experimental'!B127+'Avaliação do resultado ML'!M127+'Avaliação do resultado ML'!N127+(-0.0328)*(0.0171*'Dataset experimental'!AD127-0.9442)*'Avaliação do resultado ML'!O127-'Avaliação do resultado ML'!P127-0.0364</f>
        <v>0.0318098262120276</v>
      </c>
      <c r="M127" s="12" t="n">
        <f aca="false">0.03283*SIN(0.7328*'Dataset experimental'!D127-1.8266)</f>
        <v>0.0119269103214528</v>
      </c>
      <c r="N127" s="12" t="n">
        <f aca="false">0.0476*SIN(4.2067/(0.0095*'Dataset experimental'!P127-1.9338)^3)</f>
        <v>0.028702269662646</v>
      </c>
      <c r="O127" s="12" t="n">
        <f aca="false">0.0214*'Dataset experimental'!F127-3.1067*'Dataset experimental'!B127*'Dataset experimental'!P127*('Dataset experimental'!T127-'Dataset experimental'!R127)*(0.39*'Dataset experimental'!P127*'Dataset experimental'!T127/'Dataset experimental'!V127-'Dataset experimental'!Z127+3.12)/(100000*'Dataset experimental'!V127)+0.7995</f>
        <v>0.565299014495796</v>
      </c>
      <c r="P127" s="12" t="n">
        <f aca="false">0.4461*('Dataset experimental'!Z127-0.6*'Modelos normativos'!AB127)*(3.4*'Dataset experimental'!L127+0.17*'Dataset experimental'!B127/'Modelos normativos'!AC127)/200000</f>
        <v>0.0774263810649503</v>
      </c>
      <c r="Q127" s="4" t="e">
        <f aca="false">L127/H127</f>
        <v>#REF!</v>
      </c>
      <c r="R127" s="4" t="e">
        <f aca="false">(-0.042-0.014*'Com TS variável MC2020'!Q136)*('Modelos normativos'!AP127-ABS('Modelos Propostos'!K127)-'Dataset experimental'!W127+COS(S127))</f>
        <v>#REF!</v>
      </c>
      <c r="S127" s="4" t="e">
        <f aca="false">'Dataset experimental'!O127-('Modelos normativos'!AQ127-SIN(0.083/('Dataset experimental'!M127-'Dataset experimental'!O127))-'Modelos empíricos'!I127)/0.646</f>
        <v>#REF!</v>
      </c>
      <c r="W127" s="4" t="e">
        <f aca="false">'Modelos normativos'!S127+'Avaliação do resultado ML'!A127</f>
        <v>#REF!</v>
      </c>
      <c r="X127" s="4" t="e">
        <f aca="false">W127/'Dataset experimental'!$AF127</f>
        <v>#REF!</v>
      </c>
      <c r="AJ127" s="4" t="e">
        <f aca="false">'Modelos Propostos'!B127+H127</f>
        <v>#REF!</v>
      </c>
      <c r="AK127" s="4" t="e">
        <f aca="false">AJ127/'Dataset experimental'!$AF127</f>
        <v>#REF!</v>
      </c>
      <c r="AV127" s="4" t="e">
        <f aca="false">'Modelos normativos'!S127+F127</f>
        <v>#REF!</v>
      </c>
      <c r="AW127" s="4" t="e">
        <f aca="false">AV127/'Dataset experimental'!$AF127</f>
        <v>#REF!</v>
      </c>
      <c r="BH127" s="4" t="e">
        <f aca="false">'Modelos Propostos'!B127+R127</f>
        <v>#REF!</v>
      </c>
      <c r="BI127" s="4" t="e">
        <f aca="false">BH127/'Dataset experimental'!$AF127</f>
        <v>#REF!</v>
      </c>
      <c r="BT127" s="4" t="n">
        <f aca="false">'Modelos Propostos'!B127+L127</f>
        <v>0.224927076400841</v>
      </c>
      <c r="BU127" s="4" t="n">
        <f aca="false">BT127/'Dataset experimental'!$AF127</f>
        <v>0.899708305603366</v>
      </c>
    </row>
    <row r="128" customFormat="false" ht="14.25" hidden="false" customHeight="false" outlineLevel="0" collapsed="false">
      <c r="A128" s="4" t="e">
        <f aca="false">0.0894*ABS(D128)-0.01603*E128</f>
        <v>#REF!</v>
      </c>
      <c r="B128" s="12" t="e">
        <f aca="false">'Dataset experimental'!K128*COS('Dataset experimental'!AC128)-'Dataset experimental'!M128-'Dataset experimental'!C128</f>
        <v>#REF!</v>
      </c>
      <c r="C128" s="12" t="e">
        <f aca="false">('Dataset experimental'!AE128+SIN('Avaliação do resultado ML'!B128))*0.70674187</f>
        <v>#REF!</v>
      </c>
      <c r="D128" s="12" t="e">
        <f aca="false">'Modelos Propostos'!E128+'Avaliação do resultado ML'!C128-'Modelos normativos'!AQ128</f>
        <v>#REF!</v>
      </c>
      <c r="E128" s="12" t="n">
        <f aca="false">'Modelos empíricos'!I128+1.1854</f>
        <v>-0.174021165520489</v>
      </c>
      <c r="F128" s="4" t="e">
        <f aca="false">-0.01753*('Modelos normativos'!AN128-'Dataset experimental'!C128-ABS(G128)-('Modelos Propostos'!E128-'Modelos normativos'!AP128)/0.25291)</f>
        <v>#REF!</v>
      </c>
      <c r="G128" s="4" t="e">
        <f aca="false">'Dataset experimental'!K128+'Modelos empíricos'!K128^2+('Modelos Propostos'!E128-'Modelos normativos'!AQ128)*4.10553</f>
        <v>#REF!</v>
      </c>
      <c r="H128" s="4" t="e">
        <f aca="false">0.03283*(J128+K128)</f>
        <v>#REF!</v>
      </c>
      <c r="I128" s="4" t="e">
        <f aca="false">(1.61428/'Dataset experimental'!Q128)^3</f>
        <v>#REF!</v>
      </c>
      <c r="J128" s="4" t="e">
        <f aca="false">SIN('Dataset experimental'!E128)+1.450178*(SIN('Avaliação do resultado ML'!I128)+'Dataset experimental'!C128)</f>
        <v>#REF!</v>
      </c>
      <c r="K128" s="4" t="e">
        <f aca="false">('Modelos empíricos'!C128-'Dataset experimental'!G128)*'Dataset experimental'!AE128-'Modelos normativos'!AP128</f>
        <v>#REF!</v>
      </c>
      <c r="L128" s="4" t="n">
        <f aca="false">0.0076*'Dataset experimental'!B128+'Avaliação do resultado ML'!M128+'Avaliação do resultado ML'!N128+(-0.0328)*(0.0171*'Dataset experimental'!AD128-0.9442)*'Avaliação do resultado ML'!O128-'Avaliação do resultado ML'!P128-0.0364</f>
        <v>0.103779498760345</v>
      </c>
      <c r="M128" s="12" t="n">
        <f aca="false">0.03283*SIN(0.7328*'Dataset experimental'!D128-1.8266)</f>
        <v>0.0119269103214528</v>
      </c>
      <c r="N128" s="12" t="n">
        <f aca="false">0.0476*SIN(4.2067/(0.0095*'Dataset experimental'!P128-1.9338)^3)</f>
        <v>0.028702269662646</v>
      </c>
      <c r="O128" s="12" t="n">
        <f aca="false">0.0214*'Dataset experimental'!F128-3.1067*'Dataset experimental'!B128*'Dataset experimental'!P128*('Dataset experimental'!T128-'Dataset experimental'!R128)*(0.39*'Dataset experimental'!P128*'Dataset experimental'!T128/'Dataset experimental'!V128-'Dataset experimental'!Z128+3.12)/(100000*'Dataset experimental'!V128)+0.7995</f>
        <v>1.81821701145022</v>
      </c>
      <c r="P128" s="12" t="n">
        <f aca="false">0.4461*('Dataset experimental'!Z128-0.6*'Modelos normativos'!AB128)*(3.4*'Dataset experimental'!L128+0.17*'Dataset experimental'!B128/'Modelos normativos'!AC128)/200000</f>
        <v>0.0396276469724713</v>
      </c>
      <c r="Q128" s="4" t="e">
        <f aca="false">L128/H128</f>
        <v>#REF!</v>
      </c>
      <c r="R128" s="4" t="e">
        <f aca="false">(-0.042-0.014*'Com TS variável MC2020'!Q137)*('Modelos normativos'!AP128-ABS('Modelos Propostos'!K128)-'Dataset experimental'!W128+COS(S128))</f>
        <v>#REF!</v>
      </c>
      <c r="S128" s="4" t="e">
        <f aca="false">'Dataset experimental'!O128-('Modelos normativos'!AQ128-SIN(0.083/('Dataset experimental'!M128-'Dataset experimental'!O128))-'Modelos empíricos'!I128)/0.646</f>
        <v>#REF!</v>
      </c>
      <c r="W128" s="4" t="e">
        <f aca="false">'Modelos normativos'!S128+'Avaliação do resultado ML'!A128</f>
        <v>#REF!</v>
      </c>
      <c r="X128" s="4" t="e">
        <f aca="false">W128/'Dataset experimental'!$AF128</f>
        <v>#REF!</v>
      </c>
      <c r="AJ128" s="4" t="e">
        <f aca="false">'Modelos Propostos'!B128+H128</f>
        <v>#REF!</v>
      </c>
      <c r="AK128" s="4" t="e">
        <f aca="false">AJ128/'Dataset experimental'!$AF128</f>
        <v>#REF!</v>
      </c>
      <c r="AV128" s="4" t="e">
        <f aca="false">'Modelos normativos'!S128+F128</f>
        <v>#REF!</v>
      </c>
      <c r="AW128" s="4" t="e">
        <f aca="false">AV128/'Dataset experimental'!$AF128</f>
        <v>#REF!</v>
      </c>
      <c r="BH128" s="4" t="e">
        <f aca="false">'Modelos Propostos'!B128+R128</f>
        <v>#REF!</v>
      </c>
      <c r="BI128" s="4" t="e">
        <f aca="false">BH128/'Dataset experimental'!$AF128</f>
        <v>#REF!</v>
      </c>
      <c r="BT128" s="4" t="n">
        <f aca="false">'Modelos Propostos'!B128+L128</f>
        <v>0.198430120221625</v>
      </c>
      <c r="BU128" s="4" t="n">
        <f aca="false">BT128/'Dataset experimental'!$AF128</f>
        <v>1.10238955678681</v>
      </c>
    </row>
    <row r="129" customFormat="false" ht="14.25" hidden="false" customHeight="false" outlineLevel="0" collapsed="false">
      <c r="A129" s="4" t="e">
        <f aca="false">0.0894*ABS(D129)-0.01603*E129</f>
        <v>#REF!</v>
      </c>
      <c r="B129" s="12" t="e">
        <f aca="false">'Dataset experimental'!K129*COS('Dataset experimental'!AC129)-'Dataset experimental'!M129-'Dataset experimental'!C129</f>
        <v>#REF!</v>
      </c>
      <c r="C129" s="12" t="e">
        <f aca="false">('Dataset experimental'!AE129+SIN('Avaliação do resultado ML'!B129))*0.70674187</f>
        <v>#REF!</v>
      </c>
      <c r="D129" s="12" t="e">
        <f aca="false">'Modelos Propostos'!E129+'Avaliação do resultado ML'!C129-'Modelos normativos'!AQ129</f>
        <v>#REF!</v>
      </c>
      <c r="E129" s="12" t="n">
        <f aca="false">'Modelos empíricos'!I129+1.1854</f>
        <v>0.270688150011621</v>
      </c>
      <c r="F129" s="4" t="e">
        <f aca="false">-0.01753*('Modelos normativos'!AN129-'Dataset experimental'!C129-ABS(G129)-('Modelos Propostos'!E129-'Modelos normativos'!AP129)/0.25291)</f>
        <v>#REF!</v>
      </c>
      <c r="G129" s="4" t="e">
        <f aca="false">'Dataset experimental'!K129+'Modelos empíricos'!K129^2+('Modelos Propostos'!E129-'Modelos normativos'!AQ129)*4.10553</f>
        <v>#REF!</v>
      </c>
      <c r="H129" s="4" t="e">
        <f aca="false">0.03283*(J129+K129)</f>
        <v>#REF!</v>
      </c>
      <c r="I129" s="4" t="e">
        <f aca="false">(1.61428/'Dataset experimental'!Q129)^3</f>
        <v>#REF!</v>
      </c>
      <c r="J129" s="4" t="e">
        <f aca="false">SIN('Dataset experimental'!E129)+1.450178*(SIN('Avaliação do resultado ML'!I129)+'Dataset experimental'!C129)</f>
        <v>#REF!</v>
      </c>
      <c r="K129" s="4" t="e">
        <f aca="false">('Modelos empíricos'!C129-'Dataset experimental'!G129)*'Dataset experimental'!AE129-'Modelos normativos'!AP129</f>
        <v>#REF!</v>
      </c>
      <c r="L129" s="4" t="n">
        <f aca="false">0.0076*'Dataset experimental'!B129+'Avaliação do resultado ML'!M129+'Avaliação do resultado ML'!N129+(-0.0328)*(0.0171*'Dataset experimental'!AD129-0.9442)*'Avaliação do resultado ML'!O129-'Avaliação do resultado ML'!P129-0.0364</f>
        <v>0.0671797679208212</v>
      </c>
      <c r="M129" s="12" t="n">
        <f aca="false">0.03283*SIN(0.7328*'Dataset experimental'!D129-1.8266)</f>
        <v>0.0119269103214528</v>
      </c>
      <c r="N129" s="12" t="n">
        <f aca="false">0.0476*SIN(4.2067/(0.0095*'Dataset experimental'!P129-1.9338)^3)</f>
        <v>0.028702269662646</v>
      </c>
      <c r="O129" s="12" t="n">
        <f aca="false">0.0214*'Dataset experimental'!F129-3.1067*'Dataset experimental'!B129*'Dataset experimental'!P129*('Dataset experimental'!T129-'Dataset experimental'!R129)*(0.39*'Dataset experimental'!P129*'Dataset experimental'!T129/'Dataset experimental'!V129-'Dataset experimental'!Z129+3.12)/(100000*'Dataset experimental'!V129)+0.7995</f>
        <v>1.19175801297301</v>
      </c>
      <c r="P129" s="12" t="n">
        <f aca="false">0.4461*('Dataset experimental'!Z129-0.6*'Modelos normativos'!AB129)*(3.4*'Dataset experimental'!L129+0.17*'Dataset experimental'!B129/'Modelos normativos'!AC129)/200000</f>
        <v>0.0585270140187108</v>
      </c>
      <c r="Q129" s="4" t="e">
        <f aca="false">L129/H129</f>
        <v>#REF!</v>
      </c>
      <c r="R129" s="4" t="e">
        <f aca="false">(-0.042-0.014*'Com TS variável MC2020'!Q138)*('Modelos normativos'!AP129-ABS('Modelos Propostos'!K129)-'Dataset experimental'!W129+COS(S129))</f>
        <v>#REF!</v>
      </c>
      <c r="S129" s="4" t="e">
        <f aca="false">'Dataset experimental'!O129-('Modelos normativos'!AQ129-SIN(0.083/('Dataset experimental'!M129-'Dataset experimental'!O129))-'Modelos empíricos'!I129)/0.646</f>
        <v>#REF!</v>
      </c>
      <c r="W129" s="4" t="e">
        <f aca="false">'Modelos normativos'!S129+'Avaliação do resultado ML'!A129</f>
        <v>#REF!</v>
      </c>
      <c r="X129" s="4" t="e">
        <f aca="false">W129/'Dataset experimental'!$AF129</f>
        <v>#REF!</v>
      </c>
      <c r="AJ129" s="4" t="e">
        <f aca="false">'Modelos Propostos'!B129+H129</f>
        <v>#REF!</v>
      </c>
      <c r="AK129" s="4" t="e">
        <f aca="false">AJ129/'Dataset experimental'!$AF129</f>
        <v>#REF!</v>
      </c>
      <c r="AV129" s="4" t="e">
        <f aca="false">'Modelos normativos'!S129+F129</f>
        <v>#REF!</v>
      </c>
      <c r="AW129" s="4" t="e">
        <f aca="false">AV129/'Dataset experimental'!$AF129</f>
        <v>#REF!</v>
      </c>
      <c r="BH129" s="4" t="e">
        <f aca="false">'Modelos Propostos'!B129+R129</f>
        <v>#REF!</v>
      </c>
      <c r="BI129" s="4" t="e">
        <f aca="false">BH129/'Dataset experimental'!$AF129</f>
        <v>#REF!</v>
      </c>
      <c r="BT129" s="4" t="n">
        <f aca="false">'Modelos Propostos'!B129+L129</f>
        <v>0.206721047488983</v>
      </c>
      <c r="BU129" s="4" t="n">
        <f aca="false">BT129/'Dataset experimental'!$AF129</f>
        <v>0.89878716299558</v>
      </c>
    </row>
    <row r="130" customFormat="false" ht="14.25" hidden="false" customHeight="false" outlineLevel="0" collapsed="false">
      <c r="A130" s="4" t="e">
        <f aca="false">0.0894*ABS(D130)-0.01603*E130</f>
        <v>#REF!</v>
      </c>
      <c r="B130" s="12" t="e">
        <f aca="false">'Dataset experimental'!K130*COS('Dataset experimental'!AC130)-'Dataset experimental'!M130-'Dataset experimental'!C130</f>
        <v>#REF!</v>
      </c>
      <c r="C130" s="12" t="e">
        <f aca="false">('Dataset experimental'!AE130+SIN('Avaliação do resultado ML'!B130))*0.70674187</f>
        <v>#REF!</v>
      </c>
      <c r="D130" s="12" t="e">
        <f aca="false">'Modelos Propostos'!E130+'Avaliação do resultado ML'!C130-'Modelos normativos'!AQ130</f>
        <v>#REF!</v>
      </c>
      <c r="E130" s="12" t="n">
        <f aca="false">'Modelos empíricos'!I130+1.1854</f>
        <v>0.715397465543729</v>
      </c>
      <c r="F130" s="4" t="e">
        <f aca="false">-0.01753*('Modelos normativos'!AN130-'Dataset experimental'!C130-ABS(G130)-('Modelos Propostos'!E130-'Modelos normativos'!AP130)/0.25291)</f>
        <v>#REF!</v>
      </c>
      <c r="G130" s="4" t="e">
        <f aca="false">'Dataset experimental'!K130+'Modelos empíricos'!K130^2+('Modelos Propostos'!E130-'Modelos normativos'!AQ130)*4.10553</f>
        <v>#REF!</v>
      </c>
      <c r="H130" s="4" t="e">
        <f aca="false">0.03283*(J130+K130)</f>
        <v>#REF!</v>
      </c>
      <c r="I130" s="4" t="e">
        <f aca="false">(1.61428/'Dataset experimental'!Q130)^3</f>
        <v>#REF!</v>
      </c>
      <c r="J130" s="4" t="e">
        <f aca="false">SIN('Dataset experimental'!E130)+1.450178*(SIN('Avaliação do resultado ML'!I130)+'Dataset experimental'!C130)</f>
        <v>#REF!</v>
      </c>
      <c r="K130" s="4" t="e">
        <f aca="false">('Modelos empíricos'!C130-'Dataset experimental'!G130)*'Dataset experimental'!AE130-'Modelos normativos'!AP130</f>
        <v>#REF!</v>
      </c>
      <c r="L130" s="4" t="n">
        <f aca="false">0.0076*'Dataset experimental'!B130+'Avaliação do resultado ML'!M130+'Avaliação do resultado ML'!N130+(-0.0328)*(0.0171*'Dataset experimental'!AD130-0.9442)*'Avaliação do resultado ML'!O130-'Avaliação do resultado ML'!P130-0.0364</f>
        <v>0.0318098262120276</v>
      </c>
      <c r="M130" s="12" t="n">
        <f aca="false">0.03283*SIN(0.7328*'Dataset experimental'!D130-1.8266)</f>
        <v>0.0119269103214528</v>
      </c>
      <c r="N130" s="12" t="n">
        <f aca="false">0.0476*SIN(4.2067/(0.0095*'Dataset experimental'!P130-1.9338)^3)</f>
        <v>0.028702269662646</v>
      </c>
      <c r="O130" s="12" t="n">
        <f aca="false">0.0214*'Dataset experimental'!F130-3.1067*'Dataset experimental'!B130*'Dataset experimental'!P130*('Dataset experimental'!T130-'Dataset experimental'!R130)*(0.39*'Dataset experimental'!P130*'Dataset experimental'!T130/'Dataset experimental'!V130-'Dataset experimental'!Z130+3.12)/(100000*'Dataset experimental'!V130)+0.7995</f>
        <v>0.565299014495796</v>
      </c>
      <c r="P130" s="12" t="n">
        <f aca="false">0.4461*('Dataset experimental'!Z130-0.6*'Modelos normativos'!AB130)*(3.4*'Dataset experimental'!L130+0.17*'Dataset experimental'!B130/'Modelos normativos'!AC130)/200000</f>
        <v>0.0774263810649503</v>
      </c>
      <c r="Q130" s="4" t="e">
        <f aca="false">L130/H130</f>
        <v>#REF!</v>
      </c>
      <c r="R130" s="4" t="e">
        <f aca="false">(-0.042-0.014*'Com TS variável MC2020'!Q139)*('Modelos normativos'!AP130-ABS('Modelos Propostos'!K130)-'Dataset experimental'!W130+COS(S130))</f>
        <v>#REF!</v>
      </c>
      <c r="S130" s="4" t="e">
        <f aca="false">'Dataset experimental'!O130-('Modelos normativos'!AQ130-SIN(0.083/('Dataset experimental'!M130-'Dataset experimental'!O130))-'Modelos empíricos'!I130)/0.646</f>
        <v>#REF!</v>
      </c>
      <c r="W130" s="4" t="e">
        <f aca="false">'Modelos normativos'!S130+'Avaliação do resultado ML'!A130</f>
        <v>#REF!</v>
      </c>
      <c r="X130" s="4" t="e">
        <f aca="false">W130/'Dataset experimental'!$AF130</f>
        <v>#REF!</v>
      </c>
      <c r="AJ130" s="4" t="e">
        <f aca="false">'Modelos Propostos'!B130+H130</f>
        <v>#REF!</v>
      </c>
      <c r="AK130" s="4" t="e">
        <f aca="false">AJ130/'Dataset experimental'!$AF130</f>
        <v>#REF!</v>
      </c>
      <c r="AV130" s="4" t="e">
        <f aca="false">'Modelos normativos'!S130+F130</f>
        <v>#REF!</v>
      </c>
      <c r="AW130" s="4" t="e">
        <f aca="false">AV130/'Dataset experimental'!$AF130</f>
        <v>#REF!</v>
      </c>
      <c r="BH130" s="4" t="e">
        <f aca="false">'Modelos Propostos'!B130+R130</f>
        <v>#REF!</v>
      </c>
      <c r="BI130" s="4" t="e">
        <f aca="false">BH130/'Dataset experimental'!$AF130</f>
        <v>#REF!</v>
      </c>
      <c r="BT130" s="4" t="n">
        <f aca="false">'Modelos Propostos'!B130+L130</f>
        <v>0.224927076400841</v>
      </c>
      <c r="BU130" s="4" t="n">
        <f aca="false">BT130/'Dataset experimental'!$AF130</f>
        <v>0.899708305603366</v>
      </c>
    </row>
    <row r="131" customFormat="false" ht="14.25" hidden="false" customHeight="false" outlineLevel="0" collapsed="false">
      <c r="A131" s="4" t="e">
        <f aca="false">0.0894*ABS(D131)-0.01603*E131</f>
        <v>#REF!</v>
      </c>
      <c r="B131" s="12" t="e">
        <f aca="false">'Dataset experimental'!K131*COS('Dataset experimental'!AC131)-'Dataset experimental'!M131-'Dataset experimental'!C131</f>
        <v>#REF!</v>
      </c>
      <c r="C131" s="12" t="e">
        <f aca="false">('Dataset experimental'!AE131+SIN('Avaliação do resultado ML'!B131))*0.70674187</f>
        <v>#REF!</v>
      </c>
      <c r="D131" s="12" t="e">
        <f aca="false">'Modelos Propostos'!E131+'Avaliação do resultado ML'!C131-'Modelos normativos'!AQ131</f>
        <v>#REF!</v>
      </c>
      <c r="E131" s="12" t="n">
        <f aca="false">'Modelos empíricos'!I131+1.1854</f>
        <v>-0.309777562674226</v>
      </c>
      <c r="F131" s="4" t="e">
        <f aca="false">-0.01753*('Modelos normativos'!AN131-'Dataset experimental'!C131-ABS(G131)-('Modelos Propostos'!E131-'Modelos normativos'!AP131)/0.25291)</f>
        <v>#REF!</v>
      </c>
      <c r="G131" s="4" t="e">
        <f aca="false">'Dataset experimental'!K131+'Modelos empíricos'!K131^2+('Modelos Propostos'!E131-'Modelos normativos'!AQ131)*4.10553</f>
        <v>#REF!</v>
      </c>
      <c r="H131" s="4" t="e">
        <f aca="false">0.03283*(J131+K131)</f>
        <v>#REF!</v>
      </c>
      <c r="I131" s="4" t="e">
        <f aca="false">(1.61428/'Dataset experimental'!Q131)^3</f>
        <v>#REF!</v>
      </c>
      <c r="J131" s="4" t="e">
        <f aca="false">SIN('Dataset experimental'!E131)+1.450178*(SIN('Avaliação do resultado ML'!I131)+'Dataset experimental'!C131)</f>
        <v>#REF!</v>
      </c>
      <c r="K131" s="4" t="e">
        <f aca="false">('Modelos empíricos'!C131-'Dataset experimental'!G131)*'Dataset experimental'!AE131-'Modelos normativos'!AP131</f>
        <v>#REF!</v>
      </c>
      <c r="L131" s="4" t="n">
        <f aca="false">0.0076*'Dataset experimental'!B131+'Avaliação do resultado ML'!M131+'Avaliação do resultado ML'!N131+(-0.0328)*(0.0171*'Dataset experimental'!AD131-0.9442)*'Avaliação do resultado ML'!O131-'Avaliação do resultado ML'!P131-0.0364</f>
        <v>0.0844018779834845</v>
      </c>
      <c r="M131" s="12" t="n">
        <f aca="false">0.03283*SIN(0.7328*'Dataset experimental'!D131-1.8266)</f>
        <v>0.0293265290156355</v>
      </c>
      <c r="N131" s="12" t="n">
        <f aca="false">0.0476*SIN(4.2067/(0.0095*'Dataset experimental'!P131-1.9338)^3)</f>
        <v>0.028702269662646</v>
      </c>
      <c r="O131" s="12" t="n">
        <f aca="false">0.0214*'Dataset experimental'!F131-3.1067*'Dataset experimental'!B131*'Dataset experimental'!P131*('Dataset experimental'!T131-'Dataset experimental'!R131)*(0.39*'Dataset experimental'!P131*'Dataset experimental'!T131/'Dataset experimental'!V131-'Dataset experimental'!Z131+3.12)/(100000*'Dataset experimental'!V131)+0.7995</f>
        <v>0.877656194572151</v>
      </c>
      <c r="P131" s="12" t="n">
        <f aca="false">0.4461*('Dataset experimental'!Z131-0.6*'Modelos normativos'!AB131)*(3.4*'Dataset experimental'!L131+0.17*'Dataset experimental'!B131/'Modelos normativos'!AC131)/200000</f>
        <v>0.0498630504623861</v>
      </c>
      <c r="Q131" s="4" t="e">
        <f aca="false">L131/H131</f>
        <v>#REF!</v>
      </c>
      <c r="R131" s="4" t="e">
        <f aca="false">(-0.042-0.014*'Com TS variável MC2020'!Q140)*('Modelos normativos'!AP131-ABS('Modelos Propostos'!K131)-'Dataset experimental'!W131+COS(S131))</f>
        <v>#REF!</v>
      </c>
      <c r="S131" s="4" t="e">
        <f aca="false">'Dataset experimental'!O131-('Modelos normativos'!AQ131-SIN(0.083/('Dataset experimental'!M131-'Dataset experimental'!O131))-'Modelos empíricos'!I131)/0.646</f>
        <v>#REF!</v>
      </c>
      <c r="W131" s="4" t="e">
        <f aca="false">'Modelos normativos'!S131+'Avaliação do resultado ML'!A131</f>
        <v>#REF!</v>
      </c>
      <c r="X131" s="4" t="e">
        <f aca="false">W131/'Dataset experimental'!$AF131</f>
        <v>#REF!</v>
      </c>
      <c r="AJ131" s="4" t="e">
        <f aca="false">'Modelos Propostos'!B131+H131</f>
        <v>#REF!</v>
      </c>
      <c r="AK131" s="4" t="e">
        <f aca="false">AJ131/'Dataset experimental'!$AF131</f>
        <v>#REF!</v>
      </c>
      <c r="AV131" s="4" t="e">
        <f aca="false">'Modelos normativos'!S131+F131</f>
        <v>#REF!</v>
      </c>
      <c r="AW131" s="4" t="e">
        <f aca="false">AV131/'Dataset experimental'!$AF131</f>
        <v>#REF!</v>
      </c>
      <c r="BH131" s="4" t="e">
        <f aca="false">'Modelos Propostos'!B131+R131</f>
        <v>#REF!</v>
      </c>
      <c r="BI131" s="4" t="e">
        <f aca="false">BH131/'Dataset experimental'!$AF131</f>
        <v>#REF!</v>
      </c>
      <c r="BT131" s="4" t="n">
        <f aca="false">'Modelos Propostos'!B131+L131</f>
        <v>0.194499017733722</v>
      </c>
      <c r="BU131" s="4" t="n">
        <f aca="false">BT131/'Dataset experimental'!$AF131</f>
        <v>1.29666011822481</v>
      </c>
    </row>
    <row r="132" customFormat="false" ht="14.25" hidden="false" customHeight="false" outlineLevel="0" collapsed="false">
      <c r="A132" s="4" t="e">
        <f aca="false">0.0894*ABS(D132)-0.01603*E132</f>
        <v>#REF!</v>
      </c>
      <c r="B132" s="12" t="e">
        <f aca="false">'Dataset experimental'!K132*COS('Dataset experimental'!AC132)-'Dataset experimental'!M132-'Dataset experimental'!C132</f>
        <v>#REF!</v>
      </c>
      <c r="C132" s="12" t="e">
        <f aca="false">('Dataset experimental'!AE132+SIN('Avaliação do resultado ML'!B132))*0.70674187</f>
        <v>#REF!</v>
      </c>
      <c r="D132" s="12" t="e">
        <f aca="false">'Modelos Propostos'!E132+'Avaliação do resultado ML'!C132-'Modelos normativos'!AQ132</f>
        <v>#REF!</v>
      </c>
      <c r="E132" s="12" t="n">
        <f aca="false">'Modelos empíricos'!I132+1.1854</f>
        <v>-0.0288224191465836</v>
      </c>
      <c r="F132" s="4" t="e">
        <f aca="false">-0.01753*('Modelos normativos'!AN132-'Dataset experimental'!C132-ABS(G132)-('Modelos Propostos'!E132-'Modelos normativos'!AP132)/0.25291)</f>
        <v>#REF!</v>
      </c>
      <c r="G132" s="4" t="e">
        <f aca="false">'Dataset experimental'!K132+'Modelos empíricos'!K132^2+('Modelos Propostos'!E132-'Modelos normativos'!AQ132)*4.10553</f>
        <v>#REF!</v>
      </c>
      <c r="H132" s="4" t="e">
        <f aca="false">0.03283*(J132+K132)</f>
        <v>#REF!</v>
      </c>
      <c r="I132" s="4" t="e">
        <f aca="false">(1.61428/'Dataset experimental'!Q132)^3</f>
        <v>#REF!</v>
      </c>
      <c r="J132" s="4" t="e">
        <f aca="false">SIN('Dataset experimental'!E132)+1.450178*(SIN('Avaliação do resultado ML'!I132)+'Dataset experimental'!C132)</f>
        <v>#REF!</v>
      </c>
      <c r="K132" s="4" t="e">
        <f aca="false">('Modelos empíricos'!C132-'Dataset experimental'!G132)*'Dataset experimental'!AE132-'Modelos normativos'!AP132</f>
        <v>#REF!</v>
      </c>
      <c r="L132" s="4" t="n">
        <f aca="false">0.0076*'Dataset experimental'!B132+'Avaliação do resultado ML'!M132+'Avaliação do resultado ML'!N132+(-0.0328)*(0.0171*'Dataset experimental'!AD132-0.9442)*'Avaliação do resultado ML'!O132-'Avaliação do resultado ML'!P132-0.0364</f>
        <v>0.0630086933765622</v>
      </c>
      <c r="M132" s="12" t="n">
        <f aca="false">0.03283*SIN(0.7328*'Dataset experimental'!D132-1.8266)</f>
        <v>0.0293265290156355</v>
      </c>
      <c r="N132" s="12" t="n">
        <f aca="false">0.0476*SIN(4.2067/(0.0095*'Dataset experimental'!P132-1.9338)^3)</f>
        <v>0.028702269662646</v>
      </c>
      <c r="O132" s="12" t="n">
        <f aca="false">0.0214*'Dataset experimental'!F132-3.1067*'Dataset experimental'!B132*'Dataset experimental'!P132*('Dataset experimental'!T132-'Dataset experimental'!R132)*(0.39*'Dataset experimental'!P132*'Dataset experimental'!T132/'Dataset experimental'!V132-'Dataset experimental'!Z132+3.12)/(100000*'Dataset experimental'!V132)+0.7995</f>
        <v>0.52087721474555</v>
      </c>
      <c r="P132" s="12" t="n">
        <f aca="false">0.4461*('Dataset experimental'!Z132-0.6*'Modelos normativos'!AB132)*(3.4*'Dataset experimental'!L132+0.17*'Dataset experimental'!B132/'Modelos normativos'!AC132)/200000</f>
        <v>0.0620308998360465</v>
      </c>
      <c r="Q132" s="4" t="e">
        <f aca="false">L132/H132</f>
        <v>#REF!</v>
      </c>
      <c r="R132" s="4" t="e">
        <f aca="false">(-0.042-0.014*'Com TS variável MC2020'!Q141)*('Modelos normativos'!AP132-ABS('Modelos Propostos'!K132)-'Dataset experimental'!W132+COS(S132))</f>
        <v>#REF!</v>
      </c>
      <c r="S132" s="4" t="e">
        <f aca="false">'Dataset experimental'!O132-('Modelos normativos'!AQ132-SIN(0.083/('Dataset experimental'!M132-'Dataset experimental'!O132))-'Modelos empíricos'!I132)/0.646</f>
        <v>#REF!</v>
      </c>
      <c r="W132" s="4" t="e">
        <f aca="false">'Modelos normativos'!S132+'Avaliação do resultado ML'!A132</f>
        <v>#REF!</v>
      </c>
      <c r="X132" s="4" t="e">
        <f aca="false">W132/'Dataset experimental'!$AF132</f>
        <v>#REF!</v>
      </c>
      <c r="AJ132" s="4" t="e">
        <f aca="false">'Modelos Propostos'!B132+H132</f>
        <v>#REF!</v>
      </c>
      <c r="AK132" s="4" t="e">
        <f aca="false">AJ132/'Dataset experimental'!$AF132</f>
        <v>#REF!</v>
      </c>
      <c r="AV132" s="4" t="e">
        <f aca="false">'Modelos normativos'!S132+F132</f>
        <v>#REF!</v>
      </c>
      <c r="AW132" s="4" t="e">
        <f aca="false">AV132/'Dataset experimental'!$AF132</f>
        <v>#REF!</v>
      </c>
      <c r="BH132" s="4" t="e">
        <f aca="false">'Modelos Propostos'!B132+R132</f>
        <v>#REF!</v>
      </c>
      <c r="BI132" s="4" t="e">
        <f aca="false">BH132/'Dataset experimental'!$AF132</f>
        <v>#REF!</v>
      </c>
      <c r="BT132" s="4" t="n">
        <f aca="false">'Modelos Propostos'!B132+L132</f>
        <v>0.208601311565817</v>
      </c>
      <c r="BU132" s="4" t="n">
        <f aca="false">BT132/'Dataset experimental'!$AF132</f>
        <v>1.39067541043878</v>
      </c>
    </row>
    <row r="133" customFormat="false" ht="14.25" hidden="false" customHeight="false" outlineLevel="0" collapsed="false">
      <c r="A133" s="4" t="e">
        <f aca="false">0.0894*ABS(D133)-0.01603*E133</f>
        <v>#REF!</v>
      </c>
      <c r="B133" s="12" t="e">
        <f aca="false">'Dataset experimental'!K133*COS('Dataset experimental'!AC133)-'Dataset experimental'!M133-'Dataset experimental'!C133</f>
        <v>#REF!</v>
      </c>
      <c r="C133" s="12" t="e">
        <f aca="false">('Dataset experimental'!AE133+SIN('Avaliação do resultado ML'!B133))*0.70674187</f>
        <v>#REF!</v>
      </c>
      <c r="D133" s="12" t="e">
        <f aca="false">'Modelos Propostos'!E133+'Avaliação do resultado ML'!C133-'Modelos normativos'!AQ133</f>
        <v>#REF!</v>
      </c>
      <c r="E133" s="12" t="n">
        <f aca="false">'Modelos empíricos'!I133+1.1854</f>
        <v>0.252132724381059</v>
      </c>
      <c r="F133" s="4" t="e">
        <f aca="false">-0.01753*('Modelos normativos'!AN133-'Dataset experimental'!C133-ABS(G133)-('Modelos Propostos'!E133-'Modelos normativos'!AP133)/0.25291)</f>
        <v>#REF!</v>
      </c>
      <c r="G133" s="4" t="e">
        <f aca="false">'Dataset experimental'!K133+'Modelos empíricos'!K133^2+('Modelos Propostos'!E133-'Modelos normativos'!AQ133)*4.10553</f>
        <v>#REF!</v>
      </c>
      <c r="H133" s="4" t="e">
        <f aca="false">0.03283*(J133+K133)</f>
        <v>#REF!</v>
      </c>
      <c r="I133" s="4" t="e">
        <f aca="false">(1.61428/'Dataset experimental'!Q133)^3</f>
        <v>#REF!</v>
      </c>
      <c r="J133" s="4" t="e">
        <f aca="false">SIN('Dataset experimental'!E133)+1.450178*(SIN('Avaliação do resultado ML'!I133)+'Dataset experimental'!C133)</f>
        <v>#REF!</v>
      </c>
      <c r="K133" s="4" t="e">
        <f aca="false">('Modelos empíricos'!C133-'Dataset experimental'!G133)*'Dataset experimental'!AE133-'Modelos normativos'!AP133</f>
        <v>#REF!</v>
      </c>
      <c r="L133" s="4" t="n">
        <f aca="false">0.0076*'Dataset experimental'!B133+'Avaliação do resultado ML'!M133+'Avaliação do resultado ML'!N133+(-0.0328)*(0.0171*'Dataset experimental'!AD133-0.9442)*'Avaliação do resultado ML'!O133-'Avaliação do resultado ML'!P133-0.0364</f>
        <v>0.0423158944493578</v>
      </c>
      <c r="M133" s="12" t="n">
        <f aca="false">0.03283*SIN(0.7328*'Dataset experimental'!D133-1.8266)</f>
        <v>0.0293265290156355</v>
      </c>
      <c r="N133" s="12" t="n">
        <f aca="false">0.0476*SIN(4.2067/(0.0095*'Dataset experimental'!P133-1.9338)^3)</f>
        <v>0.028702269662646</v>
      </c>
      <c r="O133" s="12" t="n">
        <f aca="false">0.0214*'Dataset experimental'!F133-3.1067*'Dataset experimental'!B133*'Dataset experimental'!P133*('Dataset experimental'!T133-'Dataset experimental'!R133)*(0.39*'Dataset experimental'!P133*'Dataset experimental'!T133/'Dataset experimental'!V133-'Dataset experimental'!Z133+3.12)/(100000*'Dataset experimental'!V133)+0.7995</f>
        <v>0.164098234918949</v>
      </c>
      <c r="P133" s="12" t="n">
        <f aca="false">0.4461*('Dataset experimental'!Z133-0.6*'Modelos normativos'!AB133)*(3.4*'Dataset experimental'!L133+0.17*'Dataset experimental'!B133/'Modelos normativos'!AC133)/200000</f>
        <v>0.0741987492097068</v>
      </c>
      <c r="Q133" s="4" t="e">
        <f aca="false">L133/H133</f>
        <v>#REF!</v>
      </c>
      <c r="R133" s="4" t="e">
        <f aca="false">(-0.042-0.014*'Com TS variável MC2020'!Q142)*('Modelos normativos'!AP133-ABS('Modelos Propostos'!K133)-'Dataset experimental'!W133+COS(S133))</f>
        <v>#REF!</v>
      </c>
      <c r="S133" s="4" t="e">
        <f aca="false">'Dataset experimental'!O133-('Modelos normativos'!AQ133-SIN(0.083/('Dataset experimental'!M133-'Dataset experimental'!O133))-'Modelos empíricos'!I133)/0.646</f>
        <v>#REF!</v>
      </c>
      <c r="W133" s="4" t="e">
        <f aca="false">'Modelos normativos'!S133+'Avaliação do resultado ML'!A133</f>
        <v>#REF!</v>
      </c>
      <c r="X133" s="4" t="e">
        <f aca="false">W133/'Dataset experimental'!$AF133</f>
        <v>#REF!</v>
      </c>
      <c r="AJ133" s="4" t="e">
        <f aca="false">'Modelos Propostos'!B133+H133</f>
        <v>#REF!</v>
      </c>
      <c r="AK133" s="4" t="e">
        <f aca="false">AJ133/'Dataset experimental'!$AF133</f>
        <v>#REF!</v>
      </c>
      <c r="AV133" s="4" t="e">
        <f aca="false">'Modelos normativos'!S133+F133</f>
        <v>#REF!</v>
      </c>
      <c r="AW133" s="4" t="e">
        <f aca="false">AV133/'Dataset experimental'!$AF133</f>
        <v>#REF!</v>
      </c>
      <c r="BH133" s="4" t="e">
        <f aca="false">'Modelos Propostos'!B133+R133</f>
        <v>#REF!</v>
      </c>
      <c r="BI133" s="4" t="e">
        <f aca="false">BH133/'Dataset experimental'!$AF133</f>
        <v>#REF!</v>
      </c>
      <c r="BT133" s="4" t="n">
        <f aca="false">'Modelos Propostos'!B133+L133</f>
        <v>0.228355532509937</v>
      </c>
      <c r="BU133" s="4" t="n">
        <f aca="false">BT133/'Dataset experimental'!$AF133</f>
        <v>1.26864184727743</v>
      </c>
    </row>
    <row r="134" customFormat="false" ht="14.25" hidden="false" customHeight="false" outlineLevel="0" collapsed="false">
      <c r="A134" s="4" t="e">
        <f aca="false">0.0894*ABS(D134)-0.01603*E134</f>
        <v>#REF!</v>
      </c>
      <c r="B134" s="12" t="e">
        <f aca="false">'Dataset experimental'!K134*COS('Dataset experimental'!AC134)-'Dataset experimental'!M134-'Dataset experimental'!C134</f>
        <v>#REF!</v>
      </c>
      <c r="C134" s="12" t="e">
        <f aca="false">('Dataset experimental'!AE134+SIN('Avaliação do resultado ML'!B134))*0.70674187</f>
        <v>#REF!</v>
      </c>
      <c r="D134" s="12" t="e">
        <f aca="false">'Modelos Propostos'!E134+'Avaliação do resultado ML'!C134-'Modelos normativos'!AQ134</f>
        <v>#REF!</v>
      </c>
      <c r="E134" s="12" t="n">
        <f aca="false">'Modelos empíricos'!I134+1.1854</f>
        <v>-0.309777562674226</v>
      </c>
      <c r="F134" s="4" t="e">
        <f aca="false">-0.01753*('Modelos normativos'!AN134-'Dataset experimental'!C134-ABS(G134)-('Modelos Propostos'!E134-'Modelos normativos'!AP134)/0.25291)</f>
        <v>#REF!</v>
      </c>
      <c r="G134" s="4" t="e">
        <f aca="false">'Dataset experimental'!K134+'Modelos empíricos'!K134^2+('Modelos Propostos'!E134-'Modelos normativos'!AQ134)*4.10553</f>
        <v>#REF!</v>
      </c>
      <c r="H134" s="4" t="e">
        <f aca="false">0.03283*(J134+K134)</f>
        <v>#REF!</v>
      </c>
      <c r="I134" s="4" t="e">
        <f aca="false">(1.61428/'Dataset experimental'!Q134)^3</f>
        <v>#REF!</v>
      </c>
      <c r="J134" s="4" t="e">
        <f aca="false">SIN('Dataset experimental'!E134)+1.450178*(SIN('Avaliação do resultado ML'!I134)+'Dataset experimental'!C134)</f>
        <v>#REF!</v>
      </c>
      <c r="K134" s="4" t="e">
        <f aca="false">('Modelos empíricos'!C134-'Dataset experimental'!G134)*'Dataset experimental'!AE134-'Modelos normativos'!AP134</f>
        <v>#REF!</v>
      </c>
      <c r="L134" s="4" t="n">
        <f aca="false">0.0076*'Dataset experimental'!B134+'Avaliação do resultado ML'!M134+'Avaliação do resultado ML'!N134+(-0.0328)*(0.0171*'Dataset experimental'!AD134-0.9442)*'Avaliação do resultado ML'!O134-'Avaliação do resultado ML'!P134-0.0364</f>
        <v>0.0844018779834845</v>
      </c>
      <c r="M134" s="12" t="n">
        <f aca="false">0.03283*SIN(0.7328*'Dataset experimental'!D134-1.8266)</f>
        <v>0.0293265290156355</v>
      </c>
      <c r="N134" s="12" t="n">
        <f aca="false">0.0476*SIN(4.2067/(0.0095*'Dataset experimental'!P134-1.9338)^3)</f>
        <v>0.028702269662646</v>
      </c>
      <c r="O134" s="12" t="n">
        <f aca="false">0.0214*'Dataset experimental'!F134-3.1067*'Dataset experimental'!B134*'Dataset experimental'!P134*('Dataset experimental'!T134-'Dataset experimental'!R134)*(0.39*'Dataset experimental'!P134*'Dataset experimental'!T134/'Dataset experimental'!V134-'Dataset experimental'!Z134+3.12)/(100000*'Dataset experimental'!V134)+0.7995</f>
        <v>0.877656194572151</v>
      </c>
      <c r="P134" s="12" t="n">
        <f aca="false">0.4461*('Dataset experimental'!Z134-0.6*'Modelos normativos'!AB134)*(3.4*'Dataset experimental'!L134+0.17*'Dataset experimental'!B134/'Modelos normativos'!AC134)/200000</f>
        <v>0.0498630504623861</v>
      </c>
      <c r="Q134" s="4" t="e">
        <f aca="false">L134/H134</f>
        <v>#REF!</v>
      </c>
      <c r="R134" s="4" t="e">
        <f aca="false">(-0.042-0.014*'Com TS variável MC2020'!Q143)*('Modelos normativos'!AP134-ABS('Modelos Propostos'!K134)-'Dataset experimental'!W134+COS(S134))</f>
        <v>#REF!</v>
      </c>
      <c r="S134" s="4" t="e">
        <f aca="false">'Dataset experimental'!O134-('Modelos normativos'!AQ134-SIN(0.083/('Dataset experimental'!M134-'Dataset experimental'!O134))-'Modelos empíricos'!I134)/0.646</f>
        <v>#REF!</v>
      </c>
      <c r="W134" s="4" t="e">
        <f aca="false">'Modelos normativos'!S134+'Avaliação do resultado ML'!A134</f>
        <v>#REF!</v>
      </c>
      <c r="X134" s="4" t="e">
        <f aca="false">W134/'Dataset experimental'!$AF134</f>
        <v>#REF!</v>
      </c>
      <c r="AJ134" s="4" t="e">
        <f aca="false">'Modelos Propostos'!B134+H134</f>
        <v>#REF!</v>
      </c>
      <c r="AK134" s="4" t="e">
        <f aca="false">AJ134/'Dataset experimental'!$AF134</f>
        <v>#REF!</v>
      </c>
      <c r="AV134" s="4" t="e">
        <f aca="false">'Modelos normativos'!S134+F134</f>
        <v>#REF!</v>
      </c>
      <c r="AW134" s="4" t="e">
        <f aca="false">AV134/'Dataset experimental'!$AF134</f>
        <v>#REF!</v>
      </c>
      <c r="BH134" s="4" t="e">
        <f aca="false">'Modelos Propostos'!B134+R134</f>
        <v>#REF!</v>
      </c>
      <c r="BI134" s="4" t="e">
        <f aca="false">BH134/'Dataset experimental'!$AF134</f>
        <v>#REF!</v>
      </c>
      <c r="BT134" s="4" t="n">
        <f aca="false">'Modelos Propostos'!B134+L134</f>
        <v>0.194499017733722</v>
      </c>
      <c r="BU134" s="4" t="n">
        <f aca="false">BT134/'Dataset experimental'!$AF134</f>
        <v>1.08055009852068</v>
      </c>
    </row>
    <row r="135" customFormat="false" ht="14.25" hidden="false" customHeight="false" outlineLevel="0" collapsed="false">
      <c r="A135" s="4" t="e">
        <f aca="false">0.0894*ABS(D135)-0.01603*E135</f>
        <v>#REF!</v>
      </c>
      <c r="B135" s="12" t="e">
        <f aca="false">'Dataset experimental'!K135*COS('Dataset experimental'!AC135)-'Dataset experimental'!M135-'Dataset experimental'!C135</f>
        <v>#REF!</v>
      </c>
      <c r="C135" s="12" t="e">
        <f aca="false">('Dataset experimental'!AE135+SIN('Avaliação do resultado ML'!B135))*0.70674187</f>
        <v>#REF!</v>
      </c>
      <c r="D135" s="12" t="e">
        <f aca="false">'Modelos Propostos'!E135+'Avaliação do resultado ML'!C135-'Modelos normativos'!AQ135</f>
        <v>#REF!</v>
      </c>
      <c r="E135" s="12" t="n">
        <f aca="false">'Modelos empíricos'!I135+1.1854</f>
        <v>-0.0288224191465836</v>
      </c>
      <c r="F135" s="4" t="e">
        <f aca="false">-0.01753*('Modelos normativos'!AN135-'Dataset experimental'!C135-ABS(G135)-('Modelos Propostos'!E135-'Modelos normativos'!AP135)/0.25291)</f>
        <v>#REF!</v>
      </c>
      <c r="G135" s="4" t="e">
        <f aca="false">'Dataset experimental'!K135+'Modelos empíricos'!K135^2+('Modelos Propostos'!E135-'Modelos normativos'!AQ135)*4.10553</f>
        <v>#REF!</v>
      </c>
      <c r="H135" s="4" t="e">
        <f aca="false">0.03283*(J135+K135)</f>
        <v>#REF!</v>
      </c>
      <c r="I135" s="4" t="e">
        <f aca="false">(1.61428/'Dataset experimental'!Q135)^3</f>
        <v>#REF!</v>
      </c>
      <c r="J135" s="4" t="e">
        <f aca="false">SIN('Dataset experimental'!E135)+1.450178*(SIN('Avaliação do resultado ML'!I135)+'Dataset experimental'!C135)</f>
        <v>#REF!</v>
      </c>
      <c r="K135" s="4" t="e">
        <f aca="false">('Modelos empíricos'!C135-'Dataset experimental'!G135)*'Dataset experimental'!AE135-'Modelos normativos'!AP135</f>
        <v>#REF!</v>
      </c>
      <c r="L135" s="4" t="n">
        <f aca="false">0.0076*'Dataset experimental'!B135+'Avaliação do resultado ML'!M135+'Avaliação do resultado ML'!N135+(-0.0328)*(0.0171*'Dataset experimental'!AD135-0.9442)*'Avaliação do resultado ML'!O135-'Avaliação do resultado ML'!P135-0.0364</f>
        <v>0.0630086933765622</v>
      </c>
      <c r="M135" s="12" t="n">
        <f aca="false">0.03283*SIN(0.7328*'Dataset experimental'!D135-1.8266)</f>
        <v>0.0293265290156355</v>
      </c>
      <c r="N135" s="12" t="n">
        <f aca="false">0.0476*SIN(4.2067/(0.0095*'Dataset experimental'!P135-1.9338)^3)</f>
        <v>0.028702269662646</v>
      </c>
      <c r="O135" s="12" t="n">
        <f aca="false">0.0214*'Dataset experimental'!F135-3.1067*'Dataset experimental'!B135*'Dataset experimental'!P135*('Dataset experimental'!T135-'Dataset experimental'!R135)*(0.39*'Dataset experimental'!P135*'Dataset experimental'!T135/'Dataset experimental'!V135-'Dataset experimental'!Z135+3.12)/(100000*'Dataset experimental'!V135)+0.7995</f>
        <v>0.52087721474555</v>
      </c>
      <c r="P135" s="12" t="n">
        <f aca="false">0.4461*('Dataset experimental'!Z135-0.6*'Modelos normativos'!AB135)*(3.4*'Dataset experimental'!L135+0.17*'Dataset experimental'!B135/'Modelos normativos'!AC135)/200000</f>
        <v>0.0620308998360465</v>
      </c>
      <c r="Q135" s="4" t="e">
        <f aca="false">L135/H135</f>
        <v>#REF!</v>
      </c>
      <c r="R135" s="4" t="e">
        <f aca="false">(-0.042-0.014*'Com TS variável MC2020'!Q144)*('Modelos normativos'!AP135-ABS('Modelos Propostos'!K135)-'Dataset experimental'!W135+COS(S135))</f>
        <v>#REF!</v>
      </c>
      <c r="S135" s="4" t="e">
        <f aca="false">'Dataset experimental'!O135-('Modelos normativos'!AQ135-SIN(0.083/('Dataset experimental'!M135-'Dataset experimental'!O135))-'Modelos empíricos'!I135)/0.646</f>
        <v>#REF!</v>
      </c>
      <c r="W135" s="4" t="e">
        <f aca="false">'Modelos normativos'!S135+'Avaliação do resultado ML'!A135</f>
        <v>#REF!</v>
      </c>
      <c r="X135" s="4" t="e">
        <f aca="false">W135/'Dataset experimental'!$AF135</f>
        <v>#REF!</v>
      </c>
      <c r="AJ135" s="4" t="e">
        <f aca="false">'Modelos Propostos'!B135+H135</f>
        <v>#REF!</v>
      </c>
      <c r="AK135" s="4" t="e">
        <f aca="false">AJ135/'Dataset experimental'!$AF135</f>
        <v>#REF!</v>
      </c>
      <c r="AV135" s="4" t="e">
        <f aca="false">'Modelos normativos'!S135+F135</f>
        <v>#REF!</v>
      </c>
      <c r="AW135" s="4" t="e">
        <f aca="false">AV135/'Dataset experimental'!$AF135</f>
        <v>#REF!</v>
      </c>
      <c r="BH135" s="4" t="e">
        <f aca="false">'Modelos Propostos'!B135+R135</f>
        <v>#REF!</v>
      </c>
      <c r="BI135" s="4" t="e">
        <f aca="false">BH135/'Dataset experimental'!$AF135</f>
        <v>#REF!</v>
      </c>
      <c r="BT135" s="4" t="n">
        <f aca="false">'Modelos Propostos'!B135+L135</f>
        <v>0.208601311565817</v>
      </c>
      <c r="BU135" s="4" t="n">
        <f aca="false">BT135/'Dataset experimental'!$AF135</f>
        <v>1.04300655782909</v>
      </c>
    </row>
    <row r="136" customFormat="false" ht="14.25" hidden="false" customHeight="false" outlineLevel="0" collapsed="false">
      <c r="A136" s="4" t="e">
        <f aca="false">0.0894*ABS(D136)-0.01603*E136</f>
        <v>#REF!</v>
      </c>
      <c r="B136" s="12" t="e">
        <f aca="false">'Dataset experimental'!K136*COS('Dataset experimental'!AC136)-'Dataset experimental'!M136-'Dataset experimental'!C136</f>
        <v>#REF!</v>
      </c>
      <c r="C136" s="12" t="e">
        <f aca="false">('Dataset experimental'!AE136+SIN('Avaliação do resultado ML'!B136))*0.70674187</f>
        <v>#REF!</v>
      </c>
      <c r="D136" s="12" t="e">
        <f aca="false">'Modelos Propostos'!E136+'Avaliação do resultado ML'!C136-'Modelos normativos'!AQ136</f>
        <v>#REF!</v>
      </c>
      <c r="E136" s="12" t="n">
        <f aca="false">'Modelos empíricos'!I136+1.1854</f>
        <v>0.252132724381059</v>
      </c>
      <c r="F136" s="4" t="e">
        <f aca="false">-0.01753*('Modelos normativos'!AN136-'Dataset experimental'!C136-ABS(G136)-('Modelos Propostos'!E136-'Modelos normativos'!AP136)/0.25291)</f>
        <v>#REF!</v>
      </c>
      <c r="G136" s="4" t="e">
        <f aca="false">'Dataset experimental'!K136+'Modelos empíricos'!K136^2+('Modelos Propostos'!E136-'Modelos normativos'!AQ136)*4.10553</f>
        <v>#REF!</v>
      </c>
      <c r="H136" s="4" t="e">
        <f aca="false">0.03283*(J136+K136)</f>
        <v>#REF!</v>
      </c>
      <c r="I136" s="4" t="e">
        <f aca="false">(1.61428/'Dataset experimental'!Q136)^3</f>
        <v>#REF!</v>
      </c>
      <c r="J136" s="4" t="e">
        <f aca="false">SIN('Dataset experimental'!E136)+1.450178*(SIN('Avaliação do resultado ML'!I136)+'Dataset experimental'!C136)</f>
        <v>#REF!</v>
      </c>
      <c r="K136" s="4" t="e">
        <f aca="false">('Modelos empíricos'!C136-'Dataset experimental'!G136)*'Dataset experimental'!AE136-'Modelos normativos'!AP136</f>
        <v>#REF!</v>
      </c>
      <c r="L136" s="4" t="n">
        <f aca="false">0.0076*'Dataset experimental'!B136+'Avaliação do resultado ML'!M136+'Avaliação do resultado ML'!N136+(-0.0328)*(0.0171*'Dataset experimental'!AD136-0.9442)*'Avaliação do resultado ML'!O136-'Avaliação do resultado ML'!P136-0.0364</f>
        <v>0.0423158944493578</v>
      </c>
      <c r="M136" s="12" t="n">
        <f aca="false">0.03283*SIN(0.7328*'Dataset experimental'!D136-1.8266)</f>
        <v>0.0293265290156355</v>
      </c>
      <c r="N136" s="12" t="n">
        <f aca="false">0.0476*SIN(4.2067/(0.0095*'Dataset experimental'!P136-1.9338)^3)</f>
        <v>0.028702269662646</v>
      </c>
      <c r="O136" s="12" t="n">
        <f aca="false">0.0214*'Dataset experimental'!F136-3.1067*'Dataset experimental'!B136*'Dataset experimental'!P136*('Dataset experimental'!T136-'Dataset experimental'!R136)*(0.39*'Dataset experimental'!P136*'Dataset experimental'!T136/'Dataset experimental'!V136-'Dataset experimental'!Z136+3.12)/(100000*'Dataset experimental'!V136)+0.7995</f>
        <v>0.164098234918949</v>
      </c>
      <c r="P136" s="12" t="n">
        <f aca="false">0.4461*('Dataset experimental'!Z136-0.6*'Modelos normativos'!AB136)*(3.4*'Dataset experimental'!L136+0.17*'Dataset experimental'!B136/'Modelos normativos'!AC136)/200000</f>
        <v>0.0741987492097068</v>
      </c>
      <c r="Q136" s="4" t="e">
        <f aca="false">L136/H136</f>
        <v>#REF!</v>
      </c>
      <c r="R136" s="4" t="e">
        <f aca="false">(-0.042-0.014*'Com TS variável MC2020'!Q145)*('Modelos normativos'!AP136-ABS('Modelos Propostos'!K136)-'Dataset experimental'!W136+COS(S136))</f>
        <v>#REF!</v>
      </c>
      <c r="S136" s="4" t="e">
        <f aca="false">'Dataset experimental'!O136-('Modelos normativos'!AQ136-SIN(0.083/('Dataset experimental'!M136-'Dataset experimental'!O136))-'Modelos empíricos'!I136)/0.646</f>
        <v>#REF!</v>
      </c>
      <c r="W136" s="4" t="e">
        <f aca="false">'Modelos normativos'!S136+'Avaliação do resultado ML'!A136</f>
        <v>#REF!</v>
      </c>
      <c r="X136" s="4" t="e">
        <f aca="false">W136/'Dataset experimental'!$AF136</f>
        <v>#REF!</v>
      </c>
      <c r="AJ136" s="4" t="e">
        <f aca="false">'Modelos Propostos'!B136+H136</f>
        <v>#REF!</v>
      </c>
      <c r="AK136" s="4" t="e">
        <f aca="false">AJ136/'Dataset experimental'!$AF136</f>
        <v>#REF!</v>
      </c>
      <c r="AV136" s="4" t="e">
        <f aca="false">'Modelos normativos'!S136+F136</f>
        <v>#REF!</v>
      </c>
      <c r="AW136" s="4" t="e">
        <f aca="false">AV136/'Dataset experimental'!$AF136</f>
        <v>#REF!</v>
      </c>
      <c r="BH136" s="4" t="e">
        <f aca="false">'Modelos Propostos'!B136+R136</f>
        <v>#REF!</v>
      </c>
      <c r="BI136" s="4" t="e">
        <f aca="false">BH136/'Dataset experimental'!$AF136</f>
        <v>#REF!</v>
      </c>
      <c r="BT136" s="4" t="n">
        <f aca="false">'Modelos Propostos'!B136+L136</f>
        <v>0.228355532509937</v>
      </c>
      <c r="BU136" s="4" t="n">
        <f aca="false">BT136/'Dataset experimental'!$AF136</f>
        <v>0.992850141347552</v>
      </c>
    </row>
    <row r="137" customFormat="false" ht="14.25" hidden="false" customHeight="false" outlineLevel="0" collapsed="false">
      <c r="A137" s="4" t="e">
        <f aca="false">0.0894*ABS(D137)-0.01603*E137</f>
        <v>#REF!</v>
      </c>
      <c r="B137" s="12" t="e">
        <f aca="false">'Dataset experimental'!K137*COS('Dataset experimental'!AC137)-'Dataset experimental'!M137-'Dataset experimental'!C137</f>
        <v>#REF!</v>
      </c>
      <c r="C137" s="12" t="e">
        <f aca="false">('Dataset experimental'!AE137+SIN('Avaliação do resultado ML'!B137))*0.70674187</f>
        <v>#REF!</v>
      </c>
      <c r="D137" s="12" t="e">
        <f aca="false">'Modelos Propostos'!E137+'Avaliação do resultado ML'!C137-'Modelos normativos'!AQ137</f>
        <v>#REF!</v>
      </c>
      <c r="E137" s="12" t="n">
        <f aca="false">'Modelos empíricos'!I137+1.1854</f>
        <v>0.910343383231785</v>
      </c>
      <c r="F137" s="4" t="e">
        <f aca="false">-0.01753*('Modelos normativos'!AN137-'Dataset experimental'!C137-ABS(G137)-('Modelos Propostos'!E137-'Modelos normativos'!AP137)/0.25291)</f>
        <v>#REF!</v>
      </c>
      <c r="G137" s="4" t="e">
        <f aca="false">'Dataset experimental'!K137+'Modelos empíricos'!K137^2+('Modelos Propostos'!E137-'Modelos normativos'!AQ137)*4.10553</f>
        <v>#REF!</v>
      </c>
      <c r="H137" s="4" t="e">
        <f aca="false">0.03283*(J137+K137)</f>
        <v>#REF!</v>
      </c>
      <c r="I137" s="4" t="e">
        <f aca="false">(1.61428/'Dataset experimental'!Q137)^3</f>
        <v>#REF!</v>
      </c>
      <c r="J137" s="4" t="e">
        <f aca="false">SIN('Dataset experimental'!E137)+1.450178*(SIN('Avaliação do resultado ML'!I137)+'Dataset experimental'!C137)</f>
        <v>#REF!</v>
      </c>
      <c r="K137" s="4" t="e">
        <f aca="false">('Modelos empíricos'!C137-'Dataset experimental'!G137)*'Dataset experimental'!AE137-'Modelos normativos'!AP137</f>
        <v>#REF!</v>
      </c>
      <c r="L137" s="4" t="n">
        <f aca="false">0.0076*'Dataset experimental'!B137+'Avaliação do resultado ML'!M137+'Avaliação do resultado ML'!N137+(-0.0328)*(0.0171*'Dataset experimental'!AD137-0.9442)*'Avaliação do resultado ML'!O137-'Avaliação do resultado ML'!P137-0.0364</f>
        <v>-0.0525429641324938</v>
      </c>
      <c r="M137" s="12" t="n">
        <f aca="false">0.03283*SIN(0.7328*'Dataset experimental'!D137-1.8266)</f>
        <v>-0.0291654482027489</v>
      </c>
      <c r="N137" s="12" t="n">
        <f aca="false">0.0476*SIN(4.2067/(0.0095*'Dataset experimental'!P137-1.9338)^3)</f>
        <v>0.0455515796827476</v>
      </c>
      <c r="O137" s="12" t="n">
        <f aca="false">0.0214*'Dataset experimental'!F137-3.1067*'Dataset experimental'!B137*'Dataset experimental'!P137*('Dataset experimental'!T137-'Dataset experimental'!R137)*(0.39*'Dataset experimental'!P137*'Dataset experimental'!T137/'Dataset experimental'!V137-'Dataset experimental'!Z137+3.12)/(100000*'Dataset experimental'!V137)+0.7995</f>
        <v>-1.25038257945535</v>
      </c>
      <c r="P137" s="12" t="n">
        <f aca="false">0.4461*('Dataset experimental'!Z137-0.6*'Modelos normativos'!AB137)*(3.4*'Dataset experimental'!L137+0.17*'Dataset experimental'!B137/'Modelos normativos'!AC137)/200000</f>
        <v>0.0726804370013557</v>
      </c>
      <c r="Q137" s="4" t="e">
        <f aca="false">L137/H137</f>
        <v>#REF!</v>
      </c>
      <c r="R137" s="4" t="e">
        <f aca="false">(-0.042-0.014*'Com TS variável MC2020'!Q146)*('Modelos normativos'!AP137-ABS('Modelos Propostos'!K137)-'Dataset experimental'!W137+COS(S137))</f>
        <v>#REF!</v>
      </c>
      <c r="S137" s="4" t="e">
        <f aca="false">'Dataset experimental'!O137-('Modelos normativos'!AQ137-SIN(0.083/('Dataset experimental'!M137-'Dataset experimental'!O137))-'Modelos empíricos'!I137)/0.646</f>
        <v>#REF!</v>
      </c>
      <c r="W137" s="4" t="e">
        <f aca="false">'Modelos normativos'!S137+'Avaliação do resultado ML'!A137</f>
        <v>#REF!</v>
      </c>
      <c r="X137" s="4" t="e">
        <f aca="false">W137/'Dataset experimental'!$AF137</f>
        <v>#REF!</v>
      </c>
      <c r="AJ137" s="4" t="e">
        <f aca="false">'Modelos Propostos'!B137+H137</f>
        <v>#REF!</v>
      </c>
      <c r="AK137" s="4" t="e">
        <f aca="false">AJ137/'Dataset experimental'!$AF137</f>
        <v>#REF!</v>
      </c>
      <c r="AV137" s="4" t="e">
        <f aca="false">'Modelos normativos'!S137+F137</f>
        <v>#REF!</v>
      </c>
      <c r="AW137" s="4" t="e">
        <f aca="false">AV137/'Dataset experimental'!$AF137</f>
        <v>#REF!</v>
      </c>
      <c r="BH137" s="4" t="e">
        <f aca="false">'Modelos Propostos'!B137+R137</f>
        <v>#REF!</v>
      </c>
      <c r="BI137" s="4" t="e">
        <f aca="false">BH137/'Dataset experimental'!$AF137</f>
        <v>#REF!</v>
      </c>
      <c r="BT137" s="4" t="n">
        <f aca="false">'Modelos Propostos'!B137+L137</f>
        <v>0.157227058001418</v>
      </c>
      <c r="BU137" s="4" t="n">
        <f aca="false">BT137/'Dataset experimental'!$AF137</f>
        <v>0.982669112508863</v>
      </c>
    </row>
    <row r="138" customFormat="false" ht="14.25" hidden="false" customHeight="false" outlineLevel="0" collapsed="false">
      <c r="A138" s="4" t="e">
        <f aca="false">0.0894*ABS(D138)-0.01603*E138</f>
        <v>#REF!</v>
      </c>
      <c r="B138" s="12" t="e">
        <f aca="false">'Dataset experimental'!K138*COS('Dataset experimental'!AC138)-'Dataset experimental'!M138-'Dataset experimental'!C138</f>
        <v>#REF!</v>
      </c>
      <c r="C138" s="12" t="e">
        <f aca="false">('Dataset experimental'!AE138+SIN('Avaliação do resultado ML'!B138))*0.70674187</f>
        <v>#REF!</v>
      </c>
      <c r="D138" s="12" t="e">
        <f aca="false">'Modelos Propostos'!E138+'Avaliação do resultado ML'!C138-'Modelos normativos'!AQ138</f>
        <v>#REF!</v>
      </c>
      <c r="E138" s="12" t="n">
        <f aca="false">'Modelos empíricos'!I138+1.1854</f>
        <v>1.15198445819178</v>
      </c>
      <c r="F138" s="4" t="e">
        <f aca="false">-0.01753*('Modelos normativos'!AN138-'Dataset experimental'!C138-ABS(G138)-('Modelos Propostos'!E138-'Modelos normativos'!AP138)/0.25291)</f>
        <v>#REF!</v>
      </c>
      <c r="G138" s="4" t="e">
        <f aca="false">'Dataset experimental'!K138+'Modelos empíricos'!K138^2+('Modelos Propostos'!E138-'Modelos normativos'!AQ138)*4.10553</f>
        <v>#REF!</v>
      </c>
      <c r="H138" s="4" t="e">
        <f aca="false">0.03283*(J138+K138)</f>
        <v>#REF!</v>
      </c>
      <c r="I138" s="4" t="e">
        <f aca="false">(1.61428/'Dataset experimental'!Q138)^3</f>
        <v>#REF!</v>
      </c>
      <c r="J138" s="4" t="e">
        <f aca="false">SIN('Dataset experimental'!E138)+1.450178*(SIN('Avaliação do resultado ML'!I138)+'Dataset experimental'!C138)</f>
        <v>#REF!</v>
      </c>
      <c r="K138" s="4" t="e">
        <f aca="false">('Modelos empíricos'!C138-'Dataset experimental'!G138)*'Dataset experimental'!AE138-'Modelos normativos'!AP138</f>
        <v>#REF!</v>
      </c>
      <c r="L138" s="4" t="n">
        <f aca="false">0.0076*'Dataset experimental'!B138+'Avaliação do resultado ML'!M138+'Avaliação do resultado ML'!N138+(-0.0328)*(0.0171*'Dataset experimental'!AD138-0.9442)*'Avaliação do resultado ML'!O138-'Avaliação do resultado ML'!P138-0.0364</f>
        <v>-0.0752707594602893</v>
      </c>
      <c r="M138" s="12" t="n">
        <f aca="false">0.03283*SIN(0.7328*'Dataset experimental'!D138-1.8266)</f>
        <v>-0.0291654482027489</v>
      </c>
      <c r="N138" s="12" t="n">
        <f aca="false">0.0476*SIN(4.2067/(0.0095*'Dataset experimental'!P138-1.9338)^3)</f>
        <v>0.0455515796827476</v>
      </c>
      <c r="O138" s="12" t="n">
        <f aca="false">0.0214*'Dataset experimental'!F138-3.1067*'Dataset experimental'!B138*'Dataset experimental'!P138*('Dataset experimental'!T138-'Dataset experimental'!R138)*(0.39*'Dataset experimental'!P138*'Dataset experimental'!T138/'Dataset experimental'!V138-'Dataset experimental'!Z138+3.12)/(100000*'Dataset experimental'!V138)+0.7995</f>
        <v>-1.6076206499738</v>
      </c>
      <c r="P138" s="12" t="n">
        <f aca="false">0.4461*('Dataset experimental'!Z138-0.6*'Modelos normativos'!AB138)*(3.4*'Dataset experimental'!L138+0.17*'Dataset experimental'!B138/'Modelos normativos'!AC138)/200000</f>
        <v>0.0854366672282476</v>
      </c>
      <c r="Q138" s="4" t="e">
        <f aca="false">L138/H138</f>
        <v>#REF!</v>
      </c>
      <c r="R138" s="4" t="e">
        <f aca="false">(-0.042-0.014*'Com TS variável MC2020'!Q147)*('Modelos normativos'!AP138-ABS('Modelos Propostos'!K138)-'Dataset experimental'!W138+COS(S138))</f>
        <v>#REF!</v>
      </c>
      <c r="S138" s="4" t="e">
        <f aca="false">'Dataset experimental'!O138-('Modelos normativos'!AQ138-SIN(0.083/('Dataset experimental'!M138-'Dataset experimental'!O138))-'Modelos empíricos'!I138)/0.646</f>
        <v>#REF!</v>
      </c>
      <c r="W138" s="4" t="e">
        <f aca="false">'Modelos normativos'!S138+'Avaliação do resultado ML'!A138</f>
        <v>#REF!</v>
      </c>
      <c r="X138" s="4" t="e">
        <f aca="false">W138/'Dataset experimental'!$AF138</f>
        <v>#REF!</v>
      </c>
      <c r="AJ138" s="4" t="e">
        <f aca="false">'Modelos Propostos'!B138+H138</f>
        <v>#REF!</v>
      </c>
      <c r="AK138" s="4" t="e">
        <f aca="false">AJ138/'Dataset experimental'!$AF138</f>
        <v>#REF!</v>
      </c>
      <c r="AV138" s="4" t="e">
        <f aca="false">'Modelos normativos'!S138+F138</f>
        <v>#REF!</v>
      </c>
      <c r="AW138" s="4" t="e">
        <f aca="false">AV138/'Dataset experimental'!$AF138</f>
        <v>#REF!</v>
      </c>
      <c r="BH138" s="4" t="e">
        <f aca="false">'Modelos Propostos'!B138+R138</f>
        <v>#REF!</v>
      </c>
      <c r="BI138" s="4" t="e">
        <f aca="false">BH138/'Dataset experimental'!$AF138</f>
        <v>#REF!</v>
      </c>
      <c r="BT138" s="4" t="n">
        <f aca="false">'Modelos Propostos'!B138+L138</f>
        <v>0.166320414157351</v>
      </c>
      <c r="BU138" s="4" t="n">
        <f aca="false">BT138/'Dataset experimental'!$AF138</f>
        <v>0.924002300874173</v>
      </c>
    </row>
    <row r="139" customFormat="false" ht="14.25" hidden="false" customHeight="false" outlineLevel="0" collapsed="false">
      <c r="A139" s="4" t="e">
        <f aca="false">0.0894*ABS(D139)-0.01603*E139</f>
        <v>#REF!</v>
      </c>
      <c r="B139" s="12" t="e">
        <f aca="false">'Dataset experimental'!K139*COS('Dataset experimental'!AC139)-'Dataset experimental'!M139-'Dataset experimental'!C139</f>
        <v>#REF!</v>
      </c>
      <c r="C139" s="12" t="e">
        <f aca="false">('Dataset experimental'!AE139+SIN('Avaliação do resultado ML'!B139))*0.70674187</f>
        <v>#REF!</v>
      </c>
      <c r="D139" s="12" t="e">
        <f aca="false">'Modelos Propostos'!E139+'Avaliação do resultado ML'!C139-'Modelos normativos'!AQ139</f>
        <v>#REF!</v>
      </c>
      <c r="E139" s="12" t="n">
        <f aca="false">'Modelos empíricos'!I139+1.1854</f>
        <v>1.42584434314645</v>
      </c>
      <c r="F139" s="4" t="e">
        <f aca="false">-0.01753*('Modelos normativos'!AN139-'Dataset experimental'!C139-ABS(G139)-('Modelos Propostos'!E139-'Modelos normativos'!AP139)/0.25291)</f>
        <v>#REF!</v>
      </c>
      <c r="G139" s="4" t="e">
        <f aca="false">'Dataset experimental'!K139+'Modelos empíricos'!K139^2+('Modelos Propostos'!E139-'Modelos normativos'!AQ139)*4.10553</f>
        <v>#REF!</v>
      </c>
      <c r="H139" s="4" t="e">
        <f aca="false">0.03283*(J139+K139)</f>
        <v>#REF!</v>
      </c>
      <c r="I139" s="4" t="e">
        <f aca="false">(1.61428/'Dataset experimental'!Q139)^3</f>
        <v>#REF!</v>
      </c>
      <c r="J139" s="4" t="e">
        <f aca="false">SIN('Dataset experimental'!E139)+1.450178*(SIN('Avaliação do resultado ML'!I139)+'Dataset experimental'!C139)</f>
        <v>#REF!</v>
      </c>
      <c r="K139" s="4" t="e">
        <f aca="false">('Modelos empíricos'!C139-'Dataset experimental'!G139)*'Dataset experimental'!AE139-'Modelos normativos'!AP139</f>
        <v>#REF!</v>
      </c>
      <c r="L139" s="4" t="n">
        <f aca="false">0.0076*'Dataset experimental'!B139+'Avaliação do resultado ML'!M139+'Avaliação do resultado ML'!N139+(-0.0328)*(0.0171*'Dataset experimental'!AD139-0.9442)*'Avaliação do resultado ML'!O139-'Avaliação do resultado ML'!P139-0.0364</f>
        <v>-0.100883594134708</v>
      </c>
      <c r="M139" s="12" t="n">
        <f aca="false">0.03283*SIN(0.7328*'Dataset experimental'!D139-1.8266)</f>
        <v>-0.0291654482027489</v>
      </c>
      <c r="N139" s="12" t="n">
        <f aca="false">0.0476*SIN(4.2067/(0.0095*'Dataset experimental'!P139-1.9338)^3)</f>
        <v>0.0455515796827476</v>
      </c>
      <c r="O139" s="12" t="n">
        <f aca="false">0.0214*'Dataset experimental'!F139-3.1067*'Dataset experimental'!B139*'Dataset experimental'!P139*('Dataset experimental'!T139-'Dataset experimental'!R139)*(0.39*'Dataset experimental'!P139*'Dataset experimental'!T139/'Dataset experimental'!V139-'Dataset experimental'!Z139+3.12)/(100000*'Dataset experimental'!V139)+0.7995</f>
        <v>-2.01249046322805</v>
      </c>
      <c r="P139" s="12" t="n">
        <f aca="false">0.4461*('Dataset experimental'!Z139-0.6*'Modelos normativos'!AB139)*(3.4*'Dataset experimental'!L139+0.17*'Dataset experimental'!B139/'Modelos normativos'!AC139)/200000</f>
        <v>0.0998937281520584</v>
      </c>
      <c r="Q139" s="4" t="e">
        <f aca="false">L139/H139</f>
        <v>#REF!</v>
      </c>
      <c r="R139" s="4" t="e">
        <f aca="false">(-0.042-0.014*'Com TS variável MC2020'!Q148)*('Modelos normativos'!AP139-ABS('Modelos Propostos'!K139)-'Dataset experimental'!W139+COS(S139))</f>
        <v>#REF!</v>
      </c>
      <c r="S139" s="4" t="e">
        <f aca="false">'Dataset experimental'!O139-('Modelos normativos'!AQ139-SIN(0.083/('Dataset experimental'!M139-'Dataset experimental'!O139))-'Modelos empíricos'!I139)/0.646</f>
        <v>#REF!</v>
      </c>
      <c r="W139" s="4" t="e">
        <f aca="false">'Modelos normativos'!S139+'Avaliação do resultado ML'!A139</f>
        <v>#REF!</v>
      </c>
      <c r="X139" s="4" t="e">
        <f aca="false">W139/'Dataset experimental'!$AF139</f>
        <v>#REF!</v>
      </c>
      <c r="AJ139" s="4" t="e">
        <f aca="false">'Modelos Propostos'!B139+H139</f>
        <v>#REF!</v>
      </c>
      <c r="AK139" s="4" t="e">
        <f aca="false">AJ139/'Dataset experimental'!$AF139</f>
        <v>#REF!</v>
      </c>
      <c r="AV139" s="4" t="e">
        <f aca="false">'Modelos normativos'!S139+F139</f>
        <v>#REF!</v>
      </c>
      <c r="AW139" s="4" t="e">
        <f aca="false">AV139/'Dataset experimental'!$AF139</f>
        <v>#REF!</v>
      </c>
      <c r="BH139" s="4" t="e">
        <f aca="false">'Modelos Propostos'!B139+R139</f>
        <v>#REF!</v>
      </c>
      <c r="BI139" s="4" t="e">
        <f aca="false">BH139/'Dataset experimental'!$AF139</f>
        <v>#REF!</v>
      </c>
      <c r="BT139" s="4" t="n">
        <f aca="false">'Modelos Propostos'!B139+L139</f>
        <v>0.179486956091102</v>
      </c>
      <c r="BU139" s="4" t="n">
        <f aca="false">BT139/'Dataset experimental'!$AF139</f>
        <v>0.897434780455512</v>
      </c>
    </row>
    <row r="140" customFormat="false" ht="14.25" hidden="false" customHeight="false" outlineLevel="0" collapsed="false">
      <c r="A140" s="4" t="e">
        <f aca="false">0.0894*ABS(D140)-0.01603*E140</f>
        <v>#REF!</v>
      </c>
      <c r="B140" s="12" t="e">
        <f aca="false">'Dataset experimental'!K140*COS('Dataset experimental'!AC140)-'Dataset experimental'!M140-'Dataset experimental'!C140</f>
        <v>#REF!</v>
      </c>
      <c r="C140" s="12" t="e">
        <f aca="false">('Dataset experimental'!AE140+SIN('Avaliação do resultado ML'!B140))*0.70674187</f>
        <v>#REF!</v>
      </c>
      <c r="D140" s="12" t="e">
        <f aca="false">'Modelos Propostos'!E140+'Avaliação do resultado ML'!C140-'Modelos normativos'!AQ140</f>
        <v>#REF!</v>
      </c>
      <c r="E140" s="12" t="n">
        <f aca="false">'Modelos empíricos'!I140+1.1854</f>
        <v>1.66748541810645</v>
      </c>
      <c r="F140" s="4" t="e">
        <f aca="false">-0.01753*('Modelos normativos'!AN140-'Dataset experimental'!C140-ABS(G140)-('Modelos Propostos'!E140-'Modelos normativos'!AP140)/0.25291)</f>
        <v>#REF!</v>
      </c>
      <c r="G140" s="4" t="e">
        <f aca="false">'Dataset experimental'!K140+'Modelos empíricos'!K140^2+('Modelos Propostos'!E140-'Modelos normativos'!AQ140)*4.10553</f>
        <v>#REF!</v>
      </c>
      <c r="H140" s="4" t="e">
        <f aca="false">0.03283*(J140+K140)</f>
        <v>#REF!</v>
      </c>
      <c r="I140" s="4" t="e">
        <f aca="false">(1.61428/'Dataset experimental'!Q140)^3</f>
        <v>#REF!</v>
      </c>
      <c r="J140" s="4" t="e">
        <f aca="false">SIN('Dataset experimental'!E140)+1.450178*(SIN('Avaliação do resultado ML'!I140)+'Dataset experimental'!C140)</f>
        <v>#REF!</v>
      </c>
      <c r="K140" s="4" t="e">
        <f aca="false">('Modelos empíricos'!C140-'Dataset experimental'!G140)*'Dataset experimental'!AE140-'Modelos normativos'!AP140</f>
        <v>#REF!</v>
      </c>
      <c r="L140" s="4" t="n">
        <f aca="false">0.0076*'Dataset experimental'!B140+'Avaliação do resultado ML'!M140+'Avaliação do resultado ML'!N140+(-0.0328)*(0.0171*'Dataset experimental'!AD140-0.9442)*'Avaliação do resultado ML'!O140-'Avaliação do resultado ML'!P140-0.0364</f>
        <v>-0.123354918820594</v>
      </c>
      <c r="M140" s="12" t="n">
        <f aca="false">0.03283*SIN(0.7328*'Dataset experimental'!D140-1.8266)</f>
        <v>-0.0291654482027489</v>
      </c>
      <c r="N140" s="12" t="n">
        <f aca="false">0.0476*SIN(4.2067/(0.0095*'Dataset experimental'!P140-1.9338)^3)</f>
        <v>0.0455515796827476</v>
      </c>
      <c r="O140" s="12" t="n">
        <f aca="false">0.0214*'Dataset experimental'!F140-3.1067*'Dataset experimental'!B140*'Dataset experimental'!P140*('Dataset experimental'!T140-'Dataset experimental'!R140)*(0.39*'Dataset experimental'!P140*'Dataset experimental'!T140/'Dataset experimental'!V140-'Dataset experimental'!Z140+3.12)/(100000*'Dataset experimental'!V140)+0.7995</f>
        <v>-2.3697285337465</v>
      </c>
      <c r="P140" s="12" t="n">
        <f aca="false">0.4461*('Dataset experimental'!Z140-0.6*'Modelos normativos'!AB140)*(3.4*'Dataset experimental'!L140+0.17*'Dataset experimental'!B140/'Modelos normativos'!AC140)/200000</f>
        <v>0.11264995837895</v>
      </c>
      <c r="Q140" s="4" t="e">
        <f aca="false">L140/H140</f>
        <v>#REF!</v>
      </c>
      <c r="R140" s="4" t="e">
        <f aca="false">(-0.042-0.014*'Com TS variável MC2020'!Q149)*('Modelos normativos'!AP140-ABS('Modelos Propostos'!K140)-'Dataset experimental'!W140+COS(S140))</f>
        <v>#REF!</v>
      </c>
      <c r="S140" s="4" t="e">
        <f aca="false">'Dataset experimental'!O140-('Modelos normativos'!AQ140-SIN(0.083/('Dataset experimental'!M140-'Dataset experimental'!O140))-'Modelos empíricos'!I140)/0.646</f>
        <v>#REF!</v>
      </c>
      <c r="W140" s="4" t="e">
        <f aca="false">'Modelos normativos'!S140+'Avaliação do resultado ML'!A140</f>
        <v>#REF!</v>
      </c>
      <c r="X140" s="4" t="e">
        <f aca="false">W140/'Dataset experimental'!$AF140</f>
        <v>#REF!</v>
      </c>
      <c r="AJ140" s="4" t="e">
        <f aca="false">'Modelos Propostos'!B140+H140</f>
        <v>#REF!</v>
      </c>
      <c r="AK140" s="4" t="e">
        <f aca="false">AJ140/'Dataset experimental'!$AF140</f>
        <v>#REF!</v>
      </c>
      <c r="AV140" s="4" t="e">
        <f aca="false">'Modelos normativos'!S140+F140</f>
        <v>#REF!</v>
      </c>
      <c r="AW140" s="4" t="e">
        <f aca="false">AV140/'Dataset experimental'!$AF140</f>
        <v>#REF!</v>
      </c>
      <c r="BH140" s="4" t="e">
        <f aca="false">'Modelos Propostos'!B140+R140</f>
        <v>#REF!</v>
      </c>
      <c r="BI140" s="4" t="e">
        <f aca="false">BH140/'Dataset experimental'!$AF140</f>
        <v>#REF!</v>
      </c>
      <c r="BT140" s="4" t="n">
        <f aca="false">'Modelos Propostos'!B140+L140</f>
        <v>0.193628673935907</v>
      </c>
      <c r="BU140" s="4" t="n">
        <f aca="false">BT140/'Dataset experimental'!$AF140</f>
        <v>0.880130336072305</v>
      </c>
    </row>
    <row r="141" customFormat="false" ht="14.25" hidden="false" customHeight="false" outlineLevel="0" collapsed="false">
      <c r="A141" s="4" t="e">
        <f aca="false">0.0894*ABS(D141)-0.01603*E141</f>
        <v>#REF!</v>
      </c>
      <c r="B141" s="12" t="e">
        <f aca="false">'Dataset experimental'!K141*COS('Dataset experimental'!AC141)-'Dataset experimental'!M141-'Dataset experimental'!C141</f>
        <v>#REF!</v>
      </c>
      <c r="C141" s="12" t="e">
        <f aca="false">('Dataset experimental'!AE141+SIN('Avaliação do resultado ML'!B141))*0.70674187</f>
        <v>#REF!</v>
      </c>
      <c r="D141" s="12" t="e">
        <f aca="false">'Modelos Propostos'!E141+'Avaliação do resultado ML'!C141-'Modelos normativos'!AQ141</f>
        <v>#REF!</v>
      </c>
      <c r="E141" s="12" t="n">
        <f aca="false">'Modelos empíricos'!I141+1.1854</f>
        <v>1.94134530306111</v>
      </c>
      <c r="F141" s="4" t="e">
        <f aca="false">-0.01753*('Modelos normativos'!AN141-'Dataset experimental'!C141-ABS(G141)-('Modelos Propostos'!E141-'Modelos normativos'!AP141)/0.25291)</f>
        <v>#REF!</v>
      </c>
      <c r="G141" s="4" t="e">
        <f aca="false">'Dataset experimental'!K141+'Modelos empíricos'!K141^2+('Modelos Propostos'!E141-'Modelos normativos'!AQ141)*4.10553</f>
        <v>#REF!</v>
      </c>
      <c r="H141" s="4" t="e">
        <f aca="false">0.03283*(J141+K141)</f>
        <v>#REF!</v>
      </c>
      <c r="I141" s="4" t="e">
        <f aca="false">(1.61428/'Dataset experimental'!Q141)^3</f>
        <v>#REF!</v>
      </c>
      <c r="J141" s="4" t="e">
        <f aca="false">SIN('Dataset experimental'!E141)+1.450178*(SIN('Avaliação do resultado ML'!I141)+'Dataset experimental'!C141)</f>
        <v>#REF!</v>
      </c>
      <c r="K141" s="4" t="e">
        <f aca="false">('Modelos empíricos'!C141-'Dataset experimental'!G141)*'Dataset experimental'!AE141-'Modelos normativos'!AP141</f>
        <v>#REF!</v>
      </c>
      <c r="L141" s="4" t="n">
        <f aca="false">0.0076*'Dataset experimental'!B141+'Avaliação do resultado ML'!M141+'Avaliação do resultado ML'!N141+(-0.0328)*(0.0171*'Dataset experimental'!AD141-0.9442)*'Avaliação do resultado ML'!O141-'Avaliação do resultado ML'!P141-0.0364</f>
        <v>-0.148677086767514</v>
      </c>
      <c r="M141" s="12" t="n">
        <f aca="false">0.03283*SIN(0.7328*'Dataset experimental'!D141-1.8266)</f>
        <v>-0.0291654482027489</v>
      </c>
      <c r="N141" s="12" t="n">
        <f aca="false">0.0476*SIN(4.2067/(0.0095*'Dataset experimental'!P141-1.9338)^3)</f>
        <v>0.0455515796827476</v>
      </c>
      <c r="O141" s="12" t="n">
        <f aca="false">0.0214*'Dataset experimental'!F141-3.1067*'Dataset experimental'!B141*'Dataset experimental'!P141*('Dataset experimental'!T141-'Dataset experimental'!R141)*(0.39*'Dataset experimental'!P141*'Dataset experimental'!T141/'Dataset experimental'!V141-'Dataset experimental'!Z141+3.12)/(100000*'Dataset experimental'!V141)+0.7995</f>
        <v>-2.77459834700075</v>
      </c>
      <c r="P141" s="12" t="n">
        <f aca="false">0.4461*('Dataset experimental'!Z141-0.6*'Modelos normativos'!AB141)*(3.4*'Dataset experimental'!L141+0.17*'Dataset experimental'!B141/'Modelos normativos'!AC141)/200000</f>
        <v>0.127107019302761</v>
      </c>
      <c r="Q141" s="4" t="e">
        <f aca="false">L141/H141</f>
        <v>#REF!</v>
      </c>
      <c r="R141" s="4" t="e">
        <f aca="false">(-0.042-0.014*'Com TS variável MC2020'!Q150)*('Modelos normativos'!AP141-ABS('Modelos Propostos'!K141)-'Dataset experimental'!W141+COS(S141))</f>
        <v>#REF!</v>
      </c>
      <c r="S141" s="4" t="e">
        <f aca="false">'Dataset experimental'!O141-('Modelos normativos'!AQ141-SIN(0.083/('Dataset experimental'!M141-'Dataset experimental'!O141))-'Modelos empíricos'!I141)/0.646</f>
        <v>#REF!</v>
      </c>
      <c r="W141" s="4" t="e">
        <f aca="false">'Modelos normativos'!S141+'Avaliação do resultado ML'!A141</f>
        <v>#REF!</v>
      </c>
      <c r="X141" s="4" t="e">
        <f aca="false">W141/'Dataset experimental'!$AF141</f>
        <v>#REF!</v>
      </c>
      <c r="AJ141" s="4" t="e">
        <f aca="false">'Modelos Propostos'!B141+H141</f>
        <v>#REF!</v>
      </c>
      <c r="AK141" s="4" t="e">
        <f aca="false">AJ141/'Dataset experimental'!$AF141</f>
        <v>#REF!</v>
      </c>
      <c r="AV141" s="4" t="e">
        <f aca="false">'Modelos normativos'!S141+F141</f>
        <v>#REF!</v>
      </c>
      <c r="AW141" s="4" t="e">
        <f aca="false">AV141/'Dataset experimental'!$AF141</f>
        <v>#REF!</v>
      </c>
      <c r="BH141" s="4" t="e">
        <f aca="false">'Modelos Propostos'!B141+R141</f>
        <v>#REF!</v>
      </c>
      <c r="BI141" s="4" t="e">
        <f aca="false">BH141/'Dataset experimental'!$AF141</f>
        <v>#REF!</v>
      </c>
      <c r="BT141" s="4" t="n">
        <f aca="false">'Modelos Propostos'!B141+L141</f>
        <v>0.212535560240608</v>
      </c>
      <c r="BU141" s="4" t="n">
        <f aca="false">BT141/'Dataset experimental'!$AF141</f>
        <v>0.885564834335867</v>
      </c>
    </row>
    <row r="142" customFormat="false" ht="14.25" hidden="false" customHeight="false" outlineLevel="0" collapsed="false">
      <c r="A142" s="4" t="e">
        <f aca="false">0.0894*ABS(D142)-0.01603*E142</f>
        <v>#REF!</v>
      </c>
      <c r="B142" s="12" t="e">
        <f aca="false">'Dataset experimental'!K142*COS('Dataset experimental'!AC142)-'Dataset experimental'!M142-'Dataset experimental'!C142</f>
        <v>#REF!</v>
      </c>
      <c r="C142" s="12" t="e">
        <f aca="false">('Dataset experimental'!AE142+SIN('Avaliação do resultado ML'!B142))*0.70674187</f>
        <v>#REF!</v>
      </c>
      <c r="D142" s="12" t="e">
        <f aca="false">'Modelos Propostos'!E142+'Avaliação do resultado ML'!C142-'Modelos normativos'!AQ142</f>
        <v>#REF!</v>
      </c>
      <c r="E142" s="12" t="n">
        <f aca="false">'Modelos empíricos'!I142+1.1854</f>
        <v>2.18298637802111</v>
      </c>
      <c r="F142" s="4" t="e">
        <f aca="false">-0.01753*('Modelos normativos'!AN142-'Dataset experimental'!C142-ABS(G142)-('Modelos Propostos'!E142-'Modelos normativos'!AP142)/0.25291)</f>
        <v>#REF!</v>
      </c>
      <c r="G142" s="4" t="e">
        <f aca="false">'Dataset experimental'!K142+'Modelos empíricos'!K142^2+('Modelos Propostos'!E142-'Modelos normativos'!AQ142)*4.10553</f>
        <v>#REF!</v>
      </c>
      <c r="H142" s="4" t="e">
        <f aca="false">0.03283*(J142+K142)</f>
        <v>#REF!</v>
      </c>
      <c r="I142" s="4" t="e">
        <f aca="false">(1.61428/'Dataset experimental'!Q142)^3</f>
        <v>#REF!</v>
      </c>
      <c r="J142" s="4" t="e">
        <f aca="false">SIN('Dataset experimental'!E142)+1.450178*(SIN('Avaliação do resultado ML'!I142)+'Dataset experimental'!C142)</f>
        <v>#REF!</v>
      </c>
      <c r="K142" s="4" t="e">
        <f aca="false">('Modelos empíricos'!C142-'Dataset experimental'!G142)*'Dataset experimental'!AE142-'Modelos normativos'!AP142</f>
        <v>#REF!</v>
      </c>
      <c r="L142" s="4" t="n">
        <f aca="false">0.0076*'Dataset experimental'!B142+'Avaliação do resultado ML'!M142+'Avaliação do resultado ML'!N142+(-0.0328)*(0.0171*'Dataset experimental'!AD142-0.9442)*'Avaliação do resultado ML'!O142-'Avaliação do resultado ML'!P142-0.0364</f>
        <v>-0.170891940811489</v>
      </c>
      <c r="M142" s="12" t="n">
        <f aca="false">0.03283*SIN(0.7328*'Dataset experimental'!D142-1.8266)</f>
        <v>-0.0291654482027489</v>
      </c>
      <c r="N142" s="12" t="n">
        <f aca="false">0.0476*SIN(4.2067/(0.0095*'Dataset experimental'!P142-1.9338)^3)</f>
        <v>0.0455515796827476</v>
      </c>
      <c r="O142" s="12" t="n">
        <f aca="false">0.0214*'Dataset experimental'!F142-3.1067*'Dataset experimental'!B142*'Dataset experimental'!P142*('Dataset experimental'!T142-'Dataset experimental'!R142)*(0.39*'Dataset experimental'!P142*'Dataset experimental'!T142/'Dataset experimental'!V142-'Dataset experimental'!Z142+3.12)/(100000*'Dataset experimental'!V142)+0.7995</f>
        <v>-3.1318364175192</v>
      </c>
      <c r="P142" s="12" t="n">
        <f aca="false">0.4461*('Dataset experimental'!Z142-0.6*'Modelos normativos'!AB142)*(3.4*'Dataset experimental'!L142+0.17*'Dataset experimental'!B142/'Modelos normativos'!AC142)/200000</f>
        <v>0.139863249529653</v>
      </c>
      <c r="Q142" s="4" t="e">
        <f aca="false">L142/H142</f>
        <v>#REF!</v>
      </c>
      <c r="R142" s="4" t="e">
        <f aca="false">(-0.042-0.014*'Com TS variável MC2020'!Q151)*('Modelos normativos'!AP142-ABS('Modelos Propostos'!K142)-'Dataset experimental'!W142+COS(S142))</f>
        <v>#REF!</v>
      </c>
      <c r="S142" s="4" t="e">
        <f aca="false">'Dataset experimental'!O142-('Modelos normativos'!AQ142-SIN(0.083/('Dataset experimental'!M142-'Dataset experimental'!O142))-'Modelos empíricos'!I142)/0.646</f>
        <v>#REF!</v>
      </c>
      <c r="W142" s="4" t="e">
        <f aca="false">'Modelos normativos'!S142+'Avaliação do resultado ML'!A142</f>
        <v>#REF!</v>
      </c>
      <c r="X142" s="4" t="e">
        <f aca="false">W142/'Dataset experimental'!$AF142</f>
        <v>#REF!</v>
      </c>
      <c r="AJ142" s="4" t="e">
        <f aca="false">'Modelos Propostos'!B142+H142</f>
        <v>#REF!</v>
      </c>
      <c r="AK142" s="4" t="e">
        <f aca="false">AJ142/'Dataset experimental'!$AF142</f>
        <v>#REF!</v>
      </c>
      <c r="AV142" s="4" t="e">
        <f aca="false">'Modelos normativos'!S142+F142</f>
        <v>#REF!</v>
      </c>
      <c r="AW142" s="4" t="e">
        <f aca="false">AV142/'Dataset experimental'!$AF142</f>
        <v>#REF!</v>
      </c>
      <c r="BH142" s="4" t="e">
        <f aca="false">'Modelos Propostos'!B142+R142</f>
        <v>#REF!</v>
      </c>
      <c r="BI142" s="4" t="e">
        <f aca="false">BH142/'Dataset experimental'!$AF142</f>
        <v>#REF!</v>
      </c>
      <c r="BT142" s="4" t="n">
        <f aca="false">'Modelos Propostos'!B142+L142</f>
        <v>0.240249295330785</v>
      </c>
      <c r="BU142" s="4" t="n">
        <f aca="false">BT142/'Dataset experimental'!$AF142</f>
        <v>0.924035751272252</v>
      </c>
    </row>
    <row r="143" customFormat="false" ht="14.25" hidden="false" customHeight="false" outlineLevel="0" collapsed="false">
      <c r="A143" s="4" t="e">
        <f aca="false">0.0894*ABS(D143)-0.01603*E143</f>
        <v>#REF!</v>
      </c>
      <c r="B143" s="12" t="e">
        <f aca="false">'Dataset experimental'!K143*COS('Dataset experimental'!AC143)-'Dataset experimental'!M143-'Dataset experimental'!C143</f>
        <v>#REF!</v>
      </c>
      <c r="C143" s="12" t="e">
        <f aca="false">('Dataset experimental'!AE143+SIN('Avaliação do resultado ML'!B143))*0.70674187</f>
        <v>#REF!</v>
      </c>
      <c r="D143" s="12" t="e">
        <f aca="false">'Modelos Propostos'!E143+'Avaliação do resultado ML'!C143-'Modelos normativos'!AQ143</f>
        <v>#REF!</v>
      </c>
      <c r="E143" s="12" t="n">
        <f aca="false">'Modelos empíricos'!I143+1.1854</f>
        <v>2.47295566797311</v>
      </c>
      <c r="F143" s="4" t="e">
        <f aca="false">-0.01753*('Modelos normativos'!AN143-'Dataset experimental'!C143-ABS(G143)-('Modelos Propostos'!E143-'Modelos normativos'!AP143)/0.25291)</f>
        <v>#REF!</v>
      </c>
      <c r="G143" s="4" t="e">
        <f aca="false">'Dataset experimental'!K143+'Modelos empíricos'!K143^2+('Modelos Propostos'!E143-'Modelos normativos'!AQ143)*4.10553</f>
        <v>#REF!</v>
      </c>
      <c r="H143" s="4" t="e">
        <f aca="false">0.03283*(J143+K143)</f>
        <v>#REF!</v>
      </c>
      <c r="I143" s="4" t="e">
        <f aca="false">(1.61428/'Dataset experimental'!Q143)^3</f>
        <v>#REF!</v>
      </c>
      <c r="J143" s="4" t="e">
        <f aca="false">SIN('Dataset experimental'!E143)+1.450178*(SIN('Avaliação do resultado ML'!I143)+'Dataset experimental'!C143)</f>
        <v>#REF!</v>
      </c>
      <c r="K143" s="4" t="e">
        <f aca="false">('Modelos empíricos'!C143-'Dataset experimental'!G143)*'Dataset experimental'!AE143-'Modelos normativos'!AP143</f>
        <v>#REF!</v>
      </c>
      <c r="L143" s="4" t="n">
        <f aca="false">0.0076*'Dataset experimental'!B143+'Avaliação do resultado ML'!M143+'Avaliação do resultado ML'!N143+(-0.0328)*(0.0171*'Dataset experimental'!AD143-0.9442)*'Avaliação do resultado ML'!O143-'Avaliação do resultado ML'!P143-0.0364</f>
        <v>-0.197391074454577</v>
      </c>
      <c r="M143" s="12" t="n">
        <f aca="false">0.03283*SIN(0.7328*'Dataset experimental'!D143-1.8266)</f>
        <v>-0.0291654482027489</v>
      </c>
      <c r="N143" s="12" t="n">
        <f aca="false">0.0476*SIN(4.2067/(0.0095*'Dataset experimental'!P143-1.9338)^3)</f>
        <v>0.0455515796827476</v>
      </c>
      <c r="O143" s="12" t="n">
        <f aca="false">0.0214*'Dataset experimental'!F143-3.1067*'Dataset experimental'!B143*'Dataset experimental'!P143*('Dataset experimental'!T143-'Dataset experimental'!R143)*(0.39*'Dataset experimental'!P143*'Dataset experimental'!T143/'Dataset experimental'!V143-'Dataset experimental'!Z143+3.12)/(100000*'Dataset experimental'!V143)+0.7995</f>
        <v>-3.56052210214135</v>
      </c>
      <c r="P143" s="12" t="n">
        <f aca="false">0.4461*('Dataset experimental'!Z143-0.6*'Modelos normativos'!AB143)*(3.4*'Dataset experimental'!L143+0.17*'Dataset experimental'!B143/'Modelos normativos'!AC143)/200000</f>
        <v>0.155170725801923</v>
      </c>
      <c r="Q143" s="4" t="e">
        <f aca="false">L143/H143</f>
        <v>#REF!</v>
      </c>
      <c r="R143" s="4" t="e">
        <f aca="false">(-0.042-0.014*'Com TS variável MC2020'!Q152)*('Modelos normativos'!AP143-ABS('Modelos Propostos'!K143)-'Dataset experimental'!W143+COS(S143))</f>
        <v>#REF!</v>
      </c>
      <c r="S143" s="4" t="e">
        <f aca="false">'Dataset experimental'!O143-('Modelos normativos'!AQ143-SIN(0.083/('Dataset experimental'!M143-'Dataset experimental'!O143))-'Modelos empíricos'!I143)/0.646</f>
        <v>#REF!</v>
      </c>
      <c r="W143" s="4" t="e">
        <f aca="false">'Modelos normativos'!S143+'Avaliação do resultado ML'!A143</f>
        <v>#REF!</v>
      </c>
      <c r="X143" s="4" t="e">
        <f aca="false">W143/'Dataset experimental'!$AF143</f>
        <v>#REF!</v>
      </c>
      <c r="AJ143" s="4" t="e">
        <f aca="false">'Modelos Propostos'!B143+H143</f>
        <v>#REF!</v>
      </c>
      <c r="AK143" s="4" t="e">
        <f aca="false">AJ143/'Dataset experimental'!$AF143</f>
        <v>#REF!</v>
      </c>
      <c r="AV143" s="4" t="e">
        <f aca="false">'Modelos normativos'!S143+F143</f>
        <v>#REF!</v>
      </c>
      <c r="AW143" s="4" t="e">
        <f aca="false">AV143/'Dataset experimental'!$AF143</f>
        <v>#REF!</v>
      </c>
      <c r="BH143" s="4" t="e">
        <f aca="false">'Modelos Propostos'!B143+R143</f>
        <v>#REF!</v>
      </c>
      <c r="BI143" s="4" t="e">
        <f aca="false">BH143/'Dataset experimental'!$AF143</f>
        <v>#REF!</v>
      </c>
      <c r="BT143" s="4" t="n">
        <f aca="false">'Modelos Propostos'!B143+L143</f>
        <v>0.27366446864868</v>
      </c>
      <c r="BU143" s="4" t="n">
        <f aca="false">BT143/'Dataset experimental'!$AF143</f>
        <v>0.977373102316716</v>
      </c>
    </row>
    <row r="144" customFormat="false" ht="14.25" hidden="false" customHeight="false" outlineLevel="0" collapsed="false">
      <c r="A144" s="4" t="e">
        <f aca="false">0.0894*ABS(D144)-0.01603*E144</f>
        <v>#REF!</v>
      </c>
      <c r="B144" s="12" t="e">
        <f aca="false">'Dataset experimental'!K144*COS('Dataset experimental'!AC144)-'Dataset experimental'!M144-'Dataset experimental'!C144</f>
        <v>#REF!</v>
      </c>
      <c r="C144" s="12" t="e">
        <f aca="false">('Dataset experimental'!AE144+SIN('Avaliação do resultado ML'!B144))*0.70674187</f>
        <v>#REF!</v>
      </c>
      <c r="D144" s="12" t="e">
        <f aca="false">'Modelos Propostos'!E144+'Avaliação do resultado ML'!C144-'Modelos normativos'!AQ144</f>
        <v>#REF!</v>
      </c>
      <c r="E144" s="12" t="n">
        <f aca="false">'Modelos empíricos'!I144+1.1854</f>
        <v>0.636483498277121</v>
      </c>
      <c r="F144" s="4" t="e">
        <f aca="false">-0.01753*('Modelos normativos'!AN144-'Dataset experimental'!C144-ABS(G144)-('Modelos Propostos'!E144-'Modelos normativos'!AP144)/0.25291)</f>
        <v>#REF!</v>
      </c>
      <c r="G144" s="4" t="e">
        <f aca="false">'Dataset experimental'!K144+'Modelos empíricos'!K144^2+('Modelos Propostos'!E144-'Modelos normativos'!AQ144)*4.10553</f>
        <v>#REF!</v>
      </c>
      <c r="H144" s="4" t="e">
        <f aca="false">0.03283*(J144+K144)</f>
        <v>#REF!</v>
      </c>
      <c r="I144" s="4" t="e">
        <f aca="false">(1.61428/'Dataset experimental'!Q144)^3</f>
        <v>#REF!</v>
      </c>
      <c r="J144" s="4" t="e">
        <f aca="false">SIN('Dataset experimental'!E144)+1.450178*(SIN('Avaliação do resultado ML'!I144)+'Dataset experimental'!C144)</f>
        <v>#REF!</v>
      </c>
      <c r="K144" s="4" t="e">
        <f aca="false">('Modelos empíricos'!C144-'Dataset experimental'!G144)*'Dataset experimental'!AE144-'Modelos normativos'!AP144</f>
        <v>#REF!</v>
      </c>
      <c r="L144" s="4" t="n">
        <f aca="false">0.0076*'Dataset experimental'!B144+'Avaliação do resultado ML'!M144+'Avaliação do resultado ML'!N144+(-0.0328)*(0.0171*'Dataset experimental'!AD144-0.9442)*'Avaliação do resultado ML'!O144-'Avaliação do resultado ML'!P144-0.0364</f>
        <v>-0.0266394627305765</v>
      </c>
      <c r="M144" s="12" t="n">
        <f aca="false">0.03283*SIN(0.7328*'Dataset experimental'!D144-1.8266)</f>
        <v>-0.0291654482027489</v>
      </c>
      <c r="N144" s="12" t="n">
        <f aca="false">0.0476*SIN(4.2067/(0.0095*'Dataset experimental'!P144-1.9338)^3)</f>
        <v>0.0455515796827476</v>
      </c>
      <c r="O144" s="12" t="n">
        <f aca="false">0.0214*'Dataset experimental'!F144-3.1067*'Dataset experimental'!B144*'Dataset experimental'!P144*('Dataset experimental'!T144-'Dataset experimental'!R144)*(0.39*'Dataset experimental'!P144*'Dataset experimental'!T144/'Dataset experimental'!V144-'Dataset experimental'!Z144+3.12)/(100000*'Dataset experimental'!V144)+0.7995</f>
        <v>-0.845512766201099</v>
      </c>
      <c r="P144" s="12" t="n">
        <f aca="false">0.4461*('Dataset experimental'!Z144-0.6*'Modelos normativos'!AB144)*(3.4*'Dataset experimental'!L144+0.17*'Dataset experimental'!B144/'Modelos normativos'!AC144)/200000</f>
        <v>0.0582233760775449</v>
      </c>
      <c r="Q144" s="4" t="e">
        <f aca="false">L144/H144</f>
        <v>#REF!</v>
      </c>
      <c r="R144" s="4" t="e">
        <f aca="false">(-0.042-0.014*'Com TS variável MC2020'!Q153)*('Modelos normativos'!AP144-ABS('Modelos Propostos'!K144)-'Dataset experimental'!W144+COS(S144))</f>
        <v>#REF!</v>
      </c>
      <c r="S144" s="4" t="e">
        <f aca="false">'Dataset experimental'!O144-('Modelos normativos'!AQ144-SIN(0.083/('Dataset experimental'!M144-'Dataset experimental'!O144))-'Modelos empíricos'!I144)/0.646</f>
        <v>#REF!</v>
      </c>
      <c r="W144" s="4" t="e">
        <f aca="false">'Modelos normativos'!S144+'Avaliação do resultado ML'!A144</f>
        <v>#REF!</v>
      </c>
      <c r="X144" s="4" t="e">
        <f aca="false">W144/'Dataset experimental'!$AF144</f>
        <v>#REF!</v>
      </c>
      <c r="AJ144" s="4" t="e">
        <f aca="false">'Modelos Propostos'!B144+H144</f>
        <v>#REF!</v>
      </c>
      <c r="AK144" s="4" t="e">
        <f aca="false">AJ144/'Dataset experimental'!$AF144</f>
        <v>#REF!</v>
      </c>
      <c r="AV144" s="4" t="e">
        <f aca="false">'Modelos normativos'!S144+F144</f>
        <v>#REF!</v>
      </c>
      <c r="AW144" s="4" t="e">
        <f aca="false">AV144/'Dataset experimental'!$AF144</f>
        <v>#REF!</v>
      </c>
      <c r="BH144" s="4" t="e">
        <f aca="false">'Modelos Propostos'!B144+R144</f>
        <v>#REF!</v>
      </c>
      <c r="BI144" s="4" t="e">
        <f aca="false">BH144/'Dataset experimental'!$AF144</f>
        <v>#REF!</v>
      </c>
      <c r="BT144" s="4" t="n">
        <f aca="false">'Modelos Propostos'!B144+L144</f>
        <v>0.149781992648388</v>
      </c>
      <c r="BU144" s="4" t="n">
        <f aca="false">BT144/'Dataset experimental'!$AF144</f>
        <v>0.99854661765592</v>
      </c>
    </row>
    <row r="145" customFormat="false" ht="14.25" hidden="false" customHeight="false" outlineLevel="0" collapsed="false">
      <c r="A145" s="4" t="e">
        <f aca="false">0.0894*ABS(D145)-0.01603*E145</f>
        <v>#REF!</v>
      </c>
      <c r="B145" s="12" t="e">
        <f aca="false">'Dataset experimental'!K145*COS('Dataset experimental'!AC145)-'Dataset experimental'!M145-'Dataset experimental'!C145</f>
        <v>#REF!</v>
      </c>
      <c r="C145" s="12" t="e">
        <f aca="false">('Dataset experimental'!AE145+SIN('Avaliação do resultado ML'!B145))*0.70674187</f>
        <v>#REF!</v>
      </c>
      <c r="D145" s="12" t="e">
        <f aca="false">'Modelos Propostos'!E145+'Avaliação do resultado ML'!C145-'Modelos normativos'!AQ145</f>
        <v>#REF!</v>
      </c>
      <c r="E145" s="12" t="n">
        <f aca="false">'Modelos empíricos'!I145+1.1854</f>
        <v>0.910343383231785</v>
      </c>
      <c r="F145" s="4" t="e">
        <f aca="false">-0.01753*('Modelos normativos'!AN145-'Dataset experimental'!C145-ABS(G145)-('Modelos Propostos'!E145-'Modelos normativos'!AP145)/0.25291)</f>
        <v>#REF!</v>
      </c>
      <c r="G145" s="4" t="e">
        <f aca="false">'Dataset experimental'!K145+'Modelos empíricos'!K145^2+('Modelos Propostos'!E145-'Modelos normativos'!AQ145)*4.10553</f>
        <v>#REF!</v>
      </c>
      <c r="H145" s="4" t="e">
        <f aca="false">0.03283*(J145+K145)</f>
        <v>#REF!</v>
      </c>
      <c r="I145" s="4" t="e">
        <f aca="false">(1.61428/'Dataset experimental'!Q145)^3</f>
        <v>#REF!</v>
      </c>
      <c r="J145" s="4" t="e">
        <f aca="false">SIN('Dataset experimental'!E145)+1.450178*(SIN('Avaliação do resultado ML'!I145)+'Dataset experimental'!C145)</f>
        <v>#REF!</v>
      </c>
      <c r="K145" s="4" t="e">
        <f aca="false">('Modelos empíricos'!C145-'Dataset experimental'!G145)*'Dataset experimental'!AE145-'Modelos normativos'!AP145</f>
        <v>#REF!</v>
      </c>
      <c r="L145" s="4" t="n">
        <f aca="false">0.0076*'Dataset experimental'!B145+'Avaliação do resultado ML'!M145+'Avaliação do resultado ML'!N145+(-0.0328)*(0.0171*'Dataset experimental'!AD145-0.9442)*'Avaliação do resultado ML'!O145-'Avaliação do resultado ML'!P145-0.0364</f>
        <v>-0.0525429641324938</v>
      </c>
      <c r="M145" s="12" t="n">
        <f aca="false">0.03283*SIN(0.7328*'Dataset experimental'!D145-1.8266)</f>
        <v>-0.0291654482027489</v>
      </c>
      <c r="N145" s="12" t="n">
        <f aca="false">0.0476*SIN(4.2067/(0.0095*'Dataset experimental'!P145-1.9338)^3)</f>
        <v>0.0455515796827476</v>
      </c>
      <c r="O145" s="12" t="n">
        <f aca="false">0.0214*'Dataset experimental'!F145-3.1067*'Dataset experimental'!B145*'Dataset experimental'!P145*('Dataset experimental'!T145-'Dataset experimental'!R145)*(0.39*'Dataset experimental'!P145*'Dataset experimental'!T145/'Dataset experimental'!V145-'Dataset experimental'!Z145+3.12)/(100000*'Dataset experimental'!V145)+0.7995</f>
        <v>-1.25038257945535</v>
      </c>
      <c r="P145" s="12" t="n">
        <f aca="false">0.4461*('Dataset experimental'!Z145-0.6*'Modelos normativos'!AB145)*(3.4*'Dataset experimental'!L145+0.17*'Dataset experimental'!B145/'Modelos normativos'!AC145)/200000</f>
        <v>0.0726804370013557</v>
      </c>
      <c r="Q145" s="4" t="e">
        <f aca="false">L145/H145</f>
        <v>#REF!</v>
      </c>
      <c r="R145" s="4" t="e">
        <f aca="false">(-0.042-0.014*'Com TS variável MC2020'!Q154)*('Modelos normativos'!AP145-ABS('Modelos Propostos'!K145)-'Dataset experimental'!W145+COS(S145))</f>
        <v>#REF!</v>
      </c>
      <c r="S145" s="4" t="e">
        <f aca="false">'Dataset experimental'!O145-('Modelos normativos'!AQ145-SIN(0.083/('Dataset experimental'!M145-'Dataset experimental'!O145))-'Modelos empíricos'!I145)/0.646</f>
        <v>#REF!</v>
      </c>
      <c r="W145" s="4" t="e">
        <f aca="false">'Modelos normativos'!S145+'Avaliação do resultado ML'!A145</f>
        <v>#REF!</v>
      </c>
      <c r="X145" s="4" t="e">
        <f aca="false">W145/'Dataset experimental'!$AF145</f>
        <v>#REF!</v>
      </c>
      <c r="AJ145" s="4" t="e">
        <f aca="false">'Modelos Propostos'!B145+H145</f>
        <v>#REF!</v>
      </c>
      <c r="AK145" s="4" t="e">
        <f aca="false">AJ145/'Dataset experimental'!$AF145</f>
        <v>#REF!</v>
      </c>
      <c r="AV145" s="4" t="e">
        <f aca="false">'Modelos normativos'!S145+F145</f>
        <v>#REF!</v>
      </c>
      <c r="AW145" s="4" t="e">
        <f aca="false">AV145/'Dataset experimental'!$AF145</f>
        <v>#REF!</v>
      </c>
      <c r="BH145" s="4" t="e">
        <f aca="false">'Modelos Propostos'!B145+R145</f>
        <v>#REF!</v>
      </c>
      <c r="BI145" s="4" t="e">
        <f aca="false">BH145/'Dataset experimental'!$AF145</f>
        <v>#REF!</v>
      </c>
      <c r="BT145" s="4" t="n">
        <f aca="false">'Modelos Propostos'!B145+L145</f>
        <v>0.157227058001418</v>
      </c>
      <c r="BU145" s="4" t="n">
        <f aca="false">BT145/'Dataset experimental'!$AF145</f>
        <v>0.924865047067165</v>
      </c>
    </row>
    <row r="146" customFormat="false" ht="14.25" hidden="false" customHeight="false" outlineLevel="0" collapsed="false">
      <c r="A146" s="4" t="e">
        <f aca="false">0.0894*ABS(D146)-0.01603*E146</f>
        <v>#REF!</v>
      </c>
      <c r="B146" s="12" t="e">
        <f aca="false">'Dataset experimental'!K146*COS('Dataset experimental'!AC146)-'Dataset experimental'!M146-'Dataset experimental'!C146</f>
        <v>#REF!</v>
      </c>
      <c r="C146" s="12" t="e">
        <f aca="false">('Dataset experimental'!AE146+SIN('Avaliação do resultado ML'!B146))*0.70674187</f>
        <v>#REF!</v>
      </c>
      <c r="D146" s="12" t="e">
        <f aca="false">'Modelos Propostos'!E146+'Avaliação do resultado ML'!C146-'Modelos normativos'!AQ146</f>
        <v>#REF!</v>
      </c>
      <c r="E146" s="12" t="n">
        <f aca="false">'Modelos empíricos'!I146+1.1854</f>
        <v>1.16809386318912</v>
      </c>
      <c r="F146" s="4" t="e">
        <f aca="false">-0.01753*('Modelos normativos'!AN146-'Dataset experimental'!C146-ABS(G146)-('Modelos Propostos'!E146-'Modelos normativos'!AP146)/0.25291)</f>
        <v>#REF!</v>
      </c>
      <c r="G146" s="4" t="e">
        <f aca="false">'Dataset experimental'!K146+'Modelos empíricos'!K146^2+('Modelos Propostos'!E146-'Modelos normativos'!AQ146)*4.10553</f>
        <v>#REF!</v>
      </c>
      <c r="H146" s="4" t="e">
        <f aca="false">0.03283*(J146+K146)</f>
        <v>#REF!</v>
      </c>
      <c r="I146" s="4" t="e">
        <f aca="false">(1.61428/'Dataset experimental'!Q146)^3</f>
        <v>#REF!</v>
      </c>
      <c r="J146" s="4" t="e">
        <f aca="false">SIN('Dataset experimental'!E146)+1.450178*(SIN('Avaliação do resultado ML'!I146)+'Dataset experimental'!C146)</f>
        <v>#REF!</v>
      </c>
      <c r="K146" s="4" t="e">
        <f aca="false">('Modelos empíricos'!C146-'Dataset experimental'!G146)*'Dataset experimental'!AE146-'Modelos normativos'!AP146</f>
        <v>#REF!</v>
      </c>
      <c r="L146" s="4" t="n">
        <f aca="false">0.0076*'Dataset experimental'!B146+'Avaliação do resultado ML'!M146+'Avaliação do resultado ML'!N146+(-0.0328)*(0.0171*'Dataset experimental'!AD146-0.9442)*'Avaliação do resultado ML'!O146-'Avaliação do resultado ML'!P146-0.0364</f>
        <v>-0.0767816713047771</v>
      </c>
      <c r="M146" s="12" t="n">
        <f aca="false">0.03283*SIN(0.7328*'Dataset experimental'!D146-1.8266)</f>
        <v>-0.0291654482027489</v>
      </c>
      <c r="N146" s="12" t="n">
        <f aca="false">0.0476*SIN(4.2067/(0.0095*'Dataset experimental'!P146-1.9338)^3)</f>
        <v>0.0455515796827476</v>
      </c>
      <c r="O146" s="12" t="n">
        <f aca="false">0.0214*'Dataset experimental'!F146-3.1067*'Dataset experimental'!B146*'Dataset experimental'!P146*('Dataset experimental'!T146-'Dataset experimental'!R146)*(0.39*'Dataset experimental'!P146*'Dataset experimental'!T146/'Dataset experimental'!V146-'Dataset experimental'!Z146+3.12)/(100000*'Dataset experimental'!V146)+0.7995</f>
        <v>-1.6314365213417</v>
      </c>
      <c r="P146" s="12" t="n">
        <f aca="false">0.4461*('Dataset experimental'!Z146-0.6*'Modelos normativos'!AB146)*(3.4*'Dataset experimental'!L146+0.17*'Dataset experimental'!B146/'Modelos normativos'!AC146)/200000</f>
        <v>0.086287082576707</v>
      </c>
      <c r="Q146" s="4" t="e">
        <f aca="false">L146/H146</f>
        <v>#REF!</v>
      </c>
      <c r="R146" s="4" t="e">
        <f aca="false">(-0.042-0.014*'Com TS variável MC2020'!Q155)*('Modelos normativos'!AP146-ABS('Modelos Propostos'!K146)-'Dataset experimental'!W146+COS(S146))</f>
        <v>#REF!</v>
      </c>
      <c r="S146" s="4" t="e">
        <f aca="false">'Dataset experimental'!O146-('Modelos normativos'!AQ146-SIN(0.083/('Dataset experimental'!M146-'Dataset experimental'!O146))-'Modelos empíricos'!I146)/0.646</f>
        <v>#REF!</v>
      </c>
      <c r="W146" s="4" t="e">
        <f aca="false">'Modelos normativos'!S146+'Avaliação do resultado ML'!A146</f>
        <v>#REF!</v>
      </c>
      <c r="X146" s="4" t="e">
        <f aca="false">W146/'Dataset experimental'!$AF146</f>
        <v>#REF!</v>
      </c>
      <c r="AJ146" s="4" t="e">
        <f aca="false">'Modelos Propostos'!B146+H146</f>
        <v>#REF!</v>
      </c>
      <c r="AK146" s="4" t="e">
        <f aca="false">AJ146/'Dataset experimental'!$AF146</f>
        <v>#REF!</v>
      </c>
      <c r="AV146" s="4" t="e">
        <f aca="false">'Modelos normativos'!S146+F146</f>
        <v>#REF!</v>
      </c>
      <c r="AW146" s="4" t="e">
        <f aca="false">AV146/'Dataset experimental'!$AF146</f>
        <v>#REF!</v>
      </c>
      <c r="BH146" s="4" t="e">
        <f aca="false">'Modelos Propostos'!B146+R146</f>
        <v>#REF!</v>
      </c>
      <c r="BI146" s="4" t="e">
        <f aca="false">BH146/'Dataset experimental'!$AF146</f>
        <v>#REF!</v>
      </c>
      <c r="BT146" s="4" t="n">
        <f aca="false">'Modelos Propostos'!B146+L146</f>
        <v>0.167010777262561</v>
      </c>
      <c r="BU146" s="4" t="n">
        <f aca="false">BT146/'Dataset experimental'!$AF146</f>
        <v>0.879004090855585</v>
      </c>
    </row>
    <row r="147" customFormat="false" ht="14.25" hidden="false" customHeight="false" outlineLevel="0" collapsed="false">
      <c r="A147" s="4" t="e">
        <f aca="false">0.0894*ABS(D147)-0.01603*E147</f>
        <v>#REF!</v>
      </c>
      <c r="B147" s="12" t="e">
        <f aca="false">'Dataset experimental'!K147*COS('Dataset experimental'!AC147)-'Dataset experimental'!M147-'Dataset experimental'!C147</f>
        <v>#REF!</v>
      </c>
      <c r="C147" s="12" t="e">
        <f aca="false">('Dataset experimental'!AE147+SIN('Avaliação do resultado ML'!B147))*0.70674187</f>
        <v>#REF!</v>
      </c>
      <c r="D147" s="12" t="e">
        <f aca="false">'Modelos Propostos'!E147+'Avaliação do resultado ML'!C147-'Modelos normativos'!AQ147</f>
        <v>#REF!</v>
      </c>
      <c r="E147" s="12" t="n">
        <f aca="false">'Modelos empíricos'!I147+1.1854</f>
        <v>1.40168023565045</v>
      </c>
      <c r="F147" s="4" t="e">
        <f aca="false">-0.01753*('Modelos normativos'!AN147-'Dataset experimental'!C147-ABS(G147)-('Modelos Propostos'!E147-'Modelos normativos'!AP147)/0.25291)</f>
        <v>#REF!</v>
      </c>
      <c r="G147" s="4" t="e">
        <f aca="false">'Dataset experimental'!K147+'Modelos empíricos'!K147^2+('Modelos Propostos'!E147-'Modelos normativos'!AQ147)*4.10553</f>
        <v>#REF!</v>
      </c>
      <c r="H147" s="4" t="e">
        <f aca="false">0.03283*(J147+K147)</f>
        <v>#REF!</v>
      </c>
      <c r="I147" s="4" t="e">
        <f aca="false">(1.61428/'Dataset experimental'!Q147)^3</f>
        <v>#REF!</v>
      </c>
      <c r="J147" s="4" t="e">
        <f aca="false">SIN('Dataset experimental'!E147)+1.450178*(SIN('Avaliação do resultado ML'!I147)+'Dataset experimental'!C147)</f>
        <v>#REF!</v>
      </c>
      <c r="K147" s="4" t="e">
        <f aca="false">('Modelos empíricos'!C147-'Dataset experimental'!G147)*'Dataset experimental'!AE147-'Modelos normativos'!AP147</f>
        <v>#REF!</v>
      </c>
      <c r="L147" s="4" t="n">
        <f aca="false">0.0076*'Dataset experimental'!B147+'Avaliação do resultado ML'!M147+'Avaliação do resultado ML'!N147+(-0.0328)*(0.0171*'Dataset experimental'!AD147-0.9442)*'Avaliação do resultado ML'!O147-'Avaliação do resultado ML'!P147-0.0364</f>
        <v>-0.0986298495323831</v>
      </c>
      <c r="M147" s="12" t="n">
        <f aca="false">0.03283*SIN(0.7328*'Dataset experimental'!D147-1.8266)</f>
        <v>-0.0291654482027489</v>
      </c>
      <c r="N147" s="12" t="n">
        <f aca="false">0.0476*SIN(4.2067/(0.0095*'Dataset experimental'!P147-1.9338)^3)</f>
        <v>0.0455515796827476</v>
      </c>
      <c r="O147" s="12" t="n">
        <f aca="false">0.0214*'Dataset experimental'!F147-3.1067*'Dataset experimental'!B147*'Dataset experimental'!P147*('Dataset experimental'!T147-'Dataset experimental'!R147)*(0.39*'Dataset experimental'!P147*'Dataset experimental'!T147/'Dataset experimental'!V147-'Dataset experimental'!Z147+3.12)/(100000*'Dataset experimental'!V147)+0.7995</f>
        <v>-1.9767666561762</v>
      </c>
      <c r="P147" s="12" t="n">
        <f aca="false">0.4461*('Dataset experimental'!Z147-0.6*'Modelos normativos'!AB147)*(3.4*'Dataset experimental'!L147+0.17*'Dataset experimental'!B147/'Modelos normativos'!AC147)/200000</f>
        <v>0.0986181051293692</v>
      </c>
      <c r="Q147" s="4" t="e">
        <f aca="false">L147/H147</f>
        <v>#REF!</v>
      </c>
      <c r="R147" s="4" t="e">
        <f aca="false">(-0.042-0.014*'Com TS variável MC2020'!Q156)*('Modelos normativos'!AP147-ABS('Modelos Propostos'!K147)-'Dataset experimental'!W147+COS(S147))</f>
        <v>#REF!</v>
      </c>
      <c r="S147" s="4" t="e">
        <f aca="false">'Dataset experimental'!O147-('Modelos normativos'!AQ147-SIN(0.083/('Dataset experimental'!M147-'Dataset experimental'!O147))-'Modelos empíricos'!I147)/0.646</f>
        <v>#REF!</v>
      </c>
      <c r="W147" s="4" t="e">
        <f aca="false">'Modelos normativos'!S147+'Avaliação do resultado ML'!A147</f>
        <v>#REF!</v>
      </c>
      <c r="X147" s="4" t="e">
        <f aca="false">W147/'Dataset experimental'!$AF147</f>
        <v>#REF!</v>
      </c>
      <c r="AJ147" s="4" t="e">
        <f aca="false">'Modelos Propostos'!B147+H147</f>
        <v>#REF!</v>
      </c>
      <c r="AK147" s="4" t="e">
        <f aca="false">AJ147/'Dataset experimental'!$AF147</f>
        <v>#REF!</v>
      </c>
      <c r="AV147" s="4" t="e">
        <f aca="false">'Modelos normativos'!S147+F147</f>
        <v>#REF!</v>
      </c>
      <c r="AW147" s="4" t="e">
        <f aca="false">AV147/'Dataset experimental'!$AF147</f>
        <v>#REF!</v>
      </c>
      <c r="BH147" s="4" t="e">
        <f aca="false">'Modelos Propostos'!B147+R147</f>
        <v>#REF!</v>
      </c>
      <c r="BI147" s="4" t="e">
        <f aca="false">BH147/'Dataset experimental'!$AF147</f>
        <v>#REF!</v>
      </c>
      <c r="BT147" s="4" t="n">
        <f aca="false">'Modelos Propostos'!B147+L147</f>
        <v>0.178202937381413</v>
      </c>
      <c r="BU147" s="4" t="n">
        <f aca="false">BT147/'Dataset experimental'!$AF147</f>
        <v>0.891014686907066</v>
      </c>
    </row>
    <row r="148" customFormat="false" ht="14.25" hidden="false" customHeight="false" outlineLevel="0" collapsed="false">
      <c r="A148" s="4" t="e">
        <f aca="false">0.0894*ABS(D148)-0.01603*E148</f>
        <v>#REF!</v>
      </c>
      <c r="B148" s="12" t="e">
        <f aca="false">'Dataset experimental'!K148*COS('Dataset experimental'!AC148)-'Dataset experimental'!M148-'Dataset experimental'!C148</f>
        <v>#REF!</v>
      </c>
      <c r="C148" s="12" t="e">
        <f aca="false">('Dataset experimental'!AE148+SIN('Avaliação do resultado ML'!B148))*0.70674187</f>
        <v>#REF!</v>
      </c>
      <c r="D148" s="12" t="e">
        <f aca="false">'Modelos Propostos'!E148+'Avaliação do resultado ML'!C148-'Modelos normativos'!AQ148</f>
        <v>#REF!</v>
      </c>
      <c r="E148" s="12" t="n">
        <f aca="false">'Modelos empíricos'!I148+1.1854</f>
        <v>1.66748541810645</v>
      </c>
      <c r="F148" s="4" t="e">
        <f aca="false">-0.01753*('Modelos normativos'!AN148-'Dataset experimental'!C148-ABS(G148)-('Modelos Propostos'!E148-'Modelos normativos'!AP148)/0.25291)</f>
        <v>#REF!</v>
      </c>
      <c r="G148" s="4" t="e">
        <f aca="false">'Dataset experimental'!K148+'Modelos empíricos'!K148^2+('Modelos Propostos'!E148-'Modelos normativos'!AQ148)*4.10553</f>
        <v>#REF!</v>
      </c>
      <c r="H148" s="4" t="e">
        <f aca="false">0.03283*(J148+K148)</f>
        <v>#REF!</v>
      </c>
      <c r="I148" s="4" t="e">
        <f aca="false">(1.61428/'Dataset experimental'!Q148)^3</f>
        <v>#REF!</v>
      </c>
      <c r="J148" s="4" t="e">
        <f aca="false">SIN('Dataset experimental'!E148)+1.450178*(SIN('Avaliação do resultado ML'!I148)+'Dataset experimental'!C148)</f>
        <v>#REF!</v>
      </c>
      <c r="K148" s="4" t="e">
        <f aca="false">('Modelos empíricos'!C148-'Dataset experimental'!G148)*'Dataset experimental'!AE148-'Modelos normativos'!AP148</f>
        <v>#REF!</v>
      </c>
      <c r="L148" s="4" t="n">
        <f aca="false">0.0076*'Dataset experimental'!B148+'Avaliação do resultado ML'!M148+'Avaliação do resultado ML'!N148+(-0.0328)*(0.0171*'Dataset experimental'!AD148-0.9442)*'Avaliação do resultado ML'!O148-'Avaliação do resultado ML'!P148-0.0364</f>
        <v>-0.123354918820594</v>
      </c>
      <c r="M148" s="12" t="n">
        <f aca="false">0.03283*SIN(0.7328*'Dataset experimental'!D148-1.8266)</f>
        <v>-0.0291654482027489</v>
      </c>
      <c r="N148" s="12" t="n">
        <f aca="false">0.0476*SIN(4.2067/(0.0095*'Dataset experimental'!P148-1.9338)^3)</f>
        <v>0.0455515796827476</v>
      </c>
      <c r="O148" s="12" t="n">
        <f aca="false">0.0214*'Dataset experimental'!F148-3.1067*'Dataset experimental'!B148*'Dataset experimental'!P148*('Dataset experimental'!T148-'Dataset experimental'!R148)*(0.39*'Dataset experimental'!P148*'Dataset experimental'!T148/'Dataset experimental'!V148-'Dataset experimental'!Z148+3.12)/(100000*'Dataset experimental'!V148)+0.7995</f>
        <v>-2.3697285337465</v>
      </c>
      <c r="P148" s="12" t="n">
        <f aca="false">0.4461*('Dataset experimental'!Z148-0.6*'Modelos normativos'!AB148)*(3.4*'Dataset experimental'!L148+0.17*'Dataset experimental'!B148/'Modelos normativos'!AC148)/200000</f>
        <v>0.11264995837895</v>
      </c>
      <c r="Q148" s="4" t="e">
        <f aca="false">L148/H148</f>
        <v>#REF!</v>
      </c>
      <c r="R148" s="4" t="e">
        <f aca="false">(-0.042-0.014*'Com TS variável MC2020'!Q157)*('Modelos normativos'!AP148-ABS('Modelos Propostos'!K148)-'Dataset experimental'!W148+COS(S148))</f>
        <v>#REF!</v>
      </c>
      <c r="S148" s="4" t="e">
        <f aca="false">'Dataset experimental'!O148-('Modelos normativos'!AQ148-SIN(0.083/('Dataset experimental'!M148-'Dataset experimental'!O148))-'Modelos empíricos'!I148)/0.646</f>
        <v>#REF!</v>
      </c>
      <c r="W148" s="4" t="e">
        <f aca="false">'Modelos normativos'!S148+'Avaliação do resultado ML'!A148</f>
        <v>#REF!</v>
      </c>
      <c r="X148" s="4" t="e">
        <f aca="false">W148/'Dataset experimental'!$AF148</f>
        <v>#REF!</v>
      </c>
      <c r="AJ148" s="4" t="e">
        <f aca="false">'Modelos Propostos'!B148+H148</f>
        <v>#REF!</v>
      </c>
      <c r="AK148" s="4" t="e">
        <f aca="false">AJ148/'Dataset experimental'!$AF148</f>
        <v>#REF!</v>
      </c>
      <c r="AV148" s="4" t="e">
        <f aca="false">'Modelos normativos'!S148+F148</f>
        <v>#REF!</v>
      </c>
      <c r="AW148" s="4" t="e">
        <f aca="false">AV148/'Dataset experimental'!$AF148</f>
        <v>#REF!</v>
      </c>
      <c r="BH148" s="4" t="e">
        <f aca="false">'Modelos Propostos'!B148+R148</f>
        <v>#REF!</v>
      </c>
      <c r="BI148" s="4" t="e">
        <f aca="false">BH148/'Dataset experimental'!$AF148</f>
        <v>#REF!</v>
      </c>
      <c r="BT148" s="4" t="n">
        <f aca="false">'Modelos Propostos'!B148+L148</f>
        <v>0.193628673935907</v>
      </c>
      <c r="BU148" s="4" t="n">
        <f aca="false">BT148/'Dataset experimental'!$AF148</f>
        <v>0.880130336072305</v>
      </c>
    </row>
    <row r="149" customFormat="false" ht="14.25" hidden="false" customHeight="false" outlineLevel="0" collapsed="false">
      <c r="A149" s="4" t="e">
        <f aca="false">0.0894*ABS(D149)-0.01603*E149</f>
        <v>#REF!</v>
      </c>
      <c r="B149" s="12" t="e">
        <f aca="false">'Dataset experimental'!K149*COS('Dataset experimental'!AC149)-'Dataset experimental'!M149-'Dataset experimental'!C149</f>
        <v>#REF!</v>
      </c>
      <c r="C149" s="12" t="e">
        <f aca="false">('Dataset experimental'!AE149+SIN('Avaliação do resultado ML'!B149))*0.70674187</f>
        <v>#REF!</v>
      </c>
      <c r="D149" s="12" t="e">
        <f aca="false">'Modelos Propostos'!E149+'Avaliação do resultado ML'!C149-'Modelos normativos'!AQ149</f>
        <v>#REF!</v>
      </c>
      <c r="E149" s="12" t="n">
        <f aca="false">'Modelos empíricos'!I149+1.1854</f>
        <v>1.93329060056244</v>
      </c>
      <c r="F149" s="4" t="e">
        <f aca="false">-0.01753*('Modelos normativos'!AN149-'Dataset experimental'!C149-ABS(G149)-('Modelos Propostos'!E149-'Modelos normativos'!AP149)/0.25291)</f>
        <v>#REF!</v>
      </c>
      <c r="G149" s="4" t="e">
        <f aca="false">'Dataset experimental'!K149+'Modelos empíricos'!K149^2+('Modelos Propostos'!E149-'Modelos normativos'!AQ149)*4.10553</f>
        <v>#REF!</v>
      </c>
      <c r="H149" s="4" t="e">
        <f aca="false">0.03283*(J149+K149)</f>
        <v>#REF!</v>
      </c>
      <c r="I149" s="4" t="e">
        <f aca="false">(1.61428/'Dataset experimental'!Q149)^3</f>
        <v>#REF!</v>
      </c>
      <c r="J149" s="4" t="e">
        <f aca="false">SIN('Dataset experimental'!E149)+1.450178*(SIN('Avaliação do resultado ML'!I149)+'Dataset experimental'!C149)</f>
        <v>#REF!</v>
      </c>
      <c r="K149" s="4" t="e">
        <f aca="false">('Modelos empíricos'!C149-'Dataset experimental'!G149)*'Dataset experimental'!AE149-'Modelos normativos'!AP149</f>
        <v>#REF!</v>
      </c>
      <c r="L149" s="4" t="n">
        <f aca="false">0.0076*'Dataset experimental'!B149+'Avaliação do resultado ML'!M149+'Avaliação do resultado ML'!N149+(-0.0328)*(0.0171*'Dataset experimental'!AD149-0.9442)*'Avaliação do resultado ML'!O149-'Avaliação do resultado ML'!P149-0.0364</f>
        <v>-0.147934521166596</v>
      </c>
      <c r="M149" s="12" t="n">
        <f aca="false">0.03283*SIN(0.7328*'Dataset experimental'!D149-1.8266)</f>
        <v>-0.0291654482027489</v>
      </c>
      <c r="N149" s="12" t="n">
        <f aca="false">0.0476*SIN(4.2067/(0.0095*'Dataset experimental'!P149-1.9338)^3)</f>
        <v>0.0455515796827476</v>
      </c>
      <c r="O149" s="12" t="n">
        <f aca="false">0.0214*'Dataset experimental'!F149-3.1067*'Dataset experimental'!B149*'Dataset experimental'!P149*('Dataset experimental'!T149-'Dataset experimental'!R149)*(0.39*'Dataset experimental'!P149*'Dataset experimental'!T149/'Dataset experimental'!V149-'Dataset experimental'!Z149+3.12)/(100000*'Dataset experimental'!V149)+0.7995</f>
        <v>-2.7626904113168</v>
      </c>
      <c r="P149" s="12" t="n">
        <f aca="false">0.4461*('Dataset experimental'!Z149-0.6*'Modelos normativos'!AB149)*(3.4*'Dataset experimental'!L149+0.17*'Dataset experimental'!B149/'Modelos normativos'!AC149)/200000</f>
        <v>0.126681811628531</v>
      </c>
      <c r="Q149" s="4" t="e">
        <f aca="false">L149/H149</f>
        <v>#REF!</v>
      </c>
      <c r="R149" s="4" t="e">
        <f aca="false">(-0.042-0.014*'Com TS variável MC2020'!Q158)*('Modelos normativos'!AP149-ABS('Modelos Propostos'!K149)-'Dataset experimental'!W149+COS(S149))</f>
        <v>#REF!</v>
      </c>
      <c r="S149" s="4" t="e">
        <f aca="false">'Dataset experimental'!O149-('Modelos normativos'!AQ149-SIN(0.083/('Dataset experimental'!M149-'Dataset experimental'!O149))-'Modelos empíricos'!I149)/0.646</f>
        <v>#REF!</v>
      </c>
      <c r="W149" s="4" t="e">
        <f aca="false">'Modelos normativos'!S149+'Avaliação do resultado ML'!A149</f>
        <v>#REF!</v>
      </c>
      <c r="X149" s="4" t="e">
        <f aca="false">W149/'Dataset experimental'!$AF149</f>
        <v>#REF!</v>
      </c>
      <c r="AJ149" s="4" t="e">
        <f aca="false">'Modelos Propostos'!B149+H149</f>
        <v>#REF!</v>
      </c>
      <c r="AK149" s="4" t="e">
        <f aca="false">AJ149/'Dataset experimental'!$AF149</f>
        <v>#REF!</v>
      </c>
      <c r="AV149" s="4" t="e">
        <f aca="false">'Modelos normativos'!S149+F149</f>
        <v>#REF!</v>
      </c>
      <c r="AW149" s="4" t="e">
        <f aca="false">AV149/'Dataset experimental'!$AF149</f>
        <v>#REF!</v>
      </c>
      <c r="BH149" s="4" t="e">
        <f aca="false">'Modelos Propostos'!B149+R149</f>
        <v>#REF!</v>
      </c>
      <c r="BI149" s="4" t="e">
        <f aca="false">BH149/'Dataset experimental'!$AF149</f>
        <v>#REF!</v>
      </c>
      <c r="BT149" s="4" t="n">
        <f aca="false">'Modelos Propostos'!B149+L149</f>
        <v>0.211917778135808</v>
      </c>
      <c r="BU149" s="4" t="n">
        <f aca="false">BT149/'Dataset experimental'!$AF149</f>
        <v>0.882990742232533</v>
      </c>
    </row>
    <row r="150" customFormat="false" ht="14.25" hidden="false" customHeight="false" outlineLevel="0" collapsed="false">
      <c r="A150" s="4" t="e">
        <f aca="false">0.0894*ABS(D150)-0.01603*E150</f>
        <v>#REF!</v>
      </c>
      <c r="B150" s="12" t="e">
        <f aca="false">'Dataset experimental'!K150*COS('Dataset experimental'!AC150)-'Dataset experimental'!M150-'Dataset experimental'!C150</f>
        <v>#REF!</v>
      </c>
      <c r="C150" s="12" t="e">
        <f aca="false">('Dataset experimental'!AE150+SIN('Avaliação do resultado ML'!B150))*0.70674187</f>
        <v>#REF!</v>
      </c>
      <c r="D150" s="12" t="e">
        <f aca="false">'Modelos Propostos'!E150+'Avaliação do resultado ML'!C150-'Modelos normativos'!AQ150</f>
        <v>#REF!</v>
      </c>
      <c r="E150" s="12" t="n">
        <f aca="false">'Modelos empíricos'!I150+1.1854</f>
        <v>2.15882227052511</v>
      </c>
      <c r="F150" s="4" t="e">
        <f aca="false">-0.01753*('Modelos normativos'!AN150-'Dataset experimental'!C150-ABS(G150)-('Modelos Propostos'!E150-'Modelos normativos'!AP150)/0.25291)</f>
        <v>#REF!</v>
      </c>
      <c r="G150" s="4" t="e">
        <f aca="false">'Dataset experimental'!K150+'Modelos empíricos'!K150^2+('Modelos Propostos'!E150-'Modelos normativos'!AQ150)*4.10553</f>
        <v>#REF!</v>
      </c>
      <c r="H150" s="4" t="e">
        <f aca="false">0.03283*(J150+K150)</f>
        <v>#REF!</v>
      </c>
      <c r="I150" s="4" t="e">
        <f aca="false">(1.61428/'Dataset experimental'!Q150)^3</f>
        <v>#REF!</v>
      </c>
      <c r="J150" s="4" t="e">
        <f aca="false">SIN('Dataset experimental'!E150)+1.450178*(SIN('Avaliação do resultado ML'!I150)+'Dataset experimental'!C150)</f>
        <v>#REF!</v>
      </c>
      <c r="K150" s="4" t="e">
        <f aca="false">('Modelos empíricos'!C150-'Dataset experimental'!G150)*'Dataset experimental'!AE150-'Modelos normativos'!AP150</f>
        <v>#REF!</v>
      </c>
      <c r="L150" s="4" t="n">
        <f aca="false">0.0076*'Dataset experimental'!B150+'Avaliação do resultado ML'!M150+'Avaliação do resultado ML'!N150+(-0.0328)*(0.0171*'Dataset experimental'!AD150-0.9442)*'Avaliação do resultado ML'!O150-'Avaliação do resultado ML'!P150-0.0364</f>
        <v>-0.168675865334695</v>
      </c>
      <c r="M150" s="12" t="n">
        <f aca="false">0.03283*SIN(0.7328*'Dataset experimental'!D150-1.8266)</f>
        <v>-0.0291654482027489</v>
      </c>
      <c r="N150" s="12" t="n">
        <f aca="false">0.0476*SIN(4.2067/(0.0095*'Dataset experimental'!P150-1.9338)^3)</f>
        <v>0.0455515796827476</v>
      </c>
      <c r="O150" s="12" t="n">
        <f aca="false">0.0214*'Dataset experimental'!F150-3.1067*'Dataset experimental'!B150*'Dataset experimental'!P150*('Dataset experimental'!T150-'Dataset experimental'!R150)*(0.39*'Dataset experimental'!P150*'Dataset experimental'!T150/'Dataset experimental'!V150-'Dataset experimental'!Z150+3.12)/(100000*'Dataset experimental'!V150)+0.7995</f>
        <v>-3.09611261046736</v>
      </c>
      <c r="P150" s="12" t="n">
        <f aca="false">0.4461*('Dataset experimental'!Z150-0.6*'Modelos normativos'!AB150)*(3.4*'Dataset experimental'!L150+0.17*'Dataset experimental'!B150/'Modelos normativos'!AC150)/200000</f>
        <v>0.138587626506964</v>
      </c>
      <c r="Q150" s="4" t="e">
        <f aca="false">L150/H150</f>
        <v>#REF!</v>
      </c>
      <c r="R150" s="4" t="e">
        <f aca="false">(-0.042-0.014*'Com TS variável MC2020'!Q159)*('Modelos normativos'!AP150-ABS('Modelos Propostos'!K150)-'Dataset experimental'!W150+COS(S150))</f>
        <v>#REF!</v>
      </c>
      <c r="S150" s="4" t="e">
        <f aca="false">'Dataset experimental'!O150-('Modelos normativos'!AQ150-SIN(0.083/('Dataset experimental'!M150-'Dataset experimental'!O150))-'Modelos empíricos'!I150)/0.646</f>
        <v>#REF!</v>
      </c>
      <c r="W150" s="4" t="e">
        <f aca="false">'Modelos normativos'!S150+'Avaliação do resultado ML'!A150</f>
        <v>#REF!</v>
      </c>
      <c r="X150" s="4" t="e">
        <f aca="false">W150/'Dataset experimental'!$AF150</f>
        <v>#REF!</v>
      </c>
      <c r="AJ150" s="4" t="e">
        <f aca="false">'Modelos Propostos'!B150+H150</f>
        <v>#REF!</v>
      </c>
      <c r="AK150" s="4" t="e">
        <f aca="false">AJ150/'Dataset experimental'!$AF150</f>
        <v>#REF!</v>
      </c>
      <c r="AV150" s="4" t="e">
        <f aca="false">'Modelos normativos'!S150+F150</f>
        <v>#REF!</v>
      </c>
      <c r="AW150" s="4" t="e">
        <f aca="false">AV150/'Dataset experimental'!$AF150</f>
        <v>#REF!</v>
      </c>
      <c r="BH150" s="4" t="e">
        <f aca="false">'Modelos Propostos'!B150+R150</f>
        <v>#REF!</v>
      </c>
      <c r="BI150" s="4" t="e">
        <f aca="false">BH150/'Dataset experimental'!$AF150</f>
        <v>#REF!</v>
      </c>
      <c r="BT150" s="4" t="n">
        <f aca="false">'Modelos Propostos'!B150+L150</f>
        <v>0.237472511894165</v>
      </c>
      <c r="BU150" s="4" t="n">
        <f aca="false">BT150/'Dataset experimental'!$AF150</f>
        <v>0.913355814977558</v>
      </c>
    </row>
    <row r="151" customFormat="false" ht="14.25" hidden="false" customHeight="false" outlineLevel="0" collapsed="false">
      <c r="A151" s="4" t="e">
        <f aca="false">0.0894*ABS(D151)-0.01603*E151</f>
        <v>#REF!</v>
      </c>
      <c r="B151" s="12" t="e">
        <f aca="false">'Dataset experimental'!K151*COS('Dataset experimental'!AC151)-'Dataset experimental'!M151-'Dataset experimental'!C151</f>
        <v>#REF!</v>
      </c>
      <c r="C151" s="12" t="e">
        <f aca="false">('Dataset experimental'!AE151+SIN('Avaliação do resultado ML'!B151))*0.70674187</f>
        <v>#REF!</v>
      </c>
      <c r="D151" s="12" t="e">
        <f aca="false">'Modelos Propostos'!E151+'Avaliação do resultado ML'!C151-'Modelos normativos'!AQ151</f>
        <v>#REF!</v>
      </c>
      <c r="E151" s="12" t="n">
        <f aca="false">'Modelos empíricos'!I151+1.1854</f>
        <v>2.37629923798911</v>
      </c>
      <c r="F151" s="4" t="e">
        <f aca="false">-0.01753*('Modelos normativos'!AN151-'Dataset experimental'!C151-ABS(G151)-('Modelos Propostos'!E151-'Modelos normativos'!AP151)/0.25291)</f>
        <v>#REF!</v>
      </c>
      <c r="G151" s="4" t="e">
        <f aca="false">'Dataset experimental'!K151+'Modelos empíricos'!K151^2+('Modelos Propostos'!E151-'Modelos normativos'!AQ151)*4.10553</f>
        <v>#REF!</v>
      </c>
      <c r="H151" s="4" t="e">
        <f aca="false">0.03283*(J151+K151)</f>
        <v>#REF!</v>
      </c>
      <c r="I151" s="4" t="e">
        <f aca="false">(1.61428/'Dataset experimental'!Q151)^3</f>
        <v>#REF!</v>
      </c>
      <c r="J151" s="4" t="e">
        <f aca="false">SIN('Dataset experimental'!E151)+1.450178*(SIN('Avaliação do resultado ML'!I151)+'Dataset experimental'!C151)</f>
        <v>#REF!</v>
      </c>
      <c r="K151" s="4" t="e">
        <f aca="false">('Modelos empíricos'!C151-'Dataset experimental'!G151)*'Dataset experimental'!AE151-'Modelos normativos'!AP151</f>
        <v>#REF!</v>
      </c>
      <c r="L151" s="4" t="n">
        <f aca="false">0.0076*'Dataset experimental'!B151+'Avaliação do resultado ML'!M151+'Avaliação do resultado ML'!N151+(-0.0328)*(0.0171*'Dataset experimental'!AD151-0.9442)*'Avaliação do resultado ML'!O151-'Avaliação do resultado ML'!P151-0.0364</f>
        <v>-0.188577265205024</v>
      </c>
      <c r="M151" s="12" t="n">
        <f aca="false">0.03283*SIN(0.7328*'Dataset experimental'!D151-1.8266)</f>
        <v>-0.0291654482027489</v>
      </c>
      <c r="N151" s="12" t="n">
        <f aca="false">0.0476*SIN(4.2067/(0.0095*'Dataset experimental'!P151-1.9338)^3)</f>
        <v>0.0455515796827476</v>
      </c>
      <c r="O151" s="12" t="n">
        <f aca="false">0.0214*'Dataset experimental'!F151-3.1067*'Dataset experimental'!B151*'Dataset experimental'!P151*('Dataset experimental'!T151-'Dataset experimental'!R151)*(0.39*'Dataset experimental'!P151*'Dataset experimental'!T151/'Dataset experimental'!V151-'Dataset experimental'!Z151+3.12)/(100000*'Dataset experimental'!V151)+0.7995</f>
        <v>-3.41762687393397</v>
      </c>
      <c r="P151" s="12" t="n">
        <f aca="false">0.4461*('Dataset experimental'!Z151-0.6*'Modelos normativos'!AB151)*(3.4*'Dataset experimental'!L151+0.17*'Dataset experimental'!B151/'Modelos normativos'!AC151)/200000</f>
        <v>0.150068233711166</v>
      </c>
      <c r="Q151" s="4" t="e">
        <f aca="false">L151/H151</f>
        <v>#REF!</v>
      </c>
      <c r="R151" s="4" t="e">
        <f aca="false">(-0.042-0.014*'Com TS variável MC2020'!Q160)*('Modelos normativos'!AP151-ABS('Modelos Propostos'!K151)-'Dataset experimental'!W151+COS(S151))</f>
        <v>#REF!</v>
      </c>
      <c r="S151" s="4" t="e">
        <f aca="false">'Dataset experimental'!O151-('Modelos normativos'!AQ151-SIN(0.083/('Dataset experimental'!M151-'Dataset experimental'!O151))-'Modelos empíricos'!I151)/0.646</f>
        <v>#REF!</v>
      </c>
      <c r="W151" s="4" t="e">
        <f aca="false">'Modelos normativos'!S151+'Avaliação do resultado ML'!A151</f>
        <v>#REF!</v>
      </c>
      <c r="X151" s="4" t="e">
        <f aca="false">W151/'Dataset experimental'!$AF151</f>
        <v>#REF!</v>
      </c>
      <c r="AJ151" s="4" t="e">
        <f aca="false">'Modelos Propostos'!B151+H151</f>
        <v>#REF!</v>
      </c>
      <c r="AK151" s="4" t="e">
        <f aca="false">AJ151/'Dataset experimental'!$AF151</f>
        <v>#REF!</v>
      </c>
      <c r="AV151" s="4" t="e">
        <f aca="false">'Modelos normativos'!S151+F151</f>
        <v>#REF!</v>
      </c>
      <c r="AW151" s="4" t="e">
        <f aca="false">AV151/'Dataset experimental'!$AF151</f>
        <v>#REF!</v>
      </c>
      <c r="BH151" s="4" t="e">
        <f aca="false">'Modelos Propostos'!B151+R151</f>
        <v>#REF!</v>
      </c>
      <c r="BI151" s="4" t="e">
        <f aca="false">BH151/'Dataset experimental'!$AF151</f>
        <v>#REF!</v>
      </c>
      <c r="BT151" s="4" t="n">
        <f aca="false">'Modelos Propostos'!B151+L151</f>
        <v>0.262506842244572</v>
      </c>
      <c r="BU151" s="4" t="n">
        <f aca="false">BT151/'Dataset experimental'!$AF151</f>
        <v>0.905196007739904</v>
      </c>
    </row>
    <row r="152" customFormat="false" ht="14.25" hidden="false" customHeight="false" outlineLevel="0" collapsed="false">
      <c r="A152" s="4" t="e">
        <f aca="false">0.0894*ABS(D152)-0.01603*E152</f>
        <v>#REF!</v>
      </c>
      <c r="B152" s="12" t="e">
        <f aca="false">'Dataset experimental'!K152*COS('Dataset experimental'!AC152)-'Dataset experimental'!M152-'Dataset experimental'!C152</f>
        <v>#REF!</v>
      </c>
      <c r="C152" s="12" t="e">
        <f aca="false">('Dataset experimental'!AE152+SIN('Avaliação do resultado ML'!B152))*0.70674187</f>
        <v>#REF!</v>
      </c>
      <c r="D152" s="12" t="e">
        <f aca="false">'Modelos Propostos'!E152+'Avaliação do resultado ML'!C152-'Modelos normativos'!AQ152</f>
        <v>#REF!</v>
      </c>
      <c r="E152" s="12" t="n">
        <f aca="false">'Modelos empíricos'!I152+1.1854</f>
        <v>0.85584095960416</v>
      </c>
      <c r="F152" s="4" t="e">
        <f aca="false">-0.01753*('Modelos normativos'!AN152-'Dataset experimental'!C152-ABS(G152)-('Modelos Propostos'!E152-'Modelos normativos'!AP152)/0.25291)</f>
        <v>#REF!</v>
      </c>
      <c r="G152" s="4" t="e">
        <f aca="false">'Dataset experimental'!K152+'Modelos empíricos'!K152^2+('Modelos Propostos'!E152-'Modelos normativos'!AQ152)*4.10553</f>
        <v>#REF!</v>
      </c>
      <c r="H152" s="4" t="e">
        <f aca="false">0.03283*(J152+K152)</f>
        <v>#REF!</v>
      </c>
      <c r="I152" s="4" t="e">
        <f aca="false">(1.61428/'Dataset experimental'!Q152)^3</f>
        <v>#REF!</v>
      </c>
      <c r="J152" s="4" t="e">
        <f aca="false">SIN('Dataset experimental'!E152)+1.450178*(SIN('Avaliação do resultado ML'!I152)+'Dataset experimental'!C152)</f>
        <v>#REF!</v>
      </c>
      <c r="K152" s="4" t="e">
        <f aca="false">('Modelos empíricos'!C152-'Dataset experimental'!G152)*'Dataset experimental'!AE152-'Modelos normativos'!AP152</f>
        <v>#REF!</v>
      </c>
      <c r="L152" s="4" t="n">
        <f aca="false">0.0076*'Dataset experimental'!B152+'Avaliação do resultado ML'!M152+'Avaliação do resultado ML'!N152+(-0.0328)*(0.0171*'Dataset experimental'!AD152-0.9442)*'Avaliação do resultado ML'!O152-'Avaliação do resultado ML'!P152-0.0364</f>
        <v>0.0604976823447458</v>
      </c>
      <c r="M152" s="12" t="n">
        <f aca="false">0.03283*SIN(0.7328*'Dataset experimental'!D152-1.8266)</f>
        <v>-0.0291654482027489</v>
      </c>
      <c r="N152" s="12" t="n">
        <f aca="false">0.0476*SIN(4.2067/(0.0095*'Dataset experimental'!P152-1.9338)^3)</f>
        <v>0.0455515796827476</v>
      </c>
      <c r="O152" s="12" t="n">
        <f aca="false">0.0214*'Dataset experimental'!F152-3.1067*'Dataset experimental'!B152*'Dataset experimental'!P152*('Dataset experimental'!T152-'Dataset experimental'!R152)*(0.39*'Dataset experimental'!P152*'Dataset experimental'!T152/'Dataset experimental'!V152-'Dataset experimental'!Z152+3.12)/(100000*'Dataset experimental'!V152)+0.7995</f>
        <v>-0.0551652069215396</v>
      </c>
      <c r="P152" s="12" t="n">
        <f aca="false">0.4461*('Dataset experimental'!Z152-0.6*'Modelos normativos'!AB152)*(3.4*'Dataset experimental'!L152+0.17*'Dataset experimental'!B152/'Modelos normativos'!AC152)/200000</f>
        <v>0.0701231322858955</v>
      </c>
      <c r="Q152" s="4" t="e">
        <f aca="false">L152/H152</f>
        <v>#REF!</v>
      </c>
      <c r="R152" s="4" t="e">
        <f aca="false">(-0.042-0.014*'Com TS variável MC2020'!Q161)*('Modelos normativos'!AP152-ABS('Modelos Propostos'!K152)-'Dataset experimental'!W152+COS(S152))</f>
        <v>#REF!</v>
      </c>
      <c r="S152" s="4" t="e">
        <f aca="false">'Dataset experimental'!O152-('Modelos normativos'!AQ152-SIN(0.083/('Dataset experimental'!M152-'Dataset experimental'!O152))-'Modelos empíricos'!I152)/0.646</f>
        <v>#REF!</v>
      </c>
      <c r="W152" s="4" t="e">
        <f aca="false">'Modelos normativos'!S152+'Avaliação do resultado ML'!A152</f>
        <v>#REF!</v>
      </c>
      <c r="X152" s="4" t="e">
        <f aca="false">W152/'Dataset experimental'!$AF152</f>
        <v>#REF!</v>
      </c>
      <c r="AJ152" s="4" t="e">
        <f aca="false">'Modelos Propostos'!B152+H152</f>
        <v>#REF!</v>
      </c>
      <c r="AK152" s="4" t="e">
        <f aca="false">AJ152/'Dataset experimental'!$AF152</f>
        <v>#REF!</v>
      </c>
      <c r="AV152" s="4" t="e">
        <f aca="false">'Modelos normativos'!S152+F152</f>
        <v>#REF!</v>
      </c>
      <c r="AW152" s="4" t="e">
        <f aca="false">AV152/'Dataset experimental'!$AF152</f>
        <v>#REF!</v>
      </c>
      <c r="BH152" s="4" t="e">
        <f aca="false">'Modelos Propostos'!B152+R152</f>
        <v>#REF!</v>
      </c>
      <c r="BI152" s="4" t="e">
        <f aca="false">BH152/'Dataset experimental'!$AF152</f>
        <v>#REF!</v>
      </c>
      <c r="BT152" s="4" t="n">
        <f aca="false">'Modelos Propostos'!B152+L152</f>
        <v>0.184977698275758</v>
      </c>
      <c r="BU152" s="4" t="n">
        <f aca="false">BT152/'Dataset experimental'!$AF152</f>
        <v>1.08810410750446</v>
      </c>
    </row>
    <row r="153" customFormat="false" ht="14.25" hidden="false" customHeight="false" outlineLevel="0" collapsed="false">
      <c r="A153" s="4" t="e">
        <f aca="false">0.0894*ABS(D153)-0.01603*E153</f>
        <v>#REF!</v>
      </c>
      <c r="B153" s="12" t="e">
        <f aca="false">'Dataset experimental'!K153*COS('Dataset experimental'!AC153)-'Dataset experimental'!M153-'Dataset experimental'!C153</f>
        <v>#REF!</v>
      </c>
      <c r="C153" s="12" t="e">
        <f aca="false">('Dataset experimental'!AE153+SIN('Avaliação do resultado ML'!B153))*0.70674187</f>
        <v>#REF!</v>
      </c>
      <c r="D153" s="12" t="e">
        <f aca="false">'Modelos Propostos'!E153+'Avaliação do resultado ML'!C153-'Modelos normativos'!AQ153</f>
        <v>#REF!</v>
      </c>
      <c r="E153" s="12" t="n">
        <f aca="false">'Modelos empíricos'!I153+1.1854</f>
        <v>1.43873728265389</v>
      </c>
      <c r="F153" s="4" t="e">
        <f aca="false">-0.01753*('Modelos normativos'!AN153-'Dataset experimental'!C153-ABS(G153)-('Modelos Propostos'!E153-'Modelos normativos'!AP153)/0.25291)</f>
        <v>#REF!</v>
      </c>
      <c r="G153" s="4" t="e">
        <f aca="false">'Dataset experimental'!K153+'Modelos empíricos'!K153^2+('Modelos Propostos'!E153-'Modelos normativos'!AQ153)*4.10553</f>
        <v>#REF!</v>
      </c>
      <c r="H153" s="4" t="e">
        <f aca="false">0.03283*(J153+K153)</f>
        <v>#REF!</v>
      </c>
      <c r="I153" s="4" t="e">
        <f aca="false">(1.61428/'Dataset experimental'!Q153)^3</f>
        <v>#REF!</v>
      </c>
      <c r="J153" s="4" t="e">
        <f aca="false">SIN('Dataset experimental'!E153)+1.450178*(SIN('Avaliação do resultado ML'!I153)+'Dataset experimental'!C153)</f>
        <v>#REF!</v>
      </c>
      <c r="K153" s="4" t="e">
        <f aca="false">('Modelos empíricos'!C153-'Dataset experimental'!G153)*'Dataset experimental'!AE153-'Modelos normativos'!AP153</f>
        <v>#REF!</v>
      </c>
      <c r="L153" s="4" t="n">
        <f aca="false">0.0076*'Dataset experimental'!B153+'Avaliação do resultado ML'!M153+'Avaliação do resultado ML'!N153+(-0.0328)*(0.0171*'Dataset experimental'!AD153-0.9442)*'Avaliação do resultado ML'!O153-'Avaliação do resultado ML'!P153-0.0364</f>
        <v>0.0375649027380269</v>
      </c>
      <c r="M153" s="12" t="n">
        <f aca="false">0.03283*SIN(0.7328*'Dataset experimental'!D153-1.8266)</f>
        <v>-0.0291654482027489</v>
      </c>
      <c r="N153" s="12" t="n">
        <f aca="false">0.0476*SIN(4.2067/(0.0095*'Dataset experimental'!P153-1.9338)^3)</f>
        <v>0.0455515796827476</v>
      </c>
      <c r="O153" s="12" t="n">
        <f aca="false">0.0214*'Dataset experimental'!F153-3.1067*'Dataset experimental'!B153*'Dataset experimental'!P153*('Dataset experimental'!T153-'Dataset experimental'!R153)*(0.39*'Dataset experimental'!P153*'Dataset experimental'!T153/'Dataset experimental'!V153-'Dataset experimental'!Z153+3.12)/(100000*'Dataset experimental'!V153)+0.7995</f>
        <v>-0.389986531560255</v>
      </c>
      <c r="P153" s="12" t="n">
        <f aca="false">0.4461*('Dataset experimental'!Z153-0.6*'Modelos normativos'!AB153)*(3.4*'Dataset experimental'!L153+0.17*'Dataset experimental'!B153/'Modelos normativos'!AC153)/200000</f>
        <v>0.0851782534261651</v>
      </c>
      <c r="Q153" s="4" t="e">
        <f aca="false">L153/H153</f>
        <v>#REF!</v>
      </c>
      <c r="R153" s="4" t="e">
        <f aca="false">(-0.042-0.014*'Com TS variável MC2020'!Q162)*('Modelos normativos'!AP153-ABS('Modelos Propostos'!K153)-'Dataset experimental'!W153+COS(S153))</f>
        <v>#REF!</v>
      </c>
      <c r="S153" s="4" t="e">
        <f aca="false">'Dataset experimental'!O153-('Modelos normativos'!AQ153-SIN(0.083/('Dataset experimental'!M153-'Dataset experimental'!O153))-'Modelos empíricos'!I153)/0.646</f>
        <v>#REF!</v>
      </c>
      <c r="W153" s="4" t="e">
        <f aca="false">'Modelos normativos'!S153+'Avaliação do resultado ML'!A153</f>
        <v>#REF!</v>
      </c>
      <c r="X153" s="4" t="e">
        <f aca="false">W153/'Dataset experimental'!$AF153</f>
        <v>#REF!</v>
      </c>
      <c r="AJ153" s="4" t="e">
        <f aca="false">'Modelos Propostos'!B153+H153</f>
        <v>#REF!</v>
      </c>
      <c r="AK153" s="4" t="e">
        <f aca="false">AJ153/'Dataset experimental'!$AF153</f>
        <v>#REF!</v>
      </c>
      <c r="AV153" s="4" t="e">
        <f aca="false">'Modelos normativos'!S153+F153</f>
        <v>#REF!</v>
      </c>
      <c r="AW153" s="4" t="e">
        <f aca="false">AV153/'Dataset experimental'!$AF153</f>
        <v>#REF!</v>
      </c>
      <c r="BH153" s="4" t="e">
        <f aca="false">'Modelos Propostos'!B153+R153</f>
        <v>#REF!</v>
      </c>
      <c r="BI153" s="4" t="e">
        <f aca="false">BH153/'Dataset experimental'!$AF153</f>
        <v>#REF!</v>
      </c>
      <c r="BT153" s="4" t="n">
        <f aca="false">'Modelos Propostos'!B153+L153</f>
        <v>0.210280653381856</v>
      </c>
      <c r="BU153" s="4" t="n">
        <f aca="false">BT153/'Dataset experimental'!$AF153</f>
        <v>1.05140326690928</v>
      </c>
    </row>
    <row r="154" customFormat="false" ht="14.25" hidden="false" customHeight="false" outlineLevel="0" collapsed="false">
      <c r="A154" s="4" t="e">
        <f aca="false">0.0894*ABS(D154)-0.01603*E154</f>
        <v>#REF!</v>
      </c>
      <c r="B154" s="12" t="e">
        <f aca="false">'Dataset experimental'!K154*COS('Dataset experimental'!AC154)-'Dataset experimental'!M154-'Dataset experimental'!C154</f>
        <v>#REF!</v>
      </c>
      <c r="C154" s="12" t="e">
        <f aca="false">('Dataset experimental'!AE154+SIN('Avaliação do resultado ML'!B154))*0.70674187</f>
        <v>#REF!</v>
      </c>
      <c r="D154" s="12" t="e">
        <f aca="false">'Modelos Propostos'!E154+'Avaliação do resultado ML'!C154-'Modelos normativos'!AQ154</f>
        <v>#REF!</v>
      </c>
      <c r="E154" s="12" t="n">
        <f aca="false">'Modelos empíricos'!I154+1.1854</f>
        <v>2.00293104988384</v>
      </c>
      <c r="F154" s="4" t="e">
        <f aca="false">-0.01753*('Modelos normativos'!AN154-'Dataset experimental'!C154-ABS(G154)-('Modelos Propostos'!E154-'Modelos normativos'!AP154)/0.25291)</f>
        <v>#REF!</v>
      </c>
      <c r="G154" s="4" t="e">
        <f aca="false">'Dataset experimental'!K154+'Modelos empíricos'!K154^2+('Modelos Propostos'!E154-'Modelos normativos'!AQ154)*4.10553</f>
        <v>#REF!</v>
      </c>
      <c r="H154" s="4" t="e">
        <f aca="false">0.03283*(J154+K154)</f>
        <v>#REF!</v>
      </c>
      <c r="I154" s="4" t="e">
        <f aca="false">(1.61428/'Dataset experimental'!Q154)^3</f>
        <v>#REF!</v>
      </c>
      <c r="J154" s="4" t="e">
        <f aca="false">SIN('Dataset experimental'!E154)+1.450178*(SIN('Avaliação do resultado ML'!I154)+'Dataset experimental'!C154)</f>
        <v>#REF!</v>
      </c>
      <c r="K154" s="4" t="e">
        <f aca="false">('Modelos empíricos'!C154-'Dataset experimental'!G154)*'Dataset experimental'!AE154-'Modelos normativos'!AP154</f>
        <v>#REF!</v>
      </c>
      <c r="L154" s="4" t="n">
        <f aca="false">0.0076*'Dataset experimental'!B154+'Avaliação do resultado ML'!M154+'Avaliação do resultado ML'!N154+(-0.0328)*(0.0171*'Dataset experimental'!AD154-0.9442)*'Avaliação do resultado ML'!O154-'Avaliação do resultado ML'!P154-0.0364</f>
        <v>0.0160368444924112</v>
      </c>
      <c r="M154" s="12" t="n">
        <f aca="false">0.03283*SIN(0.7328*'Dataset experimental'!D154-1.8266)</f>
        <v>-0.0291654482027489</v>
      </c>
      <c r="N154" s="12" t="n">
        <f aca="false">0.0476*SIN(4.2067/(0.0095*'Dataset experimental'!P154-1.9338)^3)</f>
        <v>0.0455515796827476</v>
      </c>
      <c r="O154" s="12" t="n">
        <f aca="false">0.0214*'Dataset experimental'!F154-3.1067*'Dataset experimental'!B154*'Dataset experimental'!P154*('Dataset experimental'!T154-'Dataset experimental'!R154)*(0.39*'Dataset experimental'!P154*'Dataset experimental'!T154/'Dataset experimental'!V154-'Dataset experimental'!Z154+3.12)/(100000*'Dataset experimental'!V154)+0.7995</f>
        <v>-0.714064925996659</v>
      </c>
      <c r="P154" s="12" t="n">
        <f aca="false">0.4461*('Dataset experimental'!Z154-0.6*'Modelos normativos'!AB154)*(3.4*'Dataset experimental'!L154+0.17*'Dataset experimental'!B154/'Modelos normativos'!AC154)/200000</f>
        <v>0.099750322551239</v>
      </c>
      <c r="Q154" s="4" t="e">
        <f aca="false">L154/H154</f>
        <v>#REF!</v>
      </c>
      <c r="R154" s="4" t="e">
        <f aca="false">(-0.042-0.014*'Com TS variável MC2020'!Q163)*('Modelos normativos'!AP154-ABS('Modelos Propostos'!K154)-'Dataset experimental'!W154+COS(S154))</f>
        <v>#REF!</v>
      </c>
      <c r="S154" s="4" t="e">
        <f aca="false">'Dataset experimental'!O154-('Modelos normativos'!AQ154-SIN(0.083/('Dataset experimental'!M154-'Dataset experimental'!O154))-'Modelos empíricos'!I154)/0.646</f>
        <v>#REF!</v>
      </c>
      <c r="W154" s="4" t="e">
        <f aca="false">'Modelos normativos'!S154+'Avaliação do resultado ML'!A154</f>
        <v>#REF!</v>
      </c>
      <c r="X154" s="4" t="e">
        <f aca="false">W154/'Dataset experimental'!$AF154</f>
        <v>#REF!</v>
      </c>
      <c r="AJ154" s="4" t="e">
        <f aca="false">'Modelos Propostos'!B154+H154</f>
        <v>#REF!</v>
      </c>
      <c r="AK154" s="4" t="e">
        <f aca="false">AJ154/'Dataset experimental'!$AF154</f>
        <v>#REF!</v>
      </c>
      <c r="AV154" s="4" t="e">
        <f aca="false">'Modelos normativos'!S154+F154</f>
        <v>#REF!</v>
      </c>
      <c r="AW154" s="4" t="e">
        <f aca="false">AV154/'Dataset experimental'!$AF154</f>
        <v>#REF!</v>
      </c>
      <c r="BH154" s="4" t="e">
        <f aca="false">'Modelos Propostos'!B154+R154</f>
        <v>#REF!</v>
      </c>
      <c r="BI154" s="4" t="e">
        <f aca="false">BH154/'Dataset experimental'!$AF154</f>
        <v>#REF!</v>
      </c>
      <c r="BT154" s="4" t="n">
        <f aca="false">'Modelos Propostos'!B154+L154</f>
        <v>0.237337465693109</v>
      </c>
      <c r="BU154" s="4" t="n">
        <f aca="false">BT154/'Dataset experimental'!$AF154</f>
        <v>0.98890610705462</v>
      </c>
    </row>
    <row r="155" customFormat="false" ht="14.25" hidden="false" customHeight="false" outlineLevel="0" collapsed="false">
      <c r="A155" s="4" t="e">
        <f aca="false">0.0894*ABS(D155)-0.01603*E155</f>
        <v>#REF!</v>
      </c>
      <c r="B155" s="12" t="e">
        <f aca="false">'Dataset experimental'!K155*COS('Dataset experimental'!AC155)-'Dataset experimental'!M155-'Dataset experimental'!C155</f>
        <v>#REF!</v>
      </c>
      <c r="C155" s="12" t="e">
        <f aca="false">('Dataset experimental'!AE155+SIN('Avaliação do resultado ML'!B155))*0.70674187</f>
        <v>#REF!</v>
      </c>
      <c r="D155" s="12" t="e">
        <f aca="false">'Modelos Propostos'!E155+'Avaliação do resultado ML'!C155-'Modelos normativos'!AQ155</f>
        <v>#REF!</v>
      </c>
      <c r="E155" s="12" t="n">
        <f aca="false">'Modelos empíricos'!I155+1.1854</f>
        <v>2.56400772447716</v>
      </c>
      <c r="F155" s="4" t="e">
        <f aca="false">-0.01753*('Modelos normativos'!AN155-'Dataset experimental'!C155-ABS(G155)-('Modelos Propostos'!E155-'Modelos normativos'!AP155)/0.25291)</f>
        <v>#REF!</v>
      </c>
      <c r="G155" s="4" t="e">
        <f aca="false">'Dataset experimental'!K155+'Modelos empíricos'!K155^2+('Modelos Propostos'!E155-'Modelos normativos'!AQ155)*4.10553</f>
        <v>#REF!</v>
      </c>
      <c r="H155" s="4" t="e">
        <f aca="false">0.03283*(J155+K155)</f>
        <v>#REF!</v>
      </c>
      <c r="I155" s="4" t="e">
        <f aca="false">(1.61428/'Dataset experimental'!Q155)^3</f>
        <v>#REF!</v>
      </c>
      <c r="J155" s="4" t="e">
        <f aca="false">SIN('Dataset experimental'!E155)+1.450178*(SIN('Avaliação do resultado ML'!I155)+'Dataset experimental'!C155)</f>
        <v>#REF!</v>
      </c>
      <c r="K155" s="4" t="e">
        <f aca="false">('Modelos empíricos'!C155-'Dataset experimental'!G155)*'Dataset experimental'!AE155-'Modelos normativos'!AP155</f>
        <v>#REF!</v>
      </c>
      <c r="L155" s="4" t="n">
        <f aca="false">0.0076*'Dataset experimental'!B155+'Avaliação do resultado ML'!M155+'Avaliação do resultado ML'!N155+(-0.0328)*(0.0171*'Dataset experimental'!AD155-0.9442)*'Avaliação do resultado ML'!O155-'Avaliação do resultado ML'!P155-0.0364</f>
        <v>-0.00471971312975637</v>
      </c>
      <c r="M155" s="12" t="n">
        <f aca="false">0.03283*SIN(0.7328*'Dataset experimental'!D155-1.8266)</f>
        <v>-0.0291654482027489</v>
      </c>
      <c r="N155" s="12" t="n">
        <f aca="false">0.0476*SIN(4.2067/(0.0095*'Dataset experimental'!P155-1.9338)^3)</f>
        <v>0.0455515796827476</v>
      </c>
      <c r="O155" s="12" t="n">
        <f aca="false">0.0214*'Dataset experimental'!F155-3.1067*'Dataset experimental'!B155*'Dataset experimental'!P155*('Dataset experimental'!T155-'Dataset experimental'!R155)*(0.39*'Dataset experimental'!P155*'Dataset experimental'!T155/'Dataset experimental'!V155-'Dataset experimental'!Z155+3.12)/(100000*'Dataset experimental'!V155)+0.7995</f>
        <v>-1.03635283206601</v>
      </c>
      <c r="P155" s="12" t="n">
        <f aca="false">0.4461*('Dataset experimental'!Z155-0.6*'Modelos normativos'!AB155)*(3.4*'Dataset experimental'!L155+0.17*'Dataset experimental'!B155/'Modelos normativos'!AC155)/200000</f>
        <v>0.114241883007113</v>
      </c>
      <c r="Q155" s="4" t="e">
        <f aca="false">L155/H155</f>
        <v>#REF!</v>
      </c>
      <c r="R155" s="4" t="e">
        <f aca="false">(-0.042-0.014*'Com TS variável MC2020'!Q164)*('Modelos normativos'!AP155-ABS('Modelos Propostos'!K155)-'Dataset experimental'!W155+COS(S155))</f>
        <v>#REF!</v>
      </c>
      <c r="S155" s="4" t="e">
        <f aca="false">'Dataset experimental'!O155-('Modelos normativos'!AQ155-SIN(0.083/('Dataset experimental'!M155-'Dataset experimental'!O155))-'Modelos empíricos'!I155)/0.646</f>
        <v>#REF!</v>
      </c>
      <c r="W155" s="4" t="e">
        <f aca="false">'Modelos normativos'!S155+'Avaliação do resultado ML'!A155</f>
        <v>#REF!</v>
      </c>
      <c r="X155" s="4" t="e">
        <f aca="false">W155/'Dataset experimental'!$AF155</f>
        <v>#REF!</v>
      </c>
      <c r="AJ155" s="4" t="e">
        <f aca="false">'Modelos Propostos'!B155+H155</f>
        <v>#REF!</v>
      </c>
      <c r="AK155" s="4" t="e">
        <f aca="false">AJ155/'Dataset experimental'!$AF155</f>
        <v>#REF!</v>
      </c>
      <c r="AV155" s="4" t="e">
        <f aca="false">'Modelos normativos'!S155+F155</f>
        <v>#REF!</v>
      </c>
      <c r="AW155" s="4" t="e">
        <f aca="false">AV155/'Dataset experimental'!$AF155</f>
        <v>#REF!</v>
      </c>
      <c r="BH155" s="4" t="e">
        <f aca="false">'Modelos Propostos'!B155+R155</f>
        <v>#REF!</v>
      </c>
      <c r="BI155" s="4" t="e">
        <f aca="false">BH155/'Dataset experimental'!$AF155</f>
        <v>#REF!</v>
      </c>
      <c r="BT155" s="4" t="n">
        <f aca="false">'Modelos Propostos'!B155+L155</f>
        <v>0.264897353928601</v>
      </c>
      <c r="BU155" s="4" t="n">
        <f aca="false">BT155/'Dataset experimental'!$AF155</f>
        <v>0.981101310846669</v>
      </c>
    </row>
    <row r="156" customFormat="false" ht="14.25" hidden="false" customHeight="false" outlineLevel="0" collapsed="false">
      <c r="A156" s="4" t="e">
        <f aca="false">0.0894*ABS(D156)-0.01603*E156</f>
        <v>#REF!</v>
      </c>
      <c r="B156" s="12" t="e">
        <f aca="false">'Dataset experimental'!K156*COS('Dataset experimental'!AC156)-'Dataset experimental'!M156-'Dataset experimental'!C156</f>
        <v>#REF!</v>
      </c>
      <c r="C156" s="12" t="e">
        <f aca="false">('Dataset experimental'!AE156+SIN('Avaliação do resultado ML'!B156))*0.70674187</f>
        <v>#REF!</v>
      </c>
      <c r="D156" s="12" t="e">
        <f aca="false">'Modelos Propostos'!E156+'Avaliação do resultado ML'!C156-'Modelos normativos'!AQ156</f>
        <v>#REF!</v>
      </c>
      <c r="E156" s="12" t="n">
        <f aca="false">'Modelos empíricos'!I156+1.1854</f>
        <v>3.11885021379723</v>
      </c>
      <c r="F156" s="4" t="e">
        <f aca="false">-0.01753*('Modelos normativos'!AN156-'Dataset experimental'!C156-ABS(G156)-('Modelos Propostos'!E156-'Modelos normativos'!AP156)/0.25291)</f>
        <v>#REF!</v>
      </c>
      <c r="G156" s="4" t="e">
        <f aca="false">'Dataset experimental'!K156+'Modelos empíricos'!K156^2+('Modelos Propostos'!E156-'Modelos normativos'!AQ156)*4.10553</f>
        <v>#REF!</v>
      </c>
      <c r="H156" s="4" t="e">
        <f aca="false">0.03283*(J156+K156)</f>
        <v>#REF!</v>
      </c>
      <c r="I156" s="4" t="e">
        <f aca="false">(1.61428/'Dataset experimental'!Q156)^3</f>
        <v>#REF!</v>
      </c>
      <c r="J156" s="4" t="e">
        <f aca="false">SIN('Dataset experimental'!E156)+1.450178*(SIN('Avaliação do resultado ML'!I156)+'Dataset experimental'!C156)</f>
        <v>#REF!</v>
      </c>
      <c r="K156" s="4" t="e">
        <f aca="false">('Modelos empíricos'!C156-'Dataset experimental'!G156)*'Dataset experimental'!AE156-'Modelos normativos'!AP156</f>
        <v>#REF!</v>
      </c>
      <c r="L156" s="4" t="n">
        <f aca="false">0.0076*'Dataset experimental'!B156+'Avaliação do resultado ML'!M156+'Avaliação do resultado ML'!N156+(-0.0328)*(0.0171*'Dataset experimental'!AD156-0.9442)*'Avaliação do resultado ML'!O156-'Avaliação do resultado ML'!P156-0.0364</f>
        <v>-0.0246056946276585</v>
      </c>
      <c r="M156" s="12" t="n">
        <f aca="false">0.03283*SIN(0.7328*'Dataset experimental'!D156-1.8266)</f>
        <v>-0.0291654482027489</v>
      </c>
      <c r="N156" s="12" t="n">
        <f aca="false">0.0476*SIN(4.2067/(0.0095*'Dataset experimental'!P156-1.9338)^3)</f>
        <v>0.0455515796827476</v>
      </c>
      <c r="O156" s="12" t="n">
        <f aca="false">0.0214*'Dataset experimental'!F156-3.1067*'Dataset experimental'!B156*'Dataset experimental'!P156*('Dataset experimental'!T156-'Dataset experimental'!R156)*(0.39*'Dataset experimental'!P156*'Dataset experimental'!T156/'Dataset experimental'!V156-'Dataset experimental'!Z156+3.12)/(100000*'Dataset experimental'!V156)+0.7995</f>
        <v>-1.35505976140126</v>
      </c>
      <c r="P156" s="12" t="n">
        <f aca="false">0.4461*('Dataset experimental'!Z156-0.6*'Modelos normativos'!AB156)*(3.4*'Dataset experimental'!L156+0.17*'Dataset experimental'!B156/'Modelos normativos'!AC156)/200000</f>
        <v>0.128572426124589</v>
      </c>
      <c r="Q156" s="4" t="e">
        <f aca="false">L156/H156</f>
        <v>#REF!</v>
      </c>
      <c r="R156" s="4" t="e">
        <f aca="false">(-0.042-0.014*'Com TS variável MC2020'!Q165)*('Modelos normativos'!AP156-ABS('Modelos Propostos'!K156)-'Dataset experimental'!W156+COS(S156))</f>
        <v>#REF!</v>
      </c>
      <c r="S156" s="4" t="e">
        <f aca="false">'Dataset experimental'!O156-('Modelos normativos'!AQ156-SIN(0.083/('Dataset experimental'!M156-'Dataset experimental'!O156))-'Modelos empíricos'!I156)/0.646</f>
        <v>#REF!</v>
      </c>
      <c r="W156" s="4" t="e">
        <f aca="false">'Modelos normativos'!S156+'Avaliação do resultado ML'!A156</f>
        <v>#REF!</v>
      </c>
      <c r="X156" s="4" t="e">
        <f aca="false">W156/'Dataset experimental'!$AF156</f>
        <v>#REF!</v>
      </c>
      <c r="AJ156" s="4" t="e">
        <f aca="false">'Modelos Propostos'!B156+H156</f>
        <v>#REF!</v>
      </c>
      <c r="AK156" s="4" t="e">
        <f aca="false">AJ156/'Dataset experimental'!$AF156</f>
        <v>#REF!</v>
      </c>
      <c r="AV156" s="4" t="e">
        <f aca="false">'Modelos normativos'!S156+F156</f>
        <v>#REF!</v>
      </c>
      <c r="AW156" s="4" t="e">
        <f aca="false">AV156/'Dataset experimental'!$AF156</f>
        <v>#REF!</v>
      </c>
      <c r="BH156" s="4" t="e">
        <f aca="false">'Modelos Propostos'!B156+R156</f>
        <v>#REF!</v>
      </c>
      <c r="BI156" s="4" t="e">
        <f aca="false">BH156/'Dataset experimental'!$AF156</f>
        <v>#REF!</v>
      </c>
      <c r="BT156" s="4" t="n">
        <f aca="false">'Modelos Propostos'!B156+L156</f>
        <v>0.29279096888994</v>
      </c>
      <c r="BU156" s="4" t="n">
        <f aca="false">BT156/'Dataset experimental'!$AF156</f>
        <v>0.914971777781061</v>
      </c>
    </row>
    <row r="157" customFormat="false" ht="14.25" hidden="false" customHeight="false" outlineLevel="0" collapsed="false">
      <c r="A157" s="4" t="e">
        <f aca="false">0.0894*ABS(D157)-0.01603*E157</f>
        <v>#REF!</v>
      </c>
      <c r="B157" s="12" t="e">
        <f aca="false">'Dataset experimental'!K157*COS('Dataset experimental'!AC157)-'Dataset experimental'!M157-'Dataset experimental'!C157</f>
        <v>#REF!</v>
      </c>
      <c r="C157" s="12" t="e">
        <f aca="false">('Dataset experimental'!AE157+SIN('Avaliação do resultado ML'!B157))*0.70674187</f>
        <v>#REF!</v>
      </c>
      <c r="D157" s="12" t="e">
        <f aca="false">'Modelos Propostos'!E157+'Avaliação do resultado ML'!C157-'Modelos normativos'!AQ157</f>
        <v>#REF!</v>
      </c>
      <c r="E157" s="12" t="n">
        <f aca="false">'Modelos empíricos'!I157+1.1854</f>
        <v>3.68927816630044</v>
      </c>
      <c r="F157" s="4" t="e">
        <f aca="false">-0.01753*('Modelos normativos'!AN157-'Dataset experimental'!C157-ABS(G157)-('Modelos Propostos'!E157-'Modelos normativos'!AP157)/0.25291)</f>
        <v>#REF!</v>
      </c>
      <c r="G157" s="4" t="e">
        <f aca="false">'Dataset experimental'!K157+'Modelos empíricos'!K157^2+('Modelos Propostos'!E157-'Modelos normativos'!AQ157)*4.10553</f>
        <v>#REF!</v>
      </c>
      <c r="H157" s="4" t="e">
        <f aca="false">0.03283*(J157+K157)</f>
        <v>#REF!</v>
      </c>
      <c r="I157" s="4" t="e">
        <f aca="false">(1.61428/'Dataset experimental'!Q157)^3</f>
        <v>#REF!</v>
      </c>
      <c r="J157" s="4" t="e">
        <f aca="false">SIN('Dataset experimental'!E157)+1.450178*(SIN('Avaliação do resultado ML'!I157)+'Dataset experimental'!C157)</f>
        <v>#REF!</v>
      </c>
      <c r="K157" s="4" t="e">
        <f aca="false">('Modelos empíricos'!C157-'Dataset experimental'!G157)*'Dataset experimental'!AE157-'Modelos normativos'!AP157</f>
        <v>#REF!</v>
      </c>
      <c r="L157" s="4" t="n">
        <f aca="false">0.0076*'Dataset experimental'!B157+'Avaliação do resultado ML'!M157+'Avaliação do resultado ML'!N157+(-0.0328)*(0.0171*'Dataset experimental'!AD157-0.9442)*'Avaliação do resultado ML'!O157-'Avaliação do resultado ML'!P157-0.0364</f>
        <v>-0.044386834018408</v>
      </c>
      <c r="M157" s="12" t="n">
        <f aca="false">0.03283*SIN(0.7328*'Dataset experimental'!D157-1.8266)</f>
        <v>-0.0291654482027489</v>
      </c>
      <c r="N157" s="12" t="n">
        <f aca="false">0.0476*SIN(4.2067/(0.0095*'Dataset experimental'!P157-1.9338)^3)</f>
        <v>0.0455515796827476</v>
      </c>
      <c r="O157" s="12" t="n">
        <f aca="false">0.0214*'Dataset experimental'!F157-3.1067*'Dataset experimental'!B157*'Dataset experimental'!P157*('Dataset experimental'!T157-'Dataset experimental'!R157)*(0.39*'Dataset experimental'!P157*'Dataset experimental'!T157/'Dataset experimental'!V157-'Dataset experimental'!Z157+3.12)/(100000*'Dataset experimental'!V157)+0.7995</f>
        <v>-1.68271913257177</v>
      </c>
      <c r="P157" s="12" t="n">
        <f aca="false">0.4461*('Dataset experimental'!Z157-0.6*'Modelos normativos'!AB157)*(3.4*'Dataset experimental'!L157+0.17*'Dataset experimental'!B157/'Modelos normativos'!AC157)/200000</f>
        <v>0.143305512588062</v>
      </c>
      <c r="Q157" s="4" t="e">
        <f aca="false">L157/H157</f>
        <v>#REF!</v>
      </c>
      <c r="R157" s="4" t="e">
        <f aca="false">(-0.042-0.014*'Com TS variável MC2020'!Q166)*('Modelos normativos'!AP157-ABS('Modelos Propostos'!K157)-'Dataset experimental'!W157+COS(S157))</f>
        <v>#REF!</v>
      </c>
      <c r="S157" s="4" t="e">
        <f aca="false">'Dataset experimental'!O157-('Modelos normativos'!AQ157-SIN(0.083/('Dataset experimental'!M157-'Dataset experimental'!O157))-'Modelos empíricos'!I157)/0.646</f>
        <v>#REF!</v>
      </c>
      <c r="W157" s="4" t="e">
        <f aca="false">'Modelos normativos'!S157+'Avaliação do resultado ML'!A157</f>
        <v>#REF!</v>
      </c>
      <c r="X157" s="4" t="e">
        <f aca="false">W157/'Dataset experimental'!$AF157</f>
        <v>#REF!</v>
      </c>
      <c r="AJ157" s="4" t="e">
        <f aca="false">'Modelos Propostos'!B157+H157</f>
        <v>#REF!</v>
      </c>
      <c r="AK157" s="4" t="e">
        <f aca="false">AJ157/'Dataset experimental'!$AF157</f>
        <v>#REF!</v>
      </c>
      <c r="AV157" s="4" t="e">
        <f aca="false">'Modelos normativos'!S157+F157</f>
        <v>#REF!</v>
      </c>
      <c r="AW157" s="4" t="e">
        <f aca="false">AV157/'Dataset experimental'!$AF157</f>
        <v>#REF!</v>
      </c>
      <c r="BH157" s="4" t="e">
        <f aca="false">'Modelos Propostos'!B157+R157</f>
        <v>#REF!</v>
      </c>
      <c r="BI157" s="4" t="e">
        <f aca="false">BH157/'Dataset experimental'!$AF157</f>
        <v>#REF!</v>
      </c>
      <c r="BT157" s="4" t="n">
        <f aca="false">'Modelos Propostos'!B157+L157</f>
        <v>0.322131549454477</v>
      </c>
      <c r="BU157" s="4" t="n">
        <f aca="false">BT157/'Dataset experimental'!$AF157</f>
        <v>0.947445733689638</v>
      </c>
    </row>
    <row r="158" customFormat="false" ht="14.25" hidden="false" customHeight="false" outlineLevel="0" collapsed="false">
      <c r="A158" s="4" t="e">
        <f aca="false">0.0894*ABS(D158)-0.01603*E158</f>
        <v>#REF!</v>
      </c>
      <c r="B158" s="12" t="e">
        <f aca="false">'Dataset experimental'!K158*COS('Dataset experimental'!AC158)-'Dataset experimental'!M158-'Dataset experimental'!C158</f>
        <v>#REF!</v>
      </c>
      <c r="C158" s="12" t="e">
        <f aca="false">('Dataset experimental'!AE158+SIN('Avaliação do resultado ML'!B158))*0.70674187</f>
        <v>#REF!</v>
      </c>
      <c r="D158" s="12" t="e">
        <f aca="false">'Modelos Propostos'!E158+'Avaliação do resultado ML'!C158-'Modelos normativos'!AQ158</f>
        <v>#REF!</v>
      </c>
      <c r="E158" s="12" t="n">
        <f aca="false">'Modelos empíricos'!I158+1.1854</f>
        <v>0.313466840830614</v>
      </c>
      <c r="F158" s="4" t="e">
        <f aca="false">-0.01753*('Modelos normativos'!AN158-'Dataset experimental'!C158-ABS(G158)-('Modelos Propostos'!E158-'Modelos normativos'!AP158)/0.25291)</f>
        <v>#REF!</v>
      </c>
      <c r="G158" s="4" t="e">
        <f aca="false">'Dataset experimental'!K158+'Modelos empíricos'!K158^2+('Modelos Propostos'!E158-'Modelos normativos'!AQ158)*4.10553</f>
        <v>#REF!</v>
      </c>
      <c r="H158" s="4" t="e">
        <f aca="false">0.03283*(J158+K158)</f>
        <v>#REF!</v>
      </c>
      <c r="I158" s="4" t="e">
        <f aca="false">(1.61428/'Dataset experimental'!Q158)^3</f>
        <v>#REF!</v>
      </c>
      <c r="J158" s="4" t="e">
        <f aca="false">SIN('Dataset experimental'!E158)+1.450178*(SIN('Avaliação do resultado ML'!I158)+'Dataset experimental'!C158)</f>
        <v>#REF!</v>
      </c>
      <c r="K158" s="4" t="e">
        <f aca="false">('Modelos empíricos'!C158-'Dataset experimental'!G158)*'Dataset experimental'!AE158-'Modelos normativos'!AP158</f>
        <v>#REF!</v>
      </c>
      <c r="L158" s="4" t="n">
        <f aca="false">0.0076*'Dataset experimental'!B158+'Avaliação do resultado ML'!M158+'Avaliação do resultado ML'!N158+(-0.0328)*(0.0171*'Dataset experimental'!AD158-0.9442)*'Avaliação do resultado ML'!O158-'Avaliação do resultado ML'!P158-0.0364</f>
        <v>0.0824670135849421</v>
      </c>
      <c r="M158" s="12" t="n">
        <f aca="false">0.03283*SIN(0.7328*'Dataset experimental'!D158-1.8266)</f>
        <v>-0.0291654482027489</v>
      </c>
      <c r="N158" s="12" t="n">
        <f aca="false">0.0476*SIN(4.2067/(0.0095*'Dataset experimental'!P158-1.9338)^3)</f>
        <v>0.0455515796827476</v>
      </c>
      <c r="O158" s="12" t="n">
        <f aca="false">0.0214*'Dataset experimental'!F158-3.1067*'Dataset experimental'!B158*'Dataset experimental'!P158*('Dataset experimental'!T158-'Dataset experimental'!R158)*(0.39*'Dataset experimental'!P158*'Dataset experimental'!T158/'Dataset experimental'!V158-'Dataset experimental'!Z158+3.12)/(100000*'Dataset experimental'!V158)+0.7995</f>
        <v>0.256379768945501</v>
      </c>
      <c r="P158" s="12" t="n">
        <f aca="false">0.4461*('Dataset experimental'!Z158-0.6*'Modelos normativos'!AB158)*(3.4*'Dataset experimental'!L158+0.17*'Dataset experimental'!B158/'Modelos normativos'!AC158)/200000</f>
        <v>0.0561146238452167</v>
      </c>
      <c r="Q158" s="4" t="e">
        <f aca="false">L158/H158</f>
        <v>#REF!</v>
      </c>
      <c r="R158" s="4" t="e">
        <f aca="false">(-0.042-0.014*'Com TS variável MC2020'!Q167)*('Modelos normativos'!AP158-ABS('Modelos Propostos'!K158)-'Dataset experimental'!W158+COS(S158))</f>
        <v>#REF!</v>
      </c>
      <c r="S158" s="4" t="e">
        <f aca="false">'Dataset experimental'!O158-('Modelos normativos'!AQ158-SIN(0.083/('Dataset experimental'!M158-'Dataset experimental'!O158))-'Modelos empíricos'!I158)/0.646</f>
        <v>#REF!</v>
      </c>
      <c r="W158" s="4" t="e">
        <f aca="false">'Modelos normativos'!S158+'Avaliação do resultado ML'!A158</f>
        <v>#REF!</v>
      </c>
      <c r="X158" s="4" t="e">
        <f aca="false">W158/'Dataset experimental'!$AF158</f>
        <v>#REF!</v>
      </c>
      <c r="AJ158" s="4" t="e">
        <f aca="false">'Modelos Propostos'!B158+H158</f>
        <v>#REF!</v>
      </c>
      <c r="AK158" s="4" t="e">
        <f aca="false">AJ158/'Dataset experimental'!$AF158</f>
        <v>#REF!</v>
      </c>
      <c r="AV158" s="4" t="e">
        <f aca="false">'Modelos normativos'!S158+F158</f>
        <v>#REF!</v>
      </c>
      <c r="AW158" s="4" t="e">
        <f aca="false">AV158/'Dataset experimental'!$AF158</f>
        <v>#REF!</v>
      </c>
      <c r="BH158" s="4" t="e">
        <f aca="false">'Modelos Propostos'!B158+R158</f>
        <v>#REF!</v>
      </c>
      <c r="BI158" s="4" t="e">
        <f aca="false">BH158/'Dataset experimental'!$AF158</f>
        <v>#REF!</v>
      </c>
      <c r="BT158" s="4" t="n">
        <f aca="false">'Modelos Propostos'!B158+L158</f>
        <v>0.170926736975769</v>
      </c>
      <c r="BU158" s="4" t="n">
        <f aca="false">BT158/'Dataset experimental'!$AF158</f>
        <v>1.06829210609855</v>
      </c>
    </row>
    <row r="159" customFormat="false" ht="14.25" hidden="false" customHeight="false" outlineLevel="0" collapsed="false">
      <c r="A159" s="4" t="e">
        <f aca="false">0.0894*ABS(D159)-0.01603*E159</f>
        <v>#REF!</v>
      </c>
      <c r="B159" s="12" t="e">
        <f aca="false">'Dataset experimental'!K159*COS('Dataset experimental'!AC159)-'Dataset experimental'!M159-'Dataset experimental'!C159</f>
        <v>#REF!</v>
      </c>
      <c r="C159" s="12" t="e">
        <f aca="false">('Dataset experimental'!AE159+SIN('Avaliação do resultado ML'!B159))*0.70674187</f>
        <v>#REF!</v>
      </c>
      <c r="D159" s="12" t="e">
        <f aca="false">'Modelos Propostos'!E159+'Avaliação do resultado ML'!C159-'Modelos normativos'!AQ159</f>
        <v>#REF!</v>
      </c>
      <c r="E159" s="12" t="n">
        <f aca="false">'Modelos empíricos'!I159+1.1854</f>
        <v>0.865192237514048</v>
      </c>
      <c r="F159" s="4" t="e">
        <f aca="false">-0.01753*('Modelos normativos'!AN159-'Dataset experimental'!C159-ABS(G159)-('Modelos Propostos'!E159-'Modelos normativos'!AP159)/0.25291)</f>
        <v>#REF!</v>
      </c>
      <c r="G159" s="4" t="e">
        <f aca="false">'Dataset experimental'!K159+'Modelos empíricos'!K159^2+('Modelos Propostos'!E159-'Modelos normativos'!AQ159)*4.10553</f>
        <v>#REF!</v>
      </c>
      <c r="H159" s="4" t="e">
        <f aca="false">0.03283*(J159+K159)</f>
        <v>#REF!</v>
      </c>
      <c r="I159" s="4" t="e">
        <f aca="false">(1.61428/'Dataset experimental'!Q159)^3</f>
        <v>#REF!</v>
      </c>
      <c r="J159" s="4" t="e">
        <f aca="false">SIN('Dataset experimental'!E159)+1.450178*(SIN('Avaliação do resultado ML'!I159)+'Dataset experimental'!C159)</f>
        <v>#REF!</v>
      </c>
      <c r="K159" s="4" t="e">
        <f aca="false">('Modelos empíricos'!C159-'Dataset experimental'!G159)*'Dataset experimental'!AE159-'Modelos normativos'!AP159</f>
        <v>#REF!</v>
      </c>
      <c r="L159" s="4" t="n">
        <f aca="false">0.0076*'Dataset experimental'!B159+'Avaliação do resultado ML'!M159+'Avaliação do resultado ML'!N159+(-0.0328)*(0.0171*'Dataset experimental'!AD159-0.9442)*'Avaliação do resultado ML'!O159-'Avaliação do resultado ML'!P159-0.0364</f>
        <v>0.0601242333344413</v>
      </c>
      <c r="M159" s="12" t="n">
        <f aca="false">0.03283*SIN(0.7328*'Dataset experimental'!D159-1.8266)</f>
        <v>-0.0291654482027489</v>
      </c>
      <c r="N159" s="12" t="n">
        <f aca="false">0.0476*SIN(4.2067/(0.0095*'Dataset experimental'!P159-1.9338)^3)</f>
        <v>0.0455515796827476</v>
      </c>
      <c r="O159" s="12" t="n">
        <f aca="false">0.0214*'Dataset experimental'!F159-3.1067*'Dataset experimental'!B159*'Dataset experimental'!P159*('Dataset experimental'!T159-'Dataset experimental'!R159)*(0.39*'Dataset experimental'!P159*'Dataset experimental'!T159/'Dataset experimental'!V159-'Dataset experimental'!Z159+3.12)/(100000*'Dataset experimental'!V159)+0.7995</f>
        <v>-0.0605366720226956</v>
      </c>
      <c r="P159" s="12" t="n">
        <f aca="false">0.4461*('Dataset experimental'!Z159-0.6*'Modelos normativos'!AB159)*(3.4*'Dataset experimental'!L159+0.17*'Dataset experimental'!B159/'Modelos normativos'!AC159)/200000</f>
        <v>0.0703646582934934</v>
      </c>
      <c r="Q159" s="4" t="e">
        <f aca="false">L159/H159</f>
        <v>#REF!</v>
      </c>
      <c r="R159" s="4" t="e">
        <f aca="false">(-0.042-0.014*'Com TS variável MC2020'!Q168)*('Modelos normativos'!AP159-ABS('Modelos Propostos'!K159)-'Dataset experimental'!W159+COS(S159))</f>
        <v>#REF!</v>
      </c>
      <c r="S159" s="4" t="e">
        <f aca="false">'Dataset experimental'!O159-('Modelos normativos'!AQ159-SIN(0.083/('Dataset experimental'!M159-'Dataset experimental'!O159))-'Modelos empíricos'!I159)/0.646</f>
        <v>#REF!</v>
      </c>
      <c r="W159" s="4" t="e">
        <f aca="false">'Modelos normativos'!S159+'Avaliação do resultado ML'!A159</f>
        <v>#REF!</v>
      </c>
      <c r="X159" s="4" t="e">
        <f aca="false">W159/'Dataset experimental'!$AF159</f>
        <v>#REF!</v>
      </c>
      <c r="AJ159" s="4" t="e">
        <f aca="false">'Modelos Propostos'!B159+H159</f>
        <v>#REF!</v>
      </c>
      <c r="AK159" s="4" t="e">
        <f aca="false">AJ159/'Dataset experimental'!$AF159</f>
        <v>#REF!</v>
      </c>
      <c r="AV159" s="4" t="e">
        <f aca="false">'Modelos normativos'!S159+F159</f>
        <v>#REF!</v>
      </c>
      <c r="AW159" s="4" t="e">
        <f aca="false">AV159/'Dataset experimental'!$AF159</f>
        <v>#REF!</v>
      </c>
      <c r="BH159" s="4" t="e">
        <f aca="false">'Modelos Propostos'!B159+R159</f>
        <v>#REF!</v>
      </c>
      <c r="BI159" s="4" t="e">
        <f aca="false">BH159/'Dataset experimental'!$AF159</f>
        <v>#REF!</v>
      </c>
      <c r="BT159" s="4" t="n">
        <f aca="false">'Modelos Propostos'!B159+L159</f>
        <v>0.185225288792008</v>
      </c>
      <c r="BU159" s="4" t="n">
        <f aca="false">BT159/'Dataset experimental'!$AF159</f>
        <v>0.926126443960042</v>
      </c>
    </row>
    <row r="160" customFormat="false" ht="14.25" hidden="false" customHeight="false" outlineLevel="0" collapsed="false">
      <c r="A160" s="4" t="e">
        <f aca="false">0.0894*ABS(D160)-0.01603*E160</f>
        <v>#REF!</v>
      </c>
      <c r="B160" s="12" t="e">
        <f aca="false">'Dataset experimental'!K160*COS('Dataset experimental'!AC160)-'Dataset experimental'!M160-'Dataset experimental'!C160</f>
        <v>#REF!</v>
      </c>
      <c r="C160" s="12" t="e">
        <f aca="false">('Dataset experimental'!AE160+SIN('Avaliação do resultado ML'!B160))*0.70674187</f>
        <v>#REF!</v>
      </c>
      <c r="D160" s="12" t="e">
        <f aca="false">'Modelos Propostos'!E160+'Avaliação do resultado ML'!C160-'Modelos normativos'!AQ160</f>
        <v>#REF!</v>
      </c>
      <c r="E160" s="12" t="n">
        <f aca="false">'Modelos empíricos'!I160+1.1854</f>
        <v>1.429386004744</v>
      </c>
      <c r="F160" s="4" t="e">
        <f aca="false">-0.01753*('Modelos normativos'!AN160-'Dataset experimental'!C160-ABS(G160)-('Modelos Propostos'!E160-'Modelos normativos'!AP160)/0.25291)</f>
        <v>#REF!</v>
      </c>
      <c r="G160" s="4" t="e">
        <f aca="false">'Dataset experimental'!K160+'Modelos empíricos'!K160^2+('Modelos Propostos'!E160-'Modelos normativos'!AQ160)*4.10553</f>
        <v>#REF!</v>
      </c>
      <c r="H160" s="4" t="e">
        <f aca="false">0.03283*(J160+K160)</f>
        <v>#REF!</v>
      </c>
      <c r="I160" s="4" t="e">
        <f aca="false">(1.61428/'Dataset experimental'!Q160)^3</f>
        <v>#REF!</v>
      </c>
      <c r="J160" s="4" t="e">
        <f aca="false">SIN('Dataset experimental'!E160)+1.450178*(SIN('Avaliação do resultado ML'!I160)+'Dataset experimental'!C160)</f>
        <v>#REF!</v>
      </c>
      <c r="K160" s="4" t="e">
        <f aca="false">('Modelos empíricos'!C160-'Dataset experimental'!G160)*'Dataset experimental'!AE160-'Modelos normativos'!AP160</f>
        <v>#REF!</v>
      </c>
      <c r="L160" s="4" t="n">
        <f aca="false">0.0076*'Dataset experimental'!B160+'Avaliação do resultado ML'!M160+'Avaliação do resultado ML'!N160+(-0.0328)*(0.0171*'Dataset experimental'!AD160-0.9442)*'Avaliação do resultado ML'!O160-'Avaliação do resultado ML'!P160-0.0364</f>
        <v>0.0379272648380984</v>
      </c>
      <c r="M160" s="12" t="n">
        <f aca="false">0.03283*SIN(0.7328*'Dataset experimental'!D160-1.8266)</f>
        <v>-0.0291654482027489</v>
      </c>
      <c r="N160" s="12" t="n">
        <f aca="false">0.0476*SIN(4.2067/(0.0095*'Dataset experimental'!P160-1.9338)^3)</f>
        <v>0.0455515796827476</v>
      </c>
      <c r="O160" s="12" t="n">
        <f aca="false">0.0214*'Dataset experimental'!F160-3.1067*'Dataset experimental'!B160*'Dataset experimental'!P160*('Dataset experimental'!T160-'Dataset experimental'!R160)*(0.39*'Dataset experimental'!P160*'Dataset experimental'!T160/'Dataset experimental'!V160-'Dataset experimental'!Z160+3.12)/(100000*'Dataset experimental'!V160)+0.7995</f>
        <v>-0.384615066459099</v>
      </c>
      <c r="P160" s="12" t="n">
        <f aca="false">0.4461*('Dataset experimental'!Z160-0.6*'Modelos normativos'!AB160)*(3.4*'Dataset experimental'!L160+0.17*'Dataset experimental'!B160/'Modelos normativos'!AC160)/200000</f>
        <v>0.0849367274185672</v>
      </c>
      <c r="Q160" s="4" t="e">
        <f aca="false">L160/H160</f>
        <v>#REF!</v>
      </c>
      <c r="R160" s="4" t="e">
        <f aca="false">(-0.042-0.014*'Com TS variável MC2020'!Q169)*('Modelos normativos'!AP160-ABS('Modelos Propostos'!K160)-'Dataset experimental'!W160+COS(S160))</f>
        <v>#REF!</v>
      </c>
      <c r="S160" s="4" t="e">
        <f aca="false">'Dataset experimental'!O160-('Modelos normativos'!AQ160-SIN(0.083/('Dataset experimental'!M160-'Dataset experimental'!O160))-'Modelos empíricos'!I160)/0.646</f>
        <v>#REF!</v>
      </c>
      <c r="W160" s="4" t="e">
        <f aca="false">'Modelos normativos'!S160+'Avaliação do resultado ML'!A160</f>
        <v>#REF!</v>
      </c>
      <c r="X160" s="4" t="e">
        <f aca="false">W160/'Dataset experimental'!$AF160</f>
        <v>#REF!</v>
      </c>
      <c r="AJ160" s="4" t="e">
        <f aca="false">'Modelos Propostos'!B160+H160</f>
        <v>#REF!</v>
      </c>
      <c r="AK160" s="4" t="e">
        <f aca="false">AJ160/'Dataset experimental'!$AF160</f>
        <v>#REF!</v>
      </c>
      <c r="AV160" s="4" t="e">
        <f aca="false">'Modelos normativos'!S160+F160</f>
        <v>#REF!</v>
      </c>
      <c r="AW160" s="4" t="e">
        <f aca="false">AV160/'Dataset experimental'!$AF160</f>
        <v>#REF!</v>
      </c>
      <c r="BH160" s="4" t="e">
        <f aca="false">'Modelos Propostos'!B160+R160</f>
        <v>#REF!</v>
      </c>
      <c r="BI160" s="4" t="e">
        <f aca="false">BH160/'Dataset experimental'!$AF160</f>
        <v>#REF!</v>
      </c>
      <c r="BT160" s="4" t="n">
        <f aca="false">'Modelos Propostos'!B160+L160</f>
        <v>0.2098377413843</v>
      </c>
      <c r="BU160" s="4" t="n">
        <f aca="false">BT160/'Dataset experimental'!$AF160</f>
        <v>0.874323922434582</v>
      </c>
    </row>
    <row r="161" customFormat="false" ht="14.25" hidden="false" customHeight="false" outlineLevel="0" collapsed="false">
      <c r="A161" s="4" t="e">
        <f aca="false">0.0894*ABS(D161)-0.01603*E161</f>
        <v>#REF!</v>
      </c>
      <c r="B161" s="12" t="e">
        <f aca="false">'Dataset experimental'!K161*COS('Dataset experimental'!AC161)-'Dataset experimental'!M161-'Dataset experimental'!C161</f>
        <v>#REF!</v>
      </c>
      <c r="C161" s="12" t="e">
        <f aca="false">('Dataset experimental'!AE161+SIN('Avaliação do resultado ML'!B161))*0.70674187</f>
        <v>#REF!</v>
      </c>
      <c r="D161" s="12" t="e">
        <f aca="false">'Modelos Propostos'!E161+'Avaliação do resultado ML'!C161-'Modelos normativos'!AQ161</f>
        <v>#REF!</v>
      </c>
      <c r="E161" s="12" t="n">
        <f aca="false">'Modelos empíricos'!I161+1.1854</f>
        <v>1.98734558670069</v>
      </c>
      <c r="F161" s="4" t="e">
        <f aca="false">-0.01753*('Modelos normativos'!AN161-'Dataset experimental'!C161-ABS(G161)-('Modelos Propostos'!E161-'Modelos normativos'!AP161)/0.25291)</f>
        <v>#REF!</v>
      </c>
      <c r="G161" s="4" t="e">
        <f aca="false">'Dataset experimental'!K161+'Modelos empíricos'!K161^2+('Modelos Propostos'!E161-'Modelos normativos'!AQ161)*4.10553</f>
        <v>#REF!</v>
      </c>
      <c r="H161" s="4" t="e">
        <f aca="false">0.03283*(J161+K161)</f>
        <v>#REF!</v>
      </c>
      <c r="I161" s="4" t="e">
        <f aca="false">(1.61428/'Dataset experimental'!Q161)^3</f>
        <v>#REF!</v>
      </c>
      <c r="J161" s="4" t="e">
        <f aca="false">SIN('Dataset experimental'!E161)+1.450178*(SIN('Avaliação do resultado ML'!I161)+'Dataset experimental'!C161)</f>
        <v>#REF!</v>
      </c>
      <c r="K161" s="4" t="e">
        <f aca="false">('Modelos empíricos'!C161-'Dataset experimental'!G161)*'Dataset experimental'!AE161-'Modelos normativos'!AP161</f>
        <v>#REF!</v>
      </c>
      <c r="L161" s="4" t="n">
        <f aca="false">0.0076*'Dataset experimental'!B161+'Avaliação do resultado ML'!M161+'Avaliação do resultado ML'!N161+(-0.0328)*(0.0171*'Dataset experimental'!AD161-0.9442)*'Avaliação do resultado ML'!O161-'Avaliação do resultado ML'!P161-0.0364</f>
        <v>0.016622704841788</v>
      </c>
      <c r="M161" s="12" t="n">
        <f aca="false">0.03283*SIN(0.7328*'Dataset experimental'!D161-1.8266)</f>
        <v>-0.0291654482027489</v>
      </c>
      <c r="N161" s="12" t="n">
        <f aca="false">0.0476*SIN(4.2067/(0.0095*'Dataset experimental'!P161-1.9338)^3)</f>
        <v>0.0455515796827476</v>
      </c>
      <c r="O161" s="12" t="n">
        <f aca="false">0.0214*'Dataset experimental'!F161-3.1067*'Dataset experimental'!B161*'Dataset experimental'!P161*('Dataset experimental'!T161-'Dataset experimental'!R161)*(0.39*'Dataset experimental'!P161*'Dataset experimental'!T161/'Dataset experimental'!V161-'Dataset experimental'!Z161+3.12)/(100000*'Dataset experimental'!V161)+0.7995</f>
        <v>-0.705112484161399</v>
      </c>
      <c r="P161" s="12" t="n">
        <f aca="false">0.4461*('Dataset experimental'!Z161-0.6*'Modelos normativos'!AB161)*(3.4*'Dataset experimental'!L161+0.17*'Dataset experimental'!B161/'Modelos normativos'!AC161)/200000</f>
        <v>0.0993477792052425</v>
      </c>
      <c r="Q161" s="4" t="e">
        <f aca="false">L161/H161</f>
        <v>#REF!</v>
      </c>
      <c r="R161" s="4" t="e">
        <f aca="false">(-0.042-0.014*'Com TS variável MC2020'!Q170)*('Modelos normativos'!AP161-ABS('Modelos Propostos'!K161)-'Dataset experimental'!W161+COS(S161))</f>
        <v>#REF!</v>
      </c>
      <c r="S161" s="4" t="e">
        <f aca="false">'Dataset experimental'!O161-('Modelos normativos'!AQ161-SIN(0.083/('Dataset experimental'!M161-'Dataset experimental'!O161))-'Modelos empíricos'!I161)/0.646</f>
        <v>#REF!</v>
      </c>
      <c r="W161" s="4" t="e">
        <f aca="false">'Modelos normativos'!S161+'Avaliação do resultado ML'!A161</f>
        <v>#REF!</v>
      </c>
      <c r="X161" s="4" t="e">
        <f aca="false">W161/'Dataset experimental'!$AF161</f>
        <v>#REF!</v>
      </c>
      <c r="AJ161" s="4" t="e">
        <f aca="false">'Modelos Propostos'!B161+H161</f>
        <v>#REF!</v>
      </c>
      <c r="AK161" s="4" t="e">
        <f aca="false">AJ161/'Dataset experimental'!$AF161</f>
        <v>#REF!</v>
      </c>
      <c r="AV161" s="4" t="e">
        <f aca="false">'Modelos normativos'!S161+F161</f>
        <v>#REF!</v>
      </c>
      <c r="AW161" s="4" t="e">
        <f aca="false">AV161/'Dataset experimental'!$AF161</f>
        <v>#REF!</v>
      </c>
      <c r="BH161" s="4" t="e">
        <f aca="false">'Modelos Propostos'!B161+R161</f>
        <v>#REF!</v>
      </c>
      <c r="BI161" s="4" t="e">
        <f aca="false">BH161/'Dataset experimental'!$AF161</f>
        <v>#REF!</v>
      </c>
      <c r="BT161" s="4" t="n">
        <f aca="false">'Modelos Propostos'!B161+L161</f>
        <v>0.23658120254644</v>
      </c>
      <c r="BU161" s="4" t="n">
        <f aca="false">BT161/'Dataset experimental'!$AF161</f>
        <v>0.876226676097924</v>
      </c>
    </row>
    <row r="162" customFormat="false" ht="14.25" hidden="false" customHeight="false" outlineLevel="0" collapsed="false">
      <c r="A162" s="4" t="e">
        <f aca="false">0.0894*ABS(D162)-0.01603*E162</f>
        <v>#REF!</v>
      </c>
      <c r="B162" s="12" t="e">
        <f aca="false">'Dataset experimental'!K162*COS('Dataset experimental'!AC162)-'Dataset experimental'!M162-'Dataset experimental'!C162</f>
        <v>#REF!</v>
      </c>
      <c r="C162" s="12" t="e">
        <f aca="false">('Dataset experimental'!AE162+SIN('Avaliação do resultado ML'!B162))*0.70674187</f>
        <v>#REF!</v>
      </c>
      <c r="D162" s="12" t="e">
        <f aca="false">'Modelos Propostos'!E162+'Avaliação do resultado ML'!C162-'Modelos normativos'!AQ162</f>
        <v>#REF!</v>
      </c>
      <c r="E162" s="12" t="n">
        <f aca="false">'Modelos empíricos'!I162+1.1854</f>
        <v>2.56712481711379</v>
      </c>
      <c r="F162" s="4" t="e">
        <f aca="false">-0.01753*('Modelos normativos'!AN162-'Dataset experimental'!C162-ABS(G162)-('Modelos Propostos'!E162-'Modelos normativos'!AP162)/0.25291)</f>
        <v>#REF!</v>
      </c>
      <c r="G162" s="4" t="e">
        <f aca="false">'Dataset experimental'!K162+'Modelos empíricos'!K162^2+('Modelos Propostos'!E162-'Modelos normativos'!AQ162)*4.10553</f>
        <v>#REF!</v>
      </c>
      <c r="H162" s="4" t="e">
        <f aca="false">0.03283*(J162+K162)</f>
        <v>#REF!</v>
      </c>
      <c r="I162" s="4" t="e">
        <f aca="false">(1.61428/'Dataset experimental'!Q162)^3</f>
        <v>#REF!</v>
      </c>
      <c r="J162" s="4" t="e">
        <f aca="false">SIN('Dataset experimental'!E162)+1.450178*(SIN('Avaliação do resultado ML'!I162)+'Dataset experimental'!C162)</f>
        <v>#REF!</v>
      </c>
      <c r="K162" s="4" t="e">
        <f aca="false">('Modelos empíricos'!C162-'Dataset experimental'!G162)*'Dataset experimental'!AE162-'Modelos normativos'!AP162</f>
        <v>#REF!</v>
      </c>
      <c r="L162" s="4" t="n">
        <f aca="false">0.0076*'Dataset experimental'!B162+'Avaliação do resultado ML'!M162+'Avaliação do resultado ML'!N162+(-0.0328)*(0.0171*'Dataset experimental'!AD162-0.9442)*'Avaliação do resultado ML'!O162-'Avaliação do resultado ML'!P162-0.0364</f>
        <v>-0.00483320964786972</v>
      </c>
      <c r="M162" s="12" t="n">
        <f aca="false">0.03283*SIN(0.7328*'Dataset experimental'!D162-1.8266)</f>
        <v>-0.0291654482027489</v>
      </c>
      <c r="N162" s="12" t="n">
        <f aca="false">0.0476*SIN(4.2067/(0.0095*'Dataset experimental'!P162-1.9338)^3)</f>
        <v>0.0455515796827476</v>
      </c>
      <c r="O162" s="12" t="n">
        <f aca="false">0.0214*'Dataset experimental'!F162-3.1067*'Dataset experimental'!B162*'Dataset experimental'!P162*('Dataset experimental'!T162-'Dataset experimental'!R162)*(0.39*'Dataset experimental'!P162*'Dataset experimental'!T162/'Dataset experimental'!V162-'Dataset experimental'!Z162+3.12)/(100000*'Dataset experimental'!V162)+0.7995</f>
        <v>-1.03814332043306</v>
      </c>
      <c r="P162" s="12" t="n">
        <f aca="false">0.4461*('Dataset experimental'!Z162-0.6*'Modelos normativos'!AB162)*(3.4*'Dataset experimental'!L162+0.17*'Dataset experimental'!B162/'Modelos normativos'!AC162)/200000</f>
        <v>0.114322391676313</v>
      </c>
      <c r="Q162" s="4" t="e">
        <f aca="false">L162/H162</f>
        <v>#REF!</v>
      </c>
      <c r="R162" s="4" t="e">
        <f aca="false">(-0.042-0.014*'Com TS variável MC2020'!Q171)*('Modelos normativos'!AP162-ABS('Modelos Propostos'!K162)-'Dataset experimental'!W162+COS(S162))</f>
        <v>#REF!</v>
      </c>
      <c r="S162" s="4" t="e">
        <f aca="false">'Dataset experimental'!O162-('Modelos normativos'!AQ162-SIN(0.083/('Dataset experimental'!M162-'Dataset experimental'!O162))-'Modelos empíricos'!I162)/0.646</f>
        <v>#REF!</v>
      </c>
      <c r="W162" s="4" t="e">
        <f aca="false">'Modelos normativos'!S162+'Avaliação do resultado ML'!A162</f>
        <v>#REF!</v>
      </c>
      <c r="X162" s="4" t="e">
        <f aca="false">W162/'Dataset experimental'!$AF162</f>
        <v>#REF!</v>
      </c>
      <c r="AJ162" s="4" t="e">
        <f aca="false">'Modelos Propostos'!B162+H162</f>
        <v>#REF!</v>
      </c>
      <c r="AK162" s="4" t="e">
        <f aca="false">AJ162/'Dataset experimental'!$AF162</f>
        <v>#REF!</v>
      </c>
      <c r="AV162" s="4" t="e">
        <f aca="false">'Modelos normativos'!S162+F162</f>
        <v>#REF!</v>
      </c>
      <c r="AW162" s="4" t="e">
        <f aca="false">AV162/'Dataset experimental'!$AF162</f>
        <v>#REF!</v>
      </c>
      <c r="BH162" s="4" t="e">
        <f aca="false">'Modelos Propostos'!B162+R162</f>
        <v>#REF!</v>
      </c>
      <c r="BI162" s="4" t="e">
        <f aca="false">BH162/'Dataset experimental'!$AF162</f>
        <v>#REF!</v>
      </c>
      <c r="BT162" s="4" t="n">
        <f aca="false">'Modelos Propostos'!B162+L162</f>
        <v>0.265052282109697</v>
      </c>
      <c r="BU162" s="4" t="n">
        <f aca="false">BT162/'Dataset experimental'!$AF162</f>
        <v>0.91397338658516</v>
      </c>
    </row>
    <row r="163" customFormat="false" ht="14.25" hidden="false" customHeight="false" outlineLevel="0" collapsed="false">
      <c r="A163" s="4" t="e">
        <f aca="false">0.0894*ABS(D163)-0.01603*E163</f>
        <v>#REF!</v>
      </c>
      <c r="B163" s="12" t="e">
        <f aca="false">'Dataset experimental'!K163*COS('Dataset experimental'!AC163)-'Dataset experimental'!M163-'Dataset experimental'!C163</f>
        <v>#REF!</v>
      </c>
      <c r="C163" s="12" t="e">
        <f aca="false">('Dataset experimental'!AE163+SIN('Avaliação do resultado ML'!B163))*0.70674187</f>
        <v>#REF!</v>
      </c>
      <c r="D163" s="12" t="e">
        <f aca="false">'Modelos Propostos'!E163+'Avaliação do resultado ML'!C163-'Modelos normativos'!AQ163</f>
        <v>#REF!</v>
      </c>
      <c r="E163" s="12" t="n">
        <f aca="false">'Modelos empíricos'!I163+1.1854</f>
        <v>3.11885021379723</v>
      </c>
      <c r="F163" s="4" t="e">
        <f aca="false">-0.01753*('Modelos normativos'!AN163-'Dataset experimental'!C163-ABS(G163)-('Modelos Propostos'!E163-'Modelos normativos'!AP163)/0.25291)</f>
        <v>#REF!</v>
      </c>
      <c r="G163" s="4" t="e">
        <f aca="false">'Dataset experimental'!K163+'Modelos empíricos'!K163^2+('Modelos Propostos'!E163-'Modelos normativos'!AQ163)*4.10553</f>
        <v>#REF!</v>
      </c>
      <c r="H163" s="4" t="e">
        <f aca="false">0.03283*(J163+K163)</f>
        <v>#REF!</v>
      </c>
      <c r="I163" s="4" t="e">
        <f aca="false">(1.61428/'Dataset experimental'!Q163)^3</f>
        <v>#REF!</v>
      </c>
      <c r="J163" s="4" t="e">
        <f aca="false">SIN('Dataset experimental'!E163)+1.450178*(SIN('Avaliação do resultado ML'!I163)+'Dataset experimental'!C163)</f>
        <v>#REF!</v>
      </c>
      <c r="K163" s="4" t="e">
        <f aca="false">('Modelos empíricos'!C163-'Dataset experimental'!G163)*'Dataset experimental'!AE163-'Modelos normativos'!AP163</f>
        <v>#REF!</v>
      </c>
      <c r="L163" s="4" t="n">
        <f aca="false">0.0076*'Dataset experimental'!B163+'Avaliação do resultado ML'!M163+'Avaliação do resultado ML'!N163+(-0.0328)*(0.0171*'Dataset experimental'!AD163-0.9442)*'Avaliação do resultado ML'!O163-'Avaliação do resultado ML'!P163-0.0364</f>
        <v>-0.0246056946276585</v>
      </c>
      <c r="M163" s="12" t="n">
        <f aca="false">0.03283*SIN(0.7328*'Dataset experimental'!D163-1.8266)</f>
        <v>-0.0291654482027489</v>
      </c>
      <c r="N163" s="12" t="n">
        <f aca="false">0.0476*SIN(4.2067/(0.0095*'Dataset experimental'!P163-1.9338)^3)</f>
        <v>0.0455515796827476</v>
      </c>
      <c r="O163" s="12" t="n">
        <f aca="false">0.0214*'Dataset experimental'!F163-3.1067*'Dataset experimental'!B163*'Dataset experimental'!P163*('Dataset experimental'!T163-'Dataset experimental'!R163)*(0.39*'Dataset experimental'!P163*'Dataset experimental'!T163/'Dataset experimental'!V163-'Dataset experimental'!Z163+3.12)/(100000*'Dataset experimental'!V163)+0.7995</f>
        <v>-1.35505976140126</v>
      </c>
      <c r="P163" s="12" t="n">
        <f aca="false">0.4461*('Dataset experimental'!Z163-0.6*'Modelos normativos'!AB163)*(3.4*'Dataset experimental'!L163+0.17*'Dataset experimental'!B163/'Modelos normativos'!AC163)/200000</f>
        <v>0.128572426124589</v>
      </c>
      <c r="Q163" s="4" t="e">
        <f aca="false">L163/H163</f>
        <v>#REF!</v>
      </c>
      <c r="R163" s="4" t="e">
        <f aca="false">(-0.042-0.014*'Com TS variável MC2020'!Q172)*('Modelos normativos'!AP163-ABS('Modelos Propostos'!K163)-'Dataset experimental'!W163+COS(S163))</f>
        <v>#REF!</v>
      </c>
      <c r="S163" s="4" t="e">
        <f aca="false">'Dataset experimental'!O163-('Modelos normativos'!AQ163-SIN(0.083/('Dataset experimental'!M163-'Dataset experimental'!O163))-'Modelos empíricos'!I163)/0.646</f>
        <v>#REF!</v>
      </c>
      <c r="W163" s="4" t="e">
        <f aca="false">'Modelos normativos'!S163+'Avaliação do resultado ML'!A163</f>
        <v>#REF!</v>
      </c>
      <c r="X163" s="4" t="e">
        <f aca="false">W163/'Dataset experimental'!$AF163</f>
        <v>#REF!</v>
      </c>
      <c r="AJ163" s="4" t="e">
        <f aca="false">'Modelos Propostos'!B163+H163</f>
        <v>#REF!</v>
      </c>
      <c r="AK163" s="4" t="e">
        <f aca="false">AJ163/'Dataset experimental'!$AF163</f>
        <v>#REF!</v>
      </c>
      <c r="AV163" s="4" t="e">
        <f aca="false">'Modelos normativos'!S163+F163</f>
        <v>#REF!</v>
      </c>
      <c r="AW163" s="4" t="e">
        <f aca="false">AV163/'Dataset experimental'!$AF163</f>
        <v>#REF!</v>
      </c>
      <c r="BH163" s="4" t="e">
        <f aca="false">'Modelos Propostos'!B163+R163</f>
        <v>#REF!</v>
      </c>
      <c r="BI163" s="4" t="e">
        <f aca="false">BH163/'Dataset experimental'!$AF163</f>
        <v>#REF!</v>
      </c>
      <c r="BT163" s="4" t="n">
        <f aca="false">'Modelos Propostos'!B163+L163</f>
        <v>0.29279096888994</v>
      </c>
      <c r="BU163" s="4" t="n">
        <f aca="false">BT163/'Dataset experimental'!$AF163</f>
        <v>0.914971777781061</v>
      </c>
    </row>
    <row r="164" customFormat="false" ht="14.25" hidden="false" customHeight="false" outlineLevel="0" collapsed="false">
      <c r="A164" s="4" t="e">
        <f aca="false">0.0894*ABS(D164)-0.01603*E164</f>
        <v>#REF!</v>
      </c>
      <c r="B164" s="12" t="e">
        <f aca="false">'Dataset experimental'!K164*COS('Dataset experimental'!AC164)-'Dataset experimental'!M164-'Dataset experimental'!C164</f>
        <v>#REF!</v>
      </c>
      <c r="C164" s="12" t="e">
        <f aca="false">('Dataset experimental'!AE164+SIN('Avaliação do resultado ML'!B164))*0.70674187</f>
        <v>#REF!</v>
      </c>
      <c r="D164" s="12" t="e">
        <f aca="false">'Modelos Propostos'!E164+'Avaliação do resultado ML'!C164-'Modelos normativos'!AQ164</f>
        <v>#REF!</v>
      </c>
      <c r="E164" s="12" t="n">
        <f aca="false">'Modelos empíricos'!I164+1.1854</f>
        <v>3.38692018054737</v>
      </c>
      <c r="F164" s="4" t="e">
        <f aca="false">-0.01753*('Modelos normativos'!AN164-'Dataset experimental'!C164-ABS(G164)-('Modelos Propostos'!E164-'Modelos normativos'!AP164)/0.25291)</f>
        <v>#REF!</v>
      </c>
      <c r="G164" s="4" t="e">
        <f aca="false">'Dataset experimental'!K164+'Modelos empíricos'!K164^2+('Modelos Propostos'!E164-'Modelos normativos'!AQ164)*4.10553</f>
        <v>#REF!</v>
      </c>
      <c r="H164" s="4" t="e">
        <f aca="false">0.03283*(J164+K164)</f>
        <v>#REF!</v>
      </c>
      <c r="I164" s="4" t="e">
        <f aca="false">(1.61428/'Dataset experimental'!Q164)^3</f>
        <v>#REF!</v>
      </c>
      <c r="J164" s="4" t="e">
        <f aca="false">SIN('Dataset experimental'!E164)+1.450178*(SIN('Avaliação do resultado ML'!I164)+'Dataset experimental'!C164)</f>
        <v>#REF!</v>
      </c>
      <c r="K164" s="4" t="e">
        <f aca="false">('Modelos empíricos'!C164-'Dataset experimental'!G164)*'Dataset experimental'!AE164-'Modelos normativos'!AP164</f>
        <v>#REF!</v>
      </c>
      <c r="L164" s="4" t="n">
        <f aca="false">0.0076*'Dataset experimental'!B164+'Avaliação do resultado ML'!M164+'Avaliação do resultado ML'!N164+(-0.0328)*(0.0171*'Dataset experimental'!AD164-0.9442)*'Avaliação do resultado ML'!O164-'Avaliação do resultado ML'!P164-0.0364</f>
        <v>-0.0339855236659313</v>
      </c>
      <c r="M164" s="12" t="n">
        <f aca="false">0.03283*SIN(0.7328*'Dataset experimental'!D164-1.8266)</f>
        <v>-0.0291654482027489</v>
      </c>
      <c r="N164" s="12" t="n">
        <f aca="false">0.0476*SIN(4.2067/(0.0095*'Dataset experimental'!P164-1.9338)^3)</f>
        <v>0.0455515796827476</v>
      </c>
      <c r="O164" s="12" t="n">
        <f aca="false">0.0214*'Dataset experimental'!F164-3.1067*'Dataset experimental'!B164*'Dataset experimental'!P164*('Dataset experimental'!T164-'Dataset experimental'!R164)*(0.39*'Dataset experimental'!P164*'Dataset experimental'!T164/'Dataset experimental'!V164-'Dataset experimental'!Z164+3.12)/(100000*'Dataset experimental'!V164)+0.7995</f>
        <v>-1.50904176096773</v>
      </c>
      <c r="P164" s="12" t="n">
        <f aca="false">0.4461*('Dataset experimental'!Z164-0.6*'Modelos normativos'!AB164)*(3.4*'Dataset experimental'!L164+0.17*'Dataset experimental'!B164/'Modelos normativos'!AC164)/200000</f>
        <v>0.135496171675729</v>
      </c>
      <c r="Q164" s="4" t="e">
        <f aca="false">L164/H164</f>
        <v>#REF!</v>
      </c>
      <c r="R164" s="4" t="e">
        <f aca="false">(-0.042-0.014*'Com TS variável MC2020'!Q173)*('Modelos normativos'!AP164-ABS('Modelos Propostos'!K164)-'Dataset experimental'!W164+COS(S164))</f>
        <v>#REF!</v>
      </c>
      <c r="S164" s="4" t="e">
        <f aca="false">'Dataset experimental'!O164-('Modelos normativos'!AQ164-SIN(0.083/('Dataset experimental'!M164-'Dataset experimental'!O164))-'Modelos empíricos'!I164)/0.646</f>
        <v>#REF!</v>
      </c>
      <c r="W164" s="4" t="e">
        <f aca="false">'Modelos normativos'!S164+'Avaliação do resultado ML'!A164</f>
        <v>#REF!</v>
      </c>
      <c r="X164" s="4" t="e">
        <f aca="false">W164/'Dataset experimental'!$AF164</f>
        <v>#REF!</v>
      </c>
      <c r="AJ164" s="4" t="e">
        <f aca="false">'Modelos Propostos'!B164+H164</f>
        <v>#REF!</v>
      </c>
      <c r="AK164" s="4" t="e">
        <f aca="false">AJ164/'Dataset experimental'!$AF164</f>
        <v>#REF!</v>
      </c>
      <c r="AV164" s="4" t="e">
        <f aca="false">'Modelos normativos'!S164+F164</f>
        <v>#REF!</v>
      </c>
      <c r="AW164" s="4" t="e">
        <f aca="false">AV164/'Dataset experimental'!$AF164</f>
        <v>#REF!</v>
      </c>
      <c r="BH164" s="4" t="e">
        <f aca="false">'Modelos Propostos'!B164+R164</f>
        <v>#REF!</v>
      </c>
      <c r="BI164" s="4" t="e">
        <f aca="false">BH164/'Dataset experimental'!$AF164</f>
        <v>#REF!</v>
      </c>
      <c r="BT164" s="4" t="n">
        <f aca="false">'Modelos Propostos'!B164+L164</f>
        <v>0.306495663983659</v>
      </c>
      <c r="BU164" s="4" t="n">
        <f aca="false">BT164/'Dataset experimental'!$AF164</f>
        <v>0.928774739344423</v>
      </c>
    </row>
    <row r="165" customFormat="false" ht="14.25" hidden="false" customHeight="false" outlineLevel="0" collapsed="false">
      <c r="A165" s="4" t="e">
        <f aca="false">0.0894*ABS(D165)-0.01603*E165</f>
        <v>#REF!</v>
      </c>
      <c r="B165" s="12" t="e">
        <f aca="false">'Dataset experimental'!K165*COS('Dataset experimental'!AC165)-'Dataset experimental'!M165-'Dataset experimental'!C165</f>
        <v>#REF!</v>
      </c>
      <c r="C165" s="12" t="e">
        <f aca="false">('Dataset experimental'!AE165+SIN('Avaliação do resultado ML'!B165))*0.70674187</f>
        <v>#REF!</v>
      </c>
      <c r="D165" s="12" t="e">
        <f aca="false">'Modelos Propostos'!E165+'Avaliação do resultado ML'!C165-'Modelos normativos'!AQ165</f>
        <v>#REF!</v>
      </c>
      <c r="E165" s="12" t="n">
        <f aca="false">'Modelos empíricos'!I165+1.1854</f>
        <v>1.29880956713006</v>
      </c>
      <c r="F165" s="4" t="e">
        <f aca="false">-0.01753*('Modelos normativos'!AN165-'Dataset experimental'!C165-ABS(G165)-('Modelos Propostos'!E165-'Modelos normativos'!AP165)/0.25291)</f>
        <v>#REF!</v>
      </c>
      <c r="G165" s="4" t="e">
        <f aca="false">'Dataset experimental'!K165+'Modelos empíricos'!K165^2+('Modelos Propostos'!E165-'Modelos normativos'!AQ165)*4.10553</f>
        <v>#REF!</v>
      </c>
      <c r="H165" s="4" t="e">
        <f aca="false">0.03283*(J165+K165)</f>
        <v>#REF!</v>
      </c>
      <c r="I165" s="4" t="e">
        <f aca="false">(1.61428/'Dataset experimental'!Q165)^3</f>
        <v>#REF!</v>
      </c>
      <c r="J165" s="4" t="e">
        <f aca="false">SIN('Dataset experimental'!E165)+1.450178*(SIN('Avaliação do resultado ML'!I165)+'Dataset experimental'!C165)</f>
        <v>#REF!</v>
      </c>
      <c r="K165" s="4" t="e">
        <f aca="false">('Modelos empíricos'!C165-'Dataset experimental'!G165)*'Dataset experimental'!AE165-'Modelos normativos'!AP165</f>
        <v>#REF!</v>
      </c>
      <c r="L165" s="4" t="n">
        <f aca="false">0.0076*'Dataset experimental'!B165+'Avaliação do resultado ML'!M165+'Avaliação do resultado ML'!N165+(-0.0328)*(0.0171*'Dataset experimental'!AD165-0.9442)*'Avaliação do resultado ML'!O165-'Avaliação do resultado ML'!P165-0.0364</f>
        <v>-0.0389638471440085</v>
      </c>
      <c r="M165" s="12" t="n">
        <f aca="false">0.03283*SIN(0.7328*'Dataset experimental'!D165-1.8266)</f>
        <v>-0.0291654482027489</v>
      </c>
      <c r="N165" s="12" t="n">
        <f aca="false">0.0476*SIN(4.2067/(0.0095*'Dataset experimental'!P165-1.9338)^3)</f>
        <v>0.0455515796827476</v>
      </c>
      <c r="O165" s="12" t="n">
        <f aca="false">0.0214*'Dataset experimental'!F165-3.1067*'Dataset experimental'!B165*'Dataset experimental'!P165*('Dataset experimental'!T165-'Dataset experimental'!R165)*(0.39*'Dataset experimental'!P165*'Dataset experimental'!T165/'Dataset experimental'!V165-'Dataset experimental'!Z165+3.12)/(100000*'Dataset experimental'!V165)+0.7995</f>
        <v>-1.00968700830136</v>
      </c>
      <c r="P165" s="12" t="n">
        <f aca="false">0.4461*('Dataset experimental'!Z165-0.6*'Modelos normativos'!AB165)*(3.4*'Dataset experimental'!L165+0.17*'Dataset experimental'!B165/'Modelos normativos'!AC165)/200000</f>
        <v>0.0676387439138164</v>
      </c>
      <c r="Q165" s="4" t="e">
        <f aca="false">L165/H165</f>
        <v>#REF!</v>
      </c>
      <c r="R165" s="4" t="e">
        <f aca="false">(-0.042-0.014*'Com TS variável MC2020'!Q174)*('Modelos normativos'!AP165-ABS('Modelos Propostos'!K165)-'Dataset experimental'!W165+COS(S165))</f>
        <v>#REF!</v>
      </c>
      <c r="S165" s="4" t="e">
        <f aca="false">'Dataset experimental'!O165-('Modelos normativos'!AQ165-SIN(0.083/('Dataset experimental'!M165-'Dataset experimental'!O165))-'Modelos empíricos'!I165)/0.646</f>
        <v>#REF!</v>
      </c>
      <c r="W165" s="4" t="e">
        <f aca="false">'Modelos normativos'!S165+'Avaliação do resultado ML'!A165</f>
        <v>#REF!</v>
      </c>
      <c r="X165" s="4" t="e">
        <f aca="false">W165/'Dataset experimental'!$AF165</f>
        <v>#REF!</v>
      </c>
      <c r="AJ165" s="4" t="e">
        <f aca="false">'Modelos Propostos'!B165+H165</f>
        <v>#REF!</v>
      </c>
      <c r="AK165" s="4" t="e">
        <f aca="false">AJ165/'Dataset experimental'!$AF165</f>
        <v>#REF!</v>
      </c>
      <c r="AV165" s="4" t="e">
        <f aca="false">'Modelos normativos'!S165+F165</f>
        <v>#REF!</v>
      </c>
      <c r="AW165" s="4" t="e">
        <f aca="false">AV165/'Dataset experimental'!$AF165</f>
        <v>#REF!</v>
      </c>
      <c r="BH165" s="4" t="e">
        <f aca="false">'Modelos Propostos'!B165+R165</f>
        <v>#REF!</v>
      </c>
      <c r="BI165" s="4" t="e">
        <f aca="false">BH165/'Dataset experimental'!$AF165</f>
        <v>#REF!</v>
      </c>
      <c r="BT165" s="4" t="n">
        <f aca="false">'Modelos Propostos'!B165+L165</f>
        <v>0.236049478656095</v>
      </c>
      <c r="BU165" s="4" t="n">
        <f aca="false">BT165/'Dataset experimental'!$AF165</f>
        <v>1.57366319104063</v>
      </c>
    </row>
    <row r="166" customFormat="false" ht="14.25" hidden="false" customHeight="false" outlineLevel="0" collapsed="false">
      <c r="A166" s="4" t="e">
        <f aca="false">0.0894*ABS(D166)-0.01603*E166</f>
        <v>#REF!</v>
      </c>
      <c r="B166" s="12" t="e">
        <f aca="false">'Dataset experimental'!K166*COS('Dataset experimental'!AC166)-'Dataset experimental'!M166-'Dataset experimental'!C166</f>
        <v>#REF!</v>
      </c>
      <c r="C166" s="12" t="e">
        <f aca="false">('Dataset experimental'!AE166+SIN('Avaliação do resultado ML'!B166))*0.70674187</f>
        <v>#REF!</v>
      </c>
      <c r="D166" s="12" t="e">
        <f aca="false">'Modelos Propostos'!E166+'Avaliação do resultado ML'!C166-'Modelos normativos'!AQ166</f>
        <v>#REF!</v>
      </c>
      <c r="E166" s="12" t="n">
        <f aca="false">'Modelos empíricos'!I166+1.1854</f>
        <v>1.53590801996235</v>
      </c>
      <c r="F166" s="4" t="e">
        <f aca="false">-0.01753*('Modelos normativos'!AN166-'Dataset experimental'!C166-ABS(G166)-('Modelos Propostos'!E166-'Modelos normativos'!AP166)/0.25291)</f>
        <v>#REF!</v>
      </c>
      <c r="G166" s="4" t="e">
        <f aca="false">'Dataset experimental'!K166+'Modelos empíricos'!K166^2+('Modelos Propostos'!E166-'Modelos normativos'!AQ166)*4.10553</f>
        <v>#REF!</v>
      </c>
      <c r="H166" s="4" t="e">
        <f aca="false">0.03283*(J166+K166)</f>
        <v>#REF!</v>
      </c>
      <c r="I166" s="4" t="e">
        <f aca="false">(1.61428/'Dataset experimental'!Q166)^3</f>
        <v>#REF!</v>
      </c>
      <c r="J166" s="4" t="e">
        <f aca="false">SIN('Dataset experimental'!E166)+1.450178*(SIN('Avaliação do resultado ML'!I166)+'Dataset experimental'!C166)</f>
        <v>#REF!</v>
      </c>
      <c r="K166" s="4" t="e">
        <f aca="false">('Modelos empíricos'!C166-'Dataset experimental'!G166)*'Dataset experimental'!AE166-'Modelos normativos'!AP166</f>
        <v>#REF!</v>
      </c>
      <c r="L166" s="4" t="n">
        <f aca="false">0.0076*'Dataset experimental'!B166+'Avaliação do resultado ML'!M166+'Avaliação do resultado ML'!N166+(-0.0328)*(0.0171*'Dataset experimental'!AD166-0.9442)*'Avaliação do resultado ML'!O166-'Avaliação do resultado ML'!P166-0.0364</f>
        <v>-0.0638191289547356</v>
      </c>
      <c r="M166" s="12" t="n">
        <f aca="false">0.03283*SIN(0.7328*'Dataset experimental'!D166-1.8266)</f>
        <v>-0.0291654482027489</v>
      </c>
      <c r="N166" s="12" t="n">
        <f aca="false">0.0476*SIN(4.2067/(0.0095*'Dataset experimental'!P166-1.9338)^3)</f>
        <v>0.0455515796827476</v>
      </c>
      <c r="O166" s="12" t="n">
        <f aca="false">0.0214*'Dataset experimental'!F166-3.1067*'Dataset experimental'!B166*'Dataset experimental'!P166*('Dataset experimental'!T166-'Dataset experimental'!R166)*(0.39*'Dataset experimental'!P166*'Dataset experimental'!T166/'Dataset experimental'!V166-'Dataset experimental'!Z166+3.12)/(100000*'Dataset experimental'!V166)+0.7995</f>
        <v>-1.36546008444359</v>
      </c>
      <c r="P166" s="12" t="n">
        <f aca="false">0.4461*('Dataset experimental'!Z166-0.6*'Modelos normativos'!AB166)*(3.4*'Dataset experimental'!L166+0.17*'Dataset experimental'!B166/'Modelos normativos'!AC166)/200000</f>
        <v>0.0832152821660274</v>
      </c>
      <c r="Q166" s="4" t="e">
        <f aca="false">L166/H166</f>
        <v>#REF!</v>
      </c>
      <c r="R166" s="4" t="e">
        <f aca="false">(-0.042-0.014*'Com TS variável MC2020'!Q175)*('Modelos normativos'!AP166-ABS('Modelos Propostos'!K166)-'Dataset experimental'!W166+COS(S166))</f>
        <v>#REF!</v>
      </c>
      <c r="S166" s="4" t="e">
        <f aca="false">'Dataset experimental'!O166-('Modelos normativos'!AQ166-SIN(0.083/('Dataset experimental'!M166-'Dataset experimental'!O166))-'Modelos empíricos'!I166)/0.646</f>
        <v>#REF!</v>
      </c>
      <c r="W166" s="4" t="e">
        <f aca="false">'Modelos normativos'!S166+'Avaliação do resultado ML'!A166</f>
        <v>#REF!</v>
      </c>
      <c r="X166" s="4" t="e">
        <f aca="false">W166/'Dataset experimental'!$AF166</f>
        <v>#REF!</v>
      </c>
      <c r="AJ166" s="4" t="e">
        <f aca="false">'Modelos Propostos'!B166+H166</f>
        <v>#REF!</v>
      </c>
      <c r="AK166" s="4" t="e">
        <f aca="false">AJ166/'Dataset experimental'!$AF166</f>
        <v>#REF!</v>
      </c>
      <c r="AV166" s="4" t="e">
        <f aca="false">'Modelos normativos'!S166+F166</f>
        <v>#REF!</v>
      </c>
      <c r="AW166" s="4" t="e">
        <f aca="false">AV166/'Dataset experimental'!$AF166</f>
        <v>#REF!</v>
      </c>
      <c r="BH166" s="4" t="e">
        <f aca="false">'Modelos Propostos'!B166+R166</f>
        <v>#REF!</v>
      </c>
      <c r="BI166" s="4" t="e">
        <f aca="false">BH166/'Dataset experimental'!$AF166</f>
        <v>#REF!</v>
      </c>
      <c r="BT166" s="4" t="n">
        <f aca="false">'Modelos Propostos'!B166+L166</f>
        <v>0.247743426811802</v>
      </c>
      <c r="BU166" s="4" t="n">
        <f aca="false">BT166/'Dataset experimental'!$AF166</f>
        <v>1.3039127726937</v>
      </c>
    </row>
    <row r="167" customFormat="false" ht="14.25" hidden="false" customHeight="false" outlineLevel="0" collapsed="false">
      <c r="A167" s="4" t="e">
        <f aca="false">0.0894*ABS(D167)-0.01603*E167</f>
        <v>#REF!</v>
      </c>
      <c r="B167" s="12" t="e">
        <f aca="false">'Dataset experimental'!K167*COS('Dataset experimental'!AC167)-'Dataset experimental'!M167-'Dataset experimental'!C167</f>
        <v>#REF!</v>
      </c>
      <c r="C167" s="12" t="e">
        <f aca="false">('Dataset experimental'!AE167+SIN('Avaliação do resultado ML'!B167))*0.70674187</f>
        <v>#REF!</v>
      </c>
      <c r="D167" s="12" t="e">
        <f aca="false">'Modelos Propostos'!E167+'Avaliação do resultado ML'!C167-'Modelos normativos'!AQ167</f>
        <v>#REF!</v>
      </c>
      <c r="E167" s="12" t="n">
        <f aca="false">'Modelos empíricos'!I167+1.1854</f>
        <v>1.58332771052881</v>
      </c>
      <c r="F167" s="4" t="e">
        <f aca="false">-0.01753*('Modelos normativos'!AN167-'Dataset experimental'!C167-ABS(G167)-('Modelos Propostos'!E167-'Modelos normativos'!AP167)/0.25291)</f>
        <v>#REF!</v>
      </c>
      <c r="G167" s="4" t="e">
        <f aca="false">'Dataset experimental'!K167+'Modelos empíricos'!K167^2+('Modelos Propostos'!E167-'Modelos normativos'!AQ167)*4.10553</f>
        <v>#REF!</v>
      </c>
      <c r="H167" s="4" t="e">
        <f aca="false">0.03283*(J167+K167)</f>
        <v>#REF!</v>
      </c>
      <c r="I167" s="4" t="e">
        <f aca="false">(1.61428/'Dataset experimental'!Q167)^3</f>
        <v>#REF!</v>
      </c>
      <c r="J167" s="4" t="e">
        <f aca="false">SIN('Dataset experimental'!E167)+1.450178*(SIN('Avaliação do resultado ML'!I167)+'Dataset experimental'!C167)</f>
        <v>#REF!</v>
      </c>
      <c r="K167" s="4" t="e">
        <f aca="false">('Modelos empíricos'!C167-'Dataset experimental'!G167)*'Dataset experimental'!AE167-'Modelos normativos'!AP167</f>
        <v>#REF!</v>
      </c>
      <c r="L167" s="4" t="n">
        <f aca="false">0.0076*'Dataset experimental'!B167+'Avaliação do resultado ML'!M167+'Avaliação do resultado ML'!N167+(-0.0328)*(0.0171*'Dataset experimental'!AD167-0.9442)*'Avaliação do resultado ML'!O167-'Avaliação do resultado ML'!P167-0.0364</f>
        <v>-0.0687686343485628</v>
      </c>
      <c r="M167" s="12" t="n">
        <f aca="false">0.03283*SIN(0.7328*'Dataset experimental'!D167-1.8266)</f>
        <v>-0.0291654482027489</v>
      </c>
      <c r="N167" s="12" t="n">
        <f aca="false">0.0476*SIN(4.2067/(0.0095*'Dataset experimental'!P167-1.9338)^3)</f>
        <v>0.0455515796827476</v>
      </c>
      <c r="O167" s="12" t="n">
        <f aca="false">0.0214*'Dataset experimental'!F167-3.1067*'Dataset experimental'!B167*'Dataset experimental'!P167*('Dataset experimental'!T167-'Dataset experimental'!R167)*(0.39*'Dataset experimental'!P167*'Dataset experimental'!T167/'Dataset experimental'!V167-'Dataset experimental'!Z167+3.12)/(100000*'Dataset experimental'!V167)+0.7995</f>
        <v>-1.43661469967203</v>
      </c>
      <c r="P167" s="12" t="n">
        <f aca="false">0.4461*('Dataset experimental'!Z167-0.6*'Modelos normativos'!AB167)*(3.4*'Dataset experimental'!L167+0.17*'Dataset experimental'!B167/'Modelos normativos'!AC167)/200000</f>
        <v>0.0863305898164696</v>
      </c>
      <c r="Q167" s="4" t="e">
        <f aca="false">L167/H167</f>
        <v>#REF!</v>
      </c>
      <c r="R167" s="4" t="e">
        <f aca="false">(-0.042-0.014*'Com TS variável MC2020'!Q176)*('Modelos normativos'!AP167-ABS('Modelos Propostos'!K167)-'Dataset experimental'!W167+COS(S167))</f>
        <v>#REF!</v>
      </c>
      <c r="S167" s="4" t="e">
        <f aca="false">'Dataset experimental'!O167-('Modelos normativos'!AQ167-SIN(0.083/('Dataset experimental'!M167-'Dataset experimental'!O167))-'Modelos empíricos'!I167)/0.646</f>
        <v>#REF!</v>
      </c>
      <c r="W167" s="4" t="e">
        <f aca="false">'Modelos normativos'!S167+'Avaliação do resultado ML'!A167</f>
        <v>#REF!</v>
      </c>
      <c r="X167" s="4" t="e">
        <f aca="false">W167/'Dataset experimental'!$AF167</f>
        <v>#REF!</v>
      </c>
      <c r="AJ167" s="4" t="e">
        <f aca="false">'Modelos Propostos'!B167+H167</f>
        <v>#REF!</v>
      </c>
      <c r="AK167" s="4" t="e">
        <f aca="false">AJ167/'Dataset experimental'!$AF167</f>
        <v>#REF!</v>
      </c>
      <c r="AV167" s="4" t="e">
        <f aca="false">'Modelos normativos'!S167+F167</f>
        <v>#REF!</v>
      </c>
      <c r="AW167" s="4" t="e">
        <f aca="false">AV167/'Dataset experimental'!$AF167</f>
        <v>#REF!</v>
      </c>
      <c r="BH167" s="4" t="e">
        <f aca="false">'Modelos Propostos'!B167+R167</f>
        <v>#REF!</v>
      </c>
      <c r="BI167" s="4" t="e">
        <f aca="false">BH167/'Dataset experimental'!$AF167</f>
        <v>#REF!</v>
      </c>
      <c r="BT167" s="4" t="n">
        <f aca="false">'Modelos Propostos'!B167+L167</f>
        <v>0.250377316741572</v>
      </c>
      <c r="BU167" s="4" t="n">
        <f aca="false">BT167/'Dataset experimental'!$AF167</f>
        <v>1.25188658370786</v>
      </c>
    </row>
    <row r="168" customFormat="false" ht="14.25" hidden="false" customHeight="false" outlineLevel="0" collapsed="false">
      <c r="A168" s="4" t="e">
        <f aca="false">0.0894*ABS(D168)-0.01603*E168</f>
        <v>#REF!</v>
      </c>
      <c r="B168" s="12" t="e">
        <f aca="false">'Dataset experimental'!K168*COS('Dataset experimental'!AC168)-'Dataset experimental'!M168-'Dataset experimental'!C168</f>
        <v>#REF!</v>
      </c>
      <c r="C168" s="12" t="e">
        <f aca="false">('Dataset experimental'!AE168+SIN('Avaliação do resultado ML'!B168))*0.70674187</f>
        <v>#REF!</v>
      </c>
      <c r="D168" s="12" t="e">
        <f aca="false">'Modelos Propostos'!E168+'Avaliação do resultado ML'!C168-'Modelos normativos'!AQ168</f>
        <v>#REF!</v>
      </c>
      <c r="E168" s="12" t="n">
        <f aca="false">'Modelos empíricos'!I168+1.1854</f>
        <v>1.78354418180941</v>
      </c>
      <c r="F168" s="4" t="e">
        <f aca="false">-0.01753*('Modelos normativos'!AN168-'Dataset experimental'!C168-ABS(G168)-('Modelos Propostos'!E168-'Modelos normativos'!AP168)/0.25291)</f>
        <v>#REF!</v>
      </c>
      <c r="G168" s="4" t="e">
        <f aca="false">'Dataset experimental'!K168+'Modelos empíricos'!K168^2+('Modelos Propostos'!E168-'Modelos normativos'!AQ168)*4.10553</f>
        <v>#REF!</v>
      </c>
      <c r="H168" s="4" t="e">
        <f aca="false">0.03283*(J168+K168)</f>
        <v>#REF!</v>
      </c>
      <c r="I168" s="4" t="e">
        <f aca="false">(1.61428/'Dataset experimental'!Q168)^3</f>
        <v>#REF!</v>
      </c>
      <c r="J168" s="4" t="e">
        <f aca="false">SIN('Dataset experimental'!E168)+1.450178*(SIN('Avaliação do resultado ML'!I168)+'Dataset experimental'!C168)</f>
        <v>#REF!</v>
      </c>
      <c r="K168" s="4" t="e">
        <f aca="false">('Modelos empíricos'!C168-'Dataset experimental'!G168)*'Dataset experimental'!AE168-'Modelos normativos'!AP168</f>
        <v>#REF!</v>
      </c>
      <c r="L168" s="4" t="n">
        <f aca="false">0.0076*'Dataset experimental'!B168+'Avaliação do resultado ML'!M168+'Avaliação do resultado ML'!N168+(-0.0328)*(0.0171*'Dataset experimental'!AD168-0.9442)*'Avaliação do resultado ML'!O168-'Avaliação do resultado ML'!P168-0.0364</f>
        <v>-0.0895873484199969</v>
      </c>
      <c r="M168" s="12" t="n">
        <f aca="false">0.03283*SIN(0.7328*'Dataset experimental'!D168-1.8266)</f>
        <v>-0.0291654482027489</v>
      </c>
      <c r="N168" s="12" t="n">
        <f aca="false">0.0476*SIN(4.2067/(0.0095*'Dataset experimental'!P168-1.9338)^3)</f>
        <v>0.0455515796827476</v>
      </c>
      <c r="O168" s="12" t="n">
        <f aca="false">0.0214*'Dataset experimental'!F168-3.1067*'Dataset experimental'!B168*'Dataset experimental'!P168*('Dataset experimental'!T168-'Dataset experimental'!R168)*(0.39*'Dataset experimental'!P168*'Dataset experimental'!T168/'Dataset experimental'!V168-'Dataset experimental'!Z168+3.12)/(100000*'Dataset experimental'!V168)+0.7995</f>
        <v>-1.73704529730324</v>
      </c>
      <c r="P168" s="12" t="n">
        <f aca="false">0.4461*('Dataset experimental'!Z168-0.6*'Modelos normativos'!AB168)*(3.4*'Dataset experimental'!L168+0.17*'Dataset experimental'!B168/'Modelos normativos'!AC168)/200000</f>
        <v>0.0994841110072255</v>
      </c>
      <c r="Q168" s="4" t="e">
        <f aca="false">L168/H168</f>
        <v>#REF!</v>
      </c>
      <c r="R168" s="4" t="e">
        <f aca="false">(-0.042-0.014*'Com TS variável MC2020'!Q177)*('Modelos normativos'!AP168-ABS('Modelos Propostos'!K168)-'Dataset experimental'!W168+COS(S168))</f>
        <v>#REF!</v>
      </c>
      <c r="S168" s="4" t="e">
        <f aca="false">'Dataset experimental'!O168-('Modelos normativos'!AQ168-SIN(0.083/('Dataset experimental'!M168-'Dataset experimental'!O168))-'Modelos empíricos'!I168)/0.646</f>
        <v>#REF!</v>
      </c>
      <c r="W168" s="4" t="e">
        <f aca="false">'Modelos normativos'!S168+'Avaliação do resultado ML'!A168</f>
        <v>#REF!</v>
      </c>
      <c r="X168" s="4" t="e">
        <f aca="false">W168/'Dataset experimental'!$AF168</f>
        <v>#REF!</v>
      </c>
      <c r="AJ168" s="4" t="e">
        <f aca="false">'Modelos Propostos'!B168+H168</f>
        <v>#REF!</v>
      </c>
      <c r="AK168" s="4" t="e">
        <f aca="false">AJ168/'Dataset experimental'!$AF168</f>
        <v>#REF!</v>
      </c>
      <c r="AV168" s="4" t="e">
        <f aca="false">'Modelos normativos'!S168+F168</f>
        <v>#REF!</v>
      </c>
      <c r="AW168" s="4" t="e">
        <f aca="false">AV168/'Dataset experimental'!$AF168</f>
        <v>#REF!</v>
      </c>
      <c r="BH168" s="4" t="e">
        <f aca="false">'Modelos Propostos'!B168+R168</f>
        <v>#REF!</v>
      </c>
      <c r="BI168" s="4" t="e">
        <f aca="false">BH168/'Dataset experimental'!$AF168</f>
        <v>#REF!</v>
      </c>
      <c r="BT168" s="4" t="n">
        <f aca="false">'Modelos Propostos'!B168+L168</f>
        <v>0.26258264857128</v>
      </c>
      <c r="BU168" s="4" t="n">
        <f aca="false">BT168/'Dataset experimental'!$AF168</f>
        <v>1.14166368944035</v>
      </c>
    </row>
    <row r="169" customFormat="false" ht="14.25" hidden="false" customHeight="false" outlineLevel="0" collapsed="false">
      <c r="A169" s="4" t="e">
        <f aca="false">0.0894*ABS(D169)-0.01603*E169</f>
        <v>#REF!</v>
      </c>
      <c r="B169" s="12" t="e">
        <f aca="false">'Dataset experimental'!K169*COS('Dataset experimental'!AC169)-'Dataset experimental'!M169-'Dataset experimental'!C169</f>
        <v>#REF!</v>
      </c>
      <c r="C169" s="12" t="e">
        <f aca="false">('Dataset experimental'!AE169+SIN('Avaliação do resultado ML'!B169))*0.70674187</f>
        <v>#REF!</v>
      </c>
      <c r="D169" s="12" t="e">
        <f aca="false">'Modelos Propostos'!E169+'Avaliação do resultado ML'!C169-'Modelos normativos'!AQ169</f>
        <v>#REF!</v>
      </c>
      <c r="E169" s="12" t="n">
        <f aca="false">'Modelos empíricos'!I169+1.1854</f>
        <v>1.9205343990014</v>
      </c>
      <c r="F169" s="4" t="e">
        <f aca="false">-0.01753*('Modelos normativos'!AN169-'Dataset experimental'!C169-ABS(G169)-('Modelos Propostos'!E169-'Modelos normativos'!AP169)/0.25291)</f>
        <v>#REF!</v>
      </c>
      <c r="G169" s="4" t="e">
        <f aca="false">'Dataset experimental'!K169+'Modelos empíricos'!K169^2+('Modelos Propostos'!E169-'Modelos normativos'!AQ169)*4.10553</f>
        <v>#REF!</v>
      </c>
      <c r="H169" s="4" t="e">
        <f aca="false">0.03283*(J169+K169)</f>
        <v>#REF!</v>
      </c>
      <c r="I169" s="4" t="e">
        <f aca="false">(1.61428/'Dataset experimental'!Q169)^3</f>
        <v>#REF!</v>
      </c>
      <c r="J169" s="4" t="e">
        <f aca="false">SIN('Dataset experimental'!E169)+1.450178*(SIN('Avaliação do resultado ML'!I169)+'Dataset experimental'!C169)</f>
        <v>#REF!</v>
      </c>
      <c r="K169" s="4" t="e">
        <f aca="false">('Modelos empíricos'!C169-'Dataset experimental'!G169)*'Dataset experimental'!AE169-'Modelos normativos'!AP169</f>
        <v>#REF!</v>
      </c>
      <c r="L169" s="4" t="n">
        <f aca="false">0.0076*'Dataset experimental'!B169+'Avaliação do resultado ML'!M169+'Avaliação do resultado ML'!N169+(-0.0328)*(0.0171*'Dataset experimental'!AD169-0.9442)*'Avaliação do resultado ML'!O169-'Avaliação do resultado ML'!P169-0.0364</f>
        <v>-0.103757944054497</v>
      </c>
      <c r="M169" s="12" t="n">
        <f aca="false">0.03283*SIN(0.7328*'Dataset experimental'!D169-1.8266)</f>
        <v>-0.0291654482027489</v>
      </c>
      <c r="N169" s="12" t="n">
        <f aca="false">0.0476*SIN(4.2067/(0.0095*'Dataset experimental'!P169-1.9338)^3)</f>
        <v>0.0455515796827476</v>
      </c>
      <c r="O169" s="12" t="n">
        <f aca="false">0.0214*'Dataset experimental'!F169-3.1067*'Dataset experimental'!B169*'Dataset experimental'!P169*('Dataset experimental'!T169-'Dataset experimental'!R169)*(0.39*'Dataset experimental'!P169*'Dataset experimental'!T169/'Dataset experimental'!V169-'Dataset experimental'!Z169+3.12)/(100000*'Dataset experimental'!V169)+0.7995</f>
        <v>-1.94260307462986</v>
      </c>
      <c r="P169" s="12" t="n">
        <f aca="false">0.4461*('Dataset experimental'!Z169-0.6*'Modelos normativos'!AB169)*(3.4*'Dataset experimental'!L169+0.17*'Dataset experimental'!B169/'Modelos normativos'!AC169)/200000</f>
        <v>0.108483888664059</v>
      </c>
      <c r="Q169" s="4" t="e">
        <f aca="false">L169/H169</f>
        <v>#REF!</v>
      </c>
      <c r="R169" s="4" t="e">
        <f aca="false">(-0.042-0.014*'Com TS variável MC2020'!Q178)*('Modelos normativos'!AP169-ABS('Modelos Propostos'!K169)-'Dataset experimental'!W169+COS(S169))</f>
        <v>#REF!</v>
      </c>
      <c r="S169" s="4" t="e">
        <f aca="false">'Dataset experimental'!O169-('Modelos normativos'!AQ169-SIN(0.083/('Dataset experimental'!M169-'Dataset experimental'!O169))-'Modelos empíricos'!I169)/0.646</f>
        <v>#REF!</v>
      </c>
      <c r="W169" s="4" t="e">
        <f aca="false">'Modelos normativos'!S169+'Avaliação do resultado ML'!A169</f>
        <v>#REF!</v>
      </c>
      <c r="X169" s="4" t="e">
        <f aca="false">W169/'Dataset experimental'!$AF169</f>
        <v>#REF!</v>
      </c>
      <c r="AJ169" s="4" t="e">
        <f aca="false">'Modelos Propostos'!B169+H169</f>
        <v>#REF!</v>
      </c>
      <c r="AK169" s="4" t="e">
        <f aca="false">AJ169/'Dataset experimental'!$AF169</f>
        <v>#REF!</v>
      </c>
      <c r="AV169" s="4" t="e">
        <f aca="false">'Modelos normativos'!S169+F169</f>
        <v>#REF!</v>
      </c>
      <c r="AW169" s="4" t="e">
        <f aca="false">AV169/'Dataset experimental'!$AF169</f>
        <v>#REF!</v>
      </c>
      <c r="BH169" s="4" t="e">
        <f aca="false">'Modelos Propostos'!B169+R169</f>
        <v>#REF!</v>
      </c>
      <c r="BI169" s="4" t="e">
        <f aca="false">BH169/'Dataset experimental'!$AF169</f>
        <v>#REF!</v>
      </c>
      <c r="BT169" s="4" t="n">
        <f aca="false">'Modelos Propostos'!B169+L169</f>
        <v>0.273396868448545</v>
      </c>
      <c r="BU169" s="4" t="n">
        <f aca="false">BT169/'Dataset experimental'!$AF169</f>
        <v>1.09358747379418</v>
      </c>
    </row>
    <row r="170" customFormat="false" ht="14.25" hidden="false" customHeight="false" outlineLevel="0" collapsed="false">
      <c r="A170" s="4" t="e">
        <f aca="false">0.0894*ABS(D170)-0.01603*E170</f>
        <v>#REF!</v>
      </c>
      <c r="B170" s="12" t="e">
        <f aca="false">'Dataset experimental'!K170*COS('Dataset experimental'!AC170)-'Dataset experimental'!M170-'Dataset experimental'!C170</f>
        <v>#REF!</v>
      </c>
      <c r="C170" s="12" t="e">
        <f aca="false">('Dataset experimental'!AE170+SIN('Avaliação do resultado ML'!B170))*0.70674187</f>
        <v>#REF!</v>
      </c>
      <c r="D170" s="12" t="e">
        <f aca="false">'Modelos Propostos'!E170+'Avaliação do resultado ML'!C170-'Modelos normativos'!AQ170</f>
        <v>#REF!</v>
      </c>
      <c r="E170" s="12" t="n">
        <f aca="false">'Modelos empíricos'!I170+1.1854</f>
        <v>2.07333117971555</v>
      </c>
      <c r="F170" s="4" t="e">
        <f aca="false">-0.01753*('Modelos normativos'!AN170-'Dataset experimental'!C170-ABS(G170)-('Modelos Propostos'!E170-'Modelos normativos'!AP170)/0.25291)</f>
        <v>#REF!</v>
      </c>
      <c r="G170" s="4" t="e">
        <f aca="false">'Dataset experimental'!K170+'Modelos empíricos'!K170^2+('Modelos Propostos'!E170-'Modelos normativos'!AQ170)*4.10553</f>
        <v>#REF!</v>
      </c>
      <c r="H170" s="4" t="e">
        <f aca="false">0.03283*(J170+K170)</f>
        <v>#REF!</v>
      </c>
      <c r="I170" s="4" t="e">
        <f aca="false">(1.61428/'Dataset experimental'!Q170)^3</f>
        <v>#REF!</v>
      </c>
      <c r="J170" s="4" t="e">
        <f aca="false">SIN('Dataset experimental'!E170)+1.450178*(SIN('Avaliação do resultado ML'!I170)+'Dataset experimental'!C170)</f>
        <v>#REF!</v>
      </c>
      <c r="K170" s="4" t="e">
        <f aca="false">('Modelos empíricos'!C170-'Dataset experimental'!G170)*'Dataset experimental'!AE170-'Modelos normativos'!AP170</f>
        <v>#REF!</v>
      </c>
      <c r="L170" s="4" t="n">
        <f aca="false">0.0076*'Dataset experimental'!B170+'Avaliação do resultado ML'!M170+'Avaliação do resultado ML'!N170+(-0.0328)*(0.0171*'Dataset experimental'!AD170-0.9442)*'Avaliação do resultado ML'!O170-'Avaliação do resultado ML'!P170-0.0364</f>
        <v>-0.119492880443899</v>
      </c>
      <c r="M170" s="12" t="n">
        <f aca="false">0.03283*SIN(0.7328*'Dataset experimental'!D170-1.8266)</f>
        <v>-0.0291654482027489</v>
      </c>
      <c r="N170" s="12" t="n">
        <f aca="false">0.0476*SIN(4.2067/(0.0095*'Dataset experimental'!P170-1.9338)^3)</f>
        <v>0.0455515796827476</v>
      </c>
      <c r="O170" s="12" t="n">
        <f aca="false">0.0214*'Dataset experimental'!F170-3.1067*'Dataset experimental'!B170*'Dataset experimental'!P170*('Dataset experimental'!T170-'Dataset experimental'!R170)*(0.39*'Dataset experimental'!P170*'Dataset experimental'!T170/'Dataset experimental'!V170-'Dataset experimental'!Z170+3.12)/(100000*'Dataset experimental'!V170)+0.7995</f>
        <v>-2.17187905703263</v>
      </c>
      <c r="P170" s="12" t="n">
        <f aca="false">0.4461*('Dataset experimental'!Z170-0.6*'Modelos normativos'!AB170)*(3.4*'Dataset experimental'!L170+0.17*'Dataset experimental'!B170/'Modelos normativos'!AC170)/200000</f>
        <v>0.118522102204372</v>
      </c>
      <c r="Q170" s="4" t="e">
        <f aca="false">L170/H170</f>
        <v>#REF!</v>
      </c>
      <c r="R170" s="4" t="e">
        <f aca="false">(-0.042-0.014*'Com TS variável MC2020'!Q179)*('Modelos normativos'!AP170-ABS('Modelos Propostos'!K170)-'Dataset experimental'!W170+COS(S170))</f>
        <v>#REF!</v>
      </c>
      <c r="S170" s="4" t="e">
        <f aca="false">'Dataset experimental'!O170-('Modelos normativos'!AQ170-SIN(0.083/('Dataset experimental'!M170-'Dataset experimental'!O170))-'Modelos empíricos'!I170)/0.646</f>
        <v>#REF!</v>
      </c>
      <c r="W170" s="4" t="e">
        <f aca="false">'Modelos normativos'!S170+'Avaliação do resultado ML'!A170</f>
        <v>#REF!</v>
      </c>
      <c r="X170" s="4" t="e">
        <f aca="false">W170/'Dataset experimental'!$AF170</f>
        <v>#REF!</v>
      </c>
      <c r="AJ170" s="4" t="e">
        <f aca="false">'Modelos Propostos'!B170+H170</f>
        <v>#REF!</v>
      </c>
      <c r="AK170" s="4" t="e">
        <f aca="false">AJ170/'Dataset experimental'!$AF170</f>
        <v>#REF!</v>
      </c>
      <c r="AV170" s="4" t="e">
        <f aca="false">'Modelos normativos'!S170+F170</f>
        <v>#REF!</v>
      </c>
      <c r="AW170" s="4" t="e">
        <f aca="false">AV170/'Dataset experimental'!$AF170</f>
        <v>#REF!</v>
      </c>
      <c r="BH170" s="4" t="e">
        <f aca="false">'Modelos Propostos'!B170+R170</f>
        <v>#REF!</v>
      </c>
      <c r="BI170" s="4" t="e">
        <f aca="false">BH170/'Dataset experimental'!$AF170</f>
        <v>#REF!</v>
      </c>
      <c r="BT170" s="4" t="n">
        <f aca="false">'Modelos Propostos'!B170+L170</f>
        <v>0.290450740047665</v>
      </c>
      <c r="BU170" s="4" t="n">
        <f aca="false">BT170/'Dataset experimental'!$AF170</f>
        <v>1.0373240715988</v>
      </c>
    </row>
    <row r="171" customFormat="false" ht="14.25" hidden="false" customHeight="false" outlineLevel="0" collapsed="false">
      <c r="A171" s="4" t="e">
        <f aca="false">0.0894*ABS(D171)-0.01603*E171</f>
        <v>#REF!</v>
      </c>
      <c r="B171" s="12" t="e">
        <f aca="false">'Dataset experimental'!K171*COS('Dataset experimental'!AC171)-'Dataset experimental'!M171-'Dataset experimental'!C171</f>
        <v>#REF!</v>
      </c>
      <c r="C171" s="12" t="e">
        <f aca="false">('Dataset experimental'!AE171+SIN('Avaliação do resultado ML'!B171))*0.70674187</f>
        <v>#REF!</v>
      </c>
      <c r="D171" s="12" t="e">
        <f aca="false">'Modelos Propostos'!E171+'Avaliação do resultado ML'!C171-'Modelos normativos'!AQ171</f>
        <v>#REF!</v>
      </c>
      <c r="E171" s="12" t="n">
        <f aca="false">'Modelos empíricos'!I171+1.1854</f>
        <v>2.21032139690754</v>
      </c>
      <c r="F171" s="4" t="e">
        <f aca="false">-0.01753*('Modelos normativos'!AN171-'Dataset experimental'!C171-ABS(G171)-('Modelos Propostos'!E171-'Modelos normativos'!AP171)/0.25291)</f>
        <v>#REF!</v>
      </c>
      <c r="G171" s="4" t="e">
        <f aca="false">'Dataset experimental'!K171+'Modelos empíricos'!K171^2+('Modelos Propostos'!E171-'Modelos normativos'!AQ171)*4.10553</f>
        <v>#REF!</v>
      </c>
      <c r="H171" s="4" t="e">
        <f aca="false">0.03283*(J171+K171)</f>
        <v>#REF!</v>
      </c>
      <c r="I171" s="4" t="e">
        <f aca="false">(1.61428/'Dataset experimental'!Q171)^3</f>
        <v>#REF!</v>
      </c>
      <c r="J171" s="4" t="e">
        <f aca="false">SIN('Dataset experimental'!E171)+1.450178*(SIN('Avaliação do resultado ML'!I171)+'Dataset experimental'!C171)</f>
        <v>#REF!</v>
      </c>
      <c r="K171" s="4" t="e">
        <f aca="false">('Modelos empíricos'!C171-'Dataset experimental'!G171)*'Dataset experimental'!AE171-'Modelos normativos'!AP171</f>
        <v>#REF!</v>
      </c>
      <c r="L171" s="4" t="n">
        <f aca="false">0.0076*'Dataset experimental'!B171+'Avaliação do resultado ML'!M171+'Avaliação do resultado ML'!N171+(-0.0328)*(0.0171*'Dataset experimental'!AD171-0.9442)*'Avaliação do resultado ML'!O171-'Avaliação do resultado ML'!P171-0.0364</f>
        <v>-0.133536653507637</v>
      </c>
      <c r="M171" s="12" t="n">
        <f aca="false">0.03283*SIN(0.7328*'Dataset experimental'!D171-1.8266)</f>
        <v>-0.0291654482027489</v>
      </c>
      <c r="N171" s="12" t="n">
        <f aca="false">0.0476*SIN(4.2067/(0.0095*'Dataset experimental'!P171-1.9338)^3)</f>
        <v>0.0455515796827476</v>
      </c>
      <c r="O171" s="12" t="n">
        <f aca="false">0.0214*'Dataset experimental'!F171-3.1067*'Dataset experimental'!B171*'Dataset experimental'!P171*('Dataset experimental'!T171-'Dataset experimental'!R171)*(0.39*'Dataset experimental'!P171*'Dataset experimental'!T171/'Dataset experimental'!V171-'Dataset experimental'!Z171+3.12)/(100000*'Dataset experimental'!V171)+0.7995</f>
        <v>-2.37743683435924</v>
      </c>
      <c r="P171" s="12" t="n">
        <f aca="false">0.4461*('Dataset experimental'!Z171-0.6*'Modelos normativos'!AB171)*(3.4*'Dataset experimental'!L171+0.17*'Dataset experimental'!B171/'Modelos normativos'!AC171)/200000</f>
        <v>0.127521879861205</v>
      </c>
      <c r="Q171" s="4" t="e">
        <f aca="false">L171/H171</f>
        <v>#REF!</v>
      </c>
      <c r="R171" s="4" t="e">
        <f aca="false">(-0.042-0.014*'Com TS variável MC2020'!Q180)*('Modelos normativos'!AP171-ABS('Modelos Propostos'!K171)-'Dataset experimental'!W171+COS(S171))</f>
        <v>#REF!</v>
      </c>
      <c r="S171" s="4" t="e">
        <f aca="false">'Dataset experimental'!O171-('Modelos normativos'!AQ171-SIN(0.083/('Dataset experimental'!M171-'Dataset experimental'!O171))-'Modelos empíricos'!I171)/0.646</f>
        <v>#REF!</v>
      </c>
      <c r="W171" s="4" t="e">
        <f aca="false">'Modelos normativos'!S171+'Avaliação do resultado ML'!A171</f>
        <v>#REF!</v>
      </c>
      <c r="X171" s="4" t="e">
        <f aca="false">W171/'Dataset experimental'!$AF171</f>
        <v>#REF!</v>
      </c>
      <c r="AJ171" s="4" t="e">
        <f aca="false">'Modelos Propostos'!B171+H171</f>
        <v>#REF!</v>
      </c>
      <c r="AK171" s="4" t="e">
        <f aca="false">AJ171/'Dataset experimental'!$AF171</f>
        <v>#REF!</v>
      </c>
      <c r="AV171" s="4" t="e">
        <f aca="false">'Modelos normativos'!S171+F171</f>
        <v>#REF!</v>
      </c>
      <c r="AW171" s="4" t="e">
        <f aca="false">AV171/'Dataset experimental'!$AF171</f>
        <v>#REF!</v>
      </c>
      <c r="BH171" s="4" t="e">
        <f aca="false">'Modelos Propostos'!B171+R171</f>
        <v>#REF!</v>
      </c>
      <c r="BI171" s="4" t="e">
        <f aca="false">BH171/'Dataset experimental'!$AF171</f>
        <v>#REF!</v>
      </c>
      <c r="BT171" s="4" t="n">
        <f aca="false">'Modelos Propostos'!B171+L171</f>
        <v>0.305803829318464</v>
      </c>
      <c r="BU171" s="4" t="n">
        <f aca="false">BT171/'Dataset experimental'!$AF171</f>
        <v>0.986463965543431</v>
      </c>
    </row>
    <row r="172" customFormat="false" ht="14.25" hidden="false" customHeight="false" outlineLevel="0" collapsed="false">
      <c r="A172" s="4" t="e">
        <f aca="false">0.0894*ABS(D172)-0.01603*E172</f>
        <v>#REF!</v>
      </c>
      <c r="B172" s="12" t="e">
        <f aca="false">'Dataset experimental'!K172*COS('Dataset experimental'!AC172)-'Dataset experimental'!M172-'Dataset experimental'!C172</f>
        <v>#REF!</v>
      </c>
      <c r="C172" s="12" t="e">
        <f aca="false">('Dataset experimental'!AE172+SIN('Avaliação do resultado ML'!B172))*0.70674187</f>
        <v>#REF!</v>
      </c>
      <c r="D172" s="12" t="e">
        <f aca="false">'Modelos Propostos'!E172+'Avaliação do resultado ML'!C172-'Modelos normativos'!AQ172</f>
        <v>#REF!</v>
      </c>
      <c r="E172" s="12" t="n">
        <f aca="false">'Modelos empíricos'!I172+1.1854</f>
        <v>2.37365588663646</v>
      </c>
      <c r="F172" s="4" t="e">
        <f aca="false">-0.01753*('Modelos normativos'!AN172-'Dataset experimental'!C172-ABS(G172)-('Modelos Propostos'!E172-'Modelos normativos'!AP172)/0.25291)</f>
        <v>#REF!</v>
      </c>
      <c r="G172" s="4" t="e">
        <f aca="false">'Dataset experimental'!K172+'Modelos empíricos'!K172^2+('Modelos Propostos'!E172-'Modelos normativos'!AQ172)*4.10553</f>
        <v>#REF!</v>
      </c>
      <c r="H172" s="4" t="e">
        <f aca="false">0.03283*(J172+K172)</f>
        <v>#REF!</v>
      </c>
      <c r="I172" s="4" t="e">
        <f aca="false">(1.61428/'Dataset experimental'!Q172)^3</f>
        <v>#REF!</v>
      </c>
      <c r="J172" s="4" t="e">
        <f aca="false">SIN('Dataset experimental'!E172)+1.450178*(SIN('Avaliação do resultado ML'!I172)+'Dataset experimental'!C172)</f>
        <v>#REF!</v>
      </c>
      <c r="K172" s="4" t="e">
        <f aca="false">('Modelos empíricos'!C172-'Dataset experimental'!G172)*'Dataset experimental'!AE172-'Modelos normativos'!AP172</f>
        <v>#REF!</v>
      </c>
      <c r="L172" s="4" t="n">
        <f aca="false">0.0076*'Dataset experimental'!B172+'Avaliação do resultado ML'!M172+'Avaliação do resultado ML'!N172+(-0.0328)*(0.0171*'Dataset experimental'!AD172-0.9442)*'Avaliação do resultado ML'!O172-'Avaliação do resultado ML'!P172-0.0364</f>
        <v>-0.150202797096732</v>
      </c>
      <c r="M172" s="12" t="n">
        <f aca="false">0.03283*SIN(0.7328*'Dataset experimental'!D172-1.8266)</f>
        <v>-0.0291654482027489</v>
      </c>
      <c r="N172" s="12" t="n">
        <f aca="false">0.0476*SIN(4.2067/(0.0095*'Dataset experimental'!P172-1.9338)^3)</f>
        <v>0.0455515796827476</v>
      </c>
      <c r="O172" s="12" t="n">
        <f aca="false">0.0214*'Dataset experimental'!F172-3.1067*'Dataset experimental'!B172*'Dataset experimental'!P172*('Dataset experimental'!T172-'Dataset experimental'!R172)*(0.39*'Dataset experimental'!P172*'Dataset experimental'!T172/'Dataset experimental'!V172-'Dataset experimental'!Z172+3.12)/(100000*'Dataset experimental'!V172)+0.7995</f>
        <v>-2.62252495347944</v>
      </c>
      <c r="P172" s="12" t="n">
        <f aca="false">0.4461*('Dataset experimental'!Z172-0.6*'Modelos normativos'!AB172)*(3.4*'Dataset experimental'!L172+0.17*'Dataset experimental'!B172/'Modelos normativos'!AC172)/200000</f>
        <v>0.138252383990506</v>
      </c>
      <c r="Q172" s="4" t="e">
        <f aca="false">L172/H172</f>
        <v>#REF!</v>
      </c>
      <c r="R172" s="4" t="e">
        <f aca="false">(-0.042-0.014*'Com TS variável MC2020'!Q181)*('Modelos normativos'!AP172-ABS('Modelos Propostos'!K172)-'Dataset experimental'!W172+COS(S172))</f>
        <v>#REF!</v>
      </c>
      <c r="S172" s="4" t="e">
        <f aca="false">'Dataset experimental'!O172-('Modelos normativos'!AQ172-SIN(0.083/('Dataset experimental'!M172-'Dataset experimental'!O172))-'Modelos empíricos'!I172)/0.646</f>
        <v>#REF!</v>
      </c>
      <c r="W172" s="4" t="e">
        <f aca="false">'Modelos normativos'!S172+'Avaliação do resultado ML'!A172</f>
        <v>#REF!</v>
      </c>
      <c r="X172" s="4" t="e">
        <f aca="false">W172/'Dataset experimental'!$AF172</f>
        <v>#REF!</v>
      </c>
      <c r="AJ172" s="4" t="e">
        <f aca="false">'Modelos Propostos'!B172+H172</f>
        <v>#REF!</v>
      </c>
      <c r="AK172" s="4" t="e">
        <f aca="false">AJ172/'Dataset experimental'!$AF172</f>
        <v>#REF!</v>
      </c>
      <c r="AV172" s="4" t="e">
        <f aca="false">'Modelos normativos'!S172+F172</f>
        <v>#REF!</v>
      </c>
      <c r="AW172" s="4" t="e">
        <f aca="false">AV172/'Dataset experimental'!$AF172</f>
        <v>#REF!</v>
      </c>
      <c r="BH172" s="4" t="e">
        <f aca="false">'Modelos Propostos'!B172+R172</f>
        <v>#REF!</v>
      </c>
      <c r="BI172" s="4" t="e">
        <f aca="false">BH172/'Dataset experimental'!$AF172</f>
        <v>#REF!</v>
      </c>
      <c r="BT172" s="4" t="n">
        <f aca="false">'Modelos Propostos'!B172+L172</f>
        <v>0.324187790820547</v>
      </c>
      <c r="BU172" s="4" t="n">
        <f aca="false">BT172/'Dataset experimental'!$AF172</f>
        <v>0.900521641168187</v>
      </c>
    </row>
    <row r="173" customFormat="false" ht="14.25" hidden="false" customHeight="false" outlineLevel="0" collapsed="false">
      <c r="A173" s="4" t="e">
        <f aca="false">0.0894*ABS(D173)-0.01603*E173</f>
        <v>#REF!</v>
      </c>
      <c r="B173" s="12" t="e">
        <f aca="false">'Dataset experimental'!K173*COS('Dataset experimental'!AC173)-'Dataset experimental'!M173-'Dataset experimental'!C173</f>
        <v>#REF!</v>
      </c>
      <c r="C173" s="12" t="e">
        <f aca="false">('Dataset experimental'!AE173+SIN('Avaliação do resultado ML'!B173))*0.70674187</f>
        <v>#REF!</v>
      </c>
      <c r="D173" s="12" t="e">
        <f aca="false">'Modelos Propostos'!E173+'Avaliação do resultado ML'!C173-'Modelos normativos'!AQ173</f>
        <v>#REF!</v>
      </c>
      <c r="E173" s="12" t="n">
        <f aca="false">'Modelos empíricos'!I173+1.1854</f>
        <v>1.2830030036079</v>
      </c>
      <c r="F173" s="4" t="e">
        <f aca="false">-0.01753*('Modelos normativos'!AN173-'Dataset experimental'!C173-ABS(G173)-('Modelos Propostos'!E173-'Modelos normativos'!AP173)/0.25291)</f>
        <v>#REF!</v>
      </c>
      <c r="G173" s="4" t="e">
        <f aca="false">'Dataset experimental'!K173+'Modelos empíricos'!K173^2+('Modelos Propostos'!E173-'Modelos normativos'!AQ173)*4.10553</f>
        <v>#REF!</v>
      </c>
      <c r="H173" s="4" t="e">
        <f aca="false">0.03283*(J173+K173)</f>
        <v>#REF!</v>
      </c>
      <c r="I173" s="4" t="e">
        <f aca="false">(1.61428/'Dataset experimental'!Q173)^3</f>
        <v>#REF!</v>
      </c>
      <c r="J173" s="4" t="e">
        <f aca="false">SIN('Dataset experimental'!E173)+1.450178*(SIN('Avaliação do resultado ML'!I173)+'Dataset experimental'!C173)</f>
        <v>#REF!</v>
      </c>
      <c r="K173" s="4" t="e">
        <f aca="false">('Modelos empíricos'!C173-'Dataset experimental'!G173)*'Dataset experimental'!AE173-'Modelos normativos'!AP173</f>
        <v>#REF!</v>
      </c>
      <c r="L173" s="4" t="n">
        <f aca="false">0.0076*'Dataset experimental'!B173+'Avaliação do resultado ML'!M173+'Avaliação do resultado ML'!N173+(-0.0328)*(0.0171*'Dataset experimental'!AD173-0.9442)*'Avaliação do resultado ML'!O173-'Avaliação do resultado ML'!P173-0.0364</f>
        <v>-0.0373004428845325</v>
      </c>
      <c r="M173" s="12" t="n">
        <f aca="false">0.03283*SIN(0.7328*'Dataset experimental'!D173-1.8266)</f>
        <v>-0.0291654482027489</v>
      </c>
      <c r="N173" s="12" t="n">
        <f aca="false">0.0476*SIN(4.2067/(0.0095*'Dataset experimental'!P173-1.9338)^3)</f>
        <v>0.0455515796827476</v>
      </c>
      <c r="O173" s="12" t="n">
        <f aca="false">0.0214*'Dataset experimental'!F173-3.1067*'Dataset experimental'!B173*'Dataset experimental'!P173*('Dataset experimental'!T173-'Dataset experimental'!R173)*(0.39*'Dataset experimental'!P173*'Dataset experimental'!T173/'Dataset experimental'!V173-'Dataset experimental'!Z173+3.12)/(100000*'Dataset experimental'!V173)+0.7995</f>
        <v>-0.985968803225217</v>
      </c>
      <c r="P173" s="12" t="n">
        <f aca="false">0.4461*('Dataset experimental'!Z173-0.6*'Modelos normativos'!AB173)*(3.4*'Dataset experimental'!L173+0.17*'Dataset experimental'!B173/'Modelos normativos'!AC173)/200000</f>
        <v>0.0666003080303356</v>
      </c>
      <c r="Q173" s="4" t="e">
        <f aca="false">L173/H173</f>
        <v>#REF!</v>
      </c>
      <c r="R173" s="4" t="e">
        <f aca="false">(-0.042-0.014*'Com TS variável MC2020'!Q182)*('Modelos normativos'!AP173-ABS('Modelos Propostos'!K173)-'Dataset experimental'!W173+COS(S173))</f>
        <v>#REF!</v>
      </c>
      <c r="S173" s="4" t="e">
        <f aca="false">'Dataset experimental'!O173-('Modelos normativos'!AQ173-SIN(0.083/('Dataset experimental'!M173-'Dataset experimental'!O173))-'Modelos empíricos'!I173)/0.646</f>
        <v>#REF!</v>
      </c>
      <c r="W173" s="4" t="e">
        <f aca="false">'Modelos normativos'!S173+'Avaliação do resultado ML'!A173</f>
        <v>#REF!</v>
      </c>
      <c r="X173" s="4" t="e">
        <f aca="false">W173/'Dataset experimental'!$AF173</f>
        <v>#REF!</v>
      </c>
      <c r="AJ173" s="4" t="e">
        <f aca="false">'Modelos Propostos'!B173+H173</f>
        <v>#REF!</v>
      </c>
      <c r="AK173" s="4" t="e">
        <f aca="false">AJ173/'Dataset experimental'!$AF173</f>
        <v>#REF!</v>
      </c>
      <c r="AV173" s="4" t="e">
        <f aca="false">'Modelos normativos'!S173+F173</f>
        <v>#REF!</v>
      </c>
      <c r="AW173" s="4" t="e">
        <f aca="false">AV173/'Dataset experimental'!$AF173</f>
        <v>#REF!</v>
      </c>
      <c r="BH173" s="4" t="e">
        <f aca="false">'Modelos Propostos'!B173+R173</f>
        <v>#REF!</v>
      </c>
      <c r="BI173" s="4" t="e">
        <f aca="false">BH173/'Dataset experimental'!$AF173</f>
        <v>#REF!</v>
      </c>
      <c r="BT173" s="4" t="n">
        <f aca="false">'Modelos Propostos'!B173+L173</f>
        <v>0.235357319237901</v>
      </c>
      <c r="BU173" s="4" t="n">
        <f aca="false">BT173/'Dataset experimental'!$AF173</f>
        <v>1.47098324523688</v>
      </c>
    </row>
    <row r="174" customFormat="false" ht="14.25" hidden="false" customHeight="false" outlineLevel="0" collapsed="false">
      <c r="A174" s="4" t="e">
        <f aca="false">0.0894*ABS(D174)-0.01603*E174</f>
        <v>#REF!</v>
      </c>
      <c r="B174" s="12" t="e">
        <f aca="false">'Dataset experimental'!K174*COS('Dataset experimental'!AC174)-'Dataset experimental'!M174-'Dataset experimental'!C174</f>
        <v>#REF!</v>
      </c>
      <c r="C174" s="12" t="e">
        <f aca="false">('Dataset experimental'!AE174+SIN('Avaliação do resultado ML'!B174))*0.70674187</f>
        <v>#REF!</v>
      </c>
      <c r="D174" s="12" t="e">
        <f aca="false">'Modelos Propostos'!E174+'Avaliação do resultado ML'!C174-'Modelos normativos'!AQ174</f>
        <v>#REF!</v>
      </c>
      <c r="E174" s="12" t="n">
        <f aca="false">'Modelos empíricos'!I174+1.1854</f>
        <v>1.44106863882943</v>
      </c>
      <c r="F174" s="4" t="e">
        <f aca="false">-0.01753*('Modelos normativos'!AN174-'Dataset experimental'!C174-ABS(G174)-('Modelos Propostos'!E174-'Modelos normativos'!AP174)/0.25291)</f>
        <v>#REF!</v>
      </c>
      <c r="G174" s="4" t="e">
        <f aca="false">'Dataset experimental'!K174+'Modelos empíricos'!K174^2+('Modelos Propostos'!E174-'Modelos normativos'!AQ174)*4.10553</f>
        <v>#REF!</v>
      </c>
      <c r="H174" s="4" t="e">
        <f aca="false">0.03283*(J174+K174)</f>
        <v>#REF!</v>
      </c>
      <c r="I174" s="4" t="e">
        <f aca="false">(1.61428/'Dataset experimental'!Q174)^3</f>
        <v>#REF!</v>
      </c>
      <c r="J174" s="4" t="e">
        <f aca="false">SIN('Dataset experimental'!E174)+1.450178*(SIN('Avaliação do resultado ML'!I174)+'Dataset experimental'!C174)</f>
        <v>#REF!</v>
      </c>
      <c r="K174" s="4" t="e">
        <f aca="false">('Modelos empíricos'!C174-'Dataset experimental'!G174)*'Dataset experimental'!AE174-'Modelos normativos'!AP174</f>
        <v>#REF!</v>
      </c>
      <c r="L174" s="4" t="n">
        <f aca="false">0.0076*'Dataset experimental'!B174+'Avaliação do resultado ML'!M174+'Avaliação do resultado ML'!N174+(-0.0328)*(0.0171*'Dataset experimental'!AD174-0.9442)*'Avaliação do resultado ML'!O174-'Avaliação do resultado ML'!P174-0.0364</f>
        <v>-0.053898567198763</v>
      </c>
      <c r="M174" s="12" t="n">
        <f aca="false">0.03283*SIN(0.7328*'Dataset experimental'!D174-1.8266)</f>
        <v>-0.0291654482027489</v>
      </c>
      <c r="N174" s="12" t="n">
        <f aca="false">0.0476*SIN(4.2067/(0.0095*'Dataset experimental'!P174-1.9338)^3)</f>
        <v>0.0455515796827476</v>
      </c>
      <c r="O174" s="12" t="n">
        <f aca="false">0.0214*'Dataset experimental'!F174-3.1067*'Dataset experimental'!B174*'Dataset experimental'!P174*('Dataset experimental'!T174-'Dataset experimental'!R174)*(0.39*'Dataset experimental'!P174*'Dataset experimental'!T174/'Dataset experimental'!V174-'Dataset experimental'!Z174+3.12)/(100000*'Dataset experimental'!V174)+0.7995</f>
        <v>-1.2231508539867</v>
      </c>
      <c r="P174" s="12" t="n">
        <f aca="false">0.4461*('Dataset experimental'!Z174-0.6*'Modelos normativos'!AB174)*(3.4*'Dataset experimental'!L174+0.17*'Dataset experimental'!B174/'Modelos normativos'!AC174)/200000</f>
        <v>0.076984666865143</v>
      </c>
      <c r="Q174" s="4" t="e">
        <f aca="false">L174/H174</f>
        <v>#REF!</v>
      </c>
      <c r="R174" s="4" t="e">
        <f aca="false">(-0.042-0.014*'Com TS variável MC2020'!Q183)*('Modelos normativos'!AP174-ABS('Modelos Propostos'!K174)-'Dataset experimental'!W174+COS(S174))</f>
        <v>#REF!</v>
      </c>
      <c r="S174" s="4" t="e">
        <f aca="false">'Dataset experimental'!O174-('Modelos normativos'!AQ174-SIN(0.083/('Dataset experimental'!M174-'Dataset experimental'!O174))-'Modelos empíricos'!I174)/0.646</f>
        <v>#REF!</v>
      </c>
      <c r="W174" s="4" t="e">
        <f aca="false">'Modelos normativos'!S174+'Avaliação do resultado ML'!A174</f>
        <v>#REF!</v>
      </c>
      <c r="X174" s="4" t="e">
        <f aca="false">W174/'Dataset experimental'!$AF174</f>
        <v>#REF!</v>
      </c>
      <c r="AJ174" s="4" t="e">
        <f aca="false">'Modelos Propostos'!B174+H174</f>
        <v>#REF!</v>
      </c>
      <c r="AK174" s="4" t="e">
        <f aca="false">AJ174/'Dataset experimental'!$AF174</f>
        <v>#REF!</v>
      </c>
      <c r="AV174" s="4" t="e">
        <f aca="false">'Modelos normativos'!S174+F174</f>
        <v>#REF!</v>
      </c>
      <c r="AW174" s="4" t="e">
        <f aca="false">AV174/'Dataset experimental'!$AF174</f>
        <v>#REF!</v>
      </c>
      <c r="BH174" s="4" t="e">
        <f aca="false">'Modelos Propostos'!B174+R174</f>
        <v>#REF!</v>
      </c>
      <c r="BI174" s="4" t="e">
        <f aca="false">BH174/'Dataset experimental'!$AF174</f>
        <v>#REF!</v>
      </c>
      <c r="BT174" s="4" t="n">
        <f aca="false">'Modelos Propostos'!B174+L174</f>
        <v>0.242770747250891</v>
      </c>
      <c r="BU174" s="4" t="n">
        <f aca="false">BT174/'Dataset experimental'!$AF174</f>
        <v>1.34872637361606</v>
      </c>
    </row>
    <row r="175" customFormat="false" ht="14.25" hidden="false" customHeight="false" outlineLevel="0" collapsed="false">
      <c r="A175" s="4" t="e">
        <f aca="false">0.0894*ABS(D175)-0.01603*E175</f>
        <v>#REF!</v>
      </c>
      <c r="B175" s="12" t="e">
        <f aca="false">'Dataset experimental'!K175*COS('Dataset experimental'!AC175)-'Dataset experimental'!M175-'Dataset experimental'!C175</f>
        <v>#REF!</v>
      </c>
      <c r="C175" s="12" t="e">
        <f aca="false">('Dataset experimental'!AE175+SIN('Avaliação do resultado ML'!B175))*0.70674187</f>
        <v>#REF!</v>
      </c>
      <c r="D175" s="12" t="e">
        <f aca="false">'Modelos Propostos'!E175+'Avaliação do resultado ML'!C175-'Modelos normativos'!AQ175</f>
        <v>#REF!</v>
      </c>
      <c r="E175" s="12" t="n">
        <f aca="false">'Modelos empíricos'!I175+1.1854</f>
        <v>1.58859656503619</v>
      </c>
      <c r="F175" s="4" t="e">
        <f aca="false">-0.01753*('Modelos normativos'!AN175-'Dataset experimental'!C175-ABS(G175)-('Modelos Propostos'!E175-'Modelos normativos'!AP175)/0.25291)</f>
        <v>#REF!</v>
      </c>
      <c r="G175" s="4" t="e">
        <f aca="false">'Dataset experimental'!K175+'Modelos empíricos'!K175^2+('Modelos Propostos'!E175-'Modelos normativos'!AQ175)*4.10553</f>
        <v>#REF!</v>
      </c>
      <c r="H175" s="4" t="e">
        <f aca="false">0.03283*(J175+K175)</f>
        <v>#REF!</v>
      </c>
      <c r="I175" s="4" t="e">
        <f aca="false">(1.61428/'Dataset experimental'!Q175)^3</f>
        <v>#REF!</v>
      </c>
      <c r="J175" s="4" t="e">
        <f aca="false">SIN('Dataset experimental'!E175)+1.450178*(SIN('Avaliação do resultado ML'!I175)+'Dataset experimental'!C175)</f>
        <v>#REF!</v>
      </c>
      <c r="K175" s="4" t="e">
        <f aca="false">('Modelos empíricos'!C175-'Dataset experimental'!G175)*'Dataset experimental'!AE175-'Modelos normativos'!AP175</f>
        <v>#REF!</v>
      </c>
      <c r="L175" s="4" t="n">
        <f aca="false">0.0076*'Dataset experimental'!B175+'Avaliação do resultado ML'!M175+'Avaliação do resultado ML'!N175+(-0.0328)*(0.0171*'Dataset experimental'!AD175-0.9442)*'Avaliação do resultado ML'!O175-'Avaliação do resultado ML'!P175-0.0364</f>
        <v>-0.0693181359567593</v>
      </c>
      <c r="M175" s="12" t="n">
        <f aca="false">0.03283*SIN(0.7328*'Dataset experimental'!D175-1.8266)</f>
        <v>-0.0291654482027489</v>
      </c>
      <c r="N175" s="12" t="n">
        <f aca="false">0.0476*SIN(4.2067/(0.0095*'Dataset experimental'!P175-1.9338)^3)</f>
        <v>0.0455515796827476</v>
      </c>
      <c r="O175" s="12" t="n">
        <f aca="false">0.0214*'Dataset experimental'!F175-3.1067*'Dataset experimental'!B175*'Dataset experimental'!P175*('Dataset experimental'!T175-'Dataset experimental'!R175)*(0.39*'Dataset experimental'!P175*'Dataset experimental'!T175/'Dataset experimental'!V175-'Dataset experimental'!Z175+3.12)/(100000*'Dataset experimental'!V175)+0.7995</f>
        <v>-1.44452076803075</v>
      </c>
      <c r="P175" s="12" t="n">
        <f aca="false">0.4461*('Dataset experimental'!Z175-0.6*'Modelos normativos'!AB175)*(3.4*'Dataset experimental'!L175+0.17*'Dataset experimental'!B175/'Modelos normativos'!AC175)/200000</f>
        <v>0.0866767351109632</v>
      </c>
      <c r="Q175" s="4" t="e">
        <f aca="false">L175/H175</f>
        <v>#REF!</v>
      </c>
      <c r="R175" s="4" t="e">
        <f aca="false">(-0.042-0.014*'Com TS variável MC2020'!Q184)*('Modelos normativos'!AP175-ABS('Modelos Propostos'!K175)-'Dataset experimental'!W175+COS(S175))</f>
        <v>#REF!</v>
      </c>
      <c r="S175" s="4" t="e">
        <f aca="false">'Dataset experimental'!O175-('Modelos normativos'!AQ175-SIN(0.083/('Dataset experimental'!M175-'Dataset experimental'!O175))-'Modelos empíricos'!I175)/0.646</f>
        <v>#REF!</v>
      </c>
      <c r="W175" s="4" t="e">
        <f aca="false">'Modelos normativos'!S175+'Avaliação do resultado ML'!A175</f>
        <v>#REF!</v>
      </c>
      <c r="X175" s="4" t="e">
        <f aca="false">W175/'Dataset experimental'!$AF175</f>
        <v>#REF!</v>
      </c>
      <c r="AJ175" s="4" t="e">
        <f aca="false">'Modelos Propostos'!B175+H175</f>
        <v>#REF!</v>
      </c>
      <c r="AK175" s="4" t="e">
        <f aca="false">AJ175/'Dataset experimental'!$AF175</f>
        <v>#REF!</v>
      </c>
      <c r="AV175" s="4" t="e">
        <f aca="false">'Modelos normativos'!S175+F175</f>
        <v>#REF!</v>
      </c>
      <c r="AW175" s="4" t="e">
        <f aca="false">AV175/'Dataset experimental'!$AF175</f>
        <v>#REF!</v>
      </c>
      <c r="BH175" s="4" t="e">
        <f aca="false">'Modelos Propostos'!B175+R175</f>
        <v>#REF!</v>
      </c>
      <c r="BI175" s="4" t="e">
        <f aca="false">BH175/'Dataset experimental'!$AF175</f>
        <v>#REF!</v>
      </c>
      <c r="BT175" s="4" t="n">
        <f aca="false">'Modelos Propostos'!B175+L175</f>
        <v>0.250676043200819</v>
      </c>
      <c r="BU175" s="4" t="n">
        <f aca="false">BT175/'Dataset experimental'!$AF175</f>
        <v>1.25338021600409</v>
      </c>
    </row>
    <row r="176" customFormat="false" ht="14.25" hidden="false" customHeight="false" outlineLevel="0" collapsed="false">
      <c r="A176" s="4" t="e">
        <f aca="false">0.0894*ABS(D176)-0.01603*E176</f>
        <v>#REF!</v>
      </c>
      <c r="B176" s="12" t="e">
        <f aca="false">'Dataset experimental'!K176*COS('Dataset experimental'!AC176)-'Dataset experimental'!M176-'Dataset experimental'!C176</f>
        <v>#REF!</v>
      </c>
      <c r="C176" s="12" t="e">
        <f aca="false">('Dataset experimental'!AE176+SIN('Avaliação do resultado ML'!B176))*0.70674187</f>
        <v>#REF!</v>
      </c>
      <c r="D176" s="12" t="e">
        <f aca="false">'Modelos Propostos'!E176+'Avaliação do resultado ML'!C176-'Modelos normativos'!AQ176</f>
        <v>#REF!</v>
      </c>
      <c r="E176" s="12" t="n">
        <f aca="false">'Modelos empíricos'!I176+1.1854</f>
        <v>1.74139334575034</v>
      </c>
      <c r="F176" s="4" t="e">
        <f aca="false">-0.01753*('Modelos normativos'!AN176-'Dataset experimental'!C176-ABS(G176)-('Modelos Propostos'!E176-'Modelos normativos'!AP176)/0.25291)</f>
        <v>#REF!</v>
      </c>
      <c r="G176" s="4" t="e">
        <f aca="false">'Dataset experimental'!K176+'Modelos empíricos'!K176^2+('Modelos Propostos'!E176-'Modelos normativos'!AQ176)*4.10553</f>
        <v>#REF!</v>
      </c>
      <c r="H176" s="4" t="e">
        <f aca="false">0.03283*(J176+K176)</f>
        <v>#REF!</v>
      </c>
      <c r="I176" s="4" t="e">
        <f aca="false">(1.61428/'Dataset experimental'!Q176)^3</f>
        <v>#REF!</v>
      </c>
      <c r="J176" s="4" t="e">
        <f aca="false">SIN('Dataset experimental'!E176)+1.450178*(SIN('Avaliação do resultado ML'!I176)+'Dataset experimental'!C176)</f>
        <v>#REF!</v>
      </c>
      <c r="K176" s="4" t="e">
        <f aca="false">('Modelos empíricos'!C176-'Dataset experimental'!G176)*'Dataset experimental'!AE176-'Modelos normativos'!AP176</f>
        <v>#REF!</v>
      </c>
      <c r="L176" s="4" t="n">
        <f aca="false">0.0076*'Dataset experimental'!B176+'Avaliação do resultado ML'!M176+'Avaliação do resultado ML'!N176+(-0.0328)*(0.0171*'Dataset experimental'!AD176-0.9442)*'Avaliação do resultado ML'!O176-'Avaliação do resultado ML'!P176-0.0364</f>
        <v>-0.0852151037005539</v>
      </c>
      <c r="M176" s="12" t="n">
        <f aca="false">0.03283*SIN(0.7328*'Dataset experimental'!D176-1.8266)</f>
        <v>-0.0291654482027489</v>
      </c>
      <c r="N176" s="12" t="n">
        <f aca="false">0.0476*SIN(4.2067/(0.0095*'Dataset experimental'!P176-1.9338)^3)</f>
        <v>0.0455515796827476</v>
      </c>
      <c r="O176" s="12" t="n">
        <f aca="false">0.0214*'Dataset experimental'!F176-3.1067*'Dataset experimental'!B176*'Dataset experimental'!P176*('Dataset experimental'!T176-'Dataset experimental'!R176)*(0.39*'Dataset experimental'!P176*'Dataset experimental'!T176/'Dataset experimental'!V176-'Dataset experimental'!Z176+3.12)/(100000*'Dataset experimental'!V176)+0.7995</f>
        <v>-1.67379675043351</v>
      </c>
      <c r="P176" s="12" t="n">
        <f aca="false">0.4461*('Dataset experimental'!Z176-0.6*'Modelos normativos'!AB176)*(3.4*'Dataset experimental'!L176+0.17*'Dataset experimental'!B176/'Modelos normativos'!AC176)/200000</f>
        <v>0.0967149486512769</v>
      </c>
      <c r="Q176" s="4" t="e">
        <f aca="false">L176/H176</f>
        <v>#REF!</v>
      </c>
      <c r="R176" s="4" t="e">
        <f aca="false">(-0.042-0.014*'Com TS variável MC2020'!Q185)*('Modelos normativos'!AP176-ABS('Modelos Propostos'!K176)-'Dataset experimental'!W176+COS(S176))</f>
        <v>#REF!</v>
      </c>
      <c r="S176" s="4" t="e">
        <f aca="false">'Dataset experimental'!O176-('Modelos normativos'!AQ176-SIN(0.083/('Dataset experimental'!M176-'Dataset experimental'!O176))-'Modelos empíricos'!I176)/0.646</f>
        <v>#REF!</v>
      </c>
      <c r="W176" s="4" t="e">
        <f aca="false">'Modelos normativos'!S176+'Avaliação do resultado ML'!A176</f>
        <v>#REF!</v>
      </c>
      <c r="X176" s="4" t="e">
        <f aca="false">W176/'Dataset experimental'!$AF176</f>
        <v>#REF!</v>
      </c>
      <c r="AJ176" s="4" t="e">
        <f aca="false">'Modelos Propostos'!B176+H176</f>
        <v>#REF!</v>
      </c>
      <c r="AK176" s="4" t="e">
        <f aca="false">AJ176/'Dataset experimental'!$AF176</f>
        <v>#REF!</v>
      </c>
      <c r="AV176" s="4" t="e">
        <f aca="false">'Modelos normativos'!S176+F176</f>
        <v>#REF!</v>
      </c>
      <c r="AW176" s="4" t="e">
        <f aca="false">AV176/'Dataset experimental'!$AF176</f>
        <v>#REF!</v>
      </c>
      <c r="BH176" s="4" t="e">
        <f aca="false">'Modelos Propostos'!B176+R176</f>
        <v>#REF!</v>
      </c>
      <c r="BI176" s="4" t="e">
        <f aca="false">BH176/'Dataset experimental'!$AF176</f>
        <v>#REF!</v>
      </c>
      <c r="BT176" s="4" t="n">
        <f aca="false">'Modelos Propostos'!B176+L176</f>
        <v>0.259867376485651</v>
      </c>
      <c r="BU176" s="4" t="n">
        <f aca="false">BT176/'Dataset experimental'!$AF176</f>
        <v>1.12985815863326</v>
      </c>
    </row>
    <row r="177" customFormat="false" ht="14.25" hidden="false" customHeight="false" outlineLevel="0" collapsed="false">
      <c r="A177" s="4" t="e">
        <f aca="false">0.0894*ABS(D177)-0.01603*E177</f>
        <v>#REF!</v>
      </c>
      <c r="B177" s="12" t="e">
        <f aca="false">'Dataset experimental'!K177*COS('Dataset experimental'!AC177)-'Dataset experimental'!M177-'Dataset experimental'!C177</f>
        <v>#REF!</v>
      </c>
      <c r="C177" s="12" t="e">
        <f aca="false">('Dataset experimental'!AE177+SIN('Avaliação do resultado ML'!B177))*0.70674187</f>
        <v>#REF!</v>
      </c>
      <c r="D177" s="12" t="e">
        <f aca="false">'Modelos Propostos'!E177+'Avaliação do resultado ML'!C177-'Modelos normativos'!AQ177</f>
        <v>#REF!</v>
      </c>
      <c r="E177" s="12" t="n">
        <f aca="false">'Modelos empíricos'!I177+1.1854</f>
        <v>1.90472783547925</v>
      </c>
      <c r="F177" s="4" t="e">
        <f aca="false">-0.01753*('Modelos normativos'!AN177-'Dataset experimental'!C177-ABS(G177)-('Modelos Propostos'!E177-'Modelos normativos'!AP177)/0.25291)</f>
        <v>#REF!</v>
      </c>
      <c r="G177" s="4" t="e">
        <f aca="false">'Dataset experimental'!K177+'Modelos empíricos'!K177^2+('Modelos Propostos'!E177-'Modelos normativos'!AQ177)*4.10553</f>
        <v>#REF!</v>
      </c>
      <c r="H177" s="4" t="e">
        <f aca="false">0.03283*(J177+K177)</f>
        <v>#REF!</v>
      </c>
      <c r="I177" s="4" t="e">
        <f aca="false">(1.61428/'Dataset experimental'!Q177)^3</f>
        <v>#REF!</v>
      </c>
      <c r="J177" s="4" t="e">
        <f aca="false">SIN('Dataset experimental'!E177)+1.450178*(SIN('Avaliação do resultado ML'!I177)+'Dataset experimental'!C177)</f>
        <v>#REF!</v>
      </c>
      <c r="K177" s="4" t="e">
        <f aca="false">('Modelos empíricos'!C177-'Dataset experimental'!G177)*'Dataset experimental'!AE177-'Modelos normativos'!AP177</f>
        <v>#REF!</v>
      </c>
      <c r="L177" s="4" t="n">
        <f aca="false">0.0076*'Dataset experimental'!B177+'Avaliação do resultado ML'!M177+'Avaliação do resultado ML'!N177+(-0.0328)*(0.0171*'Dataset experimental'!AD177-0.9442)*'Avaliação do resultado ML'!O177-'Avaliação do resultado ML'!P177-0.0364</f>
        <v>-0.102125935032818</v>
      </c>
      <c r="M177" s="12" t="n">
        <f aca="false">0.03283*SIN(0.7328*'Dataset experimental'!D177-1.8266)</f>
        <v>-0.0291654482027489</v>
      </c>
      <c r="N177" s="12" t="n">
        <f aca="false">0.0476*SIN(4.2067/(0.0095*'Dataset experimental'!P177-1.9338)^3)</f>
        <v>0.0455515796827476</v>
      </c>
      <c r="O177" s="12" t="n">
        <f aca="false">0.0214*'Dataset experimental'!F177-3.1067*'Dataset experimental'!B177*'Dataset experimental'!P177*('Dataset experimental'!T177-'Dataset experimental'!R177)*(0.39*'Dataset experimental'!P177*'Dataset experimental'!T177/'Dataset experimental'!V177-'Dataset experimental'!Z177+3.12)/(100000*'Dataset experimental'!V177)+0.7995</f>
        <v>-1.91888486955371</v>
      </c>
      <c r="P177" s="12" t="n">
        <f aca="false">0.4461*('Dataset experimental'!Z177-0.6*'Modelos normativos'!AB177)*(3.4*'Dataset experimental'!L177+0.17*'Dataset experimental'!B177/'Modelos normativos'!AC177)/200000</f>
        <v>0.107445452780578</v>
      </c>
      <c r="Q177" s="4" t="e">
        <f aca="false">L177/H177</f>
        <v>#REF!</v>
      </c>
      <c r="R177" s="4" t="e">
        <f aca="false">(-0.042-0.014*'Com TS variável MC2020'!Q186)*('Modelos normativos'!AP177-ABS('Modelos Propostos'!K177)-'Dataset experimental'!W177+COS(S177))</f>
        <v>#REF!</v>
      </c>
      <c r="S177" s="4" t="e">
        <f aca="false">'Dataset experimental'!O177-('Modelos normativos'!AQ177-SIN(0.083/('Dataset experimental'!M177-'Dataset experimental'!O177))-'Modelos empíricos'!I177)/0.646</f>
        <v>#REF!</v>
      </c>
      <c r="W177" s="4" t="e">
        <f aca="false">'Modelos normativos'!S177+'Avaliação do resultado ML'!A177</f>
        <v>#REF!</v>
      </c>
      <c r="X177" s="4" t="e">
        <f aca="false">W177/'Dataset experimental'!$AF177</f>
        <v>#REF!</v>
      </c>
      <c r="AJ177" s="4" t="e">
        <f aca="false">'Modelos Propostos'!B177+H177</f>
        <v>#REF!</v>
      </c>
      <c r="AK177" s="4" t="e">
        <f aca="false">AJ177/'Dataset experimental'!$AF177</f>
        <v>#REF!</v>
      </c>
      <c r="AV177" s="4" t="e">
        <f aca="false">'Modelos normativos'!S177+F177</f>
        <v>#REF!</v>
      </c>
      <c r="AW177" s="4" t="e">
        <f aca="false">AV177/'Dataset experimental'!$AF177</f>
        <v>#REF!</v>
      </c>
      <c r="BH177" s="4" t="e">
        <f aca="false">'Modelos Propostos'!B177+R177</f>
        <v>#REF!</v>
      </c>
      <c r="BI177" s="4" t="e">
        <f aca="false">BH177/'Dataset experimental'!$AF177</f>
        <v>#REF!</v>
      </c>
      <c r="BT177" s="4" t="n">
        <f aca="false">'Modelos Propostos'!B177+L177</f>
        <v>0.271636931816239</v>
      </c>
      <c r="BU177" s="4" t="n">
        <f aca="false">BT177/'Dataset experimental'!$AF177</f>
        <v>1.13182054923433</v>
      </c>
    </row>
    <row r="178" customFormat="false" ht="14.25" hidden="false" customHeight="false" outlineLevel="0" collapsed="false">
      <c r="A178" s="4" t="e">
        <f aca="false">0.0894*ABS(D178)-0.01603*E178</f>
        <v>#REF!</v>
      </c>
      <c r="B178" s="12" t="e">
        <f aca="false">'Dataset experimental'!K178*COS('Dataset experimental'!AC178)-'Dataset experimental'!M178-'Dataset experimental'!C178</f>
        <v>#REF!</v>
      </c>
      <c r="C178" s="12" t="e">
        <f aca="false">('Dataset experimental'!AE178+SIN('Avaliação do resultado ML'!B178))*0.70674187</f>
        <v>#REF!</v>
      </c>
      <c r="D178" s="12" t="e">
        <f aca="false">'Modelos Propostos'!E178+'Avaliação do resultado ML'!C178-'Modelos normativos'!AQ178</f>
        <v>#REF!</v>
      </c>
      <c r="E178" s="12" t="n">
        <f aca="false">'Modelos empíricos'!I178+1.1854</f>
        <v>2.07333117971555</v>
      </c>
      <c r="F178" s="4" t="e">
        <f aca="false">-0.01753*('Modelos normativos'!AN178-'Dataset experimental'!C178-ABS(G178)-('Modelos Propostos'!E178-'Modelos normativos'!AP178)/0.25291)</f>
        <v>#REF!</v>
      </c>
      <c r="G178" s="4" t="e">
        <f aca="false">'Dataset experimental'!K178+'Modelos empíricos'!K178^2+('Modelos Propostos'!E178-'Modelos normativos'!AQ178)*4.10553</f>
        <v>#REF!</v>
      </c>
      <c r="H178" s="4" t="e">
        <f aca="false">0.03283*(J178+K178)</f>
        <v>#REF!</v>
      </c>
      <c r="I178" s="4" t="e">
        <f aca="false">(1.61428/'Dataset experimental'!Q178)^3</f>
        <v>#REF!</v>
      </c>
      <c r="J178" s="4" t="e">
        <f aca="false">SIN('Dataset experimental'!E178)+1.450178*(SIN('Avaliação do resultado ML'!I178)+'Dataset experimental'!C178)</f>
        <v>#REF!</v>
      </c>
      <c r="K178" s="4" t="e">
        <f aca="false">('Modelos empíricos'!C178-'Dataset experimental'!G178)*'Dataset experimental'!AE178-'Modelos normativos'!AP178</f>
        <v>#REF!</v>
      </c>
      <c r="L178" s="4" t="n">
        <f aca="false">0.0076*'Dataset experimental'!B178+'Avaliação do resultado ML'!M178+'Avaliação do resultado ML'!N178+(-0.0328)*(0.0171*'Dataset experimental'!AD178-0.9442)*'Avaliação do resultado ML'!O178-'Avaliação do resultado ML'!P178-0.0364</f>
        <v>-0.119492880443899</v>
      </c>
      <c r="M178" s="12" t="n">
        <f aca="false">0.03283*SIN(0.7328*'Dataset experimental'!D178-1.8266)</f>
        <v>-0.0291654482027489</v>
      </c>
      <c r="N178" s="12" t="n">
        <f aca="false">0.0476*SIN(4.2067/(0.0095*'Dataset experimental'!P178-1.9338)^3)</f>
        <v>0.0455515796827476</v>
      </c>
      <c r="O178" s="12" t="n">
        <f aca="false">0.0214*'Dataset experimental'!F178-3.1067*'Dataset experimental'!B178*'Dataset experimental'!P178*('Dataset experimental'!T178-'Dataset experimental'!R178)*(0.39*'Dataset experimental'!P178*'Dataset experimental'!T178/'Dataset experimental'!V178-'Dataset experimental'!Z178+3.12)/(100000*'Dataset experimental'!V178)+0.7995</f>
        <v>-2.17187905703263</v>
      </c>
      <c r="P178" s="12" t="n">
        <f aca="false">0.4461*('Dataset experimental'!Z178-0.6*'Modelos normativos'!AB178)*(3.4*'Dataset experimental'!L178+0.17*'Dataset experimental'!B178/'Modelos normativos'!AC178)/200000</f>
        <v>0.118522102204372</v>
      </c>
      <c r="Q178" s="4" t="e">
        <f aca="false">L178/H178</f>
        <v>#REF!</v>
      </c>
      <c r="R178" s="4" t="e">
        <f aca="false">(-0.042-0.014*'Com TS variável MC2020'!Q187)*('Modelos normativos'!AP178-ABS('Modelos Propostos'!K178)-'Dataset experimental'!W178+COS(S178))</f>
        <v>#REF!</v>
      </c>
      <c r="S178" s="4" t="e">
        <f aca="false">'Dataset experimental'!O178-('Modelos normativos'!AQ178-SIN(0.083/('Dataset experimental'!M178-'Dataset experimental'!O178))-'Modelos empíricos'!I178)/0.646</f>
        <v>#REF!</v>
      </c>
      <c r="W178" s="4" t="e">
        <f aca="false">'Modelos normativos'!S178+'Avaliação do resultado ML'!A178</f>
        <v>#REF!</v>
      </c>
      <c r="X178" s="4" t="e">
        <f aca="false">W178/'Dataset experimental'!$AF178</f>
        <v>#REF!</v>
      </c>
      <c r="AJ178" s="4" t="e">
        <f aca="false">'Modelos Propostos'!B178+H178</f>
        <v>#REF!</v>
      </c>
      <c r="AK178" s="4" t="e">
        <f aca="false">AJ178/'Dataset experimental'!$AF178</f>
        <v>#REF!</v>
      </c>
      <c r="AV178" s="4" t="e">
        <f aca="false">'Modelos normativos'!S178+F178</f>
        <v>#REF!</v>
      </c>
      <c r="AW178" s="4" t="e">
        <f aca="false">AV178/'Dataset experimental'!$AF178</f>
        <v>#REF!</v>
      </c>
      <c r="BH178" s="4" t="e">
        <f aca="false">'Modelos Propostos'!B178+R178</f>
        <v>#REF!</v>
      </c>
      <c r="BI178" s="4" t="e">
        <f aca="false">BH178/'Dataset experimental'!$AF178</f>
        <v>#REF!</v>
      </c>
      <c r="BT178" s="4" t="n">
        <f aca="false">'Modelos Propostos'!B178+L178</f>
        <v>0.290450740047665</v>
      </c>
      <c r="BU178" s="4" t="n">
        <f aca="false">BT178/'Dataset experimental'!$AF178</f>
        <v>1.16180296019066</v>
      </c>
    </row>
    <row r="179" customFormat="false" ht="14.25" hidden="false" customHeight="false" outlineLevel="0" collapsed="false">
      <c r="A179" s="4" t="e">
        <f aca="false">0.0894*ABS(D179)-0.01603*E179</f>
        <v>#REF!</v>
      </c>
      <c r="B179" s="12" t="e">
        <f aca="false">'Dataset experimental'!K179*COS('Dataset experimental'!AC179)-'Dataset experimental'!M179-'Dataset experimental'!C179</f>
        <v>#REF!</v>
      </c>
      <c r="C179" s="12" t="e">
        <f aca="false">('Dataset experimental'!AE179+SIN('Avaliação do resultado ML'!B179))*0.70674187</f>
        <v>#REF!</v>
      </c>
      <c r="D179" s="12" t="e">
        <f aca="false">'Modelos Propostos'!E179+'Avaliação do resultado ML'!C179-'Modelos normativos'!AQ179</f>
        <v>#REF!</v>
      </c>
      <c r="E179" s="12" t="n">
        <f aca="false">'Modelos empíricos'!I179+1.1854</f>
        <v>2.22612796042969</v>
      </c>
      <c r="F179" s="4" t="e">
        <f aca="false">-0.01753*('Modelos normativos'!AN179-'Dataset experimental'!C179-ABS(G179)-('Modelos Propostos'!E179-'Modelos normativos'!AP179)/0.25291)</f>
        <v>#REF!</v>
      </c>
      <c r="G179" s="4" t="e">
        <f aca="false">'Dataset experimental'!K179+'Modelos empíricos'!K179^2+('Modelos Propostos'!E179-'Modelos normativos'!AQ179)*4.10553</f>
        <v>#REF!</v>
      </c>
      <c r="H179" s="4" t="e">
        <f aca="false">0.03283*(J179+K179)</f>
        <v>#REF!</v>
      </c>
      <c r="I179" s="4" t="e">
        <f aca="false">(1.61428/'Dataset experimental'!Q179)^3</f>
        <v>#REF!</v>
      </c>
      <c r="J179" s="4" t="e">
        <f aca="false">SIN('Dataset experimental'!E179)+1.450178*(SIN('Avaliação do resultado ML'!I179)+'Dataset experimental'!C179)</f>
        <v>#REF!</v>
      </c>
      <c r="K179" s="4" t="e">
        <f aca="false">('Modelos empíricos'!C179-'Dataset experimental'!G179)*'Dataset experimental'!AE179-'Modelos normativos'!AP179</f>
        <v>#REF!</v>
      </c>
      <c r="L179" s="4" t="n">
        <f aca="false">0.0076*'Dataset experimental'!B179+'Avaliação do resultado ML'!M179+'Avaliação do resultado ML'!N179+(-0.0328)*(0.0171*'Dataset experimental'!AD179-0.9442)*'Avaliação do resultado ML'!O179-'Avaliação do resultado ML'!P179-0.0364</f>
        <v>-0.135153230971755</v>
      </c>
      <c r="M179" s="12" t="n">
        <f aca="false">0.03283*SIN(0.7328*'Dataset experimental'!D179-1.8266)</f>
        <v>-0.0291654482027489</v>
      </c>
      <c r="N179" s="12" t="n">
        <f aca="false">0.0476*SIN(4.2067/(0.0095*'Dataset experimental'!P179-1.9338)^3)</f>
        <v>0.0455515796827476</v>
      </c>
      <c r="O179" s="12" t="n">
        <f aca="false">0.0214*'Dataset experimental'!F179-3.1067*'Dataset experimental'!B179*'Dataset experimental'!P179*('Dataset experimental'!T179-'Dataset experimental'!R179)*(0.39*'Dataset experimental'!P179*'Dataset experimental'!T179/'Dataset experimental'!V179-'Dataset experimental'!Z179+3.12)/(100000*'Dataset experimental'!V179)+0.7995</f>
        <v>-2.40115503943539</v>
      </c>
      <c r="P179" s="12" t="n">
        <f aca="false">0.4461*('Dataset experimental'!Z179-0.6*'Modelos normativos'!AB179)*(3.4*'Dataset experimental'!L179+0.17*'Dataset experimental'!B179/'Modelos normativos'!AC179)/200000</f>
        <v>0.128560315744686</v>
      </c>
      <c r="Q179" s="4" t="e">
        <f aca="false">L179/H179</f>
        <v>#REF!</v>
      </c>
      <c r="R179" s="4" t="e">
        <f aca="false">(-0.042-0.014*'Com TS variável MC2020'!Q188)*('Modelos normativos'!AP179-ABS('Modelos Propostos'!K179)-'Dataset experimental'!W179+COS(S179))</f>
        <v>#REF!</v>
      </c>
      <c r="S179" s="4" t="e">
        <f aca="false">'Dataset experimental'!O179-('Modelos normativos'!AQ179-SIN(0.083/('Dataset experimental'!M179-'Dataset experimental'!O179))-'Modelos empíricos'!I179)/0.646</f>
        <v>#REF!</v>
      </c>
      <c r="W179" s="4" t="e">
        <f aca="false">'Modelos normativos'!S179+'Avaliação do resultado ML'!A179</f>
        <v>#REF!</v>
      </c>
      <c r="X179" s="4" t="e">
        <f aca="false">W179/'Dataset experimental'!$AF179</f>
        <v>#REF!</v>
      </c>
      <c r="AJ179" s="4" t="e">
        <f aca="false">'Modelos Propostos'!B179+H179</f>
        <v>#REF!</v>
      </c>
      <c r="AK179" s="4" t="e">
        <f aca="false">AJ179/'Dataset experimental'!$AF179</f>
        <v>#REF!</v>
      </c>
      <c r="AV179" s="4" t="e">
        <f aca="false">'Modelos normativos'!S179+F179</f>
        <v>#REF!</v>
      </c>
      <c r="AW179" s="4" t="e">
        <f aca="false">AV179/'Dataset experimental'!$AF179</f>
        <v>#REF!</v>
      </c>
      <c r="BH179" s="4" t="e">
        <f aca="false">'Modelos Propostos'!B179+R179</f>
        <v>#REF!</v>
      </c>
      <c r="BI179" s="4" t="e">
        <f aca="false">BH179/'Dataset experimental'!$AF179</f>
        <v>#REF!</v>
      </c>
      <c r="BT179" s="4" t="n">
        <f aca="false">'Modelos Propostos'!B179+L179</f>
        <v>0.307579197508331</v>
      </c>
      <c r="BU179" s="4" t="n">
        <f aca="false">BT179/'Dataset experimental'!$AF179</f>
        <v>1.13918221299382</v>
      </c>
    </row>
    <row r="180" customFormat="false" ht="14.25" hidden="false" customHeight="false" outlineLevel="0" collapsed="false">
      <c r="A180" s="4" t="e">
        <f aca="false">0.0894*ABS(D180)-0.01603*E180</f>
        <v>#REF!</v>
      </c>
      <c r="B180" s="12" t="e">
        <f aca="false">'Dataset experimental'!K180*COS('Dataset experimental'!AC180)-'Dataset experimental'!M180-'Dataset experimental'!C180</f>
        <v>#REF!</v>
      </c>
      <c r="C180" s="12" t="e">
        <f aca="false">('Dataset experimental'!AE180+SIN('Avaliação do resultado ML'!B180))*0.70674187</f>
        <v>#REF!</v>
      </c>
      <c r="D180" s="12" t="e">
        <f aca="false">'Modelos Propostos'!E180+'Avaliação do resultado ML'!C180-'Modelos normativos'!AQ180</f>
        <v>#REF!</v>
      </c>
      <c r="E180" s="12" t="n">
        <f aca="false">'Modelos empíricos'!I180+1.1854</f>
        <v>2.36311817762169</v>
      </c>
      <c r="F180" s="4" t="e">
        <f aca="false">-0.01753*('Modelos normativos'!AN180-'Dataset experimental'!C180-ABS(G180)-('Modelos Propostos'!E180-'Modelos normativos'!AP180)/0.25291)</f>
        <v>#REF!</v>
      </c>
      <c r="G180" s="4" t="e">
        <f aca="false">'Dataset experimental'!K180+'Modelos empíricos'!K180^2+('Modelos Propostos'!E180-'Modelos normativos'!AQ180)*4.10553</f>
        <v>#REF!</v>
      </c>
      <c r="H180" s="4" t="e">
        <f aca="false">0.03283*(J180+K180)</f>
        <v>#REF!</v>
      </c>
      <c r="I180" s="4" t="e">
        <f aca="false">(1.61428/'Dataset experimental'!Q180)^3</f>
        <v>#REF!</v>
      </c>
      <c r="J180" s="4" t="e">
        <f aca="false">SIN('Dataset experimental'!E180)+1.450178*(SIN('Avaliação do resultado ML'!I180)+'Dataset experimental'!C180)</f>
        <v>#REF!</v>
      </c>
      <c r="K180" s="4" t="e">
        <f aca="false">('Modelos empíricos'!C180-'Dataset experimental'!G180)*'Dataset experimental'!AE180-'Modelos normativos'!AP180</f>
        <v>#REF!</v>
      </c>
      <c r="L180" s="4" t="n">
        <f aca="false">0.0076*'Dataset experimental'!B180+'Avaliação do resultado ML'!M180+'Avaliação do resultado ML'!N180+(-0.0328)*(0.0171*'Dataset experimental'!AD180-0.9442)*'Avaliação do resultado ML'!O180-'Avaliação do resultado ML'!P180-0.0364</f>
        <v>-0.149130133952728</v>
      </c>
      <c r="M180" s="12" t="n">
        <f aca="false">0.03283*SIN(0.7328*'Dataset experimental'!D180-1.8266)</f>
        <v>-0.0291654482027489</v>
      </c>
      <c r="N180" s="12" t="n">
        <f aca="false">0.0476*SIN(4.2067/(0.0095*'Dataset experimental'!P180-1.9338)^3)</f>
        <v>0.0455515796827476</v>
      </c>
      <c r="O180" s="12" t="n">
        <f aca="false">0.0214*'Dataset experimental'!F180-3.1067*'Dataset experimental'!B180*'Dataset experimental'!P180*('Dataset experimental'!T180-'Dataset experimental'!R180)*(0.39*'Dataset experimental'!P180*'Dataset experimental'!T180/'Dataset experimental'!V180-'Dataset experimental'!Z180+3.12)/(100000*'Dataset experimental'!V180)+0.7995</f>
        <v>-2.60671281676201</v>
      </c>
      <c r="P180" s="12" t="n">
        <f aca="false">0.4461*('Dataset experimental'!Z180-0.6*'Modelos normativos'!AB180)*(3.4*'Dataset experimental'!L180+0.17*'Dataset experimental'!B180/'Modelos normativos'!AC180)/200000</f>
        <v>0.137560093401519</v>
      </c>
      <c r="Q180" s="4" t="e">
        <f aca="false">L180/H180</f>
        <v>#REF!</v>
      </c>
      <c r="R180" s="4" t="e">
        <f aca="false">(-0.042-0.014*'Com TS variável MC2020'!Q189)*('Modelos normativos'!AP180-ABS('Modelos Propostos'!K180)-'Dataset experimental'!W180+COS(S180))</f>
        <v>#REF!</v>
      </c>
      <c r="S180" s="4" t="e">
        <f aca="false">'Dataset experimental'!O180-('Modelos normativos'!AQ180-SIN(0.083/('Dataset experimental'!M180-'Dataset experimental'!O180))-'Modelos empíricos'!I180)/0.646</f>
        <v>#REF!</v>
      </c>
      <c r="W180" s="4" t="e">
        <f aca="false">'Modelos normativos'!S180+'Avaliação do resultado ML'!A180</f>
        <v>#REF!</v>
      </c>
      <c r="X180" s="4" t="e">
        <f aca="false">W180/'Dataset experimental'!$AF180</f>
        <v>#REF!</v>
      </c>
      <c r="AJ180" s="4" t="e">
        <f aca="false">'Modelos Propostos'!B180+H180</f>
        <v>#REF!</v>
      </c>
      <c r="AK180" s="4" t="e">
        <f aca="false">AJ180/'Dataset experimental'!$AF180</f>
        <v>#REF!</v>
      </c>
      <c r="AV180" s="4" t="e">
        <f aca="false">'Modelos normativos'!S180+F180</f>
        <v>#REF!</v>
      </c>
      <c r="AW180" s="4" t="e">
        <f aca="false">AV180/'Dataset experimental'!$AF180</f>
        <v>#REF!</v>
      </c>
      <c r="BH180" s="4" t="e">
        <f aca="false">'Modelos Propostos'!B180+R180</f>
        <v>#REF!</v>
      </c>
      <c r="BI180" s="4" t="e">
        <f aca="false">BH180/'Dataset experimental'!$AF180</f>
        <v>#REF!</v>
      </c>
      <c r="BT180" s="4" t="n">
        <f aca="false">'Modelos Propostos'!B180+L180</f>
        <v>0.322999156861895</v>
      </c>
      <c r="BU180" s="4" t="n">
        <f aca="false">BT180/'Dataset experimental'!$AF180</f>
        <v>1.1137901960755</v>
      </c>
    </row>
    <row r="181" customFormat="false" ht="14.25" hidden="false" customHeight="false" outlineLevel="0" collapsed="false">
      <c r="A181" s="4" t="e">
        <f aca="false">0.0894*ABS(D181)-0.01603*E181</f>
        <v>#REF!</v>
      </c>
      <c r="B181" s="12" t="e">
        <f aca="false">'Dataset experimental'!K181*COS('Dataset experimental'!AC181)-'Dataset experimental'!M181-'Dataset experimental'!C181</f>
        <v>#REF!</v>
      </c>
      <c r="C181" s="12" t="e">
        <f aca="false">('Dataset experimental'!AE181+SIN('Avaliação do resultado ML'!B181))*0.70674187</f>
        <v>#REF!</v>
      </c>
      <c r="D181" s="12" t="e">
        <f aca="false">'Modelos Propostos'!E181+'Avaliação do resultado ML'!C181-'Modelos normativos'!AQ181</f>
        <v>#REF!</v>
      </c>
      <c r="E181" s="12" t="n">
        <f aca="false">'Modelos empíricos'!I181+1.1854</f>
        <v>1.45687520235159</v>
      </c>
      <c r="F181" s="4" t="e">
        <f aca="false">-0.01753*('Modelos normativos'!AN181-'Dataset experimental'!C181-ABS(G181)-('Modelos Propostos'!E181-'Modelos normativos'!AP181)/0.25291)</f>
        <v>#REF!</v>
      </c>
      <c r="G181" s="4" t="e">
        <f aca="false">'Dataset experimental'!K181+'Modelos empíricos'!K181^2+('Modelos Propostos'!E181-'Modelos normativos'!AQ181)*4.10553</f>
        <v>#REF!</v>
      </c>
      <c r="H181" s="4" t="e">
        <f aca="false">0.03283*(J181+K181)</f>
        <v>#REF!</v>
      </c>
      <c r="I181" s="4" t="e">
        <f aca="false">(1.61428/'Dataset experimental'!Q181)^3</f>
        <v>#REF!</v>
      </c>
      <c r="J181" s="4" t="e">
        <f aca="false">SIN('Dataset experimental'!E181)+1.450178*(SIN('Avaliação do resultado ML'!I181)+'Dataset experimental'!C181)</f>
        <v>#REF!</v>
      </c>
      <c r="K181" s="4" t="e">
        <f aca="false">('Modelos empíricos'!C181-'Dataset experimental'!G181)*'Dataset experimental'!AE181-'Modelos normativos'!AP181</f>
        <v>#REF!</v>
      </c>
      <c r="L181" s="4" t="n">
        <f aca="false">0.0076*'Dataset experimental'!B181+'Avaliação do resultado ML'!M181+'Avaliação do resultado ML'!N181+(-0.0328)*(0.0171*'Dataset experimental'!AD181-0.9442)*'Avaliação do resultado ML'!O181-'Avaliação do resultado ML'!P181-0.0364</f>
        <v>-0.0555539896181213</v>
      </c>
      <c r="M181" s="12" t="n">
        <f aca="false">0.03283*SIN(0.7328*'Dataset experimental'!D181-1.8266)</f>
        <v>-0.0291654482027489</v>
      </c>
      <c r="N181" s="12" t="n">
        <f aca="false">0.0476*SIN(4.2067/(0.0095*'Dataset experimental'!P181-1.9338)^3)</f>
        <v>0.0455515796827476</v>
      </c>
      <c r="O181" s="12" t="n">
        <f aca="false">0.0214*'Dataset experimental'!F181-3.1067*'Dataset experimental'!B181*'Dataset experimental'!P181*('Dataset experimental'!T181-'Dataset experimental'!R181)*(0.39*'Dataset experimental'!P181*'Dataset experimental'!T181/'Dataset experimental'!V181-'Dataset experimental'!Z181+3.12)/(100000*'Dataset experimental'!V181)+0.7995</f>
        <v>-1.24686905906285</v>
      </c>
      <c r="P181" s="12" t="n">
        <f aca="false">0.4461*('Dataset experimental'!Z181-0.6*'Modelos normativos'!AB181)*(3.4*'Dataset experimental'!L181+0.17*'Dataset experimental'!B181/'Modelos normativos'!AC181)/200000</f>
        <v>0.0780231027486237</v>
      </c>
      <c r="Q181" s="4" t="e">
        <f aca="false">L181/H181</f>
        <v>#REF!</v>
      </c>
      <c r="R181" s="4" t="e">
        <f aca="false">(-0.042-0.014*'Com TS variável MC2020'!Q190)*('Modelos normativos'!AP181-ABS('Modelos Propostos'!K181)-'Dataset experimental'!W181+COS(S181))</f>
        <v>#REF!</v>
      </c>
      <c r="S181" s="4" t="e">
        <f aca="false">'Dataset experimental'!O181-('Modelos normativos'!AQ181-SIN(0.083/('Dataset experimental'!M181-'Dataset experimental'!O181))-'Modelos empíricos'!I181)/0.646</f>
        <v>#REF!</v>
      </c>
      <c r="W181" s="4" t="e">
        <f aca="false">'Modelos normativos'!S181+'Avaliação do resultado ML'!A181</f>
        <v>#REF!</v>
      </c>
      <c r="X181" s="4" t="e">
        <f aca="false">W181/'Dataset experimental'!$AF181</f>
        <v>#REF!</v>
      </c>
      <c r="AJ181" s="4" t="e">
        <f aca="false">'Modelos Propostos'!B181+H181</f>
        <v>#REF!</v>
      </c>
      <c r="AK181" s="4" t="e">
        <f aca="false">AJ181/'Dataset experimental'!$AF181</f>
        <v>#REF!</v>
      </c>
      <c r="AV181" s="4" t="e">
        <f aca="false">'Modelos normativos'!S181+F181</f>
        <v>#REF!</v>
      </c>
      <c r="AW181" s="4" t="e">
        <f aca="false">AV181/'Dataset experimental'!$AF181</f>
        <v>#REF!</v>
      </c>
      <c r="BH181" s="4" t="e">
        <f aca="false">'Modelos Propostos'!B181+R181</f>
        <v>#REF!</v>
      </c>
      <c r="BI181" s="4" t="e">
        <f aca="false">BH181/'Dataset experimental'!$AF181</f>
        <v>#REF!</v>
      </c>
      <c r="BT181" s="4" t="n">
        <f aca="false">'Modelos Propostos'!B181+L181</f>
        <v>0.243572203075985</v>
      </c>
      <c r="BU181" s="4" t="n">
        <f aca="false">BT181/'Dataset experimental'!$AF181</f>
        <v>1.62381468717323</v>
      </c>
    </row>
    <row r="182" customFormat="false" ht="14.25" hidden="false" customHeight="false" outlineLevel="0" collapsed="false">
      <c r="A182" s="4" t="e">
        <f aca="false">0.0894*ABS(D182)-0.01603*E182</f>
        <v>#REF!</v>
      </c>
      <c r="B182" s="12" t="e">
        <f aca="false">'Dataset experimental'!K182*COS('Dataset experimental'!AC182)-'Dataset experimental'!M182-'Dataset experimental'!C182</f>
        <v>#REF!</v>
      </c>
      <c r="C182" s="12" t="e">
        <f aca="false">('Dataset experimental'!AE182+SIN('Avaliação do resultado ML'!B182))*0.70674187</f>
        <v>#REF!</v>
      </c>
      <c r="D182" s="12" t="e">
        <f aca="false">'Modelos Propostos'!E182+'Avaliação do resultado ML'!C182-'Modelos normativos'!AQ182</f>
        <v>#REF!</v>
      </c>
      <c r="E182" s="12" t="n">
        <f aca="false">'Modelos empíricos'!I182+1.1854</f>
        <v>1.60967198306573</v>
      </c>
      <c r="F182" s="4" t="e">
        <f aca="false">-0.01753*('Modelos normativos'!AN182-'Dataset experimental'!C182-ABS(G182)-('Modelos Propostos'!E182-'Modelos normativos'!AP182)/0.25291)</f>
        <v>#REF!</v>
      </c>
      <c r="G182" s="4" t="e">
        <f aca="false">'Dataset experimental'!K182+'Modelos empíricos'!K182^2+('Modelos Propostos'!E182-'Modelos normativos'!AQ182)*4.10553</f>
        <v>#REF!</v>
      </c>
      <c r="H182" s="4" t="e">
        <f aca="false">0.03283*(J182+K182)</f>
        <v>#REF!</v>
      </c>
      <c r="I182" s="4" t="e">
        <f aca="false">(1.61428/'Dataset experimental'!Q182)^3</f>
        <v>#REF!</v>
      </c>
      <c r="J182" s="4" t="e">
        <f aca="false">SIN('Dataset experimental'!E182)+1.450178*(SIN('Avaliação do resultado ML'!I182)+'Dataset experimental'!C182)</f>
        <v>#REF!</v>
      </c>
      <c r="K182" s="4" t="e">
        <f aca="false">('Modelos empíricos'!C182-'Dataset experimental'!G182)*'Dataset experimental'!AE182-'Modelos normativos'!AP182</f>
        <v>#REF!</v>
      </c>
      <c r="L182" s="4" t="n">
        <f aca="false">0.0076*'Dataset experimental'!B182+'Avaliação do resultado ML'!M182+'Avaliação do resultado ML'!N182+(-0.0328)*(0.0171*'Dataset experimental'!AD182-0.9442)*'Avaliação do resultado ML'!O182-'Avaliação do resultado ML'!P182-0.0364</f>
        <v>-0.0715152555184209</v>
      </c>
      <c r="M182" s="12" t="n">
        <f aca="false">0.03283*SIN(0.7328*'Dataset experimental'!D182-1.8266)</f>
        <v>-0.0291654482027489</v>
      </c>
      <c r="N182" s="12" t="n">
        <f aca="false">0.0476*SIN(4.2067/(0.0095*'Dataset experimental'!P182-1.9338)^3)</f>
        <v>0.0455515796827476</v>
      </c>
      <c r="O182" s="12" t="n">
        <f aca="false">0.0214*'Dataset experimental'!F182-3.1067*'Dataset experimental'!B182*'Dataset experimental'!P182*('Dataset experimental'!T182-'Dataset experimental'!R182)*(0.39*'Dataset experimental'!P182*'Dataset experimental'!T182/'Dataset experimental'!V182-'Dataset experimental'!Z182+3.12)/(100000*'Dataset experimental'!V182)+0.7995</f>
        <v>-1.47614504146561</v>
      </c>
      <c r="P182" s="12" t="n">
        <f aca="false">0.4461*('Dataset experimental'!Z182-0.6*'Modelos normativos'!AB182)*(3.4*'Dataset experimental'!L182+0.17*'Dataset experimental'!B182/'Modelos normativos'!AC182)/200000</f>
        <v>0.0880613162889375</v>
      </c>
      <c r="Q182" s="4" t="e">
        <f aca="false">L182/H182</f>
        <v>#REF!</v>
      </c>
      <c r="R182" s="4" t="e">
        <f aca="false">(-0.042-0.014*'Com TS variável MC2020'!Q191)*('Modelos normativos'!AP182-ABS('Modelos Propostos'!K182)-'Dataset experimental'!W182+COS(S182))</f>
        <v>#REF!</v>
      </c>
      <c r="S182" s="4" t="e">
        <f aca="false">'Dataset experimental'!O182-('Modelos normativos'!AQ182-SIN(0.083/('Dataset experimental'!M182-'Dataset experimental'!O182))-'Modelos empíricos'!I182)/0.646</f>
        <v>#REF!</v>
      </c>
      <c r="W182" s="4" t="e">
        <f aca="false">'Modelos normativos'!S182+'Avaliação do resultado ML'!A182</f>
        <v>#REF!</v>
      </c>
      <c r="X182" s="4" t="e">
        <f aca="false">W182/'Dataset experimental'!$AF182</f>
        <v>#REF!</v>
      </c>
      <c r="AJ182" s="4" t="e">
        <f aca="false">'Modelos Propostos'!B182+H182</f>
        <v>#REF!</v>
      </c>
      <c r="AK182" s="4" t="e">
        <f aca="false">AJ182/'Dataset experimental'!$AF182</f>
        <v>#REF!</v>
      </c>
      <c r="AV182" s="4" t="e">
        <f aca="false">'Modelos normativos'!S182+F182</f>
        <v>#REF!</v>
      </c>
      <c r="AW182" s="4" t="e">
        <f aca="false">AV182/'Dataset experimental'!$AF182</f>
        <v>#REF!</v>
      </c>
      <c r="BH182" s="4" t="e">
        <f aca="false">'Modelos Propostos'!B182+R182</f>
        <v>#REF!</v>
      </c>
      <c r="BI182" s="4" t="e">
        <f aca="false">BH182/'Dataset experimental'!$AF182</f>
        <v>#REF!</v>
      </c>
      <c r="BT182" s="4" t="n">
        <f aca="false">'Modelos Propostos'!B182+L182</f>
        <v>0.251883093083016</v>
      </c>
      <c r="BU182" s="4" t="n">
        <f aca="false">BT182/'Dataset experimental'!$AF182</f>
        <v>1.57426933176885</v>
      </c>
    </row>
    <row r="183" customFormat="false" ht="14.25" hidden="false" customHeight="false" outlineLevel="0" collapsed="false">
      <c r="A183" s="4" t="e">
        <f aca="false">0.0894*ABS(D183)-0.01603*E183</f>
        <v>#REF!</v>
      </c>
      <c r="B183" s="12" t="e">
        <f aca="false">'Dataset experimental'!K183*COS('Dataset experimental'!AC183)-'Dataset experimental'!M183-'Dataset experimental'!C183</f>
        <v>#REF!</v>
      </c>
      <c r="C183" s="12" t="e">
        <f aca="false">('Dataset experimental'!AE183+SIN('Avaliação do resultado ML'!B183))*0.70674187</f>
        <v>#REF!</v>
      </c>
      <c r="D183" s="12" t="e">
        <f aca="false">'Modelos Propostos'!E183+'Avaliação do resultado ML'!C183-'Modelos normativos'!AQ183</f>
        <v>#REF!</v>
      </c>
      <c r="E183" s="12" t="n">
        <f aca="false">'Modelos empíricos'!I183+1.1854</f>
        <v>1.82569501786849</v>
      </c>
      <c r="F183" s="4" t="e">
        <f aca="false">-0.01753*('Modelos normativos'!AN183-'Dataset experimental'!C183-ABS(G183)-('Modelos Propostos'!E183-'Modelos normativos'!AP183)/0.25291)</f>
        <v>#REF!</v>
      </c>
      <c r="G183" s="4" t="e">
        <f aca="false">'Dataset experimental'!K183+'Modelos empíricos'!K183^2+('Modelos Propostos'!E183-'Modelos normativos'!AQ183)*4.10553</f>
        <v>#REF!</v>
      </c>
      <c r="H183" s="4" t="e">
        <f aca="false">0.03283*(J183+K183)</f>
        <v>#REF!</v>
      </c>
      <c r="I183" s="4" t="e">
        <f aca="false">(1.61428/'Dataset experimental'!Q183)^3</f>
        <v>#REF!</v>
      </c>
      <c r="J183" s="4" t="e">
        <f aca="false">SIN('Dataset experimental'!E183)+1.450178*(SIN('Avaliação do resultado ML'!I183)+'Dataset experimental'!C183)</f>
        <v>#REF!</v>
      </c>
      <c r="K183" s="4" t="e">
        <f aca="false">('Modelos empíricos'!C183-'Dataset experimental'!G183)*'Dataset experimental'!AE183-'Modelos normativos'!AP183</f>
        <v>#REF!</v>
      </c>
      <c r="L183" s="4" t="n">
        <f aca="false">0.0076*'Dataset experimental'!B183+'Avaliação do resultado ML'!M183+'Avaliação do resultado ML'!N183+(-0.0328)*(0.0171*'Dataset experimental'!AD183-0.9442)*'Avaliação do resultado ML'!O183-'Avaliação do resultado ML'!P183-0.0364</f>
        <v>-0.093953917164245</v>
      </c>
      <c r="M183" s="12" t="n">
        <f aca="false">0.03283*SIN(0.7328*'Dataset experimental'!D183-1.8266)</f>
        <v>-0.0291654482027489</v>
      </c>
      <c r="N183" s="12" t="n">
        <f aca="false">0.0476*SIN(4.2067/(0.0095*'Dataset experimental'!P183-1.9338)^3)</f>
        <v>0.0455515796827476</v>
      </c>
      <c r="O183" s="12" t="n">
        <f aca="false">0.0214*'Dataset experimental'!F183-3.1067*'Dataset experimental'!B183*'Dataset experimental'!P183*('Dataset experimental'!T183-'Dataset experimental'!R183)*(0.39*'Dataset experimental'!P183*'Dataset experimental'!T183/'Dataset experimental'!V183-'Dataset experimental'!Z183+3.12)/(100000*'Dataset experimental'!V183)+0.7995</f>
        <v>-1.80029384417297</v>
      </c>
      <c r="P183" s="12" t="n">
        <f aca="false">0.4461*('Dataset experimental'!Z183-0.6*'Modelos normativos'!AB183)*(3.4*'Dataset experimental'!L183+0.17*'Dataset experimental'!B183/'Modelos normativos'!AC183)/200000</f>
        <v>0.102253273363174</v>
      </c>
      <c r="Q183" s="4" t="e">
        <f aca="false">L183/H183</f>
        <v>#REF!</v>
      </c>
      <c r="R183" s="4" t="e">
        <f aca="false">(-0.042-0.014*'Com TS variável MC2020'!Q192)*('Modelos normativos'!AP183-ABS('Modelos Propostos'!K183)-'Dataset experimental'!W183+COS(S183))</f>
        <v>#REF!</v>
      </c>
      <c r="S183" s="4" t="e">
        <f aca="false">'Dataset experimental'!O183-('Modelos normativos'!AQ183-SIN(0.083/('Dataset experimental'!M183-'Dataset experimental'!O183))-'Modelos empíricos'!I183)/0.646</f>
        <v>#REF!</v>
      </c>
      <c r="W183" s="4" t="e">
        <f aca="false">'Modelos normativos'!S183+'Avaliação do resultado ML'!A183</f>
        <v>#REF!</v>
      </c>
      <c r="X183" s="4" t="e">
        <f aca="false">W183/'Dataset experimental'!$AF183</f>
        <v>#REF!</v>
      </c>
      <c r="AJ183" s="4" t="e">
        <f aca="false">'Modelos Propostos'!B183+H183</f>
        <v>#REF!</v>
      </c>
      <c r="AK183" s="4" t="e">
        <f aca="false">AJ183/'Dataset experimental'!$AF183</f>
        <v>#REF!</v>
      </c>
      <c r="AV183" s="4" t="e">
        <f aca="false">'Modelos normativos'!S183+F183</f>
        <v>#REF!</v>
      </c>
      <c r="AW183" s="4" t="e">
        <f aca="false">AV183/'Dataset experimental'!$AF183</f>
        <v>#REF!</v>
      </c>
      <c r="BH183" s="4" t="e">
        <f aca="false">'Modelos Propostos'!B183+R183</f>
        <v>#REF!</v>
      </c>
      <c r="BI183" s="4" t="e">
        <f aca="false">BH183/'Dataset experimental'!$AF183</f>
        <v>#REF!</v>
      </c>
      <c r="BT183" s="4" t="n">
        <f aca="false">'Modelos Propostos'!B183+L183</f>
        <v>0.265375642546259</v>
      </c>
      <c r="BU183" s="4" t="n">
        <f aca="false">BT183/'Dataset experimental'!$AF183</f>
        <v>1.474309125257</v>
      </c>
    </row>
    <row r="184" customFormat="false" ht="14.25" hidden="false" customHeight="false" outlineLevel="0" collapsed="false">
      <c r="A184" s="4" t="e">
        <f aca="false">0.0894*ABS(D184)-0.01603*E184</f>
        <v>#REF!</v>
      </c>
      <c r="B184" s="12" t="e">
        <f aca="false">'Dataset experimental'!K184*COS('Dataset experimental'!AC184)-'Dataset experimental'!M184-'Dataset experimental'!C184</f>
        <v>#REF!</v>
      </c>
      <c r="C184" s="12" t="e">
        <f aca="false">('Dataset experimental'!AE184+SIN('Avaliação do resultado ML'!B184))*0.70674187</f>
        <v>#REF!</v>
      </c>
      <c r="D184" s="12" t="e">
        <f aca="false">'Modelos Propostos'!E184+'Avaliação do resultado ML'!C184-'Modelos normativos'!AQ184</f>
        <v>#REF!</v>
      </c>
      <c r="E184" s="12" t="n">
        <f aca="false">'Modelos empíricos'!I184+1.1854</f>
        <v>1.95214752604571</v>
      </c>
      <c r="F184" s="4" t="e">
        <f aca="false">-0.01753*('Modelos normativos'!AN184-'Dataset experimental'!C184-ABS(G184)-('Modelos Propostos'!E184-'Modelos normativos'!AP184)/0.25291)</f>
        <v>#REF!</v>
      </c>
      <c r="G184" s="4" t="e">
        <f aca="false">'Dataset experimental'!K184+'Modelos empíricos'!K184^2+('Modelos Propostos'!E184-'Modelos normativos'!AQ184)*4.10553</f>
        <v>#REF!</v>
      </c>
      <c r="H184" s="4" t="e">
        <f aca="false">0.03283*(J184+K184)</f>
        <v>#REF!</v>
      </c>
      <c r="I184" s="4" t="e">
        <f aca="false">(1.61428/'Dataset experimental'!Q184)^3</f>
        <v>#REF!</v>
      </c>
      <c r="J184" s="4" t="e">
        <f aca="false">SIN('Dataset experimental'!E184)+1.450178*(SIN('Avaliação do resultado ML'!I184)+'Dataset experimental'!C184)</f>
        <v>#REF!</v>
      </c>
      <c r="K184" s="4" t="e">
        <f aca="false">('Modelos empíricos'!C184-'Dataset experimental'!G184)*'Dataset experimental'!AE184-'Modelos normativos'!AP184</f>
        <v>#REF!</v>
      </c>
      <c r="L184" s="4" t="n">
        <f aca="false">0.0076*'Dataset experimental'!B184+'Avaliação do resultado ML'!M184+'Avaliação do resultado ML'!N184+(-0.0328)*(0.0171*'Dataset experimental'!AD184-0.9442)*'Avaliação do resultado ML'!O184-'Avaliação do resultado ML'!P184-0.0364</f>
        <v>-0.10701956754582</v>
      </c>
      <c r="M184" s="12" t="n">
        <f aca="false">0.03283*SIN(0.7328*'Dataset experimental'!D184-1.8266)</f>
        <v>-0.0291654482027489</v>
      </c>
      <c r="N184" s="12" t="n">
        <f aca="false">0.0476*SIN(4.2067/(0.0095*'Dataset experimental'!P184-1.9338)^3)</f>
        <v>0.0455515796827476</v>
      </c>
      <c r="O184" s="12" t="n">
        <f aca="false">0.0214*'Dataset experimental'!F184-3.1067*'Dataset experimental'!B184*'Dataset experimental'!P184*('Dataset experimental'!T184-'Dataset experimental'!R184)*(0.39*'Dataset experimental'!P184*'Dataset experimental'!T184/'Dataset experimental'!V184-'Dataset experimental'!Z184+3.12)/(100000*'Dataset experimental'!V184)+0.7995</f>
        <v>-1.99003948478216</v>
      </c>
      <c r="P184" s="12" t="n">
        <f aca="false">0.4461*('Dataset experimental'!Z184-0.6*'Modelos normativos'!AB184)*(3.4*'Dataset experimental'!L184+0.17*'Dataset experimental'!B184/'Modelos normativos'!AC184)/200000</f>
        <v>0.11056076043102</v>
      </c>
      <c r="Q184" s="4" t="e">
        <f aca="false">L184/H184</f>
        <v>#REF!</v>
      </c>
      <c r="R184" s="4" t="e">
        <f aca="false">(-0.042-0.014*'Com TS variável MC2020'!Q193)*('Modelos normativos'!AP184-ABS('Modelos Propostos'!K184)-'Dataset experimental'!W184+COS(S184))</f>
        <v>#REF!</v>
      </c>
      <c r="S184" s="4" t="e">
        <f aca="false">'Dataset experimental'!O184-('Modelos normativos'!AQ184-SIN(0.083/('Dataset experimental'!M184-'Dataset experimental'!O184))-'Modelos empíricos'!I184)/0.646</f>
        <v>#REF!</v>
      </c>
      <c r="W184" s="4" t="e">
        <f aca="false">'Modelos normativos'!S184+'Avaliação do resultado ML'!A184</f>
        <v>#REF!</v>
      </c>
      <c r="X184" s="4" t="e">
        <f aca="false">W184/'Dataset experimental'!$AF184</f>
        <v>#REF!</v>
      </c>
      <c r="AJ184" s="4" t="e">
        <f aca="false">'Modelos Propostos'!B184+H184</f>
        <v>#REF!</v>
      </c>
      <c r="AK184" s="4" t="e">
        <f aca="false">AJ184/'Dataset experimental'!$AF184</f>
        <v>#REF!</v>
      </c>
      <c r="AV184" s="4" t="e">
        <f aca="false">'Modelos normativos'!S184+F184</f>
        <v>#REF!</v>
      </c>
      <c r="AW184" s="4" t="e">
        <f aca="false">AV184/'Dataset experimental'!$AF184</f>
        <v>#REF!</v>
      </c>
      <c r="BH184" s="4" t="e">
        <f aca="false">'Modelos Propostos'!B184+R184</f>
        <v>#REF!</v>
      </c>
      <c r="BI184" s="4" t="e">
        <f aca="false">BH184/'Dataset experimental'!$AF184</f>
        <v>#REF!</v>
      </c>
      <c r="BT184" s="4" t="n">
        <f aca="false">'Modelos Propostos'!B184+L184</f>
        <v>0.276919136265192</v>
      </c>
      <c r="BU184" s="4" t="n">
        <f aca="false">BT184/'Dataset experimental'!$AF184</f>
        <v>1.53843964591773</v>
      </c>
    </row>
    <row r="185" customFormat="false" ht="14.25" hidden="false" customHeight="false" outlineLevel="0" collapsed="false">
      <c r="A185" s="4" t="e">
        <f aca="false">0.0894*ABS(D185)-0.01603*E185</f>
        <v>#REF!</v>
      </c>
      <c r="B185" s="12" t="e">
        <f aca="false">'Dataset experimental'!K185*COS('Dataset experimental'!AC185)-'Dataset experimental'!M185-'Dataset experimental'!C185</f>
        <v>#REF!</v>
      </c>
      <c r="C185" s="12" t="e">
        <f aca="false">('Dataset experimental'!AE185+SIN('Avaliação do resultado ML'!B185))*0.70674187</f>
        <v>#REF!</v>
      </c>
      <c r="D185" s="12" t="e">
        <f aca="false">'Modelos Propostos'!E185+'Avaliação do resultado ML'!C185-'Modelos normativos'!AQ185</f>
        <v>#REF!</v>
      </c>
      <c r="E185" s="12" t="n">
        <f aca="false">'Modelos empíricos'!I185+1.1854</f>
        <v>2.07333117971555</v>
      </c>
      <c r="F185" s="4" t="e">
        <f aca="false">-0.01753*('Modelos normativos'!AN185-'Dataset experimental'!C185-ABS(G185)-('Modelos Propostos'!E185-'Modelos normativos'!AP185)/0.25291)</f>
        <v>#REF!</v>
      </c>
      <c r="G185" s="4" t="e">
        <f aca="false">'Dataset experimental'!K185+'Modelos empíricos'!K185^2+('Modelos Propostos'!E185-'Modelos normativos'!AQ185)*4.10553</f>
        <v>#REF!</v>
      </c>
      <c r="H185" s="4" t="e">
        <f aca="false">0.03283*(J185+K185)</f>
        <v>#REF!</v>
      </c>
      <c r="I185" s="4" t="e">
        <f aca="false">(1.61428/'Dataset experimental'!Q185)^3</f>
        <v>#REF!</v>
      </c>
      <c r="J185" s="4" t="e">
        <f aca="false">SIN('Dataset experimental'!E185)+1.450178*(SIN('Avaliação do resultado ML'!I185)+'Dataset experimental'!C185)</f>
        <v>#REF!</v>
      </c>
      <c r="K185" s="4" t="e">
        <f aca="false">('Modelos empíricos'!C185-'Dataset experimental'!G185)*'Dataset experimental'!AE185-'Modelos normativos'!AP185</f>
        <v>#REF!</v>
      </c>
      <c r="L185" s="4" t="n">
        <f aca="false">0.0076*'Dataset experimental'!B185+'Avaliação do resultado ML'!M185+'Avaliação do resultado ML'!N185+(-0.0328)*(0.0171*'Dataset experimental'!AD185-0.9442)*'Avaliação do resultado ML'!O185-'Avaliação do resultado ML'!P185-0.0364</f>
        <v>-0.119492880443899</v>
      </c>
      <c r="M185" s="12" t="n">
        <f aca="false">0.03283*SIN(0.7328*'Dataset experimental'!D185-1.8266)</f>
        <v>-0.0291654482027489</v>
      </c>
      <c r="N185" s="12" t="n">
        <f aca="false">0.0476*SIN(4.2067/(0.0095*'Dataset experimental'!P185-1.9338)^3)</f>
        <v>0.0455515796827476</v>
      </c>
      <c r="O185" s="12" t="n">
        <f aca="false">0.0214*'Dataset experimental'!F185-3.1067*'Dataset experimental'!B185*'Dataset experimental'!P185*('Dataset experimental'!T185-'Dataset experimental'!R185)*(0.39*'Dataset experimental'!P185*'Dataset experimental'!T185/'Dataset experimental'!V185-'Dataset experimental'!Z185+3.12)/(100000*'Dataset experimental'!V185)+0.7995</f>
        <v>-2.17187905703263</v>
      </c>
      <c r="P185" s="12" t="n">
        <f aca="false">0.4461*('Dataset experimental'!Z185-0.6*'Modelos normativos'!AB185)*(3.4*'Dataset experimental'!L185+0.17*'Dataset experimental'!B185/'Modelos normativos'!AC185)/200000</f>
        <v>0.118522102204372</v>
      </c>
      <c r="Q185" s="4" t="e">
        <f aca="false">L185/H185</f>
        <v>#REF!</v>
      </c>
      <c r="R185" s="4" t="e">
        <f aca="false">(-0.042-0.014*'Com TS variável MC2020'!Q194)*('Modelos normativos'!AP185-ABS('Modelos Propostos'!K185)-'Dataset experimental'!W185+COS(S185))</f>
        <v>#REF!</v>
      </c>
      <c r="S185" s="4" t="e">
        <f aca="false">'Dataset experimental'!O185-('Modelos normativos'!AQ185-SIN(0.083/('Dataset experimental'!M185-'Dataset experimental'!O185))-'Modelos empíricos'!I185)/0.646</f>
        <v>#REF!</v>
      </c>
      <c r="W185" s="4" t="e">
        <f aca="false">'Modelos normativos'!S185+'Avaliação do resultado ML'!A185</f>
        <v>#REF!</v>
      </c>
      <c r="X185" s="4" t="e">
        <f aca="false">W185/'Dataset experimental'!$AF185</f>
        <v>#REF!</v>
      </c>
      <c r="AJ185" s="4" t="e">
        <f aca="false">'Modelos Propostos'!B185+H185</f>
        <v>#REF!</v>
      </c>
      <c r="AK185" s="4" t="e">
        <f aca="false">AJ185/'Dataset experimental'!$AF185</f>
        <v>#REF!</v>
      </c>
      <c r="AV185" s="4" t="e">
        <f aca="false">'Modelos normativos'!S185+F185</f>
        <v>#REF!</v>
      </c>
      <c r="AW185" s="4" t="e">
        <f aca="false">AV185/'Dataset experimental'!$AF185</f>
        <v>#REF!</v>
      </c>
      <c r="BH185" s="4" t="e">
        <f aca="false">'Modelos Propostos'!B185+R185</f>
        <v>#REF!</v>
      </c>
      <c r="BI185" s="4" t="e">
        <f aca="false">BH185/'Dataset experimental'!$AF185</f>
        <v>#REF!</v>
      </c>
      <c r="BT185" s="4" t="n">
        <f aca="false">'Modelos Propostos'!B185+L185</f>
        <v>0.290450740047665</v>
      </c>
      <c r="BU185" s="4" t="n">
        <f aca="false">BT185/'Dataset experimental'!$AF185</f>
        <v>1.52868810551403</v>
      </c>
    </row>
    <row r="186" customFormat="false" ht="14.25" hidden="false" customHeight="false" outlineLevel="0" collapsed="false">
      <c r="A186" s="4" t="e">
        <f aca="false">0.0894*ABS(D186)-0.01603*E186</f>
        <v>#REF!</v>
      </c>
      <c r="B186" s="12" t="e">
        <f aca="false">'Dataset experimental'!K186*COS('Dataset experimental'!AC186)-'Dataset experimental'!M186-'Dataset experimental'!C186</f>
        <v>#REF!</v>
      </c>
      <c r="C186" s="12" t="e">
        <f aca="false">('Dataset experimental'!AE186+SIN('Avaliação do resultado ML'!B186))*0.70674187</f>
        <v>#REF!</v>
      </c>
      <c r="D186" s="12" t="e">
        <f aca="false">'Modelos Propostos'!E186+'Avaliação do resultado ML'!C186-'Modelos normativos'!AQ186</f>
        <v>#REF!</v>
      </c>
      <c r="E186" s="12" t="n">
        <f aca="false">'Modelos empíricos'!I186+1.1854</f>
        <v>2.20505254240016</v>
      </c>
      <c r="F186" s="4" t="e">
        <f aca="false">-0.01753*('Modelos normativos'!AN186-'Dataset experimental'!C186-ABS(G186)-('Modelos Propostos'!E186-'Modelos normativos'!AP186)/0.25291)</f>
        <v>#REF!</v>
      </c>
      <c r="G186" s="4" t="e">
        <f aca="false">'Dataset experimental'!K186+'Modelos empíricos'!K186^2+('Modelos Propostos'!E186-'Modelos normativos'!AQ186)*4.10553</f>
        <v>#REF!</v>
      </c>
      <c r="H186" s="4" t="e">
        <f aca="false">0.03283*(J186+K186)</f>
        <v>#REF!</v>
      </c>
      <c r="I186" s="4" t="e">
        <f aca="false">(1.61428/'Dataset experimental'!Q186)^3</f>
        <v>#REF!</v>
      </c>
      <c r="J186" s="4" t="e">
        <f aca="false">SIN('Dataset experimental'!E186)+1.450178*(SIN('Avaliação do resultado ML'!I186)+'Dataset experimental'!C186)</f>
        <v>#REF!</v>
      </c>
      <c r="K186" s="4" t="e">
        <f aca="false">('Modelos empíricos'!C186-'Dataset experimental'!G186)*'Dataset experimental'!AE186-'Modelos normativos'!AP186</f>
        <v>#REF!</v>
      </c>
      <c r="L186" s="4" t="n">
        <f aca="false">0.0076*'Dataset experimental'!B186+'Avaliação do resultado ML'!M186+'Avaliação do resultado ML'!N186+(-0.0328)*(0.0171*'Dataset experimental'!AD186-0.9442)*'Avaliação do resultado ML'!O186-'Avaliação do resultado ML'!P186-0.0364</f>
        <v>-0.132997616978706</v>
      </c>
      <c r="M186" s="12" t="n">
        <f aca="false">0.03283*SIN(0.7328*'Dataset experimental'!D186-1.8266)</f>
        <v>-0.0291654482027489</v>
      </c>
      <c r="N186" s="12" t="n">
        <f aca="false">0.0476*SIN(4.2067/(0.0095*'Dataset experimental'!P186-1.9338)^3)</f>
        <v>0.0455515796827476</v>
      </c>
      <c r="O186" s="12" t="n">
        <f aca="false">0.0214*'Dataset experimental'!F186-3.1067*'Dataset experimental'!B186*'Dataset experimental'!P186*('Dataset experimental'!T186-'Dataset experimental'!R186)*(0.39*'Dataset experimental'!P186*'Dataset experimental'!T186/'Dataset experimental'!V186-'Dataset experimental'!Z186+3.12)/(100000*'Dataset experimental'!V186)+0.7995</f>
        <v>-2.36953076600053</v>
      </c>
      <c r="P186" s="12" t="n">
        <f aca="false">0.4461*('Dataset experimental'!Z186-0.6*'Modelos normativos'!AB186)*(3.4*'Dataset experimental'!L186+0.17*'Dataset experimental'!B186/'Modelos normativos'!AC186)/200000</f>
        <v>0.127175734566712</v>
      </c>
      <c r="Q186" s="4" t="e">
        <f aca="false">L186/H186</f>
        <v>#REF!</v>
      </c>
      <c r="R186" s="4" t="e">
        <f aca="false">(-0.042-0.014*'Com TS variável MC2020'!Q195)*('Modelos normativos'!AP186-ABS('Modelos Propostos'!K186)-'Dataset experimental'!W186+COS(S186))</f>
        <v>#REF!</v>
      </c>
      <c r="S186" s="4" t="e">
        <f aca="false">'Dataset experimental'!O186-('Modelos normativos'!AQ186-SIN(0.083/('Dataset experimental'!M186-'Dataset experimental'!O186))-'Modelos empíricos'!I186)/0.646</f>
        <v>#REF!</v>
      </c>
      <c r="W186" s="4" t="e">
        <f aca="false">'Modelos normativos'!S186+'Avaliação do resultado ML'!A186</f>
        <v>#REF!</v>
      </c>
      <c r="X186" s="4" t="e">
        <f aca="false">W186/'Dataset experimental'!$AF186</f>
        <v>#REF!</v>
      </c>
      <c r="AJ186" s="4" t="e">
        <f aca="false">'Modelos Propostos'!B186+H186</f>
        <v>#REF!</v>
      </c>
      <c r="AK186" s="4" t="e">
        <f aca="false">AJ186/'Dataset experimental'!$AF186</f>
        <v>#REF!</v>
      </c>
      <c r="AV186" s="4" t="e">
        <f aca="false">'Modelos normativos'!S186+F186</f>
        <v>#REF!</v>
      </c>
      <c r="AW186" s="4" t="e">
        <f aca="false">AV186/'Dataset experimental'!$AF186</f>
        <v>#REF!</v>
      </c>
      <c r="BH186" s="4" t="e">
        <f aca="false">'Modelos Propostos'!B186+R186</f>
        <v>#REF!</v>
      </c>
      <c r="BI186" s="4" t="e">
        <f aca="false">BH186/'Dataset experimental'!$AF186</f>
        <v>#REF!</v>
      </c>
      <c r="BT186" s="4" t="n">
        <f aca="false">'Modelos Propostos'!B186+L186</f>
        <v>0.305212217296066</v>
      </c>
      <c r="BU186" s="4" t="n">
        <f aca="false">BT186/'Dataset experimental'!$AF186</f>
        <v>1.52606108648033</v>
      </c>
    </row>
    <row r="187" customFormat="false" ht="14.25" hidden="false" customHeight="false" outlineLevel="0" collapsed="false">
      <c r="A187" s="4" t="e">
        <f aca="false">0.0894*ABS(D187)-0.01603*E187</f>
        <v>#REF!</v>
      </c>
      <c r="B187" s="12" t="e">
        <f aca="false">'Dataset experimental'!K187*COS('Dataset experimental'!AC187)-'Dataset experimental'!M187-'Dataset experimental'!C187</f>
        <v>#REF!</v>
      </c>
      <c r="C187" s="12" t="e">
        <f aca="false">('Dataset experimental'!AE187+SIN('Avaliação do resultado ML'!B187))*0.70674187</f>
        <v>#REF!</v>
      </c>
      <c r="D187" s="12" t="e">
        <f aca="false">'Modelos Propostos'!E187+'Avaliação do resultado ML'!C187-'Modelos normativos'!AQ187</f>
        <v>#REF!</v>
      </c>
      <c r="E187" s="12" t="n">
        <f aca="false">'Modelos empíricos'!I187+1.1854</f>
        <v>2.37892474114384</v>
      </c>
      <c r="F187" s="4" t="e">
        <f aca="false">-0.01753*('Modelos normativos'!AN187-'Dataset experimental'!C187-ABS(G187)-('Modelos Propostos'!E187-'Modelos normativos'!AP187)/0.25291)</f>
        <v>#REF!</v>
      </c>
      <c r="G187" s="4" t="e">
        <f aca="false">'Dataset experimental'!K187+'Modelos empíricos'!K187^2+('Modelos Propostos'!E187-'Modelos normativos'!AQ187)*4.10553</f>
        <v>#REF!</v>
      </c>
      <c r="H187" s="4" t="e">
        <f aca="false">0.03283*(J187+K187)</f>
        <v>#REF!</v>
      </c>
      <c r="I187" s="4" t="e">
        <f aca="false">(1.61428/'Dataset experimental'!Q187)^3</f>
        <v>#REF!</v>
      </c>
      <c r="J187" s="4" t="e">
        <f aca="false">SIN('Dataset experimental'!E187)+1.450178*(SIN('Avaliação do resultado ML'!I187)+'Dataset experimental'!C187)</f>
        <v>#REF!</v>
      </c>
      <c r="K187" s="4" t="e">
        <f aca="false">('Modelos empíricos'!C187-'Dataset experimental'!G187)*'Dataset experimental'!AE187-'Modelos normativos'!AP187</f>
        <v>#REF!</v>
      </c>
      <c r="L187" s="4" t="n">
        <f aca="false">0.0076*'Dataset experimental'!B187+'Avaliação do resultado ML'!M187+'Avaliação do resultado ML'!N187+(-0.0328)*(0.0171*'Dataset experimental'!AD187-0.9442)*'Avaliação do resultado ML'!O187-'Avaliação do resultado ML'!P187-0.0364</f>
        <v>-0.150738995638065</v>
      </c>
      <c r="M187" s="12" t="n">
        <f aca="false">0.03283*SIN(0.7328*'Dataset experimental'!D187-1.8266)</f>
        <v>-0.0291654482027489</v>
      </c>
      <c r="N187" s="12" t="n">
        <f aca="false">0.0476*SIN(4.2067/(0.0095*'Dataset experimental'!P187-1.9338)^3)</f>
        <v>0.0455515796827476</v>
      </c>
      <c r="O187" s="12" t="n">
        <f aca="false">0.0214*'Dataset experimental'!F187-3.1067*'Dataset experimental'!B187*'Dataset experimental'!P187*('Dataset experimental'!T187-'Dataset experimental'!R187)*(0.39*'Dataset experimental'!P187*'Dataset experimental'!T187/'Dataset experimental'!V187-'Dataset experimental'!Z187+3.12)/(100000*'Dataset experimental'!V187)+0.7995</f>
        <v>-2.63043102183816</v>
      </c>
      <c r="P187" s="12" t="n">
        <f aca="false">0.4461*('Dataset experimental'!Z187-0.6*'Modelos normativos'!AB187)*(3.4*'Dataset experimental'!L187+0.17*'Dataset experimental'!B187/'Modelos normativos'!AC187)/200000</f>
        <v>0.138598529285</v>
      </c>
      <c r="Q187" s="4" t="e">
        <f aca="false">L187/H187</f>
        <v>#REF!</v>
      </c>
      <c r="R187" s="4" t="e">
        <f aca="false">(-0.042-0.014*'Com TS variável MC2020'!Q196)*('Modelos normativos'!AP187-ABS('Modelos Propostos'!K187)-'Dataset experimental'!W187+COS(S187))</f>
        <v>#REF!</v>
      </c>
      <c r="S187" s="4" t="e">
        <f aca="false">'Dataset experimental'!O187-('Modelos normativos'!AQ187-SIN(0.083/('Dataset experimental'!M187-'Dataset experimental'!O187))-'Modelos empíricos'!I187)/0.646</f>
        <v>#REF!</v>
      </c>
      <c r="W187" s="4" t="e">
        <f aca="false">'Modelos normativos'!S187+'Avaliação do resultado ML'!A187</f>
        <v>#REF!</v>
      </c>
      <c r="X187" s="4" t="e">
        <f aca="false">W187/'Dataset experimental'!$AF187</f>
        <v>#REF!</v>
      </c>
      <c r="AJ187" s="4" t="e">
        <f aca="false">'Modelos Propostos'!B187+H187</f>
        <v>#REF!</v>
      </c>
      <c r="AK187" s="4" t="e">
        <f aca="false">AJ187/'Dataset experimental'!$AF187</f>
        <v>#REF!</v>
      </c>
      <c r="AV187" s="4" t="e">
        <f aca="false">'Modelos normativos'!S187+F187</f>
        <v>#REF!</v>
      </c>
      <c r="AW187" s="4" t="e">
        <f aca="false">AV187/'Dataset experimental'!$AF187</f>
        <v>#REF!</v>
      </c>
      <c r="BH187" s="4" t="e">
        <f aca="false">'Modelos Propostos'!B187+R187</f>
        <v>#REF!</v>
      </c>
      <c r="BI187" s="4" t="e">
        <f aca="false">BH187/'Dataset experimental'!$AF187</f>
        <v>#REF!</v>
      </c>
      <c r="BT187" s="4" t="n">
        <f aca="false">'Modelos Propostos'!B187+L187</f>
        <v>0.324782240830542</v>
      </c>
      <c r="BU187" s="4" t="n">
        <f aca="false">BT187/'Dataset experimental'!$AF187</f>
        <v>1.4762829128661</v>
      </c>
    </row>
    <row r="188" customFormat="false" ht="14.25" hidden="false" customHeight="false" outlineLevel="0" collapsed="false">
      <c r="A188" s="4" t="e">
        <f aca="false">0.0894*ABS(D188)-0.01603*E188</f>
        <v>#REF!</v>
      </c>
      <c r="B188" s="12" t="e">
        <f aca="false">'Dataset experimental'!K188*COS('Dataset experimental'!AC188)-'Dataset experimental'!M188-'Dataset experimental'!C188</f>
        <v>#REF!</v>
      </c>
      <c r="C188" s="12" t="e">
        <f aca="false">('Dataset experimental'!AE188+SIN('Avaliação do resultado ML'!B188))*0.70674187</f>
        <v>#REF!</v>
      </c>
      <c r="D188" s="12" t="e">
        <f aca="false">'Modelos Propostos'!E188+'Avaliação do resultado ML'!C188-'Modelos normativos'!AQ188</f>
        <v>#REF!</v>
      </c>
      <c r="E188" s="12" t="n">
        <f aca="false">'Modelos empíricos'!I188+1.1854</f>
        <v>1.04366324170297</v>
      </c>
      <c r="F188" s="4" t="e">
        <f aca="false">-0.01753*('Modelos normativos'!AN188-'Dataset experimental'!C188-ABS(G188)-('Modelos Propostos'!E188-'Modelos normativos'!AP188)/0.25291)</f>
        <v>#REF!</v>
      </c>
      <c r="G188" s="4" t="e">
        <f aca="false">'Dataset experimental'!K188+'Modelos empíricos'!K188^2+('Modelos Propostos'!E188-'Modelos normativos'!AQ188)*4.10553</f>
        <v>#REF!</v>
      </c>
      <c r="H188" s="4" t="e">
        <f aca="false">0.03283*(J188+K188)</f>
        <v>#REF!</v>
      </c>
      <c r="I188" s="4" t="e">
        <f aca="false">(1.61428/'Dataset experimental'!Q188)^3</f>
        <v>#REF!</v>
      </c>
      <c r="J188" s="4" t="e">
        <f aca="false">SIN('Dataset experimental'!E188)+1.450178*(SIN('Avaliação do resultado ML'!I188)+'Dataset experimental'!C188)</f>
        <v>#REF!</v>
      </c>
      <c r="K188" s="4" t="e">
        <f aca="false">('Modelos empíricos'!C188-'Dataset experimental'!G188)*'Dataset experimental'!AE188-'Modelos normativos'!AP188</f>
        <v>#REF!</v>
      </c>
      <c r="L188" s="4" t="n">
        <f aca="false">0.0076*'Dataset experimental'!B188+'Avaliação do resultado ML'!M188+'Avaliação do resultado ML'!N188+(-0.0328)*(0.0171*'Dataset experimental'!AD188-0.9442)*'Avaliação do resultado ML'!O188-'Avaliação do resultado ML'!P188-0.0364</f>
        <v>0.0436214602467625</v>
      </c>
      <c r="M188" s="12" t="n">
        <f aca="false">0.03283*SIN(0.7328*'Dataset experimental'!D188-1.8266)</f>
        <v>-0.0291654482027489</v>
      </c>
      <c r="N188" s="12" t="n">
        <f aca="false">0.0476*SIN(4.2067/(0.0095*'Dataset experimental'!P188-1.9338)^3)</f>
        <v>0.0455515796827476</v>
      </c>
      <c r="O188" s="12" t="n">
        <f aca="false">0.0214*'Dataset experimental'!F188-3.1067*'Dataset experimental'!B188*'Dataset experimental'!P188*('Dataset experimental'!T188-'Dataset experimental'!R188)*(0.39*'Dataset experimental'!P188*'Dataset experimental'!T188/'Dataset experimental'!V188-'Dataset experimental'!Z188+3.12)/(100000*'Dataset experimental'!V188)+0.7995</f>
        <v>-0.165851026684923</v>
      </c>
      <c r="P188" s="12" t="n">
        <f aca="false">0.4461*('Dataset experimental'!Z188-0.6*'Modelos normativos'!AB188)*(3.4*'Dataset experimental'!L188+0.17*'Dataset experimental'!B188/'Modelos normativos'!AC188)/200000</f>
        <v>0.0849938722436674</v>
      </c>
      <c r="Q188" s="4" t="e">
        <f aca="false">L188/H188</f>
        <v>#REF!</v>
      </c>
      <c r="R188" s="4" t="e">
        <f aca="false">(-0.042-0.014*'Com TS variável MC2020'!Q197)*('Modelos normativos'!AP188-ABS('Modelos Propostos'!K188)-'Dataset experimental'!W188+COS(S188))</f>
        <v>#REF!</v>
      </c>
      <c r="S188" s="4" t="e">
        <f aca="false">'Dataset experimental'!O188-('Modelos normativos'!AQ188-SIN(0.083/('Dataset experimental'!M188-'Dataset experimental'!O188))-'Modelos empíricos'!I188)/0.646</f>
        <v>#REF!</v>
      </c>
      <c r="W188" s="4" t="e">
        <f aca="false">'Modelos normativos'!S188+'Avaliação do resultado ML'!A188</f>
        <v>#REF!</v>
      </c>
      <c r="X188" s="4" t="e">
        <f aca="false">W188/'Dataset experimental'!$AF188</f>
        <v>#REF!</v>
      </c>
      <c r="AJ188" s="4" t="e">
        <f aca="false">'Modelos Propostos'!B188+H188</f>
        <v>#REF!</v>
      </c>
      <c r="AK188" s="4" t="e">
        <f aca="false">AJ188/'Dataset experimental'!$AF188</f>
        <v>#REF!</v>
      </c>
      <c r="AV188" s="4" t="e">
        <f aca="false">'Modelos normativos'!S188+F188</f>
        <v>#REF!</v>
      </c>
      <c r="AW188" s="4" t="e">
        <f aca="false">AV188/'Dataset experimental'!$AF188</f>
        <v>#REF!</v>
      </c>
      <c r="BH188" s="4" t="e">
        <f aca="false">'Modelos Propostos'!B188+R188</f>
        <v>#REF!</v>
      </c>
      <c r="BI188" s="4" t="e">
        <f aca="false">BH188/'Dataset experimental'!$AF188</f>
        <v>#REF!</v>
      </c>
      <c r="BT188" s="4" t="n">
        <f aca="false">'Modelos Propostos'!B188+L188</f>
        <v>0.21259369622718</v>
      </c>
      <c r="BU188" s="4" t="n">
        <f aca="false">BT188/'Dataset experimental'!$AF188</f>
        <v>1.32871060141987</v>
      </c>
    </row>
    <row r="189" customFormat="false" ht="14.25" hidden="false" customHeight="false" outlineLevel="0" collapsed="false">
      <c r="A189" s="4" t="e">
        <f aca="false">0.0894*ABS(D189)-0.01603*E189</f>
        <v>#REF!</v>
      </c>
      <c r="B189" s="12" t="e">
        <f aca="false">'Dataset experimental'!K189*COS('Dataset experimental'!AC189)-'Dataset experimental'!M189-'Dataset experimental'!C189</f>
        <v>#REF!</v>
      </c>
      <c r="C189" s="12" t="e">
        <f aca="false">('Dataset experimental'!AE189+SIN('Avaliação do resultado ML'!B189))*0.70674187</f>
        <v>#REF!</v>
      </c>
      <c r="D189" s="12" t="e">
        <f aca="false">'Modelos Propostos'!E189+'Avaliação do resultado ML'!C189-'Modelos normativos'!AQ189</f>
        <v>#REF!</v>
      </c>
      <c r="E189" s="12" t="n">
        <f aca="false">'Modelos empíricos'!I189+1.1854</f>
        <v>1.60201750191073</v>
      </c>
      <c r="F189" s="4" t="e">
        <f aca="false">-0.01753*('Modelos normativos'!AN189-'Dataset experimental'!C189-ABS(G189)-('Modelos Propostos'!E189-'Modelos normativos'!AP189)/0.25291)</f>
        <v>#REF!</v>
      </c>
      <c r="G189" s="4" t="e">
        <f aca="false">'Dataset experimental'!K189+'Modelos empíricos'!K189^2+('Modelos Propostos'!E189-'Modelos normativos'!AQ189)*4.10553</f>
        <v>#REF!</v>
      </c>
      <c r="H189" s="4" t="e">
        <f aca="false">0.03283*(J189+K189)</f>
        <v>#REF!</v>
      </c>
      <c r="I189" s="4" t="e">
        <f aca="false">(1.61428/'Dataset experimental'!Q189)^3</f>
        <v>#REF!</v>
      </c>
      <c r="J189" s="4" t="e">
        <f aca="false">SIN('Dataset experimental'!E189)+1.450178*(SIN('Avaliação do resultado ML'!I189)+'Dataset experimental'!C189)</f>
        <v>#REF!</v>
      </c>
      <c r="K189" s="4" t="e">
        <f aca="false">('Modelos empíricos'!C189-'Dataset experimental'!G189)*'Dataset experimental'!AE189-'Modelos normativos'!AP189</f>
        <v>#REF!</v>
      </c>
      <c r="L189" s="4" t="n">
        <f aca="false">0.0076*'Dataset experimental'!B189+'Avaliação do resultado ML'!M189+'Avaliação do resultado ML'!N189+(-0.0328)*(0.0171*'Dataset experimental'!AD189-0.9442)*'Avaliação do resultado ML'!O189-'Avaliação do resultado ML'!P189-0.0364</f>
        <v>0.0197375540787257</v>
      </c>
      <c r="M189" s="12" t="n">
        <f aca="false">0.03283*SIN(0.7328*'Dataset experimental'!D189-1.8266)</f>
        <v>-0.0291654482027489</v>
      </c>
      <c r="N189" s="12" t="n">
        <f aca="false">0.0476*SIN(4.2067/(0.0095*'Dataset experimental'!P189-1.9338)^3)</f>
        <v>0.0455515796827476</v>
      </c>
      <c r="O189" s="12" t="n">
        <f aca="false">0.0214*'Dataset experimental'!F189-3.1067*'Dataset experimental'!B189*'Dataset experimental'!P189*('Dataset experimental'!T189-'Dataset experimental'!R189)*(0.39*'Dataset experimental'!P189*'Dataset experimental'!T189/'Dataset experimental'!V189-'Dataset experimental'!Z189+3.12)/(100000*'Dataset experimental'!V189)+0.7995</f>
        <v>-0.510656764636287</v>
      </c>
      <c r="P189" s="12" t="n">
        <f aca="false">0.4461*('Dataset experimental'!Z189-0.6*'Modelos normativos'!AB189)*(3.4*'Dataset experimental'!L189+0.17*'Dataset experimental'!B189/'Modelos normativos'!AC189)/200000</f>
        <v>0.102714788411763</v>
      </c>
      <c r="Q189" s="4" t="e">
        <f aca="false">L189/H189</f>
        <v>#REF!</v>
      </c>
      <c r="R189" s="4" t="e">
        <f aca="false">(-0.042-0.014*'Com TS variável MC2020'!Q198)*('Modelos normativos'!AP189-ABS('Modelos Propostos'!K189)-'Dataset experimental'!W189+COS(S189))</f>
        <v>#REF!</v>
      </c>
      <c r="S189" s="4" t="e">
        <f aca="false">'Dataset experimental'!O189-('Modelos normativos'!AQ189-SIN(0.083/('Dataset experimental'!M189-'Dataset experimental'!O189))-'Modelos empíricos'!I189)/0.646</f>
        <v>#REF!</v>
      </c>
      <c r="W189" s="4" t="e">
        <f aca="false">'Modelos normativos'!S189+'Avaliação do resultado ML'!A189</f>
        <v>#REF!</v>
      </c>
      <c r="X189" s="4" t="e">
        <f aca="false">W189/'Dataset experimental'!$AF189</f>
        <v>#REF!</v>
      </c>
      <c r="AJ189" s="4" t="e">
        <f aca="false">'Modelos Propostos'!B189+H189</f>
        <v>#REF!</v>
      </c>
      <c r="AK189" s="4" t="e">
        <f aca="false">AJ189/'Dataset experimental'!$AF189</f>
        <v>#REF!</v>
      </c>
      <c r="AV189" s="4" t="e">
        <f aca="false">'Modelos normativos'!S189+F189</f>
        <v>#REF!</v>
      </c>
      <c r="AW189" s="4" t="e">
        <f aca="false">AV189/'Dataset experimental'!$AF189</f>
        <v>#REF!</v>
      </c>
      <c r="BH189" s="4" t="e">
        <f aca="false">'Modelos Propostos'!B189+R189</f>
        <v>#REF!</v>
      </c>
      <c r="BI189" s="4" t="e">
        <f aca="false">BH189/'Dataset experimental'!$AF189</f>
        <v>#REF!</v>
      </c>
      <c r="BT189" s="4" t="n">
        <f aca="false">'Modelos Propostos'!B189+L189</f>
        <v>0.244195455838894</v>
      </c>
      <c r="BU189" s="4" t="n">
        <f aca="false">BT189/'Dataset experimental'!$AF189</f>
        <v>1.22097727919447</v>
      </c>
    </row>
    <row r="190" customFormat="false" ht="14.25" hidden="false" customHeight="false" outlineLevel="0" collapsed="false">
      <c r="A190" s="4" t="e">
        <f aca="false">0.0894*ABS(D190)-0.01603*E190</f>
        <v>#REF!</v>
      </c>
      <c r="B190" s="12" t="e">
        <f aca="false">'Dataset experimental'!K190*COS('Dataset experimental'!AC190)-'Dataset experimental'!M190-'Dataset experimental'!C190</f>
        <v>#REF!</v>
      </c>
      <c r="C190" s="12" t="e">
        <f aca="false">('Dataset experimental'!AE190+SIN('Avaliação do resultado ML'!B190))*0.70674187</f>
        <v>#REF!</v>
      </c>
      <c r="D190" s="12" t="e">
        <f aca="false">'Modelos Propostos'!E190+'Avaliação do resultado ML'!C190-'Modelos normativos'!AQ190</f>
        <v>#REF!</v>
      </c>
      <c r="E190" s="12" t="n">
        <f aca="false">'Modelos empíricos'!I190+1.1854</f>
        <v>2.15847903581271</v>
      </c>
      <c r="F190" s="4" t="e">
        <f aca="false">-0.01753*('Modelos normativos'!AN190-'Dataset experimental'!C190-ABS(G190)-('Modelos Propostos'!E190-'Modelos normativos'!AP190)/0.25291)</f>
        <v>#REF!</v>
      </c>
      <c r="G190" s="4" t="e">
        <f aca="false">'Dataset experimental'!K190+'Modelos empíricos'!K190^2+('Modelos Propostos'!E190-'Modelos normativos'!AQ190)*4.10553</f>
        <v>#REF!</v>
      </c>
      <c r="H190" s="4" t="e">
        <f aca="false">0.03283*(J190+K190)</f>
        <v>#REF!</v>
      </c>
      <c r="I190" s="4" t="e">
        <f aca="false">(1.61428/'Dataset experimental'!Q190)^3</f>
        <v>#REF!</v>
      </c>
      <c r="J190" s="4" t="e">
        <f aca="false">SIN('Dataset experimental'!E190)+1.450178*(SIN('Avaliação do resultado ML'!I190)+'Dataset experimental'!C190)</f>
        <v>#REF!</v>
      </c>
      <c r="K190" s="4" t="e">
        <f aca="false">('Modelos empíricos'!C190-'Dataset experimental'!G190)*'Dataset experimental'!AE190-'Modelos normativos'!AP190</f>
        <v>#REF!</v>
      </c>
      <c r="L190" s="4" t="n">
        <f aca="false">0.0076*'Dataset experimental'!B190+'Avaliação do resultado ML'!M190+'Avaliação do resultado ML'!N190+(-0.0328)*(0.0171*'Dataset experimental'!AD190-0.9442)*'Avaliação do resultado ML'!O190-'Avaliação do resultado ML'!P190-0.0364</f>
        <v>-0.00293015658945699</v>
      </c>
      <c r="M190" s="12" t="n">
        <f aca="false">0.03283*SIN(0.7328*'Dataset experimental'!D190-1.8266)</f>
        <v>-0.0291654482027489</v>
      </c>
      <c r="N190" s="12" t="n">
        <f aca="false">0.0476*SIN(4.2067/(0.0095*'Dataset experimental'!P190-1.9338)^3)</f>
        <v>0.0455515796827476</v>
      </c>
      <c r="O190" s="12" t="n">
        <f aca="false">0.0214*'Dataset experimental'!F190-3.1067*'Dataset experimental'!B190*'Dataset experimental'!P190*('Dataset experimental'!T190-'Dataset experimental'!R190)*(0.39*'Dataset experimental'!P190*'Dataset experimental'!T190/'Dataset experimental'!V190-'Dataset experimental'!Z190+3.12)/(100000*'Dataset experimental'!V190)+0.7995</f>
        <v>-0.854293669577647</v>
      </c>
      <c r="P190" s="12" t="n">
        <f aca="false">0.4461*('Dataset experimental'!Z190-0.6*'Modelos normativos'!AB190)*(3.4*'Dataset experimental'!L190+0.17*'Dataset experimental'!B190/'Modelos normativos'!AC190)/200000</f>
        <v>0.120375633677593</v>
      </c>
      <c r="Q190" s="4" t="e">
        <f aca="false">L190/H190</f>
        <v>#REF!</v>
      </c>
      <c r="R190" s="4" t="e">
        <f aca="false">(-0.042-0.014*'Com TS variável MC2020'!Q199)*('Modelos normativos'!AP190-ABS('Modelos Propostos'!K190)-'Dataset experimental'!W190+COS(S190))</f>
        <v>#REF!</v>
      </c>
      <c r="S190" s="4" t="e">
        <f aca="false">'Dataset experimental'!O190-('Modelos normativos'!AQ190-SIN(0.083/('Dataset experimental'!M190-'Dataset experimental'!O190))-'Modelos empíricos'!I190)/0.646</f>
        <v>#REF!</v>
      </c>
      <c r="W190" s="4" t="e">
        <f aca="false">'Modelos normativos'!S190+'Avaliação do resultado ML'!A190</f>
        <v>#REF!</v>
      </c>
      <c r="X190" s="4" t="e">
        <f aca="false">W190/'Dataset experimental'!$AF190</f>
        <v>#REF!</v>
      </c>
      <c r="AJ190" s="4" t="e">
        <f aca="false">'Modelos Propostos'!B190+H190</f>
        <v>#REF!</v>
      </c>
      <c r="AK190" s="4" t="e">
        <f aca="false">AJ190/'Dataset experimental'!$AF190</f>
        <v>#REF!</v>
      </c>
      <c r="AV190" s="4" t="e">
        <f aca="false">'Modelos normativos'!S190+F190</f>
        <v>#REF!</v>
      </c>
      <c r="AW190" s="4" t="e">
        <f aca="false">AV190/'Dataset experimental'!$AF190</f>
        <v>#REF!</v>
      </c>
      <c r="BH190" s="4" t="e">
        <f aca="false">'Modelos Propostos'!B190+R190</f>
        <v>#REF!</v>
      </c>
      <c r="BI190" s="4" t="e">
        <f aca="false">BH190/'Dataset experimental'!$AF190</f>
        <v>#REF!</v>
      </c>
      <c r="BT190" s="4" t="n">
        <f aca="false">'Modelos Propostos'!B190+L190</f>
        <v>0.276825323947819</v>
      </c>
      <c r="BU190" s="4" t="n">
        <f aca="false">BT190/'Dataset experimental'!$AF190</f>
        <v>1.20358836499052</v>
      </c>
    </row>
    <row r="191" customFormat="false" ht="14.25" hidden="false" customHeight="false" outlineLevel="0" collapsed="false">
      <c r="A191" s="4" t="e">
        <f aca="false">0.0894*ABS(D191)-0.01603*E191</f>
        <v>#REF!</v>
      </c>
      <c r="B191" s="12" t="e">
        <f aca="false">'Dataset experimental'!K191*COS('Dataset experimental'!AC191)-'Dataset experimental'!M191-'Dataset experimental'!C191</f>
        <v>#REF!</v>
      </c>
      <c r="C191" s="12" t="e">
        <f aca="false">('Dataset experimental'!AE191+SIN('Avaliação do resultado ML'!B191))*0.70674187</f>
        <v>#REF!</v>
      </c>
      <c r="D191" s="12" t="e">
        <f aca="false">'Modelos Propostos'!E191+'Avaliação do resultado ML'!C191-'Modelos normativos'!AQ191</f>
        <v>#REF!</v>
      </c>
      <c r="E191" s="12" t="n">
        <f aca="false">'Modelos empíricos'!I191+1.1854</f>
        <v>1.04366324170297</v>
      </c>
      <c r="F191" s="4" t="e">
        <f aca="false">-0.01753*('Modelos normativos'!AN191-'Dataset experimental'!C191-ABS(G191)-('Modelos Propostos'!E191-'Modelos normativos'!AP191)/0.25291)</f>
        <v>#REF!</v>
      </c>
      <c r="G191" s="4" t="e">
        <f aca="false">'Dataset experimental'!K191+'Modelos empíricos'!K191^2+('Modelos Propostos'!E191-'Modelos normativos'!AQ191)*4.10553</f>
        <v>#REF!</v>
      </c>
      <c r="H191" s="4" t="e">
        <f aca="false">0.03283*(J191+K191)</f>
        <v>#REF!</v>
      </c>
      <c r="I191" s="4" t="e">
        <f aca="false">(1.61428/'Dataset experimental'!Q191)^3</f>
        <v>#REF!</v>
      </c>
      <c r="J191" s="4" t="e">
        <f aca="false">SIN('Dataset experimental'!E191)+1.450178*(SIN('Avaliação do resultado ML'!I191)+'Dataset experimental'!C191)</f>
        <v>#REF!</v>
      </c>
      <c r="K191" s="4" t="e">
        <f aca="false">('Modelos empíricos'!C191-'Dataset experimental'!G191)*'Dataset experimental'!AE191-'Modelos normativos'!AP191</f>
        <v>#REF!</v>
      </c>
      <c r="L191" s="4" t="n">
        <f aca="false">0.0076*'Dataset experimental'!B191+'Avaliação do resultado ML'!M191+'Avaliação do resultado ML'!N191+(-0.0328)*(0.0171*'Dataset experimental'!AD191-0.9442)*'Avaliação do resultado ML'!O191-'Avaliação do resultado ML'!P191-0.0364</f>
        <v>0.0436214602467625</v>
      </c>
      <c r="M191" s="12" t="n">
        <f aca="false">0.03283*SIN(0.7328*'Dataset experimental'!D191-1.8266)</f>
        <v>-0.0291654482027489</v>
      </c>
      <c r="N191" s="12" t="n">
        <f aca="false">0.0476*SIN(4.2067/(0.0095*'Dataset experimental'!P191-1.9338)^3)</f>
        <v>0.0455515796827476</v>
      </c>
      <c r="O191" s="12" t="n">
        <f aca="false">0.0214*'Dataset experimental'!F191-3.1067*'Dataset experimental'!B191*'Dataset experimental'!P191*('Dataset experimental'!T191-'Dataset experimental'!R191)*(0.39*'Dataset experimental'!P191*'Dataset experimental'!T191/'Dataset experimental'!V191-'Dataset experimental'!Z191+3.12)/(100000*'Dataset experimental'!V191)+0.7995</f>
        <v>-0.165851026684923</v>
      </c>
      <c r="P191" s="12" t="n">
        <f aca="false">0.4461*('Dataset experimental'!Z191-0.6*'Modelos normativos'!AB191)*(3.4*'Dataset experimental'!L191+0.17*'Dataset experimental'!B191/'Modelos normativos'!AC191)/200000</f>
        <v>0.0849938722436674</v>
      </c>
      <c r="Q191" s="4" t="e">
        <f aca="false">L191/H191</f>
        <v>#REF!</v>
      </c>
      <c r="R191" s="4" t="e">
        <f aca="false">(-0.042-0.014*'Com TS variável MC2020'!Q200)*('Modelos normativos'!AP191-ABS('Modelos Propostos'!K191)-'Dataset experimental'!W191+COS(S191))</f>
        <v>#REF!</v>
      </c>
      <c r="S191" s="4" t="e">
        <f aca="false">'Dataset experimental'!O191-('Modelos normativos'!AQ191-SIN(0.083/('Dataset experimental'!M191-'Dataset experimental'!O191))-'Modelos empíricos'!I191)/0.646</f>
        <v>#REF!</v>
      </c>
      <c r="W191" s="4" t="e">
        <f aca="false">'Modelos normativos'!S191+'Avaliação do resultado ML'!A191</f>
        <v>#REF!</v>
      </c>
      <c r="X191" s="4" t="e">
        <f aca="false">W191/'Dataset experimental'!$AF191</f>
        <v>#REF!</v>
      </c>
      <c r="AJ191" s="4" t="e">
        <f aca="false">'Modelos Propostos'!B191+H191</f>
        <v>#REF!</v>
      </c>
      <c r="AK191" s="4" t="e">
        <f aca="false">AJ191/'Dataset experimental'!$AF191</f>
        <v>#REF!</v>
      </c>
      <c r="AV191" s="4" t="e">
        <f aca="false">'Modelos normativos'!S191+F191</f>
        <v>#REF!</v>
      </c>
      <c r="AW191" s="4" t="e">
        <f aca="false">AV191/'Dataset experimental'!$AF191</f>
        <v>#REF!</v>
      </c>
      <c r="BH191" s="4" t="e">
        <f aca="false">'Modelos Propostos'!B191+R191</f>
        <v>#REF!</v>
      </c>
      <c r="BI191" s="4" t="e">
        <f aca="false">BH191/'Dataset experimental'!$AF191</f>
        <v>#REF!</v>
      </c>
      <c r="BT191" s="4" t="n">
        <f aca="false">'Modelos Propostos'!B191+L191</f>
        <v>0.21259369622718</v>
      </c>
      <c r="BU191" s="4" t="n">
        <f aca="false">BT191/'Dataset experimental'!$AF191</f>
        <v>1.51852640162271</v>
      </c>
    </row>
    <row r="192" customFormat="false" ht="14.25" hidden="false" customHeight="false" outlineLevel="0" collapsed="false">
      <c r="A192" s="4" t="e">
        <f aca="false">0.0894*ABS(D192)-0.01603*E192</f>
        <v>#REF!</v>
      </c>
      <c r="B192" s="12" t="e">
        <f aca="false">'Dataset experimental'!K192*COS('Dataset experimental'!AC192)-'Dataset experimental'!M192-'Dataset experimental'!C192</f>
        <v>#REF!</v>
      </c>
      <c r="C192" s="12" t="e">
        <f aca="false">('Dataset experimental'!AE192+SIN('Avaliação do resultado ML'!B192))*0.70674187</f>
        <v>#REF!</v>
      </c>
      <c r="D192" s="12" t="e">
        <f aca="false">'Modelos Propostos'!E192+'Avaliação do resultado ML'!C192-'Modelos normativos'!AQ192</f>
        <v>#REF!</v>
      </c>
      <c r="E192" s="12" t="n">
        <f aca="false">'Modelos empíricos'!I192+1.1854</f>
        <v>1.59444659668758</v>
      </c>
      <c r="F192" s="4" t="e">
        <f aca="false">-0.01753*('Modelos normativos'!AN192-'Dataset experimental'!C192-ABS(G192)-('Modelos Propostos'!E192-'Modelos normativos'!AP192)/0.25291)</f>
        <v>#REF!</v>
      </c>
      <c r="G192" s="4" t="e">
        <f aca="false">'Dataset experimental'!K192+'Modelos empíricos'!K192^2+('Modelos Propostos'!E192-'Modelos normativos'!AQ192)*4.10553</f>
        <v>#REF!</v>
      </c>
      <c r="H192" s="4" t="e">
        <f aca="false">0.03283*(J192+K192)</f>
        <v>#REF!</v>
      </c>
      <c r="I192" s="4" t="e">
        <f aca="false">(1.61428/'Dataset experimental'!Q192)^3</f>
        <v>#REF!</v>
      </c>
      <c r="J192" s="4" t="e">
        <f aca="false">SIN('Dataset experimental'!E192)+1.450178*(SIN('Avaliação do resultado ML'!I192)+'Dataset experimental'!C192)</f>
        <v>#REF!</v>
      </c>
      <c r="K192" s="4" t="e">
        <f aca="false">('Modelos empíricos'!C192-'Dataset experimental'!G192)*'Dataset experimental'!AE192-'Modelos normativos'!AP192</f>
        <v>#REF!</v>
      </c>
      <c r="L192" s="4" t="n">
        <f aca="false">0.0076*'Dataset experimental'!B192+'Avaliação do resultado ML'!M192+'Avaliação do resultado ML'!N192+(-0.0328)*(0.0171*'Dataset experimental'!AD192-0.9442)*'Avaliação do resultado ML'!O192-'Avaliação do resultado ML'!P192-0.0364</f>
        <v>0.0200537727602028</v>
      </c>
      <c r="M192" s="12" t="n">
        <f aca="false">0.03283*SIN(0.7328*'Dataset experimental'!D192-1.8266)</f>
        <v>-0.0291654482027489</v>
      </c>
      <c r="N192" s="12" t="n">
        <f aca="false">0.0476*SIN(4.2067/(0.0095*'Dataset experimental'!P192-1.9338)^3)</f>
        <v>0.0455515796827476</v>
      </c>
      <c r="O192" s="12" t="n">
        <f aca="false">0.0214*'Dataset experimental'!F192-3.1067*'Dataset experimental'!B192*'Dataset experimental'!P192*('Dataset experimental'!T192-'Dataset experimental'!R192)*(0.39*'Dataset experimental'!P192*'Dataset experimental'!T192/'Dataset experimental'!V192-'Dataset experimental'!Z192+3.12)/(100000*'Dataset experimental'!V192)+0.7995</f>
        <v>-0.505981432596269</v>
      </c>
      <c r="P192" s="12" t="n">
        <f aca="false">0.4461*('Dataset experimental'!Z192-0.6*'Modelos normativos'!AB192)*(3.4*'Dataset experimental'!L192+0.17*'Dataset experimental'!B192/'Modelos normativos'!AC192)/200000</f>
        <v>0.102474504802704</v>
      </c>
      <c r="Q192" s="4" t="e">
        <f aca="false">L192/H192</f>
        <v>#REF!</v>
      </c>
      <c r="R192" s="4" t="e">
        <f aca="false">(-0.042-0.014*'Com TS variável MC2020'!Q201)*('Modelos normativos'!AP192-ABS('Modelos Propostos'!K192)-'Dataset experimental'!W192+COS(S192))</f>
        <v>#REF!</v>
      </c>
      <c r="S192" s="4" t="e">
        <f aca="false">'Dataset experimental'!O192-('Modelos normativos'!AQ192-SIN(0.083/('Dataset experimental'!M192-'Dataset experimental'!O192))-'Modelos empíricos'!I192)/0.646</f>
        <v>#REF!</v>
      </c>
      <c r="W192" s="4" t="e">
        <f aca="false">'Modelos normativos'!S192+'Avaliação do resultado ML'!A192</f>
        <v>#REF!</v>
      </c>
      <c r="X192" s="4" t="e">
        <f aca="false">W192/'Dataset experimental'!$AF192</f>
        <v>#REF!</v>
      </c>
      <c r="AJ192" s="4" t="e">
        <f aca="false">'Modelos Propostos'!B192+H192</f>
        <v>#REF!</v>
      </c>
      <c r="AK192" s="4" t="e">
        <f aca="false">AJ192/'Dataset experimental'!$AF192</f>
        <v>#REF!</v>
      </c>
      <c r="AV192" s="4" t="e">
        <f aca="false">'Modelos normativos'!S192+F192</f>
        <v>#REF!</v>
      </c>
      <c r="AW192" s="4" t="e">
        <f aca="false">AV192/'Dataset experimental'!$AF192</f>
        <v>#REF!</v>
      </c>
      <c r="BH192" s="4" t="e">
        <f aca="false">'Modelos Propostos'!B192+R192</f>
        <v>#REF!</v>
      </c>
      <c r="BI192" s="4" t="e">
        <f aca="false">BH192/'Dataset experimental'!$AF192</f>
        <v>#REF!</v>
      </c>
      <c r="BT192" s="4" t="n">
        <f aca="false">'Modelos Propostos'!B192+L192</f>
        <v>0.243759326509798</v>
      </c>
      <c r="BU192" s="4" t="n">
        <f aca="false">BT192/'Dataset experimental'!$AF192</f>
        <v>1.43387839123411</v>
      </c>
    </row>
    <row r="193" customFormat="false" ht="14.25" hidden="false" customHeight="false" outlineLevel="0" collapsed="false">
      <c r="A193" s="4" t="e">
        <f aca="false">0.0894*ABS(D193)-0.01603*E193</f>
        <v>#REF!</v>
      </c>
      <c r="B193" s="12" t="e">
        <f aca="false">'Dataset experimental'!K193*COS('Dataset experimental'!AC193)-'Dataset experimental'!M193-'Dataset experimental'!C193</f>
        <v>#REF!</v>
      </c>
      <c r="C193" s="12" t="e">
        <f aca="false">('Dataset experimental'!AE193+SIN('Avaliação do resultado ML'!B193))*0.70674187</f>
        <v>#REF!</v>
      </c>
      <c r="D193" s="12" t="e">
        <f aca="false">'Modelos Propostos'!E193+'Avaliação do resultado ML'!C193-'Modelos normativos'!AQ193</f>
        <v>#REF!</v>
      </c>
      <c r="E193" s="12" t="n">
        <f aca="false">'Modelos empíricos'!I193+1.1854</f>
        <v>2.14901540428376</v>
      </c>
      <c r="F193" s="4" t="e">
        <f aca="false">-0.01753*('Modelos normativos'!AN193-'Dataset experimental'!C193-ABS(G193)-('Modelos Propostos'!E193-'Modelos normativos'!AP193)/0.25291)</f>
        <v>#REF!</v>
      </c>
      <c r="G193" s="4" t="e">
        <f aca="false">'Dataset experimental'!K193+'Modelos empíricos'!K193^2+('Modelos Propostos'!E193-'Modelos normativos'!AQ193)*4.10553</f>
        <v>#REF!</v>
      </c>
      <c r="H193" s="4" t="e">
        <f aca="false">0.03283*(J193+K193)</f>
        <v>#REF!</v>
      </c>
      <c r="I193" s="4" t="e">
        <f aca="false">(1.61428/'Dataset experimental'!Q193)^3</f>
        <v>#REF!</v>
      </c>
      <c r="J193" s="4" t="e">
        <f aca="false">SIN('Dataset experimental'!E193)+1.450178*(SIN('Avaliação do resultado ML'!I193)+'Dataset experimental'!C193)</f>
        <v>#REF!</v>
      </c>
      <c r="K193" s="4" t="e">
        <f aca="false">('Modelos empíricos'!C193-'Dataset experimental'!G193)*'Dataset experimental'!AE193-'Modelos normativos'!AP193</f>
        <v>#REF!</v>
      </c>
      <c r="L193" s="4" t="n">
        <f aca="false">0.0076*'Dataset experimental'!B193+'Avaliação do resultado ML'!M193+'Avaliação do resultado ML'!N193+(-0.0328)*(0.0171*'Dataset experimental'!AD193-0.9442)*'Avaliação do resultado ML'!O193-'Avaliação do resultado ML'!P193-0.0364</f>
        <v>-0.00255412436558197</v>
      </c>
      <c r="M193" s="12" t="n">
        <f aca="false">0.03283*SIN(0.7328*'Dataset experimental'!D193-1.8266)</f>
        <v>-0.0291654482027489</v>
      </c>
      <c r="N193" s="12" t="n">
        <f aca="false">0.0476*SIN(4.2067/(0.0095*'Dataset experimental'!P193-1.9338)^3)</f>
        <v>0.0455515796827476</v>
      </c>
      <c r="O193" s="12" t="n">
        <f aca="false">0.0214*'Dataset experimental'!F193-3.1067*'Dataset experimental'!B193*'Dataset experimental'!P193*('Dataset experimental'!T193-'Dataset experimental'!R193)*(0.39*'Dataset experimental'!P193*'Dataset experimental'!T193/'Dataset experimental'!V193-'Dataset experimental'!Z193+3.12)/(100000*'Dataset experimental'!V193)+0.7995</f>
        <v>-0.848449504527623</v>
      </c>
      <c r="P193" s="12" t="n">
        <f aca="false">0.4461*('Dataset experimental'!Z193-0.6*'Modelos normativos'!AB193)*(3.4*'Dataset experimental'!L193+0.17*'Dataset experimental'!B193/'Modelos normativos'!AC193)/200000</f>
        <v>0.12007527916627</v>
      </c>
      <c r="Q193" s="4" t="e">
        <f aca="false">L193/H193</f>
        <v>#REF!</v>
      </c>
      <c r="R193" s="4" t="e">
        <f aca="false">(-0.042-0.014*'Com TS variável MC2020'!Q202)*('Modelos normativos'!AP193-ABS('Modelos Propostos'!K193)-'Dataset experimental'!W193+COS(S193))</f>
        <v>#REF!</v>
      </c>
      <c r="S193" s="4" t="e">
        <f aca="false">'Dataset experimental'!O193-('Modelos normativos'!AQ193-SIN(0.083/('Dataset experimental'!M193-'Dataset experimental'!O193))-'Modelos empíricos'!I193)/0.646</f>
        <v>#REF!</v>
      </c>
      <c r="W193" s="4" t="e">
        <f aca="false">'Modelos normativos'!S193+'Avaliação do resultado ML'!A193</f>
        <v>#REF!</v>
      </c>
      <c r="X193" s="4" t="e">
        <f aca="false">W193/'Dataset experimental'!$AF193</f>
        <v>#REF!</v>
      </c>
      <c r="AJ193" s="4" t="e">
        <f aca="false">'Modelos Propostos'!B193+H193</f>
        <v>#REF!</v>
      </c>
      <c r="AK193" s="4" t="e">
        <f aca="false">AJ193/'Dataset experimental'!$AF193</f>
        <v>#REF!</v>
      </c>
      <c r="AV193" s="4" t="e">
        <f aca="false">'Modelos normativos'!S193+F193</f>
        <v>#REF!</v>
      </c>
      <c r="AW193" s="4" t="e">
        <f aca="false">AV193/'Dataset experimental'!$AF193</f>
        <v>#REF!</v>
      </c>
      <c r="BH193" s="4" t="e">
        <f aca="false">'Modelos Propostos'!B193+R193</f>
        <v>#REF!</v>
      </c>
      <c r="BI193" s="4" t="e">
        <f aca="false">BH193/'Dataset experimental'!$AF193</f>
        <v>#REF!</v>
      </c>
      <c r="BT193" s="4" t="n">
        <f aca="false">'Modelos Propostos'!B193+L193</f>
        <v>0.276260921158478</v>
      </c>
      <c r="BU193" s="4" t="n">
        <f aca="false">BT193/'Dataset experimental'!$AF193</f>
        <v>1.31552819599275</v>
      </c>
    </row>
    <row r="194" customFormat="false" ht="14.25" hidden="false" customHeight="false" outlineLevel="0" collapsed="false">
      <c r="A194" s="4" t="e">
        <f aca="false">0.0894*ABS(D194)-0.01603*E194</f>
        <v>#REF!</v>
      </c>
      <c r="B194" s="12" t="e">
        <f aca="false">'Dataset experimental'!K194*COS('Dataset experimental'!AC194)-'Dataset experimental'!M194-'Dataset experimental'!C194</f>
        <v>#REF!</v>
      </c>
      <c r="C194" s="12" t="e">
        <f aca="false">('Dataset experimental'!AE194+SIN('Avaliação do resultado ML'!B194))*0.70674187</f>
        <v>#REF!</v>
      </c>
      <c r="D194" s="12" t="e">
        <f aca="false">'Modelos Propostos'!E194+'Avaliação do resultado ML'!C194-'Modelos normativos'!AQ194</f>
        <v>#REF!</v>
      </c>
      <c r="E194" s="12" t="n">
        <f aca="false">'Modelos empíricos'!I194+1.1854</f>
        <v>-0.084401636547297</v>
      </c>
      <c r="F194" s="4" t="e">
        <f aca="false">-0.01753*('Modelos normativos'!AN194-'Dataset experimental'!C194-ABS(G194)-('Modelos Propostos'!E194-'Modelos normativos'!AP194)/0.25291)</f>
        <v>#REF!</v>
      </c>
      <c r="G194" s="4" t="e">
        <f aca="false">'Dataset experimental'!K194+'Modelos empíricos'!K194^2+('Modelos Propostos'!E194-'Modelos normativos'!AQ194)*4.10553</f>
        <v>#REF!</v>
      </c>
      <c r="H194" s="4" t="e">
        <f aca="false">0.03283*(J194+K194)</f>
        <v>#REF!</v>
      </c>
      <c r="I194" s="4" t="e">
        <f aca="false">(1.61428/'Dataset experimental'!Q194)^3</f>
        <v>#REF!</v>
      </c>
      <c r="J194" s="4" t="e">
        <f aca="false">SIN('Dataset experimental'!E194)+1.450178*(SIN('Avaliação do resultado ML'!I194)+'Dataset experimental'!C194)</f>
        <v>#REF!</v>
      </c>
      <c r="K194" s="4" t="e">
        <f aca="false">('Modelos empíricos'!C194-'Dataset experimental'!G194)*'Dataset experimental'!AE194-'Modelos normativos'!AP194</f>
        <v>#REF!</v>
      </c>
      <c r="L194" s="4" t="n">
        <f aca="false">0.0076*'Dataset experimental'!B194+'Avaliação do resultado ML'!M194+'Avaliação do resultado ML'!N194+(-0.0328)*(0.0171*'Dataset experimental'!AD194-0.9442)*'Avaliação do resultado ML'!O194-'Avaliação do resultado ML'!P194-0.0364</f>
        <v>0.095356386514036</v>
      </c>
      <c r="M194" s="12" t="n">
        <f aca="false">0.03283*SIN(0.7328*'Dataset experimental'!D194-1.8266)</f>
        <v>-0.0291654482027489</v>
      </c>
      <c r="N194" s="12" t="n">
        <f aca="false">0.0476*SIN(4.2067/(0.0095*'Dataset experimental'!P194-1.9338)^3)</f>
        <v>0.0455515796827476</v>
      </c>
      <c r="O194" s="12" t="n">
        <f aca="false">0.0214*'Dataset experimental'!F194-3.1067*'Dataset experimental'!B194*'Dataset experimental'!P194*('Dataset experimental'!T194-'Dataset experimental'!R194)*(0.39*'Dataset experimental'!P194*'Dataset experimental'!T194/'Dataset experimental'!V194-'Dataset experimental'!Z194+3.12)/(100000*'Dataset experimental'!V194)+0.7995</f>
        <v>0.530773447277834</v>
      </c>
      <c r="P194" s="12" t="n">
        <f aca="false">0.4461*('Dataset experimental'!Z194-0.6*'Modelos normativos'!AB194)*(3.4*'Dataset experimental'!L194+0.17*'Dataset experimental'!B194/'Modelos normativos'!AC194)/200000</f>
        <v>0.0491916144938883</v>
      </c>
      <c r="Q194" s="4" t="e">
        <f aca="false">L194/H194</f>
        <v>#REF!</v>
      </c>
      <c r="R194" s="4" t="e">
        <f aca="false">(-0.042-0.014*'Com TS variável MC2020'!Q203)*('Modelos normativos'!AP194-ABS('Modelos Propostos'!K194)-'Dataset experimental'!W194+COS(S194))</f>
        <v>#REF!</v>
      </c>
      <c r="S194" s="4" t="e">
        <f aca="false">'Dataset experimental'!O194-('Modelos normativos'!AQ194-SIN(0.083/('Dataset experimental'!M194-'Dataset experimental'!O194))-'Modelos empíricos'!I194)/0.646</f>
        <v>#REF!</v>
      </c>
      <c r="W194" s="4" t="e">
        <f aca="false">'Modelos normativos'!S194+'Avaliação do resultado ML'!A194</f>
        <v>#REF!</v>
      </c>
      <c r="X194" s="4" t="e">
        <f aca="false">W194/'Dataset experimental'!$AF194</f>
        <v>#REF!</v>
      </c>
      <c r="AJ194" s="4" t="e">
        <f aca="false">'Modelos Propostos'!B194+H194</f>
        <v>#REF!</v>
      </c>
      <c r="AK194" s="4" t="e">
        <f aca="false">AJ194/'Dataset experimental'!$AF194</f>
        <v>#REF!</v>
      </c>
      <c r="AV194" s="4" t="e">
        <f aca="false">'Modelos normativos'!S194+F194</f>
        <v>#REF!</v>
      </c>
      <c r="AW194" s="4" t="e">
        <f aca="false">AV194/'Dataset experimental'!$AF194</f>
        <v>#REF!</v>
      </c>
      <c r="BH194" s="4" t="e">
        <f aca="false">'Modelos Propostos'!B194+R194</f>
        <v>#REF!</v>
      </c>
      <c r="BI194" s="4" t="e">
        <f aca="false">BH194/'Dataset experimental'!$AF194</f>
        <v>#REF!</v>
      </c>
      <c r="BT194" s="4" t="n">
        <f aca="false">'Modelos Propostos'!B194+L194</f>
        <v>0.171408552860289</v>
      </c>
      <c r="BU194" s="4" t="n">
        <f aca="false">BT194/'Dataset experimental'!$AF194</f>
        <v>0.816231204096616</v>
      </c>
    </row>
    <row r="195" customFormat="false" ht="14.25" hidden="false" customHeight="false" outlineLevel="0" collapsed="false">
      <c r="A195" s="4" t="e">
        <f aca="false">0.0894*ABS(D195)-0.01603*E195</f>
        <v>#REF!</v>
      </c>
      <c r="B195" s="12" t="e">
        <f aca="false">'Dataset experimental'!K195*COS('Dataset experimental'!AC195)-'Dataset experimental'!M195-'Dataset experimental'!C195</f>
        <v>#REF!</v>
      </c>
      <c r="C195" s="12" t="e">
        <f aca="false">('Dataset experimental'!AE195+SIN('Avaliação do resultado ML'!B195))*0.70674187</f>
        <v>#REF!</v>
      </c>
      <c r="D195" s="12" t="e">
        <f aca="false">'Modelos Propostos'!E195+'Avaliação do resultado ML'!C195-'Modelos normativos'!AQ195</f>
        <v>#REF!</v>
      </c>
      <c r="E195" s="12" t="n">
        <f aca="false">'Modelos empíricos'!I195+1.1854</f>
        <v>0.49098716041257</v>
      </c>
      <c r="F195" s="4" t="e">
        <f aca="false">-0.01753*('Modelos normativos'!AN195-'Dataset experimental'!C195-ABS(G195)-('Modelos Propostos'!E195-'Modelos normativos'!AP195)/0.25291)</f>
        <v>#REF!</v>
      </c>
      <c r="G195" s="4" t="e">
        <f aca="false">'Dataset experimental'!K195+'Modelos empíricos'!K195^2+('Modelos Propostos'!E195-'Modelos normativos'!AQ195)*4.10553</f>
        <v>#REF!</v>
      </c>
      <c r="H195" s="4" t="e">
        <f aca="false">0.03283*(J195+K195)</f>
        <v>#REF!</v>
      </c>
      <c r="I195" s="4" t="e">
        <f aca="false">(1.61428/'Dataset experimental'!Q195)^3</f>
        <v>#REF!</v>
      </c>
      <c r="J195" s="4" t="e">
        <f aca="false">SIN('Dataset experimental'!E195)+1.450178*(SIN('Avaliação do resultado ML'!I195)+'Dataset experimental'!C195)</f>
        <v>#REF!</v>
      </c>
      <c r="K195" s="4" t="e">
        <f aca="false">('Modelos empíricos'!C195-'Dataset experimental'!G195)*'Dataset experimental'!AE195-'Modelos normativos'!AP195</f>
        <v>#REF!</v>
      </c>
      <c r="L195" s="4" t="n">
        <f aca="false">0.0076*'Dataset experimental'!B195+'Avaliação do resultado ML'!M195+'Avaliação do resultado ML'!N195+(-0.0328)*(0.0171*'Dataset experimental'!AD195-0.9442)*'Avaliação do resultado ML'!O195-'Avaliação do resultado ML'!P195-0.0364</f>
        <v>0.0683861611069603</v>
      </c>
      <c r="M195" s="12" t="n">
        <f aca="false">0.03283*SIN(0.7328*'Dataset experimental'!D195-1.8266)</f>
        <v>-0.0291654482027489</v>
      </c>
      <c r="N195" s="12" t="n">
        <f aca="false">0.0476*SIN(4.2067/(0.0095*'Dataset experimental'!P195-1.9338)^3)</f>
        <v>0.0455515796827476</v>
      </c>
      <c r="O195" s="12" t="n">
        <f aca="false">0.0214*'Dataset experimental'!F195-3.1067*'Dataset experimental'!B195*'Dataset experimental'!P195*('Dataset experimental'!T195-'Dataset experimental'!R195)*(0.39*'Dataset experimental'!P195*'Dataset experimental'!T195/'Dataset experimental'!V195-'Dataset experimental'!Z195+3.12)/(100000*'Dataset experimental'!V195)+0.7995</f>
        <v>0.175448212236427</v>
      </c>
      <c r="P195" s="12" t="n">
        <f aca="false">0.4461*('Dataset experimental'!Z195-0.6*'Modelos normativos'!AB195)*(3.4*'Dataset experimental'!L195+0.17*'Dataset experimental'!B195/'Modelos normativos'!AC195)/200000</f>
        <v>0.0674531687823662</v>
      </c>
      <c r="Q195" s="4" t="e">
        <f aca="false">L195/H195</f>
        <v>#REF!</v>
      </c>
      <c r="R195" s="4" t="e">
        <f aca="false">(-0.042-0.014*'Com TS variável MC2020'!Q204)*('Modelos normativos'!AP195-ABS('Modelos Propostos'!K195)-'Dataset experimental'!W195+COS(S195))</f>
        <v>#REF!</v>
      </c>
      <c r="S195" s="4" t="e">
        <f aca="false">'Dataset experimental'!O195-('Modelos normativos'!AQ195-SIN(0.083/('Dataset experimental'!M195-'Dataset experimental'!O195))-'Modelos empíricos'!I195)/0.646</f>
        <v>#REF!</v>
      </c>
      <c r="W195" s="4" t="e">
        <f aca="false">'Modelos normativos'!S195+'Avaliação do resultado ML'!A195</f>
        <v>#REF!</v>
      </c>
      <c r="X195" s="4" t="e">
        <f aca="false">W195/'Dataset experimental'!$AF195</f>
        <v>#REF!</v>
      </c>
      <c r="AJ195" s="4" t="e">
        <f aca="false">'Modelos Propostos'!B195+H195</f>
        <v>#REF!</v>
      </c>
      <c r="AK195" s="4" t="e">
        <f aca="false">AJ195/'Dataset experimental'!$AF195</f>
        <v>#REF!</v>
      </c>
      <c r="AV195" s="4" t="e">
        <f aca="false">'Modelos normativos'!S195+F195</f>
        <v>#REF!</v>
      </c>
      <c r="AW195" s="4" t="e">
        <f aca="false">AV195/'Dataset experimental'!$AF195</f>
        <v>#REF!</v>
      </c>
      <c r="BH195" s="4" t="e">
        <f aca="false">'Modelos Propostos'!B195+R195</f>
        <v>#REF!</v>
      </c>
      <c r="BI195" s="4" t="e">
        <f aca="false">BH195/'Dataset experimental'!$AF195</f>
        <v>#REF!</v>
      </c>
      <c r="BT195" s="4" t="n">
        <f aca="false">'Modelos Propostos'!B195+L195</f>
        <v>0.188535209345613</v>
      </c>
      <c r="BU195" s="4" t="n">
        <f aca="false">BT195/'Dataset experimental'!$AF195</f>
        <v>0.754140837382453</v>
      </c>
    </row>
    <row r="196" customFormat="false" ht="14.25" hidden="false" customHeight="false" outlineLevel="0" collapsed="false">
      <c r="A196" s="4" t="e">
        <f aca="false">0.0894*ABS(D196)-0.01603*E196</f>
        <v>#REF!</v>
      </c>
      <c r="B196" s="12" t="e">
        <f aca="false">'Dataset experimental'!K196*COS('Dataset experimental'!AC196)-'Dataset experimental'!M196-'Dataset experimental'!C196</f>
        <v>#REF!</v>
      </c>
      <c r="C196" s="12" t="e">
        <f aca="false">('Dataset experimental'!AE196+SIN('Avaliação do resultado ML'!B196))*0.70674187</f>
        <v>#REF!</v>
      </c>
      <c r="D196" s="12" t="e">
        <f aca="false">'Modelos Propostos'!E196+'Avaliação do resultado ML'!C196-'Modelos normativos'!AQ196</f>
        <v>#REF!</v>
      </c>
      <c r="E196" s="12" t="n">
        <f aca="false">'Modelos empíricos'!I196+1.1854</f>
        <v>1.03419961017402</v>
      </c>
      <c r="F196" s="4" t="e">
        <f aca="false">-0.01753*('Modelos normativos'!AN196-'Dataset experimental'!C196-ABS(G196)-('Modelos Propostos'!E196-'Modelos normativos'!AP196)/0.25291)</f>
        <v>#REF!</v>
      </c>
      <c r="G196" s="4" t="e">
        <f aca="false">'Dataset experimental'!K196+'Modelos empíricos'!K196^2+('Modelos Propostos'!E196-'Modelos normativos'!AQ196)*4.10553</f>
        <v>#REF!</v>
      </c>
      <c r="H196" s="4" t="e">
        <f aca="false">0.03283*(J196+K196)</f>
        <v>#REF!</v>
      </c>
      <c r="I196" s="4" t="e">
        <f aca="false">(1.61428/'Dataset experimental'!Q196)^3</f>
        <v>#REF!</v>
      </c>
      <c r="J196" s="4" t="e">
        <f aca="false">SIN('Dataset experimental'!E196)+1.450178*(SIN('Avaliação do resultado ML'!I196)+'Dataset experimental'!C196)</f>
        <v>#REF!</v>
      </c>
      <c r="K196" s="4" t="e">
        <f aca="false">('Modelos empíricos'!C196-'Dataset experimental'!G196)*'Dataset experimental'!AE196-'Modelos normativos'!AP196</f>
        <v>#REF!</v>
      </c>
      <c r="L196" s="4" t="n">
        <f aca="false">0.0076*'Dataset experimental'!B196+'Avaliação do resultado ML'!M196+'Avaliação do resultado ML'!N196+(-0.0328)*(0.0171*'Dataset experimental'!AD196-0.9442)*'Avaliação do resultado ML'!O196-'Avaliação do resultado ML'!P196-0.0364</f>
        <v>0.0440361058415921</v>
      </c>
      <c r="M196" s="12" t="n">
        <f aca="false">0.03283*SIN(0.7328*'Dataset experimental'!D196-1.8266)</f>
        <v>-0.0291654482027489</v>
      </c>
      <c r="N196" s="12" t="n">
        <f aca="false">0.0476*SIN(4.2067/(0.0095*'Dataset experimental'!P196-1.9338)^3)</f>
        <v>0.0455515796827476</v>
      </c>
      <c r="O196" s="12" t="n">
        <f aca="false">0.0214*'Dataset experimental'!F196-3.1067*'Dataset experimental'!B196*'Dataset experimental'!P196*('Dataset experimental'!T196-'Dataset experimental'!R196)*(0.39*'Dataset experimental'!P196*'Dataset experimental'!T196/'Dataset experimental'!V196-'Dataset experimental'!Z196+3.12)/(100000*'Dataset experimental'!V196)+0.7995</f>
        <v>-0.1600068616349</v>
      </c>
      <c r="P196" s="12" t="n">
        <f aca="false">0.4461*('Dataset experimental'!Z196-0.6*'Modelos normativos'!AB196)*(3.4*'Dataset experimental'!L196+0.17*'Dataset experimental'!B196/'Modelos normativos'!AC196)/200000</f>
        <v>0.0846935177323437</v>
      </c>
      <c r="Q196" s="4" t="e">
        <f aca="false">L196/H196</f>
        <v>#REF!</v>
      </c>
      <c r="R196" s="4" t="e">
        <f aca="false">(-0.042-0.014*'Com TS variável MC2020'!Q205)*('Modelos normativos'!AP196-ABS('Modelos Propostos'!K196)-'Dataset experimental'!W196+COS(S196))</f>
        <v>#REF!</v>
      </c>
      <c r="S196" s="4" t="e">
        <f aca="false">'Dataset experimental'!O196-('Modelos normativos'!AQ196-SIN(0.083/('Dataset experimental'!M196-'Dataset experimental'!O196))-'Modelos empíricos'!I196)/0.646</f>
        <v>#REF!</v>
      </c>
      <c r="W196" s="4" t="e">
        <f aca="false">'Modelos normativos'!S196+'Avaliação do resultado ML'!A196</f>
        <v>#REF!</v>
      </c>
      <c r="X196" s="4" t="e">
        <f aca="false">W196/'Dataset experimental'!$AF196</f>
        <v>#REF!</v>
      </c>
      <c r="AJ196" s="4" t="e">
        <f aca="false">'Modelos Propostos'!B196+H196</f>
        <v>#REF!</v>
      </c>
      <c r="AK196" s="4" t="e">
        <f aca="false">AJ196/'Dataset experimental'!$AF196</f>
        <v>#REF!</v>
      </c>
      <c r="AV196" s="4" t="e">
        <f aca="false">'Modelos normativos'!S196+F196</f>
        <v>#REF!</v>
      </c>
      <c r="AW196" s="4" t="e">
        <f aca="false">AV196/'Dataset experimental'!$AF196</f>
        <v>#REF!</v>
      </c>
      <c r="BH196" s="4" t="e">
        <f aca="false">'Modelos Propostos'!B196+R196</f>
        <v>#REF!</v>
      </c>
      <c r="BI196" s="4" t="e">
        <f aca="false">BH196/'Dataset experimental'!$AF196</f>
        <v>#REF!</v>
      </c>
      <c r="BT196" s="4" t="n">
        <f aca="false">'Modelos Propostos'!B196+L196</f>
        <v>0.212067906808793</v>
      </c>
      <c r="BU196" s="4" t="n">
        <f aca="false">BT196/'Dataset experimental'!$AF196</f>
        <v>0.731268644168253</v>
      </c>
    </row>
    <row r="197" customFormat="false" ht="14.25" hidden="false" customHeight="false" outlineLevel="0" collapsed="false">
      <c r="A197" s="4" t="e">
        <f aca="false">0.0894*ABS(D197)-0.01603*E197</f>
        <v>#REF!</v>
      </c>
      <c r="B197" s="12" t="e">
        <f aca="false">'Dataset experimental'!K197*COS('Dataset experimental'!AC197)-'Dataset experimental'!M197-'Dataset experimental'!C197</f>
        <v>#REF!</v>
      </c>
      <c r="C197" s="12" t="e">
        <f aca="false">('Dataset experimental'!AE197+SIN('Avaliação do resultado ML'!B197))*0.70674187</f>
        <v>#REF!</v>
      </c>
      <c r="D197" s="12" t="e">
        <f aca="false">'Modelos Propostos'!E197+'Avaliação do resultado ML'!C197-'Modelos normativos'!AQ197</f>
        <v>#REF!</v>
      </c>
      <c r="E197" s="12" t="n">
        <f aca="false">'Modelos empíricos'!I197+1.1854</f>
        <v>1.57930478624126</v>
      </c>
      <c r="F197" s="4" t="e">
        <f aca="false">-0.01753*('Modelos normativos'!AN197-'Dataset experimental'!C197-ABS(G197)-('Modelos Propostos'!E197-'Modelos normativos'!AP197)/0.25291)</f>
        <v>#REF!</v>
      </c>
      <c r="G197" s="4" t="e">
        <f aca="false">'Dataset experimental'!K197+'Modelos empíricos'!K197^2+('Modelos Propostos'!E197-'Modelos normativos'!AQ197)*4.10553</f>
        <v>#REF!</v>
      </c>
      <c r="H197" s="4" t="e">
        <f aca="false">0.03283*(J197+K197)</f>
        <v>#REF!</v>
      </c>
      <c r="I197" s="4" t="e">
        <f aca="false">(1.61428/'Dataset experimental'!Q197)^3</f>
        <v>#REF!</v>
      </c>
      <c r="J197" s="4" t="e">
        <f aca="false">SIN('Dataset experimental'!E197)+1.450178*(SIN('Avaliação do resultado ML'!I197)+'Dataset experimental'!C197)</f>
        <v>#REF!</v>
      </c>
      <c r="K197" s="4" t="e">
        <f aca="false">('Modelos empíricos'!C197-'Dataset experimental'!G197)*'Dataset experimental'!AE197-'Modelos normativos'!AP197</f>
        <v>#REF!</v>
      </c>
      <c r="L197" s="4" t="n">
        <f aca="false">0.0076*'Dataset experimental'!B197+'Avaliação do resultado ML'!M197+'Avaliação do resultado ML'!N197+(-0.0328)*(0.0171*'Dataset experimental'!AD197-0.9442)*'Avaliação do resultado ML'!O197-'Avaliação do resultado ML'!P197-0.0364</f>
        <v>0.0206868394752134</v>
      </c>
      <c r="M197" s="12" t="n">
        <f aca="false">0.03283*SIN(0.7328*'Dataset experimental'!D197-1.8266)</f>
        <v>-0.0291654482027489</v>
      </c>
      <c r="N197" s="12" t="n">
        <f aca="false">0.0476*SIN(4.2067/(0.0095*'Dataset experimental'!P197-1.9338)^3)</f>
        <v>0.0455515796827476</v>
      </c>
      <c r="O197" s="12" t="n">
        <f aca="false">0.0214*'Dataset experimental'!F197-3.1067*'Dataset experimental'!B197*'Dataset experimental'!P197*('Dataset experimental'!T197-'Dataset experimental'!R197)*(0.39*'Dataset experimental'!P197*'Dataset experimental'!T197/'Dataset experimental'!V197-'Dataset experimental'!Z197+3.12)/(100000*'Dataset experimental'!V197)+0.7995</f>
        <v>-0.496630768516231</v>
      </c>
      <c r="P197" s="12" t="n">
        <f aca="false">0.4461*('Dataset experimental'!Z197-0.6*'Modelos normativos'!AB197)*(3.4*'Dataset experimental'!L197+0.17*'Dataset experimental'!B197/'Modelos normativos'!AC197)/200000</f>
        <v>0.101993937584586</v>
      </c>
      <c r="Q197" s="4" t="e">
        <f aca="false">L197/H197</f>
        <v>#REF!</v>
      </c>
      <c r="R197" s="4" t="e">
        <f aca="false">(-0.042-0.014*'Com TS variável MC2020'!Q206)*('Modelos normativos'!AP197-ABS('Modelos Propostos'!K197)-'Dataset experimental'!W197+COS(S197))</f>
        <v>#REF!</v>
      </c>
      <c r="S197" s="4" t="e">
        <f aca="false">'Dataset experimental'!O197-('Modelos normativos'!AQ197-SIN(0.083/('Dataset experimental'!M197-'Dataset experimental'!O197))-'Modelos empíricos'!I197)/0.646</f>
        <v>#REF!</v>
      </c>
      <c r="W197" s="4" t="e">
        <f aca="false">'Modelos normativos'!S197+'Avaliação do resultado ML'!A197</f>
        <v>#REF!</v>
      </c>
      <c r="X197" s="4" t="e">
        <f aca="false">W197/'Dataset experimental'!$AF197</f>
        <v>#REF!</v>
      </c>
      <c r="AJ197" s="4" t="e">
        <f aca="false">'Modelos Propostos'!B197+H197</f>
        <v>#REF!</v>
      </c>
      <c r="AK197" s="4" t="e">
        <f aca="false">AJ197/'Dataset experimental'!$AF197</f>
        <v>#REF!</v>
      </c>
      <c r="AV197" s="4" t="e">
        <f aca="false">'Modelos normativos'!S197+F197</f>
        <v>#REF!</v>
      </c>
      <c r="AW197" s="4" t="e">
        <f aca="false">AV197/'Dataset experimental'!$AF197</f>
        <v>#REF!</v>
      </c>
      <c r="BH197" s="4" t="e">
        <f aca="false">'Modelos Propostos'!B197+R197</f>
        <v>#REF!</v>
      </c>
      <c r="BI197" s="4" t="e">
        <f aca="false">BH197/'Dataset experimental'!$AF197</f>
        <v>#REF!</v>
      </c>
      <c r="BT197" s="4" t="n">
        <f aca="false">'Modelos Propostos'!B197+L197</f>
        <v>0.242887697203663</v>
      </c>
      <c r="BU197" s="4" t="n">
        <f aca="false">BT197/'Dataset experimental'!$AF197</f>
        <v>0.736023324859585</v>
      </c>
    </row>
    <row r="198" customFormat="false" ht="14.25" hidden="false" customHeight="false" outlineLevel="0" collapsed="false">
      <c r="A198" s="4" t="e">
        <f aca="false">0.0894*ABS(D198)-0.01603*E198</f>
        <v>#REF!</v>
      </c>
      <c r="B198" s="12" t="e">
        <f aca="false">'Dataset experimental'!K198*COS('Dataset experimental'!AC198)-'Dataset experimental'!M198-'Dataset experimental'!C198</f>
        <v>#REF!</v>
      </c>
      <c r="C198" s="12" t="e">
        <f aca="false">('Dataset experimental'!AE198+SIN('Avaliação do resultado ML'!B198))*0.70674187</f>
        <v>#REF!</v>
      </c>
      <c r="D198" s="12" t="e">
        <f aca="false">'Modelos Propostos'!E198+'Avaliação do resultado ML'!C198-'Modelos normativos'!AQ198</f>
        <v>#REF!</v>
      </c>
      <c r="E198" s="12" t="n">
        <f aca="false">'Modelos empíricos'!I198+1.1854</f>
        <v>2.3496443926974</v>
      </c>
      <c r="F198" s="4" t="e">
        <f aca="false">-0.01753*('Modelos normativos'!AN198-'Dataset experimental'!C198-ABS(G198)-('Modelos Propostos'!E198-'Modelos normativos'!AP198)/0.25291)</f>
        <v>#REF!</v>
      </c>
      <c r="G198" s="4" t="e">
        <f aca="false">'Dataset experimental'!K198+'Modelos empíricos'!K198^2+('Modelos Propostos'!E198-'Modelos normativos'!AQ198)*4.10553</f>
        <v>#REF!</v>
      </c>
      <c r="H198" s="4" t="e">
        <f aca="false">0.03283*(J198+K198)</f>
        <v>#REF!</v>
      </c>
      <c r="I198" s="4" t="e">
        <f aca="false">(1.61428/'Dataset experimental'!Q198)^3</f>
        <v>#REF!</v>
      </c>
      <c r="J198" s="4" t="e">
        <f aca="false">SIN('Dataset experimental'!E198)+1.450178*(SIN('Avaliação do resultado ML'!I198)+'Dataset experimental'!C198)</f>
        <v>#REF!</v>
      </c>
      <c r="K198" s="4" t="e">
        <f aca="false">('Modelos empíricos'!C198-'Dataset experimental'!G198)*'Dataset experimental'!AE198-'Modelos normativos'!AP198</f>
        <v>#REF!</v>
      </c>
      <c r="L198" s="4" t="n">
        <f aca="false">0.0076*'Dataset experimental'!B198+'Avaliação do resultado ML'!M198+'Avaliação do resultado ML'!N198+(-0.0328)*(0.0171*'Dataset experimental'!AD198-0.9442)*'Avaliação do resultado ML'!O198-'Avaliação do resultado ML'!P198-0.0364</f>
        <v>-0.0104558216459523</v>
      </c>
      <c r="M198" s="12" t="n">
        <f aca="false">0.03283*SIN(0.7328*'Dataset experimental'!D198-1.8266)</f>
        <v>-0.0291654482027489</v>
      </c>
      <c r="N198" s="12" t="n">
        <f aca="false">0.0476*SIN(4.2067/(0.0095*'Dataset experimental'!P198-1.9338)^3)</f>
        <v>0.0455515796827476</v>
      </c>
      <c r="O198" s="12" t="n">
        <f aca="false">0.0214*'Dataset experimental'!F198-3.1067*'Dataset experimental'!B198*'Dataset experimental'!P198*('Dataset experimental'!T198-'Dataset experimental'!R198)*(0.39*'Dataset experimental'!P198*'Dataset experimental'!T198/'Dataset experimental'!V198-'Dataset experimental'!Z198+3.12)/(100000*'Dataset experimental'!V198)+0.7995</f>
        <v>-0.972345803588114</v>
      </c>
      <c r="P198" s="12" t="n">
        <f aca="false">0.4461*('Dataset experimental'!Z198-0.6*'Modelos normativos'!AB198)*(3.4*'Dataset experimental'!L198+0.17*'Dataset experimental'!B198/'Modelos normativos'!AC198)/200000</f>
        <v>0.126442794806331</v>
      </c>
      <c r="Q198" s="4" t="e">
        <f aca="false">L198/H198</f>
        <v>#REF!</v>
      </c>
      <c r="R198" s="4" t="e">
        <f aca="false">(-0.042-0.014*'Com TS variável MC2020'!Q207)*('Modelos normativos'!AP198-ABS('Modelos Propostos'!K198)-'Dataset experimental'!W198+COS(S198))</f>
        <v>#REF!</v>
      </c>
      <c r="S198" s="4" t="e">
        <f aca="false">'Dataset experimental'!O198-('Modelos normativos'!AQ198-SIN(0.083/('Dataset experimental'!M198-'Dataset experimental'!O198))-'Modelos empíricos'!I198)/0.646</f>
        <v>#REF!</v>
      </c>
      <c r="W198" s="4" t="e">
        <f aca="false">'Modelos normativos'!S198+'Avaliação do resultado ML'!A198</f>
        <v>#REF!</v>
      </c>
      <c r="X198" s="4" t="e">
        <f aca="false">W198/'Dataset experimental'!$AF198</f>
        <v>#REF!</v>
      </c>
      <c r="AJ198" s="4" t="e">
        <f aca="false">'Modelos Propostos'!B198+H198</f>
        <v>#REF!</v>
      </c>
      <c r="AK198" s="4" t="e">
        <f aca="false">AJ198/'Dataset experimental'!$AF198</f>
        <v>#REF!</v>
      </c>
      <c r="AV198" s="4" t="e">
        <f aca="false">'Modelos normativos'!S198+F198</f>
        <v>#REF!</v>
      </c>
      <c r="AW198" s="4" t="e">
        <f aca="false">AV198/'Dataset experimental'!$AF198</f>
        <v>#REF!</v>
      </c>
      <c r="BH198" s="4" t="e">
        <f aca="false">'Modelos Propostos'!B198+R198</f>
        <v>#REF!</v>
      </c>
      <c r="BI198" s="4" t="e">
        <f aca="false">BH198/'Dataset experimental'!$AF198</f>
        <v>#REF!</v>
      </c>
      <c r="BT198" s="4" t="n">
        <f aca="false">'Modelos Propostos'!B198+L198</f>
        <v>0.28829644615829</v>
      </c>
      <c r="BU198" s="4" t="n">
        <f aca="false">BT198/'Dataset experimental'!$AF198</f>
        <v>0.779179584211594</v>
      </c>
    </row>
    <row r="199" customFormat="false" ht="14.25" hidden="false" customHeight="false" outlineLevel="0" collapsed="false">
      <c r="A199" s="4" t="e">
        <f aca="false">0.0894*ABS(D199)-0.01603*E199</f>
        <v>#REF!</v>
      </c>
      <c r="B199" s="12" t="e">
        <f aca="false">'Dataset experimental'!K199*COS('Dataset experimental'!AC199)-'Dataset experimental'!M199-'Dataset experimental'!C199</f>
        <v>#REF!</v>
      </c>
      <c r="C199" s="12" t="e">
        <f aca="false">('Dataset experimental'!AE199+SIN('Avaliação do resultado ML'!B199))*0.70674187</f>
        <v>#REF!</v>
      </c>
      <c r="D199" s="12" t="e">
        <f aca="false">'Modelos Propostos'!E199+'Avaliação do resultado ML'!C199-'Modelos normativos'!AQ199</f>
        <v>#REF!</v>
      </c>
      <c r="E199" s="12" t="n">
        <f aca="false">'Modelos empíricos'!I199+1.1854</f>
        <v>-0.476278722472351</v>
      </c>
      <c r="F199" s="4" t="e">
        <f aca="false">-0.01753*('Modelos normativos'!AN199-'Dataset experimental'!C199-ABS(G199)-('Modelos Propostos'!E199-'Modelos normativos'!AP199)/0.25291)</f>
        <v>#REF!</v>
      </c>
      <c r="G199" s="4" t="e">
        <f aca="false">'Dataset experimental'!K199+'Modelos empíricos'!K199^2+('Modelos Propostos'!E199-'Modelos normativos'!AQ199)*4.10553</f>
        <v>#REF!</v>
      </c>
      <c r="H199" s="4" t="e">
        <f aca="false">0.03283*(J199+K199)</f>
        <v>#REF!</v>
      </c>
      <c r="I199" s="4" t="e">
        <f aca="false">(1.61428/'Dataset experimental'!Q199)^3</f>
        <v>#REF!</v>
      </c>
      <c r="J199" s="4" t="e">
        <f aca="false">SIN('Dataset experimental'!E199)+1.450178*(SIN('Avaliação do resultado ML'!I199)+'Dataset experimental'!C199)</f>
        <v>#REF!</v>
      </c>
      <c r="K199" s="4" t="e">
        <f aca="false">('Modelos empíricos'!C199-'Dataset experimental'!G199)*'Dataset experimental'!AE199-'Modelos normativos'!AP199</f>
        <v>#REF!</v>
      </c>
      <c r="L199" s="4" t="n">
        <f aca="false">0.0076*'Dataset experimental'!B199+'Avaliação do resultado ML'!M199+'Avaliação do resultado ML'!N199+(-0.0328)*(0.0171*'Dataset experimental'!AD199-0.9442)*'Avaliação do resultado ML'!O199-'Avaliação do resultado ML'!P199-0.0364</f>
        <v>0.0515485515025428</v>
      </c>
      <c r="M199" s="12" t="n">
        <f aca="false">0.03283*SIN(0.7328*'Dataset experimental'!D199-1.8266)</f>
        <v>0.0177545953681451</v>
      </c>
      <c r="N199" s="12" t="n">
        <f aca="false">0.0476*SIN(4.2067/(0.0095*'Dataset experimental'!P199-1.9338)^3)</f>
        <v>0.00374446193320229</v>
      </c>
      <c r="O199" s="12" t="n">
        <f aca="false">0.0214*'Dataset experimental'!F199-3.1067*'Dataset experimental'!B199*'Dataset experimental'!P199*('Dataset experimental'!T199-'Dataset experimental'!R199)*(0.39*'Dataset experimental'!P199*'Dataset experimental'!T199/'Dataset experimental'!V199-'Dataset experimental'!Z199+3.12)/(100000*'Dataset experimental'!V199)+0.7995</f>
        <v>0.88697531249052</v>
      </c>
      <c r="P199" s="12" t="n">
        <f aca="false">0.4461*('Dataset experimental'!Z199-0.6*'Modelos normativos'!AB199)*(3.4*'Dataset experimental'!L199+0.17*'Dataset experimental'!B199/'Modelos normativos'!AC199)/200000</f>
        <v>0.0617787868857836</v>
      </c>
      <c r="Q199" s="4" t="e">
        <f aca="false">L199/H199</f>
        <v>#REF!</v>
      </c>
      <c r="R199" s="4" t="e">
        <f aca="false">(-0.042-0.014*'Com TS variável MC2020'!Q208)*('Modelos normativos'!AP199-ABS('Modelos Propostos'!K199)-'Dataset experimental'!W199+COS(S199))</f>
        <v>#REF!</v>
      </c>
      <c r="S199" s="4" t="e">
        <f aca="false">'Dataset experimental'!O199-('Modelos normativos'!AQ199-SIN(0.083/('Dataset experimental'!M199-'Dataset experimental'!O199))-'Modelos empíricos'!I199)/0.646</f>
        <v>#REF!</v>
      </c>
      <c r="W199" s="4" t="e">
        <f aca="false">'Modelos normativos'!S199+'Avaliação do resultado ML'!A199</f>
        <v>#REF!</v>
      </c>
      <c r="X199" s="4" t="e">
        <f aca="false">W199/'Dataset experimental'!$AF199</f>
        <v>#REF!</v>
      </c>
      <c r="AJ199" s="4" t="e">
        <f aca="false">'Modelos Propostos'!B199+H199</f>
        <v>#REF!</v>
      </c>
      <c r="AK199" s="4" t="e">
        <f aca="false">AJ199/'Dataset experimental'!$AF199</f>
        <v>#REF!</v>
      </c>
      <c r="AV199" s="4" t="e">
        <f aca="false">'Modelos normativos'!S199+F199</f>
        <v>#REF!</v>
      </c>
      <c r="AW199" s="4" t="e">
        <f aca="false">AV199/'Dataset experimental'!$AF199</f>
        <v>#REF!</v>
      </c>
      <c r="BH199" s="4" t="e">
        <f aca="false">'Modelos Propostos'!B199+R199</f>
        <v>#REF!</v>
      </c>
      <c r="BI199" s="4" t="e">
        <f aca="false">BH199/'Dataset experimental'!$AF199</f>
        <v>#REF!</v>
      </c>
      <c r="BT199" s="4" t="n">
        <f aca="false">'Modelos Propostos'!B199+L199</f>
        <v>0.162678226226117</v>
      </c>
      <c r="BU199" s="4" t="n">
        <f aca="false">BT199/'Dataset experimental'!$AF199</f>
        <v>1.08452150817411</v>
      </c>
    </row>
    <row r="200" customFormat="false" ht="14.25" hidden="false" customHeight="false" outlineLevel="0" collapsed="false">
      <c r="A200" s="4" t="e">
        <f aca="false">0.0894*ABS(D200)-0.01603*E200</f>
        <v>#REF!</v>
      </c>
      <c r="B200" s="12" t="e">
        <f aca="false">'Dataset experimental'!K200*COS('Dataset experimental'!AC200)-'Dataset experimental'!M200-'Dataset experimental'!C200</f>
        <v>#REF!</v>
      </c>
      <c r="C200" s="12" t="e">
        <f aca="false">('Dataset experimental'!AE200+SIN('Avaliação do resultado ML'!B200))*0.70674187</f>
        <v>#REF!</v>
      </c>
      <c r="D200" s="12" t="e">
        <f aca="false">'Modelos Propostos'!E200+'Avaliação do resultado ML'!C200-'Modelos normativos'!AQ200</f>
        <v>#REF!</v>
      </c>
      <c r="E200" s="12" t="n">
        <f aca="false">'Modelos empíricos'!I200+1.1854</f>
        <v>-0.0230982274845324</v>
      </c>
      <c r="F200" s="4" t="e">
        <f aca="false">-0.01753*('Modelos normativos'!AN200-'Dataset experimental'!C200-ABS(G200)-('Modelos Propostos'!E200-'Modelos normativos'!AP200)/0.25291)</f>
        <v>#REF!</v>
      </c>
      <c r="G200" s="4" t="e">
        <f aca="false">'Dataset experimental'!K200+'Modelos empíricos'!K200^2+('Modelos Propostos'!E200-'Modelos normativos'!AQ200)*4.10553</f>
        <v>#REF!</v>
      </c>
      <c r="H200" s="4" t="e">
        <f aca="false">0.03283*(J200+K200)</f>
        <v>#REF!</v>
      </c>
      <c r="I200" s="4" t="e">
        <f aca="false">(1.61428/'Dataset experimental'!Q200)^3</f>
        <v>#REF!</v>
      </c>
      <c r="J200" s="4" t="e">
        <f aca="false">SIN('Dataset experimental'!E200)+1.450178*(SIN('Avaliação do resultado ML'!I200)+'Dataset experimental'!C200)</f>
        <v>#REF!</v>
      </c>
      <c r="K200" s="4" t="e">
        <f aca="false">('Modelos empíricos'!C200-'Dataset experimental'!G200)*'Dataset experimental'!AE200-'Modelos normativos'!AP200</f>
        <v>#REF!</v>
      </c>
      <c r="L200" s="4" t="n">
        <f aca="false">0.0076*'Dataset experimental'!B200+'Avaliação do resultado ML'!M200+'Avaliação do resultado ML'!N200+(-0.0328)*(0.0171*'Dataset experimental'!AD200-0.9442)*'Avaliação do resultado ML'!O200-'Avaliação do resultado ML'!P200-0.0364</f>
        <v>0.0340899347622109</v>
      </c>
      <c r="M200" s="12" t="n">
        <f aca="false">0.03283*SIN(0.7328*'Dataset experimental'!D200-1.8266)</f>
        <v>0.0177545953681451</v>
      </c>
      <c r="N200" s="12" t="n">
        <f aca="false">0.0476*SIN(4.2067/(0.0095*'Dataset experimental'!P200-1.9338)^3)</f>
        <v>0.00374446193320229</v>
      </c>
      <c r="O200" s="12" t="n">
        <f aca="false">0.0214*'Dataset experimental'!F200-3.1067*'Dataset experimental'!B200*'Dataset experimental'!P200*('Dataset experimental'!T200-'Dataset experimental'!R200)*(0.39*'Dataset experimental'!P200*'Dataset experimental'!T200/'Dataset experimental'!V200-'Dataset experimental'!Z200+3.12)/(100000*'Dataset experimental'!V200)+0.7995</f>
        <v>0.311908833809106</v>
      </c>
      <c r="P200" s="12" t="n">
        <f aca="false">0.4461*('Dataset experimental'!Z200-0.6*'Modelos normativos'!AB200)*(3.4*'Dataset experimental'!L200+0.17*'Dataset experimental'!B200/'Modelos normativos'!AC200)/200000</f>
        <v>0.0901011622189006</v>
      </c>
      <c r="Q200" s="4" t="e">
        <f aca="false">L200/H200</f>
        <v>#REF!</v>
      </c>
      <c r="R200" s="4" t="e">
        <f aca="false">(-0.042-0.014*'Com TS variável MC2020'!Q209)*('Modelos normativos'!AP200-ABS('Modelos Propostos'!K200)-'Dataset experimental'!W200+COS(S200))</f>
        <v>#REF!</v>
      </c>
      <c r="S200" s="4" t="e">
        <f aca="false">'Dataset experimental'!O200-('Modelos normativos'!AQ200-SIN(0.083/('Dataset experimental'!M200-'Dataset experimental'!O200))-'Modelos empíricos'!I200)/0.646</f>
        <v>#REF!</v>
      </c>
      <c r="W200" s="4" t="e">
        <f aca="false">'Modelos normativos'!S200+'Avaliação do resultado ML'!A200</f>
        <v>#REF!</v>
      </c>
      <c r="X200" s="4" t="e">
        <f aca="false">W200/'Dataset experimental'!$AF200</f>
        <v>#REF!</v>
      </c>
      <c r="AJ200" s="4" t="e">
        <f aca="false">'Modelos Propostos'!B200+H200</f>
        <v>#REF!</v>
      </c>
      <c r="AK200" s="4" t="e">
        <f aca="false">AJ200/'Dataset experimental'!$AF200</f>
        <v>#REF!</v>
      </c>
      <c r="AV200" s="4" t="e">
        <f aca="false">'Modelos normativos'!S200+F200</f>
        <v>#REF!</v>
      </c>
      <c r="AW200" s="4" t="e">
        <f aca="false">AV200/'Dataset experimental'!$AF200</f>
        <v>#REF!</v>
      </c>
      <c r="BH200" s="4" t="e">
        <f aca="false">'Modelos Propostos'!B200+R200</f>
        <v>#REF!</v>
      </c>
      <c r="BI200" s="4" t="e">
        <f aca="false">BH200/'Dataset experimental'!$AF200</f>
        <v>#REF!</v>
      </c>
      <c r="BT200" s="4" t="n">
        <f aca="false">'Modelos Propostos'!B200+L200</f>
        <v>0.208561867943617</v>
      </c>
      <c r="BU200" s="4" t="n">
        <f aca="false">BT200/'Dataset experimental'!$AF200</f>
        <v>0.90679073018964</v>
      </c>
    </row>
    <row r="201" customFormat="false" ht="14.25" hidden="false" customHeight="false" outlineLevel="0" collapsed="false">
      <c r="A201" s="4" t="e">
        <f aca="false">0.0894*ABS(D201)-0.01603*E201</f>
        <v>#REF!</v>
      </c>
      <c r="B201" s="12" t="e">
        <f aca="false">'Dataset experimental'!K201*COS('Dataset experimental'!AC201)-'Dataset experimental'!M201-'Dataset experimental'!C201</f>
        <v>#REF!</v>
      </c>
      <c r="C201" s="12" t="e">
        <f aca="false">('Dataset experimental'!AE201+SIN('Avaliação do resultado ML'!B201))*0.70674187</f>
        <v>#REF!</v>
      </c>
      <c r="D201" s="12" t="e">
        <f aca="false">'Modelos Propostos'!E201+'Avaliação do resultado ML'!C201-'Modelos normativos'!AQ201</f>
        <v>#REF!</v>
      </c>
      <c r="E201" s="12" t="n">
        <f aca="false">'Modelos empíricos'!I201+1.1854</f>
        <v>0.430082267503285</v>
      </c>
      <c r="F201" s="4" t="e">
        <f aca="false">-0.01753*('Modelos normativos'!AN201-'Dataset experimental'!C201-ABS(G201)-('Modelos Propostos'!E201-'Modelos normativos'!AP201)/0.25291)</f>
        <v>#REF!</v>
      </c>
      <c r="G201" s="4" t="e">
        <f aca="false">'Dataset experimental'!K201+'Modelos empíricos'!K201^2+('Modelos Propostos'!E201-'Modelos normativos'!AQ201)*4.10553</f>
        <v>#REF!</v>
      </c>
      <c r="H201" s="4" t="e">
        <f aca="false">0.03283*(J201+K201)</f>
        <v>#REF!</v>
      </c>
      <c r="I201" s="4" t="e">
        <f aca="false">(1.61428/'Dataset experimental'!Q201)^3</f>
        <v>#REF!</v>
      </c>
      <c r="J201" s="4" t="e">
        <f aca="false">SIN('Dataset experimental'!E201)+1.450178*(SIN('Avaliação do resultado ML'!I201)+'Dataset experimental'!C201)</f>
        <v>#REF!</v>
      </c>
      <c r="K201" s="4" t="e">
        <f aca="false">('Modelos empíricos'!C201-'Dataset experimental'!G201)*'Dataset experimental'!AE201-'Modelos normativos'!AP201</f>
        <v>#REF!</v>
      </c>
      <c r="L201" s="4" t="n">
        <f aca="false">0.0076*'Dataset experimental'!B201+'Avaliação do resultado ML'!M201+'Avaliação do resultado ML'!N201+(-0.0328)*(0.0171*'Dataset experimental'!AD201-0.9442)*'Avaliação do resultado ML'!O201-'Avaliação do resultado ML'!P201-0.0364</f>
        <v>0.033403568923146</v>
      </c>
      <c r="M201" s="12" t="n">
        <f aca="false">0.03283*SIN(0.7328*'Dataset experimental'!D201-1.8266)</f>
        <v>0.0177545953681451</v>
      </c>
      <c r="N201" s="12" t="n">
        <f aca="false">0.0476*SIN(4.2067/(0.0095*'Dataset experimental'!P201-1.9338)^3)</f>
        <v>0.00374446193320229</v>
      </c>
      <c r="O201" s="12" t="n">
        <f aca="false">0.0214*'Dataset experimental'!F201-3.1067*'Dataset experimental'!B201*'Dataset experimental'!P201*('Dataset experimental'!T201-'Dataset experimental'!R201)*(0.39*'Dataset experimental'!P201*'Dataset experimental'!T201/'Dataset experimental'!V201-'Dataset experimental'!Z201+3.12)/(100000*'Dataset experimental'!V201)+0.7995</f>
        <v>-0.263157644872306</v>
      </c>
      <c r="P201" s="12" t="n">
        <f aca="false">0.4461*('Dataset experimental'!Z201-0.6*'Modelos normativos'!AB201)*(3.4*'Dataset experimental'!L201+0.17*'Dataset experimental'!B201/'Modelos normativos'!AC201)/200000</f>
        <v>0.118423537552018</v>
      </c>
      <c r="Q201" s="4" t="e">
        <f aca="false">L201/H201</f>
        <v>#REF!</v>
      </c>
      <c r="R201" s="4" t="e">
        <f aca="false">(-0.042-0.014*'Com TS variável MC2020'!Q210)*('Modelos normativos'!AP201-ABS('Modelos Propostos'!K201)-'Dataset experimental'!W201+COS(S201))</f>
        <v>#REF!</v>
      </c>
      <c r="S201" s="4" t="e">
        <f aca="false">'Dataset experimental'!O201-('Modelos normativos'!AQ201-SIN(0.083/('Dataset experimental'!M201-'Dataset experimental'!O201))-'Modelos empíricos'!I201)/0.646</f>
        <v>#REF!</v>
      </c>
      <c r="W201" s="4" t="e">
        <f aca="false">'Modelos normativos'!S201+'Avaliação do resultado ML'!A201</f>
        <v>#REF!</v>
      </c>
      <c r="X201" s="4" t="e">
        <f aca="false">W201/'Dataset experimental'!$AF201</f>
        <v>#REF!</v>
      </c>
      <c r="AJ201" s="4" t="e">
        <f aca="false">'Modelos Propostos'!B201+H201</f>
        <v>#REF!</v>
      </c>
      <c r="AK201" s="4" t="e">
        <f aca="false">AJ201/'Dataset experimental'!$AF201</f>
        <v>#REF!</v>
      </c>
      <c r="AV201" s="4" t="e">
        <f aca="false">'Modelos normativos'!S201+F201</f>
        <v>#REF!</v>
      </c>
      <c r="AW201" s="4" t="e">
        <f aca="false">AV201/'Dataset experimental'!$AF201</f>
        <v>#REF!</v>
      </c>
      <c r="BH201" s="4" t="e">
        <f aca="false">'Modelos Propostos'!B201+R201</f>
        <v>#REF!</v>
      </c>
      <c r="BI201" s="4" t="e">
        <f aca="false">BH201/'Dataset experimental'!$AF201</f>
        <v>#REF!</v>
      </c>
      <c r="BT201" s="4" t="n">
        <f aca="false">'Modelos Propostos'!B201+L201</f>
        <v>0.306807185623135</v>
      </c>
      <c r="BU201" s="4" t="n">
        <f aca="false">BT201/'Dataset experimental'!$AF201</f>
        <v>1.09573994865405</v>
      </c>
    </row>
    <row r="202" customFormat="false" ht="14.25" hidden="false" customHeight="false" outlineLevel="0" collapsed="false">
      <c r="A202" s="4" t="e">
        <f aca="false">0.0894*ABS(D202)-0.01603*E202</f>
        <v>#REF!</v>
      </c>
      <c r="B202" s="12" t="e">
        <f aca="false">'Dataset experimental'!K202*COS('Dataset experimental'!AC202)-'Dataset experimental'!M202-'Dataset experimental'!C202</f>
        <v>#REF!</v>
      </c>
      <c r="C202" s="12" t="e">
        <f aca="false">('Dataset experimental'!AE202+SIN('Avaliação do resultado ML'!B202))*0.70674187</f>
        <v>#REF!</v>
      </c>
      <c r="D202" s="12" t="e">
        <f aca="false">'Modelos Propostos'!E202+'Avaliação do resultado ML'!C202-'Modelos normativos'!AQ202</f>
        <v>#REF!</v>
      </c>
      <c r="E202" s="12" t="n">
        <f aca="false">'Modelos empíricos'!I202+1.1854</f>
        <v>-0.817483443556722</v>
      </c>
      <c r="F202" s="4" t="e">
        <f aca="false">-0.01753*('Modelos normativos'!AN202-'Dataset experimental'!C202-ABS(G202)-('Modelos Propostos'!E202-'Modelos normativos'!AP202)/0.25291)</f>
        <v>#REF!</v>
      </c>
      <c r="G202" s="4" t="e">
        <f aca="false">'Dataset experimental'!K202+'Modelos empíricos'!K202^2+('Modelos Propostos'!E202-'Modelos normativos'!AQ202)*4.10553</f>
        <v>#REF!</v>
      </c>
      <c r="H202" s="4" t="e">
        <f aca="false">0.03283*(J202+K202)</f>
        <v>#REF!</v>
      </c>
      <c r="I202" s="4" t="e">
        <f aca="false">(1.61428/'Dataset experimental'!Q202)^3</f>
        <v>#REF!</v>
      </c>
      <c r="J202" s="4" t="e">
        <f aca="false">SIN('Dataset experimental'!E202)+1.450178*(SIN('Avaliação do resultado ML'!I202)+'Dataset experimental'!C202)</f>
        <v>#REF!</v>
      </c>
      <c r="K202" s="4" t="e">
        <f aca="false">('Modelos empíricos'!C202-'Dataset experimental'!G202)*'Dataset experimental'!AE202-'Modelos normativos'!AP202</f>
        <v>#REF!</v>
      </c>
      <c r="L202" s="4" t="n">
        <f aca="false">0.0076*'Dataset experimental'!B202+'Avaliação do resultado ML'!M202+'Avaliação do resultado ML'!N202+(-0.0328)*(0.0171*'Dataset experimental'!AD202-0.9442)*'Avaliação do resultado ML'!O202-'Avaliação do resultado ML'!P202-0.0364</f>
        <v>-0.0059433899173925</v>
      </c>
      <c r="M202" s="12" t="n">
        <f aca="false">0.03283*SIN(0.7328*'Dataset experimental'!D202-1.8266)</f>
        <v>-0.0327781475289626</v>
      </c>
      <c r="N202" s="12" t="n">
        <f aca="false">0.0476*SIN(4.2067/(0.0095*'Dataset experimental'!P202-1.9338)^3)</f>
        <v>0.00374446193320229</v>
      </c>
      <c r="O202" s="12" t="n">
        <f aca="false">0.0214*'Dataset experimental'!F202-3.1067*'Dataset experimental'!B202*'Dataset experimental'!P202*('Dataset experimental'!T202-'Dataset experimental'!R202)*(0.39*'Dataset experimental'!P202*'Dataset experimental'!T202/'Dataset experimental'!V202-'Dataset experimental'!Z202+3.12)/(100000*'Dataset experimental'!V202)+0.7995</f>
        <v>0.530707732682662</v>
      </c>
      <c r="P202" s="12" t="n">
        <f aca="false">0.4461*('Dataset experimental'!Z202-0.6*'Modelos normativos'!AB202)*(3.4*'Dataset experimental'!L202+0.17*'Dataset experimental'!B202/'Modelos normativos'!AC202)/200000</f>
        <v>0.0645937558200077</v>
      </c>
      <c r="Q202" s="4" t="e">
        <f aca="false">L202/H202</f>
        <v>#REF!</v>
      </c>
      <c r="R202" s="4" t="e">
        <f aca="false">(-0.042-0.014*'Com TS variável MC2020'!Q211)*('Modelos normativos'!AP202-ABS('Modelos Propostos'!K202)-'Dataset experimental'!W202+COS(S202))</f>
        <v>#REF!</v>
      </c>
      <c r="S202" s="4" t="e">
        <f aca="false">'Dataset experimental'!O202-('Modelos normativos'!AQ202-SIN(0.083/('Dataset experimental'!M202-'Dataset experimental'!O202))-'Modelos empíricos'!I202)/0.646</f>
        <v>#REF!</v>
      </c>
      <c r="W202" s="4" t="e">
        <f aca="false">'Modelos normativos'!S202+'Avaliação do resultado ML'!A202</f>
        <v>#REF!</v>
      </c>
      <c r="X202" s="4" t="e">
        <f aca="false">W202/'Dataset experimental'!$AF202</f>
        <v>#REF!</v>
      </c>
      <c r="AJ202" s="4" t="e">
        <f aca="false">'Modelos Propostos'!B202+H202</f>
        <v>#REF!</v>
      </c>
      <c r="AK202" s="4" t="e">
        <f aca="false">AJ202/'Dataset experimental'!$AF202</f>
        <v>#REF!</v>
      </c>
      <c r="AV202" s="4" t="e">
        <f aca="false">'Modelos normativos'!S202+F202</f>
        <v>#REF!</v>
      </c>
      <c r="AW202" s="4" t="e">
        <f aca="false">AV202/'Dataset experimental'!$AF202</f>
        <v>#REF!</v>
      </c>
      <c r="BH202" s="4" t="e">
        <f aca="false">'Modelos Propostos'!B202+R202</f>
        <v>#REF!</v>
      </c>
      <c r="BI202" s="4" t="e">
        <f aca="false">BH202/'Dataset experimental'!$AF202</f>
        <v>#REF!</v>
      </c>
      <c r="BT202" s="4" t="n">
        <f aca="false">'Modelos Propostos'!B202+L202</f>
        <v>0.112004826796143</v>
      </c>
      <c r="BU202" s="4" t="n">
        <f aca="false">BT202/'Dataset experimental'!$AF202</f>
        <v>0.62224903775635</v>
      </c>
    </row>
    <row r="203" customFormat="false" ht="14.25" hidden="false" customHeight="false" outlineLevel="0" collapsed="false">
      <c r="A203" s="4" t="e">
        <f aca="false">0.0894*ABS(D203)-0.01603*E203</f>
        <v>#REF!</v>
      </c>
      <c r="B203" s="12" t="e">
        <f aca="false">'Dataset experimental'!K203*COS('Dataset experimental'!AC203)-'Dataset experimental'!M203-'Dataset experimental'!C203</f>
        <v>#REF!</v>
      </c>
      <c r="C203" s="12" t="e">
        <f aca="false">('Dataset experimental'!AE203+SIN('Avaliação do resultado ML'!B203))*0.70674187</f>
        <v>#REF!</v>
      </c>
      <c r="D203" s="12" t="e">
        <f aca="false">'Modelos Propostos'!E203+'Avaliação do resultado ML'!C203-'Modelos normativos'!AQ203</f>
        <v>#REF!</v>
      </c>
      <c r="E203" s="12" t="n">
        <f aca="false">'Modelos empíricos'!I203+1.1854</f>
        <v>-0.480439560968036</v>
      </c>
      <c r="F203" s="4" t="e">
        <f aca="false">-0.01753*('Modelos normativos'!AN203-'Dataset experimental'!C203-ABS(G203)-('Modelos Propostos'!E203-'Modelos normativos'!AP203)/0.25291)</f>
        <v>#REF!</v>
      </c>
      <c r="G203" s="4" t="e">
        <f aca="false">'Dataset experimental'!K203+'Modelos empíricos'!K203^2+('Modelos Propostos'!E203-'Modelos normativos'!AQ203)*4.10553</f>
        <v>#REF!</v>
      </c>
      <c r="H203" s="4" t="e">
        <f aca="false">0.03283*(J203+K203)</f>
        <v>#REF!</v>
      </c>
      <c r="I203" s="4" t="e">
        <f aca="false">(1.61428/'Dataset experimental'!Q203)^3</f>
        <v>#REF!</v>
      </c>
      <c r="J203" s="4" t="e">
        <f aca="false">SIN('Dataset experimental'!E203)+1.450178*(SIN('Avaliação do resultado ML'!I203)+'Dataset experimental'!C203)</f>
        <v>#REF!</v>
      </c>
      <c r="K203" s="4" t="e">
        <f aca="false">('Modelos empíricos'!C203-'Dataset experimental'!G203)*'Dataset experimental'!AE203-'Modelos normativos'!AP203</f>
        <v>#REF!</v>
      </c>
      <c r="L203" s="4" t="n">
        <f aca="false">0.0076*'Dataset experimental'!B203+'Avaliação do resultado ML'!M203+'Avaliação do resultado ML'!N203+(-0.0328)*(0.0171*'Dataset experimental'!AD203-0.9442)*'Avaliação do resultado ML'!O203-'Avaliação do resultado ML'!P203-0.0364</f>
        <v>-0.0131632739665063</v>
      </c>
      <c r="M203" s="12" t="n">
        <f aca="false">0.03283*SIN(0.7328*'Dataset experimental'!D203-1.8266)</f>
        <v>-0.0327781475289626</v>
      </c>
      <c r="N203" s="12" t="n">
        <f aca="false">0.0476*SIN(4.2067/(0.0095*'Dataset experimental'!P203-1.9338)^3)</f>
        <v>0.00374446193320229</v>
      </c>
      <c r="O203" s="12" t="n">
        <f aca="false">0.0214*'Dataset experimental'!F203-3.1067*'Dataset experimental'!B203*'Dataset experimental'!P203*('Dataset experimental'!T203-'Dataset experimental'!R203)*(0.39*'Dataset experimental'!P203*'Dataset experimental'!T203/'Dataset experimental'!V203-'Dataset experimental'!Z203+3.12)/(100000*'Dataset experimental'!V203)+0.7995</f>
        <v>0.159955909828515</v>
      </c>
      <c r="P203" s="12" t="n">
        <f aca="false">0.4461*('Dataset experimental'!Z203-0.6*'Modelos normativos'!AB203)*(3.4*'Dataset experimental'!L203+0.17*'Dataset experimental'!B203/'Modelos normativos'!AC203)/200000</f>
        <v>0.0879961953576579</v>
      </c>
      <c r="Q203" s="4" t="e">
        <f aca="false">L203/H203</f>
        <v>#REF!</v>
      </c>
      <c r="R203" s="4" t="e">
        <f aca="false">(-0.042-0.014*'Com TS variável MC2020'!Q212)*('Modelos normativos'!AP203-ABS('Modelos Propostos'!K203)-'Dataset experimental'!W203+COS(S203))</f>
        <v>#REF!</v>
      </c>
      <c r="S203" s="4" t="e">
        <f aca="false">'Dataset experimental'!O203-('Modelos normativos'!AQ203-SIN(0.083/('Dataset experimental'!M203-'Dataset experimental'!O203))-'Modelos empíricos'!I203)/0.646</f>
        <v>#REF!</v>
      </c>
      <c r="W203" s="4" t="e">
        <f aca="false">'Modelos normativos'!S203+'Avaliação do resultado ML'!A203</f>
        <v>#REF!</v>
      </c>
      <c r="X203" s="4" t="e">
        <f aca="false">W203/'Dataset experimental'!$AF203</f>
        <v>#REF!</v>
      </c>
      <c r="AJ203" s="4" t="e">
        <f aca="false">'Modelos Propostos'!B203+H203</f>
        <v>#REF!</v>
      </c>
      <c r="AK203" s="4" t="e">
        <f aca="false">AJ203/'Dataset experimental'!$AF203</f>
        <v>#REF!</v>
      </c>
      <c r="AV203" s="4" t="e">
        <f aca="false">'Modelos normativos'!S203+F203</f>
        <v>#REF!</v>
      </c>
      <c r="AW203" s="4" t="e">
        <f aca="false">AV203/'Dataset experimental'!$AF203</f>
        <v>#REF!</v>
      </c>
      <c r="BH203" s="4" t="e">
        <f aca="false">'Modelos Propostos'!B203+R203</f>
        <v>#REF!</v>
      </c>
      <c r="BI203" s="4" t="e">
        <f aca="false">BH203/'Dataset experimental'!$AF203</f>
        <v>#REF!</v>
      </c>
      <c r="BT203" s="4" t="n">
        <f aca="false">'Modelos Propostos'!B203+L203</f>
        <v>0.169932878018443</v>
      </c>
      <c r="BU203" s="4" t="n">
        <f aca="false">BT203/'Dataset experimental'!$AF203</f>
        <v>0.653587992378627</v>
      </c>
    </row>
    <row r="204" customFormat="false" ht="14.25" hidden="false" customHeight="false" outlineLevel="0" collapsed="false">
      <c r="A204" s="4" t="e">
        <f aca="false">0.0894*ABS(D204)-0.01603*E204</f>
        <v>#REF!</v>
      </c>
      <c r="B204" s="12" t="e">
        <f aca="false">'Dataset experimental'!K204*COS('Dataset experimental'!AC204)-'Dataset experimental'!M204-'Dataset experimental'!C204</f>
        <v>#REF!</v>
      </c>
      <c r="C204" s="12" t="e">
        <f aca="false">('Dataset experimental'!AE204+SIN('Avaliação do resultado ML'!B204))*0.70674187</f>
        <v>#REF!</v>
      </c>
      <c r="D204" s="12" t="e">
        <f aca="false">'Modelos Propostos'!E204+'Avaliação do resultado ML'!C204-'Modelos normativos'!AQ204</f>
        <v>#REF!</v>
      </c>
      <c r="E204" s="12" t="n">
        <f aca="false">'Modelos empíricos'!I204+1.1854</f>
        <v>-0.143395678379351</v>
      </c>
      <c r="F204" s="4" t="e">
        <f aca="false">-0.01753*('Modelos normativos'!AN204-'Dataset experimental'!C204-ABS(G204)-('Modelos Propostos'!E204-'Modelos normativos'!AP204)/0.25291)</f>
        <v>#REF!</v>
      </c>
      <c r="G204" s="4" t="e">
        <f aca="false">'Dataset experimental'!K204+'Modelos empíricos'!K204^2+('Modelos Propostos'!E204-'Modelos normativos'!AQ204)*4.10553</f>
        <v>#REF!</v>
      </c>
      <c r="H204" s="4" t="e">
        <f aca="false">0.03283*(J204+K204)</f>
        <v>#REF!</v>
      </c>
      <c r="I204" s="4" t="e">
        <f aca="false">(1.61428/'Dataset experimental'!Q204)^3</f>
        <v>#REF!</v>
      </c>
      <c r="J204" s="4" t="e">
        <f aca="false">SIN('Dataset experimental'!E204)+1.450178*(SIN('Avaliação do resultado ML'!I204)+'Dataset experimental'!C204)</f>
        <v>#REF!</v>
      </c>
      <c r="K204" s="4" t="e">
        <f aca="false">('Modelos empíricos'!C204-'Dataset experimental'!G204)*'Dataset experimental'!AE204-'Modelos normativos'!AP204</f>
        <v>#REF!</v>
      </c>
      <c r="L204" s="4" t="n">
        <f aca="false">0.0076*'Dataset experimental'!B204+'Avaliação do resultado ML'!M204+'Avaliação do resultado ML'!N204+(-0.0328)*(0.0171*'Dataset experimental'!AD204-0.9442)*'Avaliação do resultado ML'!O204-'Avaliação do resultado ML'!P204-0.0364</f>
        <v>-0.00499505911784</v>
      </c>
      <c r="M204" s="12" t="n">
        <f aca="false">0.03283*SIN(0.7328*'Dataset experimental'!D204-1.8266)</f>
        <v>-0.0327781475289626</v>
      </c>
      <c r="N204" s="12" t="n">
        <f aca="false">0.0476*SIN(4.2067/(0.0095*'Dataset experimental'!P204-1.9338)^3)</f>
        <v>0.00374446193320229</v>
      </c>
      <c r="O204" s="12" t="n">
        <f aca="false">0.0214*'Dataset experimental'!F204-3.1067*'Dataset experimental'!B204*'Dataset experimental'!P204*('Dataset experimental'!T204-'Dataset experimental'!R204)*(0.39*'Dataset experimental'!P204*'Dataset experimental'!T204/'Dataset experimental'!V204-'Dataset experimental'!Z204+3.12)/(100000*'Dataset experimental'!V204)+0.7995</f>
        <v>-0.210795913025631</v>
      </c>
      <c r="P204" s="12" t="n">
        <f aca="false">0.4461*('Dataset experimental'!Z204-0.6*'Modelos normativos'!AB204)*(3.4*'Dataset experimental'!L204+0.17*'Dataset experimental'!B204/'Modelos normativos'!AC204)/200000</f>
        <v>0.111398634895308</v>
      </c>
      <c r="Q204" s="4" t="e">
        <f aca="false">L204/H204</f>
        <v>#REF!</v>
      </c>
      <c r="R204" s="4" t="e">
        <f aca="false">(-0.042-0.014*'Com TS variável MC2020'!Q213)*('Modelos normativos'!AP204-ABS('Modelos Propostos'!K204)-'Dataset experimental'!W204+COS(S204))</f>
        <v>#REF!</v>
      </c>
      <c r="S204" s="4" t="e">
        <f aca="false">'Dataset experimental'!O204-('Modelos normativos'!AQ204-SIN(0.083/('Dataset experimental'!M204-'Dataset experimental'!O204))-'Modelos empíricos'!I204)/0.646</f>
        <v>#REF!</v>
      </c>
      <c r="W204" s="4" t="e">
        <f aca="false">'Modelos normativos'!S204+'Avaliação do resultado ML'!A204</f>
        <v>#REF!</v>
      </c>
      <c r="X204" s="4" t="e">
        <f aca="false">W204/'Dataset experimental'!$AF204</f>
        <v>#REF!</v>
      </c>
      <c r="AJ204" s="4" t="e">
        <f aca="false">'Modelos Propostos'!B204+H204</f>
        <v>#REF!</v>
      </c>
      <c r="AK204" s="4" t="e">
        <f aca="false">AJ204/'Dataset experimental'!$AF204</f>
        <v>#REF!</v>
      </c>
      <c r="AV204" s="4" t="e">
        <f aca="false">'Modelos normativos'!S204+F204</f>
        <v>#REF!</v>
      </c>
      <c r="AW204" s="4" t="e">
        <f aca="false">AV204/'Dataset experimental'!$AF204</f>
        <v>#REF!</v>
      </c>
      <c r="BH204" s="4" t="e">
        <f aca="false">'Modelos Propostos'!B204+R204</f>
        <v>#REF!</v>
      </c>
      <c r="BI204" s="4" t="e">
        <f aca="false">BH204/'Dataset experimental'!$AF204</f>
        <v>#REF!</v>
      </c>
      <c r="BT204" s="4" t="n">
        <f aca="false">'Modelos Propostos'!B204+L204</f>
        <v>0.251762799045727</v>
      </c>
      <c r="BU204" s="4" t="n">
        <f aca="false">BT204/'Dataset experimental'!$AF204</f>
        <v>0.740478820722726</v>
      </c>
    </row>
    <row r="205" customFormat="false" ht="14.25" hidden="false" customHeight="false" outlineLevel="0" collapsed="false">
      <c r="A205" s="4" t="e">
        <f aca="false">0.0894*ABS(D205)-0.01603*E205</f>
        <v>#REF!</v>
      </c>
      <c r="B205" s="12" t="e">
        <f aca="false">'Dataset experimental'!K205*COS('Dataset experimental'!AC205)-'Dataset experimental'!M205-'Dataset experimental'!C205</f>
        <v>#REF!</v>
      </c>
      <c r="C205" s="12" t="e">
        <f aca="false">('Dataset experimental'!AE205+SIN('Avaliação do resultado ML'!B205))*0.70674187</f>
        <v>#REF!</v>
      </c>
      <c r="D205" s="12" t="e">
        <f aca="false">'Modelos Propostos'!E205+'Avaliação do resultado ML'!C205-'Modelos normativos'!AQ205</f>
        <v>#REF!</v>
      </c>
      <c r="E205" s="12" t="n">
        <f aca="false">'Modelos empíricos'!I205+1.1854</f>
        <v>0.178514529303766</v>
      </c>
      <c r="F205" s="4" t="e">
        <f aca="false">-0.01753*('Modelos normativos'!AN205-'Dataset experimental'!C205-ABS(G205)-('Modelos Propostos'!E205-'Modelos normativos'!AP205)/0.25291)</f>
        <v>#REF!</v>
      </c>
      <c r="G205" s="4" t="e">
        <f aca="false">'Dataset experimental'!K205+'Modelos empíricos'!K205^2+('Modelos Propostos'!E205-'Modelos normativos'!AQ205)*4.10553</f>
        <v>#REF!</v>
      </c>
      <c r="H205" s="4" t="e">
        <f aca="false">0.03283*(J205+K205)</f>
        <v>#REF!</v>
      </c>
      <c r="I205" s="4" t="e">
        <f aca="false">(1.61428/'Dataset experimental'!Q205)^3</f>
        <v>#REF!</v>
      </c>
      <c r="J205" s="4" t="e">
        <f aca="false">SIN('Dataset experimental'!E205)+1.450178*(SIN('Avaliação do resultado ML'!I205)+'Dataset experimental'!C205)</f>
        <v>#REF!</v>
      </c>
      <c r="K205" s="4" t="e">
        <f aca="false">('Modelos empíricos'!C205-'Dataset experimental'!G205)*'Dataset experimental'!AE205-'Modelos normativos'!AP205</f>
        <v>#REF!</v>
      </c>
      <c r="L205" s="4" t="n">
        <f aca="false">0.0076*'Dataset experimental'!B205+'Avaliação do resultado ML'!M205+'Avaliação do resultado ML'!N205+(-0.0328)*(0.0171*'Dataset experimental'!AD205-0.9442)*'Avaliação do resultado ML'!O205-'Avaliação do resultado ML'!P205-0.0364</f>
        <v>0.00410693616207317</v>
      </c>
      <c r="M205" s="12" t="n">
        <f aca="false">0.03283*SIN(0.7328*'Dataset experimental'!D205-1.8266)</f>
        <v>-0.0115958827834406</v>
      </c>
      <c r="N205" s="12" t="n">
        <f aca="false">0.0476*SIN(4.2067/(0.0095*'Dataset experimental'!P205-1.9338)^3)</f>
        <v>-0.0237143865224017</v>
      </c>
      <c r="O205" s="12" t="n">
        <f aca="false">0.0214*'Dataset experimental'!F205-3.1067*'Dataset experimental'!B205*'Dataset experimental'!P205*('Dataset experimental'!T205-'Dataset experimental'!R205)*(0.39*'Dataset experimental'!P205*'Dataset experimental'!T205/'Dataset experimental'!V205-'Dataset experimental'!Z205+3.12)/(100000*'Dataset experimental'!V205)+0.7995</f>
        <v>0.597762423431348</v>
      </c>
      <c r="P205" s="12" t="n">
        <f aca="false">0.4461*('Dataset experimental'!Z205-0.6*'Modelos normativos'!AB205)*(3.4*'Dataset experimental'!L205+0.17*'Dataset experimental'!B205/'Modelos normativos'!AC205)/200000</f>
        <v>0.0587046762469684</v>
      </c>
      <c r="Q205" s="4" t="e">
        <f aca="false">L205/H205</f>
        <v>#REF!</v>
      </c>
      <c r="R205" s="4" t="e">
        <f aca="false">(-0.042-0.014*'Com TS variável MC2020'!Q214)*('Modelos normativos'!AP205-ABS('Modelos Propostos'!K205)-'Dataset experimental'!W205+COS(S205))</f>
        <v>#REF!</v>
      </c>
      <c r="S205" s="4" t="e">
        <f aca="false">'Dataset experimental'!O205-('Modelos normativos'!AQ205-SIN(0.083/('Dataset experimental'!M205-'Dataset experimental'!O205))-'Modelos empíricos'!I205)/0.646</f>
        <v>#REF!</v>
      </c>
      <c r="W205" s="4" t="e">
        <f aca="false">'Modelos normativos'!S205+'Avaliação do resultado ML'!A205</f>
        <v>#REF!</v>
      </c>
      <c r="X205" s="4" t="e">
        <f aca="false">W205/'Dataset experimental'!$AF205</f>
        <v>#REF!</v>
      </c>
      <c r="AJ205" s="4" t="e">
        <f aca="false">'Modelos Propostos'!B205+H205</f>
        <v>#REF!</v>
      </c>
      <c r="AK205" s="4" t="e">
        <f aca="false">AJ205/'Dataset experimental'!$AF205</f>
        <v>#REF!</v>
      </c>
      <c r="AV205" s="4" t="e">
        <f aca="false">'Modelos normativos'!S205+F205</f>
        <v>#REF!</v>
      </c>
      <c r="AW205" s="4" t="e">
        <f aca="false">AV205/'Dataset experimental'!$AF205</f>
        <v>#REF!</v>
      </c>
      <c r="BH205" s="4" t="e">
        <f aca="false">'Modelos Propostos'!B205+R205</f>
        <v>#REF!</v>
      </c>
      <c r="BI205" s="4" t="e">
        <f aca="false">BH205/'Dataset experimental'!$AF205</f>
        <v>#REF!</v>
      </c>
      <c r="BT205" s="4" t="n">
        <f aca="false">'Modelos Propostos'!B205+L205</f>
        <v>0.135897149657078</v>
      </c>
      <c r="BU205" s="4" t="n">
        <f aca="false">BT205/'Dataset experimental'!$AF205</f>
        <v>0.905980997713853</v>
      </c>
    </row>
    <row r="206" customFormat="false" ht="14.25" hidden="false" customHeight="false" outlineLevel="0" collapsed="false">
      <c r="A206" s="4" t="e">
        <f aca="false">0.0894*ABS(D206)-0.01603*E206</f>
        <v>#REF!</v>
      </c>
      <c r="B206" s="12" t="e">
        <f aca="false">'Dataset experimental'!K206*COS('Dataset experimental'!AC206)-'Dataset experimental'!M206-'Dataset experimental'!C206</f>
        <v>#REF!</v>
      </c>
      <c r="C206" s="12" t="e">
        <f aca="false">('Dataset experimental'!AE206+SIN('Avaliação do resultado ML'!B206))*0.70674187</f>
        <v>#REF!</v>
      </c>
      <c r="D206" s="12" t="e">
        <f aca="false">'Modelos Propostos'!E206+'Avaliação do resultado ML'!C206-'Modelos normativos'!AQ206</f>
        <v>#REF!</v>
      </c>
      <c r="E206" s="12" t="n">
        <f aca="false">'Modelos empíricos'!I206+1.1854</f>
        <v>1.02269268913949</v>
      </c>
      <c r="F206" s="4" t="e">
        <f aca="false">-0.01753*('Modelos normativos'!AN206-'Dataset experimental'!C206-ABS(G206)-('Modelos Propostos'!E206-'Modelos normativos'!AP206)/0.25291)</f>
        <v>#REF!</v>
      </c>
      <c r="G206" s="4" t="e">
        <f aca="false">'Dataset experimental'!K206+'Modelos empíricos'!K206^2+('Modelos Propostos'!E206-'Modelos normativos'!AQ206)*4.10553</f>
        <v>#REF!</v>
      </c>
      <c r="H206" s="4" t="e">
        <f aca="false">0.03283*(J206+K206)</f>
        <v>#REF!</v>
      </c>
      <c r="I206" s="4" t="e">
        <f aca="false">(1.61428/'Dataset experimental'!Q206)^3</f>
        <v>#REF!</v>
      </c>
      <c r="J206" s="4" t="e">
        <f aca="false">SIN('Dataset experimental'!E206)+1.450178*(SIN('Avaliação do resultado ML'!I206)+'Dataset experimental'!C206)</f>
        <v>#REF!</v>
      </c>
      <c r="K206" s="4" t="e">
        <f aca="false">('Modelos empíricos'!C206-'Dataset experimental'!G206)*'Dataset experimental'!AE206-'Modelos normativos'!AP206</f>
        <v>#REF!</v>
      </c>
      <c r="L206" s="4" t="n">
        <f aca="false">0.0076*'Dataset experimental'!B206+'Avaliação do resultado ML'!M206+'Avaliação do resultado ML'!N206+(-0.0328)*(0.0171*'Dataset experimental'!AD206-0.9442)*'Avaliação do resultado ML'!O206-'Avaliação do resultado ML'!P206-0.0364</f>
        <v>-0.0341447910478814</v>
      </c>
      <c r="M206" s="12" t="n">
        <f aca="false">0.03283*SIN(0.7328*'Dataset experimental'!D206-1.8266)</f>
        <v>-0.0115958827834406</v>
      </c>
      <c r="N206" s="12" t="n">
        <f aca="false">0.0476*SIN(4.2067/(0.0095*'Dataset experimental'!P206-1.9338)^3)</f>
        <v>-0.0237143865224017</v>
      </c>
      <c r="O206" s="12" t="n">
        <f aca="false">0.0214*'Dataset experimental'!F206-3.1067*'Dataset experimental'!B206*'Dataset experimental'!P206*('Dataset experimental'!T206-'Dataset experimental'!R206)*(0.39*'Dataset experimental'!P206*'Dataset experimental'!T206/'Dataset experimental'!V206-'Dataset experimental'!Z206+3.12)/(100000*'Dataset experimental'!V206)+0.7995</f>
        <v>0.0723395337057596</v>
      </c>
      <c r="P206" s="12" t="n">
        <f aca="false">0.4461*('Dataset experimental'!Z206-0.6*'Modelos normativos'!AB206)*(3.4*'Dataset experimental'!L206+0.17*'Dataset experimental'!B206/'Modelos normativos'!AC206)/200000</f>
        <v>0.0853649923267833</v>
      </c>
      <c r="Q206" s="4" t="e">
        <f aca="false">L206/H206</f>
        <v>#REF!</v>
      </c>
      <c r="R206" s="4" t="e">
        <f aca="false">(-0.042-0.014*'Com TS variável MC2020'!Q215)*('Modelos normativos'!AP206-ABS('Modelos Propostos'!K206)-'Dataset experimental'!W206+COS(S206))</f>
        <v>#REF!</v>
      </c>
      <c r="S206" s="4" t="e">
        <f aca="false">'Dataset experimental'!O206-('Modelos normativos'!AQ206-SIN(0.083/('Dataset experimental'!M206-'Dataset experimental'!O206))-'Modelos empíricos'!I206)/0.646</f>
        <v>#REF!</v>
      </c>
      <c r="W206" s="4" t="e">
        <f aca="false">'Modelos normativos'!S206+'Avaliação do resultado ML'!A206</f>
        <v>#REF!</v>
      </c>
      <c r="X206" s="4" t="e">
        <f aca="false">W206/'Dataset experimental'!$AF206</f>
        <v>#REF!</v>
      </c>
      <c r="AJ206" s="4" t="e">
        <f aca="false">'Modelos Propostos'!B206+H206</f>
        <v>#REF!</v>
      </c>
      <c r="AK206" s="4" t="e">
        <f aca="false">AJ206/'Dataset experimental'!$AF206</f>
        <v>#REF!</v>
      </c>
      <c r="AV206" s="4" t="e">
        <f aca="false">'Modelos normativos'!S206+F206</f>
        <v>#REF!</v>
      </c>
      <c r="AW206" s="4" t="e">
        <f aca="false">AV206/'Dataset experimental'!$AF206</f>
        <v>#REF!</v>
      </c>
      <c r="BH206" s="4" t="e">
        <f aca="false">'Modelos Propostos'!B206+R206</f>
        <v>#REF!</v>
      </c>
      <c r="BI206" s="4" t="e">
        <f aca="false">BH206/'Dataset experimental'!$AF206</f>
        <v>#REF!</v>
      </c>
      <c r="BT206" s="4" t="n">
        <f aca="false">'Modelos Propostos'!B206+L206</f>
        <v>0.195359977903373</v>
      </c>
      <c r="BU206" s="4" t="n">
        <f aca="false">BT206/'Dataset experimental'!$AF206</f>
        <v>1.02821041001776</v>
      </c>
    </row>
    <row r="207" customFormat="false" ht="14.25" hidden="false" customHeight="false" outlineLevel="0" collapsed="false">
      <c r="A207" s="4" t="e">
        <f aca="false">0.0894*ABS(D207)-0.01603*E207</f>
        <v>#REF!</v>
      </c>
      <c r="B207" s="12" t="e">
        <f aca="false">'Dataset experimental'!K207*COS('Dataset experimental'!AC207)-'Dataset experimental'!M207-'Dataset experimental'!C207</f>
        <v>#REF!</v>
      </c>
      <c r="C207" s="12" t="e">
        <f aca="false">('Dataset experimental'!AE207+SIN('Avaliação do resultado ML'!B207))*0.70674187</f>
        <v>#REF!</v>
      </c>
      <c r="D207" s="12" t="e">
        <f aca="false">'Modelos Propostos'!E207+'Avaliação do resultado ML'!C207-'Modelos normativos'!AQ207</f>
        <v>#REF!</v>
      </c>
      <c r="E207" s="12" t="n">
        <f aca="false">'Modelos empíricos'!I207+1.1854</f>
        <v>1.52919958504093</v>
      </c>
      <c r="F207" s="4" t="e">
        <f aca="false">-0.01753*('Modelos normativos'!AN207-'Dataset experimental'!C207-ABS(G207)-('Modelos Propostos'!E207-'Modelos normativos'!AP207)/0.25291)</f>
        <v>#REF!</v>
      </c>
      <c r="G207" s="4" t="e">
        <f aca="false">'Dataset experimental'!K207+'Modelos empíricos'!K207^2+('Modelos Propostos'!E207-'Modelos normativos'!AQ207)*4.10553</f>
        <v>#REF!</v>
      </c>
      <c r="H207" s="4" t="e">
        <f aca="false">0.03283*(J207+K207)</f>
        <v>#REF!</v>
      </c>
      <c r="I207" s="4" t="e">
        <f aca="false">(1.61428/'Dataset experimental'!Q207)^3</f>
        <v>#REF!</v>
      </c>
      <c r="J207" s="4" t="e">
        <f aca="false">SIN('Dataset experimental'!E207)+1.450178*(SIN('Avaliação do resultado ML'!I207)+'Dataset experimental'!C207)</f>
        <v>#REF!</v>
      </c>
      <c r="K207" s="4" t="e">
        <f aca="false">('Modelos empíricos'!C207-'Dataset experimental'!G207)*'Dataset experimental'!AE207-'Modelos normativos'!AP207</f>
        <v>#REF!</v>
      </c>
      <c r="L207" s="4" t="n">
        <f aca="false">0.0076*'Dataset experimental'!B207+'Avaliação do resultado ML'!M207+'Avaliação do resultado ML'!N207+(-0.0328)*(0.0171*'Dataset experimental'!AD207-0.9442)*'Avaliação do resultado ML'!O207-'Avaliação do resultado ML'!P207-0.0364</f>
        <v>-0.0554690878429052</v>
      </c>
      <c r="M207" s="12" t="n">
        <f aca="false">0.03283*SIN(0.7328*'Dataset experimental'!D207-1.8266)</f>
        <v>-0.0115958827834406</v>
      </c>
      <c r="N207" s="12" t="n">
        <f aca="false">0.0476*SIN(4.2067/(0.0095*'Dataset experimental'!P207-1.9338)^3)</f>
        <v>-0.0237143865224017</v>
      </c>
      <c r="O207" s="12" t="n">
        <f aca="false">0.0214*'Dataset experimental'!F207-3.1067*'Dataset experimental'!B207*'Dataset experimental'!P207*('Dataset experimental'!T207-'Dataset experimental'!R207)*(0.39*'Dataset experimental'!P207*'Dataset experimental'!T207/'Dataset experimental'!V207-'Dataset experimental'!Z207+3.12)/(100000*'Dataset experimental'!V207)+0.7995</f>
        <v>-0.242914200129593</v>
      </c>
      <c r="P207" s="12" t="n">
        <f aca="false">0.4461*('Dataset experimental'!Z207-0.6*'Modelos normativos'!AB207)*(3.4*'Dataset experimental'!L207+0.17*'Dataset experimental'!B207/'Modelos normativos'!AC207)/200000</f>
        <v>0.101361181974672</v>
      </c>
      <c r="Q207" s="4" t="e">
        <f aca="false">L207/H207</f>
        <v>#REF!</v>
      </c>
      <c r="R207" s="4" t="e">
        <f aca="false">(-0.042-0.014*'Com TS variável MC2020'!Q216)*('Modelos normativos'!AP207-ABS('Modelos Propostos'!K207)-'Dataset experimental'!W207+COS(S207))</f>
        <v>#REF!</v>
      </c>
      <c r="S207" s="4" t="e">
        <f aca="false">'Dataset experimental'!O207-('Modelos normativos'!AQ207-SIN(0.083/('Dataset experimental'!M207-'Dataset experimental'!O207))-'Modelos empíricos'!I207)/0.646</f>
        <v>#REF!</v>
      </c>
      <c r="W207" s="4" t="e">
        <f aca="false">'Modelos normativos'!S207+'Avaliação do resultado ML'!A207</f>
        <v>#REF!</v>
      </c>
      <c r="X207" s="4" t="e">
        <f aca="false">W207/'Dataset experimental'!$AF207</f>
        <v>#REF!</v>
      </c>
      <c r="AJ207" s="4" t="e">
        <f aca="false">'Modelos Propostos'!B207+H207</f>
        <v>#REF!</v>
      </c>
      <c r="AK207" s="4" t="e">
        <f aca="false">AJ207/'Dataset experimental'!$AF207</f>
        <v>#REF!</v>
      </c>
      <c r="AV207" s="4" t="e">
        <f aca="false">'Modelos normativos'!S207+F207</f>
        <v>#REF!</v>
      </c>
      <c r="AW207" s="4" t="e">
        <f aca="false">AV207/'Dataset experimental'!$AF207</f>
        <v>#REF!</v>
      </c>
      <c r="BH207" s="4" t="e">
        <f aca="false">'Modelos Propostos'!B207+R207</f>
        <v>#REF!</v>
      </c>
      <c r="BI207" s="4" t="e">
        <f aca="false">BH207/'Dataset experimental'!$AF207</f>
        <v>#REF!</v>
      </c>
      <c r="BT207" s="4" t="n">
        <f aca="false">'Modelos Propostos'!B207+L207</f>
        <v>0.2326644143821</v>
      </c>
      <c r="BU207" s="4" t="n">
        <f aca="false">BT207/'Dataset experimental'!$AF207</f>
        <v>1.05756551991863</v>
      </c>
    </row>
    <row r="208" customFormat="false" ht="14.25" hidden="false" customHeight="false" outlineLevel="0" collapsed="false">
      <c r="A208" s="4" t="e">
        <f aca="false">0.0894*ABS(D208)-0.01603*E208</f>
        <v>#REF!</v>
      </c>
      <c r="B208" s="12" t="e">
        <f aca="false">'Dataset experimental'!K208*COS('Dataset experimental'!AC208)-'Dataset experimental'!M208-'Dataset experimental'!C208</f>
        <v>#REF!</v>
      </c>
      <c r="C208" s="12" t="e">
        <f aca="false">('Dataset experimental'!AE208+SIN('Avaliação do resultado ML'!B208))*0.70674187</f>
        <v>#REF!</v>
      </c>
      <c r="D208" s="12" t="e">
        <f aca="false">'Modelos Propostos'!E208+'Avaliação do resultado ML'!C208-'Modelos normativos'!AQ208</f>
        <v>#REF!</v>
      </c>
      <c r="E208" s="12" t="n">
        <f aca="false">'Modelos empíricos'!I208+1.1854</f>
        <v>1.95128866495879</v>
      </c>
      <c r="F208" s="4" t="e">
        <f aca="false">-0.01753*('Modelos normativos'!AN208-'Dataset experimental'!C208-ABS(G208)-('Modelos Propostos'!E208-'Modelos normativos'!AP208)/0.25291)</f>
        <v>#REF!</v>
      </c>
      <c r="G208" s="4" t="e">
        <f aca="false">'Dataset experimental'!K208+'Modelos empíricos'!K208^2+('Modelos Propostos'!E208-'Modelos normativos'!AQ208)*4.10553</f>
        <v>#REF!</v>
      </c>
      <c r="H208" s="4" t="e">
        <f aca="false">0.03283*(J208+K208)</f>
        <v>#REF!</v>
      </c>
      <c r="I208" s="4" t="e">
        <f aca="false">(1.61428/'Dataset experimental'!Q208)^3</f>
        <v>#REF!</v>
      </c>
      <c r="J208" s="4" t="e">
        <f aca="false">SIN('Dataset experimental'!E208)+1.450178*(SIN('Avaliação do resultado ML'!I208)+'Dataset experimental'!C208)</f>
        <v>#REF!</v>
      </c>
      <c r="K208" s="4" t="e">
        <f aca="false">('Modelos empíricos'!C208-'Dataset experimental'!G208)*'Dataset experimental'!AE208-'Modelos normativos'!AP208</f>
        <v>#REF!</v>
      </c>
      <c r="L208" s="4" t="n">
        <f aca="false">0.0076*'Dataset experimental'!B208+'Avaliação do resultado ML'!M208+'Avaliação do resultado ML'!N208+(-0.0328)*(0.0171*'Dataset experimental'!AD208-0.9442)*'Avaliação do resultado ML'!O208-'Avaliação do resultado ML'!P208-0.0364</f>
        <v>-0.0723073489824855</v>
      </c>
      <c r="M208" s="12" t="n">
        <f aca="false">0.03283*SIN(0.7328*'Dataset experimental'!D208-1.8266)</f>
        <v>-0.0115958827834406</v>
      </c>
      <c r="N208" s="12" t="n">
        <f aca="false">0.0476*SIN(4.2067/(0.0095*'Dataset experimental'!P208-1.9338)^3)</f>
        <v>-0.0237143865224017</v>
      </c>
      <c r="O208" s="12" t="n">
        <f aca="false">0.0214*'Dataset experimental'!F208-3.1067*'Dataset experimental'!B208*'Dataset experimental'!P208*('Dataset experimental'!T208-'Dataset experimental'!R208)*(0.39*'Dataset experimental'!P208*'Dataset experimental'!T208/'Dataset experimental'!V208-'Dataset experimental'!Z208+3.12)/(100000*'Dataset experimental'!V208)+0.7995</f>
        <v>-0.505625644992387</v>
      </c>
      <c r="P208" s="12" t="n">
        <f aca="false">0.4461*('Dataset experimental'!Z208-0.6*'Modelos normativos'!AB208)*(3.4*'Dataset experimental'!L208+0.17*'Dataset experimental'!B208/'Modelos normativos'!AC208)/200000</f>
        <v>0.11469134001458</v>
      </c>
      <c r="Q208" s="4" t="e">
        <f aca="false">L208/H208</f>
        <v>#REF!</v>
      </c>
      <c r="R208" s="4" t="e">
        <f aca="false">(-0.042-0.014*'Com TS variável MC2020'!Q217)*('Modelos normativos'!AP208-ABS('Modelos Propostos'!K208)-'Dataset experimental'!W208+COS(S208))</f>
        <v>#REF!</v>
      </c>
      <c r="S208" s="4" t="e">
        <f aca="false">'Dataset experimental'!O208-('Modelos normativos'!AQ208-SIN(0.083/('Dataset experimental'!M208-'Dataset experimental'!O208))-'Modelos empíricos'!I208)/0.646</f>
        <v>#REF!</v>
      </c>
      <c r="W208" s="4" t="e">
        <f aca="false">'Modelos normativos'!S208+'Avaliação do resultado ML'!A208</f>
        <v>#REF!</v>
      </c>
      <c r="X208" s="4" t="e">
        <f aca="false">W208/'Dataset experimental'!$AF208</f>
        <v>#REF!</v>
      </c>
      <c r="AJ208" s="4" t="e">
        <f aca="false">'Modelos Propostos'!B208+H208</f>
        <v>#REF!</v>
      </c>
      <c r="AK208" s="4" t="e">
        <f aca="false">AJ208/'Dataset experimental'!$AF208</f>
        <v>#REF!</v>
      </c>
      <c r="AV208" s="4" t="e">
        <f aca="false">'Modelos normativos'!S208+F208</f>
        <v>#REF!</v>
      </c>
      <c r="AW208" s="4" t="e">
        <f aca="false">AV208/'Dataset experimental'!$AF208</f>
        <v>#REF!</v>
      </c>
      <c r="BH208" s="4" t="e">
        <f aca="false">'Modelos Propostos'!B208+R208</f>
        <v>#REF!</v>
      </c>
      <c r="BI208" s="4" t="e">
        <f aca="false">BH208/'Dataset experimental'!$AF208</f>
        <v>#REF!</v>
      </c>
      <c r="BT208" s="4" t="n">
        <f aca="false">'Modelos Propostos'!B208+L208</f>
        <v>0.264683430970644</v>
      </c>
      <c r="BU208" s="4" t="n">
        <f aca="false">BT208/'Dataset experimental'!$AF208</f>
        <v>1.20310650441202</v>
      </c>
    </row>
    <row r="209" customFormat="false" ht="14.25" hidden="false" customHeight="false" outlineLevel="0" collapsed="false">
      <c r="A209" s="4" t="e">
        <f aca="false">0.0894*ABS(D209)-0.01603*E209</f>
        <v>#REF!</v>
      </c>
      <c r="B209" s="12" t="e">
        <f aca="false">'Dataset experimental'!K209*COS('Dataset experimental'!AC209)-'Dataset experimental'!M209-'Dataset experimental'!C209</f>
        <v>#REF!</v>
      </c>
      <c r="C209" s="12" t="e">
        <f aca="false">('Dataset experimental'!AE209+SIN('Avaliação do resultado ML'!B209))*0.70674187</f>
        <v>#REF!</v>
      </c>
      <c r="D209" s="12" t="e">
        <f aca="false">'Modelos Propostos'!E209+'Avaliação do resultado ML'!C209-'Modelos normativos'!AQ209</f>
        <v>#REF!</v>
      </c>
      <c r="E209" s="12" t="n">
        <f aca="false">'Modelos empíricos'!I209+1.1854</f>
        <v>2.62663119282737</v>
      </c>
      <c r="F209" s="4" t="e">
        <f aca="false">-0.01753*('Modelos normativos'!AN209-'Dataset experimental'!C209-ABS(G209)-('Modelos Propostos'!E209-'Modelos normativos'!AP209)/0.25291)</f>
        <v>#REF!</v>
      </c>
      <c r="G209" s="4" t="e">
        <f aca="false">'Dataset experimental'!K209+'Modelos empíricos'!K209^2+('Modelos Propostos'!E209-'Modelos normativos'!AQ209)*4.10553</f>
        <v>#REF!</v>
      </c>
      <c r="H209" s="4" t="e">
        <f aca="false">0.03283*(J209+K209)</f>
        <v>#REF!</v>
      </c>
      <c r="I209" s="4" t="e">
        <f aca="false">(1.61428/'Dataset experimental'!Q209)^3</f>
        <v>#REF!</v>
      </c>
      <c r="J209" s="4" t="e">
        <f aca="false">SIN('Dataset experimental'!E209)+1.450178*(SIN('Avaliação do resultado ML'!I209)+'Dataset experimental'!C209)</f>
        <v>#REF!</v>
      </c>
      <c r="K209" s="4" t="e">
        <f aca="false">('Modelos empíricos'!C209-'Dataset experimental'!G209)*'Dataset experimental'!AE209-'Modelos normativos'!AP209</f>
        <v>#REF!</v>
      </c>
      <c r="L209" s="4" t="n">
        <f aca="false">0.0076*'Dataset experimental'!B209+'Avaliação do resultado ML'!M209+'Avaliação do resultado ML'!N209+(-0.0328)*(0.0171*'Dataset experimental'!AD209-0.9442)*'Avaliação do resultado ML'!O209-'Avaliação do resultado ML'!P209-0.0364</f>
        <v>-0.0974862656472862</v>
      </c>
      <c r="M209" s="12" t="n">
        <f aca="false">0.03283*SIN(0.7328*'Dataset experimental'!D209-1.8266)</f>
        <v>-0.0115958827834406</v>
      </c>
      <c r="N209" s="12" t="n">
        <f aca="false">0.0476*SIN(4.2067/(0.0095*'Dataset experimental'!P209-1.9338)^3)</f>
        <v>-0.0237143865224017</v>
      </c>
      <c r="O209" s="12" t="n">
        <f aca="false">0.0214*'Dataset experimental'!F209-3.1067*'Dataset experimental'!B209*'Dataset experimental'!P209*('Dataset experimental'!T209-'Dataset experimental'!R209)*(0.39*'Dataset experimental'!P209*'Dataset experimental'!T209/'Dataset experimental'!V209-'Dataset experimental'!Z209+3.12)/(100000*'Dataset experimental'!V209)+0.7995</f>
        <v>-0.925963956772857</v>
      </c>
      <c r="P209" s="12" t="n">
        <f aca="false">0.4461*('Dataset experimental'!Z209-0.6*'Modelos normativos'!AB209)*(3.4*'Dataset experimental'!L209+0.17*'Dataset experimental'!B209/'Modelos normativos'!AC209)/200000</f>
        <v>0.136019592878431</v>
      </c>
      <c r="Q209" s="4" t="e">
        <f aca="false">L209/H209</f>
        <v>#REF!</v>
      </c>
      <c r="R209" s="4" t="e">
        <f aca="false">(-0.042-0.014*'Com TS variável MC2020'!Q218)*('Modelos normativos'!AP209-ABS('Modelos Propostos'!K209)-'Dataset experimental'!W209+COS(S209))</f>
        <v>#REF!</v>
      </c>
      <c r="S209" s="4" t="e">
        <f aca="false">'Dataset experimental'!O209-('Modelos normativos'!AQ209-SIN(0.083/('Dataset experimental'!M209-'Dataset experimental'!O209))-'Modelos empíricos'!I209)/0.646</f>
        <v>#REF!</v>
      </c>
      <c r="W209" s="4" t="e">
        <f aca="false">'Modelos normativos'!S209+'Avaliação do resultado ML'!A209</f>
        <v>#REF!</v>
      </c>
      <c r="X209" s="4" t="e">
        <f aca="false">W209/'Dataset experimental'!$AF209</f>
        <v>#REF!</v>
      </c>
      <c r="AJ209" s="4" t="e">
        <f aca="false">'Modelos Propostos'!B209+H209</f>
        <v>#REF!</v>
      </c>
      <c r="AK209" s="4" t="e">
        <f aca="false">AJ209/'Dataset experimental'!$AF209</f>
        <v>#REF!</v>
      </c>
      <c r="AV209" s="4" t="e">
        <f aca="false">'Modelos normativos'!S209+F209</f>
        <v>#REF!</v>
      </c>
      <c r="AW209" s="4" t="e">
        <f aca="false">AV209/'Dataset experimental'!$AF209</f>
        <v>#REF!</v>
      </c>
      <c r="BH209" s="4" t="e">
        <f aca="false">'Modelos Propostos'!B209+R209</f>
        <v>#REF!</v>
      </c>
      <c r="BI209" s="4" t="e">
        <f aca="false">BH209/'Dataset experimental'!$AF209</f>
        <v>#REF!</v>
      </c>
      <c r="BT209" s="4" t="n">
        <f aca="false">'Modelos Propostos'!B209+L209</f>
        <v>0.317676158670844</v>
      </c>
      <c r="BU209" s="4" t="n">
        <f aca="false">BT209/'Dataset experimental'!$AF209</f>
        <v>1.27070463468337</v>
      </c>
    </row>
    <row r="210" customFormat="false" ht="14.25" hidden="false" customHeight="false" outlineLevel="0" collapsed="false">
      <c r="A210" s="4" t="e">
        <f aca="false">0.0894*ABS(D210)-0.01603*E210</f>
        <v>#REF!</v>
      </c>
      <c r="B210" s="12" t="e">
        <f aca="false">'Dataset experimental'!K210*COS('Dataset experimental'!AC210)-'Dataset experimental'!M210-'Dataset experimental'!C210</f>
        <v>#REF!</v>
      </c>
      <c r="C210" s="12" t="e">
        <f aca="false">('Dataset experimental'!AE210+SIN('Avaliação do resultado ML'!B210))*0.70674187</f>
        <v>#REF!</v>
      </c>
      <c r="D210" s="12" t="e">
        <f aca="false">'Modelos Propostos'!E210+'Avaliação do resultado ML'!C210-'Modelos normativos'!AQ210</f>
        <v>#REF!</v>
      </c>
      <c r="E210" s="12" t="n">
        <f aca="false">'Modelos empíricos'!I210+1.1854</f>
        <v>3.21755590471237</v>
      </c>
      <c r="F210" s="4" t="e">
        <f aca="false">-0.01753*('Modelos normativos'!AN210-'Dataset experimental'!C210-ABS(G210)-('Modelos Propostos'!E210-'Modelos normativos'!AP210)/0.25291)</f>
        <v>#REF!</v>
      </c>
      <c r="G210" s="4" t="e">
        <f aca="false">'Dataset experimental'!K210+'Modelos empíricos'!K210^2+('Modelos Propostos'!E210-'Modelos normativos'!AQ210)*4.10553</f>
        <v>#REF!</v>
      </c>
      <c r="H210" s="4" t="e">
        <f aca="false">0.03283*(J210+K210)</f>
        <v>#REF!</v>
      </c>
      <c r="I210" s="4" t="e">
        <f aca="false">(1.61428/'Dataset experimental'!Q210)^3</f>
        <v>#REF!</v>
      </c>
      <c r="J210" s="4" t="e">
        <f aca="false">SIN('Dataset experimental'!E210)+1.450178*(SIN('Avaliação do resultado ML'!I210)+'Dataset experimental'!C210)</f>
        <v>#REF!</v>
      </c>
      <c r="K210" s="4" t="e">
        <f aca="false">('Modelos empíricos'!C210-'Dataset experimental'!G210)*'Dataset experimental'!AE210-'Modelos normativos'!AP210</f>
        <v>#REF!</v>
      </c>
      <c r="L210" s="4" t="n">
        <f aca="false">0.0076*'Dataset experimental'!B210+'Avaliação do resultado ML'!M210+'Avaliação do resultado ML'!N210+(-0.0328)*(0.0171*'Dataset experimental'!AD210-0.9442)*'Avaliação do resultado ML'!O210-'Avaliação do resultado ML'!P210-0.0364</f>
        <v>-0.117738571367012</v>
      </c>
      <c r="M210" s="12" t="n">
        <f aca="false">0.03283*SIN(0.7328*'Dataset experimental'!D210-1.8266)</f>
        <v>-0.0115958827834406</v>
      </c>
      <c r="N210" s="12" t="n">
        <f aca="false">0.0476*SIN(4.2067/(0.0095*'Dataset experimental'!P210-1.9338)^3)</f>
        <v>-0.0237143865224017</v>
      </c>
      <c r="O210" s="12" t="n">
        <f aca="false">0.0214*'Dataset experimental'!F210-3.1067*'Dataset experimental'!B210*'Dataset experimental'!P210*('Dataset experimental'!T210-'Dataset experimental'!R210)*(0.39*'Dataset experimental'!P210*'Dataset experimental'!T210/'Dataset experimental'!V210-'Dataset experimental'!Z210+3.12)/(100000*'Dataset experimental'!V210)+0.7995</f>
        <v>-1.29375997958077</v>
      </c>
      <c r="P210" s="12" t="n">
        <f aca="false">0.4461*('Dataset experimental'!Z210-0.6*'Modelos normativos'!AB210)*(3.4*'Dataset experimental'!L210+0.17*'Dataset experimental'!B210/'Modelos normativos'!AC210)/200000</f>
        <v>0.154681814134302</v>
      </c>
      <c r="Q210" s="4" t="e">
        <f aca="false">L210/H210</f>
        <v>#REF!</v>
      </c>
      <c r="R210" s="4" t="e">
        <f aca="false">(-0.042-0.014*'Com TS variável MC2020'!Q219)*('Modelos normativos'!AP210-ABS('Modelos Propostos'!K210)-'Dataset experimental'!W210+COS(S210))</f>
        <v>#REF!</v>
      </c>
      <c r="S210" s="4" t="e">
        <f aca="false">'Dataset experimental'!O210-('Modelos normativos'!AQ210-SIN(0.083/('Dataset experimental'!M210-'Dataset experimental'!O210))-'Modelos empíricos'!I210)/0.646</f>
        <v>#REF!</v>
      </c>
      <c r="W210" s="4" t="e">
        <f aca="false">'Modelos normativos'!S210+'Avaliação do resultado ML'!A210</f>
        <v>#REF!</v>
      </c>
      <c r="X210" s="4" t="e">
        <f aca="false">W210/'Dataset experimental'!$AF210</f>
        <v>#REF!</v>
      </c>
      <c r="AJ210" s="4" t="e">
        <f aca="false">'Modelos Propostos'!B210+H210</f>
        <v>#REF!</v>
      </c>
      <c r="AK210" s="4" t="e">
        <f aca="false">AJ210/'Dataset experimental'!$AF210</f>
        <v>#REF!</v>
      </c>
      <c r="AV210" s="4" t="e">
        <f aca="false">'Modelos normativos'!S210+F210</f>
        <v>#REF!</v>
      </c>
      <c r="AW210" s="4" t="e">
        <f aca="false">AV210/'Dataset experimental'!$AF210</f>
        <v>#REF!</v>
      </c>
      <c r="BH210" s="4" t="e">
        <f aca="false">'Modelos Propostos'!B210+R210</f>
        <v>#REF!</v>
      </c>
      <c r="BI210" s="4" t="e">
        <f aca="false">BH210/'Dataset experimental'!$AF210</f>
        <v>#REF!</v>
      </c>
      <c r="BT210" s="4" t="n">
        <f aca="false">'Modelos Propostos'!B210+L210</f>
        <v>0.349537419064078</v>
      </c>
      <c r="BU210" s="4" t="n">
        <f aca="false">BT210/'Dataset experimental'!$AF210</f>
        <v>1.20530144504855</v>
      </c>
    </row>
    <row r="211" customFormat="false" ht="14.25" hidden="false" customHeight="false" outlineLevel="0" collapsed="false">
      <c r="A211" s="4" t="e">
        <f aca="false">0.0894*ABS(D211)-0.01603*E211</f>
        <v>#REF!</v>
      </c>
      <c r="B211" s="12" t="e">
        <f aca="false">'Dataset experimental'!K211*COS('Dataset experimental'!AC211)-'Dataset experimental'!M211-'Dataset experimental'!C211</f>
        <v>#REF!</v>
      </c>
      <c r="C211" s="12" t="e">
        <f aca="false">('Dataset experimental'!AE211+SIN('Avaliação do resultado ML'!B211))*0.70674187</f>
        <v>#REF!</v>
      </c>
      <c r="D211" s="12" t="e">
        <f aca="false">'Modelos Propostos'!E211+'Avaliação do resultado ML'!C211-'Modelos normativos'!AQ211</f>
        <v>#REF!</v>
      </c>
      <c r="E211" s="12" t="n">
        <f aca="false">'Modelos empíricos'!I211+1.1854</f>
        <v>0.771729677346783</v>
      </c>
      <c r="F211" s="4" t="e">
        <f aca="false">-0.01753*('Modelos normativos'!AN211-'Dataset experimental'!C211-ABS(G211)-('Modelos Propostos'!E211-'Modelos normativos'!AP211)/0.25291)</f>
        <v>#REF!</v>
      </c>
      <c r="G211" s="4" t="e">
        <f aca="false">'Dataset experimental'!K211+'Modelos empíricos'!K211^2+('Modelos Propostos'!E211-'Modelos normativos'!AQ211)*4.10553</f>
        <v>#REF!</v>
      </c>
      <c r="H211" s="4" t="e">
        <f aca="false">0.03283*(J211+K211)</f>
        <v>#REF!</v>
      </c>
      <c r="I211" s="4" t="e">
        <f aca="false">(1.61428/'Dataset experimental'!Q211)^3</f>
        <v>#REF!</v>
      </c>
      <c r="J211" s="4" t="e">
        <f aca="false">SIN('Dataset experimental'!E211)+1.450178*(SIN('Avaliação do resultado ML'!I211)+'Dataset experimental'!C211)</f>
        <v>#REF!</v>
      </c>
      <c r="K211" s="4" t="e">
        <f aca="false">('Modelos empíricos'!C211-'Dataset experimental'!G211)*'Dataset experimental'!AE211-'Modelos normativos'!AP211</f>
        <v>#REF!</v>
      </c>
      <c r="L211" s="4" t="n">
        <f aca="false">0.0076*'Dataset experimental'!B211+'Avaliação do resultado ML'!M211+'Avaliação do resultado ML'!N211+(-0.0328)*(0.0171*'Dataset experimental'!AD211-0.9442)*'Avaliação do resultado ML'!O211-'Avaliação do resultado ML'!P211-0.0364</f>
        <v>0.0215751782853444</v>
      </c>
      <c r="M211" s="12" t="n">
        <f aca="false">0.03283*SIN(0.7328*'Dataset experimental'!D211-1.8266)</f>
        <v>-0.0115958827834406</v>
      </c>
      <c r="N211" s="12" t="n">
        <f aca="false">0.0476*SIN(4.2067/(0.0095*'Dataset experimental'!P211-1.9338)^3)</f>
        <v>-0.0237143865224017</v>
      </c>
      <c r="O211" s="12" t="n">
        <f aca="false">0.0214*'Dataset experimental'!F211-3.1067*'Dataset experimental'!B211*'Dataset experimental'!P211*('Dataset experimental'!T211-'Dataset experimental'!R211)*(0.39*'Dataset experimental'!P211*'Dataset experimental'!T211/'Dataset experimental'!V211-'Dataset experimental'!Z211+3.12)/(100000*'Dataset experimental'!V211)+0.7995</f>
        <v>0.447092477535216</v>
      </c>
      <c r="P211" s="12" t="n">
        <f aca="false">0.4461*('Dataset experimental'!Z211-0.6*'Modelos normativos'!AB211)*(3.4*'Dataset experimental'!L211+0.17*'Dataset experimental'!B211/'Modelos normativos'!AC211)/200000</f>
        <v>0.0652072088013258</v>
      </c>
      <c r="Q211" s="4" t="e">
        <f aca="false">L211/H211</f>
        <v>#REF!</v>
      </c>
      <c r="R211" s="4" t="e">
        <f aca="false">(-0.042-0.014*'Com TS variável MC2020'!Q220)*('Modelos normativos'!AP211-ABS('Modelos Propostos'!K211)-'Dataset experimental'!W211+COS(S211))</f>
        <v>#REF!</v>
      </c>
      <c r="S211" s="4" t="e">
        <f aca="false">'Dataset experimental'!O211-('Modelos normativos'!AQ211-SIN(0.083/('Dataset experimental'!M211-'Dataset experimental'!O211))-'Modelos empíricos'!I211)/0.646</f>
        <v>#REF!</v>
      </c>
      <c r="W211" s="4" t="e">
        <f aca="false">'Modelos normativos'!S211+'Avaliação do resultado ML'!A211</f>
        <v>#REF!</v>
      </c>
      <c r="X211" s="4" t="e">
        <f aca="false">W211/'Dataset experimental'!$AF211</f>
        <v>#REF!</v>
      </c>
      <c r="AJ211" s="4" t="e">
        <f aca="false">'Modelos Propostos'!B211+H211</f>
        <v>#REF!</v>
      </c>
      <c r="AK211" s="4" t="e">
        <f aca="false">AJ211/'Dataset experimental'!$AF211</f>
        <v>#REF!</v>
      </c>
      <c r="AV211" s="4" t="e">
        <f aca="false">'Modelos normativos'!S211+F211</f>
        <v>#REF!</v>
      </c>
      <c r="AW211" s="4" t="e">
        <f aca="false">AV211/'Dataset experimental'!$AF211</f>
        <v>#REF!</v>
      </c>
      <c r="BH211" s="4" t="e">
        <f aca="false">'Modelos Propostos'!B211+R211</f>
        <v>#REF!</v>
      </c>
      <c r="BI211" s="4" t="e">
        <f aca="false">BH211/'Dataset experimental'!$AF211</f>
        <v>#REF!</v>
      </c>
      <c r="BT211" s="4" t="n">
        <f aca="false">'Modelos Propostos'!B211+L211</f>
        <v>0.18910139738113</v>
      </c>
      <c r="BU211" s="4" t="n">
        <f aca="false">BT211/'Dataset experimental'!$AF211</f>
        <v>1.11236116106547</v>
      </c>
    </row>
    <row r="212" customFormat="false" ht="14.25" hidden="false" customHeight="false" outlineLevel="0" collapsed="false">
      <c r="A212" s="4" t="e">
        <f aca="false">0.0894*ABS(D212)-0.01603*E212</f>
        <v>#REF!</v>
      </c>
      <c r="B212" s="12" t="e">
        <f aca="false">'Dataset experimental'!K212*COS('Dataset experimental'!AC212)-'Dataset experimental'!M212-'Dataset experimental'!C212</f>
        <v>#REF!</v>
      </c>
      <c r="C212" s="12" t="e">
        <f aca="false">('Dataset experimental'!AE212+SIN('Avaliação do resultado ML'!B212))*0.70674187</f>
        <v>#REF!</v>
      </c>
      <c r="D212" s="12" t="e">
        <f aca="false">'Modelos Propostos'!E212+'Avaliação do resultado ML'!C212-'Modelos normativos'!AQ212</f>
        <v>#REF!</v>
      </c>
      <c r="E212" s="12" t="n">
        <f aca="false">'Modelos empíricos'!I212+1.1854</f>
        <v>1.19430869828672</v>
      </c>
      <c r="F212" s="4" t="e">
        <f aca="false">-0.01753*('Modelos normativos'!AN212-'Dataset experimental'!C212-ABS(G212)-('Modelos Propostos'!E212-'Modelos normativos'!AP212)/0.25291)</f>
        <v>#REF!</v>
      </c>
      <c r="G212" s="4" t="e">
        <f aca="false">'Dataset experimental'!K212+'Modelos empíricos'!K212^2+('Modelos Propostos'!E212-'Modelos normativos'!AQ212)*4.10553</f>
        <v>#REF!</v>
      </c>
      <c r="H212" s="4" t="e">
        <f aca="false">0.03283*(J212+K212)</f>
        <v>#REF!</v>
      </c>
      <c r="I212" s="4" t="e">
        <f aca="false">(1.61428/'Dataset experimental'!Q212)^3</f>
        <v>#REF!</v>
      </c>
      <c r="J212" s="4" t="e">
        <f aca="false">SIN('Dataset experimental'!E212)+1.450178*(SIN('Avaliação do resultado ML'!I212)+'Dataset experimental'!C212)</f>
        <v>#REF!</v>
      </c>
      <c r="K212" s="4" t="e">
        <f aca="false">('Modelos empíricos'!C212-'Dataset experimental'!G212)*'Dataset experimental'!AE212-'Modelos normativos'!AP212</f>
        <v>#REF!</v>
      </c>
      <c r="L212" s="4" t="n">
        <f aca="false">0.0076*'Dataset experimental'!B212+'Avaliação do resultado ML'!M212+'Avaliação do resultado ML'!N212+(-0.0328)*(0.0171*'Dataset experimental'!AD212-0.9442)*'Avaliação do resultado ML'!O212-'Avaliação do resultado ML'!P212-0.0364</f>
        <v>0.00773260453557748</v>
      </c>
      <c r="M212" s="12" t="n">
        <f aca="false">0.03283*SIN(0.7328*'Dataset experimental'!D212-1.8266)</f>
        <v>-0.0115958827834406</v>
      </c>
      <c r="N212" s="12" t="n">
        <f aca="false">0.0476*SIN(4.2067/(0.0095*'Dataset experimental'!P212-1.9338)^3)</f>
        <v>-0.0237143865224017</v>
      </c>
      <c r="O212" s="12" t="n">
        <f aca="false">0.0214*'Dataset experimental'!F212-3.1067*'Dataset experimental'!B212*'Dataset experimental'!P212*('Dataset experimental'!T212-'Dataset experimental'!R212)*(0.39*'Dataset experimental'!P212*'Dataset experimental'!T212/'Dataset experimental'!V212-'Dataset experimental'!Z212+3.12)/(100000*'Dataset experimental'!V212)+0.7995</f>
        <v>0.253976610568819</v>
      </c>
      <c r="P212" s="12" t="n">
        <f aca="false">0.4461*('Dataset experimental'!Z212-0.6*'Modelos normativos'!AB212)*(3.4*'Dataset experimental'!L212+0.17*'Dataset experimental'!B212/'Modelos normativos'!AC212)/200000</f>
        <v>0.0756719999489598</v>
      </c>
      <c r="Q212" s="4" t="e">
        <f aca="false">L212/H212</f>
        <v>#REF!</v>
      </c>
      <c r="R212" s="4" t="e">
        <f aca="false">(-0.042-0.014*'Com TS variável MC2020'!Q221)*('Modelos normativos'!AP212-ABS('Modelos Propostos'!K212)-'Dataset experimental'!W212+COS(S212))</f>
        <v>#REF!</v>
      </c>
      <c r="S212" s="4" t="e">
        <f aca="false">'Dataset experimental'!O212-('Modelos normativos'!AQ212-SIN(0.083/('Dataset experimental'!M212-'Dataset experimental'!O212))-'Modelos empíricos'!I212)/0.646</f>
        <v>#REF!</v>
      </c>
      <c r="W212" s="4" t="e">
        <f aca="false">'Modelos normativos'!S212+'Avaliação do resultado ML'!A212</f>
        <v>#REF!</v>
      </c>
      <c r="X212" s="4" t="e">
        <f aca="false">W212/'Dataset experimental'!$AF212</f>
        <v>#REF!</v>
      </c>
      <c r="AJ212" s="4" t="e">
        <f aca="false">'Modelos Propostos'!B212+H212</f>
        <v>#REF!</v>
      </c>
      <c r="AK212" s="4" t="e">
        <f aca="false">AJ212/'Dataset experimental'!$AF212</f>
        <v>#REF!</v>
      </c>
      <c r="AV212" s="4" t="e">
        <f aca="false">'Modelos normativos'!S212+F212</f>
        <v>#REF!</v>
      </c>
      <c r="AW212" s="4" t="e">
        <f aca="false">AV212/'Dataset experimental'!$AF212</f>
        <v>#REF!</v>
      </c>
      <c r="BH212" s="4" t="e">
        <f aca="false">'Modelos Propostos'!B212+R212</f>
        <v>#REF!</v>
      </c>
      <c r="BI212" s="4" t="e">
        <f aca="false">BH212/'Dataset experimental'!$AF212</f>
        <v>#REF!</v>
      </c>
      <c r="BT212" s="4" t="n">
        <f aca="false">'Modelos Propostos'!B212+L212</f>
        <v>0.211354550048098</v>
      </c>
      <c r="BU212" s="4" t="n">
        <f aca="false">BT212/'Dataset experimental'!$AF212</f>
        <v>1.1123923686742</v>
      </c>
    </row>
    <row r="213" customFormat="false" ht="14.25" hidden="false" customHeight="false" outlineLevel="0" collapsed="false">
      <c r="A213" s="4" t="e">
        <f aca="false">0.0894*ABS(D213)-0.01603*E213</f>
        <v>#REF!</v>
      </c>
      <c r="B213" s="12" t="e">
        <f aca="false">'Dataset experimental'!K213*COS('Dataset experimental'!AC213)-'Dataset experimental'!M213-'Dataset experimental'!C213</f>
        <v>#REF!</v>
      </c>
      <c r="C213" s="12" t="e">
        <f aca="false">('Dataset experimental'!AE213+SIN('Avaliação do resultado ML'!B213))*0.70674187</f>
        <v>#REF!</v>
      </c>
      <c r="D213" s="12" t="e">
        <f aca="false">'Modelos Propostos'!E213+'Avaliação do resultado ML'!C213-'Modelos normativos'!AQ213</f>
        <v>#REF!</v>
      </c>
      <c r="E213" s="12" t="n">
        <f aca="false">'Modelos empíricos'!I213+1.1854</f>
        <v>1.73762458235237</v>
      </c>
      <c r="F213" s="4" t="e">
        <f aca="false">-0.01753*('Modelos normativos'!AN213-'Dataset experimental'!C213-ABS(G213)-('Modelos Propostos'!E213-'Modelos normativos'!AP213)/0.25291)</f>
        <v>#REF!</v>
      </c>
      <c r="G213" s="4" t="e">
        <f aca="false">'Dataset experimental'!K213+'Modelos empíricos'!K213^2+('Modelos Propostos'!E213-'Modelos normativos'!AQ213)*4.10553</f>
        <v>#REF!</v>
      </c>
      <c r="H213" s="4" t="e">
        <f aca="false">0.03283*(J213+K213)</f>
        <v>#REF!</v>
      </c>
      <c r="I213" s="4" t="e">
        <f aca="false">(1.61428/'Dataset experimental'!Q213)^3</f>
        <v>#REF!</v>
      </c>
      <c r="J213" s="4" t="e">
        <f aca="false">SIN('Dataset experimental'!E213)+1.450178*(SIN('Avaliação do resultado ML'!I213)+'Dataset experimental'!C213)</f>
        <v>#REF!</v>
      </c>
      <c r="K213" s="4" t="e">
        <f aca="false">('Modelos empíricos'!C213-'Dataset experimental'!G213)*'Dataset experimental'!AE213-'Modelos normativos'!AP213</f>
        <v>#REF!</v>
      </c>
      <c r="L213" s="4" t="n">
        <f aca="false">0.0076*'Dataset experimental'!B213+'Avaliação do resultado ML'!M213+'Avaliação do resultado ML'!N213+(-0.0328)*(0.0171*'Dataset experimental'!AD213-0.9442)*'Avaliação do resultado ML'!O213-'Avaliação do resultado ML'!P213-0.0364</f>
        <v>-0.00878378061211886</v>
      </c>
      <c r="M213" s="12" t="n">
        <f aca="false">0.03283*SIN(0.7328*'Dataset experimental'!D213-1.8266)</f>
        <v>-0.0115958827834406</v>
      </c>
      <c r="N213" s="12" t="n">
        <f aca="false">0.0476*SIN(4.2067/(0.0095*'Dataset experimental'!P213-1.9338)^3)</f>
        <v>-0.0237143865224017</v>
      </c>
      <c r="O213" s="12" t="n">
        <f aca="false">0.0214*'Dataset experimental'!F213-3.1067*'Dataset experimental'!B213*'Dataset experimental'!P213*('Dataset experimental'!T213-'Dataset experimental'!R213)*(0.39*'Dataset experimental'!P213*'Dataset experimental'!T213/'Dataset experimental'!V213-'Dataset experimental'!Z213+3.12)/(100000*'Dataset experimental'!V213)+0.7995</f>
        <v>0.00568478161202191</v>
      </c>
      <c r="P213" s="12" t="n">
        <f aca="false">0.4461*('Dataset experimental'!Z213-0.6*'Modelos normativos'!AB213)*(3.4*'Dataset experimental'!L213+0.17*'Dataset experimental'!B213/'Modelos normativos'!AC213)/200000</f>
        <v>0.0891267314244894</v>
      </c>
      <c r="Q213" s="4" t="e">
        <f aca="false">L213/H213</f>
        <v>#REF!</v>
      </c>
      <c r="R213" s="4" t="e">
        <f aca="false">(-0.042-0.014*'Com TS variável MC2020'!Q222)*('Modelos normativos'!AP213-ABS('Modelos Propostos'!K213)-'Dataset experimental'!W213+COS(S213))</f>
        <v>#REF!</v>
      </c>
      <c r="S213" s="4" t="e">
        <f aca="false">'Dataset experimental'!O213-('Modelos normativos'!AQ213-SIN(0.083/('Dataset experimental'!M213-'Dataset experimental'!O213))-'Modelos empíricos'!I213)/0.646</f>
        <v>#REF!</v>
      </c>
      <c r="W213" s="4" t="e">
        <f aca="false">'Modelos normativos'!S213+'Avaliação do resultado ML'!A213</f>
        <v>#REF!</v>
      </c>
      <c r="X213" s="4" t="e">
        <f aca="false">W213/'Dataset experimental'!$AF213</f>
        <v>#REF!</v>
      </c>
      <c r="AJ213" s="4" t="e">
        <f aca="false">'Modelos Propostos'!B213+H213</f>
        <v>#REF!</v>
      </c>
      <c r="AK213" s="4" t="e">
        <f aca="false">AJ213/'Dataset experimental'!$AF213</f>
        <v>#REF!</v>
      </c>
      <c r="AV213" s="4" t="e">
        <f aca="false">'Modelos normativos'!S213+F213</f>
        <v>#REF!</v>
      </c>
      <c r="AW213" s="4" t="e">
        <f aca="false">AV213/'Dataset experimental'!$AF213</f>
        <v>#REF!</v>
      </c>
      <c r="BH213" s="4" t="e">
        <f aca="false">'Modelos Propostos'!B213+R213</f>
        <v>#REF!</v>
      </c>
      <c r="BI213" s="4" t="e">
        <f aca="false">BH213/'Dataset experimental'!$AF213</f>
        <v>#REF!</v>
      </c>
      <c r="BT213" s="4" t="n">
        <f aca="false">'Modelos Propostos'!B213+L213</f>
        <v>0.241246956007632</v>
      </c>
      <c r="BU213" s="4" t="n">
        <f aca="false">BT213/'Dataset experimental'!$AF213</f>
        <v>1.14879502860777</v>
      </c>
    </row>
    <row r="214" customFormat="false" ht="14.25" hidden="false" customHeight="false" outlineLevel="0" collapsed="false">
      <c r="A214" s="4" t="e">
        <f aca="false">0.0894*ABS(D214)-0.01603*E214</f>
        <v>#REF!</v>
      </c>
      <c r="B214" s="12" t="e">
        <f aca="false">'Dataset experimental'!K214*COS('Dataset experimental'!AC214)-'Dataset experimental'!M214-'Dataset experimental'!C214</f>
        <v>#REF!</v>
      </c>
      <c r="C214" s="12" t="e">
        <f aca="false">('Dataset experimental'!AE214+SIN('Avaliação do resultado ML'!B214))*0.70674187</f>
        <v>#REF!</v>
      </c>
      <c r="D214" s="12" t="e">
        <f aca="false">'Modelos Propostos'!E214+'Avaliação do resultado ML'!C214-'Modelos normativos'!AQ214</f>
        <v>#REF!</v>
      </c>
      <c r="E214" s="12" t="n">
        <f aca="false">'Modelos empíricos'!I214+1.1854</f>
        <v>1.97909830860376</v>
      </c>
      <c r="F214" s="4" t="e">
        <f aca="false">-0.01753*('Modelos normativos'!AN214-'Dataset experimental'!C214-ABS(G214)-('Modelos Propostos'!E214-'Modelos normativos'!AP214)/0.25291)</f>
        <v>#REF!</v>
      </c>
      <c r="G214" s="4" t="e">
        <f aca="false">'Dataset experimental'!K214+'Modelos empíricos'!K214^2+('Modelos Propostos'!E214-'Modelos normativos'!AQ214)*4.10553</f>
        <v>#REF!</v>
      </c>
      <c r="H214" s="4" t="e">
        <f aca="false">0.03283*(J214+K214)</f>
        <v>#REF!</v>
      </c>
      <c r="I214" s="4" t="e">
        <f aca="false">(1.61428/'Dataset experimental'!Q214)^3</f>
        <v>#REF!</v>
      </c>
      <c r="J214" s="4" t="e">
        <f aca="false">SIN('Dataset experimental'!E214)+1.450178*(SIN('Avaliação do resultado ML'!I214)+'Dataset experimental'!C214)</f>
        <v>#REF!</v>
      </c>
      <c r="K214" s="4" t="e">
        <f aca="false">('Modelos empíricos'!C214-'Dataset experimental'!G214)*'Dataset experimental'!AE214-'Modelos normativos'!AP214</f>
        <v>#REF!</v>
      </c>
      <c r="L214" s="4" t="n">
        <f aca="false">0.0076*'Dataset experimental'!B214+'Avaliação do resultado ML'!M214+'Avaliação do resultado ML'!N214+(-0.0328)*(0.0171*'Dataset experimental'!AD214-0.9442)*'Avaliação do resultado ML'!O214-'Avaliação do resultado ML'!P214-0.0364</f>
        <v>-0.0156617371845777</v>
      </c>
      <c r="M214" s="12" t="n">
        <f aca="false">0.03283*SIN(0.7328*'Dataset experimental'!D214-1.8266)</f>
        <v>-0.0115958827834406</v>
      </c>
      <c r="N214" s="12" t="n">
        <f aca="false">0.0476*SIN(4.2067/(0.0095*'Dataset experimental'!P214-1.9338)^3)</f>
        <v>-0.0237143865224017</v>
      </c>
      <c r="O214" s="12" t="n">
        <f aca="false">0.0214*'Dataset experimental'!F214-3.1067*'Dataset experimental'!B214*'Dataset experimental'!P214*('Dataset experimental'!T214-'Dataset experimental'!R214)*(0.39*'Dataset experimental'!P214*'Dataset experimental'!T214/'Dataset experimental'!V214-'Dataset experimental'!Z214+3.12)/(100000*'Dataset experimental'!V214)+0.7995</f>
        <v>-0.104667142368777</v>
      </c>
      <c r="P214" s="12" t="n">
        <f aca="false">0.4461*('Dataset experimental'!Z214-0.6*'Modelos normativos'!AB214)*(3.4*'Dataset experimental'!L214+0.17*'Dataset experimental'!B214/'Modelos normativos'!AC214)/200000</f>
        <v>0.0951066120802803</v>
      </c>
      <c r="Q214" s="4" t="e">
        <f aca="false">L214/H214</f>
        <v>#REF!</v>
      </c>
      <c r="R214" s="4" t="e">
        <f aca="false">(-0.042-0.014*'Com TS variável MC2020'!Q223)*('Modelos normativos'!AP214-ABS('Modelos Propostos'!K214)-'Dataset experimental'!W214+COS(S214))</f>
        <v>#REF!</v>
      </c>
      <c r="S214" s="4" t="e">
        <f aca="false">'Dataset experimental'!O214-('Modelos normativos'!AQ214-SIN(0.083/('Dataset experimental'!M214-'Dataset experimental'!O214))-'Modelos empíricos'!I214)/0.646</f>
        <v>#REF!</v>
      </c>
      <c r="W214" s="4" t="e">
        <f aca="false">'Modelos normativos'!S214+'Avaliação do resultado ML'!A214</f>
        <v>#REF!</v>
      </c>
      <c r="X214" s="4" t="e">
        <f aca="false">W214/'Dataset experimental'!$AF214</f>
        <v>#REF!</v>
      </c>
      <c r="AJ214" s="4" t="e">
        <f aca="false">'Modelos Propostos'!B214+H214</f>
        <v>#REF!</v>
      </c>
      <c r="AK214" s="4" t="e">
        <f aca="false">AJ214/'Dataset experimental'!$AF214</f>
        <v>#REF!</v>
      </c>
      <c r="AV214" s="4" t="e">
        <f aca="false">'Modelos normativos'!S214+F214</f>
        <v>#REF!</v>
      </c>
      <c r="AW214" s="4" t="e">
        <f aca="false">AV214/'Dataset experimental'!$AF214</f>
        <v>#REF!</v>
      </c>
      <c r="BH214" s="4" t="e">
        <f aca="false">'Modelos Propostos'!B214+R214</f>
        <v>#REF!</v>
      </c>
      <c r="BI214" s="4" t="e">
        <f aca="false">BH214/'Dataset experimental'!$AF214</f>
        <v>#REF!</v>
      </c>
      <c r="BT214" s="4" t="n">
        <f aca="false">'Modelos Propostos'!B214+L214</f>
        <v>0.254995128816165</v>
      </c>
      <c r="BU214" s="4" t="n">
        <f aca="false">BT214/'Dataset experimental'!$AF214</f>
        <v>1.10867447311376</v>
      </c>
    </row>
    <row r="215" customFormat="false" ht="14.25" hidden="false" customHeight="false" outlineLevel="0" collapsed="false">
      <c r="A215" s="4" t="e">
        <f aca="false">0.0894*ABS(D215)-0.01603*E215</f>
        <v>#REF!</v>
      </c>
      <c r="B215" s="12" t="e">
        <f aca="false">'Dataset experimental'!K215*COS('Dataset experimental'!AC215)-'Dataset experimental'!M215-'Dataset experimental'!C215</f>
        <v>#REF!</v>
      </c>
      <c r="C215" s="12" t="e">
        <f aca="false">('Dataset experimental'!AE215+SIN('Avaliação do resultado ML'!B215))*0.70674187</f>
        <v>#REF!</v>
      </c>
      <c r="D215" s="12" t="e">
        <f aca="false">'Modelos Propostos'!E215+'Avaliação do resultado ML'!C215-'Modelos normativos'!AQ215</f>
        <v>#REF!</v>
      </c>
      <c r="E215" s="12" t="n">
        <f aca="false">'Modelos empíricos'!I215+1.1854</f>
        <v>2.5224141926694</v>
      </c>
      <c r="F215" s="4" t="e">
        <f aca="false">-0.01753*('Modelos normativos'!AN215-'Dataset experimental'!C215-ABS(G215)-('Modelos Propostos'!E215-'Modelos normativos'!AP215)/0.25291)</f>
        <v>#REF!</v>
      </c>
      <c r="G215" s="4" t="e">
        <f aca="false">'Dataset experimental'!K215+'Modelos empíricos'!K215^2+('Modelos Propostos'!E215-'Modelos normativos'!AQ215)*4.10553</f>
        <v>#REF!</v>
      </c>
      <c r="H215" s="4" t="e">
        <f aca="false">0.03283*(J215+K215)</f>
        <v>#REF!</v>
      </c>
      <c r="I215" s="4" t="e">
        <f aca="false">(1.61428/'Dataset experimental'!Q215)^3</f>
        <v>#REF!</v>
      </c>
      <c r="J215" s="4" t="e">
        <f aca="false">SIN('Dataset experimental'!E215)+1.450178*(SIN('Avaliação do resultado ML'!I215)+'Dataset experimental'!C215)</f>
        <v>#REF!</v>
      </c>
      <c r="K215" s="4" t="e">
        <f aca="false">('Modelos empíricos'!C215-'Dataset experimental'!G215)*'Dataset experimental'!AE215-'Modelos normativos'!AP215</f>
        <v>#REF!</v>
      </c>
      <c r="L215" s="4" t="n">
        <f aca="false">0.0076*'Dataset experimental'!B215+'Avaliação do resultado ML'!M215+'Avaliação do resultado ML'!N215+(-0.0328)*(0.0171*'Dataset experimental'!AD215-0.9442)*'Avaliação do resultado ML'!O215-'Avaliação do resultado ML'!P215-0.0364</f>
        <v>-0.0300961566129459</v>
      </c>
      <c r="M215" s="12" t="n">
        <f aca="false">0.03283*SIN(0.7328*'Dataset experimental'!D215-1.8266)</f>
        <v>-0.0115958827834406</v>
      </c>
      <c r="N215" s="12" t="n">
        <f aca="false">0.0476*SIN(4.2067/(0.0095*'Dataset experimental'!P215-1.9338)^3)</f>
        <v>-0.0237143865224017</v>
      </c>
      <c r="O215" s="12" t="n">
        <f aca="false">0.0214*'Dataset experimental'!F215-3.1067*'Dataset experimental'!B215*'Dataset experimental'!P215*('Dataset experimental'!T215-'Dataset experimental'!R215)*(0.39*'Dataset experimental'!P215*'Dataset experimental'!T215/'Dataset experimental'!V215-'Dataset experimental'!Z215+3.12)/(100000*'Dataset experimental'!V215)+0.7995</f>
        <v>-0.352958971325573</v>
      </c>
      <c r="P215" s="12" t="n">
        <f aca="false">0.4461*('Dataset experimental'!Z215-0.6*'Modelos normativos'!AB215)*(3.4*'Dataset experimental'!L215+0.17*'Dataset experimental'!B215/'Modelos normativos'!AC215)/200000</f>
        <v>0.10856134355581</v>
      </c>
      <c r="Q215" s="4" t="e">
        <f aca="false">L215/H215</f>
        <v>#REF!</v>
      </c>
      <c r="R215" s="4" t="e">
        <f aca="false">(-0.042-0.014*'Com TS variável MC2020'!Q224)*('Modelos normativos'!AP215-ABS('Modelos Propostos'!K215)-'Dataset experimental'!W215+COS(S215))</f>
        <v>#REF!</v>
      </c>
      <c r="S215" s="4" t="e">
        <f aca="false">'Dataset experimental'!O215-('Modelos normativos'!AQ215-SIN(0.083/('Dataset experimental'!M215-'Dataset experimental'!O215))-'Modelos empíricos'!I215)/0.646</f>
        <v>#REF!</v>
      </c>
      <c r="W215" s="4" t="e">
        <f aca="false">'Modelos normativos'!S215+'Avaliação do resultado ML'!A215</f>
        <v>#REF!</v>
      </c>
      <c r="X215" s="4" t="e">
        <f aca="false">W215/'Dataset experimental'!$AF215</f>
        <v>#REF!</v>
      </c>
      <c r="AJ215" s="4" t="e">
        <f aca="false">'Modelos Propostos'!B215+H215</f>
        <v>#REF!</v>
      </c>
      <c r="AK215" s="4" t="e">
        <f aca="false">AJ215/'Dataset experimental'!$AF215</f>
        <v>#REF!</v>
      </c>
      <c r="AV215" s="4" t="e">
        <f aca="false">'Modelos normativos'!S215+F215</f>
        <v>#REF!</v>
      </c>
      <c r="AW215" s="4" t="e">
        <f aca="false">AV215/'Dataset experimental'!$AF215</f>
        <v>#REF!</v>
      </c>
      <c r="BH215" s="4" t="e">
        <f aca="false">'Modelos Propostos'!B215+R215</f>
        <v>#REF!</v>
      </c>
      <c r="BI215" s="4" t="e">
        <f aca="false">BH215/'Dataset experimental'!$AF215</f>
        <v>#REF!</v>
      </c>
      <c r="BT215" s="4" t="n">
        <f aca="false">'Modelos Propostos'!B215+L215</f>
        <v>0.286969500495027</v>
      </c>
      <c r="BU215" s="4" t="n">
        <f aca="false">BT215/'Dataset experimental'!$AF215</f>
        <v>1.14787800198011</v>
      </c>
    </row>
    <row r="216" customFormat="false" ht="14.25" hidden="false" customHeight="false" outlineLevel="0" collapsed="false">
      <c r="A216" s="4" t="e">
        <f aca="false">0.0894*ABS(D216)-0.01603*E216</f>
        <v>#REF!</v>
      </c>
      <c r="B216" s="12" t="e">
        <f aca="false">'Dataset experimental'!K216*COS('Dataset experimental'!AC216)-'Dataset experimental'!M216-'Dataset experimental'!C216</f>
        <v>#REF!</v>
      </c>
      <c r="C216" s="12" t="e">
        <f aca="false">('Dataset experimental'!AE216+SIN('Avaliação do resultado ML'!B216))*0.70674187</f>
        <v>#REF!</v>
      </c>
      <c r="D216" s="12" t="e">
        <f aca="false">'Modelos Propostos'!E216+'Avaliação do resultado ML'!C216-'Modelos normativos'!AQ216</f>
        <v>#REF!</v>
      </c>
      <c r="E216" s="12" t="n">
        <f aca="false">'Modelos empíricos'!I216+1.1854</f>
        <v>3.66941439236353</v>
      </c>
      <c r="F216" s="4" t="e">
        <f aca="false">-0.01753*('Modelos normativos'!AN216-'Dataset experimental'!C216-ABS(G216)-('Modelos Propostos'!E216-'Modelos normativos'!AP216)/0.25291)</f>
        <v>#REF!</v>
      </c>
      <c r="G216" s="4" t="e">
        <f aca="false">'Dataset experimental'!K216+'Modelos empíricos'!K216^2+('Modelos Propostos'!E216-'Modelos normativos'!AQ216)*4.10553</f>
        <v>#REF!</v>
      </c>
      <c r="H216" s="4" t="e">
        <f aca="false">0.03283*(J216+K216)</f>
        <v>#REF!</v>
      </c>
      <c r="I216" s="4" t="e">
        <f aca="false">(1.61428/'Dataset experimental'!Q216)^3</f>
        <v>#REF!</v>
      </c>
      <c r="J216" s="4" t="e">
        <f aca="false">SIN('Dataset experimental'!E216)+1.450178*(SIN('Avaliação do resultado ML'!I216)+'Dataset experimental'!C216)</f>
        <v>#REF!</v>
      </c>
      <c r="K216" s="4" t="e">
        <f aca="false">('Modelos empíricos'!C216-'Dataset experimental'!G216)*'Dataset experimental'!AE216-'Modelos normativos'!AP216</f>
        <v>#REF!</v>
      </c>
      <c r="L216" s="4" t="n">
        <f aca="false">0.0076*'Dataset experimental'!B216+'Avaliação do resultado ML'!M216+'Avaliação do resultado ML'!N216+(-0.0328)*(0.0171*'Dataset experimental'!AD216-0.9442)*'Avaliação do resultado ML'!O216-'Avaliação do resultado ML'!P216-0.0364</f>
        <v>-0.0558354618904305</v>
      </c>
      <c r="M216" s="12" t="n">
        <f aca="false">0.03283*SIN(0.7328*'Dataset experimental'!D216-1.8266)</f>
        <v>-0.0115958827834406</v>
      </c>
      <c r="N216" s="12" t="n">
        <f aca="false">0.0476*SIN(4.2067/(0.0095*'Dataset experimental'!P216-1.9338)^3)</f>
        <v>-0.0237143865224017</v>
      </c>
      <c r="O216" s="12" t="n">
        <f aca="false">0.0214*'Dataset experimental'!F216-3.1067*'Dataset experimental'!B216*'Dataset experimental'!P216*('Dataset experimental'!T216-'Dataset experimental'!R216)*(0.39*'Dataset experimental'!P216*'Dataset experimental'!T216/'Dataset experimental'!V216-'Dataset experimental'!Z216+3.12)/(100000*'Dataset experimental'!V216)+0.7995</f>
        <v>-0.877130610234366</v>
      </c>
      <c r="P216" s="12" t="n">
        <f aca="false">0.4461*('Dataset experimental'!Z216-0.6*'Modelos normativos'!AB216)*(3.4*'Dataset experimental'!L216+0.17*'Dataset experimental'!B216/'Modelos normativos'!AC216)/200000</f>
        <v>0.136965776670817</v>
      </c>
      <c r="Q216" s="4" t="e">
        <f aca="false">L216/H216</f>
        <v>#REF!</v>
      </c>
      <c r="R216" s="4" t="e">
        <f aca="false">(-0.042-0.014*'Com TS variável MC2020'!Q225)*('Modelos normativos'!AP216-ABS('Modelos Propostos'!K216)-'Dataset experimental'!W216+COS(S216))</f>
        <v>#REF!</v>
      </c>
      <c r="S216" s="4" t="e">
        <f aca="false">'Dataset experimental'!O216-('Modelos normativos'!AQ216-SIN(0.083/('Dataset experimental'!M216-'Dataset experimental'!O216))-'Modelos empíricos'!I216)/0.646</f>
        <v>#REF!</v>
      </c>
      <c r="W216" s="4" t="e">
        <f aca="false">'Modelos normativos'!S216+'Avaliação do resultado ML'!A216</f>
        <v>#REF!</v>
      </c>
      <c r="X216" s="4" t="e">
        <f aca="false">W216/'Dataset experimental'!$AF216</f>
        <v>#REF!</v>
      </c>
      <c r="AJ216" s="4" t="e">
        <f aca="false">'Modelos Propostos'!B216+H216</f>
        <v>#REF!</v>
      </c>
      <c r="AK216" s="4" t="e">
        <f aca="false">AJ216/'Dataset experimental'!$AF216</f>
        <v>#REF!</v>
      </c>
      <c r="AV216" s="4" t="e">
        <f aca="false">'Modelos normativos'!S216+F216</f>
        <v>#REF!</v>
      </c>
      <c r="AW216" s="4" t="e">
        <f aca="false">AV216/'Dataset experimental'!$AF216</f>
        <v>#REF!</v>
      </c>
      <c r="BH216" s="4" t="e">
        <f aca="false">'Modelos Propostos'!B216+R216</f>
        <v>#REF!</v>
      </c>
      <c r="BI216" s="4" t="e">
        <f aca="false">BH216/'Dataset experimental'!$AF216</f>
        <v>#REF!</v>
      </c>
      <c r="BT216" s="4" t="n">
        <f aca="false">'Modelos Propostos'!B216+L216</f>
        <v>0.349007298308302</v>
      </c>
      <c r="BU216" s="4" t="n">
        <f aca="false">BT216/'Dataset experimental'!$AF216</f>
        <v>1.39602919323321</v>
      </c>
    </row>
    <row r="217" customFormat="false" ht="14.25" hidden="false" customHeight="false" outlineLevel="0" collapsed="false">
      <c r="A217" s="4" t="e">
        <f aca="false">0.0894*ABS(D217)-0.01603*E217</f>
        <v>#REF!</v>
      </c>
      <c r="B217" s="12" t="e">
        <f aca="false">'Dataset experimental'!K217*COS('Dataset experimental'!AC217)-'Dataset experimental'!M217-'Dataset experimental'!C217</f>
        <v>#REF!</v>
      </c>
      <c r="C217" s="12" t="e">
        <f aca="false">('Dataset experimental'!AE217+SIN('Avaliação do resultado ML'!B217))*0.70674187</f>
        <v>#REF!</v>
      </c>
      <c r="D217" s="12" t="e">
        <f aca="false">'Modelos Propostos'!E217+'Avaliação do resultado ML'!C217-'Modelos normativos'!AQ217</f>
        <v>#REF!</v>
      </c>
      <c r="E217" s="12" t="n">
        <f aca="false">'Modelos empíricos'!I217+1.1854</f>
        <v>-0.0257964384881348</v>
      </c>
      <c r="F217" s="4" t="e">
        <f aca="false">-0.01753*('Modelos normativos'!AN217-'Dataset experimental'!C217-ABS(G217)-('Modelos Propostos'!E217-'Modelos normativos'!AP217)/0.25291)</f>
        <v>#REF!</v>
      </c>
      <c r="G217" s="4" t="e">
        <f aca="false">'Dataset experimental'!K217+'Modelos empíricos'!K217^2+('Modelos Propostos'!E217-'Modelos normativos'!AQ217)*4.10553</f>
        <v>#REF!</v>
      </c>
      <c r="H217" s="4" t="e">
        <f aca="false">0.03283*(J217+K217)</f>
        <v>#REF!</v>
      </c>
      <c r="I217" s="4" t="e">
        <f aca="false">(1.61428/'Dataset experimental'!Q217)^3</f>
        <v>#REF!</v>
      </c>
      <c r="J217" s="4" t="e">
        <f aca="false">SIN('Dataset experimental'!E217)+1.450178*(SIN('Avaliação do resultado ML'!I217)+'Dataset experimental'!C217)</f>
        <v>#REF!</v>
      </c>
      <c r="K217" s="4" t="e">
        <f aca="false">('Modelos empíricos'!C217-'Dataset experimental'!G217)*'Dataset experimental'!AE217-'Modelos normativos'!AP217</f>
        <v>#REF!</v>
      </c>
      <c r="L217" s="4" t="n">
        <f aca="false">0.0076*'Dataset experimental'!B217+'Avaliação do resultado ML'!M217+'Avaliação do resultado ML'!N217+(-0.0328)*(0.0171*'Dataset experimental'!AD217-0.9442)*'Avaliação do resultado ML'!O217-'Avaliação do resultado ML'!P217-0.0364</f>
        <v>0.0527097683645229</v>
      </c>
      <c r="M217" s="12" t="n">
        <f aca="false">0.03283*SIN(0.7328*'Dataset experimental'!D217-1.8266)</f>
        <v>0.0119269103214528</v>
      </c>
      <c r="N217" s="12" t="n">
        <f aca="false">0.0476*SIN(4.2067/(0.0095*'Dataset experimental'!P217-1.9338)^3)</f>
        <v>-0.0237143865224017</v>
      </c>
      <c r="O217" s="12" t="n">
        <f aca="false">0.0214*'Dataset experimental'!F217-3.1067*'Dataset experimental'!B217*'Dataset experimental'!P217*('Dataset experimental'!T217-'Dataset experimental'!R217)*(0.39*'Dataset experimental'!P217*'Dataset experimental'!T217/'Dataset experimental'!V217-'Dataset experimental'!Z217+3.12)/(100000*'Dataset experimental'!V217)+0.7995</f>
        <v>0.255053023612248</v>
      </c>
      <c r="P217" s="12" t="n">
        <f aca="false">0.4461*('Dataset experimental'!Z217-0.6*'Modelos normativos'!AB217)*(3.4*'Dataset experimental'!L217+0.17*'Dataset experimental'!B217/'Modelos normativos'!AC217)/200000</f>
        <v>0.0534082694936236</v>
      </c>
      <c r="Q217" s="4" t="e">
        <f aca="false">L217/H217</f>
        <v>#REF!</v>
      </c>
      <c r="R217" s="4" t="e">
        <f aca="false">(-0.042-0.014*'Com TS variável MC2020'!Q226)*('Modelos normativos'!AP217-ABS('Modelos Propostos'!K217)-'Dataset experimental'!W217+COS(S217))</f>
        <v>#REF!</v>
      </c>
      <c r="S217" s="4" t="e">
        <f aca="false">'Dataset experimental'!O217-('Modelos normativos'!AQ217-SIN(0.083/('Dataset experimental'!M217-'Dataset experimental'!O217))-'Modelos empíricos'!I217)/0.646</f>
        <v>#REF!</v>
      </c>
      <c r="W217" s="4" t="e">
        <f aca="false">'Modelos normativos'!S217+'Avaliação do resultado ML'!A217</f>
        <v>#REF!</v>
      </c>
      <c r="X217" s="4" t="e">
        <f aca="false">W217/'Dataset experimental'!$AF217</f>
        <v>#REF!</v>
      </c>
      <c r="AJ217" s="4" t="e">
        <f aca="false">'Modelos Propostos'!B217+H217</f>
        <v>#REF!</v>
      </c>
      <c r="AK217" s="4" t="e">
        <f aca="false">AJ217/'Dataset experimental'!$AF217</f>
        <v>#REF!</v>
      </c>
      <c r="AV217" s="4" t="e">
        <f aca="false">'Modelos normativos'!S217+F217</f>
        <v>#REF!</v>
      </c>
      <c r="AW217" s="4" t="e">
        <f aca="false">AV217/'Dataset experimental'!$AF217</f>
        <v>#REF!</v>
      </c>
      <c r="BH217" s="4" t="e">
        <f aca="false">'Modelos Propostos'!B217+R217</f>
        <v>#REF!</v>
      </c>
      <c r="BI217" s="4" t="e">
        <f aca="false">BH217/'Dataset experimental'!$AF217</f>
        <v>#REF!</v>
      </c>
      <c r="BT217" s="4" t="n">
        <f aca="false">'Modelos Propostos'!B217+L217</f>
        <v>0.18690943376219</v>
      </c>
      <c r="BU217" s="4" t="n">
        <f aca="false">BT217/'Dataset experimental'!$AF217</f>
        <v>1.03838574312328</v>
      </c>
    </row>
    <row r="218" customFormat="false" ht="14.25" hidden="false" customHeight="false" outlineLevel="0" collapsed="false">
      <c r="A218" s="4" t="e">
        <f aca="false">0.0894*ABS(D218)-0.01603*E218</f>
        <v>#REF!</v>
      </c>
      <c r="B218" s="12" t="e">
        <f aca="false">'Dataset experimental'!K218*COS('Dataset experimental'!AC218)-'Dataset experimental'!M218-'Dataset experimental'!C218</f>
        <v>#REF!</v>
      </c>
      <c r="C218" s="12" t="e">
        <f aca="false">('Dataset experimental'!AE218+SIN('Avaliação do resultado ML'!B218))*0.70674187</f>
        <v>#REF!</v>
      </c>
      <c r="D218" s="12" t="e">
        <f aca="false">'Modelos Propostos'!E218+'Avaliação do resultado ML'!C218-'Modelos normativos'!AQ218</f>
        <v>#REF!</v>
      </c>
      <c r="E218" s="12" t="n">
        <f aca="false">'Modelos empíricos'!I218+1.1854</f>
        <v>0.294749706537658</v>
      </c>
      <c r="F218" s="4" t="e">
        <f aca="false">-0.01753*('Modelos normativos'!AN218-'Dataset experimental'!C218-ABS(G218)-('Modelos Propostos'!E218-'Modelos normativos'!AP218)/0.25291)</f>
        <v>#REF!</v>
      </c>
      <c r="G218" s="4" t="e">
        <f aca="false">'Dataset experimental'!K218+'Modelos empíricos'!K218^2+('Modelos Propostos'!E218-'Modelos normativos'!AQ218)*4.10553</f>
        <v>#REF!</v>
      </c>
      <c r="H218" s="4" t="e">
        <f aca="false">0.03283*(J218+K218)</f>
        <v>#REF!</v>
      </c>
      <c r="I218" s="4" t="e">
        <f aca="false">(1.61428/'Dataset experimental'!Q218)^3</f>
        <v>#REF!</v>
      </c>
      <c r="J218" s="4" t="e">
        <f aca="false">SIN('Dataset experimental'!E218)+1.450178*(SIN('Avaliação do resultado ML'!I218)+'Dataset experimental'!C218)</f>
        <v>#REF!</v>
      </c>
      <c r="K218" s="4" t="e">
        <f aca="false">('Modelos empíricos'!C218-'Dataset experimental'!G218)*'Dataset experimental'!AE218-'Modelos normativos'!AP218</f>
        <v>#REF!</v>
      </c>
      <c r="L218" s="4" t="n">
        <f aca="false">0.0076*'Dataset experimental'!B218+'Avaliação do resultado ML'!M218+'Avaliação do resultado ML'!N218+(-0.0328)*(0.0171*'Dataset experimental'!AD218-0.9442)*'Avaliação do resultado ML'!O218-'Avaliação do resultado ML'!P218-0.0364</f>
        <v>0.0422355125374265</v>
      </c>
      <c r="M218" s="12" t="n">
        <f aca="false">0.03283*SIN(0.7328*'Dataset experimental'!D218-1.8266)</f>
        <v>0.0119269103214528</v>
      </c>
      <c r="N218" s="12" t="n">
        <f aca="false">0.0476*SIN(4.2067/(0.0095*'Dataset experimental'!P218-1.9338)^3)</f>
        <v>-0.0237143865224017</v>
      </c>
      <c r="O218" s="12" t="n">
        <f aca="false">0.0214*'Dataset experimental'!F218-3.1067*'Dataset experimental'!B218*'Dataset experimental'!P218*('Dataset experimental'!T218-'Dataset experimental'!R218)*(0.39*'Dataset experimental'!P218*'Dataset experimental'!T218/'Dataset experimental'!V218-'Dataset experimental'!Z218+3.12)/(100000*'Dataset experimental'!V218)+0.7995</f>
        <v>0.129308687048172</v>
      </c>
      <c r="P218" s="12" t="n">
        <f aca="false">0.4461*('Dataset experimental'!Z218-0.6*'Modelos normativos'!AB218)*(3.4*'Dataset experimental'!L218+0.17*'Dataset experimental'!B218/'Modelos normativos'!AC218)/200000</f>
        <v>0.0623288497262593</v>
      </c>
      <c r="Q218" s="4" t="e">
        <f aca="false">L218/H218</f>
        <v>#REF!</v>
      </c>
      <c r="R218" s="4" t="e">
        <f aca="false">(-0.042-0.014*'Com TS variável MC2020'!Q227)*('Modelos normativos'!AP218-ABS('Modelos Propostos'!K218)-'Dataset experimental'!W218+COS(S218))</f>
        <v>#REF!</v>
      </c>
      <c r="S218" s="4" t="e">
        <f aca="false">'Dataset experimental'!O218-('Modelos normativos'!AQ218-SIN(0.083/('Dataset experimental'!M218-'Dataset experimental'!O218))-'Modelos empíricos'!I218)/0.646</f>
        <v>#REF!</v>
      </c>
      <c r="W218" s="4" t="e">
        <f aca="false">'Modelos normativos'!S218+'Avaliação do resultado ML'!A218</f>
        <v>#REF!</v>
      </c>
      <c r="X218" s="4" t="e">
        <f aca="false">W218/'Dataset experimental'!$AF218</f>
        <v>#REF!</v>
      </c>
      <c r="AJ218" s="4" t="e">
        <f aca="false">'Modelos Propostos'!B218+H218</f>
        <v>#REF!</v>
      </c>
      <c r="AK218" s="4" t="e">
        <f aca="false">AJ218/'Dataset experimental'!$AF218</f>
        <v>#REF!</v>
      </c>
      <c r="AV218" s="4" t="e">
        <f aca="false">'Modelos normativos'!S218+F218</f>
        <v>#REF!</v>
      </c>
      <c r="AW218" s="4" t="e">
        <f aca="false">AV218/'Dataset experimental'!$AF218</f>
        <v>#REF!</v>
      </c>
      <c r="BH218" s="4" t="e">
        <f aca="false">'Modelos Propostos'!B218+R218</f>
        <v>#REF!</v>
      </c>
      <c r="BI218" s="4" t="e">
        <f aca="false">BH218/'Dataset experimental'!$AF218</f>
        <v>#REF!</v>
      </c>
      <c r="BT218" s="4" t="n">
        <f aca="false">'Modelos Propostos'!B218+L218</f>
        <v>0.204963172037172</v>
      </c>
      <c r="BU218" s="4" t="n">
        <f aca="false">BT218/'Dataset experimental'!$AF218</f>
        <v>1.07875353703775</v>
      </c>
    </row>
    <row r="219" customFormat="false" ht="14.25" hidden="false" customHeight="false" outlineLevel="0" collapsed="false">
      <c r="A219" s="4" t="e">
        <f aca="false">0.0894*ABS(D219)-0.01603*E219</f>
        <v>#REF!</v>
      </c>
      <c r="B219" s="12" t="e">
        <f aca="false">'Dataset experimental'!K219*COS('Dataset experimental'!AC219)-'Dataset experimental'!M219-'Dataset experimental'!C219</f>
        <v>#REF!</v>
      </c>
      <c r="C219" s="12" t="e">
        <f aca="false">('Dataset experimental'!AE219+SIN('Avaliação do resultado ML'!B219))*0.70674187</f>
        <v>#REF!</v>
      </c>
      <c r="D219" s="12" t="e">
        <f aca="false">'Modelos Propostos'!E219+'Avaliação do resultado ML'!C219-'Modelos normativos'!AQ219</f>
        <v>#REF!</v>
      </c>
      <c r="E219" s="12" t="n">
        <f aca="false">'Modelos empíricos'!I219+1.1854</f>
        <v>0.583241237060871</v>
      </c>
      <c r="F219" s="4" t="e">
        <f aca="false">-0.01753*('Modelos normativos'!AN219-'Dataset experimental'!C219-ABS(G219)-('Modelos Propostos'!E219-'Modelos normativos'!AP219)/0.25291)</f>
        <v>#REF!</v>
      </c>
      <c r="G219" s="4" t="e">
        <f aca="false">'Dataset experimental'!K219+'Modelos empíricos'!K219^2+('Modelos Propostos'!E219-'Modelos normativos'!AQ219)*4.10553</f>
        <v>#REF!</v>
      </c>
      <c r="H219" s="4" t="e">
        <f aca="false">0.03283*(J219+K219)</f>
        <v>#REF!</v>
      </c>
      <c r="I219" s="4" t="e">
        <f aca="false">(1.61428/'Dataset experimental'!Q219)^3</f>
        <v>#REF!</v>
      </c>
      <c r="J219" s="4" t="e">
        <f aca="false">SIN('Dataset experimental'!E219)+1.450178*(SIN('Avaliação do resultado ML'!I219)+'Dataset experimental'!C219)</f>
        <v>#REF!</v>
      </c>
      <c r="K219" s="4" t="e">
        <f aca="false">('Modelos empíricos'!C219-'Dataset experimental'!G219)*'Dataset experimental'!AE219-'Modelos normativos'!AP219</f>
        <v>#REF!</v>
      </c>
      <c r="L219" s="4" t="n">
        <f aca="false">0.0076*'Dataset experimental'!B219+'Avaliação do resultado ML'!M219+'Avaliação do resultado ML'!N219+(-0.0328)*(0.0171*'Dataset experimental'!AD219-0.9442)*'Avaliação do resultado ML'!O219-'Avaliação do resultado ML'!P219-0.0364</f>
        <v>0.0335021437744754</v>
      </c>
      <c r="M219" s="12" t="n">
        <f aca="false">0.03283*SIN(0.7328*'Dataset experimental'!D219-1.8266)</f>
        <v>0.0119269103214528</v>
      </c>
      <c r="N219" s="12" t="n">
        <f aca="false">0.0476*SIN(4.2067/(0.0095*'Dataset experimental'!P219-1.9338)^3)</f>
        <v>-0.0237143865224017</v>
      </c>
      <c r="O219" s="12" t="n">
        <f aca="false">0.0214*'Dataset experimental'!F219-3.1067*'Dataset experimental'!B219*'Dataset experimental'!P219*('Dataset experimental'!T219-'Dataset experimental'!R219)*(0.39*'Dataset experimental'!P219*'Dataset experimental'!T219/'Dataset experimental'!V219-'Dataset experimental'!Z219+3.12)/(100000*'Dataset experimental'!V219)+0.7995</f>
        <v>0.016138784140504</v>
      </c>
      <c r="P219" s="12" t="n">
        <f aca="false">0.4461*('Dataset experimental'!Z219-0.6*'Modelos normativos'!AB219)*(3.4*'Dataset experimental'!L219+0.17*'Dataset experimental'!B219/'Modelos normativos'!AC219)/200000</f>
        <v>0.0703573719356314</v>
      </c>
      <c r="Q219" s="4" t="e">
        <f aca="false">L219/H219</f>
        <v>#REF!</v>
      </c>
      <c r="R219" s="4" t="e">
        <f aca="false">(-0.042-0.014*'Com TS variável MC2020'!Q228)*('Modelos normativos'!AP219-ABS('Modelos Propostos'!K219)-'Dataset experimental'!W219+COS(S219))</f>
        <v>#REF!</v>
      </c>
      <c r="S219" s="4" t="e">
        <f aca="false">'Dataset experimental'!O219-('Modelos normativos'!AQ219-SIN(0.083/('Dataset experimental'!M219-'Dataset experimental'!O219))-'Modelos empíricos'!I219)/0.646</f>
        <v>#REF!</v>
      </c>
      <c r="W219" s="4" t="e">
        <f aca="false">'Modelos normativos'!S219+'Avaliação do resultado ML'!A219</f>
        <v>#REF!</v>
      </c>
      <c r="X219" s="4" t="e">
        <f aca="false">W219/'Dataset experimental'!$AF219</f>
        <v>#REF!</v>
      </c>
      <c r="AJ219" s="4" t="e">
        <f aca="false">'Modelos Propostos'!B219+H219</f>
        <v>#REF!</v>
      </c>
      <c r="AK219" s="4" t="e">
        <f aca="false">AJ219/'Dataset experimental'!$AF219</f>
        <v>#REF!</v>
      </c>
      <c r="AV219" s="4" t="e">
        <f aca="false">'Modelos normativos'!S219+F219</f>
        <v>#REF!</v>
      </c>
      <c r="AW219" s="4" t="e">
        <f aca="false">AV219/'Dataset experimental'!$AF219</f>
        <v>#REF!</v>
      </c>
      <c r="BH219" s="4" t="e">
        <f aca="false">'Modelos Propostos'!B219+R219</f>
        <v>#REF!</v>
      </c>
      <c r="BI219" s="4" t="e">
        <f aca="false">BH219/'Dataset experimental'!$AF219</f>
        <v>#REF!</v>
      </c>
      <c r="BT219" s="4" t="n">
        <f aca="false">'Modelos Propostos'!B219+L219</f>
        <v>0.221904997966092</v>
      </c>
      <c r="BU219" s="4" t="n">
        <f aca="false">BT219/'Dataset experimental'!$AF219</f>
        <v>1.0566904665052</v>
      </c>
    </row>
    <row r="220" customFormat="false" ht="14.25" hidden="false" customHeight="false" outlineLevel="0" collapsed="false">
      <c r="A220" s="4" t="e">
        <f aca="false">0.0894*ABS(D220)-0.01603*E220</f>
        <v>#REF!</v>
      </c>
      <c r="B220" s="12" t="e">
        <f aca="false">'Dataset experimental'!K220*COS('Dataset experimental'!AC220)-'Dataset experimental'!M220-'Dataset experimental'!C220</f>
        <v>#REF!</v>
      </c>
      <c r="C220" s="12" t="e">
        <f aca="false">('Dataset experimental'!AE220+SIN('Avaliação do resultado ML'!B220))*0.70674187</f>
        <v>#REF!</v>
      </c>
      <c r="D220" s="12" t="e">
        <f aca="false">'Modelos Propostos'!E220+'Avaliação do resultado ML'!C220-'Modelos normativos'!AQ220</f>
        <v>#REF!</v>
      </c>
      <c r="E220" s="12" t="n">
        <f aca="false">'Modelos empíricos'!I220+1.1854</f>
        <v>0.935841996589241</v>
      </c>
      <c r="F220" s="4" t="e">
        <f aca="false">-0.01753*('Modelos normativos'!AN220-'Dataset experimental'!C220-ABS(G220)-('Modelos Propostos'!E220-'Modelos normativos'!AP220)/0.25291)</f>
        <v>#REF!</v>
      </c>
      <c r="G220" s="4" t="e">
        <f aca="false">'Dataset experimental'!K220+'Modelos empíricos'!K220^2+('Modelos Propostos'!E220-'Modelos normativos'!AQ220)*4.10553</f>
        <v>#REF!</v>
      </c>
      <c r="H220" s="4" t="e">
        <f aca="false">0.03283*(J220+K220)</f>
        <v>#REF!</v>
      </c>
      <c r="I220" s="4" t="e">
        <f aca="false">(1.61428/'Dataset experimental'!Q220)^3</f>
        <v>#REF!</v>
      </c>
      <c r="J220" s="4" t="e">
        <f aca="false">SIN('Dataset experimental'!E220)+1.450178*(SIN('Avaliação do resultado ML'!I220)+'Dataset experimental'!C220)</f>
        <v>#REF!</v>
      </c>
      <c r="K220" s="4" t="e">
        <f aca="false">('Modelos empíricos'!C220-'Dataset experimental'!G220)*'Dataset experimental'!AE220-'Modelos normativos'!AP220</f>
        <v>#REF!</v>
      </c>
      <c r="L220" s="4" t="n">
        <f aca="false">0.0076*'Dataset experimental'!B220+'Avaliação do resultado ML'!M220+'Avaliação do resultado ML'!N220+(-0.0328)*(0.0171*'Dataset experimental'!AD220-0.9442)*'Avaliação do resultado ML'!O220-'Avaliação do resultado ML'!P220-0.0364</f>
        <v>0.0237201990637097</v>
      </c>
      <c r="M220" s="12" t="n">
        <f aca="false">0.03283*SIN(0.7328*'Dataset experimental'!D220-1.8266)</f>
        <v>0.0119269103214528</v>
      </c>
      <c r="N220" s="12" t="n">
        <f aca="false">0.0476*SIN(4.2067/(0.0095*'Dataset experimental'!P220-1.9338)^3)</f>
        <v>-0.0237143865224017</v>
      </c>
      <c r="O220" s="12" t="n">
        <f aca="false">0.0214*'Dataset experimental'!F220-3.1067*'Dataset experimental'!B220*'Dataset experimental'!P220*('Dataset experimental'!T220-'Dataset experimental'!R220)*(0.39*'Dataset experimental'!P220*'Dataset experimental'!T220/'Dataset experimental'!V220-'Dataset experimental'!Z220+3.12)/(100000*'Dataset experimental'!V220)+0.7995</f>
        <v>-0.122179986079979</v>
      </c>
      <c r="P220" s="12" t="n">
        <f aca="false">0.4461*('Dataset experimental'!Z220-0.6*'Modelos normativos'!AB220)*(3.4*'Dataset experimental'!L220+0.17*'Dataset experimental'!B220/'Modelos normativos'!AC220)/200000</f>
        <v>0.0801700101915306</v>
      </c>
      <c r="Q220" s="4" t="e">
        <f aca="false">L220/H220</f>
        <v>#REF!</v>
      </c>
      <c r="R220" s="4" t="e">
        <f aca="false">(-0.042-0.014*'Com TS variável MC2020'!Q229)*('Modelos normativos'!AP220-ABS('Modelos Propostos'!K220)-'Dataset experimental'!W220+COS(S220))</f>
        <v>#REF!</v>
      </c>
      <c r="S220" s="4" t="e">
        <f aca="false">'Dataset experimental'!O220-('Modelos normativos'!AQ220-SIN(0.083/('Dataset experimental'!M220-'Dataset experimental'!O220))-'Modelos empíricos'!I220)/0.646</f>
        <v>#REF!</v>
      </c>
      <c r="W220" s="4" t="e">
        <f aca="false">'Modelos normativos'!S220+'Avaliação do resultado ML'!A220</f>
        <v>#REF!</v>
      </c>
      <c r="X220" s="4" t="e">
        <f aca="false">W220/'Dataset experimental'!$AF220</f>
        <v>#REF!</v>
      </c>
      <c r="AJ220" s="4" t="e">
        <f aca="false">'Modelos Propostos'!B220+H220</f>
        <v>#REF!</v>
      </c>
      <c r="AK220" s="4" t="e">
        <f aca="false">AJ220/'Dataset experimental'!$AF220</f>
        <v>#REF!</v>
      </c>
      <c r="AV220" s="4" t="e">
        <f aca="false">'Modelos normativos'!S220+F220</f>
        <v>#REF!</v>
      </c>
      <c r="AW220" s="4" t="e">
        <f aca="false">AV220/'Dataset experimental'!$AF220</f>
        <v>#REF!</v>
      </c>
      <c r="BH220" s="4" t="e">
        <f aca="false">'Modelos Propostos'!B220+R220</f>
        <v>#REF!</v>
      </c>
      <c r="BI220" s="4" t="e">
        <f aca="false">BH220/'Dataset experimental'!$AF220</f>
        <v>#REF!</v>
      </c>
      <c r="BT220" s="4" t="n">
        <f aca="false">'Modelos Propostos'!B220+L220</f>
        <v>0.243503846767613</v>
      </c>
      <c r="BU220" s="4" t="n">
        <f aca="false">BT220/'Dataset experimental'!$AF220</f>
        <v>1.05871237725049</v>
      </c>
    </row>
    <row r="221" customFormat="false" ht="14.25" hidden="false" customHeight="false" outlineLevel="0" collapsed="false">
      <c r="A221" s="4" t="e">
        <f aca="false">0.0894*ABS(D221)-0.01603*E221</f>
        <v>#REF!</v>
      </c>
      <c r="B221" s="12" t="e">
        <f aca="false">'Dataset experimental'!K221*COS('Dataset experimental'!AC221)-'Dataset experimental'!M221-'Dataset experimental'!C221</f>
        <v>#REF!</v>
      </c>
      <c r="C221" s="12" t="e">
        <f aca="false">('Dataset experimental'!AE221+SIN('Avaliação do resultado ML'!B221))*0.70674187</f>
        <v>#REF!</v>
      </c>
      <c r="D221" s="12" t="e">
        <f aca="false">'Modelos Propostos'!E221+'Avaliação do resultado ML'!C221-'Modelos normativos'!AQ221</f>
        <v>#REF!</v>
      </c>
      <c r="E221" s="12" t="n">
        <f aca="false">'Modelos empíricos'!I221+1.1854</f>
        <v>1.28844275611761</v>
      </c>
      <c r="F221" s="4" t="e">
        <f aca="false">-0.01753*('Modelos normativos'!AN221-'Dataset experimental'!C221-ABS(G221)-('Modelos Propostos'!E221-'Modelos normativos'!AP221)/0.25291)</f>
        <v>#REF!</v>
      </c>
      <c r="G221" s="4" t="e">
        <f aca="false">'Dataset experimental'!K221+'Modelos empíricos'!K221^2+('Modelos Propostos'!E221-'Modelos normativos'!AQ221)*4.10553</f>
        <v>#REF!</v>
      </c>
      <c r="H221" s="4" t="e">
        <f aca="false">0.03283*(J221+K221)</f>
        <v>#REF!</v>
      </c>
      <c r="I221" s="4" t="e">
        <f aca="false">(1.61428/'Dataset experimental'!Q221)^3</f>
        <v>#REF!</v>
      </c>
      <c r="J221" s="4" t="e">
        <f aca="false">SIN('Dataset experimental'!E221)+1.450178*(SIN('Avaliação do resultado ML'!I221)+'Dataset experimental'!C221)</f>
        <v>#REF!</v>
      </c>
      <c r="K221" s="4" t="e">
        <f aca="false">('Modelos empíricos'!C221-'Dataset experimental'!G221)*'Dataset experimental'!AE221-'Modelos normativos'!AP221</f>
        <v>#REF!</v>
      </c>
      <c r="L221" s="4" t="n">
        <f aca="false">0.0076*'Dataset experimental'!B221+'Avaliação do resultado ML'!M221+'Avaliação do resultado ML'!N221+(-0.0328)*(0.0171*'Dataset experimental'!AD221-0.9442)*'Avaliação do resultado ML'!O221-'Avaliação do resultado ML'!P221-0.0364</f>
        <v>0.014919644285736</v>
      </c>
      <c r="M221" s="12" t="n">
        <f aca="false">0.03283*SIN(0.7328*'Dataset experimental'!D221-1.8266)</f>
        <v>0.0119269103214528</v>
      </c>
      <c r="N221" s="12" t="n">
        <f aca="false">0.0476*SIN(4.2067/(0.0095*'Dataset experimental'!P221-1.9338)^3)</f>
        <v>-0.0237143865224017</v>
      </c>
      <c r="O221" s="12" t="n">
        <f aca="false">0.0214*'Dataset experimental'!F221-3.1067*'Dataset experimental'!B221*'Dataset experimental'!P221*('Dataset experimental'!T221-'Dataset experimental'!R221)*(0.39*'Dataset experimental'!P221*'Dataset experimental'!T221/'Dataset experimental'!V221-'Dataset experimental'!Z221+3.12)/(100000*'Dataset experimental'!V221)+0.7995</f>
        <v>-0.260498756300463</v>
      </c>
      <c r="P221" s="12" t="n">
        <f aca="false">0.4461*('Dataset experimental'!Z221-0.6*'Modelos normativos'!AB221)*(3.4*'Dataset experimental'!L221+0.17*'Dataset experimental'!B221/'Modelos normativos'!AC221)/200000</f>
        <v>0.0899826484474299</v>
      </c>
      <c r="Q221" s="4" t="e">
        <f aca="false">L221/H221</f>
        <v>#REF!</v>
      </c>
      <c r="R221" s="4" t="e">
        <f aca="false">(-0.042-0.014*'Com TS variável MC2020'!Q230)*('Modelos normativos'!AP221-ABS('Modelos Propostos'!K221)-'Dataset experimental'!W221+COS(S221))</f>
        <v>#REF!</v>
      </c>
      <c r="S221" s="4" t="e">
        <f aca="false">'Dataset experimental'!O221-('Modelos normativos'!AQ221-SIN(0.083/('Dataset experimental'!M221-'Dataset experimental'!O221))-'Modelos empíricos'!I221)/0.646</f>
        <v>#REF!</v>
      </c>
      <c r="W221" s="4" t="e">
        <f aca="false">'Modelos normativos'!S221+'Avaliação do resultado ML'!A221</f>
        <v>#REF!</v>
      </c>
      <c r="X221" s="4" t="e">
        <f aca="false">W221/'Dataset experimental'!$AF221</f>
        <v>#REF!</v>
      </c>
      <c r="AJ221" s="4" t="e">
        <f aca="false">'Modelos Propostos'!B221+H221</f>
        <v>#REF!</v>
      </c>
      <c r="AK221" s="4" t="e">
        <f aca="false">AJ221/'Dataset experimental'!$AF221</f>
        <v>#REF!</v>
      </c>
      <c r="AV221" s="4" t="e">
        <f aca="false">'Modelos normativos'!S221+F221</f>
        <v>#REF!</v>
      </c>
      <c r="AW221" s="4" t="e">
        <f aca="false">AV221/'Dataset experimental'!$AF221</f>
        <v>#REF!</v>
      </c>
      <c r="BH221" s="4" t="e">
        <f aca="false">'Modelos Propostos'!B221+R221</f>
        <v>#REF!</v>
      </c>
      <c r="BI221" s="4" t="e">
        <f aca="false">BH221/'Dataset experimental'!$AF221</f>
        <v>#REF!</v>
      </c>
      <c r="BT221" s="4" t="n">
        <f aca="false">'Modelos Propostos'!B221+L221</f>
        <v>0.266084085501925</v>
      </c>
      <c r="BU221" s="4" t="n">
        <f aca="false">BT221/'Dataset experimental'!$AF221</f>
        <v>1.0643363420077</v>
      </c>
    </row>
    <row r="222" customFormat="false" ht="14.25" hidden="false" customHeight="false" outlineLevel="0" collapsed="false">
      <c r="A222" s="4" t="e">
        <f aca="false">0.0894*ABS(D222)-0.01603*E222</f>
        <v>#REF!</v>
      </c>
      <c r="B222" s="12" t="e">
        <f aca="false">'Dataset experimental'!K222*COS('Dataset experimental'!AC222)-'Dataset experimental'!M222-'Dataset experimental'!C222</f>
        <v>#REF!</v>
      </c>
      <c r="C222" s="12" t="e">
        <f aca="false">('Dataset experimental'!AE222+SIN('Avaliação do resultado ML'!B222))*0.70674187</f>
        <v>#REF!</v>
      </c>
      <c r="D222" s="12" t="e">
        <f aca="false">'Modelos Propostos'!E222+'Avaliação do resultado ML'!C222-'Modelos normativos'!AQ222</f>
        <v>#REF!</v>
      </c>
      <c r="E222" s="12" t="n">
        <f aca="false">'Modelos empíricos'!I222+1.1854</f>
        <v>1.60898890114341</v>
      </c>
      <c r="F222" s="4" t="e">
        <f aca="false">-0.01753*('Modelos normativos'!AN222-'Dataset experimental'!C222-ABS(G222)-('Modelos Propostos'!E222-'Modelos normativos'!AP222)/0.25291)</f>
        <v>#REF!</v>
      </c>
      <c r="G222" s="4" t="e">
        <f aca="false">'Dataset experimental'!K222+'Modelos empíricos'!K222^2+('Modelos Propostos'!E222-'Modelos normativos'!AQ222)*4.10553</f>
        <v>#REF!</v>
      </c>
      <c r="H222" s="4" t="e">
        <f aca="false">0.03283*(J222+K222)</f>
        <v>#REF!</v>
      </c>
      <c r="I222" s="4" t="e">
        <f aca="false">(1.61428/'Dataset experimental'!Q222)^3</f>
        <v>#REF!</v>
      </c>
      <c r="J222" s="4" t="e">
        <f aca="false">SIN('Dataset experimental'!E222)+1.450178*(SIN('Avaliação do resultado ML'!I222)+'Dataset experimental'!C222)</f>
        <v>#REF!</v>
      </c>
      <c r="K222" s="4" t="e">
        <f aca="false">('Modelos empíricos'!C222-'Dataset experimental'!G222)*'Dataset experimental'!AE222-'Modelos normativos'!AP222</f>
        <v>#REF!</v>
      </c>
      <c r="L222" s="4" t="n">
        <f aca="false">0.0076*'Dataset experimental'!B222+'Avaliação do resultado ML'!M222+'Avaliação do resultado ML'!N222+(-0.0328)*(0.0171*'Dataset experimental'!AD222-0.9442)*'Avaliação do resultado ML'!O222-'Avaliação do resultado ML'!P222-0.0364</f>
        <v>0.00777075930529013</v>
      </c>
      <c r="M222" s="12" t="n">
        <f aca="false">0.03283*SIN(0.7328*'Dataset experimental'!D222-1.8266)</f>
        <v>0.0119269103214528</v>
      </c>
      <c r="N222" s="12" t="n">
        <f aca="false">0.0476*SIN(4.2067/(0.0095*'Dataset experimental'!P222-1.9338)^3)</f>
        <v>-0.0237143865224017</v>
      </c>
      <c r="O222" s="12" t="n">
        <f aca="false">0.0214*'Dataset experimental'!F222-3.1067*'Dataset experimental'!B222*'Dataset experimental'!P222*('Dataset experimental'!T222-'Dataset experimental'!R222)*(0.39*'Dataset experimental'!P222*'Dataset experimental'!T222/'Dataset experimental'!V222-'Dataset experimental'!Z222+3.12)/(100000*'Dataset experimental'!V222)+0.7995</f>
        <v>-0.386243092864538</v>
      </c>
      <c r="P222" s="12" t="n">
        <f aca="false">0.4461*('Dataset experimental'!Z222-0.6*'Modelos normativos'!AB222)*(3.4*'Dataset experimental'!L222+0.17*'Dataset experimental'!B222/'Modelos normativos'!AC222)/200000</f>
        <v>0.0989032286800656</v>
      </c>
      <c r="Q222" s="4" t="e">
        <f aca="false">L222/H222</f>
        <v>#REF!</v>
      </c>
      <c r="R222" s="4" t="e">
        <f aca="false">(-0.042-0.014*'Com TS variável MC2020'!Q231)*('Modelos normativos'!AP222-ABS('Modelos Propostos'!K222)-'Dataset experimental'!W222+COS(S222))</f>
        <v>#REF!</v>
      </c>
      <c r="S222" s="4" t="e">
        <f aca="false">'Dataset experimental'!O222-('Modelos normativos'!AQ222-SIN(0.083/('Dataset experimental'!M222-'Dataset experimental'!O222))-'Modelos empíricos'!I222)/0.646</f>
        <v>#REF!</v>
      </c>
      <c r="W222" s="4" t="e">
        <f aca="false">'Modelos normativos'!S222+'Avaliação do resultado ML'!A222</f>
        <v>#REF!</v>
      </c>
      <c r="X222" s="4" t="e">
        <f aca="false">W222/'Dataset experimental'!$AF222</f>
        <v>#REF!</v>
      </c>
      <c r="AJ222" s="4" t="e">
        <f aca="false">'Modelos Propostos'!B222+H222</f>
        <v>#REF!</v>
      </c>
      <c r="AK222" s="4" t="e">
        <f aca="false">AJ222/'Dataset experimental'!$AF222</f>
        <v>#REF!</v>
      </c>
      <c r="AV222" s="4" t="e">
        <f aca="false">'Modelos normativos'!S222+F222</f>
        <v>#REF!</v>
      </c>
      <c r="AW222" s="4" t="e">
        <f aca="false">AV222/'Dataset experimental'!$AF222</f>
        <v>#REF!</v>
      </c>
      <c r="BH222" s="4" t="e">
        <f aca="false">'Modelos Propostos'!B222+R222</f>
        <v>#REF!</v>
      </c>
      <c r="BI222" s="4" t="e">
        <f aca="false">BH222/'Dataset experimental'!$AF222</f>
        <v>#REF!</v>
      </c>
      <c r="BT222" s="4" t="n">
        <f aca="false">'Modelos Propostos'!B222+L222</f>
        <v>0.287463194623558</v>
      </c>
      <c r="BU222" s="4" t="n">
        <f aca="false">BT222/'Dataset experimental'!$AF222</f>
        <v>0.991252395253648</v>
      </c>
    </row>
    <row r="223" customFormat="false" ht="14.25" hidden="false" customHeight="false" outlineLevel="0" collapsed="false">
      <c r="A223" s="4" t="e">
        <f aca="false">0.0894*ABS(D223)-0.01603*E223</f>
        <v>#REF!</v>
      </c>
      <c r="B223" s="12" t="e">
        <f aca="false">'Dataset experimental'!K223*COS('Dataset experimental'!AC223)-'Dataset experimental'!M223-'Dataset experimental'!C223</f>
        <v>#REF!</v>
      </c>
      <c r="C223" s="12" t="e">
        <f aca="false">('Dataset experimental'!AE223+SIN('Avaliação do resultado ML'!B223))*0.70674187</f>
        <v>#REF!</v>
      </c>
      <c r="D223" s="12" t="e">
        <f aca="false">'Modelos Propostos'!E223+'Avaliação do resultado ML'!C223-'Modelos normativos'!AQ223</f>
        <v>#REF!</v>
      </c>
      <c r="E223" s="12" t="n">
        <f aca="false">'Modelos empíricos'!I223+1.1854</f>
        <v>1.9295350461692</v>
      </c>
      <c r="F223" s="4" t="e">
        <f aca="false">-0.01753*('Modelos normativos'!AN223-'Dataset experimental'!C223-ABS(G223)-('Modelos Propostos'!E223-'Modelos normativos'!AP223)/0.25291)</f>
        <v>#REF!</v>
      </c>
      <c r="G223" s="4" t="e">
        <f aca="false">'Dataset experimental'!K223+'Modelos empíricos'!K223^2+('Modelos Propostos'!E223-'Modelos normativos'!AQ223)*4.10553</f>
        <v>#REF!</v>
      </c>
      <c r="H223" s="4" t="e">
        <f aca="false">0.03283*(J223+K223)</f>
        <v>#REF!</v>
      </c>
      <c r="I223" s="4" t="e">
        <f aca="false">(1.61428/'Dataset experimental'!Q223)^3</f>
        <v>#REF!</v>
      </c>
      <c r="J223" s="4" t="e">
        <f aca="false">SIN('Dataset experimental'!E223)+1.450178*(SIN('Avaliação do resultado ML'!I223)+'Dataset experimental'!C223)</f>
        <v>#REF!</v>
      </c>
      <c r="K223" s="4" t="e">
        <f aca="false">('Modelos empíricos'!C223-'Dataset experimental'!G223)*'Dataset experimental'!AE223-'Modelos normativos'!AP223</f>
        <v>#REF!</v>
      </c>
      <c r="L223" s="4" t="n">
        <f aca="false">0.0076*'Dataset experimental'!B223+'Avaliação do resultado ML'!M223+'Avaliação do resultado ML'!N223+(-0.0328)*(0.0171*'Dataset experimental'!AD223-0.9442)*'Avaliação do resultado ML'!O223-'Avaliação do resultado ML'!P223-0.0364</f>
        <v>0.001432940385003</v>
      </c>
      <c r="M223" s="12" t="n">
        <f aca="false">0.03283*SIN(0.7328*'Dataset experimental'!D223-1.8266)</f>
        <v>0.0119269103214528</v>
      </c>
      <c r="N223" s="12" t="n">
        <f aca="false">0.0476*SIN(4.2067/(0.0095*'Dataset experimental'!P223-1.9338)^3)</f>
        <v>-0.0237143865224017</v>
      </c>
      <c r="O223" s="12" t="n">
        <f aca="false">0.0214*'Dataset experimental'!F223-3.1067*'Dataset experimental'!B223*'Dataset experimental'!P223*('Dataset experimental'!T223-'Dataset experimental'!R223)*(0.39*'Dataset experimental'!P223*'Dataset experimental'!T223/'Dataset experimental'!V223-'Dataset experimental'!Z223+3.12)/(100000*'Dataset experimental'!V223)+0.7995</f>
        <v>-0.511987429428613</v>
      </c>
      <c r="P223" s="12" t="n">
        <f aca="false">0.4461*('Dataset experimental'!Z223-0.6*'Modelos normativos'!AB223)*(3.4*'Dataset experimental'!L223+0.17*'Dataset experimental'!B223/'Modelos normativos'!AC223)/200000</f>
        <v>0.107823808912701</v>
      </c>
      <c r="Q223" s="4" t="e">
        <f aca="false">L223/H223</f>
        <v>#REF!</v>
      </c>
      <c r="R223" s="4" t="e">
        <f aca="false">(-0.042-0.014*'Com TS variável MC2020'!Q232)*('Modelos normativos'!AP223-ABS('Modelos Propostos'!K223)-'Dataset experimental'!W223+COS(S223))</f>
        <v>#REF!</v>
      </c>
      <c r="S223" s="4" t="e">
        <f aca="false">'Dataset experimental'!O223-('Modelos normativos'!AQ223-SIN(0.083/('Dataset experimental'!M223-'Dataset experimental'!O223))-'Modelos empíricos'!I223)/0.646</f>
        <v>#REF!</v>
      </c>
      <c r="W223" s="4" t="e">
        <f aca="false">'Modelos normativos'!S223+'Avaliação do resultado ML'!A223</f>
        <v>#REF!</v>
      </c>
      <c r="X223" s="4" t="e">
        <f aca="false">W223/'Dataset experimental'!$AF223</f>
        <v>#REF!</v>
      </c>
      <c r="AJ223" s="4" t="e">
        <f aca="false">'Modelos Propostos'!B223+H223</f>
        <v>#REF!</v>
      </c>
      <c r="AK223" s="4" t="e">
        <f aca="false">AJ223/'Dataset experimental'!$AF223</f>
        <v>#REF!</v>
      </c>
      <c r="AV223" s="4" t="e">
        <f aca="false">'Modelos normativos'!S223+F223</f>
        <v>#REF!</v>
      </c>
      <c r="AW223" s="4" t="e">
        <f aca="false">AV223/'Dataset experimental'!$AF223</f>
        <v>#REF!</v>
      </c>
      <c r="BH223" s="4" t="e">
        <f aca="false">'Modelos Propostos'!B223+R223</f>
        <v>#REF!</v>
      </c>
      <c r="BI223" s="4" t="e">
        <f aca="false">BH223/'Dataset experimental'!$AF223</f>
        <v>#REF!</v>
      </c>
      <c r="BT223" s="4" t="n">
        <f aca="false">'Modelos Propostos'!B223+L223</f>
        <v>0.309653369805349</v>
      </c>
      <c r="BU223" s="4" t="n">
        <f aca="false">BT223/'Dataset experimental'!$AF223</f>
        <v>0.998881838081772</v>
      </c>
    </row>
    <row r="224" customFormat="false" ht="14.25" hidden="false" customHeight="false" outlineLevel="0" collapsed="false">
      <c r="A224" s="4" t="e">
        <f aca="false">0.0894*ABS(D224)-0.01603*E224</f>
        <v>#REF!</v>
      </c>
      <c r="B224" s="12" t="e">
        <f aca="false">'Dataset experimental'!K224*COS('Dataset experimental'!AC224)-'Dataset experimental'!M224-'Dataset experimental'!C224</f>
        <v>#REF!</v>
      </c>
      <c r="C224" s="12" t="e">
        <f aca="false">('Dataset experimental'!AE224+SIN('Avaliação do resultado ML'!B224))*0.70674187</f>
        <v>#REF!</v>
      </c>
      <c r="D224" s="12" t="e">
        <f aca="false">'Modelos Propostos'!E224+'Avaliação do resultado ML'!C224-'Modelos normativos'!AQ224</f>
        <v>#REF!</v>
      </c>
      <c r="E224" s="12" t="n">
        <f aca="false">'Modelos empíricos'!I224+1.1854</f>
        <v>2.21802657669241</v>
      </c>
      <c r="F224" s="4" t="e">
        <f aca="false">-0.01753*('Modelos normativos'!AN224-'Dataset experimental'!C224-ABS(G224)-('Modelos Propostos'!E224-'Modelos normativos'!AP224)/0.25291)</f>
        <v>#REF!</v>
      </c>
      <c r="G224" s="4" t="e">
        <f aca="false">'Dataset experimental'!K224+'Modelos empíricos'!K224^2+('Modelos Propostos'!E224-'Modelos normativos'!AQ224)*4.10553</f>
        <v>#REF!</v>
      </c>
      <c r="H224" s="4" t="e">
        <f aca="false">0.03283*(J224+K224)</f>
        <v>#REF!</v>
      </c>
      <c r="I224" s="4" t="e">
        <f aca="false">(1.61428/'Dataset experimental'!Q224)^3</f>
        <v>#REF!</v>
      </c>
      <c r="J224" s="4" t="e">
        <f aca="false">SIN('Dataset experimental'!E224)+1.450178*(SIN('Avaliação do resultado ML'!I224)+'Dataset experimental'!C224)</f>
        <v>#REF!</v>
      </c>
      <c r="K224" s="4" t="e">
        <f aca="false">('Modelos empíricos'!C224-'Dataset experimental'!G224)*'Dataset experimental'!AE224-'Modelos normativos'!AP224</f>
        <v>#REF!</v>
      </c>
      <c r="L224" s="4" t="n">
        <f aca="false">0.0076*'Dataset experimental'!B224+'Avaliação do resultado ML'!M224+'Avaliação do resultado ML'!N224+(-0.0328)*(0.0171*'Dataset experimental'!AD224-0.9442)*'Avaliação do resultado ML'!O224-'Avaliação do resultado ML'!P224-0.0364</f>
        <v>-0.0035776351618198</v>
      </c>
      <c r="M224" s="12" t="n">
        <f aca="false">0.03283*SIN(0.7328*'Dataset experimental'!D224-1.8266)</f>
        <v>0.0119269103214528</v>
      </c>
      <c r="N224" s="12" t="n">
        <f aca="false">0.0476*SIN(4.2067/(0.0095*'Dataset experimental'!P224-1.9338)^3)</f>
        <v>-0.0237143865224017</v>
      </c>
      <c r="O224" s="12" t="n">
        <f aca="false">0.0214*'Dataset experimental'!F224-3.1067*'Dataset experimental'!B224*'Dataset experimental'!P224*('Dataset experimental'!T224-'Dataset experimental'!R224)*(0.39*'Dataset experimental'!P224*'Dataset experimental'!T224/'Dataset experimental'!V224-'Dataset experimental'!Z224+3.12)/(100000*'Dataset experimental'!V224)+0.7995</f>
        <v>-0.625157332336281</v>
      </c>
      <c r="P224" s="12" t="n">
        <f aca="false">0.4461*('Dataset experimental'!Z224-0.6*'Modelos normativos'!AB224)*(3.4*'Dataset experimental'!L224+0.17*'Dataset experimental'!B224/'Modelos normativos'!AC224)/200000</f>
        <v>0.115852331122073</v>
      </c>
      <c r="Q224" s="4" t="e">
        <f aca="false">L224/H224</f>
        <v>#REF!</v>
      </c>
      <c r="R224" s="4" t="e">
        <f aca="false">(-0.042-0.014*'Com TS variável MC2020'!Q233)*('Modelos normativos'!AP224-ABS('Modelos Propostos'!K224)-'Dataset experimental'!W224+COS(S224))</f>
        <v>#REF!</v>
      </c>
      <c r="S224" s="4" t="e">
        <f aca="false">'Dataset experimental'!O224-('Modelos normativos'!AQ224-SIN(0.083/('Dataset experimental'!M224-'Dataset experimental'!O224))-'Modelos empíricos'!I224)/0.646</f>
        <v>#REF!</v>
      </c>
      <c r="W224" s="4" t="e">
        <f aca="false">'Modelos normativos'!S224+'Avaliação do resultado ML'!A224</f>
        <v>#REF!</v>
      </c>
      <c r="X224" s="4" t="e">
        <f aca="false">W224/'Dataset experimental'!$AF224</f>
        <v>#REF!</v>
      </c>
      <c r="AJ224" s="4" t="e">
        <f aca="false">'Modelos Propostos'!B224+H224</f>
        <v>#REF!</v>
      </c>
      <c r="AK224" s="4" t="e">
        <f aca="false">AJ224/'Dataset experimental'!$AF224</f>
        <v>#REF!</v>
      </c>
      <c r="AV224" s="4" t="e">
        <f aca="false">'Modelos normativos'!S224+F224</f>
        <v>#REF!</v>
      </c>
      <c r="AW224" s="4" t="e">
        <f aca="false">AV224/'Dataset experimental'!$AF224</f>
        <v>#REF!</v>
      </c>
      <c r="BH224" s="4" t="e">
        <f aca="false">'Modelos Propostos'!B224+R224</f>
        <v>#REF!</v>
      </c>
      <c r="BI224" s="4" t="e">
        <f aca="false">BH224/'Dataset experimental'!$AF224</f>
        <v>#REF!</v>
      </c>
      <c r="BT224" s="4" t="n">
        <f aca="false">'Modelos Propostos'!B224+L224</f>
        <v>0.327039747390827</v>
      </c>
      <c r="BU224" s="4" t="n">
        <f aca="false">BT224/'Dataset experimental'!$AF224</f>
        <v>0.883891209164397</v>
      </c>
    </row>
    <row r="225" customFormat="false" ht="14.25" hidden="false" customHeight="false" outlineLevel="0" collapsed="false">
      <c r="A225" s="4" t="e">
        <f aca="false">0.0894*ABS(D225)-0.01603*E225</f>
        <v>#REF!</v>
      </c>
      <c r="B225" s="12" t="e">
        <f aca="false">'Dataset experimental'!K225*COS('Dataset experimental'!AC225)-'Dataset experimental'!M225-'Dataset experimental'!C225</f>
        <v>#REF!</v>
      </c>
      <c r="C225" s="12" t="e">
        <f aca="false">('Dataset experimental'!AE225+SIN('Avaliação do resultado ML'!B225))*0.70674187</f>
        <v>#REF!</v>
      </c>
      <c r="D225" s="12" t="e">
        <f aca="false">'Modelos Propostos'!E225+'Avaliação do resultado ML'!C225-'Modelos normativos'!AQ225</f>
        <v>#REF!</v>
      </c>
      <c r="E225" s="12" t="n">
        <f aca="false">'Modelos empíricos'!I225+1.1854</f>
        <v>1.59201999561858</v>
      </c>
      <c r="F225" s="4" t="e">
        <f aca="false">-0.01753*('Modelos normativos'!AN225-'Dataset experimental'!C225-ABS(G225)-('Modelos Propostos'!E225-'Modelos normativos'!AP225)/0.25291)</f>
        <v>#REF!</v>
      </c>
      <c r="G225" s="4" t="e">
        <f aca="false">'Dataset experimental'!K225+'Modelos empíricos'!K225^2+('Modelos Propostos'!E225-'Modelos normativos'!AQ225)*4.10553</f>
        <v>#REF!</v>
      </c>
      <c r="H225" s="4" t="e">
        <f aca="false">0.03283*(J225+K225)</f>
        <v>#REF!</v>
      </c>
      <c r="I225" s="4" t="e">
        <f aca="false">(1.61428/'Dataset experimental'!Q225)^3</f>
        <v>#REF!</v>
      </c>
      <c r="J225" s="4" t="e">
        <f aca="false">SIN('Dataset experimental'!E225)+1.450178*(SIN('Avaliação do resultado ML'!I225)+'Dataset experimental'!C225)</f>
        <v>#REF!</v>
      </c>
      <c r="K225" s="4" t="e">
        <f aca="false">('Modelos empíricos'!C225-'Dataset experimental'!G225)*'Dataset experimental'!AE225-'Modelos normativos'!AP225</f>
        <v>#REF!</v>
      </c>
      <c r="L225" s="4" t="n">
        <f aca="false">0.0076*'Dataset experimental'!B225+'Avaliação do resultado ML'!M225+'Avaliação do resultado ML'!N225+(-0.0328)*(0.0171*'Dataset experimental'!AD225-0.9442)*'Avaliação do resultado ML'!O225-'Avaliação do resultado ML'!P225-0.0364</f>
        <v>-0.0613241879214972</v>
      </c>
      <c r="M225" s="12" t="n">
        <f aca="false">0.03283*SIN(0.7328*'Dataset experimental'!D225-1.8266)</f>
        <v>-0.0115958827834406</v>
      </c>
      <c r="N225" s="12" t="n">
        <f aca="false">0.0476*SIN(4.2067/(0.0095*'Dataset experimental'!P225-1.9338)^3)</f>
        <v>-0.0237143865224017</v>
      </c>
      <c r="O225" s="12" t="n">
        <f aca="false">0.0214*'Dataset experimental'!F225-3.1067*'Dataset experimental'!B225*'Dataset experimental'!P225*('Dataset experimental'!T225-'Dataset experimental'!R225)*(0.39*'Dataset experimental'!P225*'Dataset experimental'!T225/'Dataset experimental'!V225-'Dataset experimental'!Z225+3.12)/(100000*'Dataset experimental'!V225)+0.7995</f>
        <v>-0.285258692328442</v>
      </c>
      <c r="P225" s="12" t="n">
        <f aca="false">0.4461*('Dataset experimental'!Z225-0.6*'Modelos normativos'!AB225)*(3.4*'Dataset experimental'!L225+0.17*'Dataset experimental'!B225/'Modelos normativos'!AC225)/200000</f>
        <v>0.106611416808421</v>
      </c>
      <c r="Q225" s="4" t="e">
        <f aca="false">L225/H225</f>
        <v>#REF!</v>
      </c>
      <c r="R225" s="4" t="e">
        <f aca="false">(-0.042-0.014*'Com TS variável MC2020'!Q234)*('Modelos normativos'!AP225-ABS('Modelos Propostos'!K225)-'Dataset experimental'!W225+COS(S225))</f>
        <v>#REF!</v>
      </c>
      <c r="S225" s="4" t="e">
        <f aca="false">'Dataset experimental'!O225-('Modelos normativos'!AQ225-SIN(0.083/('Dataset experimental'!M225-'Dataset experimental'!O225))-'Modelos empíricos'!I225)/0.646</f>
        <v>#REF!</v>
      </c>
      <c r="W225" s="4" t="e">
        <f aca="false">'Modelos normativos'!S225+'Avaliação do resultado ML'!A225</f>
        <v>#REF!</v>
      </c>
      <c r="X225" s="4" t="e">
        <f aca="false">W225/'Dataset experimental'!$AF225</f>
        <v>#REF!</v>
      </c>
      <c r="AJ225" s="4" t="e">
        <f aca="false">'Modelos Propostos'!B225+H225</f>
        <v>#REF!</v>
      </c>
      <c r="AK225" s="4" t="e">
        <f aca="false">AJ225/'Dataset experimental'!$AF225</f>
        <v>#REF!</v>
      </c>
      <c r="AV225" s="4" t="e">
        <f aca="false">'Modelos normativos'!S225+F225</f>
        <v>#REF!</v>
      </c>
      <c r="AW225" s="4" t="e">
        <f aca="false">AV225/'Dataset experimental'!$AF225</f>
        <v>#REF!</v>
      </c>
      <c r="BH225" s="4" t="e">
        <f aca="false">'Modelos Propostos'!B225+R225</f>
        <v>#REF!</v>
      </c>
      <c r="BI225" s="4" t="e">
        <f aca="false">BH225/'Dataset experimental'!$AF225</f>
        <v>#REF!</v>
      </c>
      <c r="BT225" s="4" t="n">
        <f aca="false">'Modelos Propostos'!B225+L225</f>
        <v>0.238859000401464</v>
      </c>
      <c r="BU225" s="4" t="n">
        <f aca="false">BT225/'Dataset experimental'!$AF225</f>
        <v>1.49286875250915</v>
      </c>
    </row>
    <row r="226" customFormat="false" ht="14.25" hidden="false" customHeight="false" outlineLevel="0" collapsed="false">
      <c r="A226" s="4" t="e">
        <f aca="false">0.0894*ABS(D226)-0.01603*E226</f>
        <v>#REF!</v>
      </c>
      <c r="B226" s="12" t="e">
        <f aca="false">'Dataset experimental'!K226*COS('Dataset experimental'!AC226)-'Dataset experimental'!M226-'Dataset experimental'!C226</f>
        <v>#REF!</v>
      </c>
      <c r="C226" s="12" t="e">
        <f aca="false">('Dataset experimental'!AE226+SIN('Avaliação do resultado ML'!B226))*0.70674187</f>
        <v>#REF!</v>
      </c>
      <c r="D226" s="12" t="e">
        <f aca="false">'Modelos Propostos'!E226+'Avaliação do resultado ML'!C226-'Modelos normativos'!AQ226</f>
        <v>#REF!</v>
      </c>
      <c r="E226" s="12" t="n">
        <f aca="false">'Modelos empíricos'!I226+1.1854</f>
        <v>2.34743141172357</v>
      </c>
      <c r="F226" s="4" t="e">
        <f aca="false">-0.01753*('Modelos normativos'!AN226-'Dataset experimental'!C226-ABS(G226)-('Modelos Propostos'!E226-'Modelos normativos'!AP226)/0.25291)</f>
        <v>#REF!</v>
      </c>
      <c r="G226" s="4" t="e">
        <f aca="false">'Dataset experimental'!K226+'Modelos empíricos'!K226^2+('Modelos Propostos'!E226-'Modelos normativos'!AQ226)*4.10553</f>
        <v>#REF!</v>
      </c>
      <c r="H226" s="4" t="e">
        <f aca="false">0.03283*(J226+K226)</f>
        <v>#REF!</v>
      </c>
      <c r="I226" s="4" t="e">
        <f aca="false">(1.61428/'Dataset experimental'!Q226)^3</f>
        <v>#REF!</v>
      </c>
      <c r="J226" s="4" t="e">
        <f aca="false">SIN('Dataset experimental'!E226)+1.450178*(SIN('Avaliação do resultado ML'!I226)+'Dataset experimental'!C226)</f>
        <v>#REF!</v>
      </c>
      <c r="K226" s="4" t="e">
        <f aca="false">('Modelos empíricos'!C226-'Dataset experimental'!G226)*'Dataset experimental'!AE226-'Modelos normativos'!AP226</f>
        <v>#REF!</v>
      </c>
      <c r="L226" s="4" t="n">
        <f aca="false">0.0076*'Dataset experimental'!B226+'Avaliação do resultado ML'!M226+'Avaliação do resultado ML'!N226+(-0.0328)*(0.0171*'Dataset experimental'!AD226-0.9442)*'Avaliação do resultado ML'!O226-'Avaliação do resultado ML'!P226-0.0364</f>
        <v>-0.0907429360925802</v>
      </c>
      <c r="M226" s="12" t="n">
        <f aca="false">0.03283*SIN(0.7328*'Dataset experimental'!D226-1.8266)</f>
        <v>-0.0115958827834406</v>
      </c>
      <c r="N226" s="12" t="n">
        <f aca="false">0.0476*SIN(4.2067/(0.0095*'Dataset experimental'!P226-1.9338)^3)</f>
        <v>-0.0237143865224017</v>
      </c>
      <c r="O226" s="12" t="n">
        <f aca="false">0.0214*'Dataset experimental'!F226-3.1067*'Dataset experimental'!B226*'Dataset experimental'!P226*('Dataset experimental'!T226-'Dataset experimental'!R226)*(0.39*'Dataset experimental'!P226*'Dataset experimental'!T226/'Dataset experimental'!V226-'Dataset experimental'!Z226+3.12)/(100000*'Dataset experimental'!V226)+0.7995</f>
        <v>-0.756144071973572</v>
      </c>
      <c r="P226" s="12" t="n">
        <f aca="false">0.4461*('Dataset experimental'!Z226-0.6*'Modelos normativos'!AB226)*(3.4*'Dataset experimental'!L226+0.17*'Dataset experimental'!B226/'Modelos normativos'!AC226)/200000</f>
        <v>0.130627421356469</v>
      </c>
      <c r="Q226" s="4" t="e">
        <f aca="false">L226/H226</f>
        <v>#REF!</v>
      </c>
      <c r="R226" s="4" t="e">
        <f aca="false">(-0.042-0.014*'Com TS variável MC2020'!Q235)*('Modelos normativos'!AP226-ABS('Modelos Propostos'!K226)-'Dataset experimental'!W226+COS(S226))</f>
        <v>#REF!</v>
      </c>
      <c r="S226" s="4" t="e">
        <f aca="false">'Dataset experimental'!O226-('Modelos normativos'!AQ226-SIN(0.083/('Dataset experimental'!M226-'Dataset experimental'!O226))-'Modelos empíricos'!I226)/0.646</f>
        <v>#REF!</v>
      </c>
      <c r="W226" s="4" t="e">
        <f aca="false">'Modelos normativos'!S226+'Avaliação do resultado ML'!A226</f>
        <v>#REF!</v>
      </c>
      <c r="X226" s="4" t="e">
        <f aca="false">W226/'Dataset experimental'!$AF226</f>
        <v>#REF!</v>
      </c>
      <c r="AJ226" s="4" t="e">
        <f aca="false">'Modelos Propostos'!B226+H226</f>
        <v>#REF!</v>
      </c>
      <c r="AK226" s="4" t="e">
        <f aca="false">AJ226/'Dataset experimental'!$AF226</f>
        <v>#REF!</v>
      </c>
      <c r="AV226" s="4" t="e">
        <f aca="false">'Modelos normativos'!S226+F226</f>
        <v>#REF!</v>
      </c>
      <c r="AW226" s="4" t="e">
        <f aca="false">AV226/'Dataset experimental'!$AF226</f>
        <v>#REF!</v>
      </c>
      <c r="BH226" s="4" t="e">
        <f aca="false">'Modelos Propostos'!B226+R226</f>
        <v>#REF!</v>
      </c>
      <c r="BI226" s="4" t="e">
        <f aca="false">BH226/'Dataset experimental'!$AF226</f>
        <v>#REF!</v>
      </c>
      <c r="BT226" s="4" t="n">
        <f aca="false">'Modelos Propostos'!B226+L226</f>
        <v>0.293690345789237</v>
      </c>
      <c r="BU226" s="4" t="n">
        <f aca="false">BT226/'Dataset experimental'!$AF226</f>
        <v>1.46845172894619</v>
      </c>
    </row>
    <row r="227" customFormat="false" ht="14.25" hidden="false" customHeight="false" outlineLevel="0" collapsed="false">
      <c r="A227" s="4" t="e">
        <f aca="false">0.0894*ABS(D227)-0.01603*E227</f>
        <v>#REF!</v>
      </c>
      <c r="B227" s="12" t="e">
        <f aca="false">'Dataset experimental'!K227*COS('Dataset experimental'!AC227)-'Dataset experimental'!M227-'Dataset experimental'!C227</f>
        <v>#REF!</v>
      </c>
      <c r="C227" s="12" t="e">
        <f aca="false">('Dataset experimental'!AE227+SIN('Avaliação do resultado ML'!B227))*0.70674187</f>
        <v>#REF!</v>
      </c>
      <c r="D227" s="12" t="e">
        <f aca="false">'Modelos Propostos'!E227+'Avaliação do resultado ML'!C227-'Modelos normativos'!AQ227</f>
        <v>#REF!</v>
      </c>
      <c r="E227" s="12" t="n">
        <f aca="false">'Modelos empíricos'!I227+1.1854</f>
        <v>3.18677742961801</v>
      </c>
      <c r="F227" s="4" t="e">
        <f aca="false">-0.01753*('Modelos normativos'!AN227-'Dataset experimental'!C227-ABS(G227)-('Modelos Propostos'!E227-'Modelos normativos'!AP227)/0.25291)</f>
        <v>#REF!</v>
      </c>
      <c r="G227" s="4" t="e">
        <f aca="false">'Dataset experimental'!K227+'Modelos empíricos'!K227^2+('Modelos Propostos'!E227-'Modelos normativos'!AQ227)*4.10553</f>
        <v>#REF!</v>
      </c>
      <c r="H227" s="4" t="e">
        <f aca="false">0.03283*(J227+K227)</f>
        <v>#REF!</v>
      </c>
      <c r="I227" s="4" t="e">
        <f aca="false">(1.61428/'Dataset experimental'!Q227)^3</f>
        <v>#REF!</v>
      </c>
      <c r="J227" s="4" t="e">
        <f aca="false">SIN('Dataset experimental'!E227)+1.450178*(SIN('Avaliação do resultado ML'!I227)+'Dataset experimental'!C227)</f>
        <v>#REF!</v>
      </c>
      <c r="K227" s="4" t="e">
        <f aca="false">('Modelos empíricos'!C227-'Dataset experimental'!G227)*'Dataset experimental'!AE227-'Modelos normativos'!AP227</f>
        <v>#REF!</v>
      </c>
      <c r="L227" s="4" t="n">
        <f aca="false">0.0076*'Dataset experimental'!B227+'Avaliação do resultado ML'!M227+'Avaliação do resultado ML'!N227+(-0.0328)*(0.0171*'Dataset experimental'!AD227-0.9442)*'Avaliação do resultado ML'!O227-'Avaliação do resultado ML'!P227-0.0364</f>
        <v>-0.120224429788552</v>
      </c>
      <c r="M227" s="12" t="n">
        <f aca="false">0.03283*SIN(0.7328*'Dataset experimental'!D227-1.8266)</f>
        <v>-0.0115958827834406</v>
      </c>
      <c r="N227" s="12" t="n">
        <f aca="false">0.0476*SIN(4.2067/(0.0095*'Dataset experimental'!P227-1.9338)^3)</f>
        <v>-0.0237143865224017</v>
      </c>
      <c r="O227" s="12" t="n">
        <f aca="false">0.0214*'Dataset experimental'!F227-3.1067*'Dataset experimental'!B227*'Dataset experimental'!P227*('Dataset experimental'!T227-'Dataset experimental'!R227)*(0.39*'Dataset experimental'!P227*'Dataset experimental'!T227/'Dataset experimental'!V227-'Dataset experimental'!Z227+3.12)/(100000*'Dataset experimental'!V227)+0.7995</f>
        <v>-1.27935004935705</v>
      </c>
      <c r="P227" s="12" t="n">
        <f aca="false">0.4461*('Dataset experimental'!Z227-0.6*'Modelos normativos'!AB227)*(3.4*'Dataset experimental'!L227+0.17*'Dataset experimental'!B227/'Modelos normativos'!AC227)/200000</f>
        <v>0.1573118708543</v>
      </c>
      <c r="Q227" s="4" t="e">
        <f aca="false">L227/H227</f>
        <v>#REF!</v>
      </c>
      <c r="R227" s="4" t="e">
        <f aca="false">(-0.042-0.014*'Com TS variável MC2020'!Q236)*('Modelos normativos'!AP227-ABS('Modelos Propostos'!K227)-'Dataset experimental'!W227+COS(S227))</f>
        <v>#REF!</v>
      </c>
      <c r="S227" s="4" t="e">
        <f aca="false">'Dataset experimental'!O227-('Modelos normativos'!AQ227-SIN(0.083/('Dataset experimental'!M227-'Dataset experimental'!O227))-'Modelos empíricos'!I227)/0.646</f>
        <v>#REF!</v>
      </c>
      <c r="W227" s="4" t="e">
        <f aca="false">'Modelos normativos'!S227+'Avaliação do resultado ML'!A227</f>
        <v>#REF!</v>
      </c>
      <c r="X227" s="4" t="e">
        <f aca="false">W227/'Dataset experimental'!$AF227</f>
        <v>#REF!</v>
      </c>
      <c r="AJ227" s="4" t="e">
        <f aca="false">'Modelos Propostos'!B227+H227</f>
        <v>#REF!</v>
      </c>
      <c r="AK227" s="4" t="e">
        <f aca="false">AJ227/'Dataset experimental'!$AF227</f>
        <v>#REF!</v>
      </c>
      <c r="AV227" s="4" t="e">
        <f aca="false">'Modelos normativos'!S227+F227</f>
        <v>#REF!</v>
      </c>
      <c r="AW227" s="4" t="e">
        <f aca="false">AV227/'Dataset experimental'!$AF227</f>
        <v>#REF!</v>
      </c>
      <c r="BH227" s="4" t="e">
        <f aca="false">'Modelos Propostos'!B227+R227</f>
        <v>#REF!</v>
      </c>
      <c r="BI227" s="4" t="e">
        <f aca="false">BH227/'Dataset experimental'!$AF227</f>
        <v>#REF!</v>
      </c>
      <c r="BT227" s="4" t="n">
        <f aca="false">'Modelos Propostos'!B227+L227</f>
        <v>0.344415721667501</v>
      </c>
      <c r="BU227" s="4" t="n">
        <f aca="false">BT227/'Dataset experimental'!$AF227</f>
        <v>1.32467585256731</v>
      </c>
    </row>
    <row r="228" customFormat="false" ht="14.25" hidden="false" customHeight="false" outlineLevel="0" collapsed="false">
      <c r="A228" s="4" t="e">
        <f aca="false">0.0894*ABS(D228)-0.01603*E228</f>
        <v>#REF!</v>
      </c>
      <c r="B228" s="12" t="e">
        <f aca="false">'Dataset experimental'!K228*COS('Dataset experimental'!AC228)-'Dataset experimental'!M228-'Dataset experimental'!C228</f>
        <v>#REF!</v>
      </c>
      <c r="C228" s="12" t="e">
        <f aca="false">('Dataset experimental'!AE228+SIN('Avaliação do resultado ML'!B228))*0.70674187</f>
        <v>#REF!</v>
      </c>
      <c r="D228" s="12" t="e">
        <f aca="false">'Modelos Propostos'!E228+'Avaliação do resultado ML'!C228-'Modelos normativos'!AQ228</f>
        <v>#REF!</v>
      </c>
      <c r="E228" s="12" t="n">
        <f aca="false">'Modelos empíricos'!I228+1.1854</f>
        <v>0.690146939466853</v>
      </c>
      <c r="F228" s="4" t="e">
        <f aca="false">-0.01753*('Modelos normativos'!AN228-'Dataset experimental'!C228-ABS(G228)-('Modelos Propostos'!E228-'Modelos normativos'!AP228)/0.25291)</f>
        <v>#REF!</v>
      </c>
      <c r="G228" s="4" t="e">
        <f aca="false">'Dataset experimental'!K228+'Modelos empíricos'!K228^2+('Modelos Propostos'!E228-'Modelos normativos'!AQ228)*4.10553</f>
        <v>#REF!</v>
      </c>
      <c r="H228" s="4" t="e">
        <f aca="false">0.03283*(J228+K228)</f>
        <v>#REF!</v>
      </c>
      <c r="I228" s="4" t="e">
        <f aca="false">(1.61428/'Dataset experimental'!Q228)^3</f>
        <v>#REF!</v>
      </c>
      <c r="J228" s="4" t="e">
        <f aca="false">SIN('Dataset experimental'!E228)+1.450178*(SIN('Avaliação do resultado ML'!I228)+'Dataset experimental'!C228)</f>
        <v>#REF!</v>
      </c>
      <c r="K228" s="4" t="e">
        <f aca="false">('Modelos empíricos'!C228-'Dataset experimental'!G228)*'Dataset experimental'!AE228-'Modelos normativos'!AP228</f>
        <v>#REF!</v>
      </c>
      <c r="L228" s="4" t="n">
        <f aca="false">0.0076*'Dataset experimental'!B228+'Avaliação do resultado ML'!M228+'Avaliação do resultado ML'!N228+(-0.0328)*(0.0171*'Dataset experimental'!AD228-0.9442)*'Avaliação do resultado ML'!O228-'Avaliação do resultado ML'!P228-0.0364</f>
        <v>0.0221355398243614</v>
      </c>
      <c r="M228" s="12" t="n">
        <f aca="false">0.03283*SIN(0.7328*'Dataset experimental'!D228-1.8266)</f>
        <v>-0.0115958827834406</v>
      </c>
      <c r="N228" s="12" t="n">
        <f aca="false">0.0476*SIN(4.2067/(0.0095*'Dataset experimental'!P228-1.9338)^3)</f>
        <v>-0.0237143865224017</v>
      </c>
      <c r="O228" s="12" t="n">
        <f aca="false">0.0214*'Dataset experimental'!F228-3.1067*'Dataset experimental'!B228*'Dataset experimental'!P228*('Dataset experimental'!T228-'Dataset experimental'!R228)*(0.39*'Dataset experimental'!P228*'Dataset experimental'!T228/'Dataset experimental'!V228-'Dataset experimental'!Z228+3.12)/(100000*'Dataset experimental'!V228)+0.7995</f>
        <v>0.481323270327334</v>
      </c>
      <c r="P228" s="12" t="n">
        <f aca="false">0.4461*('Dataset experimental'!Z228-0.6*'Modelos normativos'!AB228)*(3.4*'Dataset experimental'!L228+0.17*'Dataset experimental'!B228/'Modelos normativos'!AC228)/200000</f>
        <v>0.0652991749032396</v>
      </c>
      <c r="Q228" s="4" t="e">
        <f aca="false">L228/H228</f>
        <v>#REF!</v>
      </c>
      <c r="R228" s="4" t="e">
        <f aca="false">(-0.042-0.014*'Com TS variável MC2020'!Q237)*('Modelos normativos'!AP228-ABS('Modelos Propostos'!K228)-'Dataset experimental'!W228+COS(S228))</f>
        <v>#REF!</v>
      </c>
      <c r="S228" s="4" t="e">
        <f aca="false">'Dataset experimental'!O228-('Modelos normativos'!AQ228-SIN(0.083/('Dataset experimental'!M228-'Dataset experimental'!O228))-'Modelos empíricos'!I228)/0.646</f>
        <v>#REF!</v>
      </c>
      <c r="W228" s="4" t="e">
        <f aca="false">'Modelos normativos'!S228+'Avaliação do resultado ML'!A228</f>
        <v>#REF!</v>
      </c>
      <c r="X228" s="4" t="e">
        <f aca="false">W228/'Dataset experimental'!$AF228</f>
        <v>#REF!</v>
      </c>
      <c r="AJ228" s="4" t="e">
        <f aca="false">'Modelos Propostos'!B228+H228</f>
        <v>#REF!</v>
      </c>
      <c r="AK228" s="4" t="e">
        <f aca="false">AJ228/'Dataset experimental'!$AF228</f>
        <v>#REF!</v>
      </c>
      <c r="AV228" s="4" t="e">
        <f aca="false">'Modelos normativos'!S228+F228</f>
        <v>#REF!</v>
      </c>
      <c r="AW228" s="4" t="e">
        <f aca="false">AV228/'Dataset experimental'!$AF228</f>
        <v>#REF!</v>
      </c>
      <c r="BH228" s="4" t="e">
        <f aca="false">'Modelos Propostos'!B228+R228</f>
        <v>#REF!</v>
      </c>
      <c r="BI228" s="4" t="e">
        <f aca="false">BH228/'Dataset experimental'!$AF228</f>
        <v>#REF!</v>
      </c>
      <c r="BT228" s="4" t="n">
        <f aca="false">'Modelos Propostos'!B228+L228</f>
        <v>0.189065540894385</v>
      </c>
      <c r="BU228" s="4" t="n">
        <f aca="false">BT228/'Dataset experimental'!$AF228</f>
        <v>1.11215024055521</v>
      </c>
    </row>
    <row r="229" customFormat="false" ht="14.25" hidden="false" customHeight="false" outlineLevel="0" collapsed="false">
      <c r="A229" s="4" t="e">
        <f aca="false">0.0894*ABS(D229)-0.01603*E229</f>
        <v>#REF!</v>
      </c>
      <c r="B229" s="12" t="e">
        <f aca="false">'Dataset experimental'!K229*COS('Dataset experimental'!AC229)-'Dataset experimental'!M229-'Dataset experimental'!C229</f>
        <v>#REF!</v>
      </c>
      <c r="C229" s="12" t="e">
        <f aca="false">('Dataset experimental'!AE229+SIN('Avaliação do resultado ML'!B229))*0.70674187</f>
        <v>#REF!</v>
      </c>
      <c r="D229" s="12" t="e">
        <f aca="false">'Modelos Propostos'!E229+'Avaliação do resultado ML'!C229-'Modelos normativos'!AQ229</f>
        <v>#REF!</v>
      </c>
      <c r="E229" s="12" t="n">
        <f aca="false">'Modelos empíricos'!I229+1.1854</f>
        <v>1.10958920587098</v>
      </c>
      <c r="F229" s="4" t="e">
        <f aca="false">-0.01753*('Modelos normativos'!AN229-'Dataset experimental'!C229-ABS(G229)-('Modelos Propostos'!E229-'Modelos normativos'!AP229)/0.25291)</f>
        <v>#REF!</v>
      </c>
      <c r="G229" s="4" t="e">
        <f aca="false">'Dataset experimental'!K229+'Modelos empíricos'!K229^2+('Modelos Propostos'!E229-'Modelos normativos'!AQ229)*4.10553</f>
        <v>#REF!</v>
      </c>
      <c r="H229" s="4" t="e">
        <f aca="false">0.03283*(J229+K229)</f>
        <v>#REF!</v>
      </c>
      <c r="I229" s="4" t="e">
        <f aca="false">(1.61428/'Dataset experimental'!Q229)^3</f>
        <v>#REF!</v>
      </c>
      <c r="J229" s="4" t="e">
        <f aca="false">SIN('Dataset experimental'!E229)+1.450178*(SIN('Avaliação do resultado ML'!I229)+'Dataset experimental'!C229)</f>
        <v>#REF!</v>
      </c>
      <c r="K229" s="4" t="e">
        <f aca="false">('Modelos empíricos'!C229-'Dataset experimental'!G229)*'Dataset experimental'!AE229-'Modelos normativos'!AP229</f>
        <v>#REF!</v>
      </c>
      <c r="L229" s="4" t="n">
        <f aca="false">0.0076*'Dataset experimental'!B229+'Avaliação do resultado ML'!M229+'Avaliação do resultado ML'!N229+(-0.0328)*(0.0171*'Dataset experimental'!AD229-0.9442)*'Avaliação do resultado ML'!O229-'Avaliação do resultado ML'!P229-0.0364</f>
        <v>0.00815960003665926</v>
      </c>
      <c r="M229" s="12" t="n">
        <f aca="false">0.03283*SIN(0.7328*'Dataset experimental'!D229-1.8266)</f>
        <v>-0.0115958827834406</v>
      </c>
      <c r="N229" s="12" t="n">
        <f aca="false">0.0476*SIN(4.2067/(0.0095*'Dataset experimental'!P229-1.9338)^3)</f>
        <v>-0.0237143865224017</v>
      </c>
      <c r="O229" s="12" t="n">
        <f aca="false">0.0214*'Dataset experimental'!F229-3.1067*'Dataset experimental'!B229*'Dataset experimental'!P229*('Dataset experimental'!T229-'Dataset experimental'!R229)*(0.39*'Dataset experimental'!P229*'Dataset experimental'!T229/'Dataset experimental'!V229-'Dataset experimental'!Z229+3.12)/(100000*'Dataset experimental'!V229)+0.7995</f>
        <v>0.289137397012506</v>
      </c>
      <c r="P229" s="12" t="n">
        <f aca="false">0.4461*('Dataset experimental'!Z229-0.6*'Modelos normativos'!AB229)*(3.4*'Dataset experimental'!L229+0.17*'Dataset experimental'!B229/'Modelos normativos'!AC229)/200000</f>
        <v>0.0757694793644283</v>
      </c>
      <c r="Q229" s="4" t="e">
        <f aca="false">L229/H229</f>
        <v>#REF!</v>
      </c>
      <c r="R229" s="4" t="e">
        <f aca="false">(-0.042-0.014*'Com TS variável MC2020'!Q238)*('Modelos normativos'!AP229-ABS('Modelos Propostos'!K229)-'Dataset experimental'!W229+COS(S229))</f>
        <v>#REF!</v>
      </c>
      <c r="S229" s="4" t="e">
        <f aca="false">'Dataset experimental'!O229-('Modelos normativos'!AQ229-SIN(0.083/('Dataset experimental'!M229-'Dataset experimental'!O229))-'Modelos empíricos'!I229)/0.646</f>
        <v>#REF!</v>
      </c>
      <c r="W229" s="4" t="e">
        <f aca="false">'Modelos normativos'!S229+'Avaliação do resultado ML'!A229</f>
        <v>#REF!</v>
      </c>
      <c r="X229" s="4" t="e">
        <f aca="false">W229/'Dataset experimental'!$AF229</f>
        <v>#REF!</v>
      </c>
      <c r="AJ229" s="4" t="e">
        <f aca="false">'Modelos Propostos'!B229+H229</f>
        <v>#REF!</v>
      </c>
      <c r="AK229" s="4" t="e">
        <f aca="false">AJ229/'Dataset experimental'!$AF229</f>
        <v>#REF!</v>
      </c>
      <c r="AV229" s="4" t="e">
        <f aca="false">'Modelos normativos'!S229+F229</f>
        <v>#REF!</v>
      </c>
      <c r="AW229" s="4" t="e">
        <f aca="false">AV229/'Dataset experimental'!$AF229</f>
        <v>#REF!</v>
      </c>
      <c r="BH229" s="4" t="e">
        <f aca="false">'Modelos Propostos'!B229+R229</f>
        <v>#REF!</v>
      </c>
      <c r="BI229" s="4" t="e">
        <f aca="false">BH229/'Dataset experimental'!$AF229</f>
        <v>#REF!</v>
      </c>
      <c r="BT229" s="4" t="n">
        <f aca="false">'Modelos Propostos'!B229+L229</f>
        <v>0.209912140245271</v>
      </c>
      <c r="BU229" s="4" t="n">
        <f aca="false">BT229/'Dataset experimental'!$AF229</f>
        <v>1.10480073813301</v>
      </c>
    </row>
    <row r="230" customFormat="false" ht="14.25" hidden="false" customHeight="false" outlineLevel="0" collapsed="false">
      <c r="A230" s="4" t="e">
        <f aca="false">0.0894*ABS(D230)-0.01603*E230</f>
        <v>#REF!</v>
      </c>
      <c r="B230" s="12" t="e">
        <f aca="false">'Dataset experimental'!K230*COS('Dataset experimental'!AC230)-'Dataset experimental'!M230-'Dataset experimental'!C230</f>
        <v>#REF!</v>
      </c>
      <c r="C230" s="12" t="e">
        <f aca="false">('Dataset experimental'!AE230+SIN('Avaliação do resultado ML'!B230))*0.70674187</f>
        <v>#REF!</v>
      </c>
      <c r="D230" s="12" t="e">
        <f aca="false">'Modelos Propostos'!E230+'Avaliação do resultado ML'!C230-'Modelos normativos'!AQ230</f>
        <v>#REF!</v>
      </c>
      <c r="E230" s="12" t="n">
        <f aca="false">'Modelos empíricos'!I230+1.1854</f>
        <v>1.64887211981915</v>
      </c>
      <c r="F230" s="4" t="e">
        <f aca="false">-0.01753*('Modelos normativos'!AN230-'Dataset experimental'!C230-ABS(G230)-('Modelos Propostos'!E230-'Modelos normativos'!AP230)/0.25291)</f>
        <v>#REF!</v>
      </c>
      <c r="G230" s="4" t="e">
        <f aca="false">'Dataset experimental'!K230+'Modelos empíricos'!K230^2+('Modelos Propostos'!E230-'Modelos normativos'!AQ230)*4.10553</f>
        <v>#REF!</v>
      </c>
      <c r="H230" s="4" t="e">
        <f aca="false">0.03283*(J230+K230)</f>
        <v>#REF!</v>
      </c>
      <c r="I230" s="4" t="e">
        <f aca="false">(1.61428/'Dataset experimental'!Q230)^3</f>
        <v>#REF!</v>
      </c>
      <c r="J230" s="4" t="e">
        <f aca="false">SIN('Dataset experimental'!E230)+1.450178*(SIN('Avaliação do resultado ML'!I230)+'Dataset experimental'!C230)</f>
        <v>#REF!</v>
      </c>
      <c r="K230" s="4" t="e">
        <f aca="false">('Modelos empíricos'!C230-'Dataset experimental'!G230)*'Dataset experimental'!AE230-'Modelos normativos'!AP230</f>
        <v>#REF!</v>
      </c>
      <c r="L230" s="4" t="n">
        <f aca="false">0.0076*'Dataset experimental'!B230+'Avaliação do resultado ML'!M230+'Avaliação do resultado ML'!N230+(-0.0328)*(0.0171*'Dataset experimental'!AD230-0.9442)*'Avaliação do resultado ML'!O230-'Avaliação do resultado ML'!P230-0.0364</f>
        <v>-0.00853442568962423</v>
      </c>
      <c r="M230" s="12" t="n">
        <f aca="false">0.03283*SIN(0.7328*'Dataset experimental'!D230-1.8266)</f>
        <v>-0.0115958827834406</v>
      </c>
      <c r="N230" s="12" t="n">
        <f aca="false">0.0476*SIN(4.2067/(0.0095*'Dataset experimental'!P230-1.9338)^3)</f>
        <v>-0.0237143865224017</v>
      </c>
      <c r="O230" s="12" t="n">
        <f aca="false">0.0214*'Dataset experimental'!F230-3.1067*'Dataset experimental'!B230*'Dataset experimental'!P230*('Dataset experimental'!T230-'Dataset experimental'!R230)*(0.39*'Dataset experimental'!P230*'Dataset experimental'!T230/'Dataset experimental'!V230-'Dataset experimental'!Z230+3.12)/(100000*'Dataset experimental'!V230)+0.7995</f>
        <v>0.0420412741791544</v>
      </c>
      <c r="P230" s="12" t="n">
        <f aca="false">0.4461*('Dataset experimental'!Z230-0.6*'Modelos normativos'!AB230)*(3.4*'Dataset experimental'!L230+0.17*'Dataset experimental'!B230/'Modelos normativos'!AC230)/200000</f>
        <v>0.0892312993859567</v>
      </c>
      <c r="Q230" s="4" t="e">
        <f aca="false">L230/H230</f>
        <v>#REF!</v>
      </c>
      <c r="R230" s="4" t="e">
        <f aca="false">(-0.042-0.014*'Com TS variável MC2020'!Q239)*('Modelos normativos'!AP230-ABS('Modelos Propostos'!K230)-'Dataset experimental'!W230+COS(S230))</f>
        <v>#REF!</v>
      </c>
      <c r="S230" s="4" t="e">
        <f aca="false">'Dataset experimental'!O230-('Modelos normativos'!AQ230-SIN(0.083/('Dataset experimental'!M230-'Dataset experimental'!O230))-'Modelos empíricos'!I230)/0.646</f>
        <v>#REF!</v>
      </c>
      <c r="W230" s="4" t="e">
        <f aca="false">'Modelos normativos'!S230+'Avaliação do resultado ML'!A230</f>
        <v>#REF!</v>
      </c>
      <c r="X230" s="4" t="e">
        <f aca="false">W230/'Dataset experimental'!$AF230</f>
        <v>#REF!</v>
      </c>
      <c r="AJ230" s="4" t="e">
        <f aca="false">'Modelos Propostos'!B230+H230</f>
        <v>#REF!</v>
      </c>
      <c r="AK230" s="4" t="e">
        <f aca="false">AJ230/'Dataset experimental'!$AF230</f>
        <v>#REF!</v>
      </c>
      <c r="AV230" s="4" t="e">
        <f aca="false">'Modelos normativos'!S230+F230</f>
        <v>#REF!</v>
      </c>
      <c r="AW230" s="4" t="e">
        <f aca="false">AV230/'Dataset experimental'!$AF230</f>
        <v>#REF!</v>
      </c>
      <c r="BH230" s="4" t="e">
        <f aca="false">'Modelos Propostos'!B230+R230</f>
        <v>#REF!</v>
      </c>
      <c r="BI230" s="4" t="e">
        <f aca="false">BH230/'Dataset experimental'!$AF230</f>
        <v>#REF!</v>
      </c>
      <c r="BT230" s="4" t="n">
        <f aca="false">'Modelos Propostos'!B230+L230</f>
        <v>0.237989950554315</v>
      </c>
      <c r="BU230" s="4" t="n">
        <f aca="false">BT230/'Dataset experimental'!$AF230</f>
        <v>1.03473891545354</v>
      </c>
    </row>
    <row r="231" customFormat="false" ht="14.25" hidden="false" customHeight="false" outlineLevel="0" collapsed="false">
      <c r="A231" s="4" t="e">
        <f aca="false">0.0894*ABS(D231)-0.01603*E231</f>
        <v>#REF!</v>
      </c>
      <c r="B231" s="12" t="e">
        <f aca="false">'Dataset experimental'!K231*COS('Dataset experimental'!AC231)-'Dataset experimental'!M231-'Dataset experimental'!C231</f>
        <v>#REF!</v>
      </c>
      <c r="C231" s="12" t="e">
        <f aca="false">('Dataset experimental'!AE231+SIN('Avaliação do resultado ML'!B231))*0.70674187</f>
        <v>#REF!</v>
      </c>
      <c r="D231" s="12" t="e">
        <f aca="false">'Modelos Propostos'!E231+'Avaliação do resultado ML'!C231-'Modelos normativos'!AQ231</f>
        <v>#REF!</v>
      </c>
      <c r="E231" s="12" t="n">
        <f aca="false">'Modelos empíricos'!I231+1.1854</f>
        <v>1.88855341490723</v>
      </c>
      <c r="F231" s="4" t="e">
        <f aca="false">-0.01753*('Modelos normativos'!AN231-'Dataset experimental'!C231-ABS(G231)-('Modelos Propostos'!E231-'Modelos normativos'!AP231)/0.25291)</f>
        <v>#REF!</v>
      </c>
      <c r="G231" s="4" t="e">
        <f aca="false">'Dataset experimental'!K231+'Modelos empíricos'!K231^2+('Modelos Propostos'!E231-'Modelos normativos'!AQ231)*4.10553</f>
        <v>#REF!</v>
      </c>
      <c r="H231" s="4" t="e">
        <f aca="false">0.03283*(J231+K231)</f>
        <v>#REF!</v>
      </c>
      <c r="I231" s="4" t="e">
        <f aca="false">(1.61428/'Dataset experimental'!Q231)^3</f>
        <v>#REF!</v>
      </c>
      <c r="J231" s="4" t="e">
        <f aca="false">SIN('Dataset experimental'!E231)+1.450178*(SIN('Avaliação do resultado ML'!I231)+'Dataset experimental'!C231)</f>
        <v>#REF!</v>
      </c>
      <c r="K231" s="4" t="e">
        <f aca="false">('Modelos empíricos'!C231-'Dataset experimental'!G231)*'Dataset experimental'!AE231-'Modelos normativos'!AP231</f>
        <v>#REF!</v>
      </c>
      <c r="L231" s="4" t="n">
        <f aca="false">0.0076*'Dataset experimental'!B231+'Avaliação do resultado ML'!M231+'Avaliação do resultado ML'!N231+(-0.0328)*(0.0171*'Dataset experimental'!AD231-0.9442)*'Avaliação do resultado ML'!O231-'Avaliação do resultado ML'!P231-0.0364</f>
        <v>-0.0154935616708718</v>
      </c>
      <c r="M231" s="12" t="n">
        <f aca="false">0.03283*SIN(0.7328*'Dataset experimental'!D231-1.8266)</f>
        <v>-0.0115958827834406</v>
      </c>
      <c r="N231" s="12" t="n">
        <f aca="false">0.0476*SIN(4.2067/(0.0095*'Dataset experimental'!P231-1.9338)^3)</f>
        <v>-0.0237143865224017</v>
      </c>
      <c r="O231" s="12" t="n">
        <f aca="false">0.0214*'Dataset experimental'!F231-3.1067*'Dataset experimental'!B231*'Dataset experimental'!P231*('Dataset experimental'!T231-'Dataset experimental'!R231)*(0.39*'Dataset experimental'!P231*'Dataset experimental'!T231/'Dataset experimental'!V231-'Dataset experimental'!Z231+3.12)/(100000*'Dataset experimental'!V231)+0.7995</f>
        <v>-0.0677792248578905</v>
      </c>
      <c r="P231" s="12" t="n">
        <f aca="false">0.4461*('Dataset experimental'!Z231-0.6*'Modelos normativos'!AB231)*(3.4*'Dataset experimental'!L231+0.17*'Dataset experimental'!B231/'Modelos normativos'!AC231)/200000</f>
        <v>0.095214330506636</v>
      </c>
      <c r="Q231" s="4" t="e">
        <f aca="false">L231/H231</f>
        <v>#REF!</v>
      </c>
      <c r="R231" s="4" t="e">
        <f aca="false">(-0.042-0.014*'Com TS variável MC2020'!Q240)*('Modelos normativos'!AP231-ABS('Modelos Propostos'!K231)-'Dataset experimental'!W231+COS(S231))</f>
        <v>#REF!</v>
      </c>
      <c r="S231" s="4" t="e">
        <f aca="false">'Dataset experimental'!O231-('Modelos normativos'!AQ231-SIN(0.083/('Dataset experimental'!M231-'Dataset experimental'!O231))-'Modelos empíricos'!I231)/0.646</f>
        <v>#REF!</v>
      </c>
      <c r="W231" s="4" t="e">
        <f aca="false">'Modelos normativos'!S231+'Avaliação do resultado ML'!A231</f>
        <v>#REF!</v>
      </c>
      <c r="X231" s="4" t="e">
        <f aca="false">W231/'Dataset experimental'!$AF231</f>
        <v>#REF!</v>
      </c>
      <c r="AJ231" s="4" t="e">
        <f aca="false">'Modelos Propostos'!B231+H231</f>
        <v>#REF!</v>
      </c>
      <c r="AK231" s="4" t="e">
        <f aca="false">AJ231/'Dataset experimental'!$AF231</f>
        <v>#REF!</v>
      </c>
      <c r="AV231" s="4" t="e">
        <f aca="false">'Modelos normativos'!S231+F231</f>
        <v>#REF!</v>
      </c>
      <c r="AW231" s="4" t="e">
        <f aca="false">AV231/'Dataset experimental'!$AF231</f>
        <v>#REF!</v>
      </c>
      <c r="BH231" s="4" t="e">
        <f aca="false">'Modelos Propostos'!B231+R231</f>
        <v>#REF!</v>
      </c>
      <c r="BI231" s="4" t="e">
        <f aca="false">BH231/'Dataset experimental'!$AF231</f>
        <v>#REF!</v>
      </c>
      <c r="BT231" s="4" t="n">
        <f aca="false">'Modelos Propostos'!B231+L231</f>
        <v>0.250929408366547</v>
      </c>
      <c r="BU231" s="4" t="n">
        <f aca="false">BT231/'Dataset experimental'!$AF231</f>
        <v>1.00371763346619</v>
      </c>
    </row>
    <row r="232" customFormat="false" ht="14.25" hidden="false" customHeight="false" outlineLevel="0" collapsed="false">
      <c r="A232" s="4" t="e">
        <f aca="false">0.0894*ABS(D232)-0.01603*E232</f>
        <v>#REF!</v>
      </c>
      <c r="B232" s="12" t="e">
        <f aca="false">'Dataset experimental'!K232*COS('Dataset experimental'!AC232)-'Dataset experimental'!M232-'Dataset experimental'!C232</f>
        <v>#REF!</v>
      </c>
      <c r="C232" s="12" t="e">
        <f aca="false">('Dataset experimental'!AE232+SIN('Avaliação do resultado ML'!B232))*0.70674187</f>
        <v>#REF!</v>
      </c>
      <c r="D232" s="12" t="e">
        <f aca="false">'Modelos Propostos'!E232+'Avaliação do resultado ML'!C232-'Modelos normativos'!AQ232</f>
        <v>#REF!</v>
      </c>
      <c r="E232" s="12" t="n">
        <f aca="false">'Modelos empíricos'!I232+1.1854</f>
        <v>2.24807535753934</v>
      </c>
      <c r="F232" s="4" t="e">
        <f aca="false">-0.01753*('Modelos normativos'!AN232-'Dataset experimental'!C232-ABS(G232)-('Modelos Propostos'!E232-'Modelos normativos'!AP232)/0.25291)</f>
        <v>#REF!</v>
      </c>
      <c r="G232" s="4" t="e">
        <f aca="false">'Dataset experimental'!K232+'Modelos empíricos'!K232^2+('Modelos Propostos'!E232-'Modelos normativos'!AQ232)*4.10553</f>
        <v>#REF!</v>
      </c>
      <c r="H232" s="4" t="e">
        <f aca="false">0.03283*(J232+K232)</f>
        <v>#REF!</v>
      </c>
      <c r="I232" s="4" t="e">
        <f aca="false">(1.61428/'Dataset experimental'!Q232)^3</f>
        <v>#REF!</v>
      </c>
      <c r="J232" s="4" t="e">
        <f aca="false">SIN('Dataset experimental'!E232)+1.450178*(SIN('Avaliação do resultado ML'!I232)+'Dataset experimental'!C232)</f>
        <v>#REF!</v>
      </c>
      <c r="K232" s="4" t="e">
        <f aca="false">('Modelos empíricos'!C232-'Dataset experimental'!G232)*'Dataset experimental'!AE232-'Modelos normativos'!AP232</f>
        <v>#REF!</v>
      </c>
      <c r="L232" s="4" t="n">
        <f aca="false">0.0076*'Dataset experimental'!B232+'Avaliação do resultado ML'!M232+'Avaliação do resultado ML'!N232+(-0.0328)*(0.0171*'Dataset experimental'!AD232-0.9442)*'Avaliação do resultado ML'!O232-'Avaliação do resultado ML'!P232-0.0364</f>
        <v>-0.0254009990948066</v>
      </c>
      <c r="M232" s="12" t="n">
        <f aca="false">0.03283*SIN(0.7328*'Dataset experimental'!D232-1.8266)</f>
        <v>-0.0115958827834406</v>
      </c>
      <c r="N232" s="12" t="n">
        <f aca="false">0.0476*SIN(4.2067/(0.0095*'Dataset experimental'!P232-1.9338)^3)</f>
        <v>-0.0237143865224017</v>
      </c>
      <c r="O232" s="12" t="n">
        <f aca="false">0.0214*'Dataset experimental'!F232-3.1067*'Dataset experimental'!B232*'Dataset experimental'!P232*('Dataset experimental'!T232-'Dataset experimental'!R232)*(0.39*'Dataset experimental'!P232*'Dataset experimental'!T232/'Dataset experimental'!V232-'Dataset experimental'!Z232+3.12)/(100000*'Dataset experimental'!V232)+0.7995</f>
        <v>-0.232509973413458</v>
      </c>
      <c r="P232" s="12" t="n">
        <f aca="false">0.4461*('Dataset experimental'!Z232-0.6*'Modelos normativos'!AB232)*(3.4*'Dataset experimental'!L232+0.17*'Dataset experimental'!B232/'Modelos normativos'!AC232)/200000</f>
        <v>0.104188877187655</v>
      </c>
      <c r="Q232" s="4" t="e">
        <f aca="false">L232/H232</f>
        <v>#REF!</v>
      </c>
      <c r="R232" s="4" t="e">
        <f aca="false">(-0.042-0.014*'Com TS variável MC2020'!Q241)*('Modelos normativos'!AP232-ABS('Modelos Propostos'!K232)-'Dataset experimental'!W232+COS(S232))</f>
        <v>#REF!</v>
      </c>
      <c r="S232" s="4" t="e">
        <f aca="false">'Dataset experimental'!O232-('Modelos normativos'!AQ232-SIN(0.083/('Dataset experimental'!M232-'Dataset experimental'!O232))-'Modelos empíricos'!I232)/0.646</f>
        <v>#REF!</v>
      </c>
      <c r="W232" s="4" t="e">
        <f aca="false">'Modelos normativos'!S232+'Avaliação do resultado ML'!A232</f>
        <v>#REF!</v>
      </c>
      <c r="X232" s="4" t="e">
        <f aca="false">W232/'Dataset experimental'!$AF232</f>
        <v>#REF!</v>
      </c>
      <c r="AJ232" s="4" t="e">
        <f aca="false">'Modelos Propostos'!B232+H232</f>
        <v>#REF!</v>
      </c>
      <c r="AK232" s="4" t="e">
        <f aca="false">AJ232/'Dataset experimental'!$AF232</f>
        <v>#REF!</v>
      </c>
      <c r="AV232" s="4" t="e">
        <f aca="false">'Modelos normativos'!S232+F232</f>
        <v>#REF!</v>
      </c>
      <c r="AW232" s="4" t="e">
        <f aca="false">AV232/'Dataset experimental'!$AF232</f>
        <v>#REF!</v>
      </c>
      <c r="BH232" s="4" t="e">
        <f aca="false">'Modelos Propostos'!B232+R232</f>
        <v>#REF!</v>
      </c>
      <c r="BI232" s="4" t="e">
        <f aca="false">BH232/'Dataset experimental'!$AF232</f>
        <v>#REF!</v>
      </c>
      <c r="BT232" s="4" t="n">
        <f aca="false">'Modelos Propostos'!B232+L232</f>
        <v>0.27086986163283</v>
      </c>
      <c r="BU232" s="4" t="n">
        <f aca="false">BT232/'Dataset experimental'!$AF232</f>
        <v>0.9028995387761</v>
      </c>
    </row>
    <row r="233" customFormat="false" ht="14.25" hidden="false" customHeight="false" outlineLevel="0" collapsed="false">
      <c r="A233" s="4" t="e">
        <f aca="false">0.0894*ABS(D233)-0.01603*E233</f>
        <v>#REF!</v>
      </c>
      <c r="B233" s="12" t="e">
        <f aca="false">'Dataset experimental'!K233*COS('Dataset experimental'!AC233)-'Dataset experimental'!M233-'Dataset experimental'!C233</f>
        <v>#REF!</v>
      </c>
      <c r="C233" s="12" t="e">
        <f aca="false">('Dataset experimental'!AE233+SIN('Avaliação do resultado ML'!B233))*0.70674187</f>
        <v>#REF!</v>
      </c>
      <c r="D233" s="12" t="e">
        <f aca="false">'Modelos Propostos'!E233+'Avaliação do resultado ML'!C233-'Modelos normativos'!AQ233</f>
        <v>#REF!</v>
      </c>
      <c r="E233" s="12" t="n">
        <f aca="false">'Modelos empíricos'!I233+1.1854</f>
        <v>2.48775665262742</v>
      </c>
      <c r="F233" s="4" t="e">
        <f aca="false">-0.01753*('Modelos normativos'!AN233-'Dataset experimental'!C233-ABS(G233)-('Modelos Propostos'!E233-'Modelos normativos'!AP233)/0.25291)</f>
        <v>#REF!</v>
      </c>
      <c r="G233" s="4" t="e">
        <f aca="false">'Dataset experimental'!K233+'Modelos empíricos'!K233^2+('Modelos Propostos'!E233-'Modelos normativos'!AQ233)*4.10553</f>
        <v>#REF!</v>
      </c>
      <c r="H233" s="4" t="e">
        <f aca="false">0.03283*(J233+K233)</f>
        <v>#REF!</v>
      </c>
      <c r="I233" s="4" t="e">
        <f aca="false">(1.61428/'Dataset experimental'!Q233)^3</f>
        <v>#REF!</v>
      </c>
      <c r="J233" s="4" t="e">
        <f aca="false">SIN('Dataset experimental'!E233)+1.450178*(SIN('Avaliação do resultado ML'!I233)+'Dataset experimental'!C233)</f>
        <v>#REF!</v>
      </c>
      <c r="K233" s="4" t="e">
        <f aca="false">('Modelos empíricos'!C233-'Dataset experimental'!G233)*'Dataset experimental'!AE233-'Modelos normativos'!AP233</f>
        <v>#REF!</v>
      </c>
      <c r="L233" s="4" t="n">
        <f aca="false">0.0076*'Dataset experimental'!B233+'Avaliação do resultado ML'!M233+'Avaliação do resultado ML'!N233+(-0.0328)*(0.0171*'Dataset experimental'!AD233-0.9442)*'Avaliação do resultado ML'!O233-'Avaliação do resultado ML'!P233-0.0364</f>
        <v>-0.0316517796788054</v>
      </c>
      <c r="M233" s="12" t="n">
        <f aca="false">0.03283*SIN(0.7328*'Dataset experimental'!D233-1.8266)</f>
        <v>-0.0115958827834406</v>
      </c>
      <c r="N233" s="12" t="n">
        <f aca="false">0.0476*SIN(4.2067/(0.0095*'Dataset experimental'!P233-1.9338)^3)</f>
        <v>-0.0237143865224017</v>
      </c>
      <c r="O233" s="12" t="n">
        <f aca="false">0.0214*'Dataset experimental'!F233-3.1067*'Dataset experimental'!B233*'Dataset experimental'!P233*('Dataset experimental'!T233-'Dataset experimental'!R233)*(0.39*'Dataset experimental'!P233*'Dataset experimental'!T233/'Dataset experimental'!V233-'Dataset experimental'!Z233+3.12)/(100000*'Dataset experimental'!V233)+0.7995</f>
        <v>-0.342330472450504</v>
      </c>
      <c r="P233" s="12" t="n">
        <f aca="false">0.4461*('Dataset experimental'!Z233-0.6*'Modelos normativos'!AB233)*(3.4*'Dataset experimental'!L233+0.17*'Dataset experimental'!B233/'Modelos normativos'!AC233)/200000</f>
        <v>0.110171908308334</v>
      </c>
      <c r="Q233" s="4" t="e">
        <f aca="false">L233/H233</f>
        <v>#REF!</v>
      </c>
      <c r="R233" s="4" t="e">
        <f aca="false">(-0.042-0.014*'Com TS variável MC2020'!Q242)*('Modelos normativos'!AP233-ABS('Modelos Propostos'!K233)-'Dataset experimental'!W233+COS(S233))</f>
        <v>#REF!</v>
      </c>
      <c r="S233" s="4" t="e">
        <f aca="false">'Dataset experimental'!O233-('Modelos normativos'!AQ233-SIN(0.083/('Dataset experimental'!M233-'Dataset experimental'!O233))-'Modelos empíricos'!I233)/0.646</f>
        <v>#REF!</v>
      </c>
      <c r="W233" s="4" t="e">
        <f aca="false">'Modelos normativos'!S233+'Avaliação do resultado ML'!A233</f>
        <v>#REF!</v>
      </c>
      <c r="X233" s="4" t="e">
        <f aca="false">W233/'Dataset experimental'!$AF233</f>
        <v>#REF!</v>
      </c>
      <c r="AJ233" s="4" t="e">
        <f aca="false">'Modelos Propostos'!B233+H233</f>
        <v>#REF!</v>
      </c>
      <c r="AK233" s="4" t="e">
        <f aca="false">AJ233/'Dataset experimental'!$AF233</f>
        <v>#REF!</v>
      </c>
      <c r="AV233" s="4" t="e">
        <f aca="false">'Modelos normativos'!S233+F233</f>
        <v>#REF!</v>
      </c>
      <c r="AW233" s="4" t="e">
        <f aca="false">AV233/'Dataset experimental'!$AF233</f>
        <v>#REF!</v>
      </c>
      <c r="BH233" s="4" t="e">
        <f aca="false">'Modelos Propostos'!B233+R233</f>
        <v>#REF!</v>
      </c>
      <c r="BI233" s="4" t="e">
        <f aca="false">BH233/'Dataset experimental'!$AF233</f>
        <v>#REF!</v>
      </c>
      <c r="BT233" s="4" t="n">
        <f aca="false">'Modelos Propostos'!B233+L233</f>
        <v>0.28451767484231</v>
      </c>
      <c r="BU233" s="4" t="n">
        <f aca="false">BT233/'Dataset experimental'!$AF233</f>
        <v>0.88911773388222</v>
      </c>
    </row>
    <row r="234" customFormat="false" ht="14.25" hidden="false" customHeight="false" outlineLevel="0" collapsed="false">
      <c r="A234" s="4" t="e">
        <f aca="false">0.0894*ABS(D234)-0.01603*E234</f>
        <v>#REF!</v>
      </c>
      <c r="B234" s="12" t="e">
        <f aca="false">'Dataset experimental'!K234*COS('Dataset experimental'!AC234)-'Dataset experimental'!M234-'Dataset experimental'!C234</f>
        <v>#REF!</v>
      </c>
      <c r="C234" s="12" t="e">
        <f aca="false">('Dataset experimental'!AE234+SIN('Avaliação do resultado ML'!B234))*0.70674187</f>
        <v>#REF!</v>
      </c>
      <c r="D234" s="12" t="e">
        <f aca="false">'Modelos Propostos'!E234+'Avaliação do resultado ML'!C234-'Modelos normativos'!AQ234</f>
        <v>#REF!</v>
      </c>
      <c r="E234" s="12" t="n">
        <f aca="false">'Modelos empíricos'!I234+1.1854</f>
        <v>3.0749758255932</v>
      </c>
      <c r="F234" s="4" t="e">
        <f aca="false">-0.01753*('Modelos normativos'!AN234-'Dataset experimental'!C234-ABS(G234)-('Modelos Propostos'!E234-'Modelos normativos'!AP234)/0.25291)</f>
        <v>#REF!</v>
      </c>
      <c r="G234" s="4" t="e">
        <f aca="false">'Dataset experimental'!K234+'Modelos empíricos'!K234^2+('Modelos Propostos'!E234-'Modelos normativos'!AQ234)*4.10553</f>
        <v>#REF!</v>
      </c>
      <c r="H234" s="4" t="e">
        <f aca="false">0.03283*(J234+K234)</f>
        <v>#REF!</v>
      </c>
      <c r="I234" s="4" t="e">
        <f aca="false">(1.61428/'Dataset experimental'!Q234)^3</f>
        <v>#REF!</v>
      </c>
      <c r="J234" s="4" t="e">
        <f aca="false">SIN('Dataset experimental'!E234)+1.450178*(SIN('Avaliação do resultado ML'!I234)+'Dataset experimental'!C234)</f>
        <v>#REF!</v>
      </c>
      <c r="K234" s="4" t="e">
        <f aca="false">('Modelos empíricos'!C234-'Dataset experimental'!G234)*'Dataset experimental'!AE234-'Modelos normativos'!AP234</f>
        <v>#REF!</v>
      </c>
      <c r="L234" s="4" t="n">
        <f aca="false">0.0076*'Dataset experimental'!B234+'Avaliação do resultado ML'!M234+'Avaliação do resultado ML'!N234+(-0.0328)*(0.0171*'Dataset experimental'!AD234-0.9442)*'Avaliação do resultado ML'!O234-'Avaliação do resultado ML'!P234-0.0364</f>
        <v>-0.0457687173105532</v>
      </c>
      <c r="M234" s="12" t="n">
        <f aca="false">0.03283*SIN(0.7328*'Dataset experimental'!D234-1.8266)</f>
        <v>-0.0115958827834406</v>
      </c>
      <c r="N234" s="12" t="n">
        <f aca="false">0.0476*SIN(4.2067/(0.0095*'Dataset experimental'!P234-1.9338)^3)</f>
        <v>-0.0237143865224017</v>
      </c>
      <c r="O234" s="12" t="n">
        <f aca="false">0.0214*'Dataset experimental'!F234-3.1067*'Dataset experimental'!B234*'Dataset experimental'!P234*('Dataset experimental'!T234-'Dataset experimental'!R234)*(0.39*'Dataset experimental'!P234*'Dataset experimental'!T234/'Dataset experimental'!V234-'Dataset experimental'!Z234+3.12)/(100000*'Dataset experimental'!V234)+0.7995</f>
        <v>-0.611390695091263</v>
      </c>
      <c r="P234" s="12" t="n">
        <f aca="false">0.4461*('Dataset experimental'!Z234-0.6*'Modelos normativos'!AB234)*(3.4*'Dataset experimental'!L234+0.17*'Dataset experimental'!B234/'Modelos normativos'!AC234)/200000</f>
        <v>0.124830334553998</v>
      </c>
      <c r="Q234" s="4" t="e">
        <f aca="false">L234/H234</f>
        <v>#REF!</v>
      </c>
      <c r="R234" s="4" t="e">
        <f aca="false">(-0.042-0.014*'Com TS variável MC2020'!Q243)*('Modelos normativos'!AP234-ABS('Modelos Propostos'!K234)-'Dataset experimental'!W234+COS(S234))</f>
        <v>#REF!</v>
      </c>
      <c r="S234" s="4" t="e">
        <f aca="false">'Dataset experimental'!O234-('Modelos normativos'!AQ234-SIN(0.083/('Dataset experimental'!M234-'Dataset experimental'!O234))-'Modelos empíricos'!I234)/0.646</f>
        <v>#REF!</v>
      </c>
      <c r="W234" s="4" t="e">
        <f aca="false">'Modelos normativos'!S234+'Avaliação do resultado ML'!A234</f>
        <v>#REF!</v>
      </c>
      <c r="X234" s="4" t="e">
        <f aca="false">W234/'Dataset experimental'!$AF234</f>
        <v>#REF!</v>
      </c>
      <c r="AJ234" s="4" t="e">
        <f aca="false">'Modelos Propostos'!B234+H234</f>
        <v>#REF!</v>
      </c>
      <c r="AK234" s="4" t="e">
        <f aca="false">AJ234/'Dataset experimental'!$AF234</f>
        <v>#REF!</v>
      </c>
      <c r="AV234" s="4" t="e">
        <f aca="false">'Modelos normativos'!S234+F234</f>
        <v>#REF!</v>
      </c>
      <c r="AW234" s="4" t="e">
        <f aca="false">AV234/'Dataset experimental'!$AF234</f>
        <v>#REF!</v>
      </c>
      <c r="BH234" s="4" t="e">
        <f aca="false">'Modelos Propostos'!B234+R234</f>
        <v>#REF!</v>
      </c>
      <c r="BI234" s="4" t="e">
        <f aca="false">BH234/'Dataset experimental'!$AF234</f>
        <v>#REF!</v>
      </c>
      <c r="BT234" s="4" t="n">
        <f aca="false">'Modelos Propostos'!B234+L234</f>
        <v>0.319152292004586</v>
      </c>
      <c r="BU234" s="4" t="n">
        <f aca="false">BT234/'Dataset experimental'!$AF234</f>
        <v>0.886534144457182</v>
      </c>
    </row>
    <row r="235" customFormat="false" ht="14.25" hidden="false" customHeight="false" outlineLevel="0" collapsed="false">
      <c r="A235" s="4" t="e">
        <f aca="false">0.0894*ABS(D235)-0.01603*E235</f>
        <v>#REF!</v>
      </c>
      <c r="B235" s="12" t="e">
        <f aca="false">'Dataset experimental'!K235*COS('Dataset experimental'!AC235)-'Dataset experimental'!M235-'Dataset experimental'!C235</f>
        <v>#REF!</v>
      </c>
      <c r="C235" s="12" t="e">
        <f aca="false">('Dataset experimental'!AE235+SIN('Avaliação do resultado ML'!B235))*0.70674187</f>
        <v>#REF!</v>
      </c>
      <c r="D235" s="12" t="e">
        <f aca="false">'Modelos Propostos'!E235+'Avaliação do resultado ML'!C235-'Modelos normativos'!AQ235</f>
        <v>#REF!</v>
      </c>
      <c r="E235" s="12" t="n">
        <f aca="false">'Modelos empíricos'!I235+1.1854</f>
        <v>3.66219499855898</v>
      </c>
      <c r="F235" s="4" t="e">
        <f aca="false">-0.01753*('Modelos normativos'!AN235-'Dataset experimental'!C235-ABS(G235)-('Modelos Propostos'!E235-'Modelos normativos'!AP235)/0.25291)</f>
        <v>#REF!</v>
      </c>
      <c r="G235" s="4" t="e">
        <f aca="false">'Dataset experimental'!K235+'Modelos empíricos'!K235^2+('Modelos Propostos'!E235-'Modelos normativos'!AQ235)*4.10553</f>
        <v>#REF!</v>
      </c>
      <c r="H235" s="4" t="e">
        <f aca="false">0.03283*(J235+K235)</f>
        <v>#REF!</v>
      </c>
      <c r="I235" s="4" t="e">
        <f aca="false">(1.61428/'Dataset experimental'!Q235)^3</f>
        <v>#REF!</v>
      </c>
      <c r="J235" s="4" t="e">
        <f aca="false">SIN('Dataset experimental'!E235)+1.450178*(SIN('Avaliação do resultado ML'!I235)+'Dataset experimental'!C235)</f>
        <v>#REF!</v>
      </c>
      <c r="K235" s="4" t="e">
        <f aca="false">('Modelos empíricos'!C235-'Dataset experimental'!G235)*'Dataset experimental'!AE235-'Modelos normativos'!AP235</f>
        <v>#REF!</v>
      </c>
      <c r="L235" s="4" t="n">
        <f aca="false">0.0076*'Dataset experimental'!B235+'Avaliação do resultado ML'!M235+'Avaliação do resultado ML'!N235+(-0.0328)*(0.0171*'Dataset experimental'!AD235-0.9442)*'Avaliação do resultado ML'!O235-'Avaliação do resultado ML'!P235-0.0364</f>
        <v>-0.0581848936335066</v>
      </c>
      <c r="M235" s="12" t="n">
        <f aca="false">0.03283*SIN(0.7328*'Dataset experimental'!D235-1.8266)</f>
        <v>-0.0115958827834406</v>
      </c>
      <c r="N235" s="12" t="n">
        <f aca="false">0.0476*SIN(4.2067/(0.0095*'Dataset experimental'!P235-1.9338)^3)</f>
        <v>-0.0237143865224017</v>
      </c>
      <c r="O235" s="12" t="n">
        <f aca="false">0.0214*'Dataset experimental'!F235-3.1067*'Dataset experimental'!B235*'Dataset experimental'!P235*('Dataset experimental'!T235-'Dataset experimental'!R235)*(0.39*'Dataset experimental'!P235*'Dataset experimental'!T235/'Dataset experimental'!V235-'Dataset experimental'!Z235+3.12)/(100000*'Dataset experimental'!V235)+0.7995</f>
        <v>-0.880450917732023</v>
      </c>
      <c r="P235" s="12" t="n">
        <f aca="false">0.4461*('Dataset experimental'!Z235-0.6*'Modelos normativos'!AB235)*(3.4*'Dataset experimental'!L235+0.17*'Dataset experimental'!B235/'Modelos normativos'!AC235)/200000</f>
        <v>0.139488760799663</v>
      </c>
      <c r="Q235" s="4" t="e">
        <f aca="false">L235/H235</f>
        <v>#REF!</v>
      </c>
      <c r="R235" s="4" t="e">
        <f aca="false">(-0.042-0.014*'Com TS variável MC2020'!Q244)*('Modelos normativos'!AP235-ABS('Modelos Propostos'!K235)-'Dataset experimental'!W235+COS(S235))</f>
        <v>#REF!</v>
      </c>
      <c r="S235" s="4" t="e">
        <f aca="false">'Dataset experimental'!O235-('Modelos normativos'!AQ235-SIN(0.083/('Dataset experimental'!M235-'Dataset experimental'!O235))-'Modelos empíricos'!I235)/0.646</f>
        <v>#REF!</v>
      </c>
      <c r="W235" s="4" t="e">
        <f aca="false">'Modelos normativos'!S235+'Avaliação do resultado ML'!A235</f>
        <v>#REF!</v>
      </c>
      <c r="X235" s="4" t="e">
        <f aca="false">W235/'Dataset experimental'!$AF235</f>
        <v>#REF!</v>
      </c>
      <c r="AJ235" s="4" t="e">
        <f aca="false">'Modelos Propostos'!B235+H235</f>
        <v>#REF!</v>
      </c>
      <c r="AK235" s="4" t="e">
        <f aca="false">AJ235/'Dataset experimental'!$AF235</f>
        <v>#REF!</v>
      </c>
      <c r="AV235" s="4" t="e">
        <f aca="false">'Modelos normativos'!S235+F235</f>
        <v>#REF!</v>
      </c>
      <c r="AW235" s="4" t="e">
        <f aca="false">AV235/'Dataset experimental'!$AF235</f>
        <v>#REF!</v>
      </c>
      <c r="BH235" s="4" t="e">
        <f aca="false">'Modelos Propostos'!B235+R235</f>
        <v>#REF!</v>
      </c>
      <c r="BI235" s="4" t="e">
        <f aca="false">BH235/'Dataset experimental'!$AF235</f>
        <v>#REF!</v>
      </c>
      <c r="BT235" s="4" t="n">
        <f aca="false">'Modelos Propostos'!B235+L235</f>
        <v>0.346639207244656</v>
      </c>
      <c r="BU235" s="4" t="n">
        <f aca="false">BT235/'Dataset experimental'!$AF235</f>
        <v>0.737530228180118</v>
      </c>
    </row>
    <row r="236" customFormat="false" ht="14.25" hidden="false" customHeight="false" outlineLevel="0" collapsed="false">
      <c r="A236" s="4" t="e">
        <f aca="false">0.0894*ABS(D236)-0.01603*E236</f>
        <v>#REF!</v>
      </c>
      <c r="B236" s="12" t="e">
        <f aca="false">'Dataset experimental'!K236*COS('Dataset experimental'!AC236)-'Dataset experimental'!M236-'Dataset experimental'!C236</f>
        <v>#REF!</v>
      </c>
      <c r="C236" s="12" t="e">
        <f aca="false">('Dataset experimental'!AE236+SIN('Avaliação do resultado ML'!B236))*0.70674187</f>
        <v>#REF!</v>
      </c>
      <c r="D236" s="12" t="e">
        <f aca="false">'Modelos Propostos'!E236+'Avaliação do resultado ML'!C236-'Modelos normativos'!AQ236</f>
        <v>#REF!</v>
      </c>
      <c r="E236" s="12" t="n">
        <f aca="false">'Modelos empíricos'!I236+1.1854</f>
        <v>0.462939141933649</v>
      </c>
      <c r="F236" s="4" t="e">
        <f aca="false">-0.01753*('Modelos normativos'!AN236-'Dataset experimental'!C236-ABS(G236)-('Modelos Propostos'!E236-'Modelos normativos'!AP236)/0.25291)</f>
        <v>#REF!</v>
      </c>
      <c r="G236" s="4" t="e">
        <f aca="false">'Dataset experimental'!K236+'Modelos empíricos'!K236^2+('Modelos Propostos'!E236-'Modelos normativos'!AQ236)*4.10553</f>
        <v>#REF!</v>
      </c>
      <c r="H236" s="4" t="e">
        <f aca="false">0.03283*(J236+K236)</f>
        <v>#REF!</v>
      </c>
      <c r="I236" s="4" t="e">
        <f aca="false">(1.61428/'Dataset experimental'!Q236)^3</f>
        <v>#REF!</v>
      </c>
      <c r="J236" s="4" t="e">
        <f aca="false">SIN('Dataset experimental'!E236)+1.450178*(SIN('Avaliação do resultado ML'!I236)+'Dataset experimental'!C236)</f>
        <v>#REF!</v>
      </c>
      <c r="K236" s="4" t="e">
        <f aca="false">('Modelos empíricos'!C236-'Dataset experimental'!G236)*'Dataset experimental'!AE236-'Modelos normativos'!AP236</f>
        <v>#REF!</v>
      </c>
      <c r="L236" s="4" t="n">
        <f aca="false">0.0076*'Dataset experimental'!B236+'Avaliação do resultado ML'!M236+'Avaliação do resultado ML'!N236+(-0.0328)*(0.0171*'Dataset experimental'!AD236-0.9442)*'Avaliação do resultado ML'!O236-'Avaliação do resultado ML'!P236-0.0364</f>
        <v>0.0353447156984357</v>
      </c>
      <c r="M236" s="12" t="n">
        <f aca="false">0.03283*SIN(0.7328*'Dataset experimental'!D236-1.8266)</f>
        <v>0.0119269103214528</v>
      </c>
      <c r="N236" s="12" t="n">
        <f aca="false">0.0476*SIN(4.2067/(0.0095*'Dataset experimental'!P236-1.9338)^3)</f>
        <v>-0.0237143865224017</v>
      </c>
      <c r="O236" s="12" t="n">
        <f aca="false">0.0214*'Dataset experimental'!F236-3.1067*'Dataset experimental'!B236*'Dataset experimental'!P236*('Dataset experimental'!T236-'Dataset experimental'!R236)*(0.39*'Dataset experimental'!P236*'Dataset experimental'!T236/'Dataset experimental'!V236-'Dataset experimental'!Z236+3.12)/(100000*'Dataset experimental'!V236)+0.7995</f>
        <v>0.0594671694339689</v>
      </c>
      <c r="P236" s="12" t="n">
        <f aca="false">0.4461*('Dataset experimental'!Z236-0.6*'Modelos normativos'!AB236)*(3.4*'Dataset experimental'!L236+0.17*'Dataset experimental'!B236/'Modelos normativos'!AC236)/200000</f>
        <v>0.0686984964744451</v>
      </c>
      <c r="Q236" s="4" t="e">
        <f aca="false">L236/H236</f>
        <v>#REF!</v>
      </c>
      <c r="R236" s="4" t="e">
        <f aca="false">(-0.042-0.014*'Com TS variável MC2020'!Q245)*('Modelos normativos'!AP236-ABS('Modelos Propostos'!K236)-'Dataset experimental'!W236+COS(S236))</f>
        <v>#REF!</v>
      </c>
      <c r="S236" s="4" t="e">
        <f aca="false">'Dataset experimental'!O236-('Modelos normativos'!AQ236-SIN(0.083/('Dataset experimental'!M236-'Dataset experimental'!O236))-'Modelos empíricos'!I236)/0.646</f>
        <v>#REF!</v>
      </c>
      <c r="W236" s="4" t="e">
        <f aca="false">'Modelos normativos'!S236+'Avaliação do resultado ML'!A236</f>
        <v>#REF!</v>
      </c>
      <c r="X236" s="4" t="e">
        <f aca="false">W236/'Dataset experimental'!$AF236</f>
        <v>#REF!</v>
      </c>
      <c r="AJ236" s="4" t="e">
        <f aca="false">'Modelos Propostos'!B236+H236</f>
        <v>#REF!</v>
      </c>
      <c r="AK236" s="4" t="e">
        <f aca="false">AJ236/'Dataset experimental'!$AF236</f>
        <v>#REF!</v>
      </c>
      <c r="AV236" s="4" t="e">
        <f aca="false">'Modelos normativos'!S236+F236</f>
        <v>#REF!</v>
      </c>
      <c r="AW236" s="4" t="e">
        <f aca="false">AV236/'Dataset experimental'!$AF236</f>
        <v>#REF!</v>
      </c>
      <c r="BH236" s="4" t="e">
        <f aca="false">'Modelos Propostos'!B236+R236</f>
        <v>#REF!</v>
      </c>
      <c r="BI236" s="4" t="e">
        <f aca="false">BH236/'Dataset experimental'!$AF236</f>
        <v>#REF!</v>
      </c>
      <c r="BT236" s="4" t="n">
        <f aca="false">'Modelos Propostos'!B236+L236</f>
        <v>0.216692801621258</v>
      </c>
      <c r="BU236" s="4" t="n">
        <f aca="false">BT236/'Dataset experimental'!$AF236</f>
        <v>1.35433001013286</v>
      </c>
    </row>
    <row r="237" customFormat="false" ht="14.25" hidden="false" customHeight="false" outlineLevel="0" collapsed="false">
      <c r="A237" s="4" t="e">
        <f aca="false">0.0894*ABS(D237)-0.01603*E237</f>
        <v>#REF!</v>
      </c>
      <c r="B237" s="12" t="e">
        <f aca="false">'Dataset experimental'!K237*COS('Dataset experimental'!AC237)-'Dataset experimental'!M237-'Dataset experimental'!C237</f>
        <v>#REF!</v>
      </c>
      <c r="C237" s="12" t="e">
        <f aca="false">('Dataset experimental'!AE237+SIN('Avaliação do resultado ML'!B237))*0.70674187</f>
        <v>#REF!</v>
      </c>
      <c r="D237" s="12" t="e">
        <f aca="false">'Modelos Propostos'!E237+'Avaliação do resultado ML'!C237-'Modelos normativos'!AQ237</f>
        <v>#REF!</v>
      </c>
      <c r="E237" s="12" t="n">
        <f aca="false">'Modelos empíricos'!I237+1.1854</f>
        <v>0.589936931612098</v>
      </c>
      <c r="F237" s="4" t="e">
        <f aca="false">-0.01753*('Modelos normativos'!AN237-'Dataset experimental'!C237-ABS(G237)-('Modelos Propostos'!E237-'Modelos normativos'!AP237)/0.25291)</f>
        <v>#REF!</v>
      </c>
      <c r="G237" s="4" t="e">
        <f aca="false">'Dataset experimental'!K237+'Modelos empíricos'!K237^2+('Modelos Propostos'!E237-'Modelos normativos'!AQ237)*4.10553</f>
        <v>#REF!</v>
      </c>
      <c r="H237" s="4" t="e">
        <f aca="false">0.03283*(J237+K237)</f>
        <v>#REF!</v>
      </c>
      <c r="I237" s="4" t="e">
        <f aca="false">(1.61428/'Dataset experimental'!Q237)^3</f>
        <v>#REF!</v>
      </c>
      <c r="J237" s="4" t="e">
        <f aca="false">SIN('Dataset experimental'!E237)+1.450178*(SIN('Avaliação do resultado ML'!I237)+'Dataset experimental'!C237)</f>
        <v>#REF!</v>
      </c>
      <c r="K237" s="4" t="e">
        <f aca="false">('Modelos empíricos'!C237-'Dataset experimental'!G237)*'Dataset experimental'!AE237-'Modelos normativos'!AP237</f>
        <v>#REF!</v>
      </c>
      <c r="L237" s="4" t="n">
        <f aca="false">0.0076*'Dataset experimental'!B237+'Avaliação do resultado ML'!M237+'Avaliação do resultado ML'!N237+(-0.0328)*(0.0171*'Dataset experimental'!AD237-0.9442)*'Avaliação do resultado ML'!O237-'Avaliação do resultado ML'!P237-0.0364</f>
        <v>0.0315735168672991</v>
      </c>
      <c r="M237" s="12" t="n">
        <f aca="false">0.03283*SIN(0.7328*'Dataset experimental'!D237-1.8266)</f>
        <v>0.0119269103214528</v>
      </c>
      <c r="N237" s="12" t="n">
        <f aca="false">0.0476*SIN(4.2067/(0.0095*'Dataset experimental'!P237-1.9338)^3)</f>
        <v>-0.0237143865224017</v>
      </c>
      <c r="O237" s="12" t="n">
        <f aca="false">0.0214*'Dataset experimental'!F237-3.1067*'Dataset experimental'!B237*'Dataset experimental'!P237*('Dataset experimental'!T237-'Dataset experimental'!R237)*(0.39*'Dataset experimental'!P237*'Dataset experimental'!T237/'Dataset experimental'!V237-'Dataset experimental'!Z237+3.12)/(100000*'Dataset experimental'!V237)+0.7995</f>
        <v>0.00943634358568379</v>
      </c>
      <c r="P237" s="12" t="n">
        <f aca="false">0.4461*('Dataset experimental'!Z237-0.6*'Modelos normativos'!AB237)*(3.4*'Dataset experimental'!L237+0.17*'Dataset experimental'!B237/'Modelos normativos'!AC237)/200000</f>
        <v>0.072263439814527</v>
      </c>
      <c r="Q237" s="4" t="e">
        <f aca="false">L237/H237</f>
        <v>#REF!</v>
      </c>
      <c r="R237" s="4" t="e">
        <f aca="false">(-0.042-0.014*'Com TS variável MC2020'!Q246)*('Modelos normativos'!AP237-ABS('Modelos Propostos'!K237)-'Dataset experimental'!W237+COS(S237))</f>
        <v>#REF!</v>
      </c>
      <c r="S237" s="4" t="e">
        <f aca="false">'Dataset experimental'!O237-('Modelos normativos'!AQ237-SIN(0.083/('Dataset experimental'!M237-'Dataset experimental'!O237))-'Modelos empíricos'!I237)/0.646</f>
        <v>#REF!</v>
      </c>
      <c r="W237" s="4" t="e">
        <f aca="false">'Modelos normativos'!S237+'Avaliação do resultado ML'!A237</f>
        <v>#REF!</v>
      </c>
      <c r="X237" s="4" t="e">
        <f aca="false">W237/'Dataset experimental'!$AF237</f>
        <v>#REF!</v>
      </c>
      <c r="AJ237" s="4" t="e">
        <f aca="false">'Modelos Propostos'!B237+H237</f>
        <v>#REF!</v>
      </c>
      <c r="AK237" s="4" t="e">
        <f aca="false">AJ237/'Dataset experimental'!$AF237</f>
        <v>#REF!</v>
      </c>
      <c r="AV237" s="4" t="e">
        <f aca="false">'Modelos normativos'!S237+F237</f>
        <v>#REF!</v>
      </c>
      <c r="AW237" s="4" t="e">
        <f aca="false">AV237/'Dataset experimental'!$AF237</f>
        <v>#REF!</v>
      </c>
      <c r="BH237" s="4" t="e">
        <f aca="false">'Modelos Propostos'!B237+R237</f>
        <v>#REF!</v>
      </c>
      <c r="BI237" s="4" t="e">
        <f aca="false">BH237/'Dataset experimental'!$AF237</f>
        <v>#REF!</v>
      </c>
      <c r="BT237" s="4" t="n">
        <f aca="false">'Modelos Propostos'!B237+L237</f>
        <v>0.223980950598954</v>
      </c>
      <c r="BU237" s="4" t="n">
        <f aca="false">BT237/'Dataset experimental'!$AF237</f>
        <v>1.24433861443864</v>
      </c>
    </row>
    <row r="238" customFormat="false" ht="14.25" hidden="false" customHeight="false" outlineLevel="0" collapsed="false">
      <c r="A238" s="4" t="e">
        <f aca="false">0.0894*ABS(D238)-0.01603*E238</f>
        <v>#REF!</v>
      </c>
      <c r="B238" s="12" t="e">
        <f aca="false">'Dataset experimental'!K238*COS('Dataset experimental'!AC238)-'Dataset experimental'!M238-'Dataset experimental'!C238</f>
        <v>#REF!</v>
      </c>
      <c r="C238" s="12" t="e">
        <f aca="false">('Dataset experimental'!AE238+SIN('Avaliação do resultado ML'!B238))*0.70674187</f>
        <v>#REF!</v>
      </c>
      <c r="D238" s="12" t="e">
        <f aca="false">'Modelos Propostos'!E238+'Avaliação do resultado ML'!C238-'Modelos normativos'!AQ238</f>
        <v>#REF!</v>
      </c>
      <c r="E238" s="12" t="n">
        <f aca="false">'Modelos empíricos'!I238+1.1854</f>
        <v>0.907431405808226</v>
      </c>
      <c r="F238" s="4" t="e">
        <f aca="false">-0.01753*('Modelos normativos'!AN238-'Dataset experimental'!C238-ABS(G238)-('Modelos Propostos'!E238-'Modelos normativos'!AP238)/0.25291)</f>
        <v>#REF!</v>
      </c>
      <c r="G238" s="4" t="e">
        <f aca="false">'Dataset experimental'!K238+'Modelos empíricos'!K238^2+('Modelos Propostos'!E238-'Modelos normativos'!AQ238)*4.10553</f>
        <v>#REF!</v>
      </c>
      <c r="H238" s="4" t="e">
        <f aca="false">0.03283*(J238+K238)</f>
        <v>#REF!</v>
      </c>
      <c r="I238" s="4" t="e">
        <f aca="false">(1.61428/'Dataset experimental'!Q238)^3</f>
        <v>#REF!</v>
      </c>
      <c r="J238" s="4" t="e">
        <f aca="false">SIN('Dataset experimental'!E238)+1.450178*(SIN('Avaliação do resultado ML'!I238)+'Dataset experimental'!C238)</f>
        <v>#REF!</v>
      </c>
      <c r="K238" s="4" t="e">
        <f aca="false">('Modelos empíricos'!C238-'Dataset experimental'!G238)*'Dataset experimental'!AE238-'Modelos normativos'!AP238</f>
        <v>#REF!</v>
      </c>
      <c r="L238" s="4" t="n">
        <f aca="false">0.0076*'Dataset experimental'!B238+'Avaliação do resultado ML'!M238+'Avaliação do resultado ML'!N238+(-0.0328)*(0.0171*'Dataset experimental'!AD238-0.9442)*'Avaliação do resultado ML'!O238-'Avaliação do resultado ML'!P238-0.0364</f>
        <v>0.0227102532426935</v>
      </c>
      <c r="M238" s="12" t="n">
        <f aca="false">0.03283*SIN(0.7328*'Dataset experimental'!D238-1.8266)</f>
        <v>0.0119269103214528</v>
      </c>
      <c r="N238" s="12" t="n">
        <f aca="false">0.0476*SIN(4.2067/(0.0095*'Dataset experimental'!P238-1.9338)^3)</f>
        <v>-0.0237143865224017</v>
      </c>
      <c r="O238" s="12" t="n">
        <f aca="false">0.0214*'Dataset experimental'!F238-3.1067*'Dataset experimental'!B238*'Dataset experimental'!P238*('Dataset experimental'!T238-'Dataset experimental'!R238)*(0.39*'Dataset experimental'!P238*'Dataset experimental'!T238/'Dataset experimental'!V238-'Dataset experimental'!Z238+3.12)/(100000*'Dataset experimental'!V238)+0.7995</f>
        <v>-0.11564072103503</v>
      </c>
      <c r="P238" s="12" t="n">
        <f aca="false">0.4461*('Dataset experimental'!Z238-0.6*'Modelos normativos'!AB238)*(3.4*'Dataset experimental'!L238+0.17*'Dataset experimental'!B238/'Modelos normativos'!AC238)/200000</f>
        <v>0.0811757981647318</v>
      </c>
      <c r="Q238" s="4" t="e">
        <f aca="false">L238/H238</f>
        <v>#REF!</v>
      </c>
      <c r="R238" s="4" t="e">
        <f aca="false">(-0.042-0.014*'Com TS variável MC2020'!Q247)*('Modelos normativos'!AP238-ABS('Modelos Propostos'!K238)-'Dataset experimental'!W238+COS(S238))</f>
        <v>#REF!</v>
      </c>
      <c r="S238" s="4" t="e">
        <f aca="false">'Dataset experimental'!O238-('Modelos normativos'!AQ238-SIN(0.083/('Dataset experimental'!M238-'Dataset experimental'!O238))-'Modelos empíricos'!I238)/0.646</f>
        <v>#REF!</v>
      </c>
      <c r="W238" s="4" t="e">
        <f aca="false">'Modelos normativos'!S238+'Avaliação do resultado ML'!A238</f>
        <v>#REF!</v>
      </c>
      <c r="X238" s="4" t="e">
        <f aca="false">W238/'Dataset experimental'!$AF238</f>
        <v>#REF!</v>
      </c>
      <c r="AJ238" s="4" t="e">
        <f aca="false">'Modelos Propostos'!B238+H238</f>
        <v>#REF!</v>
      </c>
      <c r="AK238" s="4" t="e">
        <f aca="false">AJ238/'Dataset experimental'!$AF238</f>
        <v>#REF!</v>
      </c>
      <c r="AV238" s="4" t="e">
        <f aca="false">'Modelos normativos'!S238+F238</f>
        <v>#REF!</v>
      </c>
      <c r="AW238" s="4" t="e">
        <f aca="false">AV238/'Dataset experimental'!$AF238</f>
        <v>#REF!</v>
      </c>
      <c r="BH238" s="4" t="e">
        <f aca="false">'Modelos Propostos'!B238+R238</f>
        <v>#REF!</v>
      </c>
      <c r="BI238" s="4" t="e">
        <f aca="false">BH238/'Dataset experimental'!$AF238</f>
        <v>#REF!</v>
      </c>
      <c r="BT238" s="4" t="n">
        <f aca="false">'Modelos Propostos'!B238+L238</f>
        <v>0.242766056496433</v>
      </c>
      <c r="BU238" s="4" t="n">
        <f aca="false">BT238/'Dataset experimental'!$AF238</f>
        <v>1.34870031386907</v>
      </c>
    </row>
    <row r="239" customFormat="false" ht="14.25" hidden="false" customHeight="false" outlineLevel="0" collapsed="false">
      <c r="A239" s="4" t="e">
        <f aca="false">0.0894*ABS(D239)-0.01603*E239</f>
        <v>#REF!</v>
      </c>
      <c r="B239" s="12" t="e">
        <f aca="false">'Dataset experimental'!K239*COS('Dataset experimental'!AC239)-'Dataset experimental'!M239-'Dataset experimental'!C239</f>
        <v>#REF!</v>
      </c>
      <c r="C239" s="12" t="e">
        <f aca="false">('Dataset experimental'!AE239+SIN('Avaliação do resultado ML'!B239))*0.70674187</f>
        <v>#REF!</v>
      </c>
      <c r="D239" s="12" t="e">
        <f aca="false">'Modelos Propostos'!E239+'Avaliação do resultado ML'!C239-'Modelos normativos'!AQ239</f>
        <v>#REF!</v>
      </c>
      <c r="E239" s="12" t="n">
        <f aca="false">'Modelos empíricos'!I239+1.1854</f>
        <v>1.25667532742397</v>
      </c>
      <c r="F239" s="4" t="e">
        <f aca="false">-0.01753*('Modelos normativos'!AN239-'Dataset experimental'!C239-ABS(G239)-('Modelos Propostos'!E239-'Modelos normativos'!AP239)/0.25291)</f>
        <v>#REF!</v>
      </c>
      <c r="G239" s="4" t="e">
        <f aca="false">'Dataset experimental'!K239+'Modelos empíricos'!K239^2+('Modelos Propostos'!E239-'Modelos normativos'!AQ239)*4.10553</f>
        <v>#REF!</v>
      </c>
      <c r="H239" s="4" t="e">
        <f aca="false">0.03283*(J239+K239)</f>
        <v>#REF!</v>
      </c>
      <c r="I239" s="4" t="e">
        <f aca="false">(1.61428/'Dataset experimental'!Q239)^3</f>
        <v>#REF!</v>
      </c>
      <c r="J239" s="4" t="e">
        <f aca="false">SIN('Dataset experimental'!E239)+1.450178*(SIN('Avaliação do resultado ML'!I239)+'Dataset experimental'!C239)</f>
        <v>#REF!</v>
      </c>
      <c r="K239" s="4" t="e">
        <f aca="false">('Modelos empíricos'!C239-'Dataset experimental'!G239)*'Dataset experimental'!AE239-'Modelos normativos'!AP239</f>
        <v>#REF!</v>
      </c>
      <c r="L239" s="4" t="n">
        <f aca="false">0.0076*'Dataset experimental'!B239+'Avaliação do resultado ML'!M239+'Avaliação do resultado ML'!N239+(-0.0328)*(0.0171*'Dataset experimental'!AD239-0.9442)*'Avaliação do resultado ML'!O239-'Avaliação do resultado ML'!P239-0.0364</f>
        <v>0.0138924734534666</v>
      </c>
      <c r="M239" s="12" t="n">
        <f aca="false">0.03283*SIN(0.7328*'Dataset experimental'!D239-1.8266)</f>
        <v>0.0119269103214528</v>
      </c>
      <c r="N239" s="12" t="n">
        <f aca="false">0.0476*SIN(4.2067/(0.0095*'Dataset experimental'!P239-1.9338)^3)</f>
        <v>-0.0237143865224017</v>
      </c>
      <c r="O239" s="12" t="n">
        <f aca="false">0.0214*'Dataset experimental'!F239-3.1067*'Dataset experimental'!B239*'Dataset experimental'!P239*('Dataset experimental'!T239-'Dataset experimental'!R239)*(0.39*'Dataset experimental'!P239*'Dataset experimental'!T239/'Dataset experimental'!V239-'Dataset experimental'!Z239+3.12)/(100000*'Dataset experimental'!V239)+0.7995</f>
        <v>-0.253225492117815</v>
      </c>
      <c r="P239" s="12" t="n">
        <f aca="false">0.4461*('Dataset experimental'!Z239-0.6*'Modelos normativos'!AB239)*(3.4*'Dataset experimental'!L239+0.17*'Dataset experimental'!B239/'Modelos normativos'!AC239)/200000</f>
        <v>0.0909793923499571</v>
      </c>
      <c r="Q239" s="4" t="e">
        <f aca="false">L239/H239</f>
        <v>#REF!</v>
      </c>
      <c r="R239" s="4" t="e">
        <f aca="false">(-0.042-0.014*'Com TS variável MC2020'!Q248)*('Modelos normativos'!AP239-ABS('Modelos Propostos'!K239)-'Dataset experimental'!W239+COS(S239))</f>
        <v>#REF!</v>
      </c>
      <c r="S239" s="4" t="e">
        <f aca="false">'Dataset experimental'!O239-('Modelos normativos'!AQ239-SIN(0.083/('Dataset experimental'!M239-'Dataset experimental'!O239))-'Modelos empíricos'!I239)/0.646</f>
        <v>#REF!</v>
      </c>
      <c r="W239" s="4" t="e">
        <f aca="false">'Modelos normativos'!S239+'Avaliação do resultado ML'!A239</f>
        <v>#REF!</v>
      </c>
      <c r="X239" s="4" t="e">
        <f aca="false">W239/'Dataset experimental'!$AF239</f>
        <v>#REF!</v>
      </c>
      <c r="AJ239" s="4" t="e">
        <f aca="false">'Modelos Propostos'!B239+H239</f>
        <v>#REF!</v>
      </c>
      <c r="AK239" s="4" t="e">
        <f aca="false">AJ239/'Dataset experimental'!$AF239</f>
        <v>#REF!</v>
      </c>
      <c r="AV239" s="4" t="e">
        <f aca="false">'Modelos normativos'!S239+F239</f>
        <v>#REF!</v>
      </c>
      <c r="AW239" s="4" t="e">
        <f aca="false">AV239/'Dataset experimental'!$AF239</f>
        <v>#REF!</v>
      </c>
      <c r="BH239" s="4" t="e">
        <f aca="false">'Modelos Propostos'!B239+R239</f>
        <v>#REF!</v>
      </c>
      <c r="BI239" s="4" t="e">
        <f aca="false">BH239/'Dataset experimental'!$AF239</f>
        <v>#REF!</v>
      </c>
      <c r="BT239" s="4" t="n">
        <f aca="false">'Modelos Propostos'!B239+L239</f>
        <v>0.264361483181498</v>
      </c>
      <c r="BU239" s="4" t="n">
        <f aca="false">BT239/'Dataset experimental'!$AF239</f>
        <v>1.32180741590749</v>
      </c>
    </row>
    <row r="240" customFormat="false" ht="14.25" hidden="false" customHeight="false" outlineLevel="0" collapsed="false">
      <c r="A240" s="4" t="e">
        <f aca="false">0.0894*ABS(D240)-0.01603*E240</f>
        <v>#REF!</v>
      </c>
      <c r="B240" s="12" t="e">
        <f aca="false">'Dataset experimental'!K240*COS('Dataset experimental'!AC240)-'Dataset experimental'!M240-'Dataset experimental'!C240</f>
        <v>#REF!</v>
      </c>
      <c r="C240" s="12" t="e">
        <f aca="false">('Dataset experimental'!AE240+SIN('Avaliação do resultado ML'!B240))*0.70674187</f>
        <v>#REF!</v>
      </c>
      <c r="D240" s="12" t="e">
        <f aca="false">'Modelos Propostos'!E240+'Avaliação do resultado ML'!C240-'Modelos normativos'!AQ240</f>
        <v>#REF!</v>
      </c>
      <c r="E240" s="12" t="n">
        <f aca="false">'Modelos empíricos'!I240+1.1854</f>
        <v>1.57416980162009</v>
      </c>
      <c r="F240" s="4" t="e">
        <f aca="false">-0.01753*('Modelos normativos'!AN240-'Dataset experimental'!C240-ABS(G240)-('Modelos Propostos'!E240-'Modelos normativos'!AP240)/0.25291)</f>
        <v>#REF!</v>
      </c>
      <c r="G240" s="4" t="e">
        <f aca="false">'Dataset experimental'!K240+'Modelos empíricos'!K240^2+('Modelos Propostos'!E240-'Modelos normativos'!AQ240)*4.10553</f>
        <v>#REF!</v>
      </c>
      <c r="H240" s="4" t="e">
        <f aca="false">0.03283*(J240+K240)</f>
        <v>#REF!</v>
      </c>
      <c r="I240" s="4" t="e">
        <f aca="false">(1.61428/'Dataset experimental'!Q240)^3</f>
        <v>#REF!</v>
      </c>
      <c r="J240" s="4" t="e">
        <f aca="false">SIN('Dataset experimental'!E240)+1.450178*(SIN('Avaliação do resultado ML'!I240)+'Dataset experimental'!C240)</f>
        <v>#REF!</v>
      </c>
      <c r="K240" s="4" t="e">
        <f aca="false">('Modelos empíricos'!C240-'Dataset experimental'!G240)*'Dataset experimental'!AE240-'Modelos normativos'!AP240</f>
        <v>#REF!</v>
      </c>
      <c r="L240" s="4" t="n">
        <f aca="false">0.0076*'Dataset experimental'!B240+'Avaliação do resultado ML'!M240+'Avaliação do resultado ML'!N240+(-0.0328)*(0.0171*'Dataset experimental'!AD240-0.9442)*'Avaliação do resultado ML'!O240-'Avaliação do resultado ML'!P240-0.0364</f>
        <v>0.00672341018856895</v>
      </c>
      <c r="M240" s="12" t="n">
        <f aca="false">0.03283*SIN(0.7328*'Dataset experimental'!D240-1.8266)</f>
        <v>0.0119269103214528</v>
      </c>
      <c r="N240" s="12" t="n">
        <f aca="false">0.0476*SIN(4.2067/(0.0095*'Dataset experimental'!P240-1.9338)^3)</f>
        <v>-0.0237143865224017</v>
      </c>
      <c r="O240" s="12" t="n">
        <f aca="false">0.0214*'Dataset experimental'!F240-3.1067*'Dataset experimental'!B240*'Dataset experimental'!P240*('Dataset experimental'!T240-'Dataset experimental'!R240)*(0.39*'Dataset experimental'!P240*'Dataset experimental'!T240/'Dataset experimental'!V240-'Dataset experimental'!Z240+3.12)/(100000*'Dataset experimental'!V240)+0.7995</f>
        <v>-0.378302556738528</v>
      </c>
      <c r="P240" s="12" t="n">
        <f aca="false">0.4461*('Dataset experimental'!Z240-0.6*'Modelos normativos'!AB240)*(3.4*'Dataset experimental'!L240+0.17*'Dataset experimental'!B240/'Modelos normativos'!AC240)/200000</f>
        <v>0.0998917507001619</v>
      </c>
      <c r="Q240" s="4" t="e">
        <f aca="false">L240/H240</f>
        <v>#REF!</v>
      </c>
      <c r="R240" s="4" t="e">
        <f aca="false">(-0.042-0.014*'Com TS variável MC2020'!Q249)*('Modelos normativos'!AP240-ABS('Modelos Propostos'!K240)-'Dataset experimental'!W240+COS(S240))</f>
        <v>#REF!</v>
      </c>
      <c r="S240" s="4" t="e">
        <f aca="false">'Dataset experimental'!O240-('Modelos normativos'!AQ240-SIN(0.083/('Dataset experimental'!M240-'Dataset experimental'!O240))-'Modelos empíricos'!I240)/0.646</f>
        <v>#REF!</v>
      </c>
      <c r="W240" s="4" t="e">
        <f aca="false">'Modelos normativos'!S240+'Avaliação do resultado ML'!A240</f>
        <v>#REF!</v>
      </c>
      <c r="X240" s="4" t="e">
        <f aca="false">W240/'Dataset experimental'!$AF240</f>
        <v>#REF!</v>
      </c>
      <c r="AJ240" s="4" t="e">
        <f aca="false">'Modelos Propostos'!B240+H240</f>
        <v>#REF!</v>
      </c>
      <c r="AK240" s="4" t="e">
        <f aca="false">AJ240/'Dataset experimental'!$AF240</f>
        <v>#REF!</v>
      </c>
      <c r="AV240" s="4" t="e">
        <f aca="false">'Modelos normativos'!S240+F240</f>
        <v>#REF!</v>
      </c>
      <c r="AW240" s="4" t="e">
        <f aca="false">AV240/'Dataset experimental'!$AF240</f>
        <v>#REF!</v>
      </c>
      <c r="BH240" s="4" t="e">
        <f aca="false">'Modelos Propostos'!B240+R240</f>
        <v>#REF!</v>
      </c>
      <c r="BI240" s="4" t="e">
        <f aca="false">BH240/'Dataset experimental'!$AF240</f>
        <v>#REF!</v>
      </c>
      <c r="BT240" s="4" t="n">
        <f aca="false">'Modelos Propostos'!B240+L240</f>
        <v>0.284840789438684</v>
      </c>
      <c r="BU240" s="4" t="n">
        <f aca="false">BT240/'Dataset experimental'!$AF240</f>
        <v>1.42420394719342</v>
      </c>
    </row>
    <row r="241" customFormat="false" ht="14.25" hidden="false" customHeight="false" outlineLevel="0" collapsed="false">
      <c r="A241" s="4" t="e">
        <f aca="false">0.0894*ABS(D241)-0.01603*E241</f>
        <v>#REF!</v>
      </c>
      <c r="B241" s="12" t="e">
        <f aca="false">'Dataset experimental'!K241*COS('Dataset experimental'!AC241)-'Dataset experimental'!M241-'Dataset experimental'!C241</f>
        <v>#REF!</v>
      </c>
      <c r="C241" s="12" t="e">
        <f aca="false">('Dataset experimental'!AE241+SIN('Avaliação do resultado ML'!B241))*0.70674187</f>
        <v>#REF!</v>
      </c>
      <c r="D241" s="12" t="e">
        <f aca="false">'Modelos Propostos'!E241+'Avaliação do resultado ML'!C241-'Modelos normativos'!AQ241</f>
        <v>#REF!</v>
      </c>
      <c r="E241" s="12" t="n">
        <f aca="false">'Modelos empíricos'!I241+1.1854</f>
        <v>1.85991482839661</v>
      </c>
      <c r="F241" s="4" t="e">
        <f aca="false">-0.01753*('Modelos normativos'!AN241-'Dataset experimental'!C241-ABS(G241)-('Modelos Propostos'!E241-'Modelos normativos'!AP241)/0.25291)</f>
        <v>#REF!</v>
      </c>
      <c r="G241" s="4" t="e">
        <f aca="false">'Dataset experimental'!K241+'Modelos empíricos'!K241^2+('Modelos Propostos'!E241-'Modelos normativos'!AQ241)*4.10553</f>
        <v>#REF!</v>
      </c>
      <c r="H241" s="4" t="e">
        <f aca="false">0.03283*(J241+K241)</f>
        <v>#REF!</v>
      </c>
      <c r="I241" s="4" t="e">
        <f aca="false">(1.61428/'Dataset experimental'!Q241)^3</f>
        <v>#REF!</v>
      </c>
      <c r="J241" s="4" t="e">
        <f aca="false">SIN('Dataset experimental'!E241)+1.450178*(SIN('Avaliação do resultado ML'!I241)+'Dataset experimental'!C241)</f>
        <v>#REF!</v>
      </c>
      <c r="K241" s="4" t="e">
        <f aca="false">('Modelos empíricos'!C241-'Dataset experimental'!G241)*'Dataset experimental'!AE241-'Modelos normativos'!AP241</f>
        <v>#REF!</v>
      </c>
      <c r="L241" s="4" t="n">
        <f aca="false">0.0076*'Dataset experimental'!B241+'Avaliação do resultado ML'!M241+'Avaliação do resultado ML'!N241+(-0.0328)*(0.0171*'Dataset experimental'!AD241-0.9442)*'Avaliação do resultado ML'!O241-'Avaliação do resultado ML'!P241-0.0364</f>
        <v>0.000961034825184892</v>
      </c>
      <c r="M241" s="12" t="n">
        <f aca="false">0.03283*SIN(0.7328*'Dataset experimental'!D241-1.8266)</f>
        <v>0.0119269103214528</v>
      </c>
      <c r="N241" s="12" t="n">
        <f aca="false">0.0476*SIN(4.2067/(0.0095*'Dataset experimental'!P241-1.9338)^3)</f>
        <v>-0.0237143865224017</v>
      </c>
      <c r="O241" s="12" t="n">
        <f aca="false">0.0214*'Dataset experimental'!F241-3.1067*'Dataset experimental'!B241*'Dataset experimental'!P241*('Dataset experimental'!T241-'Dataset experimental'!R241)*(0.39*'Dataset experimental'!P241*'Dataset experimental'!T241/'Dataset experimental'!V241-'Dataset experimental'!Z241+3.12)/(100000*'Dataset experimental'!V241)+0.7995</f>
        <v>-0.49087191489717</v>
      </c>
      <c r="P241" s="12" t="n">
        <f aca="false">0.4461*('Dataset experimental'!Z241-0.6*'Modelos normativos'!AB241)*(3.4*'Dataset experimental'!L241+0.17*'Dataset experimental'!B241/'Modelos normativos'!AC241)/200000</f>
        <v>0.107912873215346</v>
      </c>
      <c r="Q241" s="4" t="e">
        <f aca="false">L241/H241</f>
        <v>#REF!</v>
      </c>
      <c r="R241" s="4" t="e">
        <f aca="false">(-0.042-0.014*'Com TS variável MC2020'!Q250)*('Modelos normativos'!AP241-ABS('Modelos Propostos'!K241)-'Dataset experimental'!W241+COS(S241))</f>
        <v>#REF!</v>
      </c>
      <c r="S241" s="4" t="e">
        <f aca="false">'Dataset experimental'!O241-('Modelos normativos'!AQ241-SIN(0.083/('Dataset experimental'!M241-'Dataset experimental'!O241))-'Modelos empíricos'!I241)/0.646</f>
        <v>#REF!</v>
      </c>
      <c r="W241" s="4" t="e">
        <f aca="false">'Modelos normativos'!S241+'Avaliação do resultado ML'!A241</f>
        <v>#REF!</v>
      </c>
      <c r="X241" s="4" t="e">
        <f aca="false">W241/'Dataset experimental'!$AF241</f>
        <v>#REF!</v>
      </c>
      <c r="AJ241" s="4" t="e">
        <f aca="false">'Modelos Propostos'!B241+H241</f>
        <v>#REF!</v>
      </c>
      <c r="AK241" s="4" t="e">
        <f aca="false">AJ241/'Dataset experimental'!$AF241</f>
        <v>#REF!</v>
      </c>
      <c r="AV241" s="4" t="e">
        <f aca="false">'Modelos normativos'!S241+F241</f>
        <v>#REF!</v>
      </c>
      <c r="AW241" s="4" t="e">
        <f aca="false">AV241/'Dataset experimental'!$AF241</f>
        <v>#REF!</v>
      </c>
      <c r="BH241" s="4" t="e">
        <f aca="false">'Modelos Propostos'!B241+R241</f>
        <v>#REF!</v>
      </c>
      <c r="BI241" s="4" t="e">
        <f aca="false">BH241/'Dataset experimental'!$AF241</f>
        <v>#REF!</v>
      </c>
      <c r="BT241" s="4" t="n">
        <f aca="false">'Modelos Propostos'!B241+L241</f>
        <v>0.303961946645176</v>
      </c>
      <c r="BU241" s="4" t="n">
        <f aca="false">BT241/'Dataset experimental'!$AF241</f>
        <v>1.51980973322588</v>
      </c>
    </row>
    <row r="242" customFormat="false" ht="14.25" hidden="false" customHeight="false" outlineLevel="0" collapsed="false">
      <c r="A242" s="4" t="e">
        <f aca="false">0.0894*ABS(D242)-0.01603*E242</f>
        <v>#REF!</v>
      </c>
      <c r="B242" s="12" t="e">
        <f aca="false">'Dataset experimental'!K242*COS('Dataset experimental'!AC242)-'Dataset experimental'!M242-'Dataset experimental'!C242</f>
        <v>#REF!</v>
      </c>
      <c r="C242" s="12" t="e">
        <f aca="false">('Dataset experimental'!AE242+SIN('Avaliação do resultado ML'!B242))*0.70674187</f>
        <v>#REF!</v>
      </c>
      <c r="D242" s="12" t="e">
        <f aca="false">'Modelos Propostos'!E242+'Avaliação do resultado ML'!C242-'Modelos normativos'!AQ242</f>
        <v>#REF!</v>
      </c>
      <c r="E242" s="12" t="n">
        <f aca="false">'Modelos empíricos'!I242+1.1854</f>
        <v>2.20915875001235</v>
      </c>
      <c r="F242" s="4" t="e">
        <f aca="false">-0.01753*('Modelos normativos'!AN242-'Dataset experimental'!C242-ABS(G242)-('Modelos Propostos'!E242-'Modelos normativos'!AP242)/0.25291)</f>
        <v>#REF!</v>
      </c>
      <c r="G242" s="4" t="e">
        <f aca="false">'Dataset experimental'!K242+'Modelos empíricos'!K242^2+('Modelos Propostos'!E242-'Modelos normativos'!AQ242)*4.10553</f>
        <v>#REF!</v>
      </c>
      <c r="H242" s="4" t="e">
        <f aca="false">0.03283*(J242+K242)</f>
        <v>#REF!</v>
      </c>
      <c r="I242" s="4" t="e">
        <f aca="false">(1.61428/'Dataset experimental'!Q242)^3</f>
        <v>#REF!</v>
      </c>
      <c r="J242" s="4" t="e">
        <f aca="false">SIN('Dataset experimental'!E242)+1.450178*(SIN('Avaliação do resultado ML'!I242)+'Dataset experimental'!C242)</f>
        <v>#REF!</v>
      </c>
      <c r="K242" s="4" t="e">
        <f aca="false">('Modelos empíricos'!C242-'Dataset experimental'!G242)*'Dataset experimental'!AE242-'Modelos normativos'!AP242</f>
        <v>#REF!</v>
      </c>
      <c r="L242" s="4" t="n">
        <f aca="false">0.0076*'Dataset experimental'!B242+'Avaliação do resultado ML'!M242+'Avaliação do resultado ML'!N242+(-0.0328)*(0.0171*'Dataset experimental'!AD242-0.9442)*'Avaliação do resultado ML'!O242-'Avaliação do resultado ML'!P242-0.0364</f>
        <v>-0.00519443011307243</v>
      </c>
      <c r="M242" s="12" t="n">
        <f aca="false">0.03283*SIN(0.7328*'Dataset experimental'!D242-1.8266)</f>
        <v>0.0119269103214528</v>
      </c>
      <c r="N242" s="12" t="n">
        <f aca="false">0.0476*SIN(4.2067/(0.0095*'Dataset experimental'!P242-1.9338)^3)</f>
        <v>-0.0237143865224017</v>
      </c>
      <c r="O242" s="12" t="n">
        <f aca="false">0.0214*'Dataset experimental'!F242-3.1067*'Dataset experimental'!B242*'Dataset experimental'!P242*('Dataset experimental'!T242-'Dataset experimental'!R242)*(0.39*'Dataset experimental'!P242*'Dataset experimental'!T242/'Dataset experimental'!V242-'Dataset experimental'!Z242+3.12)/(100000*'Dataset experimental'!V242)+0.7995</f>
        <v>-0.628456685979955</v>
      </c>
      <c r="P242" s="12" t="n">
        <f aca="false">0.4461*('Dataset experimental'!Z242-0.6*'Modelos normativos'!AB242)*(3.4*'Dataset experimental'!L242+0.17*'Dataset experimental'!B242/'Modelos normativos'!AC242)/200000</f>
        <v>0.117716467400571</v>
      </c>
      <c r="Q242" s="4" t="e">
        <f aca="false">L242/H242</f>
        <v>#REF!</v>
      </c>
      <c r="R242" s="4" t="e">
        <f aca="false">(-0.042-0.014*'Com TS variável MC2020'!Q251)*('Modelos normativos'!AP242-ABS('Modelos Propostos'!K242)-'Dataset experimental'!W242+COS(S242))</f>
        <v>#REF!</v>
      </c>
      <c r="S242" s="4" t="e">
        <f aca="false">'Dataset experimental'!O242-('Modelos normativos'!AQ242-SIN(0.083/('Dataset experimental'!M242-'Dataset experimental'!O242))-'Modelos empíricos'!I242)/0.646</f>
        <v>#REF!</v>
      </c>
      <c r="W242" s="4" t="e">
        <f aca="false">'Modelos normativos'!S242+'Avaliação do resultado ML'!A242</f>
        <v>#REF!</v>
      </c>
      <c r="X242" s="4" t="e">
        <f aca="false">W242/'Dataset experimental'!$AF242</f>
        <v>#REF!</v>
      </c>
      <c r="AJ242" s="4" t="e">
        <f aca="false">'Modelos Propostos'!B242+H242</f>
        <v>#REF!</v>
      </c>
      <c r="AK242" s="4" t="e">
        <f aca="false">AJ242/'Dataset experimental'!$AF242</f>
        <v>#REF!</v>
      </c>
      <c r="AV242" s="4" t="e">
        <f aca="false">'Modelos normativos'!S242+F242</f>
        <v>#REF!</v>
      </c>
      <c r="AW242" s="4" t="e">
        <f aca="false">AV242/'Dataset experimental'!$AF242</f>
        <v>#REF!</v>
      </c>
      <c r="BH242" s="4" t="e">
        <f aca="false">'Modelos Propostos'!B242+R242</f>
        <v>#REF!</v>
      </c>
      <c r="BI242" s="4" t="e">
        <f aca="false">BH242/'Dataset experimental'!$AF242</f>
        <v>#REF!</v>
      </c>
      <c r="BT242" s="4" t="n">
        <f aca="false">'Modelos Propostos'!B242+L242</f>
        <v>0.325326927660718</v>
      </c>
      <c r="BU242" s="4" t="n">
        <f aca="false">BT242/'Dataset experimental'!$AF242</f>
        <v>1.47875876209417</v>
      </c>
    </row>
    <row r="243" customFormat="false" ht="14.25" hidden="false" customHeight="false" outlineLevel="0" collapsed="false">
      <c r="A243" s="4" t="e">
        <f aca="false">0.0894*ABS(D243)-0.01603*E243</f>
        <v>#REF!</v>
      </c>
      <c r="B243" s="12" t="e">
        <f aca="false">'Dataset experimental'!K243*COS('Dataset experimental'!AC243)-'Dataset experimental'!M243-'Dataset experimental'!C243</f>
        <v>#REF!</v>
      </c>
      <c r="C243" s="12" t="e">
        <f aca="false">('Dataset experimental'!AE243+SIN('Avaliação do resultado ML'!B243))*0.70674187</f>
        <v>#REF!</v>
      </c>
      <c r="D243" s="12" t="e">
        <f aca="false">'Modelos Propostos'!E243+'Avaliação do resultado ML'!C243-'Modelos normativos'!AQ243</f>
        <v>#REF!</v>
      </c>
      <c r="E243" s="12" t="n">
        <f aca="false">'Modelos empíricos'!I243+1.1854</f>
        <v>-0.762205234523699</v>
      </c>
      <c r="F243" s="4" t="e">
        <f aca="false">-0.01753*('Modelos normativos'!AN243-'Dataset experimental'!C243-ABS(G243)-('Modelos Propostos'!E243-'Modelos normativos'!AP243)/0.25291)</f>
        <v>#REF!</v>
      </c>
      <c r="G243" s="4" t="e">
        <f aca="false">'Dataset experimental'!K243+'Modelos empíricos'!K243^2+('Modelos Propostos'!E243-'Modelos normativos'!AQ243)*4.10553</f>
        <v>#REF!</v>
      </c>
      <c r="H243" s="4" t="e">
        <f aca="false">0.03283*(J243+K243)</f>
        <v>#REF!</v>
      </c>
      <c r="I243" s="4" t="e">
        <f aca="false">(1.61428/'Dataset experimental'!Q243)^3</f>
        <v>#REF!</v>
      </c>
      <c r="J243" s="4" t="e">
        <f aca="false">SIN('Dataset experimental'!E243)+1.450178*(SIN('Avaliação do resultado ML'!I243)+'Dataset experimental'!C243)</f>
        <v>#REF!</v>
      </c>
      <c r="K243" s="4" t="e">
        <f aca="false">('Modelos empíricos'!C243-'Dataset experimental'!G243)*'Dataset experimental'!AE243-'Modelos normativos'!AP243</f>
        <v>#REF!</v>
      </c>
      <c r="L243" s="4" t="n">
        <f aca="false">0.0076*'Dataset experimental'!B243+'Avaliação do resultado ML'!M243+'Avaliação do resultado ML'!N243+(-0.0328)*(0.0171*'Dataset experimental'!AD243-0.9442)*'Avaliação do resultado ML'!O243-'Avaliação do resultado ML'!P243-0.0364</f>
        <v>0.164491943055264</v>
      </c>
      <c r="M243" s="12" t="n">
        <f aca="false">0.03283*SIN(0.7328*'Dataset experimental'!D243-1.8266)</f>
        <v>0.0293265290156355</v>
      </c>
      <c r="N243" s="12" t="n">
        <f aca="false">0.0476*SIN(4.2067/(0.0095*'Dataset experimental'!P243-1.9338)^3)</f>
        <v>0.000591202177134627</v>
      </c>
      <c r="O243" s="12" t="n">
        <f aca="false">0.0214*'Dataset experimental'!F243-3.1067*'Dataset experimental'!B243*'Dataset experimental'!P243*('Dataset experimental'!T243-'Dataset experimental'!R243)*(0.39*'Dataset experimental'!P243*'Dataset experimental'!T243/'Dataset experimental'!V243-'Dataset experimental'!Z243+3.12)/(100000*'Dataset experimental'!V243)+0.7995</f>
        <v>0.706957021663855</v>
      </c>
      <c r="P243" s="12" t="n">
        <f aca="false">0.4461*('Dataset experimental'!Z243-0.6*'Modelos normativos'!AB243)*(3.4*'Dataset experimental'!L243+0.17*'Dataset experimental'!B243/'Modelos normativos'!AC243)/200000</f>
        <v>0.0324942806517731</v>
      </c>
      <c r="Q243" s="4" t="e">
        <f aca="false">L243/H243</f>
        <v>#REF!</v>
      </c>
      <c r="R243" s="4" t="e">
        <f aca="false">(-0.042-0.014*'Com TS variável MC2020'!Q252)*('Modelos normativos'!AP243-ABS('Modelos Propostos'!K243)-'Dataset experimental'!W243+COS(S243))</f>
        <v>#REF!</v>
      </c>
      <c r="S243" s="4" t="e">
        <f aca="false">'Dataset experimental'!O243-('Modelos normativos'!AQ243-SIN(0.083/('Dataset experimental'!M243-'Dataset experimental'!O243))-'Modelos empíricos'!I243)/0.646</f>
        <v>#REF!</v>
      </c>
      <c r="W243" s="4" t="e">
        <f aca="false">'Modelos normativos'!S243+'Avaliação do resultado ML'!A243</f>
        <v>#REF!</v>
      </c>
      <c r="X243" s="4" t="e">
        <f aca="false">W243/'Dataset experimental'!$AF243</f>
        <v>#REF!</v>
      </c>
      <c r="AJ243" s="4" t="e">
        <f aca="false">'Modelos Propostos'!B243+H243</f>
        <v>#REF!</v>
      </c>
      <c r="AK243" s="4" t="e">
        <f aca="false">AJ243/'Dataset experimental'!$AF243</f>
        <v>#REF!</v>
      </c>
      <c r="AV243" s="4" t="e">
        <f aca="false">'Modelos normativos'!S243+F243</f>
        <v>#REF!</v>
      </c>
      <c r="AW243" s="4" t="e">
        <f aca="false">AV243/'Dataset experimental'!$AF243</f>
        <v>#REF!</v>
      </c>
      <c r="BH243" s="4" t="e">
        <f aca="false">'Modelos Propostos'!B243+R243</f>
        <v>#REF!</v>
      </c>
      <c r="BI243" s="4" t="e">
        <f aca="false">BH243/'Dataset experimental'!$AF243</f>
        <v>#REF!</v>
      </c>
      <c r="BT243" s="4" t="n">
        <f aca="false">'Modelos Propostos'!B243+L243</f>
        <v>0.232139596098232</v>
      </c>
      <c r="BU243" s="4" t="n">
        <f aca="false">BT243/'Dataset experimental'!$AF243</f>
        <v>1.05517998226469</v>
      </c>
    </row>
    <row r="244" customFormat="false" ht="14.25" hidden="false" customHeight="false" outlineLevel="0" collapsed="false">
      <c r="A244" s="4" t="e">
        <f aca="false">0.0894*ABS(D244)-0.01603*E244</f>
        <v>#REF!</v>
      </c>
      <c r="B244" s="12" t="e">
        <f aca="false">'Dataset experimental'!K244*COS('Dataset experimental'!AC244)-'Dataset experimental'!M244-'Dataset experimental'!C244</f>
        <v>#REF!</v>
      </c>
      <c r="C244" s="12" t="e">
        <f aca="false">('Dataset experimental'!AE244+SIN('Avaliação do resultado ML'!B244))*0.70674187</f>
        <v>#REF!</v>
      </c>
      <c r="D244" s="12" t="e">
        <f aca="false">'Modelos Propostos'!E244+'Avaliação do resultado ML'!C244-'Modelos normativos'!AQ244</f>
        <v>#REF!</v>
      </c>
      <c r="E244" s="12" t="n">
        <f aca="false">'Modelos empíricos'!I244+1.1854</f>
        <v>-0.26663949973997</v>
      </c>
      <c r="F244" s="4" t="e">
        <f aca="false">-0.01753*('Modelos normativos'!AN244-'Dataset experimental'!C244-ABS(G244)-('Modelos Propostos'!E244-'Modelos normativos'!AP244)/0.25291)</f>
        <v>#REF!</v>
      </c>
      <c r="G244" s="4" t="e">
        <f aca="false">'Dataset experimental'!K244+'Modelos empíricos'!K244^2+('Modelos Propostos'!E244-'Modelos normativos'!AQ244)*4.10553</f>
        <v>#REF!</v>
      </c>
      <c r="H244" s="4" t="e">
        <f aca="false">0.03283*(J244+K244)</f>
        <v>#REF!</v>
      </c>
      <c r="I244" s="4" t="e">
        <f aca="false">(1.61428/'Dataset experimental'!Q244)^3</f>
        <v>#REF!</v>
      </c>
      <c r="J244" s="4" t="e">
        <f aca="false">SIN('Dataset experimental'!E244)+1.450178*(SIN('Avaliação do resultado ML'!I244)+'Dataset experimental'!C244)</f>
        <v>#REF!</v>
      </c>
      <c r="K244" s="4" t="e">
        <f aca="false">('Modelos empíricos'!C244-'Dataset experimental'!G244)*'Dataset experimental'!AE244-'Modelos normativos'!AP244</f>
        <v>#REF!</v>
      </c>
      <c r="L244" s="4" t="n">
        <f aca="false">0.0076*'Dataset experimental'!B244+'Avaliação do resultado ML'!M244+'Avaliação do resultado ML'!N244+(-0.0328)*(0.0171*'Dataset experimental'!AD244-0.9442)*'Avaliação do resultado ML'!O244-'Avaliação do resultado ML'!P244-0.0364</f>
        <v>0.144530450136774</v>
      </c>
      <c r="M244" s="12" t="n">
        <f aca="false">0.03283*SIN(0.7328*'Dataset experimental'!D244-1.8266)</f>
        <v>0.0293265290156355</v>
      </c>
      <c r="N244" s="12" t="n">
        <f aca="false">0.0476*SIN(4.2067/(0.0095*'Dataset experimental'!P244-1.9338)^3)</f>
        <v>0.000591202177134627</v>
      </c>
      <c r="O244" s="12" t="n">
        <f aca="false">0.0214*'Dataset experimental'!F244-3.1067*'Dataset experimental'!B244*'Dataset experimental'!P244*('Dataset experimental'!T244-'Dataset experimental'!R244)*(0.39*'Dataset experimental'!P244*'Dataset experimental'!T244/'Dataset experimental'!V244-'Dataset experimental'!Z244+3.12)/(100000*'Dataset experimental'!V244)+0.7995</f>
        <v>0.549897345003136</v>
      </c>
      <c r="P244" s="12" t="n">
        <f aca="false">0.4461*('Dataset experimental'!Z244-0.6*'Modelos normativos'!AB244)*(3.4*'Dataset experimental'!L244+0.17*'Dataset experimental'!B244/'Modelos normativos'!AC244)/200000</f>
        <v>0.0464095634728025</v>
      </c>
      <c r="Q244" s="4" t="e">
        <f aca="false">L244/H244</f>
        <v>#REF!</v>
      </c>
      <c r="R244" s="4" t="e">
        <f aca="false">(-0.042-0.014*'Com TS variável MC2020'!Q253)*('Modelos normativos'!AP244-ABS('Modelos Propostos'!K244)-'Dataset experimental'!W244+COS(S244))</f>
        <v>#REF!</v>
      </c>
      <c r="S244" s="4" t="e">
        <f aca="false">'Dataset experimental'!O244-('Modelos normativos'!AQ244-SIN(0.083/('Dataset experimental'!M244-'Dataset experimental'!O244))-'Modelos empíricos'!I244)/0.646</f>
        <v>#REF!</v>
      </c>
      <c r="W244" s="4" t="e">
        <f aca="false">'Modelos normativos'!S244+'Avaliação do resultado ML'!A244</f>
        <v>#REF!</v>
      </c>
      <c r="X244" s="4" t="e">
        <f aca="false">W244/'Dataset experimental'!$AF244</f>
        <v>#REF!</v>
      </c>
      <c r="AJ244" s="4" t="e">
        <f aca="false">'Modelos Propostos'!B244+H244</f>
        <v>#REF!</v>
      </c>
      <c r="AK244" s="4" t="e">
        <f aca="false">AJ244/'Dataset experimental'!$AF244</f>
        <v>#REF!</v>
      </c>
      <c r="AV244" s="4" t="e">
        <f aca="false">'Modelos normativos'!S244+F244</f>
        <v>#REF!</v>
      </c>
      <c r="AW244" s="4" t="e">
        <f aca="false">AV244/'Dataset experimental'!$AF244</f>
        <v>#REF!</v>
      </c>
      <c r="BH244" s="4" t="e">
        <f aca="false">'Modelos Propostos'!B244+R244</f>
        <v>#REF!</v>
      </c>
      <c r="BI244" s="4" t="e">
        <f aca="false">BH244/'Dataset experimental'!$AF244</f>
        <v>#REF!</v>
      </c>
      <c r="BT244" s="4" t="n">
        <f aca="false">'Modelos Propostos'!B244+L244</f>
        <v>0.250880173993616</v>
      </c>
      <c r="BU244" s="4" t="n">
        <f aca="false">BT244/'Dataset experimental'!$AF244</f>
        <v>1.00352069597446</v>
      </c>
    </row>
    <row r="245" customFormat="false" ht="14.25" hidden="false" customHeight="false" outlineLevel="0" collapsed="false">
      <c r="A245" s="4" t="e">
        <f aca="false">0.0894*ABS(D245)-0.01603*E245</f>
        <v>#REF!</v>
      </c>
      <c r="B245" s="12" t="e">
        <f aca="false">'Dataset experimental'!K245*COS('Dataset experimental'!AC245)-'Dataset experimental'!M245-'Dataset experimental'!C245</f>
        <v>#REF!</v>
      </c>
      <c r="C245" s="12" t="e">
        <f aca="false">('Dataset experimental'!AE245+SIN('Avaliação do resultado ML'!B245))*0.70674187</f>
        <v>#REF!</v>
      </c>
      <c r="D245" s="12" t="e">
        <f aca="false">'Modelos Propostos'!E245+'Avaliação do resultado ML'!C245-'Modelos normativos'!AQ245</f>
        <v>#REF!</v>
      </c>
      <c r="E245" s="12" t="n">
        <f aca="false">'Modelos empíricos'!I245+1.1854</f>
        <v>0.0171460065037028</v>
      </c>
      <c r="F245" s="4" t="e">
        <f aca="false">-0.01753*('Modelos normativos'!AN245-'Dataset experimental'!C245-ABS(G245)-('Modelos Propostos'!E245-'Modelos normativos'!AP245)/0.25291)</f>
        <v>#REF!</v>
      </c>
      <c r="G245" s="4" t="e">
        <f aca="false">'Dataset experimental'!K245+'Modelos empíricos'!K245^2+('Modelos Propostos'!E245-'Modelos normativos'!AQ245)*4.10553</f>
        <v>#REF!</v>
      </c>
      <c r="H245" s="4" t="e">
        <f aca="false">0.03283*(J245+K245)</f>
        <v>#REF!</v>
      </c>
      <c r="I245" s="4" t="e">
        <f aca="false">(1.61428/'Dataset experimental'!Q245)^3</f>
        <v>#REF!</v>
      </c>
      <c r="J245" s="4" t="e">
        <f aca="false">SIN('Dataset experimental'!E245)+1.450178*(SIN('Avaliação do resultado ML'!I245)+'Dataset experimental'!C245)</f>
        <v>#REF!</v>
      </c>
      <c r="K245" s="4" t="e">
        <f aca="false">('Modelos empíricos'!C245-'Dataset experimental'!G245)*'Dataset experimental'!AE245-'Modelos normativos'!AP245</f>
        <v>#REF!</v>
      </c>
      <c r="L245" s="4" t="n">
        <f aca="false">0.0076*'Dataset experimental'!B245+'Avaliação do resultado ML'!M245+'Avaliação do resultado ML'!N245+(-0.0328)*(0.0171*'Dataset experimental'!AD245-0.9442)*'Avaliação do resultado ML'!O245-'Avaliação do resultado ML'!P245-0.0364</f>
        <v>0.135187959040745</v>
      </c>
      <c r="M245" s="12" t="n">
        <f aca="false">0.03283*SIN(0.7328*'Dataset experimental'!D245-1.8266)</f>
        <v>0.0293265290156355</v>
      </c>
      <c r="N245" s="12" t="n">
        <f aca="false">0.0476*SIN(4.2067/(0.0095*'Dataset experimental'!P245-1.9338)^3)</f>
        <v>0.000591202177134627</v>
      </c>
      <c r="O245" s="12" t="n">
        <f aca="false">0.0214*'Dataset experimental'!F245-3.1067*'Dataset experimental'!B245*'Dataset experimental'!P245*('Dataset experimental'!T245-'Dataset experimental'!R245)*(0.39*'Dataset experimental'!P245*'Dataset experimental'!T245/'Dataset experimental'!V245-'Dataset experimental'!Z245+3.12)/(100000*'Dataset experimental'!V245)+0.7995</f>
        <v>0.459957188282895</v>
      </c>
      <c r="P245" s="12" t="n">
        <f aca="false">0.4461*('Dataset experimental'!Z245-0.6*'Modelos normativos'!AB245)*(3.4*'Dataset experimental'!L245+0.17*'Dataset experimental'!B245/'Modelos normativos'!AC245)/200000</f>
        <v>0.054378144233563</v>
      </c>
      <c r="Q245" s="4" t="e">
        <f aca="false">L245/H245</f>
        <v>#REF!</v>
      </c>
      <c r="R245" s="4" t="e">
        <f aca="false">(-0.042-0.014*'Com TS variável MC2020'!Q254)*('Modelos normativos'!AP245-ABS('Modelos Propostos'!K245)-'Dataset experimental'!W245+COS(S245))</f>
        <v>#REF!</v>
      </c>
      <c r="S245" s="4" t="e">
        <f aca="false">'Dataset experimental'!O245-('Modelos normativos'!AQ245-SIN(0.083/('Dataset experimental'!M245-'Dataset experimental'!O245))-'Modelos empíricos'!I245)/0.646</f>
        <v>#REF!</v>
      </c>
      <c r="W245" s="4" t="e">
        <f aca="false">'Modelos normativos'!S245+'Avaliação do resultado ML'!A245</f>
        <v>#REF!</v>
      </c>
      <c r="X245" s="4" t="e">
        <f aca="false">W245/'Dataset experimental'!$AF245</f>
        <v>#REF!</v>
      </c>
      <c r="AJ245" s="4" t="e">
        <f aca="false">'Modelos Propostos'!B245+H245</f>
        <v>#REF!</v>
      </c>
      <c r="AK245" s="4" t="e">
        <f aca="false">AJ245/'Dataset experimental'!$AF245</f>
        <v>#REF!</v>
      </c>
      <c r="AV245" s="4" t="e">
        <f aca="false">'Modelos normativos'!S245+F245</f>
        <v>#REF!</v>
      </c>
      <c r="AW245" s="4" t="e">
        <f aca="false">AV245/'Dataset experimental'!$AF245</f>
        <v>#REF!</v>
      </c>
      <c r="BH245" s="4" t="e">
        <f aca="false">'Modelos Propostos'!B245+R245</f>
        <v>#REF!</v>
      </c>
      <c r="BI245" s="4" t="e">
        <f aca="false">BH245/'Dataset experimental'!$AF245</f>
        <v>#REF!</v>
      </c>
      <c r="BT245" s="4" t="n">
        <f aca="false">'Modelos Propostos'!B245+L245</f>
        <v>0.267046723313256</v>
      </c>
      <c r="BU245" s="4" t="n">
        <f aca="false">BT245/'Dataset experimental'!$AF245</f>
        <v>0.92085077004571</v>
      </c>
    </row>
    <row r="246" customFormat="false" ht="14.25" hidden="false" customHeight="false" outlineLevel="0" collapsed="false">
      <c r="A246" s="4" t="e">
        <f aca="false">0.0894*ABS(D246)-0.01603*E246</f>
        <v>#REF!</v>
      </c>
      <c r="B246" s="12" t="e">
        <f aca="false">'Dataset experimental'!K246*COS('Dataset experimental'!AC246)-'Dataset experimental'!M246-'Dataset experimental'!C246</f>
        <v>#REF!</v>
      </c>
      <c r="C246" s="12" t="e">
        <f aca="false">('Dataset experimental'!AE246+SIN('Avaliação do resultado ML'!B246))*0.70674187</f>
        <v>#REF!</v>
      </c>
      <c r="D246" s="12" t="e">
        <f aca="false">'Modelos Propostos'!E246+'Avaliação do resultado ML'!C246-'Modelos normativos'!AQ246</f>
        <v>#REF!</v>
      </c>
      <c r="E246" s="12" t="n">
        <f aca="false">'Modelos empíricos'!I246+1.1854</f>
        <v>0.343287558455386</v>
      </c>
      <c r="F246" s="4" t="e">
        <f aca="false">-0.01753*('Modelos normativos'!AN246-'Dataset experimental'!C246-ABS(G246)-('Modelos Propostos'!E246-'Modelos normativos'!AP246)/0.25291)</f>
        <v>#REF!</v>
      </c>
      <c r="G246" s="4" t="e">
        <f aca="false">'Dataset experimental'!K246+'Modelos empíricos'!K246^2+('Modelos Propostos'!E246-'Modelos normativos'!AQ246)*4.10553</f>
        <v>#REF!</v>
      </c>
      <c r="H246" s="4" t="e">
        <f aca="false">0.03283*(J246+K246)</f>
        <v>#REF!</v>
      </c>
      <c r="I246" s="4" t="e">
        <f aca="false">(1.61428/'Dataset experimental'!Q246)^3</f>
        <v>#REF!</v>
      </c>
      <c r="J246" s="4" t="e">
        <f aca="false">SIN('Dataset experimental'!E246)+1.450178*(SIN('Avaliação do resultado ML'!I246)+'Dataset experimental'!C246)</f>
        <v>#REF!</v>
      </c>
      <c r="K246" s="4" t="e">
        <f aca="false">('Modelos empíricos'!C246-'Dataset experimental'!G246)*'Dataset experimental'!AE246-'Modelos normativos'!AP246</f>
        <v>#REF!</v>
      </c>
      <c r="L246" s="4" t="n">
        <f aca="false">0.0076*'Dataset experimental'!B246+'Avaliação do resultado ML'!M246+'Avaliação do resultado ML'!N246+(-0.0328)*(0.0171*'Dataset experimental'!AD246-0.9442)*'Avaliação do resultado ML'!O246-'Avaliação do resultado ML'!P246-0.0364</f>
        <v>0.126329450922184</v>
      </c>
      <c r="M246" s="12" t="n">
        <f aca="false">0.03283*SIN(0.7328*'Dataset experimental'!D246-1.8266)</f>
        <v>0.0293265290156355</v>
      </c>
      <c r="N246" s="12" t="n">
        <f aca="false">0.0476*SIN(4.2067/(0.0095*'Dataset experimental'!P246-1.9338)^3)</f>
        <v>0.000591202177134627</v>
      </c>
      <c r="O246" s="12" t="n">
        <f aca="false">0.0214*'Dataset experimental'!F246-3.1067*'Dataset experimental'!B246*'Dataset experimental'!P246*('Dataset experimental'!T246-'Dataset experimental'!R246)*(0.39*'Dataset experimental'!P246*'Dataset experimental'!T246/'Dataset experimental'!V246-'Dataset experimental'!Z246+3.12)/(100000*'Dataset experimental'!V246)+0.7995</f>
        <v>0.356593127574558</v>
      </c>
      <c r="P246" s="12" t="n">
        <f aca="false">0.4461*('Dataset experimental'!Z246-0.6*'Modelos normativos'!AB246)*(3.4*'Dataset experimental'!L246+0.17*'Dataset experimental'!B246/'Modelos normativos'!AC246)/200000</f>
        <v>0.0635360654063772</v>
      </c>
      <c r="Q246" s="4" t="e">
        <f aca="false">L246/H246</f>
        <v>#REF!</v>
      </c>
      <c r="R246" s="4" t="e">
        <f aca="false">(-0.042-0.014*'Com TS variável MC2020'!Q255)*('Modelos normativos'!AP246-ABS('Modelos Propostos'!K246)-'Dataset experimental'!W246+COS(S246))</f>
        <v>#REF!</v>
      </c>
      <c r="S246" s="4" t="e">
        <f aca="false">'Dataset experimental'!O246-('Modelos normativos'!AQ246-SIN(0.083/('Dataset experimental'!M246-'Dataset experimental'!O246))-'Modelos empíricos'!I246)/0.646</f>
        <v>#REF!</v>
      </c>
      <c r="W246" s="4" t="e">
        <f aca="false">'Modelos normativos'!S246+'Avaliação do resultado ML'!A246</f>
        <v>#REF!</v>
      </c>
      <c r="X246" s="4" t="e">
        <f aca="false">W246/'Dataset experimental'!$AF246</f>
        <v>#REF!</v>
      </c>
      <c r="AJ246" s="4" t="e">
        <f aca="false">'Modelos Propostos'!B246+H246</f>
        <v>#REF!</v>
      </c>
      <c r="AK246" s="4" t="e">
        <f aca="false">AJ246/'Dataset experimental'!$AF246</f>
        <v>#REF!</v>
      </c>
      <c r="AV246" s="4" t="e">
        <f aca="false">'Modelos normativos'!S246+F246</f>
        <v>#REF!</v>
      </c>
      <c r="AW246" s="4" t="e">
        <f aca="false">AV246/'Dataset experimental'!$AF246</f>
        <v>#REF!</v>
      </c>
      <c r="BH246" s="4" t="e">
        <f aca="false">'Modelos Propostos'!B246+R246</f>
        <v>#REF!</v>
      </c>
      <c r="BI246" s="4" t="e">
        <f aca="false">BH246/'Dataset experimental'!$AF246</f>
        <v>#REF!</v>
      </c>
      <c r="BT246" s="4" t="n">
        <f aca="false">'Modelos Propostos'!B246+L246</f>
        <v>0.287504575075388</v>
      </c>
      <c r="BU246" s="4" t="n">
        <f aca="false">BT246/'Dataset experimental'!$AF246</f>
        <v>0.927434113146413</v>
      </c>
    </row>
    <row r="247" customFormat="false" ht="14.25" hidden="false" customHeight="false" outlineLevel="0" collapsed="false">
      <c r="A247" s="4" t="e">
        <f aca="false">0.0894*ABS(D247)-0.01603*E247</f>
        <v>#REF!</v>
      </c>
      <c r="B247" s="12" t="e">
        <f aca="false">'Dataset experimental'!K247*COS('Dataset experimental'!AC247)-'Dataset experimental'!M247-'Dataset experimental'!C247</f>
        <v>#REF!</v>
      </c>
      <c r="C247" s="12" t="e">
        <f aca="false">('Dataset experimental'!AE247+SIN('Avaliação do resultado ML'!B247))*0.70674187</f>
        <v>#REF!</v>
      </c>
      <c r="D247" s="12" t="e">
        <f aca="false">'Modelos Propostos'!E247+'Avaliação do resultado ML'!C247-'Modelos normativos'!AQ247</f>
        <v>#REF!</v>
      </c>
      <c r="E247" s="12" t="n">
        <f aca="false">'Modelos empíricos'!I247+1.1854</f>
        <v>0.851560106951518</v>
      </c>
      <c r="F247" s="4" t="e">
        <f aca="false">-0.01753*('Modelos normativos'!AN247-'Dataset experimental'!C247-ABS(G247)-('Modelos Propostos'!E247-'Modelos normativos'!AP247)/0.25291)</f>
        <v>#REF!</v>
      </c>
      <c r="G247" s="4" t="e">
        <f aca="false">'Dataset experimental'!K247+'Modelos empíricos'!K247^2+('Modelos Propostos'!E247-'Modelos normativos'!AQ247)*4.10553</f>
        <v>#REF!</v>
      </c>
      <c r="H247" s="4" t="e">
        <f aca="false">0.03283*(J247+K247)</f>
        <v>#REF!</v>
      </c>
      <c r="I247" s="4" t="e">
        <f aca="false">(1.61428/'Dataset experimental'!Q247)^3</f>
        <v>#REF!</v>
      </c>
      <c r="J247" s="4" t="e">
        <f aca="false">SIN('Dataset experimental'!E247)+1.450178*(SIN('Avaliação do resultado ML'!I247)+'Dataset experimental'!C247)</f>
        <v>#REF!</v>
      </c>
      <c r="K247" s="4" t="e">
        <f aca="false">('Modelos empíricos'!C247-'Dataset experimental'!G247)*'Dataset experimental'!AE247-'Modelos normativos'!AP247</f>
        <v>#REF!</v>
      </c>
      <c r="L247" s="4" t="n">
        <f aca="false">0.0076*'Dataset experimental'!B247+'Avaliação do resultado ML'!M247+'Avaliação do resultado ML'!N247+(-0.0328)*(0.0171*'Dataset experimental'!AD247-0.9442)*'Avaliação do resultado ML'!O247-'Avaliação do resultado ML'!P247-0.0364</f>
        <v>0.116528764815523</v>
      </c>
      <c r="M247" s="12" t="n">
        <f aca="false">0.03283*SIN(0.7328*'Dataset experimental'!D247-1.8266)</f>
        <v>0.0293265290156355</v>
      </c>
      <c r="N247" s="12" t="n">
        <f aca="false">0.0476*SIN(4.2067/(0.0095*'Dataset experimental'!P247-1.9338)^3)</f>
        <v>0.000591202177134627</v>
      </c>
      <c r="O247" s="12" t="n">
        <f aca="false">0.0214*'Dataset experimental'!F247-3.1067*'Dataset experimental'!B247*'Dataset experimental'!P247*('Dataset experimental'!T247-'Dataset experimental'!R247)*(0.39*'Dataset experimental'!P247*'Dataset experimental'!T247/'Dataset experimental'!V247-'Dataset experimental'!Z247+3.12)/(100000*'Dataset experimental'!V247)+0.7995</f>
        <v>0.19550627971741</v>
      </c>
      <c r="P247" s="12" t="n">
        <f aca="false">0.4461*('Dataset experimental'!Z247-0.6*'Modelos normativos'!AB247)*(3.4*'Dataset experimental'!L247+0.17*'Dataset experimental'!B247/'Modelos normativos'!AC247)/200000</f>
        <v>0.0778081503510228</v>
      </c>
      <c r="Q247" s="4" t="e">
        <f aca="false">L247/H247</f>
        <v>#REF!</v>
      </c>
      <c r="R247" s="4" t="e">
        <f aca="false">(-0.042-0.014*'Com TS variável MC2020'!Q256)*('Modelos normativos'!AP247-ABS('Modelos Propostos'!K247)-'Dataset experimental'!W247+COS(S247))</f>
        <v>#REF!</v>
      </c>
      <c r="S247" s="4" t="e">
        <f aca="false">'Dataset experimental'!O247-('Modelos normativos'!AQ247-SIN(0.083/('Dataset experimental'!M247-'Dataset experimental'!O247))-'Modelos empíricos'!I247)/0.646</f>
        <v>#REF!</v>
      </c>
      <c r="W247" s="4" t="e">
        <f aca="false">'Modelos normativos'!S247+'Avaliação do resultado ML'!A247</f>
        <v>#REF!</v>
      </c>
      <c r="X247" s="4" t="e">
        <f aca="false">W247/'Dataset experimental'!$AF247</f>
        <v>#REF!</v>
      </c>
      <c r="AJ247" s="4" t="e">
        <f aca="false">'Modelos Propostos'!B247+H247</f>
        <v>#REF!</v>
      </c>
      <c r="AK247" s="4" t="e">
        <f aca="false">AJ247/'Dataset experimental'!$AF247</f>
        <v>#REF!</v>
      </c>
      <c r="AV247" s="4" t="e">
        <f aca="false">'Modelos normativos'!S247+F247</f>
        <v>#REF!</v>
      </c>
      <c r="AW247" s="4" t="e">
        <f aca="false">AV247/'Dataset experimental'!$AF247</f>
        <v>#REF!</v>
      </c>
      <c r="BH247" s="4" t="e">
        <f aca="false">'Modelos Propostos'!B247+R247</f>
        <v>#REF!</v>
      </c>
      <c r="BI247" s="4" t="e">
        <f aca="false">BH247/'Dataset experimental'!$AF247</f>
        <v>#REF!</v>
      </c>
      <c r="BT247" s="4" t="n">
        <f aca="false">'Modelos Propostos'!B247+L247</f>
        <v>0.323391722549029</v>
      </c>
      <c r="BU247" s="4" t="n">
        <f aca="false">BT247/'Dataset experimental'!$AF247</f>
        <v>0.979974916815241</v>
      </c>
    </row>
    <row r="248" customFormat="false" ht="14.25" hidden="false" customHeight="false" outlineLevel="0" collapsed="false">
      <c r="A248" s="4" t="e">
        <f aca="false">0.0894*ABS(D248)-0.01603*E248</f>
        <v>#REF!</v>
      </c>
      <c r="B248" s="12" t="e">
        <f aca="false">'Dataset experimental'!K248*COS('Dataset experimental'!AC248)-'Dataset experimental'!M248-'Dataset experimental'!C248</f>
        <v>#REF!</v>
      </c>
      <c r="C248" s="12" t="e">
        <f aca="false">('Dataset experimental'!AE248+SIN('Avaliação do resultado ML'!B248))*0.70674187</f>
        <v>#REF!</v>
      </c>
      <c r="D248" s="12" t="e">
        <f aca="false">'Modelos Propostos'!E248+'Avaliação do resultado ML'!C248-'Modelos normativos'!AQ248</f>
        <v>#REF!</v>
      </c>
      <c r="E248" s="12" t="n">
        <f aca="false">'Modelos empíricos'!I248+1.1854</f>
        <v>1.10993198577039</v>
      </c>
      <c r="F248" s="4" t="e">
        <f aca="false">-0.01753*('Modelos normativos'!AN248-'Dataset experimental'!C248-ABS(G248)-('Modelos Propostos'!E248-'Modelos normativos'!AP248)/0.25291)</f>
        <v>#REF!</v>
      </c>
      <c r="G248" s="4" t="e">
        <f aca="false">'Dataset experimental'!K248+'Modelos empíricos'!K248^2+('Modelos Propostos'!E248-'Modelos normativos'!AQ248)*4.10553</f>
        <v>#REF!</v>
      </c>
      <c r="H248" s="4" t="e">
        <f aca="false">0.03283*(J248+K248)</f>
        <v>#REF!</v>
      </c>
      <c r="I248" s="4" t="e">
        <f aca="false">(1.61428/'Dataset experimental'!Q248)^3</f>
        <v>#REF!</v>
      </c>
      <c r="J248" s="4" t="e">
        <f aca="false">SIN('Dataset experimental'!E248)+1.450178*(SIN('Avaliação do resultado ML'!I248)+'Dataset experimental'!C248)</f>
        <v>#REF!</v>
      </c>
      <c r="K248" s="4" t="e">
        <f aca="false">('Modelos empíricos'!C248-'Dataset experimental'!G248)*'Dataset experimental'!AE248-'Modelos normativos'!AP248</f>
        <v>#REF!</v>
      </c>
      <c r="L248" s="4" t="n">
        <f aca="false">0.0076*'Dataset experimental'!B248+'Avaliação do resultado ML'!M248+'Avaliação do resultado ML'!N248+(-0.0328)*(0.0171*'Dataset experimental'!AD248-0.9442)*'Avaliação do resultado ML'!O248-'Avaliação do resultado ML'!P248-0.0364</f>
        <v>0.113417171883334</v>
      </c>
      <c r="M248" s="12" t="n">
        <f aca="false">0.03283*SIN(0.7328*'Dataset experimental'!D248-1.8266)</f>
        <v>0.0293265290156355</v>
      </c>
      <c r="N248" s="12" t="n">
        <f aca="false">0.0476*SIN(4.2067/(0.0095*'Dataset experimental'!P248-1.9338)^3)</f>
        <v>0.000591202177134627</v>
      </c>
      <c r="O248" s="12" t="n">
        <f aca="false">0.0214*'Dataset experimental'!F248-3.1067*'Dataset experimental'!B248*'Dataset experimental'!P248*('Dataset experimental'!T248-'Dataset experimental'!R248)*(0.39*'Dataset experimental'!P248*'Dataset experimental'!T248/'Dataset experimental'!V248-'Dataset experimental'!Z248+3.12)/(100000*'Dataset experimental'!V248)+0.7995</f>
        <v>0.113620465390027</v>
      </c>
      <c r="P248" s="12" t="n">
        <f aca="false">0.4461*('Dataset experimental'!Z248-0.6*'Modelos normativos'!AB248)*(3.4*'Dataset experimental'!L248+0.17*'Dataset experimental'!B248/'Modelos normativos'!AC248)/200000</f>
        <v>0.085063126864551</v>
      </c>
      <c r="Q248" s="4" t="e">
        <f aca="false">L248/H248</f>
        <v>#REF!</v>
      </c>
      <c r="R248" s="4" t="e">
        <f aca="false">(-0.042-0.014*'Com TS variável MC2020'!Q257)*('Modelos normativos'!AP248-ABS('Modelos Propostos'!K248)-'Dataset experimental'!W248+COS(S248))</f>
        <v>#REF!</v>
      </c>
      <c r="S248" s="4" t="e">
        <f aca="false">'Dataset experimental'!O248-('Modelos normativos'!AQ248-SIN(0.083/('Dataset experimental'!M248-'Dataset experimental'!O248))-'Modelos empíricos'!I248)/0.646</f>
        <v>#REF!</v>
      </c>
      <c r="W248" s="4" t="e">
        <f aca="false">'Modelos normativos'!S248+'Avaliação do resultado ML'!A248</f>
        <v>#REF!</v>
      </c>
      <c r="X248" s="4" t="e">
        <f aca="false">W248/'Dataset experimental'!$AF248</f>
        <v>#REF!</v>
      </c>
      <c r="AJ248" s="4" t="e">
        <f aca="false">'Modelos Propostos'!B248+H248</f>
        <v>#REF!</v>
      </c>
      <c r="AK248" s="4" t="e">
        <f aca="false">AJ248/'Dataset experimental'!$AF248</f>
        <v>#REF!</v>
      </c>
      <c r="AV248" s="4" t="e">
        <f aca="false">'Modelos normativos'!S248+F248</f>
        <v>#REF!</v>
      </c>
      <c r="AW248" s="4" t="e">
        <f aca="false">AV248/'Dataset experimental'!$AF248</f>
        <v>#REF!</v>
      </c>
      <c r="BH248" s="4" t="e">
        <f aca="false">'Modelos Propostos'!B248+R248</f>
        <v>#REF!</v>
      </c>
      <c r="BI248" s="4" t="e">
        <f aca="false">BH248/'Dataset experimental'!$AF248</f>
        <v>#REF!</v>
      </c>
      <c r="BT248" s="4" t="n">
        <f aca="false">'Modelos Propostos'!B248+L248</f>
        <v>0.343504778353495</v>
      </c>
      <c r="BU248" s="4" t="n">
        <f aca="false">BT248/'Dataset experimental'!$AF248</f>
        <v>1.01030817162793</v>
      </c>
    </row>
    <row r="249" customFormat="false" ht="14.25" hidden="false" customHeight="false" outlineLevel="0" collapsed="false">
      <c r="A249" s="4" t="e">
        <f aca="false">0.0894*ABS(D249)-0.01603*E249</f>
        <v>#REF!</v>
      </c>
      <c r="B249" s="12" t="e">
        <f aca="false">'Dataset experimental'!K249*COS('Dataset experimental'!AC249)-'Dataset experimental'!M249-'Dataset experimental'!C249</f>
        <v>#REF!</v>
      </c>
      <c r="C249" s="12" t="e">
        <f aca="false">('Dataset experimental'!AE249+SIN('Avaliação do resultado ML'!B249))*0.70674187</f>
        <v>#REF!</v>
      </c>
      <c r="D249" s="12" t="e">
        <f aca="false">'Modelos Propostos'!E249+'Avaliação do resultado ML'!C249-'Modelos normativos'!AQ249</f>
        <v>#REF!</v>
      </c>
      <c r="E249" s="12" t="n">
        <f aca="false">'Modelos empíricos'!I249+1.1854</f>
        <v>1.48690079257168</v>
      </c>
      <c r="F249" s="4" t="e">
        <f aca="false">-0.01753*('Modelos normativos'!AN249-'Dataset experimental'!C249-ABS(G249)-('Modelos Propostos'!E249-'Modelos normativos'!AP249)/0.25291)</f>
        <v>#REF!</v>
      </c>
      <c r="G249" s="4" t="e">
        <f aca="false">'Dataset experimental'!K249+'Modelos empíricos'!K249^2+('Modelos Propostos'!E249-'Modelos normativos'!AQ249)*4.10553</f>
        <v>#REF!</v>
      </c>
      <c r="H249" s="4" t="e">
        <f aca="false">0.03283*(J249+K249)</f>
        <v>#REF!</v>
      </c>
      <c r="I249" s="4" t="e">
        <f aca="false">(1.61428/'Dataset experimental'!Q249)^3</f>
        <v>#REF!</v>
      </c>
      <c r="J249" s="4" t="e">
        <f aca="false">SIN('Dataset experimental'!E249)+1.450178*(SIN('Avaliação do resultado ML'!I249)+'Dataset experimental'!C249)</f>
        <v>#REF!</v>
      </c>
      <c r="K249" s="4" t="e">
        <f aca="false">('Modelos empíricos'!C249-'Dataset experimental'!G249)*'Dataset experimental'!AE249-'Modelos normativos'!AP249</f>
        <v>#REF!</v>
      </c>
      <c r="L249" s="4" t="n">
        <f aca="false">0.0076*'Dataset experimental'!B249+'Avaliação do resultado ML'!M249+'Avaliação do resultado ML'!N249+(-0.0328)*(0.0171*'Dataset experimental'!AD249-0.9442)*'Avaliação do resultado ML'!O249-'Avaliação do resultado ML'!P249-0.0364</f>
        <v>0.11113889001593</v>
      </c>
      <c r="M249" s="12" t="n">
        <f aca="false">0.03283*SIN(0.7328*'Dataset experimental'!D249-1.8266)</f>
        <v>0.0293265290156355</v>
      </c>
      <c r="N249" s="12" t="n">
        <f aca="false">0.0476*SIN(4.2067/(0.0095*'Dataset experimental'!P249-1.9338)^3)</f>
        <v>0.000591202177134627</v>
      </c>
      <c r="O249" s="12" t="n">
        <f aca="false">0.0214*'Dataset experimental'!F249-3.1067*'Dataset experimental'!B249*'Dataset experimental'!P249*('Dataset experimental'!T249-'Dataset experimental'!R249)*(0.39*'Dataset experimental'!P249*'Dataset experimental'!T249/'Dataset experimental'!V249-'Dataset experimental'!Z249+3.12)/(100000*'Dataset experimental'!V249)+0.7995</f>
        <v>-0.00585228010402428</v>
      </c>
      <c r="P249" s="12" t="n">
        <f aca="false">0.4461*('Dataset experimental'!Z249-0.6*'Modelos normativos'!AB249)*(3.4*'Dataset experimental'!L249+0.17*'Dataset experimental'!B249/'Modelos normativos'!AC249)/200000</f>
        <v>0.0956482565318298</v>
      </c>
      <c r="Q249" s="4" t="e">
        <f aca="false">L249/H249</f>
        <v>#REF!</v>
      </c>
      <c r="R249" s="4" t="e">
        <f aca="false">(-0.042-0.014*'Com TS variável MC2020'!Q258)*('Modelos normativos'!AP249-ABS('Modelos Propostos'!K249)-'Dataset experimental'!W249+COS(S249))</f>
        <v>#REF!</v>
      </c>
      <c r="S249" s="4" t="e">
        <f aca="false">'Dataset experimental'!O249-('Modelos normativos'!AQ249-SIN(0.083/('Dataset experimental'!M249-'Dataset experimental'!O249))-'Modelos empíricos'!I249)/0.646</f>
        <v>#REF!</v>
      </c>
      <c r="W249" s="4" t="e">
        <f aca="false">'Modelos normativos'!S249+'Avaliação do resultado ML'!A249</f>
        <v>#REF!</v>
      </c>
      <c r="X249" s="4" t="e">
        <f aca="false">W249/'Dataset experimental'!$AF249</f>
        <v>#REF!</v>
      </c>
      <c r="AJ249" s="4" t="e">
        <f aca="false">'Modelos Propostos'!B249+H249</f>
        <v>#REF!</v>
      </c>
      <c r="AK249" s="4" t="e">
        <f aca="false">AJ249/'Dataset experimental'!$AF249</f>
        <v>#REF!</v>
      </c>
      <c r="AV249" s="4" t="e">
        <f aca="false">'Modelos normativos'!S249+F249</f>
        <v>#REF!</v>
      </c>
      <c r="AW249" s="4" t="e">
        <f aca="false">AV249/'Dataset experimental'!$AF249</f>
        <v>#REF!</v>
      </c>
      <c r="BH249" s="4" t="e">
        <f aca="false">'Modelos Propostos'!B249+R249</f>
        <v>#REF!</v>
      </c>
      <c r="BI249" s="4" t="e">
        <f aca="false">BH249/'Dataset experimental'!$AF249</f>
        <v>#REF!</v>
      </c>
      <c r="BT249" s="4" t="n">
        <f aca="false">'Modelos Propostos'!B249+L249</f>
        <v>0.375111639724814</v>
      </c>
      <c r="BU249" s="4" t="n">
        <f aca="false">BT249/'Dataset experimental'!$AF249</f>
        <v>1.0138152424995</v>
      </c>
    </row>
    <row r="250" customFormat="false" ht="14.25" hidden="false" customHeight="false" outlineLevel="0" collapsed="false">
      <c r="A250" s="4" t="e">
        <f aca="false">0.0894*ABS(D250)-0.01603*E250</f>
        <v>#REF!</v>
      </c>
      <c r="B250" s="12" t="e">
        <f aca="false">'Dataset experimental'!K250*COS('Dataset experimental'!AC250)-'Dataset experimental'!M250-'Dataset experimental'!C250</f>
        <v>#REF!</v>
      </c>
      <c r="C250" s="12" t="e">
        <f aca="false">('Dataset experimental'!AE250+SIN('Avaliação do resultado ML'!B250))*0.70674187</f>
        <v>#REF!</v>
      </c>
      <c r="D250" s="12" t="e">
        <f aca="false">'Modelos Propostos'!E250+'Avaliação do resultado ML'!C250-'Modelos normativos'!AQ250</f>
        <v>#REF!</v>
      </c>
      <c r="E250" s="12" t="n">
        <f aca="false">'Modelos empíricos'!I250+1.1854</f>
        <v>1.58660150041597</v>
      </c>
      <c r="F250" s="4" t="e">
        <f aca="false">-0.01753*('Modelos normativos'!AN250-'Dataset experimental'!C250-ABS(G250)-('Modelos Propostos'!E250-'Modelos normativos'!AP250)/0.25291)</f>
        <v>#REF!</v>
      </c>
      <c r="G250" s="4" t="e">
        <f aca="false">'Dataset experimental'!K250+'Modelos empíricos'!K250^2+('Modelos Propostos'!E250-'Modelos normativos'!AQ250)*4.10553</f>
        <v>#REF!</v>
      </c>
      <c r="H250" s="4" t="e">
        <f aca="false">0.03283*(J250+K250)</f>
        <v>#REF!</v>
      </c>
      <c r="I250" s="4" t="e">
        <f aca="false">(1.61428/'Dataset experimental'!Q250)^3</f>
        <v>#REF!</v>
      </c>
      <c r="J250" s="4" t="e">
        <f aca="false">SIN('Dataset experimental'!E250)+1.450178*(SIN('Avaliação do resultado ML'!I250)+'Dataset experimental'!C250)</f>
        <v>#REF!</v>
      </c>
      <c r="K250" s="4" t="e">
        <f aca="false">('Modelos empíricos'!C250-'Dataset experimental'!G250)*'Dataset experimental'!AE250-'Modelos normativos'!AP250</f>
        <v>#REF!</v>
      </c>
      <c r="L250" s="4" t="n">
        <f aca="false">0.0076*'Dataset experimental'!B250+'Avaliação do resultado ML'!M250+'Avaliação do resultado ML'!N250+(-0.0328)*(0.0171*'Dataset experimental'!AD250-0.9442)*'Avaliação do resultado ML'!O250-'Avaliação do resultado ML'!P250-0.0364</f>
        <v>-0.0729904090128051</v>
      </c>
      <c r="M250" s="12" t="n">
        <f aca="false">0.03283*SIN(0.7328*'Dataset experimental'!D250-1.8266)</f>
        <v>-0.0115958827834406</v>
      </c>
      <c r="N250" s="12" t="n">
        <f aca="false">0.0476*SIN(4.2067/(0.0095*'Dataset experimental'!P250-1.9338)^3)</f>
        <v>-0.0237143865224017</v>
      </c>
      <c r="O250" s="12" t="n">
        <f aca="false">0.0214*'Dataset experimental'!F250-3.1067*'Dataset experimental'!B250*'Dataset experimental'!P250*('Dataset experimental'!T250-'Dataset experimental'!R250)*(0.39*'Dataset experimental'!P250*'Dataset experimental'!T250/'Dataset experimental'!V250-'Dataset experimental'!Z250+3.12)/(100000*'Dataset experimental'!V250)+0.7995</f>
        <v>-0.53639163114727</v>
      </c>
      <c r="P250" s="12" t="n">
        <f aca="false">0.4461*('Dataset experimental'!Z250-0.6*'Modelos normativos'!AB250)*(3.4*'Dataset experimental'!L250+0.17*'Dataset experimental'!B250/'Modelos normativos'!AC250)/200000</f>
        <v>0.113661290886234</v>
      </c>
      <c r="Q250" s="4" t="e">
        <f aca="false">L250/H250</f>
        <v>#REF!</v>
      </c>
      <c r="R250" s="4" t="e">
        <f aca="false">(-0.042-0.014*'Com TS variável MC2020'!Q259)*('Modelos normativos'!AP250-ABS('Modelos Propostos'!K250)-'Dataset experimental'!W250+COS(S250))</f>
        <v>#REF!</v>
      </c>
      <c r="S250" s="4" t="e">
        <f aca="false">'Dataset experimental'!O250-('Modelos normativos'!AQ250-SIN(0.083/('Dataset experimental'!M250-'Dataset experimental'!O250))-'Modelos empíricos'!I250)/0.646</f>
        <v>#REF!</v>
      </c>
      <c r="W250" s="4" t="e">
        <f aca="false">'Modelos normativos'!S250+'Avaliação do resultado ML'!A250</f>
        <v>#REF!</v>
      </c>
      <c r="X250" s="4" t="e">
        <f aca="false">W250/'Dataset experimental'!$AF250</f>
        <v>#REF!</v>
      </c>
      <c r="AJ250" s="4" t="e">
        <f aca="false">'Modelos Propostos'!B250+H250</f>
        <v>#REF!</v>
      </c>
      <c r="AK250" s="4" t="e">
        <f aca="false">AJ250/'Dataset experimental'!$AF250</f>
        <v>#REF!</v>
      </c>
      <c r="AV250" s="4" t="e">
        <f aca="false">'Modelos normativos'!S250+F250</f>
        <v>#REF!</v>
      </c>
      <c r="AW250" s="4" t="e">
        <f aca="false">AV250/'Dataset experimental'!$AF250</f>
        <v>#REF!</v>
      </c>
      <c r="BH250" s="4" t="e">
        <f aca="false">'Modelos Propostos'!B250+R250</f>
        <v>#REF!</v>
      </c>
      <c r="BI250" s="4" t="e">
        <f aca="false">BH250/'Dataset experimental'!$AF250</f>
        <v>#REF!</v>
      </c>
      <c r="BT250" s="4" t="n">
        <f aca="false">'Modelos Propostos'!B250+L250</f>
        <v>0.244748731917856</v>
      </c>
      <c r="BU250" s="4" t="n">
        <f aca="false">BT250/'Dataset experimental'!$AF250</f>
        <v>1.22374365958928</v>
      </c>
    </row>
    <row r="251" customFormat="false" ht="14.25" hidden="false" customHeight="false" outlineLevel="0" collapsed="false">
      <c r="A251" s="4" t="e">
        <f aca="false">0.0894*ABS(D251)-0.01603*E251</f>
        <v>#REF!</v>
      </c>
      <c r="B251" s="12" t="e">
        <f aca="false">'Dataset experimental'!K251*COS('Dataset experimental'!AC251)-'Dataset experimental'!M251-'Dataset experimental'!C251</f>
        <v>#REF!</v>
      </c>
      <c r="C251" s="12" t="e">
        <f aca="false">('Dataset experimental'!AE251+SIN('Avaliação do resultado ML'!B251))*0.70674187</f>
        <v>#REF!</v>
      </c>
      <c r="D251" s="12" t="e">
        <f aca="false">'Modelos Propostos'!E251+'Avaliação do resultado ML'!C251-'Modelos normativos'!AQ251</f>
        <v>#REF!</v>
      </c>
      <c r="E251" s="12" t="n">
        <f aca="false">'Modelos empíricos'!I251+1.1854</f>
        <v>1.9140752441586</v>
      </c>
      <c r="F251" s="4" t="e">
        <f aca="false">-0.01753*('Modelos normativos'!AN251-'Dataset experimental'!C251-ABS(G251)-('Modelos Propostos'!E251-'Modelos normativos'!AP251)/0.25291)</f>
        <v>#REF!</v>
      </c>
      <c r="G251" s="4" t="e">
        <f aca="false">'Dataset experimental'!K251+'Modelos empíricos'!K251^2+('Modelos Propostos'!E251-'Modelos normativos'!AQ251)*4.10553</f>
        <v>#REF!</v>
      </c>
      <c r="H251" s="4" t="e">
        <f aca="false">0.03283*(J251+K251)</f>
        <v>#REF!</v>
      </c>
      <c r="I251" s="4" t="e">
        <f aca="false">(1.61428/'Dataset experimental'!Q251)^3</f>
        <v>#REF!</v>
      </c>
      <c r="J251" s="4" t="e">
        <f aca="false">SIN('Dataset experimental'!E251)+1.450178*(SIN('Avaliação do resultado ML'!I251)+'Dataset experimental'!C251)</f>
        <v>#REF!</v>
      </c>
      <c r="K251" s="4" t="e">
        <f aca="false">('Modelos empíricos'!C251-'Dataset experimental'!G251)*'Dataset experimental'!AE251-'Modelos normativos'!AP251</f>
        <v>#REF!</v>
      </c>
      <c r="L251" s="4" t="n">
        <f aca="false">0.0076*'Dataset experimental'!B251+'Avaliação do resultado ML'!M251+'Avaliação do resultado ML'!N251+(-0.0328)*(0.0171*'Dataset experimental'!AD251-0.9442)*'Avaliação do resultado ML'!O251-'Avaliação do resultado ML'!P251-0.0364</f>
        <v>-0.0839738497066871</v>
      </c>
      <c r="M251" s="12" t="n">
        <f aca="false">0.03283*SIN(0.7328*'Dataset experimental'!D251-1.8266)</f>
        <v>-0.0115958827834406</v>
      </c>
      <c r="N251" s="12" t="n">
        <f aca="false">0.0476*SIN(4.2067/(0.0095*'Dataset experimental'!P251-1.9338)^3)</f>
        <v>-0.0237143865224017</v>
      </c>
      <c r="O251" s="12" t="n">
        <f aca="false">0.0214*'Dataset experimental'!F251-3.1067*'Dataset experimental'!B251*'Dataset experimental'!P251*('Dataset experimental'!T251-'Dataset experimental'!R251)*(0.39*'Dataset experimental'!P251*'Dataset experimental'!T251/'Dataset experimental'!V251-'Dataset experimental'!Z251+3.12)/(100000*'Dataset experimental'!V251)+0.7995</f>
        <v>-0.753519258804926</v>
      </c>
      <c r="P251" s="12" t="n">
        <f aca="false">0.4461*('Dataset experimental'!Z251-0.6*'Modelos normativos'!AB251)*(3.4*'Dataset experimental'!L251+0.17*'Dataset experimental'!B251/'Modelos normativos'!AC251)/200000</f>
        <v>0.124813035995153</v>
      </c>
      <c r="Q251" s="4" t="e">
        <f aca="false">L251/H251</f>
        <v>#REF!</v>
      </c>
      <c r="R251" s="4" t="e">
        <f aca="false">(-0.042-0.014*'Com TS variável MC2020'!Q260)*('Modelos normativos'!AP251-ABS('Modelos Propostos'!K251)-'Dataset experimental'!W251+COS(S251))</f>
        <v>#REF!</v>
      </c>
      <c r="S251" s="4" t="e">
        <f aca="false">'Dataset experimental'!O251-('Modelos normativos'!AQ251-SIN(0.083/('Dataset experimental'!M251-'Dataset experimental'!O251))-'Modelos empíricos'!I251)/0.646</f>
        <v>#REF!</v>
      </c>
      <c r="W251" s="4" t="e">
        <f aca="false">'Modelos normativos'!S251+'Avaliação do resultado ML'!A251</f>
        <v>#REF!</v>
      </c>
      <c r="X251" s="4" t="e">
        <f aca="false">W251/'Dataset experimental'!$AF251</f>
        <v>#REF!</v>
      </c>
      <c r="AJ251" s="4" t="e">
        <f aca="false">'Modelos Propostos'!B251+H251</f>
        <v>#REF!</v>
      </c>
      <c r="AK251" s="4" t="e">
        <f aca="false">AJ251/'Dataset experimental'!$AF251</f>
        <v>#REF!</v>
      </c>
      <c r="AV251" s="4" t="e">
        <f aca="false">'Modelos normativos'!S251+F251</f>
        <v>#REF!</v>
      </c>
      <c r="AW251" s="4" t="e">
        <f aca="false">AV251/'Dataset experimental'!$AF251</f>
        <v>#REF!</v>
      </c>
      <c r="BH251" s="4" t="e">
        <f aca="false">'Modelos Propostos'!B251+R251</f>
        <v>#REF!</v>
      </c>
      <c r="BI251" s="4" t="e">
        <f aca="false">BH251/'Dataset experimental'!$AF251</f>
        <v>#REF!</v>
      </c>
      <c r="BT251" s="4" t="n">
        <f aca="false">'Modelos Propostos'!B251+L251</f>
        <v>0.272500563449917</v>
      </c>
      <c r="BU251" s="4" t="n">
        <f aca="false">BT251/'Dataset experimental'!$AF251</f>
        <v>0.778573038428334</v>
      </c>
    </row>
    <row r="252" customFormat="false" ht="14.25" hidden="false" customHeight="false" outlineLevel="0" collapsed="false">
      <c r="A252" s="4" t="e">
        <f aca="false">0.0894*ABS(D252)-0.01603*E252</f>
        <v>#REF!</v>
      </c>
      <c r="B252" s="12" t="e">
        <f aca="false">'Dataset experimental'!K252*COS('Dataset experimental'!AC252)-'Dataset experimental'!M252-'Dataset experimental'!C252</f>
        <v>#REF!</v>
      </c>
      <c r="C252" s="12" t="e">
        <f aca="false">('Dataset experimental'!AE252+SIN('Avaliação do resultado ML'!B252))*0.70674187</f>
        <v>#REF!</v>
      </c>
      <c r="D252" s="12" t="e">
        <f aca="false">'Modelos Propostos'!E252+'Avaliação do resultado ML'!C252-'Modelos normativos'!AQ252</f>
        <v>#REF!</v>
      </c>
      <c r="E252" s="12" t="n">
        <f aca="false">'Modelos empíricos'!I252+1.1854</f>
        <v>1.60086960025001</v>
      </c>
      <c r="F252" s="4" t="e">
        <f aca="false">-0.01753*('Modelos normativos'!AN252-'Dataset experimental'!C252-ABS(G252)-('Modelos Propostos'!E252-'Modelos normativos'!AP252)/0.25291)</f>
        <v>#REF!</v>
      </c>
      <c r="G252" s="4" t="e">
        <f aca="false">'Dataset experimental'!K252+'Modelos empíricos'!K252^2+('Modelos Propostos'!E252-'Modelos normativos'!AQ252)*4.10553</f>
        <v>#REF!</v>
      </c>
      <c r="H252" s="4" t="e">
        <f aca="false">0.03283*(J252+K252)</f>
        <v>#REF!</v>
      </c>
      <c r="I252" s="4" t="e">
        <f aca="false">(1.61428/'Dataset experimental'!Q252)^3</f>
        <v>#REF!</v>
      </c>
      <c r="J252" s="4" t="e">
        <f aca="false">SIN('Dataset experimental'!E252)+1.450178*(SIN('Avaliação do resultado ML'!I252)+'Dataset experimental'!C252)</f>
        <v>#REF!</v>
      </c>
      <c r="K252" s="4" t="e">
        <f aca="false">('Modelos empíricos'!C252-'Dataset experimental'!G252)*'Dataset experimental'!AE252-'Modelos normativos'!AP252</f>
        <v>#REF!</v>
      </c>
      <c r="L252" s="4" t="n">
        <f aca="false">0.0076*'Dataset experimental'!B252+'Avaliação do resultado ML'!M252+'Avaliação do resultado ML'!N252+(-0.0328)*(0.0171*'Dataset experimental'!AD252-0.9442)*'Avaliação do resultado ML'!O252-'Avaliação do resultado ML'!P252-0.0364</f>
        <v>-0.0735948651890473</v>
      </c>
      <c r="M252" s="12" t="n">
        <f aca="false">0.03283*SIN(0.7328*'Dataset experimental'!D252-1.8266)</f>
        <v>-0.0115958827834406</v>
      </c>
      <c r="N252" s="12" t="n">
        <f aca="false">0.0476*SIN(4.2067/(0.0095*'Dataset experimental'!P252-1.9338)^3)</f>
        <v>-0.0237143865224017</v>
      </c>
      <c r="O252" s="12" t="n">
        <f aca="false">0.0214*'Dataset experimental'!F252-3.1067*'Dataset experimental'!B252*'Dataset experimental'!P252*('Dataset experimental'!T252-'Dataset experimental'!R252)*(0.39*'Dataset experimental'!P252*'Dataset experimental'!T252/'Dataset experimental'!V252-'Dataset experimental'!Z252+3.12)/(100000*'Dataset experimental'!V252)+0.7995</f>
        <v>-0.545851927514065</v>
      </c>
      <c r="P252" s="12" t="n">
        <f aca="false">0.4461*('Dataset experimental'!Z252-0.6*'Modelos normativos'!AB252)*(3.4*'Dataset experimental'!L252+0.17*'Dataset experimental'!B252/'Modelos normativos'!AC252)/200000</f>
        <v>0.114147174764188</v>
      </c>
      <c r="Q252" s="4" t="e">
        <f aca="false">L252/H252</f>
        <v>#REF!</v>
      </c>
      <c r="R252" s="4" t="e">
        <f aca="false">(-0.042-0.014*'Com TS variável MC2020'!Q261)*('Modelos normativos'!AP252-ABS('Modelos Propostos'!K252)-'Dataset experimental'!W252+COS(S252))</f>
        <v>#REF!</v>
      </c>
      <c r="S252" s="4" t="e">
        <f aca="false">'Dataset experimental'!O252-('Modelos normativos'!AQ252-SIN(0.083/('Dataset experimental'!M252-'Dataset experimental'!O252))-'Modelos empíricos'!I252)/0.646</f>
        <v>#REF!</v>
      </c>
      <c r="W252" s="4" t="e">
        <f aca="false">'Modelos normativos'!S252+'Avaliação do resultado ML'!A252</f>
        <v>#REF!</v>
      </c>
      <c r="X252" s="4" t="e">
        <f aca="false">W252/'Dataset experimental'!$AF252</f>
        <v>#REF!</v>
      </c>
      <c r="AJ252" s="4" t="e">
        <f aca="false">'Modelos Propostos'!B252+H252</f>
        <v>#REF!</v>
      </c>
      <c r="AK252" s="4" t="e">
        <f aca="false">AJ252/'Dataset experimental'!$AF252</f>
        <v>#REF!</v>
      </c>
      <c r="AV252" s="4" t="e">
        <f aca="false">'Modelos normativos'!S252+F252</f>
        <v>#REF!</v>
      </c>
      <c r="AW252" s="4" t="e">
        <f aca="false">AV252/'Dataset experimental'!$AF252</f>
        <v>#REF!</v>
      </c>
      <c r="BH252" s="4" t="e">
        <f aca="false">'Modelos Propostos'!B252+R252</f>
        <v>#REF!</v>
      </c>
      <c r="BI252" s="4" t="e">
        <f aca="false">BH252/'Dataset experimental'!$AF252</f>
        <v>#REF!</v>
      </c>
      <c r="BT252" s="4" t="n">
        <f aca="false">'Modelos Propostos'!B252+L252</f>
        <v>0.245831979692783</v>
      </c>
      <c r="BU252" s="4" t="n">
        <f aca="false">BT252/'Dataset experimental'!$AF252</f>
        <v>1.22915989846391</v>
      </c>
    </row>
    <row r="253" customFormat="false" ht="14.25" hidden="false" customHeight="false" outlineLevel="0" collapsed="false">
      <c r="A253" s="4" t="e">
        <f aca="false">0.0894*ABS(D253)-0.01603*E253</f>
        <v>#REF!</v>
      </c>
      <c r="B253" s="12" t="e">
        <f aca="false">'Dataset experimental'!K253*COS('Dataset experimental'!AC253)-'Dataset experimental'!M253-'Dataset experimental'!C253</f>
        <v>#REF!</v>
      </c>
      <c r="C253" s="12" t="e">
        <f aca="false">('Dataset experimental'!AE253+SIN('Avaliação do resultado ML'!B253))*0.70674187</f>
        <v>#REF!</v>
      </c>
      <c r="D253" s="12" t="e">
        <f aca="false">'Modelos Propostos'!E253+'Avaliação do resultado ML'!C253-'Modelos normativos'!AQ253</f>
        <v>#REF!</v>
      </c>
      <c r="E253" s="12" t="n">
        <f aca="false">'Modelos empíricos'!I253+1.1854</f>
        <v>1.9140752441586</v>
      </c>
      <c r="F253" s="4" t="e">
        <f aca="false">-0.01753*('Modelos normativos'!AN253-'Dataset experimental'!C253-ABS(G253)-('Modelos Propostos'!E253-'Modelos normativos'!AP253)/0.25291)</f>
        <v>#REF!</v>
      </c>
      <c r="G253" s="4" t="e">
        <f aca="false">'Dataset experimental'!K253+'Modelos empíricos'!K253^2+('Modelos Propostos'!E253-'Modelos normativos'!AQ253)*4.10553</f>
        <v>#REF!</v>
      </c>
      <c r="H253" s="4" t="e">
        <f aca="false">0.03283*(J253+K253)</f>
        <v>#REF!</v>
      </c>
      <c r="I253" s="4" t="e">
        <f aca="false">(1.61428/'Dataset experimental'!Q253)^3</f>
        <v>#REF!</v>
      </c>
      <c r="J253" s="4" t="e">
        <f aca="false">SIN('Dataset experimental'!E253)+1.450178*(SIN('Avaliação do resultado ML'!I253)+'Dataset experimental'!C253)</f>
        <v>#REF!</v>
      </c>
      <c r="K253" s="4" t="e">
        <f aca="false">('Modelos empíricos'!C253-'Dataset experimental'!G253)*'Dataset experimental'!AE253-'Modelos normativos'!AP253</f>
        <v>#REF!</v>
      </c>
      <c r="L253" s="4" t="n">
        <f aca="false">0.0076*'Dataset experimental'!B253+'Avaliação do resultado ML'!M253+'Avaliação do resultado ML'!N253+(-0.0328)*(0.0171*'Dataset experimental'!AD253-0.9442)*'Avaliação do resultado ML'!O253-'Avaliação do resultado ML'!P253-0.0364</f>
        <v>-0.0839738497066871</v>
      </c>
      <c r="M253" s="12" t="n">
        <f aca="false">0.03283*SIN(0.7328*'Dataset experimental'!D253-1.8266)</f>
        <v>-0.0115958827834406</v>
      </c>
      <c r="N253" s="12" t="n">
        <f aca="false">0.0476*SIN(4.2067/(0.0095*'Dataset experimental'!P253-1.9338)^3)</f>
        <v>-0.0237143865224017</v>
      </c>
      <c r="O253" s="12" t="n">
        <f aca="false">0.0214*'Dataset experimental'!F253-3.1067*'Dataset experimental'!B253*'Dataset experimental'!P253*('Dataset experimental'!T253-'Dataset experimental'!R253)*(0.39*'Dataset experimental'!P253*'Dataset experimental'!T253/'Dataset experimental'!V253-'Dataset experimental'!Z253+3.12)/(100000*'Dataset experimental'!V253)+0.7995</f>
        <v>-0.753519258804926</v>
      </c>
      <c r="P253" s="12" t="n">
        <f aca="false">0.4461*('Dataset experimental'!Z253-0.6*'Modelos normativos'!AB253)*(3.4*'Dataset experimental'!L253+0.17*'Dataset experimental'!B253/'Modelos normativos'!AC253)/200000</f>
        <v>0.124813035995153</v>
      </c>
      <c r="Q253" s="4" t="e">
        <f aca="false">L253/H253</f>
        <v>#REF!</v>
      </c>
      <c r="R253" s="4" t="e">
        <f aca="false">(-0.042-0.014*'Com TS variável MC2020'!Q262)*('Modelos normativos'!AP253-ABS('Modelos Propostos'!K253)-'Dataset experimental'!W253+COS(S253))</f>
        <v>#REF!</v>
      </c>
      <c r="S253" s="4" t="e">
        <f aca="false">'Dataset experimental'!O253-('Modelos normativos'!AQ253-SIN(0.083/('Dataset experimental'!M253-'Dataset experimental'!O253))-'Modelos empíricos'!I253)/0.646</f>
        <v>#REF!</v>
      </c>
      <c r="W253" s="4" t="e">
        <f aca="false">'Modelos normativos'!S253+'Avaliação do resultado ML'!A253</f>
        <v>#REF!</v>
      </c>
      <c r="X253" s="4" t="e">
        <f aca="false">W253/'Dataset experimental'!$AF253</f>
        <v>#REF!</v>
      </c>
      <c r="AJ253" s="4" t="e">
        <f aca="false">'Modelos Propostos'!B253+H253</f>
        <v>#REF!</v>
      </c>
      <c r="AK253" s="4" t="e">
        <f aca="false">AJ253/'Dataset experimental'!$AF253</f>
        <v>#REF!</v>
      </c>
      <c r="AV253" s="4" t="e">
        <f aca="false">'Modelos normativos'!S253+F253</f>
        <v>#REF!</v>
      </c>
      <c r="AW253" s="4" t="e">
        <f aca="false">AV253/'Dataset experimental'!$AF253</f>
        <v>#REF!</v>
      </c>
      <c r="BH253" s="4" t="e">
        <f aca="false">'Modelos Propostos'!B253+R253</f>
        <v>#REF!</v>
      </c>
      <c r="BI253" s="4" t="e">
        <f aca="false">BH253/'Dataset experimental'!$AF253</f>
        <v>#REF!</v>
      </c>
      <c r="BT253" s="4" t="n">
        <f aca="false">'Modelos Propostos'!B253+L253</f>
        <v>0.272500563449917</v>
      </c>
      <c r="BU253" s="4" t="n">
        <f aca="false">BT253/'Dataset experimental'!$AF253</f>
        <v>1.09000225379967</v>
      </c>
    </row>
    <row r="254" customFormat="false" ht="14.25" hidden="false" customHeight="false" outlineLevel="0" collapsed="false">
      <c r="A254" s="4" t="e">
        <f aca="false">0.0894*ABS(D254)-0.01603*E254</f>
        <v>#REF!</v>
      </c>
      <c r="B254" s="12" t="e">
        <f aca="false">'Dataset experimental'!K254*COS('Dataset experimental'!AC254)-'Dataset experimental'!M254-'Dataset experimental'!C254</f>
        <v>#REF!</v>
      </c>
      <c r="C254" s="12" t="e">
        <f aca="false">('Dataset experimental'!AE254+SIN('Avaliação do resultado ML'!B254))*0.70674187</f>
        <v>#REF!</v>
      </c>
      <c r="D254" s="12" t="e">
        <f aca="false">'Modelos Propostos'!E254+'Avaliação do resultado ML'!C254-'Modelos normativos'!AQ254</f>
        <v>#REF!</v>
      </c>
      <c r="E254" s="12" t="n">
        <f aca="false">'Modelos empíricos'!I254+1.1854</f>
        <v>1.60086960025001</v>
      </c>
      <c r="F254" s="4" t="e">
        <f aca="false">-0.01753*('Modelos normativos'!AN254-'Dataset experimental'!C254-ABS(G254)-('Modelos Propostos'!E254-'Modelos normativos'!AP254)/0.25291)</f>
        <v>#REF!</v>
      </c>
      <c r="G254" s="4" t="e">
        <f aca="false">'Dataset experimental'!K254+'Modelos empíricos'!K254^2+('Modelos Propostos'!E254-'Modelos normativos'!AQ254)*4.10553</f>
        <v>#REF!</v>
      </c>
      <c r="H254" s="4" t="e">
        <f aca="false">0.03283*(J254+K254)</f>
        <v>#REF!</v>
      </c>
      <c r="I254" s="4" t="e">
        <f aca="false">(1.61428/'Dataset experimental'!Q254)^3</f>
        <v>#REF!</v>
      </c>
      <c r="J254" s="4" t="e">
        <f aca="false">SIN('Dataset experimental'!E254)+1.450178*(SIN('Avaliação do resultado ML'!I254)+'Dataset experimental'!C254)</f>
        <v>#REF!</v>
      </c>
      <c r="K254" s="4" t="e">
        <f aca="false">('Modelos empíricos'!C254-'Dataset experimental'!G254)*'Dataset experimental'!AE254-'Modelos normativos'!AP254</f>
        <v>#REF!</v>
      </c>
      <c r="L254" s="4" t="n">
        <f aca="false">0.0076*'Dataset experimental'!B254+'Avaliação do resultado ML'!M254+'Avaliação do resultado ML'!N254+(-0.0328)*(0.0171*'Dataset experimental'!AD254-0.9442)*'Avaliação do resultado ML'!O254-'Avaliação do resultado ML'!P254-0.0364</f>
        <v>-0.0735948651890473</v>
      </c>
      <c r="M254" s="12" t="n">
        <f aca="false">0.03283*SIN(0.7328*'Dataset experimental'!D254-1.8266)</f>
        <v>-0.0115958827834406</v>
      </c>
      <c r="N254" s="12" t="n">
        <f aca="false">0.0476*SIN(4.2067/(0.0095*'Dataset experimental'!P254-1.9338)^3)</f>
        <v>-0.0237143865224017</v>
      </c>
      <c r="O254" s="12" t="n">
        <f aca="false">0.0214*'Dataset experimental'!F254-3.1067*'Dataset experimental'!B254*'Dataset experimental'!P254*('Dataset experimental'!T254-'Dataset experimental'!R254)*(0.39*'Dataset experimental'!P254*'Dataset experimental'!T254/'Dataset experimental'!V254-'Dataset experimental'!Z254+3.12)/(100000*'Dataset experimental'!V254)+0.7995</f>
        <v>-0.545851927514065</v>
      </c>
      <c r="P254" s="12" t="n">
        <f aca="false">0.4461*('Dataset experimental'!Z254-0.6*'Modelos normativos'!AB254)*(3.4*'Dataset experimental'!L254+0.17*'Dataset experimental'!B254/'Modelos normativos'!AC254)/200000</f>
        <v>0.114147174764188</v>
      </c>
      <c r="Q254" s="4" t="e">
        <f aca="false">L254/H254</f>
        <v>#REF!</v>
      </c>
      <c r="R254" s="4" t="e">
        <f aca="false">(-0.042-0.014*'Com TS variável MC2020'!Q263)*('Modelos normativos'!AP254-ABS('Modelos Propostos'!K254)-'Dataset experimental'!W254+COS(S254))</f>
        <v>#REF!</v>
      </c>
      <c r="S254" s="4" t="e">
        <f aca="false">'Dataset experimental'!O254-('Modelos normativos'!AQ254-SIN(0.083/('Dataset experimental'!M254-'Dataset experimental'!O254))-'Modelos empíricos'!I254)/0.646</f>
        <v>#REF!</v>
      </c>
      <c r="W254" s="4" t="e">
        <f aca="false">'Modelos normativos'!S254+'Avaliação do resultado ML'!A254</f>
        <v>#REF!</v>
      </c>
      <c r="X254" s="4" t="e">
        <f aca="false">W254/'Dataset experimental'!$AF254</f>
        <v>#REF!</v>
      </c>
      <c r="AJ254" s="4" t="e">
        <f aca="false">'Modelos Propostos'!B254+H254</f>
        <v>#REF!</v>
      </c>
      <c r="AK254" s="4" t="e">
        <f aca="false">AJ254/'Dataset experimental'!$AF254</f>
        <v>#REF!</v>
      </c>
      <c r="AV254" s="4" t="e">
        <f aca="false">'Modelos normativos'!S254+F254</f>
        <v>#REF!</v>
      </c>
      <c r="AW254" s="4" t="e">
        <f aca="false">AV254/'Dataset experimental'!$AF254</f>
        <v>#REF!</v>
      </c>
      <c r="BH254" s="4" t="e">
        <f aca="false">'Modelos Propostos'!B254+R254</f>
        <v>#REF!</v>
      </c>
      <c r="BI254" s="4" t="e">
        <f aca="false">BH254/'Dataset experimental'!$AF254</f>
        <v>#REF!</v>
      </c>
      <c r="BT254" s="4" t="n">
        <f aca="false">'Modelos Propostos'!B254+L254</f>
        <v>0.245831979692783</v>
      </c>
      <c r="BU254" s="4" t="n">
        <f aca="false">BT254/'Dataset experimental'!$AF254</f>
        <v>1.22915989846391</v>
      </c>
    </row>
    <row r="255" customFormat="false" ht="14.25" hidden="false" customHeight="false" outlineLevel="0" collapsed="false">
      <c r="A255" s="4" t="e">
        <f aca="false">0.0894*ABS(D255)-0.01603*E255</f>
        <v>#REF!</v>
      </c>
      <c r="B255" s="12" t="e">
        <f aca="false">'Dataset experimental'!K255*COS('Dataset experimental'!AC255)-'Dataset experimental'!M255-'Dataset experimental'!C255</f>
        <v>#REF!</v>
      </c>
      <c r="C255" s="12" t="e">
        <f aca="false">('Dataset experimental'!AE255+SIN('Avaliação do resultado ML'!B255))*0.70674187</f>
        <v>#REF!</v>
      </c>
      <c r="D255" s="12" t="e">
        <f aca="false">'Modelos Propostos'!E255+'Avaliação do resultado ML'!C255-'Modelos normativos'!AQ255</f>
        <v>#REF!</v>
      </c>
      <c r="E255" s="12" t="n">
        <f aca="false">'Modelos empíricos'!I255+1.1854</f>
        <v>1.9140752441586</v>
      </c>
      <c r="F255" s="4" t="e">
        <f aca="false">-0.01753*('Modelos normativos'!AN255-'Dataset experimental'!C255-ABS(G255)-('Modelos Propostos'!E255-'Modelos normativos'!AP255)/0.25291)</f>
        <v>#REF!</v>
      </c>
      <c r="G255" s="4" t="e">
        <f aca="false">'Dataset experimental'!K255+'Modelos empíricos'!K255^2+('Modelos Propostos'!E255-'Modelos normativos'!AQ255)*4.10553</f>
        <v>#REF!</v>
      </c>
      <c r="H255" s="4" t="e">
        <f aca="false">0.03283*(J255+K255)</f>
        <v>#REF!</v>
      </c>
      <c r="I255" s="4" t="e">
        <f aca="false">(1.61428/'Dataset experimental'!Q255)^3</f>
        <v>#REF!</v>
      </c>
      <c r="J255" s="4" t="e">
        <f aca="false">SIN('Dataset experimental'!E255)+1.450178*(SIN('Avaliação do resultado ML'!I255)+'Dataset experimental'!C255)</f>
        <v>#REF!</v>
      </c>
      <c r="K255" s="4" t="e">
        <f aca="false">('Modelos empíricos'!C255-'Dataset experimental'!G255)*'Dataset experimental'!AE255-'Modelos normativos'!AP255</f>
        <v>#REF!</v>
      </c>
      <c r="L255" s="4" t="n">
        <f aca="false">0.0076*'Dataset experimental'!B255+'Avaliação do resultado ML'!M255+'Avaliação do resultado ML'!N255+(-0.0328)*(0.0171*'Dataset experimental'!AD255-0.9442)*'Avaliação do resultado ML'!O255-'Avaliação do resultado ML'!P255-0.0364</f>
        <v>-0.0839738497066871</v>
      </c>
      <c r="M255" s="12" t="n">
        <f aca="false">0.03283*SIN(0.7328*'Dataset experimental'!D255-1.8266)</f>
        <v>-0.0115958827834406</v>
      </c>
      <c r="N255" s="12" t="n">
        <f aca="false">0.0476*SIN(4.2067/(0.0095*'Dataset experimental'!P255-1.9338)^3)</f>
        <v>-0.0237143865224017</v>
      </c>
      <c r="O255" s="12" t="n">
        <f aca="false">0.0214*'Dataset experimental'!F255-3.1067*'Dataset experimental'!B255*'Dataset experimental'!P255*('Dataset experimental'!T255-'Dataset experimental'!R255)*(0.39*'Dataset experimental'!P255*'Dataset experimental'!T255/'Dataset experimental'!V255-'Dataset experimental'!Z255+3.12)/(100000*'Dataset experimental'!V255)+0.7995</f>
        <v>-0.753519258804926</v>
      </c>
      <c r="P255" s="12" t="n">
        <f aca="false">0.4461*('Dataset experimental'!Z255-0.6*'Modelos normativos'!AB255)*(3.4*'Dataset experimental'!L255+0.17*'Dataset experimental'!B255/'Modelos normativos'!AC255)/200000</f>
        <v>0.124813035995153</v>
      </c>
      <c r="Q255" s="4" t="e">
        <f aca="false">L255/H255</f>
        <v>#REF!</v>
      </c>
      <c r="R255" s="4" t="e">
        <f aca="false">(-0.042-0.014*'Com TS variável MC2020'!Q264)*('Modelos normativos'!AP255-ABS('Modelos Propostos'!K255)-'Dataset experimental'!W255+COS(S255))</f>
        <v>#REF!</v>
      </c>
      <c r="S255" s="4" t="e">
        <f aca="false">'Dataset experimental'!O255-('Modelos normativos'!AQ255-SIN(0.083/('Dataset experimental'!M255-'Dataset experimental'!O255))-'Modelos empíricos'!I255)/0.646</f>
        <v>#REF!</v>
      </c>
      <c r="W255" s="4" t="e">
        <f aca="false">'Modelos normativos'!S255+'Avaliação do resultado ML'!A255</f>
        <v>#REF!</v>
      </c>
      <c r="X255" s="4" t="e">
        <f aca="false">W255/'Dataset experimental'!$AF255</f>
        <v>#REF!</v>
      </c>
      <c r="AJ255" s="4" t="e">
        <f aca="false">'Modelos Propostos'!B255+H255</f>
        <v>#REF!</v>
      </c>
      <c r="AK255" s="4" t="e">
        <f aca="false">AJ255/'Dataset experimental'!$AF255</f>
        <v>#REF!</v>
      </c>
      <c r="AV255" s="4" t="e">
        <f aca="false">'Modelos normativos'!S255+F255</f>
        <v>#REF!</v>
      </c>
      <c r="AW255" s="4" t="e">
        <f aca="false">AV255/'Dataset experimental'!$AF255</f>
        <v>#REF!</v>
      </c>
      <c r="BH255" s="4" t="e">
        <f aca="false">'Modelos Propostos'!B255+R255</f>
        <v>#REF!</v>
      </c>
      <c r="BI255" s="4" t="e">
        <f aca="false">BH255/'Dataset experimental'!$AF255</f>
        <v>#REF!</v>
      </c>
      <c r="BT255" s="4" t="n">
        <f aca="false">'Modelos Propostos'!B255+L255</f>
        <v>0.272500563449917</v>
      </c>
      <c r="BU255" s="4" t="n">
        <f aca="false">BT255/'Dataset experimental'!$AF255</f>
        <v>1.09000225379967</v>
      </c>
    </row>
    <row r="256" customFormat="false" ht="14.25" hidden="false" customHeight="false" outlineLevel="0" collapsed="false">
      <c r="A256" s="4" t="e">
        <f aca="false">0.0894*ABS(D256)-0.01603*E256</f>
        <v>#REF!</v>
      </c>
      <c r="B256" s="12" t="e">
        <f aca="false">'Dataset experimental'!K256*COS('Dataset experimental'!AC256)-'Dataset experimental'!M256-'Dataset experimental'!C256</f>
        <v>#REF!</v>
      </c>
      <c r="C256" s="12" t="e">
        <f aca="false">('Dataset experimental'!AE256+SIN('Avaliação do resultado ML'!B256))*0.70674187</f>
        <v>#REF!</v>
      </c>
      <c r="D256" s="12" t="e">
        <f aca="false">'Modelos Propostos'!E256+'Avaliação do resultado ML'!C256-'Modelos normativos'!AQ256</f>
        <v>#REF!</v>
      </c>
      <c r="E256" s="12" t="n">
        <f aca="false">'Modelos empíricos'!I256+1.1854</f>
        <v>1.61513770008406</v>
      </c>
      <c r="F256" s="4" t="e">
        <f aca="false">-0.01753*('Modelos normativos'!AN256-'Dataset experimental'!C256-ABS(G256)-('Modelos Propostos'!E256-'Modelos normativos'!AP256)/0.25291)</f>
        <v>#REF!</v>
      </c>
      <c r="G256" s="4" t="e">
        <f aca="false">'Dataset experimental'!K256+'Modelos empíricos'!K256^2+('Modelos Propostos'!E256-'Modelos normativos'!AQ256)*4.10553</f>
        <v>#REF!</v>
      </c>
      <c r="H256" s="4" t="e">
        <f aca="false">0.03283*(J256+K256)</f>
        <v>#REF!</v>
      </c>
      <c r="I256" s="4" t="e">
        <f aca="false">(1.61428/'Dataset experimental'!Q256)^3</f>
        <v>#REF!</v>
      </c>
      <c r="J256" s="4" t="e">
        <f aca="false">SIN('Dataset experimental'!E256)+1.450178*(SIN('Avaliação do resultado ML'!I256)+'Dataset experimental'!C256)</f>
        <v>#REF!</v>
      </c>
      <c r="K256" s="4" t="e">
        <f aca="false">('Modelos empíricos'!C256-'Dataset experimental'!G256)*'Dataset experimental'!AE256-'Modelos normativos'!AP256</f>
        <v>#REF!</v>
      </c>
      <c r="L256" s="4" t="n">
        <f aca="false">0.0076*'Dataset experimental'!B256+'Avaliação do resultado ML'!M256+'Avaliação do resultado ML'!N256+(-0.0328)*(0.0171*'Dataset experimental'!AD256-0.9442)*'Avaliação do resultado ML'!O256-'Avaliação do resultado ML'!P256-0.0364</f>
        <v>-0.0741982601470843</v>
      </c>
      <c r="M256" s="12" t="n">
        <f aca="false">0.03283*SIN(0.7328*'Dataset experimental'!D256-1.8266)</f>
        <v>-0.0115958827834406</v>
      </c>
      <c r="N256" s="12" t="n">
        <f aca="false">0.0476*SIN(4.2067/(0.0095*'Dataset experimental'!P256-1.9338)^3)</f>
        <v>-0.0237143865224017</v>
      </c>
      <c r="O256" s="12" t="n">
        <f aca="false">0.0214*'Dataset experimental'!F256-3.1067*'Dataset experimental'!B256*'Dataset experimental'!P256*('Dataset experimental'!T256-'Dataset experimental'!R256)*(0.39*'Dataset experimental'!P256*'Dataset experimental'!T256/'Dataset experimental'!V256-'Dataset experimental'!Z256+3.12)/(100000*'Dataset experimental'!V256)+0.7995</f>
        <v>-0.555312223880859</v>
      </c>
      <c r="P256" s="12" t="n">
        <f aca="false">0.4461*('Dataset experimental'!Z256-0.6*'Modelos normativos'!AB256)*(3.4*'Dataset experimental'!L256+0.17*'Dataset experimental'!B256/'Modelos normativos'!AC256)/200000</f>
        <v>0.114633058642143</v>
      </c>
      <c r="Q256" s="4" t="e">
        <f aca="false">L256/H256</f>
        <v>#REF!</v>
      </c>
      <c r="R256" s="4" t="e">
        <f aca="false">(-0.042-0.014*'Com TS variável MC2020'!Q265)*('Modelos normativos'!AP256-ABS('Modelos Propostos'!K256)-'Dataset experimental'!W256+COS(S256))</f>
        <v>#REF!</v>
      </c>
      <c r="S256" s="4" t="e">
        <f aca="false">'Dataset experimental'!O256-('Modelos normativos'!AQ256-SIN(0.083/('Dataset experimental'!M256-'Dataset experimental'!O256))-'Modelos empíricos'!I256)/0.646</f>
        <v>#REF!</v>
      </c>
      <c r="W256" s="4" t="e">
        <f aca="false">'Modelos normativos'!S256+'Avaliação do resultado ML'!A256</f>
        <v>#REF!</v>
      </c>
      <c r="X256" s="4" t="e">
        <f aca="false">W256/'Dataset experimental'!$AF256</f>
        <v>#REF!</v>
      </c>
      <c r="AJ256" s="4" t="e">
        <f aca="false">'Modelos Propostos'!B256+H256</f>
        <v>#REF!</v>
      </c>
      <c r="AK256" s="4" t="e">
        <f aca="false">AJ256/'Dataset experimental'!$AF256</f>
        <v>#REF!</v>
      </c>
      <c r="AV256" s="4" t="e">
        <f aca="false">'Modelos normativos'!S256+F256</f>
        <v>#REF!</v>
      </c>
      <c r="AW256" s="4" t="e">
        <f aca="false">AV256/'Dataset experimental'!$AF256</f>
        <v>#REF!</v>
      </c>
      <c r="BH256" s="4" t="e">
        <f aca="false">'Modelos Propostos'!B256+R256</f>
        <v>#REF!</v>
      </c>
      <c r="BI256" s="4" t="e">
        <f aca="false">BH256/'Dataset experimental'!$AF256</f>
        <v>#REF!</v>
      </c>
      <c r="BT256" s="4" t="n">
        <f aca="false">'Modelos Propostos'!B256+L256</f>
        <v>0.246916288685915</v>
      </c>
      <c r="BU256" s="4" t="n">
        <f aca="false">BT256/'Dataset experimental'!$AF256</f>
        <v>1.23458144342958</v>
      </c>
    </row>
    <row r="257" customFormat="false" ht="14.25" hidden="false" customHeight="false" outlineLevel="0" collapsed="false">
      <c r="A257" s="4" t="e">
        <f aca="false">0.0894*ABS(D257)-0.01603*E257</f>
        <v>#REF!</v>
      </c>
      <c r="B257" s="12" t="e">
        <f aca="false">'Dataset experimental'!K257*COS('Dataset experimental'!AC257)-'Dataset experimental'!M257-'Dataset experimental'!C257</f>
        <v>#REF!</v>
      </c>
      <c r="C257" s="12" t="e">
        <f aca="false">('Dataset experimental'!AE257+SIN('Avaliação do resultado ML'!B257))*0.70674187</f>
        <v>#REF!</v>
      </c>
      <c r="D257" s="12" t="e">
        <f aca="false">'Modelos Propostos'!E257+'Avaliação do resultado ML'!C257-'Modelos normativos'!AQ257</f>
        <v>#REF!</v>
      </c>
      <c r="E257" s="12" t="n">
        <f aca="false">'Modelos empíricos'!I257+1.1854</f>
        <v>1.9140752441586</v>
      </c>
      <c r="F257" s="4" t="e">
        <f aca="false">-0.01753*('Modelos normativos'!AN257-'Dataset experimental'!C257-ABS(G257)-('Modelos Propostos'!E257-'Modelos normativos'!AP257)/0.25291)</f>
        <v>#REF!</v>
      </c>
      <c r="G257" s="4" t="e">
        <f aca="false">'Dataset experimental'!K257+'Modelos empíricos'!K257^2+('Modelos Propostos'!E257-'Modelos normativos'!AQ257)*4.10553</f>
        <v>#REF!</v>
      </c>
      <c r="H257" s="4" t="e">
        <f aca="false">0.03283*(J257+K257)</f>
        <v>#REF!</v>
      </c>
      <c r="I257" s="4" t="e">
        <f aca="false">(1.61428/'Dataset experimental'!Q257)^3</f>
        <v>#REF!</v>
      </c>
      <c r="J257" s="4" t="e">
        <f aca="false">SIN('Dataset experimental'!E257)+1.450178*(SIN('Avaliação do resultado ML'!I257)+'Dataset experimental'!C257)</f>
        <v>#REF!</v>
      </c>
      <c r="K257" s="4" t="e">
        <f aca="false">('Modelos empíricos'!C257-'Dataset experimental'!G257)*'Dataset experimental'!AE257-'Modelos normativos'!AP257</f>
        <v>#REF!</v>
      </c>
      <c r="L257" s="4" t="n">
        <f aca="false">0.0076*'Dataset experimental'!B257+'Avaliação do resultado ML'!M257+'Avaliação do resultado ML'!N257+(-0.0328)*(0.0171*'Dataset experimental'!AD257-0.9442)*'Avaliação do resultado ML'!O257-'Avaliação do resultado ML'!P257-0.0364</f>
        <v>-0.0839315863184992</v>
      </c>
      <c r="M257" s="12" t="n">
        <f aca="false">0.03283*SIN(0.7328*'Dataset experimental'!D257-1.8266)</f>
        <v>-0.0115958827834406</v>
      </c>
      <c r="N257" s="12" t="n">
        <f aca="false">0.0476*SIN(4.2067/(0.0095*'Dataset experimental'!P257-1.9338)^3)</f>
        <v>-0.0237143865224017</v>
      </c>
      <c r="O257" s="12" t="n">
        <f aca="false">0.0214*'Dataset experimental'!F257-3.1067*'Dataset experimental'!B257*'Dataset experimental'!P257*('Dataset experimental'!T257-'Dataset experimental'!R257)*(0.39*'Dataset experimental'!P257*'Dataset experimental'!T257/'Dataset experimental'!V257-'Dataset experimental'!Z257+3.12)/(100000*'Dataset experimental'!V257)+0.7995</f>
        <v>-0.753519258804926</v>
      </c>
      <c r="P257" s="12" t="n">
        <f aca="false">0.4461*('Dataset experimental'!Z257-0.6*'Modelos normativos'!AB257)*(3.4*'Dataset experimental'!L257+0.17*'Dataset experimental'!B257/'Modelos normativos'!AC257)/200000</f>
        <v>0.124813035995153</v>
      </c>
      <c r="Q257" s="4" t="e">
        <f aca="false">L257/H257</f>
        <v>#REF!</v>
      </c>
      <c r="R257" s="4" t="e">
        <f aca="false">(-0.042-0.014*'Com TS variável MC2020'!Q266)*('Modelos normativos'!AP257-ABS('Modelos Propostos'!K257)-'Dataset experimental'!W257+COS(S257))</f>
        <v>#REF!</v>
      </c>
      <c r="S257" s="4" t="e">
        <f aca="false">'Dataset experimental'!O257-('Modelos normativos'!AQ257-SIN(0.083/('Dataset experimental'!M257-'Dataset experimental'!O257))-'Modelos empíricos'!I257)/0.646</f>
        <v>#REF!</v>
      </c>
      <c r="W257" s="4" t="e">
        <f aca="false">'Modelos normativos'!S257+'Avaliação do resultado ML'!A257</f>
        <v>#REF!</v>
      </c>
      <c r="X257" s="4" t="e">
        <f aca="false">W257/'Dataset experimental'!$AF257</f>
        <v>#REF!</v>
      </c>
      <c r="AJ257" s="4" t="e">
        <f aca="false">'Modelos Propostos'!B257+H257</f>
        <v>#REF!</v>
      </c>
      <c r="AK257" s="4" t="e">
        <f aca="false">AJ257/'Dataset experimental'!$AF257</f>
        <v>#REF!</v>
      </c>
      <c r="AV257" s="4" t="e">
        <f aca="false">'Modelos normativos'!S257+F257</f>
        <v>#REF!</v>
      </c>
      <c r="AW257" s="4" t="e">
        <f aca="false">AV257/'Dataset experimental'!$AF257</f>
        <v>#REF!</v>
      </c>
      <c r="BH257" s="4" t="e">
        <f aca="false">'Modelos Propostos'!B257+R257</f>
        <v>#REF!</v>
      </c>
      <c r="BI257" s="4" t="e">
        <f aca="false">BH257/'Dataset experimental'!$AF257</f>
        <v>#REF!</v>
      </c>
      <c r="BT257" s="4" t="n">
        <f aca="false">'Modelos Propostos'!B257+L257</f>
        <v>0.272542826838105</v>
      </c>
      <c r="BU257" s="4" t="n">
        <f aca="false">BT257/'Dataset experimental'!$AF257</f>
        <v>0.908476089460349</v>
      </c>
    </row>
    <row r="258" customFormat="false" ht="14.25" hidden="false" customHeight="false" outlineLevel="0" collapsed="false">
      <c r="A258" s="4" t="e">
        <f aca="false">0.0894*ABS(D258)-0.01603*E258</f>
        <v>#REF!</v>
      </c>
      <c r="B258" s="12" t="e">
        <f aca="false">'Dataset experimental'!K258*COS('Dataset experimental'!AC258)-'Dataset experimental'!M258-'Dataset experimental'!C258</f>
        <v>#REF!</v>
      </c>
      <c r="C258" s="12" t="e">
        <f aca="false">('Dataset experimental'!AE258+SIN('Avaliação do resultado ML'!B258))*0.70674187</f>
        <v>#REF!</v>
      </c>
      <c r="D258" s="12" t="e">
        <f aca="false">'Modelos Propostos'!E258+'Avaliação do resultado ML'!C258-'Modelos normativos'!AQ258</f>
        <v>#REF!</v>
      </c>
      <c r="E258" s="12" t="n">
        <f aca="false">'Modelos empíricos'!I258+1.1854</f>
        <v>0.835490191531645</v>
      </c>
      <c r="F258" s="4" t="e">
        <f aca="false">-0.01753*('Modelos normativos'!AN258-'Dataset experimental'!C258-ABS(G258)-('Modelos Propostos'!E258-'Modelos normativos'!AP258)/0.25291)</f>
        <v>#REF!</v>
      </c>
      <c r="G258" s="4" t="e">
        <f aca="false">'Dataset experimental'!K258+'Modelos empíricos'!K258^2+('Modelos Propostos'!E258-'Modelos normativos'!AQ258)*4.10553</f>
        <v>#REF!</v>
      </c>
      <c r="H258" s="4" t="e">
        <f aca="false">0.03283*(J258+K258)</f>
        <v>#REF!</v>
      </c>
      <c r="I258" s="4" t="e">
        <f aca="false">(1.61428/'Dataset experimental'!Q258)^3</f>
        <v>#REF!</v>
      </c>
      <c r="J258" s="4" t="e">
        <f aca="false">SIN('Dataset experimental'!E258)+1.450178*(SIN('Avaliação do resultado ML'!I258)+'Dataset experimental'!C258)</f>
        <v>#REF!</v>
      </c>
      <c r="K258" s="4" t="e">
        <f aca="false">('Modelos empíricos'!C258-'Dataset experimental'!G258)*'Dataset experimental'!AE258-'Modelos normativos'!AP258</f>
        <v>#REF!</v>
      </c>
      <c r="L258" s="4" t="n">
        <f aca="false">0.0076*'Dataset experimental'!B258+'Avaliação do resultado ML'!M258+'Avaliação do resultado ML'!N258+(-0.0328)*(0.0171*'Dataset experimental'!AD258-0.9442)*'Avaliação do resultado ML'!O258-'Avaliação do resultado ML'!P258-0.0364</f>
        <v>-0.0809943683107712</v>
      </c>
      <c r="M258" s="12" t="n">
        <f aca="false">0.03283*SIN(0.7328*'Dataset experimental'!D258-1.8266)</f>
        <v>-0.0115958827834406</v>
      </c>
      <c r="N258" s="12" t="n">
        <f aca="false">0.0476*SIN(4.2067/(0.0095*'Dataset experimental'!P258-1.9338)^3)</f>
        <v>-0.0237143865224017</v>
      </c>
      <c r="O258" s="12" t="n">
        <f aca="false">0.0214*'Dataset experimental'!F258-3.1067*'Dataset experimental'!B258*'Dataset experimental'!P258*('Dataset experimental'!T258-'Dataset experimental'!R258)*(0.39*'Dataset experimental'!P258*'Dataset experimental'!T258/'Dataset experimental'!V258-'Dataset experimental'!Z258+3.12)/(100000*'Dataset experimental'!V258)+0.7995</f>
        <v>-0.344144663897625</v>
      </c>
      <c r="P258" s="12" t="n">
        <f aca="false">0.4461*('Dataset experimental'!Z258-0.6*'Modelos normativos'!AB258)*(3.4*'Dataset experimental'!L258+0.17*'Dataset experimental'!B258/'Modelos normativos'!AC258)/200000</f>
        <v>0.0981571935604944</v>
      </c>
      <c r="Q258" s="4" t="e">
        <f aca="false">L258/H258</f>
        <v>#REF!</v>
      </c>
      <c r="R258" s="4" t="e">
        <f aca="false">(-0.042-0.014*'Com TS variável MC2020'!Q267)*('Modelos normativos'!AP258-ABS('Modelos Propostos'!K258)-'Dataset experimental'!W258+COS(S258))</f>
        <v>#REF!</v>
      </c>
      <c r="S258" s="4" t="e">
        <f aca="false">'Dataset experimental'!O258-('Modelos normativos'!AQ258-SIN(0.083/('Dataset experimental'!M258-'Dataset experimental'!O258))-'Modelos empíricos'!I258)/0.646</f>
        <v>#REF!</v>
      </c>
      <c r="W258" s="4" t="e">
        <f aca="false">'Modelos normativos'!S258+'Avaliação do resultado ML'!A258</f>
        <v>#REF!</v>
      </c>
      <c r="X258" s="4" t="e">
        <f aca="false">W258/'Dataset experimental'!$AF258</f>
        <v>#REF!</v>
      </c>
      <c r="AJ258" s="4" t="e">
        <f aca="false">'Modelos Propostos'!B258+H258</f>
        <v>#REF!</v>
      </c>
      <c r="AK258" s="4" t="e">
        <f aca="false">AJ258/'Dataset experimental'!$AF258</f>
        <v>#REF!</v>
      </c>
      <c r="AV258" s="4" t="e">
        <f aca="false">'Modelos normativos'!S258+F258</f>
        <v>#REF!</v>
      </c>
      <c r="AW258" s="4" t="e">
        <f aca="false">AV258/'Dataset experimental'!$AF258</f>
        <v>#REF!</v>
      </c>
      <c r="BH258" s="4" t="e">
        <f aca="false">'Modelos Propostos'!B258+R258</f>
        <v>#REF!</v>
      </c>
      <c r="BI258" s="4" t="e">
        <f aca="false">BH258/'Dataset experimental'!$AF258</f>
        <v>#REF!</v>
      </c>
      <c r="BT258" s="4" t="n">
        <f aca="false">'Modelos Propostos'!B258+L258</f>
        <v>0.18606485257107</v>
      </c>
      <c r="BU258" s="4" t="n">
        <f aca="false">BT258/'Dataset experimental'!$AF258</f>
        <v>1.2404323504738</v>
      </c>
    </row>
    <row r="259" customFormat="false" ht="14.25" hidden="false" customHeight="false" outlineLevel="0" collapsed="false">
      <c r="A259" s="4" t="e">
        <f aca="false">0.0894*ABS(D259)-0.01603*E259</f>
        <v>#REF!</v>
      </c>
      <c r="B259" s="12" t="e">
        <f aca="false">'Dataset experimental'!K259*COS('Dataset experimental'!AC259)-'Dataset experimental'!M259-'Dataset experimental'!C259</f>
        <v>#REF!</v>
      </c>
      <c r="C259" s="12" t="e">
        <f aca="false">('Dataset experimental'!AE259+SIN('Avaliação do resultado ML'!B259))*0.70674187</f>
        <v>#REF!</v>
      </c>
      <c r="D259" s="12" t="e">
        <f aca="false">'Modelos Propostos'!E259+'Avaliação do resultado ML'!C259-'Modelos normativos'!AQ259</f>
        <v>#REF!</v>
      </c>
      <c r="E259" s="12" t="n">
        <f aca="false">'Modelos empíricos'!I259+1.1854</f>
        <v>1.56490470782305</v>
      </c>
      <c r="F259" s="4" t="e">
        <f aca="false">-0.01753*('Modelos normativos'!AN259-'Dataset experimental'!C259-ABS(G259)-('Modelos Propostos'!E259-'Modelos normativos'!AP259)/0.25291)</f>
        <v>#REF!</v>
      </c>
      <c r="G259" s="4" t="e">
        <f aca="false">'Dataset experimental'!K259+'Modelos empíricos'!K259^2+('Modelos Propostos'!E259-'Modelos normativos'!AQ259)*4.10553</f>
        <v>#REF!</v>
      </c>
      <c r="H259" s="4" t="e">
        <f aca="false">0.03283*(J259+K259)</f>
        <v>#REF!</v>
      </c>
      <c r="I259" s="4" t="e">
        <f aca="false">(1.61428/'Dataset experimental'!Q259)^3</f>
        <v>#REF!</v>
      </c>
      <c r="J259" s="4" t="e">
        <f aca="false">SIN('Dataset experimental'!E259)+1.450178*(SIN('Avaliação do resultado ML'!I259)+'Dataset experimental'!C259)</f>
        <v>#REF!</v>
      </c>
      <c r="K259" s="4" t="e">
        <f aca="false">('Modelos empíricos'!C259-'Dataset experimental'!G259)*'Dataset experimental'!AE259-'Modelos normativos'!AP259</f>
        <v>#REF!</v>
      </c>
      <c r="L259" s="4" t="n">
        <f aca="false">0.0076*'Dataset experimental'!B259+'Avaliação do resultado ML'!M259+'Avaliação do resultado ML'!N259+(-0.0328)*(0.0171*'Dataset experimental'!AD259-0.9442)*'Avaliação do resultado ML'!O259-'Avaliação do resultado ML'!P259-0.0364</f>
        <v>-0.123849712546501</v>
      </c>
      <c r="M259" s="12" t="n">
        <f aca="false">0.03283*SIN(0.7328*'Dataset experimental'!D259-1.8266)</f>
        <v>-0.0115958827834406</v>
      </c>
      <c r="N259" s="12" t="n">
        <f aca="false">0.0476*SIN(4.2067/(0.0095*'Dataset experimental'!P259-1.9338)^3)</f>
        <v>-0.0237143865224017</v>
      </c>
      <c r="O259" s="12" t="n">
        <f aca="false">0.0214*'Dataset experimental'!F259-3.1067*'Dataset experimental'!B259*'Dataset experimental'!P259*('Dataset experimental'!T259-'Dataset experimental'!R259)*(0.39*'Dataset experimental'!P259*'Dataset experimental'!T259/'Dataset experimental'!V259-'Dataset experimental'!Z259+3.12)/(100000*'Dataset experimental'!V259)+0.7995</f>
        <v>-0.985181240644115</v>
      </c>
      <c r="P259" s="12" t="n">
        <f aca="false">0.4461*('Dataset experimental'!Z259-0.6*'Modelos normativos'!AB259)*(3.4*'Dataset experimental'!L259+0.17*'Dataset experimental'!B259/'Modelos normativos'!AC259)/200000</f>
        <v>0.128978958364757</v>
      </c>
      <c r="Q259" s="4" t="e">
        <f aca="false">L259/H259</f>
        <v>#REF!</v>
      </c>
      <c r="R259" s="4" t="e">
        <f aca="false">(-0.042-0.014*'Com TS variável MC2020'!Q268)*('Modelos normativos'!AP259-ABS('Modelos Propostos'!K259)-'Dataset experimental'!W259+COS(S259))</f>
        <v>#REF!</v>
      </c>
      <c r="S259" s="4" t="e">
        <f aca="false">'Dataset experimental'!O259-('Modelos normativos'!AQ259-SIN(0.083/('Dataset experimental'!M259-'Dataset experimental'!O259))-'Modelos empíricos'!I259)/0.646</f>
        <v>#REF!</v>
      </c>
      <c r="W259" s="4" t="e">
        <f aca="false">'Modelos normativos'!S259+'Avaliação do resultado ML'!A259</f>
        <v>#REF!</v>
      </c>
      <c r="X259" s="4" t="e">
        <f aca="false">W259/'Dataset experimental'!$AF259</f>
        <v>#REF!</v>
      </c>
      <c r="AJ259" s="4" t="e">
        <f aca="false">'Modelos Propostos'!B259+H259</f>
        <v>#REF!</v>
      </c>
      <c r="AK259" s="4" t="e">
        <f aca="false">AJ259/'Dataset experimental'!$AF259</f>
        <v>#REF!</v>
      </c>
      <c r="AV259" s="4" t="e">
        <f aca="false">'Modelos normativos'!S259+F259</f>
        <v>#REF!</v>
      </c>
      <c r="AW259" s="4" t="e">
        <f aca="false">AV259/'Dataset experimental'!$AF259</f>
        <v>#REF!</v>
      </c>
      <c r="BH259" s="4" t="e">
        <f aca="false">'Modelos Propostos'!B259+R259</f>
        <v>#REF!</v>
      </c>
      <c r="BI259" s="4" t="e">
        <f aca="false">BH259/'Dataset experimental'!$AF259</f>
        <v>#REF!</v>
      </c>
      <c r="BT259" s="4" t="n">
        <f aca="false">'Modelos Propostos'!B259+L259</f>
        <v>0.254444496515809</v>
      </c>
      <c r="BU259" s="4" t="n">
        <f aca="false">BT259/'Dataset experimental'!$AF259</f>
        <v>1.27222248257904</v>
      </c>
    </row>
    <row r="260" customFormat="false" ht="14.25" hidden="false" customHeight="false" outlineLevel="0" collapsed="false">
      <c r="A260" s="4" t="e">
        <f aca="false">0.0894*ABS(D260)-0.01603*E260</f>
        <v>#REF!</v>
      </c>
      <c r="B260" s="12" t="e">
        <f aca="false">'Dataset experimental'!K260*COS('Dataset experimental'!AC260)-'Dataset experimental'!M260-'Dataset experimental'!C260</f>
        <v>#REF!</v>
      </c>
      <c r="C260" s="12" t="e">
        <f aca="false">('Dataset experimental'!AE260+SIN('Avaliação do resultado ML'!B260))*0.70674187</f>
        <v>#REF!</v>
      </c>
      <c r="D260" s="12" t="e">
        <f aca="false">'Modelos Propostos'!E260+'Avaliação do resultado ML'!C260-'Modelos normativos'!AQ260</f>
        <v>#REF!</v>
      </c>
      <c r="E260" s="12" t="n">
        <f aca="false">'Modelos empíricos'!I260+1.1854</f>
        <v>0.85520749322514</v>
      </c>
      <c r="F260" s="4" t="e">
        <f aca="false">-0.01753*('Modelos normativos'!AN260-'Dataset experimental'!C260-ABS(G260)-('Modelos Propostos'!E260-'Modelos normativos'!AP260)/0.25291)</f>
        <v>#REF!</v>
      </c>
      <c r="G260" s="4" t="e">
        <f aca="false">'Dataset experimental'!K260+'Modelos empíricos'!K260^2+('Modelos Propostos'!E260-'Modelos normativos'!AQ260)*4.10553</f>
        <v>#REF!</v>
      </c>
      <c r="H260" s="4" t="e">
        <f aca="false">0.03283*(J260+K260)</f>
        <v>#REF!</v>
      </c>
      <c r="I260" s="4" t="e">
        <f aca="false">(1.61428/'Dataset experimental'!Q260)^3</f>
        <v>#REF!</v>
      </c>
      <c r="J260" s="4" t="e">
        <f aca="false">SIN('Dataset experimental'!E260)+1.450178*(SIN('Avaliação do resultado ML'!I260)+'Dataset experimental'!C260)</f>
        <v>#REF!</v>
      </c>
      <c r="K260" s="4" t="e">
        <f aca="false">('Modelos empíricos'!C260-'Dataset experimental'!G260)*'Dataset experimental'!AE260-'Modelos normativos'!AP260</f>
        <v>#REF!</v>
      </c>
      <c r="L260" s="4" t="n">
        <f aca="false">0.0076*'Dataset experimental'!B260+'Avaliação do resultado ML'!M260+'Avaliação do resultado ML'!N260+(-0.0328)*(0.0171*'Dataset experimental'!AD260-0.9442)*'Avaliação do resultado ML'!O260-'Avaliação do resultado ML'!P260-0.0364</f>
        <v>-0.0821922934990248</v>
      </c>
      <c r="M260" s="12" t="n">
        <f aca="false">0.03283*SIN(0.7328*'Dataset experimental'!D260-1.8266)</f>
        <v>-0.0115958827834406</v>
      </c>
      <c r="N260" s="12" t="n">
        <f aca="false">0.0476*SIN(4.2067/(0.0095*'Dataset experimental'!P260-1.9338)^3)</f>
        <v>-0.0237143865224017</v>
      </c>
      <c r="O260" s="12" t="n">
        <f aca="false">0.0214*'Dataset experimental'!F260-3.1067*'Dataset experimental'!B260*'Dataset experimental'!P260*('Dataset experimental'!T260-'Dataset experimental'!R260)*(0.39*'Dataset experimental'!P260*'Dataset experimental'!T260/'Dataset experimental'!V260-'Dataset experimental'!Z260+3.12)/(100000*'Dataset experimental'!V260)+0.7995</f>
        <v>-0.361472961179861</v>
      </c>
      <c r="P260" s="12" t="n">
        <f aca="false">0.4461*('Dataset experimental'!Z260-0.6*'Modelos normativos'!AB260)*(3.4*'Dataset experimental'!L260+0.17*'Dataset experimental'!B260/'Modelos normativos'!AC260)/200000</f>
        <v>0.0989903577240779</v>
      </c>
      <c r="Q260" s="4" t="e">
        <f aca="false">L260/H260</f>
        <v>#REF!</v>
      </c>
      <c r="R260" s="4" t="e">
        <f aca="false">(-0.042-0.014*'Com TS variável MC2020'!Q269)*('Modelos normativos'!AP260-ABS('Modelos Propostos'!K260)-'Dataset experimental'!W260+COS(S260))</f>
        <v>#REF!</v>
      </c>
      <c r="S260" s="4" t="e">
        <f aca="false">'Dataset experimental'!O260-('Modelos normativos'!AQ260-SIN(0.083/('Dataset experimental'!M260-'Dataset experimental'!O260))-'Modelos empíricos'!I260)/0.646</f>
        <v>#REF!</v>
      </c>
      <c r="W260" s="4" t="e">
        <f aca="false">'Modelos normativos'!S260+'Avaliação do resultado ML'!A260</f>
        <v>#REF!</v>
      </c>
      <c r="X260" s="4" t="e">
        <f aca="false">W260/'Dataset experimental'!$AF260</f>
        <v>#REF!</v>
      </c>
      <c r="AJ260" s="4" t="e">
        <f aca="false">'Modelos Propostos'!B260+H260</f>
        <v>#REF!</v>
      </c>
      <c r="AK260" s="4" t="e">
        <f aca="false">AJ260/'Dataset experimental'!$AF260</f>
        <v>#REF!</v>
      </c>
      <c r="AV260" s="4" t="e">
        <f aca="false">'Modelos normativos'!S260+F260</f>
        <v>#REF!</v>
      </c>
      <c r="AW260" s="4" t="e">
        <f aca="false">AV260/'Dataset experimental'!$AF260</f>
        <v>#REF!</v>
      </c>
      <c r="BH260" s="4" t="e">
        <f aca="false">'Modelos Propostos'!B260+R260</f>
        <v>#REF!</v>
      </c>
      <c r="BI260" s="4" t="e">
        <f aca="false">BH260/'Dataset experimental'!$AF260</f>
        <v>#REF!</v>
      </c>
      <c r="BT260" s="4" t="n">
        <f aca="false">'Modelos Propostos'!B260+L260</f>
        <v>0.187873796278129</v>
      </c>
      <c r="BU260" s="4" t="n">
        <f aca="false">BT260/'Dataset experimental'!$AF260</f>
        <v>1.25249197518753</v>
      </c>
    </row>
    <row r="261" customFormat="false" ht="14.25" hidden="false" customHeight="false" outlineLevel="0" collapsed="false">
      <c r="A261" s="4" t="e">
        <f aca="false">0.0894*ABS(D261)-0.01603*E261</f>
        <v>#REF!</v>
      </c>
      <c r="B261" s="12" t="e">
        <f aca="false">'Dataset experimental'!K261*COS('Dataset experimental'!AC261)-'Dataset experimental'!M261-'Dataset experimental'!C261</f>
        <v>#REF!</v>
      </c>
      <c r="C261" s="12" t="e">
        <f aca="false">('Dataset experimental'!AE261+SIN('Avaliação do resultado ML'!B261))*0.70674187</f>
        <v>#REF!</v>
      </c>
      <c r="D261" s="12" t="e">
        <f aca="false">'Modelos Propostos'!E261+'Avaliação do resultado ML'!C261-'Modelos normativos'!AQ261</f>
        <v>#REF!</v>
      </c>
      <c r="E261" s="12" t="n">
        <f aca="false">'Modelos empíricos'!I261+1.1854</f>
        <v>1.56490470782305</v>
      </c>
      <c r="F261" s="4" t="e">
        <f aca="false">-0.01753*('Modelos normativos'!AN261-'Dataset experimental'!C261-ABS(G261)-('Modelos Propostos'!E261-'Modelos normativos'!AP261)/0.25291)</f>
        <v>#REF!</v>
      </c>
      <c r="G261" s="4" t="e">
        <f aca="false">'Dataset experimental'!K261+'Modelos empíricos'!K261^2+('Modelos Propostos'!E261-'Modelos normativos'!AQ261)*4.10553</f>
        <v>#REF!</v>
      </c>
      <c r="H261" s="4" t="e">
        <f aca="false">0.03283*(J261+K261)</f>
        <v>#REF!</v>
      </c>
      <c r="I261" s="4" t="e">
        <f aca="false">(1.61428/'Dataset experimental'!Q261)^3</f>
        <v>#REF!</v>
      </c>
      <c r="J261" s="4" t="e">
        <f aca="false">SIN('Dataset experimental'!E261)+1.450178*(SIN('Avaliação do resultado ML'!I261)+'Dataset experimental'!C261)</f>
        <v>#REF!</v>
      </c>
      <c r="K261" s="4" t="e">
        <f aca="false">('Modelos empíricos'!C261-'Dataset experimental'!G261)*'Dataset experimental'!AE261-'Modelos normativos'!AP261</f>
        <v>#REF!</v>
      </c>
      <c r="L261" s="4" t="n">
        <f aca="false">0.0076*'Dataset experimental'!B261+'Avaliação do resultado ML'!M261+'Avaliação do resultado ML'!N261+(-0.0328)*(0.0171*'Dataset experimental'!AD261-0.9442)*'Avaliação do resultado ML'!O261-'Avaliação do resultado ML'!P261-0.0364</f>
        <v>-0.123849712546501</v>
      </c>
      <c r="M261" s="12" t="n">
        <f aca="false">0.03283*SIN(0.7328*'Dataset experimental'!D261-1.8266)</f>
        <v>-0.0115958827834406</v>
      </c>
      <c r="N261" s="12" t="n">
        <f aca="false">0.0476*SIN(4.2067/(0.0095*'Dataset experimental'!P261-1.9338)^3)</f>
        <v>-0.0237143865224017</v>
      </c>
      <c r="O261" s="12" t="n">
        <f aca="false">0.0214*'Dataset experimental'!F261-3.1067*'Dataset experimental'!B261*'Dataset experimental'!P261*('Dataset experimental'!T261-'Dataset experimental'!R261)*(0.39*'Dataset experimental'!P261*'Dataset experimental'!T261/'Dataset experimental'!V261-'Dataset experimental'!Z261+3.12)/(100000*'Dataset experimental'!V261)+0.7995</f>
        <v>-0.985181240644115</v>
      </c>
      <c r="P261" s="12" t="n">
        <f aca="false">0.4461*('Dataset experimental'!Z261-0.6*'Modelos normativos'!AB261)*(3.4*'Dataset experimental'!L261+0.17*'Dataset experimental'!B261/'Modelos normativos'!AC261)/200000</f>
        <v>0.128978958364757</v>
      </c>
      <c r="Q261" s="4" t="e">
        <f aca="false">L261/H261</f>
        <v>#REF!</v>
      </c>
      <c r="R261" s="4" t="e">
        <f aca="false">(-0.042-0.014*'Com TS variável MC2020'!Q270)*('Modelos normativos'!AP261-ABS('Modelos Propostos'!K261)-'Dataset experimental'!W261+COS(S261))</f>
        <v>#REF!</v>
      </c>
      <c r="S261" s="4" t="e">
        <f aca="false">'Dataset experimental'!O261-('Modelos normativos'!AQ261-SIN(0.083/('Dataset experimental'!M261-'Dataset experimental'!O261))-'Modelos empíricos'!I261)/0.646</f>
        <v>#REF!</v>
      </c>
      <c r="W261" s="4" t="e">
        <f aca="false">'Modelos normativos'!S261+'Avaliação do resultado ML'!A261</f>
        <v>#REF!</v>
      </c>
      <c r="X261" s="4" t="e">
        <f aca="false">W261/'Dataset experimental'!$AF261</f>
        <v>#REF!</v>
      </c>
      <c r="AJ261" s="4" t="e">
        <f aca="false">'Modelos Propostos'!B261+H261</f>
        <v>#REF!</v>
      </c>
      <c r="AK261" s="4" t="e">
        <f aca="false">AJ261/'Dataset experimental'!$AF261</f>
        <v>#REF!</v>
      </c>
      <c r="AV261" s="4" t="e">
        <f aca="false">'Modelos normativos'!S261+F261</f>
        <v>#REF!</v>
      </c>
      <c r="AW261" s="4" t="e">
        <f aca="false">AV261/'Dataset experimental'!$AF261</f>
        <v>#REF!</v>
      </c>
      <c r="BH261" s="4" t="e">
        <f aca="false">'Modelos Propostos'!B261+R261</f>
        <v>#REF!</v>
      </c>
      <c r="BI261" s="4" t="e">
        <f aca="false">BH261/'Dataset experimental'!$AF261</f>
        <v>#REF!</v>
      </c>
      <c r="BT261" s="4" t="n">
        <f aca="false">'Modelos Propostos'!B261+L261</f>
        <v>0.254444496515809</v>
      </c>
      <c r="BU261" s="4" t="n">
        <f aca="false">BT261/'Dataset experimental'!$AF261</f>
        <v>1.27222248257904</v>
      </c>
    </row>
    <row r="262" customFormat="false" ht="14.25" hidden="false" customHeight="false" outlineLevel="0" collapsed="false">
      <c r="A262" s="4" t="e">
        <f aca="false">0.0894*ABS(D262)-0.01603*E262</f>
        <v>#REF!</v>
      </c>
      <c r="B262" s="12" t="e">
        <f aca="false">'Dataset experimental'!K262*COS('Dataset experimental'!AC262)-'Dataset experimental'!M262-'Dataset experimental'!C262</f>
        <v>#REF!</v>
      </c>
      <c r="C262" s="12" t="e">
        <f aca="false">('Dataset experimental'!AE262+SIN('Avaliação do resultado ML'!B262))*0.70674187</f>
        <v>#REF!</v>
      </c>
      <c r="D262" s="12" t="e">
        <f aca="false">'Modelos Propostos'!E262+'Avaliação do resultado ML'!C262-'Modelos normativos'!AQ262</f>
        <v>#REF!</v>
      </c>
      <c r="E262" s="12" t="n">
        <f aca="false">'Modelos empíricos'!I262+1.1854</f>
        <v>0.499265651150372</v>
      </c>
      <c r="F262" s="4" t="e">
        <f aca="false">-0.01753*('Modelos normativos'!AN262-'Dataset experimental'!C262-ABS(G262)-('Modelos Propostos'!E262-'Modelos normativos'!AP262)/0.25291)</f>
        <v>#REF!</v>
      </c>
      <c r="G262" s="4" t="e">
        <f aca="false">'Dataset experimental'!K262+'Modelos empíricos'!K262^2+('Modelos Propostos'!E262-'Modelos normativos'!AQ262)*4.10553</f>
        <v>#REF!</v>
      </c>
      <c r="H262" s="4" t="e">
        <f aca="false">0.03283*(J262+K262)</f>
        <v>#REF!</v>
      </c>
      <c r="I262" s="4" t="e">
        <f aca="false">(1.61428/'Dataset experimental'!Q262)^3</f>
        <v>#REF!</v>
      </c>
      <c r="J262" s="4" t="e">
        <f aca="false">SIN('Dataset experimental'!E262)+1.450178*(SIN('Avaliação do resultado ML'!I262)+'Dataset experimental'!C262)</f>
        <v>#REF!</v>
      </c>
      <c r="K262" s="4" t="e">
        <f aca="false">('Modelos empíricos'!C262-'Dataset experimental'!G262)*'Dataset experimental'!AE262-'Modelos normativos'!AP262</f>
        <v>#REF!</v>
      </c>
      <c r="L262" s="4" t="n">
        <f aca="false">0.0076*'Dataset experimental'!B262+'Avaliação do resultado ML'!M262+'Avaliação do resultado ML'!N262+(-0.0328)*(0.0171*'Dataset experimental'!AD262-0.9442)*'Avaliação do resultado ML'!O262-'Avaliação do resultado ML'!P262-0.0364</f>
        <v>-0.0233378935289859</v>
      </c>
      <c r="M262" s="12" t="n">
        <f aca="false">0.03283*SIN(0.7328*'Dataset experimental'!D262-1.8266)</f>
        <v>-0.0115958827834406</v>
      </c>
      <c r="N262" s="12" t="n">
        <f aca="false">0.0476*SIN(4.2067/(0.0095*'Dataset experimental'!P262-1.9338)^3)</f>
        <v>-0.0237143865224017</v>
      </c>
      <c r="O262" s="12" t="n">
        <f aca="false">0.0214*'Dataset experimental'!F262-3.1067*'Dataset experimental'!B262*'Dataset experimental'!P262*('Dataset experimental'!T262-'Dataset experimental'!R262)*(0.39*'Dataset experimental'!P262*'Dataset experimental'!T262/'Dataset experimental'!V262-'Dataset experimental'!Z262+3.12)/(100000*'Dataset experimental'!V262)+0.7995</f>
        <v>0.184100220753853</v>
      </c>
      <c r="P262" s="12" t="n">
        <f aca="false">0.4461*('Dataset experimental'!Z262-0.6*'Modelos normativos'!AB262)*(3.4*'Dataset experimental'!L262+0.17*'Dataset experimental'!B262/'Modelos normativos'!AC262)/200000</f>
        <v>0.0761556303054172</v>
      </c>
      <c r="Q262" s="4" t="e">
        <f aca="false">L262/H262</f>
        <v>#REF!</v>
      </c>
      <c r="R262" s="4" t="e">
        <f aca="false">(-0.042-0.014*'Com TS variável MC2020'!Q271)*('Modelos normativos'!AP262-ABS('Modelos Propostos'!K262)-'Dataset experimental'!W262+COS(S262))</f>
        <v>#REF!</v>
      </c>
      <c r="S262" s="4" t="e">
        <f aca="false">'Dataset experimental'!O262-('Modelos normativos'!AQ262-SIN(0.083/('Dataset experimental'!M262-'Dataset experimental'!O262))-'Modelos empíricos'!I262)/0.646</f>
        <v>#REF!</v>
      </c>
      <c r="W262" s="4" t="e">
        <f aca="false">'Modelos normativos'!S262+'Avaliação do resultado ML'!A262</f>
        <v>#REF!</v>
      </c>
      <c r="X262" s="4" t="e">
        <f aca="false">W262/'Dataset experimental'!$AF262</f>
        <v>#REF!</v>
      </c>
      <c r="AJ262" s="4" t="e">
        <f aca="false">'Modelos Propostos'!B262+H262</f>
        <v>#REF!</v>
      </c>
      <c r="AK262" s="4" t="e">
        <f aca="false">AJ262/'Dataset experimental'!$AF262</f>
        <v>#REF!</v>
      </c>
      <c r="AV262" s="4" t="e">
        <f aca="false">'Modelos normativos'!S262+F262</f>
        <v>#REF!</v>
      </c>
      <c r="AW262" s="4" t="e">
        <f aca="false">AV262/'Dataset experimental'!$AF262</f>
        <v>#REF!</v>
      </c>
      <c r="BH262" s="4" t="e">
        <f aca="false">'Modelos Propostos'!B262+R262</f>
        <v>#REF!</v>
      </c>
      <c r="BI262" s="4" t="e">
        <f aca="false">BH262/'Dataset experimental'!$AF262</f>
        <v>#REF!</v>
      </c>
      <c r="BT262" s="4" t="n">
        <f aca="false">'Modelos Propostos'!B262+L262</f>
        <v>0.163816178262122</v>
      </c>
      <c r="BU262" s="4" t="n">
        <f aca="false">BT262/'Dataset experimental'!$AF262</f>
        <v>1.09210785508081</v>
      </c>
    </row>
    <row r="263" customFormat="false" ht="14.25" hidden="false" customHeight="false" outlineLevel="0" collapsed="false">
      <c r="A263" s="4" t="e">
        <f aca="false">0.0894*ABS(D263)-0.01603*E263</f>
        <v>#REF!</v>
      </c>
      <c r="B263" s="12" t="e">
        <f aca="false">'Dataset experimental'!K263*COS('Dataset experimental'!AC263)-'Dataset experimental'!M263-'Dataset experimental'!C263</f>
        <v>#REF!</v>
      </c>
      <c r="C263" s="12" t="e">
        <f aca="false">('Dataset experimental'!AE263+SIN('Avaliação do resultado ML'!B263))*0.70674187</f>
        <v>#REF!</v>
      </c>
      <c r="D263" s="12" t="e">
        <f aca="false">'Modelos Propostos'!E263+'Avaliação do resultado ML'!C263-'Modelos normativos'!AQ263</f>
        <v>#REF!</v>
      </c>
      <c r="E263" s="12" t="n">
        <f aca="false">'Modelos empíricos'!I263+1.1854</f>
        <v>1.62519588469221</v>
      </c>
      <c r="F263" s="4" t="e">
        <f aca="false">-0.01753*('Modelos normativos'!AN263-'Dataset experimental'!C263-ABS(G263)-('Modelos Propostos'!E263-'Modelos normativos'!AP263)/0.25291)</f>
        <v>#REF!</v>
      </c>
      <c r="G263" s="4" t="e">
        <f aca="false">'Dataset experimental'!K263+'Modelos empíricos'!K263^2+('Modelos Propostos'!E263-'Modelos normativos'!AQ263)*4.10553</f>
        <v>#REF!</v>
      </c>
      <c r="H263" s="4" t="e">
        <f aca="false">0.03283*(J263+K263)</f>
        <v>#REF!</v>
      </c>
      <c r="I263" s="4" t="e">
        <f aca="false">(1.61428/'Dataset experimental'!Q263)^3</f>
        <v>#REF!</v>
      </c>
      <c r="J263" s="4" t="e">
        <f aca="false">SIN('Dataset experimental'!E263)+1.450178*(SIN('Avaliação do resultado ML'!I263)+'Dataset experimental'!C263)</f>
        <v>#REF!</v>
      </c>
      <c r="K263" s="4" t="e">
        <f aca="false">('Modelos empíricos'!C263-'Dataset experimental'!G263)*'Dataset experimental'!AE263-'Modelos normativos'!AP263</f>
        <v>#REF!</v>
      </c>
      <c r="L263" s="4" t="n">
        <f aca="false">0.0076*'Dataset experimental'!B263+'Avaliação do resultado ML'!M263+'Avaliação do resultado ML'!N263+(-0.0328)*(0.0171*'Dataset experimental'!AD263-0.9442)*'Avaliação do resultado ML'!O263-'Avaliação do resultado ML'!P263-0.0364</f>
        <v>-0.074194665058493</v>
      </c>
      <c r="M263" s="12" t="n">
        <f aca="false">0.03283*SIN(0.7328*'Dataset experimental'!D263-1.8266)</f>
        <v>-0.0115958827834406</v>
      </c>
      <c r="N263" s="12" t="n">
        <f aca="false">0.0476*SIN(4.2067/(0.0095*'Dataset experimental'!P263-1.9338)^3)</f>
        <v>-0.0237143865224017</v>
      </c>
      <c r="O263" s="12" t="n">
        <f aca="false">0.0214*'Dataset experimental'!F263-3.1067*'Dataset experimental'!B263*'Dataset experimental'!P263*('Dataset experimental'!T263-'Dataset experimental'!R263)*(0.39*'Dataset experimental'!P263*'Dataset experimental'!T263/'Dataset experimental'!V263-'Dataset experimental'!Z263+3.12)/(100000*'Dataset experimental'!V263)+0.7995</f>
        <v>-0.562651720869278</v>
      </c>
      <c r="P263" s="12" t="n">
        <f aca="false">0.4461*('Dataset experimental'!Z263-0.6*'Modelos normativos'!AB263)*(3.4*'Dataset experimental'!L263+0.17*'Dataset experimental'!B263/'Modelos normativos'!AC263)/200000</f>
        <v>0.114546101657054</v>
      </c>
      <c r="Q263" s="4" t="e">
        <f aca="false">L263/H263</f>
        <v>#REF!</v>
      </c>
      <c r="R263" s="4" t="e">
        <f aca="false">(-0.042-0.014*'Com TS variável MC2020'!Q272)*('Modelos normativos'!AP263-ABS('Modelos Propostos'!K263)-'Dataset experimental'!W263+COS(S263))</f>
        <v>#REF!</v>
      </c>
      <c r="S263" s="4" t="e">
        <f aca="false">'Dataset experimental'!O263-('Modelos normativos'!AQ263-SIN(0.083/('Dataset experimental'!M263-'Dataset experimental'!O263))-'Modelos empíricos'!I263)/0.646</f>
        <v>#REF!</v>
      </c>
      <c r="W263" s="4" t="e">
        <f aca="false">'Modelos normativos'!S263+'Avaliação do resultado ML'!A263</f>
        <v>#REF!</v>
      </c>
      <c r="X263" s="4" t="e">
        <f aca="false">W263/'Dataset experimental'!$AF263</f>
        <v>#REF!</v>
      </c>
      <c r="AJ263" s="4" t="e">
        <f aca="false">'Modelos Propostos'!B263+H263</f>
        <v>#REF!</v>
      </c>
      <c r="AK263" s="4" t="e">
        <f aca="false">AJ263/'Dataset experimental'!$AF263</f>
        <v>#REF!</v>
      </c>
      <c r="AV263" s="4" t="e">
        <f aca="false">'Modelos normativos'!S263+F263</f>
        <v>#REF!</v>
      </c>
      <c r="AW263" s="4" t="e">
        <f aca="false">AV263/'Dataset experimental'!$AF263</f>
        <v>#REF!</v>
      </c>
      <c r="BH263" s="4" t="e">
        <f aca="false">'Modelos Propostos'!B263+R263</f>
        <v>#REF!</v>
      </c>
      <c r="BI263" s="4" t="e">
        <f aca="false">BH263/'Dataset experimental'!$AF263</f>
        <v>#REF!</v>
      </c>
      <c r="BT263" s="4" t="n">
        <f aca="false">'Modelos Propostos'!B263+L263</f>
        <v>0.247107313550198</v>
      </c>
      <c r="BU263" s="4" t="n">
        <f aca="false">BT263/'Dataset experimental'!$AF263</f>
        <v>0.988429254200791</v>
      </c>
    </row>
    <row r="264" customFormat="false" ht="14.25" hidden="false" customHeight="false" outlineLevel="0" collapsed="false">
      <c r="A264" s="4" t="e">
        <f aca="false">0.0894*ABS(D264)-0.01603*E264</f>
        <v>#REF!</v>
      </c>
      <c r="B264" s="12" t="e">
        <f aca="false">'Dataset experimental'!K264*COS('Dataset experimental'!AC264)-'Dataset experimental'!M264-'Dataset experimental'!C264</f>
        <v>#REF!</v>
      </c>
      <c r="C264" s="12" t="e">
        <f aca="false">('Dataset experimental'!AE264+SIN('Avaliação do resultado ML'!B264))*0.70674187</f>
        <v>#REF!</v>
      </c>
      <c r="D264" s="12" t="e">
        <f aca="false">'Modelos Propostos'!E264+'Avaliação do resultado ML'!C264-'Modelos normativos'!AQ264</f>
        <v>#REF!</v>
      </c>
      <c r="E264" s="12" t="n">
        <f aca="false">'Modelos empíricos'!I264+1.1854</f>
        <v>1.91298024732316</v>
      </c>
      <c r="F264" s="4" t="e">
        <f aca="false">-0.01753*('Modelos normativos'!AN264-'Dataset experimental'!C264-ABS(G264)-('Modelos Propostos'!E264-'Modelos normativos'!AP264)/0.25291)</f>
        <v>#REF!</v>
      </c>
      <c r="G264" s="4" t="e">
        <f aca="false">'Dataset experimental'!K264+'Modelos empíricos'!K264^2+('Modelos Propostos'!E264-'Modelos normativos'!AQ264)*4.10553</f>
        <v>#REF!</v>
      </c>
      <c r="H264" s="4" t="e">
        <f aca="false">0.03283*(J264+K264)</f>
        <v>#REF!</v>
      </c>
      <c r="I264" s="4" t="e">
        <f aca="false">(1.61428/'Dataset experimental'!Q264)^3</f>
        <v>#REF!</v>
      </c>
      <c r="J264" s="4" t="e">
        <f aca="false">SIN('Dataset experimental'!E264)+1.450178*(SIN('Avaliação do resultado ML'!I264)+'Dataset experimental'!C264)</f>
        <v>#REF!</v>
      </c>
      <c r="K264" s="4" t="e">
        <f aca="false">('Modelos empíricos'!C264-'Dataset experimental'!G264)*'Dataset experimental'!AE264-'Modelos normativos'!AP264</f>
        <v>#REF!</v>
      </c>
      <c r="L264" s="4" t="n">
        <f aca="false">0.0076*'Dataset experimental'!B264+'Avaliação do resultado ML'!M264+'Avaliação do resultado ML'!N264+(-0.0328)*(0.0171*'Dataset experimental'!AD264-0.9442)*'Avaliação do resultado ML'!O264-'Avaliação do resultado ML'!P264-0.0364</f>
        <v>-0.0853367294368577</v>
      </c>
      <c r="M264" s="12" t="n">
        <f aca="false">0.03283*SIN(0.7328*'Dataset experimental'!D264-1.8266)</f>
        <v>-0.0115958827834406</v>
      </c>
      <c r="N264" s="12" t="n">
        <f aca="false">0.0476*SIN(4.2067/(0.0095*'Dataset experimental'!P264-1.9338)^3)</f>
        <v>-0.0237143865224017</v>
      </c>
      <c r="O264" s="12" t="n">
        <f aca="false">0.0214*'Dataset experimental'!F264-3.1067*'Dataset experimental'!B264*'Dataset experimental'!P264*('Dataset experimental'!T264-'Dataset experimental'!R264)*(0.39*'Dataset experimental'!P264*'Dataset experimental'!T264/'Dataset experimental'!V264-'Dataset experimental'!Z264+3.12)/(100000*'Dataset experimental'!V264)+0.7995</f>
        <v>-0.753519258804926</v>
      </c>
      <c r="P264" s="12" t="n">
        <f aca="false">0.4461*('Dataset experimental'!Z264-0.6*'Modelos normativos'!AB264)*(3.4*'Dataset experimental'!L264+0.17*'Dataset experimental'!B264/'Modelos normativos'!AC264)/200000</f>
        <v>0.124358590033246</v>
      </c>
      <c r="Q264" s="4" t="e">
        <f aca="false">L264/H264</f>
        <v>#REF!</v>
      </c>
      <c r="R264" s="4" t="e">
        <f aca="false">(-0.042-0.014*'Com TS variável MC2020'!Q273)*('Modelos normativos'!AP264-ABS('Modelos Propostos'!K264)-'Dataset experimental'!W264+COS(S264))</f>
        <v>#REF!</v>
      </c>
      <c r="S264" s="4" t="e">
        <f aca="false">'Dataset experimental'!O264-('Modelos normativos'!AQ264-SIN(0.083/('Dataset experimental'!M264-'Dataset experimental'!O264))-'Modelos empíricos'!I264)/0.646</f>
        <v>#REF!</v>
      </c>
      <c r="W264" s="4" t="e">
        <f aca="false">'Modelos normativos'!S264+'Avaliação do resultado ML'!A264</f>
        <v>#REF!</v>
      </c>
      <c r="X264" s="4" t="e">
        <f aca="false">W264/'Dataset experimental'!$AF264</f>
        <v>#REF!</v>
      </c>
      <c r="AJ264" s="4" t="e">
        <f aca="false">'Modelos Propostos'!B264+H264</f>
        <v>#REF!</v>
      </c>
      <c r="AK264" s="4" t="e">
        <f aca="false">AJ264/'Dataset experimental'!$AF264</f>
        <v>#REF!</v>
      </c>
      <c r="AV264" s="4" t="e">
        <f aca="false">'Modelos normativos'!S264+F264</f>
        <v>#REF!</v>
      </c>
      <c r="AW264" s="4" t="e">
        <f aca="false">AV264/'Dataset experimental'!$AF264</f>
        <v>#REF!</v>
      </c>
      <c r="BH264" s="4" t="e">
        <f aca="false">'Modelos Propostos'!B264+R264</f>
        <v>#REF!</v>
      </c>
      <c r="BI264" s="4" t="e">
        <f aca="false">BH264/'Dataset experimental'!$AF264</f>
        <v>#REF!</v>
      </c>
      <c r="BT264" s="4" t="n">
        <f aca="false">'Modelos Propostos'!B264+L264</f>
        <v>0.270253048461433</v>
      </c>
      <c r="BU264" s="4" t="n">
        <f aca="false">BT264/'Dataset experimental'!$AF264</f>
        <v>0.900843494871443</v>
      </c>
    </row>
    <row r="265" customFormat="false" ht="14.25" hidden="false" customHeight="false" outlineLevel="0" collapsed="false">
      <c r="A265" s="4" t="e">
        <f aca="false">0.0894*ABS(D265)-0.01603*E265</f>
        <v>#REF!</v>
      </c>
      <c r="B265" s="12" t="e">
        <f aca="false">'Dataset experimental'!K265*COS('Dataset experimental'!AC265)-'Dataset experimental'!M265-'Dataset experimental'!C265</f>
        <v>#REF!</v>
      </c>
      <c r="C265" s="12" t="e">
        <f aca="false">('Dataset experimental'!AE265+SIN('Avaliação do resultado ML'!B265))*0.70674187</f>
        <v>#REF!</v>
      </c>
      <c r="D265" s="12" t="e">
        <f aca="false">'Modelos Propostos'!E265+'Avaliação do resultado ML'!C265-'Modelos normativos'!AQ265</f>
        <v>#REF!</v>
      </c>
      <c r="E265" s="12" t="n">
        <f aca="false">'Modelos empíricos'!I265+1.1854</f>
        <v>0.513517932587612</v>
      </c>
      <c r="F265" s="4" t="e">
        <f aca="false">-0.01753*('Modelos normativos'!AN265-'Dataset experimental'!C265-ABS(G265)-('Modelos Propostos'!E265-'Modelos normativos'!AP265)/0.25291)</f>
        <v>#REF!</v>
      </c>
      <c r="G265" s="4" t="e">
        <f aca="false">'Dataset experimental'!K265+'Modelos empíricos'!K265^2+('Modelos Propostos'!E265-'Modelos normativos'!AQ265)*4.10553</f>
        <v>#REF!</v>
      </c>
      <c r="H265" s="4" t="e">
        <f aca="false">0.03283*(J265+K265)</f>
        <v>#REF!</v>
      </c>
      <c r="I265" s="4" t="e">
        <f aca="false">(1.61428/'Dataset experimental'!Q265)^3</f>
        <v>#REF!</v>
      </c>
      <c r="J265" s="4" t="e">
        <f aca="false">SIN('Dataset experimental'!E265)+1.450178*(SIN('Avaliação do resultado ML'!I265)+'Dataset experimental'!C265)</f>
        <v>#REF!</v>
      </c>
      <c r="K265" s="4" t="e">
        <f aca="false">('Modelos empíricos'!C265-'Dataset experimental'!G265)*'Dataset experimental'!AE265-'Modelos normativos'!AP265</f>
        <v>#REF!</v>
      </c>
      <c r="L265" s="4" t="n">
        <f aca="false">0.0076*'Dataset experimental'!B265+'Avaliação do resultado ML'!M265+'Avaliação do resultado ML'!N265+(-0.0328)*(0.0171*'Dataset experimental'!AD265-0.9442)*'Avaliação do resultado ML'!O265-'Avaliação do resultado ML'!P265-0.0364</f>
        <v>-0.0240230037785536</v>
      </c>
      <c r="M265" s="12" t="n">
        <f aca="false">0.03283*SIN(0.7328*'Dataset experimental'!D265-1.8266)</f>
        <v>-0.0115958827834406</v>
      </c>
      <c r="N265" s="12" t="n">
        <f aca="false">0.0476*SIN(4.2067/(0.0095*'Dataset experimental'!P265-1.9338)^3)</f>
        <v>-0.0237143865224017</v>
      </c>
      <c r="O265" s="12" t="n">
        <f aca="false">0.0214*'Dataset experimental'!F265-3.1067*'Dataset experimental'!B265*'Dataset experimental'!P265*('Dataset experimental'!T265-'Dataset experimental'!R265)*(0.39*'Dataset experimental'!P265*'Dataset experimental'!T265/'Dataset experimental'!V265-'Dataset experimental'!Z265+3.12)/(100000*'Dataset experimental'!V265)+0.7995</f>
        <v>0.174647664530775</v>
      </c>
      <c r="P265" s="12" t="n">
        <f aca="false">0.4461*('Dataset experimental'!Z265-0.6*'Modelos normativos'!AB265)*(3.4*'Dataset experimental'!L265+0.17*'Dataset experimental'!B265/'Modelos normativos'!AC265)/200000</f>
        <v>0.0766415856389823</v>
      </c>
      <c r="Q265" s="4" t="e">
        <f aca="false">L265/H265</f>
        <v>#REF!</v>
      </c>
      <c r="R265" s="4" t="e">
        <f aca="false">(-0.042-0.014*'Com TS variável MC2020'!Q274)*('Modelos normativos'!AP265-ABS('Modelos Propostos'!K265)-'Dataset experimental'!W265+COS(S265))</f>
        <v>#REF!</v>
      </c>
      <c r="S265" s="4" t="e">
        <f aca="false">'Dataset experimental'!O265-('Modelos normativos'!AQ265-SIN(0.083/('Dataset experimental'!M265-'Dataset experimental'!O265))-'Modelos empíricos'!I265)/0.646</f>
        <v>#REF!</v>
      </c>
      <c r="W265" s="4" t="e">
        <f aca="false">'Modelos normativos'!S265+'Avaliação do resultado ML'!A265</f>
        <v>#REF!</v>
      </c>
      <c r="X265" s="4" t="e">
        <f aca="false">W265/'Dataset experimental'!$AF265</f>
        <v>#REF!</v>
      </c>
      <c r="AJ265" s="4" t="e">
        <f aca="false">'Modelos Propostos'!B265+H265</f>
        <v>#REF!</v>
      </c>
      <c r="AK265" s="4" t="e">
        <f aca="false">AJ265/'Dataset experimental'!$AF265</f>
        <v>#REF!</v>
      </c>
      <c r="AV265" s="4" t="e">
        <f aca="false">'Modelos normativos'!S265+F265</f>
        <v>#REF!</v>
      </c>
      <c r="AW265" s="4" t="e">
        <f aca="false">AV265/'Dataset experimental'!$AF265</f>
        <v>#REF!</v>
      </c>
      <c r="BH265" s="4" t="e">
        <f aca="false">'Modelos Propostos'!B265+R265</f>
        <v>#REF!</v>
      </c>
      <c r="BI265" s="4" t="e">
        <f aca="false">BH265/'Dataset experimental'!$AF265</f>
        <v>#REF!</v>
      </c>
      <c r="BT265" s="4" t="n">
        <f aca="false">'Modelos Propostos'!B265+L265</f>
        <v>0.164829142782397</v>
      </c>
      <c r="BU265" s="4" t="n">
        <f aca="false">BT265/'Dataset experimental'!$AF265</f>
        <v>1.09886095188265</v>
      </c>
    </row>
    <row r="266" customFormat="false" ht="14.25" hidden="false" customHeight="false" outlineLevel="0" collapsed="false">
      <c r="A266" s="4" t="e">
        <f aca="false">0.0894*ABS(D266)-0.01603*E266</f>
        <v>#REF!</v>
      </c>
      <c r="B266" s="12" t="e">
        <f aca="false">'Dataset experimental'!K266*COS('Dataset experimental'!AC266)-'Dataset experimental'!M266-'Dataset experimental'!C266</f>
        <v>#REF!</v>
      </c>
      <c r="C266" s="12" t="e">
        <f aca="false">('Dataset experimental'!AE266+SIN('Avaliação do resultado ML'!B266))*0.70674187</f>
        <v>#REF!</v>
      </c>
      <c r="D266" s="12" t="e">
        <f aca="false">'Modelos Propostos'!E266+'Avaliação do resultado ML'!C266-'Modelos normativos'!AQ266</f>
        <v>#REF!</v>
      </c>
      <c r="E266" s="12" t="n">
        <f aca="false">'Modelos empíricos'!I266+1.1854</f>
        <v>1.63944816612945</v>
      </c>
      <c r="F266" s="4" t="e">
        <f aca="false">-0.01753*('Modelos normativos'!AN266-'Dataset experimental'!C266-ABS(G266)-('Modelos Propostos'!E266-'Modelos normativos'!AP266)/0.25291)</f>
        <v>#REF!</v>
      </c>
      <c r="G266" s="4" t="e">
        <f aca="false">'Dataset experimental'!K266+'Modelos empíricos'!K266^2+('Modelos Propostos'!E266-'Modelos normativos'!AQ266)*4.10553</f>
        <v>#REF!</v>
      </c>
      <c r="H266" s="4" t="e">
        <f aca="false">0.03283*(J266+K266)</f>
        <v>#REF!</v>
      </c>
      <c r="I266" s="4" t="e">
        <f aca="false">(1.61428/'Dataset experimental'!Q266)^3</f>
        <v>#REF!</v>
      </c>
      <c r="J266" s="4" t="e">
        <f aca="false">SIN('Dataset experimental'!E266)+1.450178*(SIN('Avaliação do resultado ML'!I266)+'Dataset experimental'!C266)</f>
        <v>#REF!</v>
      </c>
      <c r="K266" s="4" t="e">
        <f aca="false">('Modelos empíricos'!C266-'Dataset experimental'!G266)*'Dataset experimental'!AE266-'Modelos normativos'!AP266</f>
        <v>#REF!</v>
      </c>
      <c r="L266" s="4" t="n">
        <f aca="false">0.0076*'Dataset experimental'!B266+'Avaliação do resultado ML'!M266+'Avaliação do resultado ML'!N266+(-0.0328)*(0.0171*'Dataset experimental'!AD266-0.9442)*'Avaliação do resultado ML'!O266-'Avaliação do resultado ML'!P266-0.0364</f>
        <v>-0.0747960076622572</v>
      </c>
      <c r="M266" s="12" t="n">
        <f aca="false">0.03283*SIN(0.7328*'Dataset experimental'!D266-1.8266)</f>
        <v>-0.0115958827834406</v>
      </c>
      <c r="N266" s="12" t="n">
        <f aca="false">0.0476*SIN(4.2067/(0.0095*'Dataset experimental'!P266-1.9338)^3)</f>
        <v>-0.0237143865224017</v>
      </c>
      <c r="O266" s="12" t="n">
        <f aca="false">0.0214*'Dataset experimental'!F266-3.1067*'Dataset experimental'!B266*'Dataset experimental'!P266*('Dataset experimental'!T266-'Dataset experimental'!R266)*(0.39*'Dataset experimental'!P266*'Dataset experimental'!T266/'Dataset experimental'!V266-'Dataset experimental'!Z266+3.12)/(100000*'Dataset experimental'!V266)+0.7995</f>
        <v>-0.572104277092356</v>
      </c>
      <c r="P266" s="12" t="n">
        <f aca="false">0.4461*('Dataset experimental'!Z266-0.6*'Modelos normativos'!AB266)*(3.4*'Dataset experimental'!L266+0.17*'Dataset experimental'!B266/'Modelos normativos'!AC266)/200000</f>
        <v>0.115032056990619</v>
      </c>
      <c r="Q266" s="4" t="e">
        <f aca="false">L266/H266</f>
        <v>#REF!</v>
      </c>
      <c r="R266" s="4" t="e">
        <f aca="false">(-0.042-0.014*'Com TS variável MC2020'!Q275)*('Modelos normativos'!AP266-ABS('Modelos Propostos'!K266)-'Dataset experimental'!W266+COS(S266))</f>
        <v>#REF!</v>
      </c>
      <c r="S266" s="4" t="e">
        <f aca="false">'Dataset experimental'!O266-('Modelos normativos'!AQ266-SIN(0.083/('Dataset experimental'!M266-'Dataset experimental'!O266))-'Modelos empíricos'!I266)/0.646</f>
        <v>#REF!</v>
      </c>
      <c r="W266" s="4" t="e">
        <f aca="false">'Modelos normativos'!S266+'Avaliação do resultado ML'!A266</f>
        <v>#REF!</v>
      </c>
      <c r="X266" s="4" t="e">
        <f aca="false">W266/'Dataset experimental'!$AF266</f>
        <v>#REF!</v>
      </c>
      <c r="AJ266" s="4" t="e">
        <f aca="false">'Modelos Propostos'!B266+H266</f>
        <v>#REF!</v>
      </c>
      <c r="AK266" s="4" t="e">
        <f aca="false">AJ266/'Dataset experimental'!$AF266</f>
        <v>#REF!</v>
      </c>
      <c r="AV266" s="4" t="e">
        <f aca="false">'Modelos normativos'!S266+F266</f>
        <v>#REF!</v>
      </c>
      <c r="AW266" s="4" t="e">
        <f aca="false">AV266/'Dataset experimental'!$AF266</f>
        <v>#REF!</v>
      </c>
      <c r="BH266" s="4" t="e">
        <f aca="false">'Modelos Propostos'!B266+R266</f>
        <v>#REF!</v>
      </c>
      <c r="BI266" s="4" t="e">
        <f aca="false">BH266/'Dataset experimental'!$AF266</f>
        <v>#REF!</v>
      </c>
      <c r="BT266" s="4" t="n">
        <f aca="false">'Modelos Propostos'!B266+L266</f>
        <v>0.248204045716276</v>
      </c>
      <c r="BU266" s="4" t="n">
        <f aca="false">BT266/'Dataset experimental'!$AF266</f>
        <v>0.992816182865106</v>
      </c>
    </row>
    <row r="267" customFormat="false" ht="14.25" hidden="false" customHeight="false" outlineLevel="0" collapsed="false">
      <c r="A267" s="4" t="e">
        <f aca="false">0.0894*ABS(D267)-0.01603*E267</f>
        <v>#REF!</v>
      </c>
      <c r="B267" s="12" t="e">
        <f aca="false">'Dataset experimental'!K267*COS('Dataset experimental'!AC267)-'Dataset experimental'!M267-'Dataset experimental'!C267</f>
        <v>#REF!</v>
      </c>
      <c r="C267" s="12" t="e">
        <f aca="false">('Dataset experimental'!AE267+SIN('Avaliação do resultado ML'!B267))*0.70674187</f>
        <v>#REF!</v>
      </c>
      <c r="D267" s="12" t="e">
        <f aca="false">'Modelos Propostos'!E267+'Avaliação do resultado ML'!C267-'Modelos normativos'!AQ267</f>
        <v>#REF!</v>
      </c>
      <c r="E267" s="12" t="n">
        <f aca="false">'Modelos empíricos'!I267+1.1854</f>
        <v>-0.136315203391042</v>
      </c>
      <c r="F267" s="4" t="e">
        <f aca="false">-0.01753*('Modelos normativos'!AN267-'Dataset experimental'!C267-ABS(G267)-('Modelos Propostos'!E267-'Modelos normativos'!AP267)/0.25291)</f>
        <v>#REF!</v>
      </c>
      <c r="G267" s="4" t="e">
        <f aca="false">'Dataset experimental'!K267+'Modelos empíricos'!K267^2+('Modelos Propostos'!E267-'Modelos normativos'!AQ267)*4.10553</f>
        <v>#REF!</v>
      </c>
      <c r="H267" s="4" t="e">
        <f aca="false">0.03283*(J267+K267)</f>
        <v>#REF!</v>
      </c>
      <c r="I267" s="4" t="e">
        <f aca="false">(1.61428/'Dataset experimental'!Q267)^3</f>
        <v>#REF!</v>
      </c>
      <c r="J267" s="4" t="e">
        <f aca="false">SIN('Dataset experimental'!E267)+1.450178*(SIN('Avaliação do resultado ML'!I267)+'Dataset experimental'!C267)</f>
        <v>#REF!</v>
      </c>
      <c r="K267" s="4" t="e">
        <f aca="false">('Modelos empíricos'!C267-'Dataset experimental'!G267)*'Dataset experimental'!AE267-'Modelos normativos'!AP267</f>
        <v>#REF!</v>
      </c>
      <c r="L267" s="4" t="n">
        <f aca="false">0.0076*'Dataset experimental'!B267+'Avaliação do resultado ML'!M267+'Avaliação do resultado ML'!N267+(-0.0328)*(0.0171*'Dataset experimental'!AD267-0.9442)*'Avaliação do resultado ML'!O267-'Avaliação do resultado ML'!P267-0.0364</f>
        <v>0.0364116757630677</v>
      </c>
      <c r="M267" s="12" t="n">
        <f aca="false">0.03283*SIN(0.7328*'Dataset experimental'!D267-1.8266)</f>
        <v>-0.0115958827834406</v>
      </c>
      <c r="N267" s="12" t="n">
        <f aca="false">0.0476*SIN(4.2067/(0.0095*'Dataset experimental'!P267-1.9338)^3)</f>
        <v>-0.0237143865224017</v>
      </c>
      <c r="O267" s="12" t="n">
        <f aca="false">0.0214*'Dataset experimental'!F267-3.1067*'Dataset experimental'!B267*'Dataset experimental'!P267*('Dataset experimental'!T267-'Dataset experimental'!R267)*(0.39*'Dataset experimental'!P267*'Dataset experimental'!T267/'Dataset experimental'!V267-'Dataset experimental'!Z267+3.12)/(100000*'Dataset experimental'!V267)+0.7995</f>
        <v>0.658965611332879</v>
      </c>
      <c r="P267" s="12" t="n">
        <f aca="false">0.4461*('Dataset experimental'!Z267-0.6*'Modelos normativos'!AB267)*(3.4*'Dataset experimental'!L267+0.17*'Dataset experimental'!B267/'Modelos normativos'!AC267)/200000</f>
        <v>0.0501649293102602</v>
      </c>
      <c r="Q267" s="4" t="e">
        <f aca="false">L267/H267</f>
        <v>#REF!</v>
      </c>
      <c r="R267" s="4" t="e">
        <f aca="false">(-0.042-0.014*'Com TS variável MC2020'!Q276)*('Modelos normativos'!AP267-ABS('Modelos Propostos'!K267)-'Dataset experimental'!W267+COS(S267))</f>
        <v>#REF!</v>
      </c>
      <c r="S267" s="4" t="e">
        <f aca="false">'Dataset experimental'!O267-('Modelos normativos'!AQ267-SIN(0.083/('Dataset experimental'!M267-'Dataset experimental'!O267))-'Modelos empíricos'!I267)/0.646</f>
        <v>#REF!</v>
      </c>
      <c r="W267" s="4" t="e">
        <f aca="false">'Modelos normativos'!S267+'Avaliação do resultado ML'!A267</f>
        <v>#REF!</v>
      </c>
      <c r="X267" s="4" t="e">
        <f aca="false">W267/'Dataset experimental'!$AF267</f>
        <v>#REF!</v>
      </c>
      <c r="AJ267" s="4" t="e">
        <f aca="false">'Modelos Propostos'!B267+H267</f>
        <v>#REF!</v>
      </c>
      <c r="AK267" s="4" t="e">
        <f aca="false">AJ267/'Dataset experimental'!$AF267</f>
        <v>#REF!</v>
      </c>
      <c r="AV267" s="4" t="e">
        <f aca="false">'Modelos normativos'!S267+F267</f>
        <v>#REF!</v>
      </c>
      <c r="AW267" s="4" t="e">
        <f aca="false">AV267/'Dataset experimental'!$AF267</f>
        <v>#REF!</v>
      </c>
      <c r="BH267" s="4" t="e">
        <f aca="false">'Modelos Propostos'!B267+R267</f>
        <v>#REF!</v>
      </c>
      <c r="BI267" s="4" t="e">
        <f aca="false">BH267/'Dataset experimental'!$AF267</f>
        <v>#REF!</v>
      </c>
      <c r="BT267" s="4" t="n">
        <f aca="false">'Modelos Propostos'!B267+L267</f>
        <v>0.138886020903636</v>
      </c>
      <c r="BU267" s="4" t="n">
        <f aca="false">BT267/'Dataset experimental'!$AF267</f>
        <v>0.925906806024237</v>
      </c>
    </row>
    <row r="268" customFormat="false" ht="14.25" hidden="false" customHeight="false" outlineLevel="0" collapsed="false">
      <c r="A268" s="4" t="e">
        <f aca="false">0.0894*ABS(D268)-0.01603*E268</f>
        <v>#REF!</v>
      </c>
      <c r="B268" s="12" t="e">
        <f aca="false">'Dataset experimental'!K268*COS('Dataset experimental'!AC268)-'Dataset experimental'!M268-'Dataset experimental'!C268</f>
        <v>#REF!</v>
      </c>
      <c r="C268" s="12" t="e">
        <f aca="false">('Dataset experimental'!AE268+SIN('Avaliação do resultado ML'!B268))*0.70674187</f>
        <v>#REF!</v>
      </c>
      <c r="D268" s="12" t="e">
        <f aca="false">'Modelos Propostos'!E268+'Avaliação do resultado ML'!C268-'Modelos normativos'!AQ268</f>
        <v>#REF!</v>
      </c>
      <c r="E268" s="12" t="n">
        <f aca="false">'Modelos empíricos'!I268+1.1854</f>
        <v>0.728010208419461</v>
      </c>
      <c r="F268" s="4" t="e">
        <f aca="false">-0.01753*('Modelos normativos'!AN268-'Dataset experimental'!C268-ABS(G268)-('Modelos Propostos'!E268-'Modelos normativos'!AP268)/0.25291)</f>
        <v>#REF!</v>
      </c>
      <c r="G268" s="4" t="e">
        <f aca="false">'Dataset experimental'!K268+'Modelos empíricos'!K268^2+('Modelos Propostos'!E268-'Modelos normativos'!AQ268)*4.10553</f>
        <v>#REF!</v>
      </c>
      <c r="H268" s="4" t="e">
        <f aca="false">0.03283*(J268+K268)</f>
        <v>#REF!</v>
      </c>
      <c r="I268" s="4" t="e">
        <f aca="false">(1.61428/'Dataset experimental'!Q268)^3</f>
        <v>#REF!</v>
      </c>
      <c r="J268" s="4" t="e">
        <f aca="false">SIN('Dataset experimental'!E268)+1.450178*(SIN('Avaliação do resultado ML'!I268)+'Dataset experimental'!C268)</f>
        <v>#REF!</v>
      </c>
      <c r="K268" s="4" t="e">
        <f aca="false">('Modelos empíricos'!C268-'Dataset experimental'!G268)*'Dataset experimental'!AE268-'Modelos normativos'!AP268</f>
        <v>#REF!</v>
      </c>
      <c r="L268" s="4" t="n">
        <f aca="false">0.0076*'Dataset experimental'!B268+'Avaliação do resultado ML'!M268+'Avaliação do resultado ML'!N268+(-0.0328)*(0.0171*'Dataset experimental'!AD268-0.9442)*'Avaliação do resultado ML'!O268-'Avaliação do resultado ML'!P268-0.0364</f>
        <v>0.00166333323268004</v>
      </c>
      <c r="M268" s="12" t="n">
        <f aca="false">0.03283*SIN(0.7328*'Dataset experimental'!D268-1.8266)</f>
        <v>-0.0115958827834406</v>
      </c>
      <c r="N268" s="12" t="n">
        <f aca="false">0.0476*SIN(4.2067/(0.0095*'Dataset experimental'!P268-1.9338)^3)</f>
        <v>-0.0237143865224017</v>
      </c>
      <c r="O268" s="12" t="n">
        <f aca="false">0.0214*'Dataset experimental'!F268-3.1067*'Dataset experimental'!B268*'Dataset experimental'!P268*('Dataset experimental'!T268-'Dataset experimental'!R268)*(0.39*'Dataset experimental'!P268*'Dataset experimental'!T268/'Dataset experimental'!V268-'Dataset experimental'!Z268+3.12)/(100000*'Dataset experimental'!V268)+0.7995</f>
        <v>0.204609709713212</v>
      </c>
      <c r="P268" s="12" t="n">
        <f aca="false">0.4461*('Dataset experimental'!Z268-0.6*'Modelos normativos'!AB268)*(3.4*'Dataset experimental'!L268+0.17*'Dataset experimental'!B268/'Modelos normativos'!AC268)/200000</f>
        <v>0.074967169980407</v>
      </c>
      <c r="Q268" s="4" t="e">
        <f aca="false">L268/H268</f>
        <v>#REF!</v>
      </c>
      <c r="R268" s="4" t="e">
        <f aca="false">(-0.042-0.014*'Com TS variável MC2020'!Q277)*('Modelos normativos'!AP268-ABS('Modelos Propostos'!K268)-'Dataset experimental'!W268+COS(S268))</f>
        <v>#REF!</v>
      </c>
      <c r="S268" s="4" t="e">
        <f aca="false">'Dataset experimental'!O268-('Modelos normativos'!AQ268-SIN(0.083/('Dataset experimental'!M268-'Dataset experimental'!O268))-'Modelos empíricos'!I268)/0.646</f>
        <v>#REF!</v>
      </c>
      <c r="W268" s="4" t="e">
        <f aca="false">'Modelos normativos'!S268+'Avaliação do resultado ML'!A268</f>
        <v>#REF!</v>
      </c>
      <c r="X268" s="4" t="e">
        <f aca="false">W268/'Dataset experimental'!$AF268</f>
        <v>#REF!</v>
      </c>
      <c r="AJ268" s="4" t="e">
        <f aca="false">'Modelos Propostos'!B268+H268</f>
        <v>#REF!</v>
      </c>
      <c r="AK268" s="4" t="e">
        <f aca="false">AJ268/'Dataset experimental'!$AF268</f>
        <v>#REF!</v>
      </c>
      <c r="AV268" s="4" t="e">
        <f aca="false">'Modelos normativos'!S268+F268</f>
        <v>#REF!</v>
      </c>
      <c r="AW268" s="4" t="e">
        <f aca="false">AV268/'Dataset experimental'!$AF268</f>
        <v>#REF!</v>
      </c>
      <c r="BH268" s="4" t="e">
        <f aca="false">'Modelos Propostos'!B268+R268</f>
        <v>#REF!</v>
      </c>
      <c r="BI268" s="4" t="e">
        <f aca="false">BH268/'Dataset experimental'!$AF268</f>
        <v>#REF!</v>
      </c>
      <c r="BT268" s="4" t="n">
        <f aca="false">'Modelos Propostos'!B268+L268</f>
        <v>0.18722249122268</v>
      </c>
      <c r="BU268" s="4" t="n">
        <f aca="false">BT268/'Dataset experimental'!$AF268</f>
        <v>0.936112456113401</v>
      </c>
    </row>
    <row r="269" customFormat="false" ht="14.25" hidden="false" customHeight="false" outlineLevel="0" collapsed="false">
      <c r="A269" s="4" t="e">
        <f aca="false">0.0894*ABS(D269)-0.01603*E269</f>
        <v>#REF!</v>
      </c>
      <c r="B269" s="12" t="e">
        <f aca="false">'Dataset experimental'!K269*COS('Dataset experimental'!AC269)-'Dataset experimental'!M269-'Dataset experimental'!C269</f>
        <v>#REF!</v>
      </c>
      <c r="C269" s="12" t="e">
        <f aca="false">('Dataset experimental'!AE269+SIN('Avaliação do resultado ML'!B269))*0.70674187</f>
        <v>#REF!</v>
      </c>
      <c r="D269" s="12" t="e">
        <f aca="false">'Modelos Propostos'!E269+'Avaliação do resultado ML'!C269-'Modelos normativos'!AQ269</f>
        <v>#REF!</v>
      </c>
      <c r="E269" s="12" t="n">
        <f aca="false">'Modelos empíricos'!I269+1.1854</f>
        <v>1.60341671525318</v>
      </c>
      <c r="F269" s="4" t="e">
        <f aca="false">-0.01753*('Modelos normativos'!AN269-'Dataset experimental'!C269-ABS(G269)-('Modelos Propostos'!E269-'Modelos normativos'!AP269)/0.25291)</f>
        <v>#REF!</v>
      </c>
      <c r="G269" s="4" t="e">
        <f aca="false">'Dataset experimental'!K269+'Modelos empíricos'!K269^2+('Modelos Propostos'!E269-'Modelos normativos'!AQ269)*4.10553</f>
        <v>#REF!</v>
      </c>
      <c r="H269" s="4" t="e">
        <f aca="false">0.03283*(J269+K269)</f>
        <v>#REF!</v>
      </c>
      <c r="I269" s="4" t="e">
        <f aca="false">(1.61428/'Dataset experimental'!Q269)^3</f>
        <v>#REF!</v>
      </c>
      <c r="J269" s="4" t="e">
        <f aca="false">SIN('Dataset experimental'!E269)+1.450178*(SIN('Avaliação do resultado ML'!I269)+'Dataset experimental'!C269)</f>
        <v>#REF!</v>
      </c>
      <c r="K269" s="4" t="e">
        <f aca="false">('Modelos empíricos'!C269-'Dataset experimental'!G269)*'Dataset experimental'!AE269-'Modelos normativos'!AP269</f>
        <v>#REF!</v>
      </c>
      <c r="L269" s="4" t="n">
        <f aca="false">0.0076*'Dataset experimental'!B269+'Avaliação do resultado ML'!M269+'Avaliação do resultado ML'!N269+(-0.0328)*(0.0171*'Dataset experimental'!AD269-0.9442)*'Avaliação do resultado ML'!O269-'Avaliação do resultado ML'!P269-0.0364</f>
        <v>-0.0294782318559693</v>
      </c>
      <c r="M269" s="12" t="n">
        <f aca="false">0.03283*SIN(0.7328*'Dataset experimental'!D269-1.8266)</f>
        <v>-0.0115958827834406</v>
      </c>
      <c r="N269" s="12" t="n">
        <f aca="false">0.0476*SIN(4.2067/(0.0095*'Dataset experimental'!P269-1.9338)^3)</f>
        <v>-0.0237143865224017</v>
      </c>
      <c r="O269" s="12" t="n">
        <f aca="false">0.0214*'Dataset experimental'!F269-3.1067*'Dataset experimental'!B269*'Dataset experimental'!P269*('Dataset experimental'!T269-'Dataset experimental'!R269)*(0.39*'Dataset experimental'!P269*'Dataset experimental'!T269/'Dataset experimental'!V269-'Dataset experimental'!Z269+3.12)/(100000*'Dataset experimental'!V269)+0.7995</f>
        <v>-0.255571267568246</v>
      </c>
      <c r="P269" s="12" t="n">
        <f aca="false">0.4461*('Dataset experimental'!Z269-0.6*'Modelos normativos'!AB269)*(3.4*'Dataset experimental'!L269+0.17*'Dataset experimental'!B269/'Modelos normativos'!AC269)/200000</f>
        <v>0.100087388095043</v>
      </c>
      <c r="Q269" s="4" t="e">
        <f aca="false">L269/H269</f>
        <v>#REF!</v>
      </c>
      <c r="R269" s="4" t="e">
        <f aca="false">(-0.042-0.014*'Com TS variável MC2020'!Q278)*('Modelos normativos'!AP269-ABS('Modelos Propostos'!K269)-'Dataset experimental'!W269+COS(S269))</f>
        <v>#REF!</v>
      </c>
      <c r="S269" s="4" t="e">
        <f aca="false">'Dataset experimental'!O269-('Modelos normativos'!AQ269-SIN(0.083/('Dataset experimental'!M269-'Dataset experimental'!O269))-'Modelos empíricos'!I269)/0.646</f>
        <v>#REF!</v>
      </c>
      <c r="W269" s="4" t="e">
        <f aca="false">'Modelos normativos'!S269+'Avaliação do resultado ML'!A269</f>
        <v>#REF!</v>
      </c>
      <c r="X269" s="4" t="e">
        <f aca="false">W269/'Dataset experimental'!$AF269</f>
        <v>#REF!</v>
      </c>
      <c r="AJ269" s="4" t="e">
        <f aca="false">'Modelos Propostos'!B269+H269</f>
        <v>#REF!</v>
      </c>
      <c r="AK269" s="4" t="e">
        <f aca="false">AJ269/'Dataset experimental'!$AF269</f>
        <v>#REF!</v>
      </c>
      <c r="AV269" s="4" t="e">
        <f aca="false">'Modelos normativos'!S269+F269</f>
        <v>#REF!</v>
      </c>
      <c r="AW269" s="4" t="e">
        <f aca="false">AV269/'Dataset experimental'!$AF269</f>
        <v>#REF!</v>
      </c>
      <c r="BH269" s="4" t="e">
        <f aca="false">'Modelos Propostos'!B269+R269</f>
        <v>#REF!</v>
      </c>
      <c r="BI269" s="4" t="e">
        <f aca="false">BH269/'Dataset experimental'!$AF269</f>
        <v>#REF!</v>
      </c>
      <c r="BT269" s="4" t="n">
        <f aca="false">'Modelos Propostos'!B269+L269</f>
        <v>0.24093281299001</v>
      </c>
      <c r="BU269" s="4" t="n">
        <f aca="false">BT269/'Dataset experimental'!$AF269</f>
        <v>0.803109376633366</v>
      </c>
    </row>
    <row r="270" customFormat="false" ht="14.25" hidden="false" customHeight="false" outlineLevel="0" collapsed="false">
      <c r="A270" s="4" t="e">
        <f aca="false">0.0894*ABS(D270)-0.01603*E270</f>
        <v>#REF!</v>
      </c>
      <c r="B270" s="12" t="e">
        <f aca="false">'Dataset experimental'!K270*COS('Dataset experimental'!AC270)-'Dataset experimental'!M270-'Dataset experimental'!C270</f>
        <v>#REF!</v>
      </c>
      <c r="C270" s="12" t="e">
        <f aca="false">('Dataset experimental'!AE270+SIN('Avaliação do resultado ML'!B270))*0.70674187</f>
        <v>#REF!</v>
      </c>
      <c r="D270" s="12" t="e">
        <f aca="false">'Modelos Propostos'!E270+'Avaliação do resultado ML'!C270-'Modelos normativos'!AQ270</f>
        <v>#REF!</v>
      </c>
      <c r="E270" s="12" t="n">
        <f aca="false">'Modelos empíricos'!I270+1.1854</f>
        <v>2.25965836592993</v>
      </c>
      <c r="F270" s="4" t="e">
        <f aca="false">-0.01753*('Modelos normativos'!AN270-'Dataset experimental'!C270-ABS(G270)-('Modelos Propostos'!E270-'Modelos normativos'!AP270)/0.25291)</f>
        <v>#REF!</v>
      </c>
      <c r="G270" s="4" t="e">
        <f aca="false">'Dataset experimental'!K270+'Modelos empíricos'!K270^2+('Modelos Propostos'!E270-'Modelos normativos'!AQ270)*4.10553</f>
        <v>#REF!</v>
      </c>
      <c r="H270" s="4" t="e">
        <f aca="false">0.03283*(J270+K270)</f>
        <v>#REF!</v>
      </c>
      <c r="I270" s="4" t="e">
        <f aca="false">(1.61428/'Dataset experimental'!Q270)^3</f>
        <v>#REF!</v>
      </c>
      <c r="J270" s="4" t="e">
        <f aca="false">SIN('Dataset experimental'!E270)+1.450178*(SIN('Avaliação do resultado ML'!I270)+'Dataset experimental'!C270)</f>
        <v>#REF!</v>
      </c>
      <c r="K270" s="4" t="e">
        <f aca="false">('Modelos empíricos'!C270-'Dataset experimental'!G270)*'Dataset experimental'!AE270-'Modelos normativos'!AP270</f>
        <v>#REF!</v>
      </c>
      <c r="L270" s="4" t="n">
        <f aca="false">0.0076*'Dataset experimental'!B270+'Avaliação do resultado ML'!M270+'Avaliação do resultado ML'!N270+(-0.0328)*(0.0171*'Dataset experimental'!AD270-0.9442)*'Avaliação do resultado ML'!O270-'Avaliação do resultado ML'!P270-0.0364</f>
        <v>-0.0494826511488927</v>
      </c>
      <c r="M270" s="12" t="n">
        <f aca="false">0.03283*SIN(0.7328*'Dataset experimental'!D270-1.8266)</f>
        <v>-0.0115958827834406</v>
      </c>
      <c r="N270" s="12" t="n">
        <f aca="false">0.0476*SIN(4.2067/(0.0095*'Dataset experimental'!P270-1.9338)^3)</f>
        <v>-0.0237143865224017</v>
      </c>
      <c r="O270" s="12" t="n">
        <f aca="false">0.0214*'Dataset experimental'!F270-3.1067*'Dataset experimental'!B270*'Dataset experimental'!P270*('Dataset experimental'!T270-'Dataset experimental'!R270)*(0.39*'Dataset experimental'!P270*'Dataset experimental'!T270/'Dataset experimental'!V270-'Dataset experimental'!Z270+3.12)/(100000*'Dataset experimental'!V270)+0.7995</f>
        <v>-0.600542343044373</v>
      </c>
      <c r="P270" s="12" t="n">
        <f aca="false">0.4461*('Dataset experimental'!Z270-0.6*'Modelos normativos'!AB270)*(3.4*'Dataset experimental'!L270+0.17*'Dataset experimental'!B270/'Modelos normativos'!AC270)/200000</f>
        <v>0.118918563408708</v>
      </c>
      <c r="Q270" s="4" t="e">
        <f aca="false">L270/H270</f>
        <v>#REF!</v>
      </c>
      <c r="R270" s="4" t="e">
        <f aca="false">(-0.042-0.014*'Com TS variável MC2020'!Q279)*('Modelos normativos'!AP270-ABS('Modelos Propostos'!K270)-'Dataset experimental'!W270+COS(S270))</f>
        <v>#REF!</v>
      </c>
      <c r="S270" s="4" t="e">
        <f aca="false">'Dataset experimental'!O270-('Modelos normativos'!AQ270-SIN(0.083/('Dataset experimental'!M270-'Dataset experimental'!O270))-'Modelos empíricos'!I270)/0.646</f>
        <v>#REF!</v>
      </c>
      <c r="W270" s="4" t="e">
        <f aca="false">'Modelos normativos'!S270+'Avaliação do resultado ML'!A270</f>
        <v>#REF!</v>
      </c>
      <c r="X270" s="4" t="e">
        <f aca="false">W270/'Dataset experimental'!$AF270</f>
        <v>#REF!</v>
      </c>
      <c r="AJ270" s="4" t="e">
        <f aca="false">'Modelos Propostos'!B270+H270</f>
        <v>#REF!</v>
      </c>
      <c r="AK270" s="4" t="e">
        <f aca="false">AJ270/'Dataset experimental'!$AF270</f>
        <v>#REF!</v>
      </c>
      <c r="AV270" s="4" t="e">
        <f aca="false">'Modelos normativos'!S270+F270</f>
        <v>#REF!</v>
      </c>
      <c r="AW270" s="4" t="e">
        <f aca="false">AV270/'Dataset experimental'!$AF270</f>
        <v>#REF!</v>
      </c>
      <c r="BH270" s="4" t="e">
        <f aca="false">'Modelos Propostos'!B270+R270</f>
        <v>#REF!</v>
      </c>
      <c r="BI270" s="4" t="e">
        <f aca="false">BH270/'Dataset experimental'!$AF270</f>
        <v>#REF!</v>
      </c>
      <c r="BT270" s="4" t="n">
        <f aca="false">'Modelos Propostos'!B270+L270</f>
        <v>0.284536947961559</v>
      </c>
      <c r="BU270" s="4" t="n">
        <f aca="false">BT270/'Dataset experimental'!$AF270</f>
        <v>0.862233175641088</v>
      </c>
    </row>
    <row r="271" customFormat="false" ht="14.25" hidden="false" customHeight="false" outlineLevel="0" collapsed="false">
      <c r="A271" s="4" t="e">
        <f aca="false">0.0894*ABS(D271)-0.01603*E271</f>
        <v>#REF!</v>
      </c>
      <c r="B271" s="12" t="e">
        <f aca="false">'Dataset experimental'!K271*COS('Dataset experimental'!AC271)-'Dataset experimental'!M271-'Dataset experimental'!C271</f>
        <v>#REF!</v>
      </c>
      <c r="C271" s="12" t="e">
        <f aca="false">('Dataset experimental'!AE271+SIN('Avaliação do resultado ML'!B271))*0.70674187</f>
        <v>#REF!</v>
      </c>
      <c r="D271" s="12" t="e">
        <f aca="false">'Modelos Propostos'!E271+'Avaliação do resultado ML'!C271-'Modelos normativos'!AQ271</f>
        <v>#REF!</v>
      </c>
      <c r="E271" s="12" t="n">
        <f aca="false">'Modelos empíricos'!I271+1.1854</f>
        <v>-0.147396298414254</v>
      </c>
      <c r="F271" s="4" t="e">
        <f aca="false">-0.01753*('Modelos normativos'!AN271-'Dataset experimental'!C271-ABS(G271)-('Modelos Propostos'!E271-'Modelos normativos'!AP271)/0.25291)</f>
        <v>#REF!</v>
      </c>
      <c r="G271" s="4" t="e">
        <f aca="false">'Dataset experimental'!K271+'Modelos empíricos'!K271^2+('Modelos Propostos'!E271-'Modelos normativos'!AQ271)*4.10553</f>
        <v>#REF!</v>
      </c>
      <c r="H271" s="4" t="e">
        <f aca="false">0.03283*(J271+K271)</f>
        <v>#REF!</v>
      </c>
      <c r="I271" s="4" t="e">
        <f aca="false">(1.61428/'Dataset experimental'!Q271)^3</f>
        <v>#REF!</v>
      </c>
      <c r="J271" s="4" t="e">
        <f aca="false">SIN('Dataset experimental'!E271)+1.450178*(SIN('Avaliação do resultado ML'!I271)+'Dataset experimental'!C271)</f>
        <v>#REF!</v>
      </c>
      <c r="K271" s="4" t="e">
        <f aca="false">('Modelos empíricos'!C271-'Dataset experimental'!G271)*'Dataset experimental'!AE271-'Modelos normativos'!AP271</f>
        <v>#REF!</v>
      </c>
      <c r="L271" s="4" t="n">
        <f aca="false">0.0076*'Dataset experimental'!B271+'Avaliação do resultado ML'!M271+'Avaliação do resultado ML'!N271+(-0.0328)*(0.0171*'Dataset experimental'!AD271-0.9442)*'Avaliação do resultado ML'!O271-'Avaliação do resultado ML'!P271-0.0364</f>
        <v>0.0368829779646238</v>
      </c>
      <c r="M271" s="12" t="n">
        <f aca="false">0.03283*SIN(0.7328*'Dataset experimental'!D271-1.8266)</f>
        <v>-0.0115958827834406</v>
      </c>
      <c r="N271" s="12" t="n">
        <f aca="false">0.0476*SIN(4.2067/(0.0095*'Dataset experimental'!P271-1.9338)^3)</f>
        <v>-0.0237143865224017</v>
      </c>
      <c r="O271" s="12" t="n">
        <f aca="false">0.0214*'Dataset experimental'!F271-3.1067*'Dataset experimental'!B271*'Dataset experimental'!P271*('Dataset experimental'!T271-'Dataset experimental'!R271)*(0.39*'Dataset experimental'!P271*'Dataset experimental'!T271/'Dataset experimental'!V271-'Dataset experimental'!Z271+3.12)/(100000*'Dataset experimental'!V271)+0.7995</f>
        <v>0.66479068699467</v>
      </c>
      <c r="P271" s="12" t="n">
        <f aca="false">0.4461*('Dataset experimental'!Z271-0.6*'Modelos normativos'!AB271)*(3.4*'Dataset experimental'!L271+0.17*'Dataset experimental'!B271/'Modelos normativos'!AC271)/200000</f>
        <v>0.0498469518657712</v>
      </c>
      <c r="Q271" s="4" t="e">
        <f aca="false">L271/H271</f>
        <v>#REF!</v>
      </c>
      <c r="R271" s="4" t="e">
        <f aca="false">(-0.042-0.014*'Com TS variável MC2020'!Q280)*('Modelos normativos'!AP271-ABS('Modelos Propostos'!K271)-'Dataset experimental'!W271+COS(S271))</f>
        <v>#REF!</v>
      </c>
      <c r="S271" s="4" t="e">
        <f aca="false">'Dataset experimental'!O271-('Modelos normativos'!AQ271-SIN(0.083/('Dataset experimental'!M271-'Dataset experimental'!O271))-'Modelos empíricos'!I271)/0.646</f>
        <v>#REF!</v>
      </c>
      <c r="W271" s="4" t="e">
        <f aca="false">'Modelos normativos'!S271+'Avaliação do resultado ML'!A271</f>
        <v>#REF!</v>
      </c>
      <c r="X271" s="4" t="e">
        <f aca="false">W271/'Dataset experimental'!$AF271</f>
        <v>#REF!</v>
      </c>
      <c r="AJ271" s="4" t="e">
        <f aca="false">'Modelos Propostos'!B271+H271</f>
        <v>#REF!</v>
      </c>
      <c r="AK271" s="4" t="e">
        <f aca="false">AJ271/'Dataset experimental'!$AF271</f>
        <v>#REF!</v>
      </c>
      <c r="AV271" s="4" t="e">
        <f aca="false">'Modelos normativos'!S271+F271</f>
        <v>#REF!</v>
      </c>
      <c r="AW271" s="4" t="e">
        <f aca="false">AV271/'Dataset experimental'!$AF271</f>
        <v>#REF!</v>
      </c>
      <c r="BH271" s="4" t="e">
        <f aca="false">'Modelos Propostos'!B271+R271</f>
        <v>#REF!</v>
      </c>
      <c r="BI271" s="4" t="e">
        <f aca="false">BH271/'Dataset experimental'!$AF271</f>
        <v>#REF!</v>
      </c>
      <c r="BT271" s="4" t="n">
        <f aca="false">'Modelos Propostos'!B271+L271</f>
        <v>0.138502698000224</v>
      </c>
      <c r="BU271" s="4" t="n">
        <f aca="false">BT271/'Dataset experimental'!$AF271</f>
        <v>0.923351320001492</v>
      </c>
    </row>
    <row r="272" customFormat="false" ht="14.25" hidden="false" customHeight="false" outlineLevel="0" collapsed="false">
      <c r="A272" s="4" t="e">
        <f aca="false">0.0894*ABS(D272)-0.01603*E272</f>
        <v>#REF!</v>
      </c>
      <c r="B272" s="12" t="e">
        <f aca="false">'Dataset experimental'!K272*COS('Dataset experimental'!AC272)-'Dataset experimental'!M272-'Dataset experimental'!C272</f>
        <v>#REF!</v>
      </c>
      <c r="C272" s="12" t="e">
        <f aca="false">('Dataset experimental'!AE272+SIN('Avaliação do resultado ML'!B272))*0.70674187</f>
        <v>#REF!</v>
      </c>
      <c r="D272" s="12" t="e">
        <f aca="false">'Modelos Propostos'!E272+'Avaliação do resultado ML'!C272-'Modelos normativos'!AQ272</f>
        <v>#REF!</v>
      </c>
      <c r="E272" s="12" t="n">
        <f aca="false">'Modelos empíricos'!I272+1.1854</f>
        <v>0.705848018373037</v>
      </c>
      <c r="F272" s="4" t="e">
        <f aca="false">-0.01753*('Modelos normativos'!AN272-'Dataset experimental'!C272-ABS(G272)-('Modelos Propostos'!E272-'Modelos normativos'!AP272)/0.25291)</f>
        <v>#REF!</v>
      </c>
      <c r="G272" s="4" t="e">
        <f aca="false">'Dataset experimental'!K272+'Modelos empíricos'!K272^2+('Modelos Propostos'!E272-'Modelos normativos'!AQ272)*4.10553</f>
        <v>#REF!</v>
      </c>
      <c r="H272" s="4" t="e">
        <f aca="false">0.03283*(J272+K272)</f>
        <v>#REF!</v>
      </c>
      <c r="I272" s="4" t="e">
        <f aca="false">(1.61428/'Dataset experimental'!Q272)^3</f>
        <v>#REF!</v>
      </c>
      <c r="J272" s="4" t="e">
        <f aca="false">SIN('Dataset experimental'!E272)+1.450178*(SIN('Avaliação do resultado ML'!I272)+'Dataset experimental'!C272)</f>
        <v>#REF!</v>
      </c>
      <c r="K272" s="4" t="e">
        <f aca="false">('Modelos empíricos'!C272-'Dataset experimental'!G272)*'Dataset experimental'!AE272-'Modelos normativos'!AP272</f>
        <v>#REF!</v>
      </c>
      <c r="L272" s="4" t="n">
        <f aca="false">0.0076*'Dataset experimental'!B272+'Avaliação do resultado ML'!M272+'Avaliação do resultado ML'!N272+(-0.0328)*(0.0171*'Dataset experimental'!AD272-0.9442)*'Avaliação do resultado ML'!O272-'Avaliação do resultado ML'!P272-0.0364</f>
        <v>0.00250465541423964</v>
      </c>
      <c r="M272" s="12" t="n">
        <f aca="false">0.03283*SIN(0.7328*'Dataset experimental'!D272-1.8266)</f>
        <v>-0.0115958827834406</v>
      </c>
      <c r="N272" s="12" t="n">
        <f aca="false">0.0476*SIN(4.2067/(0.0095*'Dataset experimental'!P272-1.9338)^3)</f>
        <v>-0.0237143865224017</v>
      </c>
      <c r="O272" s="12" t="n">
        <f aca="false">0.0214*'Dataset experimental'!F272-3.1067*'Dataset experimental'!B272*'Dataset experimental'!P272*('Dataset experimental'!T272-'Dataset experimental'!R272)*(0.39*'Dataset experimental'!P272*'Dataset experimental'!T272/'Dataset experimental'!V272-'Dataset experimental'!Z272+3.12)/(100000*'Dataset experimental'!V272)+0.7995</f>
        <v>0.216259861036793</v>
      </c>
      <c r="P272" s="12" t="n">
        <f aca="false">0.4461*('Dataset experimental'!Z272-0.6*'Modelos normativos'!AB272)*(3.4*'Dataset experimental'!L272+0.17*'Dataset experimental'!B272/'Modelos normativos'!AC272)/200000</f>
        <v>0.0743312150914289</v>
      </c>
      <c r="Q272" s="4" t="e">
        <f aca="false">L272/H272</f>
        <v>#REF!</v>
      </c>
      <c r="R272" s="4" t="e">
        <f aca="false">(-0.042-0.014*'Com TS variável MC2020'!Q281)*('Modelos normativos'!AP272-ABS('Modelos Propostos'!K272)-'Dataset experimental'!W272+COS(S272))</f>
        <v>#REF!</v>
      </c>
      <c r="S272" s="4" t="e">
        <f aca="false">'Dataset experimental'!O272-('Modelos normativos'!AQ272-SIN(0.083/('Dataset experimental'!M272-'Dataset experimental'!O272))-'Modelos empíricos'!I272)/0.646</f>
        <v>#REF!</v>
      </c>
      <c r="W272" s="4" t="e">
        <f aca="false">'Modelos normativos'!S272+'Avaliação do resultado ML'!A272</f>
        <v>#REF!</v>
      </c>
      <c r="X272" s="4" t="e">
        <f aca="false">W272/'Dataset experimental'!$AF272</f>
        <v>#REF!</v>
      </c>
      <c r="AJ272" s="4" t="e">
        <f aca="false">'Modelos Propostos'!B272+H272</f>
        <v>#REF!</v>
      </c>
      <c r="AK272" s="4" t="e">
        <f aca="false">AJ272/'Dataset experimental'!$AF272</f>
        <v>#REF!</v>
      </c>
      <c r="AV272" s="4" t="e">
        <f aca="false">'Modelos normativos'!S272+F272</f>
        <v>#REF!</v>
      </c>
      <c r="AW272" s="4" t="e">
        <f aca="false">AV272/'Dataset experimental'!$AF272</f>
        <v>#REF!</v>
      </c>
      <c r="BH272" s="4" t="e">
        <f aca="false">'Modelos Propostos'!B272+R272</f>
        <v>#REF!</v>
      </c>
      <c r="BI272" s="4" t="e">
        <f aca="false">BH272/'Dataset experimental'!$AF272</f>
        <v>#REF!</v>
      </c>
      <c r="BT272" s="4" t="n">
        <f aca="false">'Modelos Propostos'!B272+L272</f>
        <v>0.185915664369911</v>
      </c>
      <c r="BU272" s="4" t="n">
        <f aca="false">BT272/'Dataset experimental'!$AF272</f>
        <v>0.743662657479645</v>
      </c>
    </row>
    <row r="273" customFormat="false" ht="14.25" hidden="false" customHeight="false" outlineLevel="0" collapsed="false">
      <c r="A273" s="4" t="e">
        <f aca="false">0.0894*ABS(D273)-0.01603*E273</f>
        <v>#REF!</v>
      </c>
      <c r="B273" s="12" t="e">
        <f aca="false">'Dataset experimental'!K273*COS('Dataset experimental'!AC273)-'Dataset experimental'!M273-'Dataset experimental'!C273</f>
        <v>#REF!</v>
      </c>
      <c r="C273" s="12" t="e">
        <f aca="false">('Dataset experimental'!AE273+SIN('Avaliação do resultado ML'!B273))*0.70674187</f>
        <v>#REF!</v>
      </c>
      <c r="D273" s="12" t="e">
        <f aca="false">'Modelos Propostos'!E273+'Avaliação do resultado ML'!C273-'Modelos normativos'!AQ273</f>
        <v>#REF!</v>
      </c>
      <c r="E273" s="12" t="n">
        <f aca="false">'Modelos empíricos'!I273+1.1854</f>
        <v>1.57017343018354</v>
      </c>
      <c r="F273" s="4" t="e">
        <f aca="false">-0.01753*('Modelos normativos'!AN273-'Dataset experimental'!C273-ABS(G273)-('Modelos Propostos'!E273-'Modelos normativos'!AP273)/0.25291)</f>
        <v>#REF!</v>
      </c>
      <c r="G273" s="4" t="e">
        <f aca="false">'Dataset experimental'!K273+'Modelos empíricos'!K273^2+('Modelos Propostos'!E273-'Modelos normativos'!AQ273)*4.10553</f>
        <v>#REF!</v>
      </c>
      <c r="H273" s="4" t="e">
        <f aca="false">0.03283*(J273+K273)</f>
        <v>#REF!</v>
      </c>
      <c r="I273" s="4" t="e">
        <f aca="false">(1.61428/'Dataset experimental'!Q273)^3</f>
        <v>#REF!</v>
      </c>
      <c r="J273" s="4" t="e">
        <f aca="false">SIN('Dataset experimental'!E273)+1.450178*(SIN('Avaliação do resultado ML'!I273)+'Dataset experimental'!C273)</f>
        <v>#REF!</v>
      </c>
      <c r="K273" s="4" t="e">
        <f aca="false">('Modelos empíricos'!C273-'Dataset experimental'!G273)*'Dataset experimental'!AE273-'Modelos normativos'!AP273</f>
        <v>#REF!</v>
      </c>
      <c r="L273" s="4" t="n">
        <f aca="false">0.0076*'Dataset experimental'!B273+'Avaliação do resultado ML'!M273+'Avaliação do resultado ML'!N273+(-0.0328)*(0.0171*'Dataset experimental'!AD273-0.9442)*'Avaliação do resultado ML'!O273-'Avaliação do resultado ML'!P273-0.0364</f>
        <v>-0.0283701322170214</v>
      </c>
      <c r="M273" s="12" t="n">
        <f aca="false">0.03283*SIN(0.7328*'Dataset experimental'!D273-1.8266)</f>
        <v>-0.0115958827834406</v>
      </c>
      <c r="N273" s="12" t="n">
        <f aca="false">0.0476*SIN(4.2067/(0.0095*'Dataset experimental'!P273-1.9338)^3)</f>
        <v>-0.0237143865224017</v>
      </c>
      <c r="O273" s="12" t="n">
        <f aca="false">0.0214*'Dataset experimental'!F273-3.1067*'Dataset experimental'!B273*'Dataset experimental'!P273*('Dataset experimental'!T273-'Dataset experimental'!R273)*(0.39*'Dataset experimental'!P273*'Dataset experimental'!T273/'Dataset experimental'!V273-'Dataset experimental'!Z273+3.12)/(100000*'Dataset experimental'!V273)+0.7995</f>
        <v>-0.238096040582874</v>
      </c>
      <c r="P273" s="12" t="n">
        <f aca="false">0.4461*('Dataset experimental'!Z273-0.6*'Modelos normativos'!AB273)*(3.4*'Dataset experimental'!L273+0.17*'Dataset experimental'!B273/'Modelos normativos'!AC273)/200000</f>
        <v>0.0991334557615757</v>
      </c>
      <c r="Q273" s="4" t="e">
        <f aca="false">L273/H273</f>
        <v>#REF!</v>
      </c>
      <c r="R273" s="4" t="e">
        <f aca="false">(-0.042-0.014*'Com TS variável MC2020'!Q282)*('Modelos normativos'!AP273-ABS('Modelos Propostos'!K273)-'Dataset experimental'!W273+COS(S273))</f>
        <v>#REF!</v>
      </c>
      <c r="S273" s="4" t="e">
        <f aca="false">'Dataset experimental'!O273-('Modelos normativos'!AQ273-SIN(0.083/('Dataset experimental'!M273-'Dataset experimental'!O273))-'Modelos empíricos'!I273)/0.646</f>
        <v>#REF!</v>
      </c>
      <c r="W273" s="4" t="e">
        <f aca="false">'Modelos normativos'!S273+'Avaliação do resultado ML'!A273</f>
        <v>#REF!</v>
      </c>
      <c r="X273" s="4" t="e">
        <f aca="false">W273/'Dataset experimental'!$AF273</f>
        <v>#REF!</v>
      </c>
      <c r="AJ273" s="4" t="e">
        <f aca="false">'Modelos Propostos'!B273+H273</f>
        <v>#REF!</v>
      </c>
      <c r="AK273" s="4" t="e">
        <f aca="false">AJ273/'Dataset experimental'!$AF273</f>
        <v>#REF!</v>
      </c>
      <c r="AV273" s="4" t="e">
        <f aca="false">'Modelos normativos'!S273+F273</f>
        <v>#REF!</v>
      </c>
      <c r="AW273" s="4" t="e">
        <f aca="false">AV273/'Dataset experimental'!$AF273</f>
        <v>#REF!</v>
      </c>
      <c r="BH273" s="4" t="e">
        <f aca="false">'Modelos Propostos'!B273+R273</f>
        <v>#REF!</v>
      </c>
      <c r="BI273" s="4" t="e">
        <f aca="false">BH273/'Dataset experimental'!$AF273</f>
        <v>#REF!</v>
      </c>
      <c r="BT273" s="4" t="n">
        <f aca="false">'Modelos Propostos'!B273+L273</f>
        <v>0.238818689077465</v>
      </c>
      <c r="BU273" s="4" t="n">
        <f aca="false">BT273/'Dataset experimental'!$AF273</f>
        <v>0.852923889562375</v>
      </c>
    </row>
    <row r="274" customFormat="false" ht="14.25" hidden="false" customHeight="false" outlineLevel="0" collapsed="false">
      <c r="A274" s="4" t="e">
        <f aca="false">0.0894*ABS(D274)-0.01603*E274</f>
        <v>#REF!</v>
      </c>
      <c r="B274" s="12" t="e">
        <f aca="false">'Dataset experimental'!K274*COS('Dataset experimental'!AC274)-'Dataset experimental'!M274-'Dataset experimental'!C274</f>
        <v>#REF!</v>
      </c>
      <c r="C274" s="12" t="e">
        <f aca="false">('Dataset experimental'!AE274+SIN('Avaliação do resultado ML'!B274))*0.70674187</f>
        <v>#REF!</v>
      </c>
      <c r="D274" s="12" t="e">
        <f aca="false">'Modelos Propostos'!E274+'Avaliação do resultado ML'!C274-'Modelos normativos'!AQ274</f>
        <v>#REF!</v>
      </c>
      <c r="E274" s="12" t="n">
        <f aca="false">'Modelos empíricos'!I274+1.1854</f>
        <v>1.62223811005732</v>
      </c>
      <c r="F274" s="4" t="e">
        <f aca="false">-0.01753*('Modelos normativos'!AN274-'Dataset experimental'!C274-ABS(G274)-('Modelos Propostos'!E274-'Modelos normativos'!AP274)/0.25291)</f>
        <v>#REF!</v>
      </c>
      <c r="G274" s="4" t="e">
        <f aca="false">'Dataset experimental'!K274+'Modelos empíricos'!K274^2+('Modelos Propostos'!E274-'Modelos normativos'!AQ274)*4.10553</f>
        <v>#REF!</v>
      </c>
      <c r="H274" s="4" t="e">
        <f aca="false">0.03283*(J274+K274)</f>
        <v>#REF!</v>
      </c>
      <c r="I274" s="4" t="e">
        <f aca="false">(1.61428/'Dataset experimental'!Q274)^3</f>
        <v>#REF!</v>
      </c>
      <c r="J274" s="4" t="e">
        <f aca="false">SIN('Dataset experimental'!E274)+1.450178*(SIN('Avaliação do resultado ML'!I274)+'Dataset experimental'!C274)</f>
        <v>#REF!</v>
      </c>
      <c r="K274" s="4" t="e">
        <f aca="false">('Modelos empíricos'!C274-'Dataset experimental'!G274)*'Dataset experimental'!AE274-'Modelos normativos'!AP274</f>
        <v>#REF!</v>
      </c>
      <c r="L274" s="4" t="n">
        <f aca="false">0.0076*'Dataset experimental'!B274+'Avaliação do resultado ML'!M274+'Avaliação do resultado ML'!N274+(-0.0328)*(0.0171*'Dataset experimental'!AD274-0.9442)*'Avaliação do resultado ML'!O274-'Avaliação do resultado ML'!P274-0.0364</f>
        <v>-0.0720358369748293</v>
      </c>
      <c r="M274" s="12" t="n">
        <f aca="false">0.03283*SIN(0.7328*'Dataset experimental'!D274-1.8266)</f>
        <v>-0.0115958827834406</v>
      </c>
      <c r="N274" s="12" t="n">
        <f aca="false">0.0476*SIN(4.2067/(0.0095*'Dataset experimental'!P274-1.9338)^3)</f>
        <v>-0.0237143865224017</v>
      </c>
      <c r="O274" s="12" t="n">
        <f aca="false">0.0214*'Dataset experimental'!F274-3.1067*'Dataset experimental'!B274*'Dataset experimental'!P274*('Dataset experimental'!T274-'Dataset experimental'!R274)*(0.39*'Dataset experimental'!P274*'Dataset experimental'!T274/'Dataset experimental'!V274-'Dataset experimental'!Z274+3.12)/(100000*'Dataset experimental'!V274)+0.7995</f>
        <v>-0.563350504889527</v>
      </c>
      <c r="P274" s="12" t="n">
        <f aca="false">0.4461*('Dataset experimental'!Z274-0.6*'Modelos normativos'!AB274)*(3.4*'Dataset experimental'!L274+0.17*'Dataset experimental'!B274/'Modelos normativos'!AC274)/200000</f>
        <v>0.112407968594197</v>
      </c>
      <c r="Q274" s="4" t="e">
        <f aca="false">L274/H274</f>
        <v>#REF!</v>
      </c>
      <c r="R274" s="4" t="e">
        <f aca="false">(-0.042-0.014*'Com TS variável MC2020'!Q283)*('Modelos normativos'!AP274-ABS('Modelos Propostos'!K274)-'Dataset experimental'!W274+COS(S274))</f>
        <v>#REF!</v>
      </c>
      <c r="S274" s="4" t="e">
        <f aca="false">'Dataset experimental'!O274-('Modelos normativos'!AQ274-SIN(0.083/('Dataset experimental'!M274-'Dataset experimental'!O274))-'Modelos empíricos'!I274)/0.646</f>
        <v>#REF!</v>
      </c>
      <c r="W274" s="4" t="e">
        <f aca="false">'Modelos normativos'!S274+'Avaliação do resultado ML'!A274</f>
        <v>#REF!</v>
      </c>
      <c r="X274" s="4" t="e">
        <f aca="false">W274/'Dataset experimental'!$AF274</f>
        <v>#REF!</v>
      </c>
      <c r="AJ274" s="4" t="e">
        <f aca="false">'Modelos Propostos'!B274+H274</f>
        <v>#REF!</v>
      </c>
      <c r="AK274" s="4" t="e">
        <f aca="false">AJ274/'Dataset experimental'!$AF274</f>
        <v>#REF!</v>
      </c>
      <c r="AV274" s="4" t="e">
        <f aca="false">'Modelos normativos'!S274+F274</f>
        <v>#REF!</v>
      </c>
      <c r="AW274" s="4" t="e">
        <f aca="false">AV274/'Dataset experimental'!$AF274</f>
        <v>#REF!</v>
      </c>
      <c r="BH274" s="4" t="e">
        <f aca="false">'Modelos Propostos'!B274+R274</f>
        <v>#REF!</v>
      </c>
      <c r="BI274" s="4" t="e">
        <f aca="false">BH274/'Dataset experimental'!$AF274</f>
        <v>#REF!</v>
      </c>
      <c r="BT274" s="4" t="n">
        <f aca="false">'Modelos Propostos'!B274+L274</f>
        <v>0.244349815678765</v>
      </c>
      <c r="BU274" s="4" t="n">
        <f aca="false">BT274/'Dataset experimental'!$AF274</f>
        <v>1.22174907839382</v>
      </c>
    </row>
    <row r="275" customFormat="false" ht="14.25" hidden="false" customHeight="false" outlineLevel="0" collapsed="false">
      <c r="A275" s="4" t="e">
        <f aca="false">0.0894*ABS(D275)-0.01603*E275</f>
        <v>#REF!</v>
      </c>
      <c r="B275" s="12" t="e">
        <f aca="false">'Dataset experimental'!K275*COS('Dataset experimental'!AC275)-'Dataset experimental'!M275-'Dataset experimental'!C275</f>
        <v>#REF!</v>
      </c>
      <c r="C275" s="12" t="e">
        <f aca="false">('Dataset experimental'!AE275+SIN('Avaliação do resultado ML'!B275))*0.70674187</f>
        <v>#REF!</v>
      </c>
      <c r="D275" s="12" t="e">
        <f aca="false">'Modelos Propostos'!E275+'Avaliação do resultado ML'!C275-'Modelos normativos'!AQ275</f>
        <v>#REF!</v>
      </c>
      <c r="E275" s="12" t="n">
        <f aca="false">'Modelos empíricos'!I275+1.1854</f>
        <v>1.9086382262977</v>
      </c>
      <c r="F275" s="4" t="e">
        <f aca="false">-0.01753*('Modelos normativos'!AN275-'Dataset experimental'!C275-ABS(G275)-('Modelos Propostos'!E275-'Modelos normativos'!AP275)/0.25291)</f>
        <v>#REF!</v>
      </c>
      <c r="G275" s="4" t="e">
        <f aca="false">'Dataset experimental'!K275+'Modelos empíricos'!K275^2+('Modelos Propostos'!E275-'Modelos normativos'!AQ275)*4.10553</f>
        <v>#REF!</v>
      </c>
      <c r="H275" s="4" t="e">
        <f aca="false">0.03283*(J275+K275)</f>
        <v>#REF!</v>
      </c>
      <c r="I275" s="4" t="e">
        <f aca="false">(1.61428/'Dataset experimental'!Q275)^3</f>
        <v>#REF!</v>
      </c>
      <c r="J275" s="4" t="e">
        <f aca="false">SIN('Dataset experimental'!E275)+1.450178*(SIN('Avaliação do resultado ML'!I275)+'Dataset experimental'!C275)</f>
        <v>#REF!</v>
      </c>
      <c r="K275" s="4" t="e">
        <f aca="false">('Modelos empíricos'!C275-'Dataset experimental'!G275)*'Dataset experimental'!AE275-'Modelos normativos'!AP275</f>
        <v>#REF!</v>
      </c>
      <c r="L275" s="4" t="n">
        <f aca="false">0.0076*'Dataset experimental'!B275+'Avaliação do resultado ML'!M275+'Avaliação do resultado ML'!N275+(-0.0328)*(0.0171*'Dataset experimental'!AD275-0.9442)*'Avaliação do resultado ML'!O275-'Avaliação do resultado ML'!P275-0.0364</f>
        <v>-0.0831593748446931</v>
      </c>
      <c r="M275" s="12" t="n">
        <f aca="false">0.03283*SIN(0.7328*'Dataset experimental'!D275-1.8266)</f>
        <v>-0.0115958827834406</v>
      </c>
      <c r="N275" s="12" t="n">
        <f aca="false">0.0476*SIN(4.2067/(0.0095*'Dataset experimental'!P275-1.9338)^3)</f>
        <v>-0.0237143865224017</v>
      </c>
      <c r="O275" s="12" t="n">
        <f aca="false">0.0214*'Dataset experimental'!F275-3.1067*'Dataset experimental'!B275*'Dataset experimental'!P275*('Dataset experimental'!T275-'Dataset experimental'!R275)*(0.39*'Dataset experimental'!P275*'Dataset experimental'!T275/'Dataset experimental'!V275-'Dataset experimental'!Z275+3.12)/(100000*'Dataset experimental'!V275)+0.7995</f>
        <v>-0.753519258804926</v>
      </c>
      <c r="P275" s="12" t="n">
        <f aca="false">0.4461*('Dataset experimental'!Z275-0.6*'Modelos normativos'!AB275)*(3.4*'Dataset experimental'!L275+0.17*'Dataset experimental'!B275/'Modelos normativos'!AC275)/200000</f>
        <v>0.122223498829269</v>
      </c>
      <c r="Q275" s="4" t="e">
        <f aca="false">L275/H275</f>
        <v>#REF!</v>
      </c>
      <c r="R275" s="4" t="e">
        <f aca="false">(-0.042-0.014*'Com TS variável MC2020'!Q284)*('Modelos normativos'!AP275-ABS('Modelos Propostos'!K275)-'Dataset experimental'!W275+COS(S275))</f>
        <v>#REF!</v>
      </c>
      <c r="S275" s="4" t="e">
        <f aca="false">'Dataset experimental'!O275-('Modelos normativos'!AQ275-SIN(0.083/('Dataset experimental'!M275-'Dataset experimental'!O275))-'Modelos empíricos'!I275)/0.646</f>
        <v>#REF!</v>
      </c>
      <c r="W275" s="4" t="e">
        <f aca="false">'Modelos normativos'!S275+'Avaliação do resultado ML'!A275</f>
        <v>#REF!</v>
      </c>
      <c r="X275" s="4" t="e">
        <f aca="false">W275/'Dataset experimental'!$AF275</f>
        <v>#REF!</v>
      </c>
      <c r="AJ275" s="4" t="e">
        <f aca="false">'Modelos Propostos'!B275+H275</f>
        <v>#REF!</v>
      </c>
      <c r="AK275" s="4" t="e">
        <f aca="false">AJ275/'Dataset experimental'!$AF275</f>
        <v>#REF!</v>
      </c>
      <c r="AV275" s="4" t="e">
        <f aca="false">'Modelos normativos'!S275+F275</f>
        <v>#REF!</v>
      </c>
      <c r="AW275" s="4" t="e">
        <f aca="false">AV275/'Dataset experimental'!$AF275</f>
        <v>#REF!</v>
      </c>
      <c r="BH275" s="4" t="e">
        <f aca="false">'Modelos Propostos'!B275+R275</f>
        <v>#REF!</v>
      </c>
      <c r="BI275" s="4" t="e">
        <f aca="false">BH275/'Dataset experimental'!$AF275</f>
        <v>#REF!</v>
      </c>
      <c r="BT275" s="4" t="n">
        <f aca="false">'Modelos Propostos'!B275+L275</f>
        <v>0.268465910762194</v>
      </c>
      <c r="BU275" s="4" t="n">
        <f aca="false">BT275/'Dataset experimental'!$AF275</f>
        <v>1.22029959437361</v>
      </c>
    </row>
    <row r="276" customFormat="false" ht="14.25" hidden="false" customHeight="false" outlineLevel="0" collapsed="false">
      <c r="A276" s="4" t="e">
        <f aca="false">0.0894*ABS(D276)-0.01603*E276</f>
        <v>#REF!</v>
      </c>
      <c r="B276" s="12" t="e">
        <f aca="false">'Dataset experimental'!K276*COS('Dataset experimental'!AC276)-'Dataset experimental'!M276-'Dataset experimental'!C276</f>
        <v>#REF!</v>
      </c>
      <c r="C276" s="12" t="e">
        <f aca="false">('Dataset experimental'!AE276+SIN('Avaliação do resultado ML'!B276))*0.70674187</f>
        <v>#REF!</v>
      </c>
      <c r="D276" s="12" t="e">
        <f aca="false">'Modelos Propostos'!E276+'Avaliação do resultado ML'!C276-'Modelos normativos'!AQ276</f>
        <v>#REF!</v>
      </c>
      <c r="E276" s="12" t="n">
        <f aca="false">'Modelos empíricos'!I276+1.1854</f>
        <v>1.62223811005732</v>
      </c>
      <c r="F276" s="4" t="e">
        <f aca="false">-0.01753*('Modelos normativos'!AN276-'Dataset experimental'!C276-ABS(G276)-('Modelos Propostos'!E276-'Modelos normativos'!AP276)/0.25291)</f>
        <v>#REF!</v>
      </c>
      <c r="G276" s="4" t="e">
        <f aca="false">'Dataset experimental'!K276+'Modelos empíricos'!K276^2+('Modelos Propostos'!E276-'Modelos normativos'!AQ276)*4.10553</f>
        <v>#REF!</v>
      </c>
      <c r="H276" s="4" t="e">
        <f aca="false">0.03283*(J276+K276)</f>
        <v>#REF!</v>
      </c>
      <c r="I276" s="4" t="e">
        <f aca="false">(1.61428/'Dataset experimental'!Q276)^3</f>
        <v>#REF!</v>
      </c>
      <c r="J276" s="4" t="e">
        <f aca="false">SIN('Dataset experimental'!E276)+1.450178*(SIN('Avaliação do resultado ML'!I276)+'Dataset experimental'!C276)</f>
        <v>#REF!</v>
      </c>
      <c r="K276" s="4" t="e">
        <f aca="false">('Modelos empíricos'!C276-'Dataset experimental'!G276)*'Dataset experimental'!AE276-'Modelos normativos'!AP276</f>
        <v>#REF!</v>
      </c>
      <c r="L276" s="4" t="n">
        <f aca="false">0.0076*'Dataset experimental'!B276+'Avaliação do resultado ML'!M276+'Avaliação do resultado ML'!N276+(-0.0328)*(0.0171*'Dataset experimental'!AD276-0.9442)*'Avaliação do resultado ML'!O276-'Avaliação do resultado ML'!P276-0.0364</f>
        <v>-0.0720358369748293</v>
      </c>
      <c r="M276" s="12" t="n">
        <f aca="false">0.03283*SIN(0.7328*'Dataset experimental'!D276-1.8266)</f>
        <v>-0.0115958827834406</v>
      </c>
      <c r="N276" s="12" t="n">
        <f aca="false">0.0476*SIN(4.2067/(0.0095*'Dataset experimental'!P276-1.9338)^3)</f>
        <v>-0.0237143865224017</v>
      </c>
      <c r="O276" s="12" t="n">
        <f aca="false">0.0214*'Dataset experimental'!F276-3.1067*'Dataset experimental'!B276*'Dataset experimental'!P276*('Dataset experimental'!T276-'Dataset experimental'!R276)*(0.39*'Dataset experimental'!P276*'Dataset experimental'!T276/'Dataset experimental'!V276-'Dataset experimental'!Z276+3.12)/(100000*'Dataset experimental'!V276)+0.7995</f>
        <v>-0.563350504889527</v>
      </c>
      <c r="P276" s="12" t="n">
        <f aca="false">0.4461*('Dataset experimental'!Z276-0.6*'Modelos normativos'!AB276)*(3.4*'Dataset experimental'!L276+0.17*'Dataset experimental'!B276/'Modelos normativos'!AC276)/200000</f>
        <v>0.112407968594197</v>
      </c>
      <c r="Q276" s="4" t="e">
        <f aca="false">L276/H276</f>
        <v>#REF!</v>
      </c>
      <c r="R276" s="4" t="e">
        <f aca="false">(-0.042-0.014*'Com TS variável MC2020'!Q285)*('Modelos normativos'!AP276-ABS('Modelos Propostos'!K276)-'Dataset experimental'!W276+COS(S276))</f>
        <v>#REF!</v>
      </c>
      <c r="S276" s="4" t="e">
        <f aca="false">'Dataset experimental'!O276-('Modelos normativos'!AQ276-SIN(0.083/('Dataset experimental'!M276-'Dataset experimental'!O276))-'Modelos empíricos'!I276)/0.646</f>
        <v>#REF!</v>
      </c>
      <c r="W276" s="4" t="e">
        <f aca="false">'Modelos normativos'!S276+'Avaliação do resultado ML'!A276</f>
        <v>#REF!</v>
      </c>
      <c r="X276" s="4" t="e">
        <f aca="false">W276/'Dataset experimental'!$AF276</f>
        <v>#REF!</v>
      </c>
      <c r="AJ276" s="4" t="e">
        <f aca="false">'Modelos Propostos'!B276+H276</f>
        <v>#REF!</v>
      </c>
      <c r="AK276" s="4" t="e">
        <f aca="false">AJ276/'Dataset experimental'!$AF276</f>
        <v>#REF!</v>
      </c>
      <c r="AV276" s="4" t="e">
        <f aca="false">'Modelos normativos'!S276+F276</f>
        <v>#REF!</v>
      </c>
      <c r="AW276" s="4" t="e">
        <f aca="false">AV276/'Dataset experimental'!$AF276</f>
        <v>#REF!</v>
      </c>
      <c r="BH276" s="4" t="e">
        <f aca="false">'Modelos Propostos'!B276+R276</f>
        <v>#REF!</v>
      </c>
      <c r="BI276" s="4" t="e">
        <f aca="false">BH276/'Dataset experimental'!$AF276</f>
        <v>#REF!</v>
      </c>
      <c r="BT276" s="4" t="n">
        <f aca="false">'Modelos Propostos'!B276+L276</f>
        <v>0.244349815678765</v>
      </c>
      <c r="BU276" s="4" t="n">
        <f aca="false">BT276/'Dataset experimental'!$AF276</f>
        <v>1.43735185693391</v>
      </c>
    </row>
    <row r="277" customFormat="false" ht="14.25" hidden="false" customHeight="false" outlineLevel="0" collapsed="false">
      <c r="A277" s="4" t="e">
        <f aca="false">0.0894*ABS(D277)-0.01603*E277</f>
        <v>#REF!</v>
      </c>
      <c r="B277" s="12" t="e">
        <f aca="false">'Dataset experimental'!K277*COS('Dataset experimental'!AC277)-'Dataset experimental'!M277-'Dataset experimental'!C277</f>
        <v>#REF!</v>
      </c>
      <c r="C277" s="12" t="e">
        <f aca="false">('Dataset experimental'!AE277+SIN('Avaliação do resultado ML'!B277))*0.70674187</f>
        <v>#REF!</v>
      </c>
      <c r="D277" s="12" t="e">
        <f aca="false">'Modelos Propostos'!E277+'Avaliação do resultado ML'!C277-'Modelos normativos'!AQ277</f>
        <v>#REF!</v>
      </c>
      <c r="E277" s="12" t="n">
        <f aca="false">'Modelos empíricos'!I277+1.1854</f>
        <v>1.9086382262977</v>
      </c>
      <c r="F277" s="4" t="e">
        <f aca="false">-0.01753*('Modelos normativos'!AN277-'Dataset experimental'!C277-ABS(G277)-('Modelos Propostos'!E277-'Modelos normativos'!AP277)/0.25291)</f>
        <v>#REF!</v>
      </c>
      <c r="G277" s="4" t="e">
        <f aca="false">'Dataset experimental'!K277+'Modelos empíricos'!K277^2+('Modelos Propostos'!E277-'Modelos normativos'!AQ277)*4.10553</f>
        <v>#REF!</v>
      </c>
      <c r="H277" s="4" t="e">
        <f aca="false">0.03283*(J277+K277)</f>
        <v>#REF!</v>
      </c>
      <c r="I277" s="4" t="e">
        <f aca="false">(1.61428/'Dataset experimental'!Q277)^3</f>
        <v>#REF!</v>
      </c>
      <c r="J277" s="4" t="e">
        <f aca="false">SIN('Dataset experimental'!E277)+1.450178*(SIN('Avaliação do resultado ML'!I277)+'Dataset experimental'!C277)</f>
        <v>#REF!</v>
      </c>
      <c r="K277" s="4" t="e">
        <f aca="false">('Modelos empíricos'!C277-'Dataset experimental'!G277)*'Dataset experimental'!AE277-'Modelos normativos'!AP277</f>
        <v>#REF!</v>
      </c>
      <c r="L277" s="4" t="n">
        <f aca="false">0.0076*'Dataset experimental'!B277+'Avaliação do resultado ML'!M277+'Avaliação do resultado ML'!N277+(-0.0328)*(0.0171*'Dataset experimental'!AD277-0.9442)*'Avaliação do resultado ML'!O277-'Avaliação do resultado ML'!P277-0.0364</f>
        <v>-0.0831593748446931</v>
      </c>
      <c r="M277" s="12" t="n">
        <f aca="false">0.03283*SIN(0.7328*'Dataset experimental'!D277-1.8266)</f>
        <v>-0.0115958827834406</v>
      </c>
      <c r="N277" s="12" t="n">
        <f aca="false">0.0476*SIN(4.2067/(0.0095*'Dataset experimental'!P277-1.9338)^3)</f>
        <v>-0.0237143865224017</v>
      </c>
      <c r="O277" s="12" t="n">
        <f aca="false">0.0214*'Dataset experimental'!F277-3.1067*'Dataset experimental'!B277*'Dataset experimental'!P277*('Dataset experimental'!T277-'Dataset experimental'!R277)*(0.39*'Dataset experimental'!P277*'Dataset experimental'!T277/'Dataset experimental'!V277-'Dataset experimental'!Z277+3.12)/(100000*'Dataset experimental'!V277)+0.7995</f>
        <v>-0.753519258804926</v>
      </c>
      <c r="P277" s="12" t="n">
        <f aca="false">0.4461*('Dataset experimental'!Z277-0.6*'Modelos normativos'!AB277)*(3.4*'Dataset experimental'!L277+0.17*'Dataset experimental'!B277/'Modelos normativos'!AC277)/200000</f>
        <v>0.122223498829269</v>
      </c>
      <c r="Q277" s="4" t="e">
        <f aca="false">L277/H277</f>
        <v>#REF!</v>
      </c>
      <c r="R277" s="4" t="e">
        <f aca="false">(-0.042-0.014*'Com TS variável MC2020'!Q286)*('Modelos normativos'!AP277-ABS('Modelos Propostos'!K277)-'Dataset experimental'!W277+COS(S277))</f>
        <v>#REF!</v>
      </c>
      <c r="S277" s="4" t="e">
        <f aca="false">'Dataset experimental'!O277-('Modelos normativos'!AQ277-SIN(0.083/('Dataset experimental'!M277-'Dataset experimental'!O277))-'Modelos empíricos'!I277)/0.646</f>
        <v>#REF!</v>
      </c>
      <c r="W277" s="4" t="e">
        <f aca="false">'Modelos normativos'!S277+'Avaliação do resultado ML'!A277</f>
        <v>#REF!</v>
      </c>
      <c r="X277" s="4" t="e">
        <f aca="false">W277/'Dataset experimental'!$AF277</f>
        <v>#REF!</v>
      </c>
      <c r="AJ277" s="4" t="e">
        <f aca="false">'Modelos Propostos'!B277+H277</f>
        <v>#REF!</v>
      </c>
      <c r="AK277" s="4" t="e">
        <f aca="false">AJ277/'Dataset experimental'!$AF277</f>
        <v>#REF!</v>
      </c>
      <c r="AV277" s="4" t="e">
        <f aca="false">'Modelos normativos'!S277+F277</f>
        <v>#REF!</v>
      </c>
      <c r="AW277" s="4" t="e">
        <f aca="false">AV277/'Dataset experimental'!$AF277</f>
        <v>#REF!</v>
      </c>
      <c r="BH277" s="4" t="e">
        <f aca="false">'Modelos Propostos'!B277+R277</f>
        <v>#REF!</v>
      </c>
      <c r="BI277" s="4" t="e">
        <f aca="false">BH277/'Dataset experimental'!$AF277</f>
        <v>#REF!</v>
      </c>
      <c r="BT277" s="4" t="n">
        <f aca="false">'Modelos Propostos'!B277+L277</f>
        <v>0.268465910762194</v>
      </c>
      <c r="BU277" s="4" t="n">
        <f aca="false">BT277/'Dataset experimental'!$AF277</f>
        <v>1.27840909886759</v>
      </c>
    </row>
    <row r="278" customFormat="false" ht="14.25" hidden="false" customHeight="false" outlineLevel="0" collapsed="false">
      <c r="A278" s="4" t="e">
        <f aca="false">0.0894*ABS(D278)-0.01603*E278</f>
        <v>#REF!</v>
      </c>
      <c r="B278" s="12" t="e">
        <f aca="false">'Dataset experimental'!K278*COS('Dataset experimental'!AC278)-'Dataset experimental'!M278-'Dataset experimental'!C278</f>
        <v>#REF!</v>
      </c>
      <c r="C278" s="12" t="e">
        <f aca="false">('Dataset experimental'!AE278+SIN('Avaliação do resultado ML'!B278))*0.70674187</f>
        <v>#REF!</v>
      </c>
      <c r="D278" s="12" t="e">
        <f aca="false">'Modelos Propostos'!E278+'Avaliação do resultado ML'!C278-'Modelos normativos'!AQ278</f>
        <v>#REF!</v>
      </c>
      <c r="E278" s="12" t="n">
        <f aca="false">'Modelos empíricos'!I278+1.1854</f>
        <v>0.259476901927185</v>
      </c>
      <c r="F278" s="4" t="e">
        <f aca="false">-0.01753*('Modelos normativos'!AN278-'Dataset experimental'!C278-ABS(G278)-('Modelos Propostos'!E278-'Modelos normativos'!AP278)/0.25291)</f>
        <v>#REF!</v>
      </c>
      <c r="G278" s="4" t="e">
        <f aca="false">'Dataset experimental'!K278+'Modelos empíricos'!K278^2+('Modelos Propostos'!E278-'Modelos normativos'!AQ278)*4.10553</f>
        <v>#REF!</v>
      </c>
      <c r="H278" s="4" t="e">
        <f aca="false">0.03283*(J278+K278)</f>
        <v>#REF!</v>
      </c>
      <c r="I278" s="4" t="e">
        <f aca="false">(1.61428/'Dataset experimental'!Q278)^3</f>
        <v>#REF!</v>
      </c>
      <c r="J278" s="4" t="e">
        <f aca="false">SIN('Dataset experimental'!E278)+1.450178*(SIN('Avaliação do resultado ML'!I278)+'Dataset experimental'!C278)</f>
        <v>#REF!</v>
      </c>
      <c r="K278" s="4" t="e">
        <f aca="false">('Modelos empíricos'!C278-'Dataset experimental'!G278)*'Dataset experimental'!AE278-'Modelos normativos'!AP278</f>
        <v>#REF!</v>
      </c>
      <c r="L278" s="4" t="n">
        <f aca="false">0.0076*'Dataset experimental'!B278+'Avaliação do resultado ML'!M278+'Avaliação do resultado ML'!N278+(-0.0328)*(0.0171*'Dataset experimental'!AD278-0.9442)*'Avaliação do resultado ML'!O278-'Avaliação do resultado ML'!P278-0.0364</f>
        <v>0.0212536435406768</v>
      </c>
      <c r="M278" s="12" t="n">
        <f aca="false">0.03283*SIN(0.7328*'Dataset experimental'!D278-1.8266)</f>
        <v>-0.0115958827834406</v>
      </c>
      <c r="N278" s="12" t="n">
        <f aca="false">0.0476*SIN(4.2067/(0.0095*'Dataset experimental'!P278-1.9338)^3)</f>
        <v>-0.0237143865224017</v>
      </c>
      <c r="O278" s="12" t="n">
        <f aca="false">0.0214*'Dataset experimental'!F278-3.1067*'Dataset experimental'!B278*'Dataset experimental'!P278*('Dataset experimental'!T278-'Dataset experimental'!R278)*(0.39*'Dataset experimental'!P278*'Dataset experimental'!T278/'Dataset experimental'!V278-'Dataset experimental'!Z278+3.12)/(100000*'Dataset experimental'!V278)+0.7995</f>
        <v>0.448605748431894</v>
      </c>
      <c r="P278" s="12" t="n">
        <f aca="false">0.4461*('Dataset experimental'!Z278-0.6*'Modelos normativos'!AB278)*(3.4*'Dataset experimental'!L278+0.17*'Dataset experimental'!B278/'Modelos normativos'!AC278)/200000</f>
        <v>0.0602015321000138</v>
      </c>
      <c r="Q278" s="4" t="e">
        <f aca="false">L278/H278</f>
        <v>#REF!</v>
      </c>
      <c r="R278" s="4" t="e">
        <f aca="false">(-0.042-0.014*'Com TS variável MC2020'!Q287)*('Modelos normativos'!AP278-ABS('Modelos Propostos'!K278)-'Dataset experimental'!W278+COS(S278))</f>
        <v>#REF!</v>
      </c>
      <c r="S278" s="4" t="e">
        <f aca="false">'Dataset experimental'!O278-('Modelos normativos'!AQ278-SIN(0.083/('Dataset experimental'!M278-'Dataset experimental'!O278))-'Modelos empíricos'!I278)/0.646</f>
        <v>#REF!</v>
      </c>
      <c r="W278" s="4" t="e">
        <f aca="false">'Modelos normativos'!S278+'Avaliação do resultado ML'!A278</f>
        <v>#REF!</v>
      </c>
      <c r="X278" s="4" t="e">
        <f aca="false">W278/'Dataset experimental'!$AF278</f>
        <v>#REF!</v>
      </c>
      <c r="AJ278" s="4" t="e">
        <f aca="false">'Modelos Propostos'!B278+H278</f>
        <v>#REF!</v>
      </c>
      <c r="AK278" s="4" t="e">
        <f aca="false">AJ278/'Dataset experimental'!$AF278</f>
        <v>#REF!</v>
      </c>
      <c r="AV278" s="4" t="e">
        <f aca="false">'Modelos normativos'!S278+F278</f>
        <v>#REF!</v>
      </c>
      <c r="AW278" s="4" t="e">
        <f aca="false">AV278/'Dataset experimental'!$AF278</f>
        <v>#REF!</v>
      </c>
      <c r="BH278" s="4" t="e">
        <f aca="false">'Modelos Propostos'!B278+R278</f>
        <v>#REF!</v>
      </c>
      <c r="BI278" s="4" t="e">
        <f aca="false">BH278/'Dataset experimental'!$AF278</f>
        <v>#REF!</v>
      </c>
      <c r="BT278" s="4" t="n">
        <f aca="false">'Modelos Propostos'!B278+L278</f>
        <v>0.153647412821309</v>
      </c>
      <c r="BU278" s="4" t="n">
        <f aca="false">BT278/'Dataset experimental'!$AF278</f>
        <v>0.903808310713585</v>
      </c>
    </row>
    <row r="279" customFormat="false" ht="14.25" hidden="false" customHeight="false" outlineLevel="0" collapsed="false">
      <c r="A279" s="4" t="e">
        <f aca="false">0.0894*ABS(D279)-0.01603*E279</f>
        <v>#REF!</v>
      </c>
      <c r="B279" s="12" t="e">
        <f aca="false">'Dataset experimental'!K279*COS('Dataset experimental'!AC279)-'Dataset experimental'!M279-'Dataset experimental'!C279</f>
        <v>#REF!</v>
      </c>
      <c r="C279" s="12" t="e">
        <f aca="false">('Dataset experimental'!AE279+SIN('Avaliação do resultado ML'!B279))*0.70674187</f>
        <v>#REF!</v>
      </c>
      <c r="D279" s="12" t="e">
        <f aca="false">'Modelos Propostos'!E279+'Avaliação do resultado ML'!C279-'Modelos normativos'!AQ279</f>
        <v>#REF!</v>
      </c>
      <c r="E279" s="12" t="n">
        <f aca="false">'Modelos empíricos'!I279+1.1854</f>
        <v>0.700126833379636</v>
      </c>
      <c r="F279" s="4" t="e">
        <f aca="false">-0.01753*('Modelos normativos'!AN279-'Dataset experimental'!C279-ABS(G279)-('Modelos Propostos'!E279-'Modelos normativos'!AP279)/0.25291)</f>
        <v>#REF!</v>
      </c>
      <c r="G279" s="4" t="e">
        <f aca="false">'Dataset experimental'!K279+'Modelos empíricos'!K279^2+('Modelos Propostos'!E279-'Modelos normativos'!AQ279)*4.10553</f>
        <v>#REF!</v>
      </c>
      <c r="H279" s="4" t="e">
        <f aca="false">0.03283*(J279+K279)</f>
        <v>#REF!</v>
      </c>
      <c r="I279" s="4" t="e">
        <f aca="false">(1.61428/'Dataset experimental'!Q279)^3</f>
        <v>#REF!</v>
      </c>
      <c r="J279" s="4" t="e">
        <f aca="false">SIN('Dataset experimental'!E279)+1.450178*(SIN('Avaliação do resultado ML'!I279)+'Dataset experimental'!C279)</f>
        <v>#REF!</v>
      </c>
      <c r="K279" s="4" t="e">
        <f aca="false">('Modelos empíricos'!C279-'Dataset experimental'!G279)*'Dataset experimental'!AE279-'Modelos normativos'!AP279</f>
        <v>#REF!</v>
      </c>
      <c r="L279" s="4" t="n">
        <f aca="false">0.0076*'Dataset experimental'!B279+'Avaliação do resultado ML'!M279+'Avaliação do resultado ML'!N279+(-0.0328)*(0.0171*'Dataset experimental'!AD279-0.9442)*'Avaliação do resultado ML'!O279-'Avaliação do resultado ML'!P279-0.0364</f>
        <v>0.00390468492045928</v>
      </c>
      <c r="M279" s="12" t="n">
        <f aca="false">0.03283*SIN(0.7328*'Dataset experimental'!D279-1.8266)</f>
        <v>-0.0115958827834406</v>
      </c>
      <c r="N279" s="12" t="n">
        <f aca="false">0.0476*SIN(4.2067/(0.0095*'Dataset experimental'!P279-1.9338)^3)</f>
        <v>-0.0237143865224017</v>
      </c>
      <c r="O279" s="12" t="n">
        <f aca="false">0.0214*'Dataset experimental'!F279-3.1067*'Dataset experimental'!B279*'Dataset experimental'!P279*('Dataset experimental'!T279-'Dataset experimental'!R279)*(0.39*'Dataset experimental'!P279*'Dataset experimental'!T279/'Dataset experimental'!V279-'Dataset experimental'!Z279+3.12)/(100000*'Dataset experimental'!V279)+0.7995</f>
        <v>0.216486129923563</v>
      </c>
      <c r="P279" s="12" t="n">
        <f aca="false">0.4461*('Dataset experimental'!Z279-0.6*'Modelos normativos'!AB279)*(3.4*'Dataset experimental'!L279+0.17*'Dataset experimental'!B279/'Modelos normativos'!AC279)/200000</f>
        <v>0.0729225861696481</v>
      </c>
      <c r="Q279" s="4" t="e">
        <f aca="false">L279/H279</f>
        <v>#REF!</v>
      </c>
      <c r="R279" s="4" t="e">
        <f aca="false">(-0.042-0.014*'Com TS variável MC2020'!Q288)*('Modelos normativos'!AP279-ABS('Modelos Propostos'!K279)-'Dataset experimental'!W279+COS(S279))</f>
        <v>#REF!</v>
      </c>
      <c r="S279" s="4" t="e">
        <f aca="false">'Dataset experimental'!O279-('Modelos normativos'!AQ279-SIN(0.083/('Dataset experimental'!M279-'Dataset experimental'!O279))-'Modelos empíricos'!I279)/0.646</f>
        <v>#REF!</v>
      </c>
      <c r="W279" s="4" t="e">
        <f aca="false">'Modelos normativos'!S279+'Avaliação do resultado ML'!A279</f>
        <v>#REF!</v>
      </c>
      <c r="X279" s="4" t="e">
        <f aca="false">W279/'Dataset experimental'!$AF279</f>
        <v>#REF!</v>
      </c>
      <c r="AJ279" s="4" t="e">
        <f aca="false">'Modelos Propostos'!B279+H279</f>
        <v>#REF!</v>
      </c>
      <c r="AK279" s="4" t="e">
        <f aca="false">AJ279/'Dataset experimental'!$AF279</f>
        <v>#REF!</v>
      </c>
      <c r="AV279" s="4" t="e">
        <f aca="false">'Modelos normativos'!S279+F279</f>
        <v>#REF!</v>
      </c>
      <c r="AW279" s="4" t="e">
        <f aca="false">AV279/'Dataset experimental'!$AF279</f>
        <v>#REF!</v>
      </c>
      <c r="BH279" s="4" t="e">
        <f aca="false">'Modelos Propostos'!B279+R279</f>
        <v>#REF!</v>
      </c>
      <c r="BI279" s="4" t="e">
        <f aca="false">BH279/'Dataset experimental'!$AF279</f>
        <v>#REF!</v>
      </c>
      <c r="BT279" s="4" t="n">
        <f aca="false">'Modelos Propostos'!B279+L279</f>
        <v>0.18023472213768</v>
      </c>
      <c r="BU279" s="4" t="n">
        <f aca="false">BT279/'Dataset experimental'!$AF279</f>
        <v>1.001304011876</v>
      </c>
    </row>
    <row r="280" customFormat="false" ht="14.25" hidden="false" customHeight="false" outlineLevel="0" collapsed="false">
      <c r="A280" s="4" t="e">
        <f aca="false">0.0894*ABS(D280)-0.01603*E280</f>
        <v>#REF!</v>
      </c>
      <c r="B280" s="12" t="e">
        <f aca="false">'Dataset experimental'!K280*COS('Dataset experimental'!AC280)-'Dataset experimental'!M280-'Dataset experimental'!C280</f>
        <v>#REF!</v>
      </c>
      <c r="C280" s="12" t="e">
        <f aca="false">('Dataset experimental'!AE280+SIN('Avaliação do resultado ML'!B280))*0.70674187</f>
        <v>#REF!</v>
      </c>
      <c r="D280" s="12" t="e">
        <f aca="false">'Modelos Propostos'!E280+'Avaliação do resultado ML'!C280-'Modelos normativos'!AQ280</f>
        <v>#REF!</v>
      </c>
      <c r="E280" s="12" t="n">
        <f aca="false">'Modelos empíricos'!I280+1.1854</f>
        <v>1.12976051654578</v>
      </c>
      <c r="F280" s="4" t="e">
        <f aca="false">-0.01753*('Modelos normativos'!AN280-'Dataset experimental'!C280-ABS(G280)-('Modelos Propostos'!E280-'Modelos normativos'!AP280)/0.25291)</f>
        <v>#REF!</v>
      </c>
      <c r="G280" s="4" t="e">
        <f aca="false">'Dataset experimental'!K280+'Modelos empíricos'!K280^2+('Modelos Propostos'!E280-'Modelos normativos'!AQ280)*4.10553</f>
        <v>#REF!</v>
      </c>
      <c r="H280" s="4" t="e">
        <f aca="false">0.03283*(J280+K280)</f>
        <v>#REF!</v>
      </c>
      <c r="I280" s="4" t="e">
        <f aca="false">(1.61428/'Dataset experimental'!Q280)^3</f>
        <v>#REF!</v>
      </c>
      <c r="J280" s="4" t="e">
        <f aca="false">SIN('Dataset experimental'!E280)+1.450178*(SIN('Avaliação do resultado ML'!I280)+'Dataset experimental'!C280)</f>
        <v>#REF!</v>
      </c>
      <c r="K280" s="4" t="e">
        <f aca="false">('Modelos empíricos'!C280-'Dataset experimental'!G280)*'Dataset experimental'!AE280-'Modelos normativos'!AP280</f>
        <v>#REF!</v>
      </c>
      <c r="L280" s="4" t="n">
        <f aca="false">0.0076*'Dataset experimental'!B280+'Avaliação do resultado ML'!M280+'Avaliação do resultado ML'!N280+(-0.0328)*(0.0171*'Dataset experimental'!AD280-0.9442)*'Avaliação do resultado ML'!O280-'Avaliação do resultado ML'!P280-0.0364</f>
        <v>-0.0120077516185808</v>
      </c>
      <c r="M280" s="12" t="n">
        <f aca="false">0.03283*SIN(0.7328*'Dataset experimental'!D280-1.8266)</f>
        <v>-0.0115958827834406</v>
      </c>
      <c r="N280" s="12" t="n">
        <f aca="false">0.0476*SIN(4.2067/(0.0095*'Dataset experimental'!P280-1.9338)^3)</f>
        <v>-0.0237143865224017</v>
      </c>
      <c r="O280" s="12" t="n">
        <f aca="false">0.0214*'Dataset experimental'!F280-3.1067*'Dataset experimental'!B280*'Dataset experimental'!P280*('Dataset experimental'!T280-'Dataset experimental'!R280)*(0.39*'Dataset experimental'!P280*'Dataset experimental'!T280/'Dataset experimental'!V280-'Dataset experimental'!Z280+3.12)/(100000*'Dataset experimental'!V280)+0.7995</f>
        <v>-0.00983049812206027</v>
      </c>
      <c r="P280" s="12" t="n">
        <f aca="false">0.4461*('Dataset experimental'!Z280-0.6*'Modelos normativos'!AB280)*(3.4*'Dataset experimental'!L280+0.17*'Dataset experimental'!B280/'Modelos normativos'!AC280)/200000</f>
        <v>0.0853256138875416</v>
      </c>
      <c r="Q280" s="4" t="e">
        <f aca="false">L280/H280</f>
        <v>#REF!</v>
      </c>
      <c r="R280" s="4" t="e">
        <f aca="false">(-0.042-0.014*'Com TS variável MC2020'!Q289)*('Modelos normativos'!AP280-ABS('Modelos Propostos'!K280)-'Dataset experimental'!W280+COS(S280))</f>
        <v>#REF!</v>
      </c>
      <c r="S280" s="4" t="e">
        <f aca="false">'Dataset experimental'!O280-('Modelos normativos'!AQ280-SIN(0.083/('Dataset experimental'!M280-'Dataset experimental'!O280))-'Modelos empíricos'!I280)/0.646</f>
        <v>#REF!</v>
      </c>
      <c r="W280" s="4" t="e">
        <f aca="false">'Modelos normativos'!S280+'Avaliação do resultado ML'!A280</f>
        <v>#REF!</v>
      </c>
      <c r="X280" s="4" t="e">
        <f aca="false">W280/'Dataset experimental'!$AF280</f>
        <v>#REF!</v>
      </c>
      <c r="AJ280" s="4" t="e">
        <f aca="false">'Modelos Propostos'!B280+H280</f>
        <v>#REF!</v>
      </c>
      <c r="AK280" s="4" t="e">
        <f aca="false">AJ280/'Dataset experimental'!$AF280</f>
        <v>#REF!</v>
      </c>
      <c r="AV280" s="4" t="e">
        <f aca="false">'Modelos normativos'!S280+F280</f>
        <v>#REF!</v>
      </c>
      <c r="AW280" s="4" t="e">
        <f aca="false">AV280/'Dataset experimental'!$AF280</f>
        <v>#REF!</v>
      </c>
      <c r="BH280" s="4" t="e">
        <f aca="false">'Modelos Propostos'!B280+R280</f>
        <v>#REF!</v>
      </c>
      <c r="BI280" s="4" t="e">
        <f aca="false">BH280/'Dataset experimental'!$AF280</f>
        <v>#REF!</v>
      </c>
      <c r="BT280" s="4" t="n">
        <f aca="false">'Modelos Propostos'!B280+L280</f>
        <v>0.207160146836814</v>
      </c>
      <c r="BU280" s="4" t="n">
        <f aca="false">BT280/'Dataset experimental'!$AF280</f>
        <v>1.03580073418407</v>
      </c>
    </row>
    <row r="281" customFormat="false" ht="14.25" hidden="false" customHeight="false" outlineLevel="0" collapsed="false">
      <c r="A281" s="4" t="e">
        <f aca="false">0.0894*ABS(D281)-0.01603*E281</f>
        <v>#REF!</v>
      </c>
      <c r="B281" s="12" t="e">
        <f aca="false">'Dataset experimental'!K281*COS('Dataset experimental'!AC281)-'Dataset experimental'!M281-'Dataset experimental'!C281</f>
        <v>#REF!</v>
      </c>
      <c r="C281" s="12" t="e">
        <f aca="false">('Dataset experimental'!AE281+SIN('Avaliação do resultado ML'!B281))*0.70674187</f>
        <v>#REF!</v>
      </c>
      <c r="D281" s="12" t="e">
        <f aca="false">'Modelos Propostos'!E281+'Avaliação do resultado ML'!C281-'Modelos normativos'!AQ281</f>
        <v>#REF!</v>
      </c>
      <c r="E281" s="12" t="n">
        <f aca="false">'Modelos empíricos'!I281+1.1854</f>
        <v>1.57041044799823</v>
      </c>
      <c r="F281" s="4" t="e">
        <f aca="false">-0.01753*('Modelos normativos'!AN281-'Dataset experimental'!C281-ABS(G281)-('Modelos Propostos'!E281-'Modelos normativos'!AP281)/0.25291)</f>
        <v>#REF!</v>
      </c>
      <c r="G281" s="4" t="e">
        <f aca="false">'Dataset experimental'!K281+'Modelos empíricos'!K281^2+('Modelos Propostos'!E281-'Modelos normativos'!AQ281)*4.10553</f>
        <v>#REF!</v>
      </c>
      <c r="H281" s="4" t="e">
        <f aca="false">0.03283*(J281+K281)</f>
        <v>#REF!</v>
      </c>
      <c r="I281" s="4" t="e">
        <f aca="false">(1.61428/'Dataset experimental'!Q281)^3</f>
        <v>#REF!</v>
      </c>
      <c r="J281" s="4" t="e">
        <f aca="false">SIN('Dataset experimental'!E281)+1.450178*(SIN('Avaliação do resultado ML'!I281)+'Dataset experimental'!C281)</f>
        <v>#REF!</v>
      </c>
      <c r="K281" s="4" t="e">
        <f aca="false">('Modelos empíricos'!C281-'Dataset experimental'!G281)*'Dataset experimental'!AE281-'Modelos normativos'!AP281</f>
        <v>#REF!</v>
      </c>
      <c r="L281" s="4" t="n">
        <f aca="false">0.0076*'Dataset experimental'!B281+'Avaliação do resultado ML'!M281+'Avaliação do resultado ML'!N281+(-0.0328)*(0.0171*'Dataset experimental'!AD281-0.9442)*'Avaliação do resultado ML'!O281-'Avaliação do resultado ML'!P281-0.0364</f>
        <v>-0.0272996884630608</v>
      </c>
      <c r="M281" s="12" t="n">
        <f aca="false">0.03283*SIN(0.7328*'Dataset experimental'!D281-1.8266)</f>
        <v>-0.0115958827834406</v>
      </c>
      <c r="N281" s="12" t="n">
        <f aca="false">0.0476*SIN(4.2067/(0.0095*'Dataset experimental'!P281-1.9338)^3)</f>
        <v>-0.0237143865224017</v>
      </c>
      <c r="O281" s="12" t="n">
        <f aca="false">0.0214*'Dataset experimental'!F281-3.1067*'Dataset experimental'!B281*'Dataset experimental'!P281*('Dataset experimental'!T281-'Dataset experimental'!R281)*(0.39*'Dataset experimental'!P281*'Dataset experimental'!T281/'Dataset experimental'!V281-'Dataset experimental'!Z281+3.12)/(100000*'Dataset experimental'!V281)+0.7995</f>
        <v>-0.24195011663039</v>
      </c>
      <c r="P281" s="12" t="n">
        <f aca="false">0.4461*('Dataset experimental'!Z281-0.6*'Modelos normativos'!AB281)*(3.4*'Dataset experimental'!L281+0.17*'Dataset experimental'!B281/'Modelos normativos'!AC281)/200000</f>
        <v>0.0980466679571759</v>
      </c>
      <c r="Q281" s="4" t="e">
        <f aca="false">L281/H281</f>
        <v>#REF!</v>
      </c>
      <c r="R281" s="4" t="e">
        <f aca="false">(-0.042-0.014*'Com TS variável MC2020'!Q290)*('Modelos normativos'!AP281-ABS('Modelos Propostos'!K281)-'Dataset experimental'!W281+COS(S281))</f>
        <v>#REF!</v>
      </c>
      <c r="S281" s="4" t="e">
        <f aca="false">'Dataset experimental'!O281-('Modelos normativos'!AQ281-SIN(0.083/('Dataset experimental'!M281-'Dataset experimental'!O281))-'Modelos empíricos'!I281)/0.646</f>
        <v>#REF!</v>
      </c>
      <c r="W281" s="4" t="e">
        <f aca="false">'Modelos normativos'!S281+'Avaliação do resultado ML'!A281</f>
        <v>#REF!</v>
      </c>
      <c r="X281" s="4" t="e">
        <f aca="false">W281/'Dataset experimental'!$AF281</f>
        <v>#REF!</v>
      </c>
      <c r="AJ281" s="4" t="e">
        <f aca="false">'Modelos Propostos'!B281+H281</f>
        <v>#REF!</v>
      </c>
      <c r="AK281" s="4" t="e">
        <f aca="false">AJ281/'Dataset experimental'!$AF281</f>
        <v>#REF!</v>
      </c>
      <c r="AV281" s="4" t="e">
        <f aca="false">'Modelos normativos'!S281+F281</f>
        <v>#REF!</v>
      </c>
      <c r="AW281" s="4" t="e">
        <f aca="false">AV281/'Dataset experimental'!$AF281</f>
        <v>#REF!</v>
      </c>
      <c r="BH281" s="4" t="e">
        <f aca="false">'Modelos Propostos'!B281+R281</f>
        <v>#REF!</v>
      </c>
      <c r="BI281" s="4" t="e">
        <f aca="false">BH281/'Dataset experimental'!$AF281</f>
        <v>#REF!</v>
      </c>
      <c r="BT281" s="4" t="n">
        <f aca="false">'Modelos Propostos'!B281+L281</f>
        <v>0.235804477928922</v>
      </c>
      <c r="BU281" s="4" t="n">
        <f aca="false">BT281/'Dataset experimental'!$AF281</f>
        <v>1.17902238964461</v>
      </c>
    </row>
    <row r="282" customFormat="false" ht="14.25" hidden="false" customHeight="false" outlineLevel="0" collapsed="false">
      <c r="A282" s="4" t="e">
        <f aca="false">0.0894*ABS(D282)-0.01603*E282</f>
        <v>#REF!</v>
      </c>
      <c r="B282" s="12" t="e">
        <f aca="false">'Dataset experimental'!K282*COS('Dataset experimental'!AC282)-'Dataset experimental'!M282-'Dataset experimental'!C282</f>
        <v>#REF!</v>
      </c>
      <c r="C282" s="12" t="e">
        <f aca="false">('Dataset experimental'!AE282+SIN('Avaliação do resultado ML'!B282))*0.70674187</f>
        <v>#REF!</v>
      </c>
      <c r="D282" s="12" t="e">
        <f aca="false">'Modelos Propostos'!E282+'Avaliação do resultado ML'!C282-'Modelos normativos'!AQ282</f>
        <v>#REF!</v>
      </c>
      <c r="E282" s="12" t="n">
        <f aca="false">'Modelos empíricos'!I282+1.1854</f>
        <v>1.98902788287805</v>
      </c>
      <c r="F282" s="4" t="e">
        <f aca="false">-0.01753*('Modelos normativos'!AN282-'Dataset experimental'!C282-ABS(G282)-('Modelos Propostos'!E282-'Modelos normativos'!AP282)/0.25291)</f>
        <v>#REF!</v>
      </c>
      <c r="G282" s="4" t="e">
        <f aca="false">'Dataset experimental'!K282+'Modelos empíricos'!K282^2+('Modelos Propostos'!E282-'Modelos normativos'!AQ282)*4.10553</f>
        <v>#REF!</v>
      </c>
      <c r="H282" s="4" t="e">
        <f aca="false">0.03283*(J282+K282)</f>
        <v>#REF!</v>
      </c>
      <c r="I282" s="4" t="e">
        <f aca="false">(1.61428/'Dataset experimental'!Q282)^3</f>
        <v>#REF!</v>
      </c>
      <c r="J282" s="4" t="e">
        <f aca="false">SIN('Dataset experimental'!E282)+1.450178*(SIN('Avaliação do resultado ML'!I282)+'Dataset experimental'!C282)</f>
        <v>#REF!</v>
      </c>
      <c r="K282" s="4" t="e">
        <f aca="false">('Modelos empíricos'!C282-'Dataset experimental'!G282)*'Dataset experimental'!AE282-'Modelos normativos'!AP282</f>
        <v>#REF!</v>
      </c>
      <c r="L282" s="4" t="n">
        <f aca="false">0.0076*'Dataset experimental'!B282+'Avaliação do resultado ML'!M282+'Avaliação do resultado ML'!N282+(-0.0328)*(0.0171*'Dataset experimental'!AD282-0.9442)*'Avaliação do resultado ML'!O282-'Avaliação do resultado ML'!P282-0.0364</f>
        <v>-0.0408623112907464</v>
      </c>
      <c r="M282" s="12" t="n">
        <f aca="false">0.03283*SIN(0.7328*'Dataset experimental'!D282-1.8266)</f>
        <v>-0.0115958827834406</v>
      </c>
      <c r="N282" s="12" t="n">
        <f aca="false">0.0476*SIN(4.2067/(0.0095*'Dataset experimental'!P282-1.9338)^3)</f>
        <v>-0.0237143865224017</v>
      </c>
      <c r="O282" s="12" t="n">
        <f aca="false">0.0214*'Dataset experimental'!F282-3.1067*'Dataset experimental'!B282*'Dataset experimental'!P282*('Dataset experimental'!T282-'Dataset experimental'!R282)*(0.39*'Dataset experimental'!P282*'Dataset experimental'!T282/'Dataset experimental'!V282-'Dataset experimental'!Z282+3.12)/(100000*'Dataset experimental'!V282)+0.7995</f>
        <v>-0.462463754213305</v>
      </c>
      <c r="P282" s="12" t="n">
        <f aca="false">0.4461*('Dataset experimental'!Z282-0.6*'Modelos normativos'!AB282)*(3.4*'Dataset experimental'!L282+0.17*'Dataset experimental'!B282/'Modelos normativos'!AC282)/200000</f>
        <v>0.110131669323329</v>
      </c>
      <c r="Q282" s="4" t="e">
        <f aca="false">L282/H282</f>
        <v>#REF!</v>
      </c>
      <c r="R282" s="4" t="e">
        <f aca="false">(-0.042-0.014*'Com TS variável MC2020'!Q291)*('Modelos normativos'!AP282-ABS('Modelos Propostos'!K282)-'Dataset experimental'!W282+COS(S282))</f>
        <v>#REF!</v>
      </c>
      <c r="S282" s="4" t="e">
        <f aca="false">'Dataset experimental'!O282-('Modelos normativos'!AQ282-SIN(0.083/('Dataset experimental'!M282-'Dataset experimental'!O282))-'Modelos empíricos'!I282)/0.646</f>
        <v>#REF!</v>
      </c>
      <c r="W282" s="4" t="e">
        <f aca="false">'Modelos normativos'!S282+'Avaliação do resultado ML'!A282</f>
        <v>#REF!</v>
      </c>
      <c r="X282" s="4" t="e">
        <f aca="false">W282/'Dataset experimental'!$AF282</f>
        <v>#REF!</v>
      </c>
      <c r="AJ282" s="4" t="e">
        <f aca="false">'Modelos Propostos'!B282+H282</f>
        <v>#REF!</v>
      </c>
      <c r="AK282" s="4" t="e">
        <f aca="false">AJ282/'Dataset experimental'!$AF282</f>
        <v>#REF!</v>
      </c>
      <c r="AV282" s="4" t="e">
        <f aca="false">'Modelos normativos'!S282+F282</f>
        <v>#REF!</v>
      </c>
      <c r="AW282" s="4" t="e">
        <f aca="false">AV282/'Dataset experimental'!$AF282</f>
        <v>#REF!</v>
      </c>
      <c r="BH282" s="4" t="e">
        <f aca="false">'Modelos Propostos'!B282+R282</f>
        <v>#REF!</v>
      </c>
      <c r="BI282" s="4" t="e">
        <f aca="false">BH282/'Dataset experimental'!$AF282</f>
        <v>#REF!</v>
      </c>
      <c r="BT282" s="4" t="n">
        <f aca="false">'Modelos Propostos'!B282+L282</f>
        <v>0.263981309640995</v>
      </c>
      <c r="BU282" s="4" t="n">
        <f aca="false">BT282/'Dataset experimental'!$AF282</f>
        <v>1.05592523856398</v>
      </c>
    </row>
    <row r="283" customFormat="false" ht="14.25" hidden="false" customHeight="false" outlineLevel="0" collapsed="false">
      <c r="A283" s="4" t="e">
        <f aca="false">0.0894*ABS(D283)-0.01603*E283</f>
        <v>#REF!</v>
      </c>
      <c r="B283" s="12" t="e">
        <f aca="false">'Dataset experimental'!K283*COS('Dataset experimental'!AC283)-'Dataset experimental'!M283-'Dataset experimental'!C283</f>
        <v>#REF!</v>
      </c>
      <c r="C283" s="12" t="e">
        <f aca="false">('Dataset experimental'!AE283+SIN('Avaliação do resultado ML'!B283))*0.70674187</f>
        <v>#REF!</v>
      </c>
      <c r="D283" s="12" t="e">
        <f aca="false">'Modelos Propostos'!E283+'Avaliação do resultado ML'!C283-'Modelos normativos'!AQ283</f>
        <v>#REF!</v>
      </c>
      <c r="E283" s="12" t="n">
        <f aca="false">'Modelos empíricos'!I283+1.1854</f>
        <v>2.25115273511788</v>
      </c>
      <c r="F283" s="4" t="e">
        <f aca="false">-0.01753*('Modelos normativos'!AN283-'Dataset experimental'!C283-ABS(G283)-('Modelos Propostos'!E283-'Modelos normativos'!AP283)/0.25291)</f>
        <v>#REF!</v>
      </c>
      <c r="G283" s="4" t="e">
        <f aca="false">'Dataset experimental'!K283+'Modelos empíricos'!K283^2+('Modelos Propostos'!E283-'Modelos normativos'!AQ283)*4.10553</f>
        <v>#REF!</v>
      </c>
      <c r="H283" s="4" t="e">
        <f aca="false">0.03283*(J283+K283)</f>
        <v>#REF!</v>
      </c>
      <c r="I283" s="4" t="e">
        <f aca="false">(1.61428/'Dataset experimental'!Q283)^3</f>
        <v>#REF!</v>
      </c>
      <c r="J283" s="4" t="e">
        <f aca="false">SIN('Dataset experimental'!E283)+1.450178*(SIN('Avaliação do resultado ML'!I283)+'Dataset experimental'!C283)</f>
        <v>#REF!</v>
      </c>
      <c r="K283" s="4" t="e">
        <f aca="false">('Modelos empíricos'!C283-'Dataset experimental'!G283)*'Dataset experimental'!AE283-'Modelos normativos'!AP283</f>
        <v>#REF!</v>
      </c>
      <c r="L283" s="4" t="n">
        <f aca="false">0.0076*'Dataset experimental'!B283+'Avaliação do resultado ML'!M283+'Avaliação do resultado ML'!N283+(-0.0328)*(0.0171*'Dataset experimental'!AD283-0.9442)*'Avaliação do resultado ML'!O283-'Avaliação do resultado ML'!P283-0.0364</f>
        <v>-0.0483303649334838</v>
      </c>
      <c r="M283" s="12" t="n">
        <f aca="false">0.03283*SIN(0.7328*'Dataset experimental'!D283-1.8266)</f>
        <v>-0.0115958827834406</v>
      </c>
      <c r="N283" s="12" t="n">
        <f aca="false">0.0476*SIN(4.2067/(0.0095*'Dataset experimental'!P283-1.9338)^3)</f>
        <v>-0.0237143865224017</v>
      </c>
      <c r="O283" s="12" t="n">
        <f aca="false">0.0214*'Dataset experimental'!F283-3.1067*'Dataset experimental'!B283*'Dataset experimental'!P283*('Dataset experimental'!T283-'Dataset experimental'!R283)*(0.39*'Dataset experimental'!P283*'Dataset experimental'!T283/'Dataset experimental'!V283-'Dataset experimental'!Z283+3.12)/(100000*'Dataset experimental'!V283)+0.7995</f>
        <v>-0.600542343044373</v>
      </c>
      <c r="P283" s="12" t="n">
        <f aca="false">0.4461*('Dataset experimental'!Z283-0.6*'Modelos normativos'!AB283)*(3.4*'Dataset experimental'!L283+0.17*'Dataset experimental'!B283/'Modelos normativos'!AC283)/200000</f>
        <v>0.117698910755426</v>
      </c>
      <c r="Q283" s="4" t="e">
        <f aca="false">L283/H283</f>
        <v>#REF!</v>
      </c>
      <c r="R283" s="4" t="e">
        <f aca="false">(-0.042-0.014*'Com TS variável MC2020'!Q292)*('Modelos normativos'!AP283-ABS('Modelos Propostos'!K283)-'Dataset experimental'!W283+COS(S283))</f>
        <v>#REF!</v>
      </c>
      <c r="S283" s="4" t="e">
        <f aca="false">'Dataset experimental'!O283-('Modelos normativos'!AQ283-SIN(0.083/('Dataset experimental'!M283-'Dataset experimental'!O283))-'Modelos empíricos'!I283)/0.646</f>
        <v>#REF!</v>
      </c>
      <c r="W283" s="4" t="e">
        <f aca="false">'Modelos normativos'!S283+'Avaliação do resultado ML'!A283</f>
        <v>#REF!</v>
      </c>
      <c r="X283" s="4" t="e">
        <f aca="false">W283/'Dataset experimental'!$AF283</f>
        <v>#REF!</v>
      </c>
      <c r="AJ283" s="4" t="e">
        <f aca="false">'Modelos Propostos'!B283+H283</f>
        <v>#REF!</v>
      </c>
      <c r="AK283" s="4" t="e">
        <f aca="false">AJ283/'Dataset experimental'!$AF283</f>
        <v>#REF!</v>
      </c>
      <c r="AV283" s="4" t="e">
        <f aca="false">'Modelos normativos'!S283+F283</f>
        <v>#REF!</v>
      </c>
      <c r="AW283" s="4" t="e">
        <f aca="false">AV283/'Dataset experimental'!$AF283</f>
        <v>#REF!</v>
      </c>
      <c r="BH283" s="4" t="e">
        <f aca="false">'Modelos Propostos'!B283+R283</f>
        <v>#REF!</v>
      </c>
      <c r="BI283" s="4" t="e">
        <f aca="false">BH283/'Dataset experimental'!$AF283</f>
        <v>#REF!</v>
      </c>
      <c r="BT283" s="4" t="n">
        <f aca="false">'Modelos Propostos'!B283+L283</f>
        <v>0.282649167793107</v>
      </c>
      <c r="BU283" s="4" t="n">
        <f aca="false">BT283/'Dataset experimental'!$AF283</f>
        <v>1.0468487696041</v>
      </c>
    </row>
    <row r="284" customFormat="false" ht="14.25" hidden="false" customHeight="false" outlineLevel="0" collapsed="false">
      <c r="A284" s="4" t="e">
        <f aca="false">0.0894*ABS(D284)-0.01603*E284</f>
        <v>#REF!</v>
      </c>
      <c r="B284" s="12" t="e">
        <f aca="false">'Dataset experimental'!K284*COS('Dataset experimental'!AC284)-'Dataset experimental'!M284-'Dataset experimental'!C284</f>
        <v>#REF!</v>
      </c>
      <c r="C284" s="12" t="e">
        <f aca="false">('Dataset experimental'!AE284+SIN('Avaliação do resultado ML'!B284))*0.70674187</f>
        <v>#REF!</v>
      </c>
      <c r="D284" s="12" t="e">
        <f aca="false">'Modelos Propostos'!E284+'Avaliação do resultado ML'!C284-'Modelos normativos'!AQ284</f>
        <v>#REF!</v>
      </c>
      <c r="E284" s="12" t="n">
        <f aca="false">'Modelos empíricos'!I284+1.1854</f>
        <v>1.12976051654578</v>
      </c>
      <c r="F284" s="4" t="e">
        <f aca="false">-0.01753*('Modelos normativos'!AN284-'Dataset experimental'!C284-ABS(G284)-('Modelos Propostos'!E284-'Modelos normativos'!AP284)/0.25291)</f>
        <v>#REF!</v>
      </c>
      <c r="G284" s="4" t="e">
        <f aca="false">'Dataset experimental'!K284+'Modelos empíricos'!K284^2+('Modelos Propostos'!E284-'Modelos normativos'!AQ284)*4.10553</f>
        <v>#REF!</v>
      </c>
      <c r="H284" s="4" t="e">
        <f aca="false">0.03283*(J284+K284)</f>
        <v>#REF!</v>
      </c>
      <c r="I284" s="4" t="e">
        <f aca="false">(1.61428/'Dataset experimental'!Q284)^3</f>
        <v>#REF!</v>
      </c>
      <c r="J284" s="4" t="e">
        <f aca="false">SIN('Dataset experimental'!E284)+1.450178*(SIN('Avaliação do resultado ML'!I284)+'Dataset experimental'!C284)</f>
        <v>#REF!</v>
      </c>
      <c r="K284" s="4" t="e">
        <f aca="false">('Modelos empíricos'!C284-'Dataset experimental'!G284)*'Dataset experimental'!AE284-'Modelos normativos'!AP284</f>
        <v>#REF!</v>
      </c>
      <c r="L284" s="4" t="n">
        <f aca="false">0.0076*'Dataset experimental'!B284+'Avaliação do resultado ML'!M284+'Avaliação do resultado ML'!N284+(-0.0328)*(0.0171*'Dataset experimental'!AD284-0.9442)*'Avaliação do resultado ML'!O284-'Avaliação do resultado ML'!P284-0.0364</f>
        <v>-0.0120077516185808</v>
      </c>
      <c r="M284" s="12" t="n">
        <f aca="false">0.03283*SIN(0.7328*'Dataset experimental'!D284-1.8266)</f>
        <v>-0.0115958827834406</v>
      </c>
      <c r="N284" s="12" t="n">
        <f aca="false">0.0476*SIN(4.2067/(0.0095*'Dataset experimental'!P284-1.9338)^3)</f>
        <v>-0.0237143865224017</v>
      </c>
      <c r="O284" s="12" t="n">
        <f aca="false">0.0214*'Dataset experimental'!F284-3.1067*'Dataset experimental'!B284*'Dataset experimental'!P284*('Dataset experimental'!T284-'Dataset experimental'!R284)*(0.39*'Dataset experimental'!P284*'Dataset experimental'!T284/'Dataset experimental'!V284-'Dataset experimental'!Z284+3.12)/(100000*'Dataset experimental'!V284)+0.7995</f>
        <v>-0.00983049812206027</v>
      </c>
      <c r="P284" s="12" t="n">
        <f aca="false">0.4461*('Dataset experimental'!Z284-0.6*'Modelos normativos'!AB284)*(3.4*'Dataset experimental'!L284+0.17*'Dataset experimental'!B284/'Modelos normativos'!AC284)/200000</f>
        <v>0.0853256138875416</v>
      </c>
      <c r="Q284" s="4" t="e">
        <f aca="false">L284/H284</f>
        <v>#REF!</v>
      </c>
      <c r="R284" s="4" t="e">
        <f aca="false">(-0.042-0.014*'Com TS variável MC2020'!Q293)*('Modelos normativos'!AP284-ABS('Modelos Propostos'!K284)-'Dataset experimental'!W284+COS(S284))</f>
        <v>#REF!</v>
      </c>
      <c r="S284" s="4" t="e">
        <f aca="false">'Dataset experimental'!O284-('Modelos normativos'!AQ284-SIN(0.083/('Dataset experimental'!M284-'Dataset experimental'!O284))-'Modelos empíricos'!I284)/0.646</f>
        <v>#REF!</v>
      </c>
      <c r="W284" s="4" t="e">
        <f aca="false">'Modelos normativos'!S284+'Avaliação do resultado ML'!A284</f>
        <v>#REF!</v>
      </c>
      <c r="X284" s="4" t="e">
        <f aca="false">W284/'Dataset experimental'!$AF284</f>
        <v>#REF!</v>
      </c>
      <c r="AJ284" s="4" t="e">
        <f aca="false">'Modelos Propostos'!B284+H284</f>
        <v>#REF!</v>
      </c>
      <c r="AK284" s="4" t="e">
        <f aca="false">AJ284/'Dataset experimental'!$AF284</f>
        <v>#REF!</v>
      </c>
      <c r="AV284" s="4" t="e">
        <f aca="false">'Modelos normativos'!S284+F284</f>
        <v>#REF!</v>
      </c>
      <c r="AW284" s="4" t="e">
        <f aca="false">AV284/'Dataset experimental'!$AF284</f>
        <v>#REF!</v>
      </c>
      <c r="BH284" s="4" t="e">
        <f aca="false">'Modelos Propostos'!B284+R284</f>
        <v>#REF!</v>
      </c>
      <c r="BI284" s="4" t="e">
        <f aca="false">BH284/'Dataset experimental'!$AF284</f>
        <v>#REF!</v>
      </c>
      <c r="BT284" s="4" t="n">
        <f aca="false">'Modelos Propostos'!B284+L284</f>
        <v>0.207160146836814</v>
      </c>
      <c r="BU284" s="4" t="n">
        <f aca="false">BT284/'Dataset experimental'!$AF284</f>
        <v>1.15088970464897</v>
      </c>
    </row>
    <row r="285" customFormat="false" ht="14.25" hidden="false" customHeight="false" outlineLevel="0" collapsed="false">
      <c r="A285" s="4" t="e">
        <f aca="false">0.0894*ABS(D285)-0.01603*E285</f>
        <v>#REF!</v>
      </c>
      <c r="B285" s="12" t="e">
        <f aca="false">'Dataset experimental'!K285*COS('Dataset experimental'!AC285)-'Dataset experimental'!M285-'Dataset experimental'!C285</f>
        <v>#REF!</v>
      </c>
      <c r="C285" s="12" t="e">
        <f aca="false">('Dataset experimental'!AE285+SIN('Avaliação do resultado ML'!B285))*0.70674187</f>
        <v>#REF!</v>
      </c>
      <c r="D285" s="12" t="e">
        <f aca="false">'Modelos Propostos'!E285+'Avaliação do resultado ML'!C285-'Modelos normativos'!AQ285</f>
        <v>#REF!</v>
      </c>
      <c r="E285" s="12" t="n">
        <f aca="false">'Modelos empíricos'!I285+1.1854</f>
        <v>1.5483779514256</v>
      </c>
      <c r="F285" s="4" t="e">
        <f aca="false">-0.01753*('Modelos normativos'!AN285-'Dataset experimental'!C285-ABS(G285)-('Modelos Propostos'!E285-'Modelos normativos'!AP285)/0.25291)</f>
        <v>#REF!</v>
      </c>
      <c r="G285" s="4" t="e">
        <f aca="false">'Dataset experimental'!K285+'Modelos empíricos'!K285^2+('Modelos Propostos'!E285-'Modelos normativos'!AQ285)*4.10553</f>
        <v>#REF!</v>
      </c>
      <c r="H285" s="4" t="e">
        <f aca="false">0.03283*(J285+K285)</f>
        <v>#REF!</v>
      </c>
      <c r="I285" s="4" t="e">
        <f aca="false">(1.61428/'Dataset experimental'!Q285)^3</f>
        <v>#REF!</v>
      </c>
      <c r="J285" s="4" t="e">
        <f aca="false">SIN('Dataset experimental'!E285)+1.450178*(SIN('Avaliação do resultado ML'!I285)+'Dataset experimental'!C285)</f>
        <v>#REF!</v>
      </c>
      <c r="K285" s="4" t="e">
        <f aca="false">('Modelos empíricos'!C285-'Dataset experimental'!G285)*'Dataset experimental'!AE285-'Modelos normativos'!AP285</f>
        <v>#REF!</v>
      </c>
      <c r="L285" s="4" t="n">
        <f aca="false">0.0076*'Dataset experimental'!B285+'Avaliação do resultado ML'!M285+'Avaliação do resultado ML'!N285+(-0.0328)*(0.0171*'Dataset experimental'!AD285-0.9442)*'Avaliação do resultado ML'!O285-'Avaliação do resultado ML'!P285-0.0364</f>
        <v>-0.0265598279586464</v>
      </c>
      <c r="M285" s="12" t="n">
        <f aca="false">0.03283*SIN(0.7328*'Dataset experimental'!D285-1.8266)</f>
        <v>-0.0115958827834406</v>
      </c>
      <c r="N285" s="12" t="n">
        <f aca="false">0.0476*SIN(4.2067/(0.0095*'Dataset experimental'!P285-1.9338)^3)</f>
        <v>-0.0237143865224017</v>
      </c>
      <c r="O285" s="12" t="n">
        <f aca="false">0.0214*'Dataset experimental'!F285-3.1067*'Dataset experimental'!B285*'Dataset experimental'!P285*('Dataset experimental'!T285-'Dataset experimental'!R285)*(0.39*'Dataset experimental'!P285*'Dataset experimental'!T285/'Dataset experimental'!V285-'Dataset experimental'!Z285+3.12)/(100000*'Dataset experimental'!V285)+0.7995</f>
        <v>-0.230344135704975</v>
      </c>
      <c r="P285" s="12" t="n">
        <f aca="false">0.4461*('Dataset experimental'!Z285-0.6*'Modelos normativos'!AB285)*(3.4*'Dataset experimental'!L285+0.17*'Dataset experimental'!B285/'Modelos normativos'!AC285)/200000</f>
        <v>0.0974106152536943</v>
      </c>
      <c r="Q285" s="4" t="e">
        <f aca="false">L285/H285</f>
        <v>#REF!</v>
      </c>
      <c r="R285" s="4" t="e">
        <f aca="false">(-0.042-0.014*'Com TS variável MC2020'!Q294)*('Modelos normativos'!AP285-ABS('Modelos Propostos'!K285)-'Dataset experimental'!W285+COS(S285))</f>
        <v>#REF!</v>
      </c>
      <c r="S285" s="4" t="e">
        <f aca="false">'Dataset experimental'!O285-('Modelos normativos'!AQ285-SIN(0.083/('Dataset experimental'!M285-'Dataset experimental'!O285))-'Modelos empíricos'!I285)/0.646</f>
        <v>#REF!</v>
      </c>
      <c r="W285" s="4" t="e">
        <f aca="false">'Modelos normativos'!S285+'Avaliação do resultado ML'!A285</f>
        <v>#REF!</v>
      </c>
      <c r="X285" s="4" t="e">
        <f aca="false">W285/'Dataset experimental'!$AF285</f>
        <v>#REF!</v>
      </c>
      <c r="AJ285" s="4" t="e">
        <f aca="false">'Modelos Propostos'!B285+H285</f>
        <v>#REF!</v>
      </c>
      <c r="AK285" s="4" t="e">
        <f aca="false">AJ285/'Dataset experimental'!$AF285</f>
        <v>#REF!</v>
      </c>
      <c r="AV285" s="4" t="e">
        <f aca="false">'Modelos normativos'!S285+F285</f>
        <v>#REF!</v>
      </c>
      <c r="AW285" s="4" t="e">
        <f aca="false">AV285/'Dataset experimental'!$AF285</f>
        <v>#REF!</v>
      </c>
      <c r="BH285" s="4" t="e">
        <f aca="false">'Modelos Propostos'!B285+R285</f>
        <v>#REF!</v>
      </c>
      <c r="BI285" s="4" t="e">
        <f aca="false">BH285/'Dataset experimental'!$AF285</f>
        <v>#REF!</v>
      </c>
      <c r="BT285" s="4" t="n">
        <f aca="false">'Modelos Propostos'!B285+L285</f>
        <v>0.234347525036507</v>
      </c>
      <c r="BU285" s="4" t="n">
        <f aca="false">BT285/'Dataset experimental'!$AF285</f>
        <v>1.23340802650793</v>
      </c>
    </row>
    <row r="286" customFormat="false" ht="14.25" hidden="false" customHeight="false" outlineLevel="0" collapsed="false">
      <c r="A286" s="4" t="e">
        <f aca="false">0.0894*ABS(D286)-0.01603*E286</f>
        <v>#REF!</v>
      </c>
      <c r="B286" s="12" t="e">
        <f aca="false">'Dataset experimental'!K286*COS('Dataset experimental'!AC286)-'Dataset experimental'!M286-'Dataset experimental'!C286</f>
        <v>#REF!</v>
      </c>
      <c r="C286" s="12" t="e">
        <f aca="false">('Dataset experimental'!AE286+SIN('Avaliação do resultado ML'!B286))*0.70674187</f>
        <v>#REF!</v>
      </c>
      <c r="D286" s="12" t="e">
        <f aca="false">'Modelos Propostos'!E286+'Avaliação do resultado ML'!C286-'Modelos normativos'!AQ286</f>
        <v>#REF!</v>
      </c>
      <c r="E286" s="12" t="n">
        <f aca="false">'Modelos empíricos'!I286+1.1854</f>
        <v>1.98902788287805</v>
      </c>
      <c r="F286" s="4" t="e">
        <f aca="false">-0.01753*('Modelos normativos'!AN286-'Dataset experimental'!C286-ABS(G286)-('Modelos Propostos'!E286-'Modelos normativos'!AP286)/0.25291)</f>
        <v>#REF!</v>
      </c>
      <c r="G286" s="4" t="e">
        <f aca="false">'Dataset experimental'!K286+'Modelos empíricos'!K286^2+('Modelos Propostos'!E286-'Modelos normativos'!AQ286)*4.10553</f>
        <v>#REF!</v>
      </c>
      <c r="H286" s="4" t="e">
        <f aca="false">0.03283*(J286+K286)</f>
        <v>#REF!</v>
      </c>
      <c r="I286" s="4" t="e">
        <f aca="false">(1.61428/'Dataset experimental'!Q286)^3</f>
        <v>#REF!</v>
      </c>
      <c r="J286" s="4" t="e">
        <f aca="false">SIN('Dataset experimental'!E286)+1.450178*(SIN('Avaliação do resultado ML'!I286)+'Dataset experimental'!C286)</f>
        <v>#REF!</v>
      </c>
      <c r="K286" s="4" t="e">
        <f aca="false">('Modelos empíricos'!C286-'Dataset experimental'!G286)*'Dataset experimental'!AE286-'Modelos normativos'!AP286</f>
        <v>#REF!</v>
      </c>
      <c r="L286" s="4" t="n">
        <f aca="false">0.0076*'Dataset experimental'!B286+'Avaliação do resultado ML'!M286+'Avaliação do resultado ML'!N286+(-0.0328)*(0.0171*'Dataset experimental'!AD286-0.9442)*'Avaliação do resultado ML'!O286-'Avaliação do resultado ML'!P286-0.0364</f>
        <v>-0.0408623112907464</v>
      </c>
      <c r="M286" s="12" t="n">
        <f aca="false">0.03283*SIN(0.7328*'Dataset experimental'!D286-1.8266)</f>
        <v>-0.0115958827834406</v>
      </c>
      <c r="N286" s="12" t="n">
        <f aca="false">0.0476*SIN(4.2067/(0.0095*'Dataset experimental'!P286-1.9338)^3)</f>
        <v>-0.0237143865224017</v>
      </c>
      <c r="O286" s="12" t="n">
        <f aca="false">0.0214*'Dataset experimental'!F286-3.1067*'Dataset experimental'!B286*'Dataset experimental'!P286*('Dataset experimental'!T286-'Dataset experimental'!R286)*(0.39*'Dataset experimental'!P286*'Dataset experimental'!T286/'Dataset experimental'!V286-'Dataset experimental'!Z286+3.12)/(100000*'Dataset experimental'!V286)+0.7995</f>
        <v>-0.462463754213305</v>
      </c>
      <c r="P286" s="12" t="n">
        <f aca="false">0.4461*('Dataset experimental'!Z286-0.6*'Modelos normativos'!AB286)*(3.4*'Dataset experimental'!L286+0.17*'Dataset experimental'!B286/'Modelos normativos'!AC286)/200000</f>
        <v>0.110131669323329</v>
      </c>
      <c r="Q286" s="4" t="e">
        <f aca="false">L286/H286</f>
        <v>#REF!</v>
      </c>
      <c r="R286" s="4" t="e">
        <f aca="false">(-0.042-0.014*'Com TS variável MC2020'!Q295)*('Modelos normativos'!AP286-ABS('Modelos Propostos'!K286)-'Dataset experimental'!W286+COS(S286))</f>
        <v>#REF!</v>
      </c>
      <c r="S286" s="4" t="e">
        <f aca="false">'Dataset experimental'!O286-('Modelos normativos'!AQ286-SIN(0.083/('Dataset experimental'!M286-'Dataset experimental'!O286))-'Modelos empíricos'!I286)/0.646</f>
        <v>#REF!</v>
      </c>
      <c r="W286" s="4" t="e">
        <f aca="false">'Modelos normativos'!S286+'Avaliação do resultado ML'!A286</f>
        <v>#REF!</v>
      </c>
      <c r="X286" s="4" t="e">
        <f aca="false">W286/'Dataset experimental'!$AF286</f>
        <v>#REF!</v>
      </c>
      <c r="AJ286" s="4" t="e">
        <f aca="false">'Modelos Propostos'!B286+H286</f>
        <v>#REF!</v>
      </c>
      <c r="AK286" s="4" t="e">
        <f aca="false">AJ286/'Dataset experimental'!$AF286</f>
        <v>#REF!</v>
      </c>
      <c r="AV286" s="4" t="e">
        <f aca="false">'Modelos normativos'!S286+F286</f>
        <v>#REF!</v>
      </c>
      <c r="AW286" s="4" t="e">
        <f aca="false">AV286/'Dataset experimental'!$AF286</f>
        <v>#REF!</v>
      </c>
      <c r="BH286" s="4" t="e">
        <f aca="false">'Modelos Propostos'!B286+R286</f>
        <v>#REF!</v>
      </c>
      <c r="BI286" s="4" t="e">
        <f aca="false">BH286/'Dataset experimental'!$AF286</f>
        <v>#REF!</v>
      </c>
      <c r="BT286" s="4" t="n">
        <f aca="false">'Modelos Propostos'!B286+L286</f>
        <v>0.263981309640995</v>
      </c>
      <c r="BU286" s="4" t="n">
        <f aca="false">BT286/'Dataset experimental'!$AF286</f>
        <v>1.25705385543331</v>
      </c>
    </row>
    <row r="287" customFormat="false" ht="14.25" hidden="false" customHeight="false" outlineLevel="0" collapsed="false">
      <c r="A287" s="4" t="e">
        <f aca="false">0.0894*ABS(D287)-0.01603*E287</f>
        <v>#REF!</v>
      </c>
      <c r="B287" s="12" t="e">
        <f aca="false">'Dataset experimental'!K287*COS('Dataset experimental'!AC287)-'Dataset experimental'!M287-'Dataset experimental'!C287</f>
        <v>#REF!</v>
      </c>
      <c r="C287" s="12" t="e">
        <f aca="false">('Dataset experimental'!AE287+SIN('Avaliação do resultado ML'!B287))*0.70674187</f>
        <v>#REF!</v>
      </c>
      <c r="D287" s="12" t="e">
        <f aca="false">'Modelos Propostos'!E287+'Avaliação do resultado ML'!C287-'Modelos normativos'!AQ287</f>
        <v>#REF!</v>
      </c>
      <c r="E287" s="12" t="n">
        <f aca="false">'Modelos empíricos'!I287+1.1854</f>
        <v>2.25115273511788</v>
      </c>
      <c r="F287" s="4" t="e">
        <f aca="false">-0.01753*('Modelos normativos'!AN287-'Dataset experimental'!C287-ABS(G287)-('Modelos Propostos'!E287-'Modelos normativos'!AP287)/0.25291)</f>
        <v>#REF!</v>
      </c>
      <c r="G287" s="4" t="e">
        <f aca="false">'Dataset experimental'!K287+'Modelos empíricos'!K287^2+('Modelos Propostos'!E287-'Modelos normativos'!AQ287)*4.10553</f>
        <v>#REF!</v>
      </c>
      <c r="H287" s="4" t="e">
        <f aca="false">0.03283*(J287+K287)</f>
        <v>#REF!</v>
      </c>
      <c r="I287" s="4" t="e">
        <f aca="false">(1.61428/'Dataset experimental'!Q287)^3</f>
        <v>#REF!</v>
      </c>
      <c r="J287" s="4" t="e">
        <f aca="false">SIN('Dataset experimental'!E287)+1.450178*(SIN('Avaliação do resultado ML'!I287)+'Dataset experimental'!C287)</f>
        <v>#REF!</v>
      </c>
      <c r="K287" s="4" t="e">
        <f aca="false">('Modelos empíricos'!C287-'Dataset experimental'!G287)*'Dataset experimental'!AE287-'Modelos normativos'!AP287</f>
        <v>#REF!</v>
      </c>
      <c r="L287" s="4" t="n">
        <f aca="false">0.0076*'Dataset experimental'!B287+'Avaliação do resultado ML'!M287+'Avaliação do resultado ML'!N287+(-0.0328)*(0.0171*'Dataset experimental'!AD287-0.9442)*'Avaliação do resultado ML'!O287-'Avaliação do resultado ML'!P287-0.0364</f>
        <v>-0.0483303649334838</v>
      </c>
      <c r="M287" s="12" t="n">
        <f aca="false">0.03283*SIN(0.7328*'Dataset experimental'!D287-1.8266)</f>
        <v>-0.0115958827834406</v>
      </c>
      <c r="N287" s="12" t="n">
        <f aca="false">0.0476*SIN(4.2067/(0.0095*'Dataset experimental'!P287-1.9338)^3)</f>
        <v>-0.0237143865224017</v>
      </c>
      <c r="O287" s="12" t="n">
        <f aca="false">0.0214*'Dataset experimental'!F287-3.1067*'Dataset experimental'!B287*'Dataset experimental'!P287*('Dataset experimental'!T287-'Dataset experimental'!R287)*(0.39*'Dataset experimental'!P287*'Dataset experimental'!T287/'Dataset experimental'!V287-'Dataset experimental'!Z287+3.12)/(100000*'Dataset experimental'!V287)+0.7995</f>
        <v>-0.600542343044373</v>
      </c>
      <c r="P287" s="12" t="n">
        <f aca="false">0.4461*('Dataset experimental'!Z287-0.6*'Modelos normativos'!AB287)*(3.4*'Dataset experimental'!L287+0.17*'Dataset experimental'!B287/'Modelos normativos'!AC287)/200000</f>
        <v>0.117698910755426</v>
      </c>
      <c r="Q287" s="4" t="e">
        <f aca="false">L287/H287</f>
        <v>#REF!</v>
      </c>
      <c r="R287" s="4" t="e">
        <f aca="false">(-0.042-0.014*'Com TS variável MC2020'!Q296)*('Modelos normativos'!AP287-ABS('Modelos Propostos'!K287)-'Dataset experimental'!W287+COS(S287))</f>
        <v>#REF!</v>
      </c>
      <c r="S287" s="4" t="e">
        <f aca="false">'Dataset experimental'!O287-('Modelos normativos'!AQ287-SIN(0.083/('Dataset experimental'!M287-'Dataset experimental'!O287))-'Modelos empíricos'!I287)/0.646</f>
        <v>#REF!</v>
      </c>
      <c r="W287" s="4" t="e">
        <f aca="false">'Modelos normativos'!S287+'Avaliação do resultado ML'!A287</f>
        <v>#REF!</v>
      </c>
      <c r="X287" s="4" t="e">
        <f aca="false">W287/'Dataset experimental'!$AF287</f>
        <v>#REF!</v>
      </c>
      <c r="AJ287" s="4" t="e">
        <f aca="false">'Modelos Propostos'!B287+H287</f>
        <v>#REF!</v>
      </c>
      <c r="AK287" s="4" t="e">
        <f aca="false">AJ287/'Dataset experimental'!$AF287</f>
        <v>#REF!</v>
      </c>
      <c r="AV287" s="4" t="e">
        <f aca="false">'Modelos normativos'!S287+F287</f>
        <v>#REF!</v>
      </c>
      <c r="AW287" s="4" t="e">
        <f aca="false">AV287/'Dataset experimental'!$AF287</f>
        <v>#REF!</v>
      </c>
      <c r="BH287" s="4" t="e">
        <f aca="false">'Modelos Propostos'!B287+R287</f>
        <v>#REF!</v>
      </c>
      <c r="BI287" s="4" t="e">
        <f aca="false">BH287/'Dataset experimental'!$AF287</f>
        <v>#REF!</v>
      </c>
      <c r="BT287" s="4" t="n">
        <f aca="false">'Modelos Propostos'!B287+L287</f>
        <v>0.282649167793107</v>
      </c>
      <c r="BU287" s="4" t="n">
        <f aca="false">BT287/'Dataset experimental'!$AF287</f>
        <v>1.08711218381964</v>
      </c>
    </row>
    <row r="288" customFormat="false" ht="14.25" hidden="false" customHeight="false" outlineLevel="0" collapsed="false">
      <c r="A288" s="4" t="e">
        <f aca="false">0.0894*ABS(D288)-0.01603*E288</f>
        <v>#REF!</v>
      </c>
      <c r="B288" s="12" t="e">
        <f aca="false">'Dataset experimental'!K288*COS('Dataset experimental'!AC288)-'Dataset experimental'!M288-'Dataset experimental'!C288</f>
        <v>#REF!</v>
      </c>
      <c r="C288" s="12" t="e">
        <f aca="false">('Dataset experimental'!AE288+SIN('Avaliação do resultado ML'!B288))*0.70674187</f>
        <v>#REF!</v>
      </c>
      <c r="D288" s="12" t="e">
        <f aca="false">'Modelos Propostos'!E288+'Avaliação do resultado ML'!C288-'Modelos normativos'!AQ288</f>
        <v>#REF!</v>
      </c>
      <c r="E288" s="12" t="n">
        <f aca="false">'Modelos empíricos'!I288+1.1854</f>
        <v>0.049364169722145</v>
      </c>
      <c r="F288" s="4" t="e">
        <f aca="false">-0.01753*('Modelos normativos'!AN288-'Dataset experimental'!C288-ABS(G288)-('Modelos Propostos'!E288-'Modelos normativos'!AP288)/0.25291)</f>
        <v>#REF!</v>
      </c>
      <c r="G288" s="4" t="e">
        <f aca="false">'Dataset experimental'!K288+'Modelos empíricos'!K288^2+('Modelos Propostos'!E288-'Modelos normativos'!AQ288)*4.10553</f>
        <v>#REF!</v>
      </c>
      <c r="H288" s="4" t="e">
        <f aca="false">0.03283*(J288+K288)</f>
        <v>#REF!</v>
      </c>
      <c r="I288" s="4" t="e">
        <f aca="false">(1.61428/'Dataset experimental'!Q288)^3</f>
        <v>#REF!</v>
      </c>
      <c r="J288" s="4" t="e">
        <f aca="false">SIN('Dataset experimental'!E288)+1.450178*(SIN('Avaliação do resultado ML'!I288)+'Dataset experimental'!C288)</f>
        <v>#REF!</v>
      </c>
      <c r="K288" s="4" t="e">
        <f aca="false">('Modelos empíricos'!C288-'Dataset experimental'!G288)*'Dataset experimental'!AE288-'Modelos normativos'!AP288</f>
        <v>#REF!</v>
      </c>
      <c r="L288" s="4" t="n">
        <f aca="false">0.0076*'Dataset experimental'!B288+'Avaliação do resultado ML'!M288+'Avaliação do resultado ML'!N288+(-0.0328)*(0.0171*'Dataset experimental'!AD288-0.9442)*'Avaliação do resultado ML'!O288-'Avaliação do resultado ML'!P288-0.0364</f>
        <v>0.0896946147481197</v>
      </c>
      <c r="M288" s="12" t="n">
        <f aca="false">0.03283*SIN(0.7328*'Dataset experimental'!D288-1.8266)</f>
        <v>-0.0115958827834406</v>
      </c>
      <c r="N288" s="12" t="n">
        <f aca="false">0.0476*SIN(4.2067/(0.0095*'Dataset experimental'!P288-1.9338)^3)</f>
        <v>0.0413506050702141</v>
      </c>
      <c r="O288" s="12" t="n">
        <f aca="false">0.0214*'Dataset experimental'!F288-3.1067*'Dataset experimental'!B288*'Dataset experimental'!P288*('Dataset experimental'!T288-'Dataset experimental'!R288)*(0.39*'Dataset experimental'!P288*'Dataset experimental'!T288/'Dataset experimental'!V288-'Dataset experimental'!Z288+3.12)/(100000*'Dataset experimental'!V288)+0.7995</f>
        <v>1.20983488463489</v>
      </c>
      <c r="P288" s="12" t="n">
        <f aca="false">0.4461*('Dataset experimental'!Z288-0.6*'Modelos normativos'!AB288)*(3.4*'Dataset experimental'!L288+0.17*'Dataset experimental'!B288/'Modelos normativos'!AC288)/200000</f>
        <v>0.0624780518344342</v>
      </c>
      <c r="Q288" s="4" t="e">
        <f aca="false">L288/H288</f>
        <v>#REF!</v>
      </c>
      <c r="R288" s="4" t="e">
        <f aca="false">(-0.042-0.014*'Com TS variável MC2020'!Q297)*('Modelos normativos'!AP288-ABS('Modelos Propostos'!K288)-'Dataset experimental'!W288+COS(S288))</f>
        <v>#REF!</v>
      </c>
      <c r="S288" s="4" t="e">
        <f aca="false">'Dataset experimental'!O288-('Modelos normativos'!AQ288-SIN(0.083/('Dataset experimental'!M288-'Dataset experimental'!O288))-'Modelos empíricos'!I288)/0.646</f>
        <v>#REF!</v>
      </c>
      <c r="W288" s="4" t="e">
        <f aca="false">'Modelos normativos'!S288+'Avaliação do resultado ML'!A288</f>
        <v>#REF!</v>
      </c>
      <c r="X288" s="4" t="e">
        <f aca="false">W288/'Dataset experimental'!$AF288</f>
        <v>#REF!</v>
      </c>
      <c r="AJ288" s="4" t="e">
        <f aca="false">'Modelos Propostos'!B288+H288</f>
        <v>#REF!</v>
      </c>
      <c r="AK288" s="4" t="e">
        <f aca="false">AJ288/'Dataset experimental'!$AF288</f>
        <v>#REF!</v>
      </c>
      <c r="AV288" s="4" t="e">
        <f aca="false">'Modelos normativos'!S288+F288</f>
        <v>#REF!</v>
      </c>
      <c r="AW288" s="4" t="e">
        <f aca="false">AV288/'Dataset experimental'!$AF288</f>
        <v>#REF!</v>
      </c>
      <c r="BH288" s="4" t="e">
        <f aca="false">'Modelos Propostos'!B288+R288</f>
        <v>#REF!</v>
      </c>
      <c r="BI288" s="4" t="e">
        <f aca="false">BH288/'Dataset experimental'!$AF288</f>
        <v>#REF!</v>
      </c>
      <c r="BT288" s="4" t="n">
        <f aca="false">'Modelos Propostos'!B288+L288</f>
        <v>0.224486171242608</v>
      </c>
      <c r="BU288" s="4" t="n">
        <f aca="false">BT288/'Dataset experimental'!$AF288</f>
        <v>1.3205068896624</v>
      </c>
    </row>
    <row r="289" customFormat="false" ht="14.25" hidden="false" customHeight="false" outlineLevel="0" collapsed="false">
      <c r="A289" s="4" t="e">
        <f aca="false">0.0894*ABS(D289)-0.01603*E289</f>
        <v>#REF!</v>
      </c>
      <c r="B289" s="12" t="e">
        <f aca="false">'Dataset experimental'!K289*COS('Dataset experimental'!AC289)-'Dataset experimental'!M289-'Dataset experimental'!C289</f>
        <v>#REF!</v>
      </c>
      <c r="C289" s="12" t="e">
        <f aca="false">('Dataset experimental'!AE289+SIN('Avaliação do resultado ML'!B289))*0.70674187</f>
        <v>#REF!</v>
      </c>
      <c r="D289" s="12" t="e">
        <f aca="false">'Modelos Propostos'!E289+'Avaliação do resultado ML'!C289-'Modelos normativos'!AQ289</f>
        <v>#REF!</v>
      </c>
      <c r="E289" s="12" t="n">
        <f aca="false">'Modelos empíricos'!I289+1.1854</f>
        <v>0.533231033868673</v>
      </c>
      <c r="F289" s="4" t="e">
        <f aca="false">-0.01753*('Modelos normativos'!AN289-'Dataset experimental'!C289-ABS(G289)-('Modelos Propostos'!E289-'Modelos normativos'!AP289)/0.25291)</f>
        <v>#REF!</v>
      </c>
      <c r="G289" s="4" t="e">
        <f aca="false">'Dataset experimental'!K289+'Modelos empíricos'!K289^2+('Modelos Propostos'!E289-'Modelos normativos'!AQ289)*4.10553</f>
        <v>#REF!</v>
      </c>
      <c r="H289" s="4" t="e">
        <f aca="false">0.03283*(J289+K289)</f>
        <v>#REF!</v>
      </c>
      <c r="I289" s="4" t="e">
        <f aca="false">(1.61428/'Dataset experimental'!Q289)^3</f>
        <v>#REF!</v>
      </c>
      <c r="J289" s="4" t="e">
        <f aca="false">SIN('Dataset experimental'!E289)+1.450178*(SIN('Avaliação do resultado ML'!I289)+'Dataset experimental'!C289)</f>
        <v>#REF!</v>
      </c>
      <c r="K289" s="4" t="e">
        <f aca="false">('Modelos empíricos'!C289-'Dataset experimental'!G289)*'Dataset experimental'!AE289-'Modelos normativos'!AP289</f>
        <v>#REF!</v>
      </c>
      <c r="L289" s="4" t="n">
        <f aca="false">0.0076*'Dataset experimental'!B289+'Avaliação do resultado ML'!M289+'Avaliação do resultado ML'!N289+(-0.0328)*(0.0171*'Dataset experimental'!AD289-0.9442)*'Avaliação do resultado ML'!O289-'Avaliação do resultado ML'!P289-0.0364</f>
        <v>0.0654505651245217</v>
      </c>
      <c r="M289" s="12" t="n">
        <f aca="false">0.03283*SIN(0.7328*'Dataset experimental'!D289-1.8266)</f>
        <v>-0.0115958827834406</v>
      </c>
      <c r="N289" s="12" t="n">
        <f aca="false">0.0476*SIN(4.2067/(0.0095*'Dataset experimental'!P289-1.9338)^3)</f>
        <v>0.0413506050702141</v>
      </c>
      <c r="O289" s="12" t="n">
        <f aca="false">0.0214*'Dataset experimental'!F289-3.1067*'Dataset experimental'!B289*'Dataset experimental'!P289*('Dataset experimental'!T289-'Dataset experimental'!R289)*(0.39*'Dataset experimental'!P289*'Dataset experimental'!T289/'Dataset experimental'!V289-'Dataset experimental'!Z289+3.12)/(100000*'Dataset experimental'!V289)+0.7995</f>
        <v>0.936443725626778</v>
      </c>
      <c r="P289" s="12" t="n">
        <f aca="false">0.4461*('Dataset experimental'!Z289-0.6*'Modelos normativos'!AB289)*(3.4*'Dataset experimental'!L289+0.17*'Dataset experimental'!B289/'Modelos normativos'!AC289)/200000</f>
        <v>0.0798705273049387</v>
      </c>
      <c r="Q289" s="4" t="e">
        <f aca="false">L289/H289</f>
        <v>#REF!</v>
      </c>
      <c r="R289" s="4" t="e">
        <f aca="false">(-0.042-0.014*'Com TS variável MC2020'!Q298)*('Modelos normativos'!AP289-ABS('Modelos Propostos'!K289)-'Dataset experimental'!W289+COS(S289))</f>
        <v>#REF!</v>
      </c>
      <c r="S289" s="4" t="e">
        <f aca="false">'Dataset experimental'!O289-('Modelos normativos'!AQ289-SIN(0.083/('Dataset experimental'!M289-'Dataset experimental'!O289))-'Modelos empíricos'!I289)/0.646</f>
        <v>#REF!</v>
      </c>
      <c r="W289" s="4" t="e">
        <f aca="false">'Modelos normativos'!S289+'Avaliação do resultado ML'!A289</f>
        <v>#REF!</v>
      </c>
      <c r="X289" s="4" t="e">
        <f aca="false">W289/'Dataset experimental'!$AF289</f>
        <v>#REF!</v>
      </c>
      <c r="AJ289" s="4" t="e">
        <f aca="false">'Modelos Propostos'!B289+H289</f>
        <v>#REF!</v>
      </c>
      <c r="AK289" s="4" t="e">
        <f aca="false">AJ289/'Dataset experimental'!$AF289</f>
        <v>#REF!</v>
      </c>
      <c r="AV289" s="4" t="e">
        <f aca="false">'Modelos normativos'!S289+F289</f>
        <v>#REF!</v>
      </c>
      <c r="AW289" s="4" t="e">
        <f aca="false">AV289/'Dataset experimental'!$AF289</f>
        <v>#REF!</v>
      </c>
      <c r="BH289" s="4" t="e">
        <f aca="false">'Modelos Propostos'!B289+R289</f>
        <v>#REF!</v>
      </c>
      <c r="BI289" s="4" t="e">
        <f aca="false">BH289/'Dataset experimental'!$AF289</f>
        <v>#REF!</v>
      </c>
      <c r="BT289" s="4" t="n">
        <f aca="false">'Modelos Propostos'!B289+L289</f>
        <v>0.254042315225982</v>
      </c>
      <c r="BU289" s="4" t="n">
        <f aca="false">BT289/'Dataset experimental'!$AF289</f>
        <v>1.10453180533036</v>
      </c>
    </row>
    <row r="290" customFormat="false" ht="14.25" hidden="false" customHeight="false" outlineLevel="0" collapsed="false">
      <c r="A290" s="4" t="e">
        <f aca="false">0.0894*ABS(D290)-0.01603*E290</f>
        <v>#REF!</v>
      </c>
      <c r="B290" s="12" t="e">
        <f aca="false">'Dataset experimental'!K290*COS('Dataset experimental'!AC290)-'Dataset experimental'!M290-'Dataset experimental'!C290</f>
        <v>#REF!</v>
      </c>
      <c r="C290" s="12" t="e">
        <f aca="false">('Dataset experimental'!AE290+SIN('Avaliação do resultado ML'!B290))*0.70674187</f>
        <v>#REF!</v>
      </c>
      <c r="D290" s="12" t="e">
        <f aca="false">'Modelos Propostos'!E290+'Avaliação do resultado ML'!C290-'Modelos normativos'!AQ290</f>
        <v>#REF!</v>
      </c>
      <c r="E290" s="12" t="n">
        <f aca="false">'Modelos empíricos'!I290+1.1854</f>
        <v>0.898365257913836</v>
      </c>
      <c r="F290" s="4" t="e">
        <f aca="false">-0.01753*('Modelos normativos'!AN290-'Dataset experimental'!C290-ABS(G290)-('Modelos Propostos'!E290-'Modelos normativos'!AP290)/0.25291)</f>
        <v>#REF!</v>
      </c>
      <c r="G290" s="4" t="e">
        <f aca="false">'Dataset experimental'!K290+'Modelos empíricos'!K290^2+('Modelos Propostos'!E290-'Modelos normativos'!AQ290)*4.10553</f>
        <v>#REF!</v>
      </c>
      <c r="H290" s="4" t="e">
        <f aca="false">0.03283*(J290+K290)</f>
        <v>#REF!</v>
      </c>
      <c r="I290" s="4" t="e">
        <f aca="false">(1.61428/'Dataset experimental'!Q290)^3</f>
        <v>#REF!</v>
      </c>
      <c r="J290" s="4" t="e">
        <f aca="false">SIN('Dataset experimental'!E290)+1.450178*(SIN('Avaliação do resultado ML'!I290)+'Dataset experimental'!C290)</f>
        <v>#REF!</v>
      </c>
      <c r="K290" s="4" t="e">
        <f aca="false">('Modelos empíricos'!C290-'Dataset experimental'!G290)*'Dataset experimental'!AE290-'Modelos normativos'!AP290</f>
        <v>#REF!</v>
      </c>
      <c r="L290" s="4" t="n">
        <f aca="false">0.0076*'Dataset experimental'!B290+'Avaliação do resultado ML'!M290+'Avaliação do resultado ML'!N290+(-0.0328)*(0.0171*'Dataset experimental'!AD290-0.9442)*'Avaliação do resultado ML'!O290-'Avaliação do resultado ML'!P290-0.0364</f>
        <v>0.0481435229250641</v>
      </c>
      <c r="M290" s="12" t="n">
        <f aca="false">0.03283*SIN(0.7328*'Dataset experimental'!D290-1.8266)</f>
        <v>-0.0115958827834406</v>
      </c>
      <c r="N290" s="12" t="n">
        <f aca="false">0.0476*SIN(4.2067/(0.0095*'Dataset experimental'!P290-1.9338)^3)</f>
        <v>0.0413506050702141</v>
      </c>
      <c r="O290" s="12" t="n">
        <f aca="false">0.0214*'Dataset experimental'!F290-3.1067*'Dataset experimental'!B290*'Dataset experimental'!P290*('Dataset experimental'!T290-'Dataset experimental'!R290)*(0.39*'Dataset experimental'!P290*'Dataset experimental'!T290/'Dataset experimental'!V290-'Dataset experimental'!Z290+3.12)/(100000*'Dataset experimental'!V290)+0.7995</f>
        <v>0.730138074006447</v>
      </c>
      <c r="P290" s="12" t="n">
        <f aca="false">0.4461*('Dataset experimental'!Z290-0.6*'Modelos normativos'!AB290)*(3.4*'Dataset experimental'!L290+0.17*'Dataset experimental'!B290/'Modelos normativos'!AC290)/200000</f>
        <v>0.0929951872180508</v>
      </c>
      <c r="Q290" s="4" t="e">
        <f aca="false">L290/H290</f>
        <v>#REF!</v>
      </c>
      <c r="R290" s="4" t="e">
        <f aca="false">(-0.042-0.014*'Com TS variável MC2020'!Q299)*('Modelos normativos'!AP290-ABS('Modelos Propostos'!K290)-'Dataset experimental'!W290+COS(S290))</f>
        <v>#REF!</v>
      </c>
      <c r="S290" s="4" t="e">
        <f aca="false">'Dataset experimental'!O290-('Modelos normativos'!AQ290-SIN(0.083/('Dataset experimental'!M290-'Dataset experimental'!O290))-'Modelos empíricos'!I290)/0.646</f>
        <v>#REF!</v>
      </c>
      <c r="W290" s="4" t="e">
        <f aca="false">'Modelos normativos'!S290+'Avaliação do resultado ML'!A290</f>
        <v>#REF!</v>
      </c>
      <c r="X290" s="4" t="e">
        <f aca="false">W290/'Dataset experimental'!$AF290</f>
        <v>#REF!</v>
      </c>
      <c r="AJ290" s="4" t="e">
        <f aca="false">'Modelos Propostos'!B290+H290</f>
        <v>#REF!</v>
      </c>
      <c r="AK290" s="4" t="e">
        <f aca="false">AJ290/'Dataset experimental'!$AF290</f>
        <v>#REF!</v>
      </c>
      <c r="AV290" s="4" t="e">
        <f aca="false">'Modelos normativos'!S290+F290</f>
        <v>#REF!</v>
      </c>
      <c r="AW290" s="4" t="e">
        <f aca="false">AV290/'Dataset experimental'!$AF290</f>
        <v>#REF!</v>
      </c>
      <c r="BH290" s="4" t="e">
        <f aca="false">'Modelos Propostos'!B290+R290</f>
        <v>#REF!</v>
      </c>
      <c r="BI290" s="4" t="e">
        <f aca="false">BH290/'Dataset experimental'!$AF290</f>
        <v>#REF!</v>
      </c>
      <c r="BT290" s="4" t="n">
        <f aca="false">'Modelos Propostos'!B290+L290</f>
        <v>0.277333820688619</v>
      </c>
      <c r="BU290" s="4" t="n">
        <f aca="false">BT290/'Dataset experimental'!$AF290</f>
        <v>1.02716229884674</v>
      </c>
    </row>
    <row r="291" customFormat="false" ht="14.25" hidden="false" customHeight="false" outlineLevel="0" collapsed="false">
      <c r="A291" s="4" t="e">
        <f aca="false">0.0894*ABS(D291)-0.01603*E291</f>
        <v>#REF!</v>
      </c>
      <c r="B291" s="12" t="e">
        <f aca="false">'Dataset experimental'!K291*COS('Dataset experimental'!AC291)-'Dataset experimental'!M291-'Dataset experimental'!C291</f>
        <v>#REF!</v>
      </c>
      <c r="C291" s="12" t="e">
        <f aca="false">('Dataset experimental'!AE291+SIN('Avaliação do resultado ML'!B291))*0.70674187</f>
        <v>#REF!</v>
      </c>
      <c r="D291" s="12" t="e">
        <f aca="false">'Modelos Propostos'!E291+'Avaliação do resultado ML'!C291-'Modelos normativos'!AQ291</f>
        <v>#REF!</v>
      </c>
      <c r="E291" s="12" t="n">
        <f aca="false">'Modelos empíricos'!I291+1.1854</f>
        <v>0.89821355227219</v>
      </c>
      <c r="F291" s="4" t="e">
        <f aca="false">-0.01753*('Modelos normativos'!AN291-'Dataset experimental'!C291-ABS(G291)-('Modelos Propostos'!E291-'Modelos normativos'!AP291)/0.25291)</f>
        <v>#REF!</v>
      </c>
      <c r="G291" s="4" t="e">
        <f aca="false">'Dataset experimental'!K291+'Modelos empíricos'!K291^2+('Modelos Propostos'!E291-'Modelos normativos'!AQ291)*4.10553</f>
        <v>#REF!</v>
      </c>
      <c r="H291" s="4" t="e">
        <f aca="false">0.03283*(J291+K291)</f>
        <v>#REF!</v>
      </c>
      <c r="I291" s="4" t="e">
        <f aca="false">(1.61428/'Dataset experimental'!Q291)^3</f>
        <v>#REF!</v>
      </c>
      <c r="J291" s="4" t="e">
        <f aca="false">SIN('Dataset experimental'!E291)+1.450178*(SIN('Avaliação do resultado ML'!I291)+'Dataset experimental'!C291)</f>
        <v>#REF!</v>
      </c>
      <c r="K291" s="4" t="e">
        <f aca="false">('Modelos empíricos'!C291-'Dataset experimental'!G291)*'Dataset experimental'!AE291-'Modelos normativos'!AP291</f>
        <v>#REF!</v>
      </c>
      <c r="L291" s="4" t="n">
        <f aca="false">0.0076*'Dataset experimental'!B291+'Avaliação do resultado ML'!M291+'Avaliação do resultado ML'!N291+(-0.0328)*(0.0171*'Dataset experimental'!AD291-0.9442)*'Avaliação do resultado ML'!O291-'Avaliação do resultado ML'!P291-0.0364</f>
        <v>0.0478002465346484</v>
      </c>
      <c r="M291" s="12" t="n">
        <f aca="false">0.03283*SIN(0.7328*'Dataset experimental'!D291-1.8266)</f>
        <v>-0.0115958827834406</v>
      </c>
      <c r="N291" s="12" t="n">
        <f aca="false">0.0476*SIN(4.2067/(0.0095*'Dataset experimental'!P291-1.9338)^3)</f>
        <v>0.0413506050702141</v>
      </c>
      <c r="O291" s="12" t="n">
        <f aca="false">0.0214*'Dataset experimental'!F291-3.1067*'Dataset experimental'!B291*'Dataset experimental'!P291*('Dataset experimental'!T291-'Dataset experimental'!R291)*(0.39*'Dataset experimental'!P291*'Dataset experimental'!T291/'Dataset experimental'!V291-'Dataset experimental'!Z291+3.12)/(100000*'Dataset experimental'!V291)+0.7995</f>
        <v>0.730138074006447</v>
      </c>
      <c r="P291" s="12" t="n">
        <f aca="false">0.4461*('Dataset experimental'!Z291-0.6*'Modelos normativos'!AB291)*(3.4*'Dataset experimental'!L291+0.17*'Dataset experimental'!B291/'Modelos normativos'!AC291)/200000</f>
        <v>0.0933384636084665</v>
      </c>
      <c r="Q291" s="4" t="e">
        <f aca="false">L291/H291</f>
        <v>#REF!</v>
      </c>
      <c r="R291" s="4" t="e">
        <f aca="false">(-0.042-0.014*'Com TS variável MC2020'!Q300)*('Modelos normativos'!AP291-ABS('Modelos Propostos'!K291)-'Dataset experimental'!W291+COS(S291))</f>
        <v>#REF!</v>
      </c>
      <c r="S291" s="4" t="e">
        <f aca="false">'Dataset experimental'!O291-('Modelos normativos'!AQ291-SIN(0.083/('Dataset experimental'!M291-'Dataset experimental'!O291))-'Modelos empíricos'!I291)/0.646</f>
        <v>#REF!</v>
      </c>
      <c r="W291" s="4" t="e">
        <f aca="false">'Modelos normativos'!S291+'Avaliação do resultado ML'!A291</f>
        <v>#REF!</v>
      </c>
      <c r="X291" s="4" t="e">
        <f aca="false">W291/'Dataset experimental'!$AF291</f>
        <v>#REF!</v>
      </c>
      <c r="AJ291" s="4" t="e">
        <f aca="false">'Modelos Propostos'!B291+H291</f>
        <v>#REF!</v>
      </c>
      <c r="AK291" s="4" t="e">
        <f aca="false">AJ291/'Dataset experimental'!$AF291</f>
        <v>#REF!</v>
      </c>
      <c r="AV291" s="4" t="e">
        <f aca="false">'Modelos normativos'!S291+F291</f>
        <v>#REF!</v>
      </c>
      <c r="AW291" s="4" t="e">
        <f aca="false">AV291/'Dataset experimental'!$AF291</f>
        <v>#REF!</v>
      </c>
      <c r="BH291" s="4" t="e">
        <f aca="false">'Modelos Propostos'!B291+R291</f>
        <v>#REF!</v>
      </c>
      <c r="BI291" s="4" t="e">
        <f aca="false">BH291/'Dataset experimental'!$AF291</f>
        <v>#REF!</v>
      </c>
      <c r="BT291" s="4" t="n">
        <f aca="false">'Modelos Propostos'!B291+L291</f>
        <v>0.277941552403216</v>
      </c>
      <c r="BU291" s="4" t="n">
        <f aca="false">BT291/'Dataset experimental'!$AF291</f>
        <v>1.7371347025201</v>
      </c>
    </row>
    <row r="292" customFormat="false" ht="14.25" hidden="false" customHeight="false" outlineLevel="0" collapsed="false">
      <c r="A292" s="4" t="e">
        <f aca="false">0.0894*ABS(D292)-0.01603*E292</f>
        <v>#REF!</v>
      </c>
      <c r="B292" s="12" t="e">
        <f aca="false">'Dataset experimental'!K292*COS('Dataset experimental'!AC292)-'Dataset experimental'!M292-'Dataset experimental'!C292</f>
        <v>#REF!</v>
      </c>
      <c r="C292" s="12" t="e">
        <f aca="false">('Dataset experimental'!AE292+SIN('Avaliação do resultado ML'!B292))*0.70674187</f>
        <v>#REF!</v>
      </c>
      <c r="D292" s="12" t="e">
        <f aca="false">'Modelos Propostos'!E292+'Avaliação do resultado ML'!C292-'Modelos normativos'!AQ292</f>
        <v>#REF!</v>
      </c>
      <c r="E292" s="12" t="n">
        <f aca="false">'Modelos empíricos'!I292+1.1854</f>
        <v>0.708611102971805</v>
      </c>
      <c r="F292" s="4" t="e">
        <f aca="false">-0.01753*('Modelos normativos'!AN292-'Dataset experimental'!C292-ABS(G292)-('Modelos Propostos'!E292-'Modelos normativos'!AP292)/0.25291)</f>
        <v>#REF!</v>
      </c>
      <c r="G292" s="4" t="e">
        <f aca="false">'Dataset experimental'!K292+'Modelos empíricos'!K292^2+('Modelos Propostos'!E292-'Modelos normativos'!AQ292)*4.10553</f>
        <v>#REF!</v>
      </c>
      <c r="H292" s="4" t="e">
        <f aca="false">0.03283*(J292+K292)</f>
        <v>#REF!</v>
      </c>
      <c r="I292" s="4" t="e">
        <f aca="false">(1.61428/'Dataset experimental'!Q292)^3</f>
        <v>#REF!</v>
      </c>
      <c r="J292" s="4" t="e">
        <f aca="false">SIN('Dataset experimental'!E292)+1.450178*(SIN('Avaliação do resultado ML'!I292)+'Dataset experimental'!C292)</f>
        <v>#REF!</v>
      </c>
      <c r="K292" s="4" t="e">
        <f aca="false">('Modelos empíricos'!C292-'Dataset experimental'!G292)*'Dataset experimental'!AE292-'Modelos normativos'!AP292</f>
        <v>#REF!</v>
      </c>
      <c r="L292" s="4" t="n">
        <f aca="false">0.0076*'Dataset experimental'!B292+'Avaliação do resultado ML'!M292+'Avaliação do resultado ML'!N292+(-0.0328)*(0.0171*'Dataset experimental'!AD292-0.9442)*'Avaliação do resultado ML'!O292-'Avaliação do resultado ML'!P292-0.0364</f>
        <v>0.0504624489537343</v>
      </c>
      <c r="M292" s="12" t="n">
        <f aca="false">0.03283*SIN(0.7328*'Dataset experimental'!D292-1.8266)</f>
        <v>-0.0115958827834406</v>
      </c>
      <c r="N292" s="12" t="n">
        <f aca="false">0.0476*SIN(4.2067/(0.0095*'Dataset experimental'!P292-1.9338)^3)</f>
        <v>0.0413506050702141</v>
      </c>
      <c r="O292" s="12" t="n">
        <f aca="false">0.0214*'Dataset experimental'!F292-3.1067*'Dataset experimental'!B292*'Dataset experimental'!P292*('Dataset experimental'!T292-'Dataset experimental'!R292)*(0.39*'Dataset experimental'!P292*'Dataset experimental'!T292/'Dataset experimental'!V292-'Dataset experimental'!Z292+3.12)/(100000*'Dataset experimental'!V292)+0.7995</f>
        <v>0.685134081348504</v>
      </c>
      <c r="P292" s="12" t="n">
        <f aca="false">0.4461*('Dataset experimental'!Z292-0.6*'Modelos normativos'!AB292)*(3.4*'Dataset experimental'!L292+0.17*'Dataset experimental'!B292/'Modelos normativos'!AC292)/200000</f>
        <v>0.0930320452375458</v>
      </c>
      <c r="Q292" s="4" t="e">
        <f aca="false">L292/H292</f>
        <v>#REF!</v>
      </c>
      <c r="R292" s="4" t="e">
        <f aca="false">(-0.042-0.014*'Com TS variável MC2020'!Q301)*('Modelos normativos'!AP292-ABS('Modelos Propostos'!K292)-'Dataset experimental'!W292+COS(S292))</f>
        <v>#REF!</v>
      </c>
      <c r="S292" s="4" t="e">
        <f aca="false">'Dataset experimental'!O292-('Modelos normativos'!AQ292-SIN(0.083/('Dataset experimental'!M292-'Dataset experimental'!O292))-'Modelos empíricos'!I292)/0.646</f>
        <v>#REF!</v>
      </c>
      <c r="W292" s="4" t="e">
        <f aca="false">'Modelos normativos'!S292+'Avaliação do resultado ML'!A292</f>
        <v>#REF!</v>
      </c>
      <c r="X292" s="4" t="e">
        <f aca="false">W292/'Dataset experimental'!$AF292</f>
        <v>#REF!</v>
      </c>
      <c r="AJ292" s="4" t="e">
        <f aca="false">'Modelos Propostos'!B292+H292</f>
        <v>#REF!</v>
      </c>
      <c r="AK292" s="4" t="e">
        <f aca="false">AJ292/'Dataset experimental'!$AF292</f>
        <v>#REF!</v>
      </c>
      <c r="AV292" s="4" t="e">
        <f aca="false">'Modelos normativos'!S292+F292</f>
        <v>#REF!</v>
      </c>
      <c r="AW292" s="4" t="e">
        <f aca="false">AV292/'Dataset experimental'!$AF292</f>
        <v>#REF!</v>
      </c>
      <c r="BH292" s="4" t="e">
        <f aca="false">'Modelos Propostos'!B292+R292</f>
        <v>#REF!</v>
      </c>
      <c r="BI292" s="4" t="e">
        <f aca="false">BH292/'Dataset experimental'!$AF292</f>
        <v>#REF!</v>
      </c>
      <c r="BT292" s="4" t="n">
        <f aca="false">'Modelos Propostos'!B292+L292</f>
        <v>0.273623426131615</v>
      </c>
      <c r="BU292" s="4" t="n">
        <f aca="false">BT292/'Dataset experimental'!$AF292</f>
        <v>1.71014641332259</v>
      </c>
    </row>
    <row r="293" customFormat="false" ht="14.25" hidden="false" customHeight="false" outlineLevel="0" collapsed="false">
      <c r="A293" s="4" t="e">
        <f aca="false">0.0894*ABS(D293)-0.01603*E293</f>
        <v>#REF!</v>
      </c>
      <c r="B293" s="12" t="e">
        <f aca="false">'Dataset experimental'!K293*COS('Dataset experimental'!AC293)-'Dataset experimental'!M293-'Dataset experimental'!C293</f>
        <v>#REF!</v>
      </c>
      <c r="C293" s="12" t="e">
        <f aca="false">('Dataset experimental'!AE293+SIN('Avaliação do resultado ML'!B293))*0.70674187</f>
        <v>#REF!</v>
      </c>
      <c r="D293" s="12" t="e">
        <f aca="false">'Modelos Propostos'!E293+'Avaliação do resultado ML'!C293-'Modelos normativos'!AQ293</f>
        <v>#REF!</v>
      </c>
      <c r="E293" s="12" t="n">
        <f aca="false">'Modelos empíricos'!I293+1.1854</f>
        <v>1.02673463294384</v>
      </c>
      <c r="F293" s="4" t="e">
        <f aca="false">-0.01753*('Modelos normativos'!AN293-'Dataset experimental'!C293-ABS(G293)-('Modelos Propostos'!E293-'Modelos normativos'!AP293)/0.25291)</f>
        <v>#REF!</v>
      </c>
      <c r="G293" s="4" t="e">
        <f aca="false">'Dataset experimental'!K293+'Modelos empíricos'!K293^2+('Modelos Propostos'!E293-'Modelos normativos'!AQ293)*4.10553</f>
        <v>#REF!</v>
      </c>
      <c r="H293" s="4" t="e">
        <f aca="false">0.03283*(J293+K293)</f>
        <v>#REF!</v>
      </c>
      <c r="I293" s="4" t="e">
        <f aca="false">(1.61428/'Dataset experimental'!Q293)^3</f>
        <v>#REF!</v>
      </c>
      <c r="J293" s="4" t="e">
        <f aca="false">SIN('Dataset experimental'!E293)+1.450178*(SIN('Avaliação do resultado ML'!I293)+'Dataset experimental'!C293)</f>
        <v>#REF!</v>
      </c>
      <c r="K293" s="4" t="e">
        <f aca="false">('Modelos empíricos'!C293-'Dataset experimental'!G293)*'Dataset experimental'!AE293-'Modelos normativos'!AP293</f>
        <v>#REF!</v>
      </c>
      <c r="L293" s="4" t="n">
        <f aca="false">0.0076*'Dataset experimental'!B293+'Avaliação do resultado ML'!M293+'Avaliação do resultado ML'!N293+(-0.0328)*(0.0171*'Dataset experimental'!AD293-0.9442)*'Avaliação do resultado ML'!O293-'Avaliação do resultado ML'!P293-0.0364</f>
        <v>0.0350488689966558</v>
      </c>
      <c r="M293" s="12" t="n">
        <f aca="false">0.03283*SIN(0.7328*'Dataset experimental'!D293-1.8266)</f>
        <v>-0.0115958827834406</v>
      </c>
      <c r="N293" s="12" t="n">
        <f aca="false">0.0476*SIN(4.2067/(0.0095*'Dataset experimental'!P293-1.9338)^3)</f>
        <v>0.0413506050702141</v>
      </c>
      <c r="O293" s="12" t="n">
        <f aca="false">0.0214*'Dataset experimental'!F293-3.1067*'Dataset experimental'!B293*'Dataset experimental'!P293*('Dataset experimental'!T293-'Dataset experimental'!R293)*(0.39*'Dataset experimental'!P293*'Dataset experimental'!T293/'Dataset experimental'!V293-'Dataset experimental'!Z293+3.12)/(100000*'Dataset experimental'!V293)+0.7995</f>
        <v>0.487271335536179</v>
      </c>
      <c r="P293" s="12" t="n">
        <f aca="false">0.4461*('Dataset experimental'!Z293-0.6*'Modelos normativos'!AB293)*(3.4*'Dataset experimental'!L293+0.17*'Dataset experimental'!B293/'Modelos normativos'!AC293)/200000</f>
        <v>0.105217020792141</v>
      </c>
      <c r="Q293" s="4" t="e">
        <f aca="false">L293/H293</f>
        <v>#REF!</v>
      </c>
      <c r="R293" s="4" t="e">
        <f aca="false">(-0.042-0.014*'Com TS variável MC2020'!Q302)*('Modelos normativos'!AP293-ABS('Modelos Propostos'!K293)-'Dataset experimental'!W293+COS(S293))</f>
        <v>#REF!</v>
      </c>
      <c r="S293" s="4" t="e">
        <f aca="false">'Dataset experimental'!O293-('Modelos normativos'!AQ293-SIN(0.083/('Dataset experimental'!M293-'Dataset experimental'!O293))-'Modelos empíricos'!I293)/0.646</f>
        <v>#REF!</v>
      </c>
      <c r="W293" s="4" t="e">
        <f aca="false">'Modelos normativos'!S293+'Avaliação do resultado ML'!A293</f>
        <v>#REF!</v>
      </c>
      <c r="X293" s="4" t="e">
        <f aca="false">W293/'Dataset experimental'!$AF293</f>
        <v>#REF!</v>
      </c>
      <c r="AJ293" s="4" t="e">
        <f aca="false">'Modelos Propostos'!B293+H293</f>
        <v>#REF!</v>
      </c>
      <c r="AK293" s="4" t="e">
        <f aca="false">AJ293/'Dataset experimental'!$AF293</f>
        <v>#REF!</v>
      </c>
      <c r="AV293" s="4" t="e">
        <f aca="false">'Modelos normativos'!S293+F293</f>
        <v>#REF!</v>
      </c>
      <c r="AW293" s="4" t="e">
        <f aca="false">AV293/'Dataset experimental'!$AF293</f>
        <v>#REF!</v>
      </c>
      <c r="BH293" s="4" t="e">
        <f aca="false">'Modelos Propostos'!B293+R293</f>
        <v>#REF!</v>
      </c>
      <c r="BI293" s="4" t="e">
        <f aca="false">BH293/'Dataset experimental'!$AF293</f>
        <v>#REF!</v>
      </c>
      <c r="BT293" s="4" t="n">
        <f aca="false">'Modelos Propostos'!B293+L293</f>
        <v>0.296331900116084</v>
      </c>
      <c r="BU293" s="4" t="n">
        <f aca="false">BT293/'Dataset experimental'!$AF293</f>
        <v>1.48165950058042</v>
      </c>
    </row>
    <row r="294" customFormat="false" ht="14.25" hidden="false" customHeight="false" outlineLevel="0" collapsed="false">
      <c r="A294" s="4" t="e">
        <f aca="false">0.0894*ABS(D294)-0.01603*E294</f>
        <v>#REF!</v>
      </c>
      <c r="B294" s="12" t="e">
        <f aca="false">'Dataset experimental'!K294*COS('Dataset experimental'!AC294)-'Dataset experimental'!M294-'Dataset experimental'!C294</f>
        <v>#REF!</v>
      </c>
      <c r="C294" s="12" t="e">
        <f aca="false">('Dataset experimental'!AE294+SIN('Avaliação do resultado ML'!B294))*0.70674187</f>
        <v>#REF!</v>
      </c>
      <c r="D294" s="12" t="e">
        <f aca="false">'Modelos Propostos'!E294+'Avaliação do resultado ML'!C294-'Modelos normativos'!AQ294</f>
        <v>#REF!</v>
      </c>
      <c r="E294" s="12" t="n">
        <f aca="false">'Modelos empíricos'!I294+1.1854</f>
        <v>0.624498785950584</v>
      </c>
      <c r="F294" s="4" t="e">
        <f aca="false">-0.01753*('Modelos normativos'!AN294-'Dataset experimental'!C294-ABS(G294)-('Modelos Propostos'!E294-'Modelos normativos'!AP294)/0.25291)</f>
        <v>#REF!</v>
      </c>
      <c r="G294" s="4" t="e">
        <f aca="false">'Dataset experimental'!K294+'Modelos empíricos'!K294^2+('Modelos Propostos'!E294-'Modelos normativos'!AQ294)*4.10553</f>
        <v>#REF!</v>
      </c>
      <c r="H294" s="4" t="e">
        <f aca="false">0.03283*(J294+K294)</f>
        <v>#REF!</v>
      </c>
      <c r="I294" s="4" t="e">
        <f aca="false">(1.61428/'Dataset experimental'!Q294)^3</f>
        <v>#REF!</v>
      </c>
      <c r="J294" s="4" t="e">
        <f aca="false">SIN('Dataset experimental'!E294)+1.450178*(SIN('Avaliação do resultado ML'!I294)+'Dataset experimental'!C294)</f>
        <v>#REF!</v>
      </c>
      <c r="K294" s="4" t="e">
        <f aca="false">('Modelos empíricos'!C294-'Dataset experimental'!G294)*'Dataset experimental'!AE294-'Modelos normativos'!AP294</f>
        <v>#REF!</v>
      </c>
      <c r="L294" s="4" t="n">
        <f aca="false">0.0076*'Dataset experimental'!B294+'Avaliação do resultado ML'!M294+'Avaliação do resultado ML'!N294+(-0.0328)*(0.0171*'Dataset experimental'!AD294-0.9442)*'Avaliação do resultado ML'!O294-'Avaliação do resultado ML'!P294-0.0364</f>
        <v>0.106216202954875</v>
      </c>
      <c r="M294" s="12" t="n">
        <f aca="false">0.03283*SIN(0.7328*'Dataset experimental'!D294-1.8266)</f>
        <v>-0.0115958827834406</v>
      </c>
      <c r="N294" s="12" t="n">
        <f aca="false">0.0476*SIN(4.2067/(0.0095*'Dataset experimental'!P294-1.9338)^3)</f>
        <v>0.0413506050702141</v>
      </c>
      <c r="O294" s="12" t="n">
        <f aca="false">0.0214*'Dataset experimental'!F294-3.1067*'Dataset experimental'!B294*'Dataset experimental'!P294*('Dataset experimental'!T294-'Dataset experimental'!R294)*(0.39*'Dataset experimental'!P294*'Dataset experimental'!T294/'Dataset experimental'!V294-'Dataset experimental'!Z294+3.12)/(100000*'Dataset experimental'!V294)+0.7995</f>
        <v>1.37917141213067</v>
      </c>
      <c r="P294" s="12" t="n">
        <f aca="false">0.4461*('Dataset experimental'!Z294-0.6*'Modelos normativos'!AB294)*(3.4*'Dataset experimental'!L294+0.17*'Dataset experimental'!B294/'Modelos normativos'!AC294)/200000</f>
        <v>0.0473629129138149</v>
      </c>
      <c r="Q294" s="4" t="e">
        <f aca="false">L294/H294</f>
        <v>#REF!</v>
      </c>
      <c r="R294" s="4" t="e">
        <f aca="false">(-0.042-0.014*'Com TS variável MC2020'!Q303)*('Modelos normativos'!AP294-ABS('Modelos Propostos'!K294)-'Dataset experimental'!W294+COS(S294))</f>
        <v>#REF!</v>
      </c>
      <c r="S294" s="4" t="e">
        <f aca="false">'Dataset experimental'!O294-('Modelos normativos'!AQ294-SIN(0.083/('Dataset experimental'!M294-'Dataset experimental'!O294))-'Modelos empíricos'!I294)/0.646</f>
        <v>#REF!</v>
      </c>
      <c r="W294" s="4" t="e">
        <f aca="false">'Modelos normativos'!S294+'Avaliação do resultado ML'!A294</f>
        <v>#REF!</v>
      </c>
      <c r="X294" s="4" t="e">
        <f aca="false">W294/'Dataset experimental'!$AF294</f>
        <v>#REF!</v>
      </c>
      <c r="AJ294" s="4" t="e">
        <f aca="false">'Modelos Propostos'!B294+H294</f>
        <v>#REF!</v>
      </c>
      <c r="AK294" s="4" t="e">
        <f aca="false">AJ294/'Dataset experimental'!$AF294</f>
        <v>#REF!</v>
      </c>
      <c r="AV294" s="4" t="e">
        <f aca="false">'Modelos normativos'!S294+F294</f>
        <v>#REF!</v>
      </c>
      <c r="AW294" s="4" t="e">
        <f aca="false">AV294/'Dataset experimental'!$AF294</f>
        <v>#REF!</v>
      </c>
      <c r="BH294" s="4" t="e">
        <f aca="false">'Modelos Propostos'!B294+R294</f>
        <v>#REF!</v>
      </c>
      <c r="BI294" s="4" t="e">
        <f aca="false">BH294/'Dataset experimental'!$AF294</f>
        <v>#REF!</v>
      </c>
      <c r="BT294" s="4" t="n">
        <f aca="false">'Modelos Propostos'!B294+L294</f>
        <v>0.230547343988648</v>
      </c>
      <c r="BU294" s="4" t="n">
        <f aca="false">BT294/'Dataset experimental'!$AF294</f>
        <v>1.35616084699205</v>
      </c>
    </row>
    <row r="295" customFormat="false" ht="14.25" hidden="false" customHeight="false" outlineLevel="0" collapsed="false">
      <c r="A295" s="4" t="e">
        <f aca="false">0.0894*ABS(D295)-0.01603*E295</f>
        <v>#REF!</v>
      </c>
      <c r="B295" s="12" t="e">
        <f aca="false">'Dataset experimental'!K295*COS('Dataset experimental'!AC295)-'Dataset experimental'!M295-'Dataset experimental'!C295</f>
        <v>#REF!</v>
      </c>
      <c r="C295" s="12" t="e">
        <f aca="false">('Dataset experimental'!AE295+SIN('Avaliação do resultado ML'!B295))*0.70674187</f>
        <v>#REF!</v>
      </c>
      <c r="D295" s="12" t="e">
        <f aca="false">'Modelos Propostos'!E295+'Avaliação do resultado ML'!C295-'Modelos normativos'!AQ295</f>
        <v>#REF!</v>
      </c>
      <c r="E295" s="12" t="n">
        <f aca="false">'Modelos empíricos'!I295+1.1854</f>
        <v>0.159327817700365</v>
      </c>
      <c r="F295" s="4" t="e">
        <f aca="false">-0.01753*('Modelos normativos'!AN295-'Dataset experimental'!C295-ABS(G295)-('Modelos Propostos'!E295-'Modelos normativos'!AP295)/0.25291)</f>
        <v>#REF!</v>
      </c>
      <c r="G295" s="4" t="e">
        <f aca="false">'Dataset experimental'!K295+'Modelos empíricos'!K295^2+('Modelos Propostos'!E295-'Modelos normativos'!AQ295)*4.10553</f>
        <v>#REF!</v>
      </c>
      <c r="H295" s="4" t="e">
        <f aca="false">0.03283*(J295+K295)</f>
        <v>#REF!</v>
      </c>
      <c r="I295" s="4" t="e">
        <f aca="false">(1.61428/'Dataset experimental'!Q295)^3</f>
        <v>#REF!</v>
      </c>
      <c r="J295" s="4" t="e">
        <f aca="false">SIN('Dataset experimental'!E295)+1.450178*(SIN('Avaliação do resultado ML'!I295)+'Dataset experimental'!C295)</f>
        <v>#REF!</v>
      </c>
      <c r="K295" s="4" t="e">
        <f aca="false">('Modelos empíricos'!C295-'Dataset experimental'!G295)*'Dataset experimental'!AE295-'Modelos normativos'!AP295</f>
        <v>#REF!</v>
      </c>
      <c r="L295" s="4" t="n">
        <f aca="false">0.0076*'Dataset experimental'!B295+'Avaliação do resultado ML'!M295+'Avaliação do resultado ML'!N295+(-0.0328)*(0.0171*'Dataset experimental'!AD295-0.9442)*'Avaliação do resultado ML'!O295-'Avaliação do resultado ML'!P295-0.0364</f>
        <v>0.099487792234203</v>
      </c>
      <c r="M295" s="12" t="n">
        <f aca="false">0.03283*SIN(0.7328*'Dataset experimental'!D295-1.8266)</f>
        <v>-0.0115958827834406</v>
      </c>
      <c r="N295" s="12" t="n">
        <f aca="false">0.0476*SIN(4.2067/(0.0095*'Dataset experimental'!P295-1.9338)^3)</f>
        <v>0.0413506050702141</v>
      </c>
      <c r="O295" s="12" t="n">
        <f aca="false">0.0214*'Dataset experimental'!F295-3.1067*'Dataset experimental'!B295*'Dataset experimental'!P295*('Dataset experimental'!T295-'Dataset experimental'!R295)*(0.39*'Dataset experimental'!P295*'Dataset experimental'!T295/'Dataset experimental'!V295-'Dataset experimental'!Z295+3.12)/(100000*'Dataset experimental'!V295)+0.7995</f>
        <v>1.0503188748829</v>
      </c>
      <c r="P295" s="12" t="n">
        <f aca="false">0.4461*('Dataset experimental'!Z295-0.6*'Modelos normativos'!AB295)*(3.4*'Dataset experimental'!L295+0.17*'Dataset experimental'!B295/'Modelos normativos'!AC295)/200000</f>
        <v>0.0692308757530924</v>
      </c>
      <c r="Q295" s="4" t="e">
        <f aca="false">L295/H295</f>
        <v>#REF!</v>
      </c>
      <c r="R295" s="4" t="e">
        <f aca="false">(-0.042-0.014*'Com TS variável MC2020'!Q304)*('Modelos normativos'!AP295-ABS('Modelos Propostos'!K295)-'Dataset experimental'!W295+COS(S295))</f>
        <v>#REF!</v>
      </c>
      <c r="S295" s="4" t="e">
        <f aca="false">'Dataset experimental'!O295-('Modelos normativos'!AQ295-SIN(0.083/('Dataset experimental'!M295-'Dataset experimental'!O295))-'Modelos empíricos'!I295)/0.646</f>
        <v>#REF!</v>
      </c>
      <c r="W295" s="4" t="e">
        <f aca="false">'Modelos normativos'!S295+'Avaliação do resultado ML'!A295</f>
        <v>#REF!</v>
      </c>
      <c r="X295" s="4" t="e">
        <f aca="false">W295/'Dataset experimental'!$AF295</f>
        <v>#REF!</v>
      </c>
      <c r="AJ295" s="4" t="e">
        <f aca="false">'Modelos Propostos'!B295+H295</f>
        <v>#REF!</v>
      </c>
      <c r="AK295" s="4" t="e">
        <f aca="false">AJ295/'Dataset experimental'!$AF295</f>
        <v>#REF!</v>
      </c>
      <c r="AV295" s="4" t="e">
        <f aca="false">'Modelos normativos'!S295+F295</f>
        <v>#REF!</v>
      </c>
      <c r="AW295" s="4" t="e">
        <f aca="false">AV295/'Dataset experimental'!$AF295</f>
        <v>#REF!</v>
      </c>
      <c r="BH295" s="4" t="e">
        <f aca="false">'Modelos Propostos'!B295+R295</f>
        <v>#REF!</v>
      </c>
      <c r="BI295" s="4" t="e">
        <f aca="false">BH295/'Dataset experimental'!$AF295</f>
        <v>#REF!</v>
      </c>
      <c r="BT295" s="4" t="n">
        <f aca="false">'Modelos Propostos'!B295+L295</f>
        <v>0.255500134723853</v>
      </c>
      <c r="BU295" s="4" t="n">
        <f aca="false">BT295/'Dataset experimental'!$AF295</f>
        <v>1.70333423149236</v>
      </c>
    </row>
    <row r="296" customFormat="false" ht="14.25" hidden="false" customHeight="false" outlineLevel="0" collapsed="false">
      <c r="A296" s="4" t="e">
        <f aca="false">0.0894*ABS(D296)-0.01603*E296</f>
        <v>#REF!</v>
      </c>
      <c r="B296" s="12" t="e">
        <f aca="false">'Dataset experimental'!K296*COS('Dataset experimental'!AC296)-'Dataset experimental'!M296-'Dataset experimental'!C296</f>
        <v>#REF!</v>
      </c>
      <c r="C296" s="12" t="e">
        <f aca="false">('Dataset experimental'!AE296+SIN('Avaliação do resultado ML'!B296))*0.70674187</f>
        <v>#REF!</v>
      </c>
      <c r="D296" s="12" t="e">
        <f aca="false">'Modelos Propostos'!E296+'Avaliação do resultado ML'!C296-'Modelos normativos'!AQ296</f>
        <v>#REF!</v>
      </c>
      <c r="E296" s="12" t="n">
        <f aca="false">'Modelos empíricos'!I296+1.1854</f>
        <v>0.572190777245003</v>
      </c>
      <c r="F296" s="4" t="e">
        <f aca="false">-0.01753*('Modelos normativos'!AN296-'Dataset experimental'!C296-ABS(G296)-('Modelos Propostos'!E296-'Modelos normativos'!AP296)/0.25291)</f>
        <v>#REF!</v>
      </c>
      <c r="G296" s="4" t="e">
        <f aca="false">'Dataset experimental'!K296+'Modelos empíricos'!K296^2+('Modelos Propostos'!E296-'Modelos normativos'!AQ296)*4.10553</f>
        <v>#REF!</v>
      </c>
      <c r="H296" s="4" t="e">
        <f aca="false">0.03283*(J296+K296)</f>
        <v>#REF!</v>
      </c>
      <c r="I296" s="4" t="e">
        <f aca="false">(1.61428/'Dataset experimental'!Q296)^3</f>
        <v>#REF!</v>
      </c>
      <c r="J296" s="4" t="e">
        <f aca="false">SIN('Dataset experimental'!E296)+1.450178*(SIN('Avaliação do resultado ML'!I296)+'Dataset experimental'!C296)</f>
        <v>#REF!</v>
      </c>
      <c r="K296" s="4" t="e">
        <f aca="false">('Modelos empíricos'!C296-'Dataset experimental'!G296)*'Dataset experimental'!AE296-'Modelos normativos'!AP296</f>
        <v>#REF!</v>
      </c>
      <c r="L296" s="4" t="n">
        <f aca="false">0.0076*'Dataset experimental'!B296+'Avaliação do resultado ML'!M296+'Avaliação do resultado ML'!N296+(-0.0328)*(0.0171*'Dataset experimental'!AD296-0.9442)*'Avaliação do resultado ML'!O296-'Avaliação do resultado ML'!P296-0.0364</f>
        <v>0.0810614987472608</v>
      </c>
      <c r="M296" s="12" t="n">
        <f aca="false">0.03283*SIN(0.7328*'Dataset experimental'!D296-1.8266)</f>
        <v>-0.0115958827834406</v>
      </c>
      <c r="N296" s="12" t="n">
        <f aca="false">0.0476*SIN(4.2067/(0.0095*'Dataset experimental'!P296-1.9338)^3)</f>
        <v>0.0413506050702141</v>
      </c>
      <c r="O296" s="12" t="n">
        <f aca="false">0.0214*'Dataset experimental'!F296-3.1067*'Dataset experimental'!B296*'Dataset experimental'!P296*('Dataset experimental'!T296-'Dataset experimental'!R296)*(0.39*'Dataset experimental'!P296*'Dataset experimental'!T296/'Dataset experimental'!V296-'Dataset experimental'!Z296+3.12)/(100000*'Dataset experimental'!V296)+0.7995</f>
        <v>0.838061727140075</v>
      </c>
      <c r="P296" s="12" t="n">
        <f aca="false">0.4461*('Dataset experimental'!Z296-0.6*'Modelos normativos'!AB296)*(3.4*'Dataset experimental'!L296+0.17*'Dataset experimental'!B296/'Modelos normativos'!AC296)/200000</f>
        <v>0.0829448433862093</v>
      </c>
      <c r="Q296" s="4" t="e">
        <f aca="false">L296/H296</f>
        <v>#REF!</v>
      </c>
      <c r="R296" s="4" t="e">
        <f aca="false">(-0.042-0.014*'Com TS variável MC2020'!Q305)*('Modelos normativos'!AP296-ABS('Modelos Propostos'!K296)-'Dataset experimental'!W296+COS(S296))</f>
        <v>#REF!</v>
      </c>
      <c r="S296" s="4" t="e">
        <f aca="false">'Dataset experimental'!O296-('Modelos normativos'!AQ296-SIN(0.083/('Dataset experimental'!M296-'Dataset experimental'!O296))-'Modelos empíricos'!I296)/0.646</f>
        <v>#REF!</v>
      </c>
      <c r="W296" s="4" t="e">
        <f aca="false">'Modelos normativos'!S296+'Avaliação do resultado ML'!A296</f>
        <v>#REF!</v>
      </c>
      <c r="X296" s="4" t="e">
        <f aca="false">W296/'Dataset experimental'!$AF296</f>
        <v>#REF!</v>
      </c>
      <c r="AJ296" s="4" t="e">
        <f aca="false">'Modelos Propostos'!B296+H296</f>
        <v>#REF!</v>
      </c>
      <c r="AK296" s="4" t="e">
        <f aca="false">AJ296/'Dataset experimental'!$AF296</f>
        <v>#REF!</v>
      </c>
      <c r="AV296" s="4" t="e">
        <f aca="false">'Modelos normativos'!S296+F296</f>
        <v>#REF!</v>
      </c>
      <c r="AW296" s="4" t="e">
        <f aca="false">AV296/'Dataset experimental'!$AF296</f>
        <v>#REF!</v>
      </c>
      <c r="BH296" s="4" t="e">
        <f aca="false">'Modelos Propostos'!B296+R296</f>
        <v>#REF!</v>
      </c>
      <c r="BI296" s="4" t="e">
        <f aca="false">BH296/'Dataset experimental'!$AF296</f>
        <v>#REF!</v>
      </c>
      <c r="BT296" s="4" t="n">
        <f aca="false">'Modelos Propostos'!B296+L296</f>
        <v>0.279178565661182</v>
      </c>
      <c r="BU296" s="4" t="n">
        <f aca="false">BT296/'Dataset experimental'!$AF296</f>
        <v>1.46936087190096</v>
      </c>
    </row>
    <row r="297" customFormat="false" ht="14.25" hidden="false" customHeight="false" outlineLevel="0" collapsed="false">
      <c r="A297" s="4" t="e">
        <f aca="false">0.0894*ABS(D297)-0.01603*E297</f>
        <v>#REF!</v>
      </c>
      <c r="B297" s="12" t="e">
        <f aca="false">'Dataset experimental'!K297*COS('Dataset experimental'!AC297)-'Dataset experimental'!M297-'Dataset experimental'!C297</f>
        <v>#REF!</v>
      </c>
      <c r="C297" s="12" t="e">
        <f aca="false">('Dataset experimental'!AE297+SIN('Avaliação do resultado ML'!B297))*0.70674187</f>
        <v>#REF!</v>
      </c>
      <c r="D297" s="12" t="e">
        <f aca="false">'Modelos Propostos'!E297+'Avaliação do resultado ML'!C297-'Modelos normativos'!AQ297</f>
        <v>#REF!</v>
      </c>
      <c r="E297" s="12" t="n">
        <f aca="false">'Modelos empíricos'!I297+1.1854</f>
        <v>1.01270962881656</v>
      </c>
      <c r="F297" s="4" t="e">
        <f aca="false">-0.01753*('Modelos normativos'!AN297-'Dataset experimental'!C297-ABS(G297)-('Modelos Propostos'!E297-'Modelos normativos'!AP297)/0.25291)</f>
        <v>#REF!</v>
      </c>
      <c r="G297" s="4" t="e">
        <f aca="false">'Dataset experimental'!K297+'Modelos empíricos'!K297^2+('Modelos Propostos'!E297-'Modelos normativos'!AQ297)*4.10553</f>
        <v>#REF!</v>
      </c>
      <c r="H297" s="4" t="e">
        <f aca="false">0.03283*(J297+K297)</f>
        <v>#REF!</v>
      </c>
      <c r="I297" s="4" t="e">
        <f aca="false">(1.61428/'Dataset experimental'!Q297)^3</f>
        <v>#REF!</v>
      </c>
      <c r="J297" s="4" t="e">
        <f aca="false">SIN('Dataset experimental'!E297)+1.450178*(SIN('Avaliação do resultado ML'!I297)+'Dataset experimental'!C297)</f>
        <v>#REF!</v>
      </c>
      <c r="K297" s="4" t="e">
        <f aca="false">('Modelos empíricos'!C297-'Dataset experimental'!G297)*'Dataset experimental'!AE297-'Modelos normativos'!AP297</f>
        <v>#REF!</v>
      </c>
      <c r="L297" s="4" t="n">
        <f aca="false">0.0076*'Dataset experimental'!B297+'Avaliação do resultado ML'!M297+'Avaliação do resultado ML'!N297+(-0.0328)*(0.0171*'Dataset experimental'!AD297-0.9442)*'Avaliação do resultado ML'!O297-'Avaliação do resultado ML'!P297-0.0364</f>
        <v>0.0632831208862563</v>
      </c>
      <c r="M297" s="12" t="n">
        <f aca="false">0.03283*SIN(0.7328*'Dataset experimental'!D297-1.8266)</f>
        <v>-0.0115958827834406</v>
      </c>
      <c r="N297" s="12" t="n">
        <f aca="false">0.0476*SIN(4.2067/(0.0095*'Dataset experimental'!P297-1.9338)^3)</f>
        <v>0.0413506050702141</v>
      </c>
      <c r="O297" s="12" t="n">
        <f aca="false">0.0214*'Dataset experimental'!F297-3.1067*'Dataset experimental'!B297*'Dataset experimental'!P297*('Dataset experimental'!T297-'Dataset experimental'!R297)*(0.39*'Dataset experimental'!P297*'Dataset experimental'!T297/'Dataset experimental'!V297-'Dataset experimental'!Z297+3.12)/(100000*'Dataset experimental'!V297)+0.7995</f>
        <v>0.611586397251798</v>
      </c>
      <c r="P297" s="12" t="n">
        <f aca="false">0.4461*('Dataset experimental'!Z297-0.6*'Modelos normativos'!AB297)*(3.4*'Dataset experimental'!L297+0.17*'Dataset experimental'!B297/'Modelos normativos'!AC297)/200000</f>
        <v>0.0975774499995349</v>
      </c>
      <c r="Q297" s="4" t="e">
        <f aca="false">L297/H297</f>
        <v>#REF!</v>
      </c>
      <c r="R297" s="4" t="e">
        <f aca="false">(-0.042-0.014*'Com TS variável MC2020'!Q306)*('Modelos normativos'!AP297-ABS('Modelos Propostos'!K297)-'Dataset experimental'!W297+COS(S297))</f>
        <v>#REF!</v>
      </c>
      <c r="S297" s="4" t="e">
        <f aca="false">'Dataset experimental'!O297-('Modelos normativos'!AQ297-SIN(0.083/('Dataset experimental'!M297-'Dataset experimental'!O297))-'Modelos empíricos'!I297)/0.646</f>
        <v>#REF!</v>
      </c>
      <c r="W297" s="4" t="e">
        <f aca="false">'Modelos normativos'!S297+'Avaliação do resultado ML'!A297</f>
        <v>#REF!</v>
      </c>
      <c r="X297" s="4" t="e">
        <f aca="false">W297/'Dataset experimental'!$AF297</f>
        <v>#REF!</v>
      </c>
      <c r="AJ297" s="4" t="e">
        <f aca="false">'Modelos Propostos'!B297+H297</f>
        <v>#REF!</v>
      </c>
      <c r="AK297" s="4" t="e">
        <f aca="false">AJ297/'Dataset experimental'!$AF297</f>
        <v>#REF!</v>
      </c>
      <c r="AV297" s="4" t="e">
        <f aca="false">'Modelos normativos'!S297+F297</f>
        <v>#REF!</v>
      </c>
      <c r="AW297" s="4" t="e">
        <f aca="false">AV297/'Dataset experimental'!$AF297</f>
        <v>#REF!</v>
      </c>
      <c r="BH297" s="4" t="e">
        <f aca="false">'Modelos Propostos'!B297+R297</f>
        <v>#REF!</v>
      </c>
      <c r="BI297" s="4" t="e">
        <f aca="false">BH297/'Dataset experimental'!$AF297</f>
        <v>#REF!</v>
      </c>
      <c r="BT297" s="4" t="n">
        <f aca="false">'Modelos Propostos'!B297+L297</f>
        <v>0.30632532438684</v>
      </c>
      <c r="BU297" s="4" t="n">
        <f aca="false">BT297/'Dataset experimental'!$AF297</f>
        <v>1.392387838122</v>
      </c>
    </row>
    <row r="298" customFormat="false" ht="14.25" hidden="false" customHeight="false" outlineLevel="0" collapsed="false">
      <c r="A298" s="4" t="e">
        <f aca="false">0.0894*ABS(D298)-0.01603*E298</f>
        <v>#REF!</v>
      </c>
      <c r="B298" s="12" t="e">
        <f aca="false">'Dataset experimental'!K298*COS('Dataset experimental'!AC298)-'Dataset experimental'!M298-'Dataset experimental'!C298</f>
        <v>#REF!</v>
      </c>
      <c r="C298" s="12" t="e">
        <f aca="false">('Dataset experimental'!AE298+SIN('Avaliação do resultado ML'!B298))*0.70674187</f>
        <v>#REF!</v>
      </c>
      <c r="D298" s="12" t="e">
        <f aca="false">'Modelos Propostos'!E298+'Avaliação do resultado ML'!C298-'Modelos normativos'!AQ298</f>
        <v>#REF!</v>
      </c>
      <c r="E298" s="12" t="n">
        <f aca="false">'Modelos empíricos'!I298+1.1854</f>
        <v>1.20578659503171</v>
      </c>
      <c r="F298" s="4" t="e">
        <f aca="false">-0.01753*('Modelos normativos'!AN298-'Dataset experimental'!C298-ABS(G298)-('Modelos Propostos'!E298-'Modelos normativos'!AP298)/0.25291)</f>
        <v>#REF!</v>
      </c>
      <c r="G298" s="4" t="e">
        <f aca="false">'Dataset experimental'!K298+'Modelos empíricos'!K298^2+('Modelos Propostos'!E298-'Modelos normativos'!AQ298)*4.10553</f>
        <v>#REF!</v>
      </c>
      <c r="H298" s="4" t="e">
        <f aca="false">0.03283*(J298+K298)</f>
        <v>#REF!</v>
      </c>
      <c r="I298" s="4" t="e">
        <f aca="false">(1.61428/'Dataset experimental'!Q298)^3</f>
        <v>#REF!</v>
      </c>
      <c r="J298" s="4" t="e">
        <f aca="false">SIN('Dataset experimental'!E298)+1.450178*(SIN('Avaliação do resultado ML'!I298)+'Dataset experimental'!C298)</f>
        <v>#REF!</v>
      </c>
      <c r="K298" s="4" t="e">
        <f aca="false">('Modelos empíricos'!C298-'Dataset experimental'!G298)*'Dataset experimental'!AE298-'Modelos normativos'!AP298</f>
        <v>#REF!</v>
      </c>
      <c r="L298" s="4" t="n">
        <f aca="false">0.0076*'Dataset experimental'!B298+'Avaliação do resultado ML'!M298+'Avaliação do resultado ML'!N298+(-0.0328)*(0.0171*'Dataset experimental'!AD298-0.9442)*'Avaliação do resultado ML'!O298-'Avaliação do resultado ML'!P298-0.0364</f>
        <v>0.0549280024403476</v>
      </c>
      <c r="M298" s="12" t="n">
        <f aca="false">0.03283*SIN(0.7328*'Dataset experimental'!D298-1.8266)</f>
        <v>-0.0115958827834406</v>
      </c>
      <c r="N298" s="12" t="n">
        <f aca="false">0.0476*SIN(4.2067/(0.0095*'Dataset experimental'!P298-1.9338)^3)</f>
        <v>0.0413506050702141</v>
      </c>
      <c r="O298" s="12" t="n">
        <f aca="false">0.0214*'Dataset experimental'!F298-3.1067*'Dataset experimental'!B298*'Dataset experimental'!P298*('Dataset experimental'!T298-'Dataset experimental'!R298)*(0.39*'Dataset experimental'!P298*'Dataset experimental'!T298/'Dataset experimental'!V298-'Dataset experimental'!Z298+3.12)/(100000*'Dataset experimental'!V298)+0.7995</f>
        <v>0.512323517896219</v>
      </c>
      <c r="P298" s="12" t="n">
        <f aca="false">0.4461*('Dataset experimental'!Z298-0.6*'Modelos normativos'!AB298)*(3.4*'Dataset experimental'!L298+0.17*'Dataset experimental'!B298/'Modelos normativos'!AC298)/200000</f>
        <v>0.103990840215735</v>
      </c>
      <c r="Q298" s="4" t="e">
        <f aca="false">L298/H298</f>
        <v>#REF!</v>
      </c>
      <c r="R298" s="4" t="e">
        <f aca="false">(-0.042-0.014*'Com TS variável MC2020'!Q307)*('Modelos normativos'!AP298-ABS('Modelos Propostos'!K298)-'Dataset experimental'!W298+COS(S298))</f>
        <v>#REF!</v>
      </c>
      <c r="S298" s="4" t="e">
        <f aca="false">'Dataset experimental'!O298-('Modelos normativos'!AQ298-SIN(0.083/('Dataset experimental'!M298-'Dataset experimental'!O298))-'Modelos empíricos'!I298)/0.646</f>
        <v>#REF!</v>
      </c>
      <c r="W298" s="4" t="e">
        <f aca="false">'Modelos normativos'!S298+'Avaliação do resultado ML'!A298</f>
        <v>#REF!</v>
      </c>
      <c r="X298" s="4" t="e">
        <f aca="false">W298/'Dataset experimental'!$AF298</f>
        <v>#REF!</v>
      </c>
      <c r="AJ298" s="4" t="e">
        <f aca="false">'Modelos Propostos'!B298+H298</f>
        <v>#REF!</v>
      </c>
      <c r="AK298" s="4" t="e">
        <f aca="false">AJ298/'Dataset experimental'!$AF298</f>
        <v>#REF!</v>
      </c>
      <c r="AV298" s="4" t="e">
        <f aca="false">'Modelos normativos'!S298+F298</f>
        <v>#REF!</v>
      </c>
      <c r="AW298" s="4" t="e">
        <f aca="false">AV298/'Dataset experimental'!$AF298</f>
        <v>#REF!</v>
      </c>
      <c r="BH298" s="4" t="e">
        <f aca="false">'Modelos Propostos'!B298+R298</f>
        <v>#REF!</v>
      </c>
      <c r="BI298" s="4" t="e">
        <f aca="false">BH298/'Dataset experimental'!$AF298</f>
        <v>#REF!</v>
      </c>
      <c r="BT298" s="4" t="n">
        <f aca="false">'Modelos Propostos'!B298+L298</f>
        <v>0.317660643814384</v>
      </c>
      <c r="BU298" s="4" t="n">
        <f aca="false">BT298/'Dataset experimental'!$AF298</f>
        <v>1.17652090301624</v>
      </c>
    </row>
    <row r="299" customFormat="false" ht="14.25" hidden="false" customHeight="false" outlineLevel="0" collapsed="false">
      <c r="A299" s="4" t="e">
        <f aca="false">0.0894*ABS(D299)-0.01603*E299</f>
        <v>#REF!</v>
      </c>
      <c r="B299" s="12" t="e">
        <f aca="false">'Dataset experimental'!K299*COS('Dataset experimental'!AC299)-'Dataset experimental'!M299-'Dataset experimental'!C299</f>
        <v>#REF!</v>
      </c>
      <c r="C299" s="12" t="e">
        <f aca="false">('Dataset experimental'!AE299+SIN('Avaliação do resultado ML'!B299))*0.70674187</f>
        <v>#REF!</v>
      </c>
      <c r="D299" s="12" t="e">
        <f aca="false">'Modelos Propostos'!E299+'Avaliação do resultado ML'!C299-'Modelos normativos'!AQ299</f>
        <v>#REF!</v>
      </c>
      <c r="E299" s="12" t="n">
        <f aca="false">'Modelos empíricos'!I299+1.1854</f>
        <v>0.993518370564263</v>
      </c>
      <c r="F299" s="4" t="e">
        <f aca="false">-0.01753*('Modelos normativos'!AN299-'Dataset experimental'!C299-ABS(G299)-('Modelos Propostos'!E299-'Modelos normativos'!AP299)/0.25291)</f>
        <v>#REF!</v>
      </c>
      <c r="G299" s="4" t="e">
        <f aca="false">'Dataset experimental'!K299+'Modelos empíricos'!K299^2+('Modelos Propostos'!E299-'Modelos normativos'!AQ299)*4.10553</f>
        <v>#REF!</v>
      </c>
      <c r="H299" s="4" t="e">
        <f aca="false">0.03283*(J299+K299)</f>
        <v>#REF!</v>
      </c>
      <c r="I299" s="4" t="e">
        <f aca="false">(1.61428/'Dataset experimental'!Q299)^3</f>
        <v>#REF!</v>
      </c>
      <c r="J299" s="4" t="e">
        <f aca="false">SIN('Dataset experimental'!E299)+1.450178*(SIN('Avaliação do resultado ML'!I299)+'Dataset experimental'!C299)</f>
        <v>#REF!</v>
      </c>
      <c r="K299" s="4" t="e">
        <f aca="false">('Modelos empíricos'!C299-'Dataset experimental'!G299)*'Dataset experimental'!AE299-'Modelos normativos'!AP299</f>
        <v>#REF!</v>
      </c>
      <c r="L299" s="4" t="n">
        <f aca="false">0.0076*'Dataset experimental'!B299+'Avaliação do resultado ML'!M299+'Avaliação do resultado ML'!N299+(-0.0328)*(0.0171*'Dataset experimental'!AD299-0.9442)*'Avaliação do resultado ML'!O299-'Avaliação do resultado ML'!P299-0.0364</f>
        <v>0.0660306498077868</v>
      </c>
      <c r="M299" s="12" t="n">
        <f aca="false">0.03283*SIN(0.7328*'Dataset experimental'!D299-1.8266)</f>
        <v>-0.0115958827834406</v>
      </c>
      <c r="N299" s="12" t="n">
        <f aca="false">0.0476*SIN(4.2067/(0.0095*'Dataset experimental'!P299-1.9338)^3)</f>
        <v>0.0413506050702141</v>
      </c>
      <c r="O299" s="12" t="n">
        <f aca="false">0.0214*'Dataset experimental'!F299-3.1067*'Dataset experimental'!B299*'Dataset experimental'!P299*('Dataset experimental'!T299-'Dataset experimental'!R299)*(0.39*'Dataset experimental'!P299*'Dataset experimental'!T299/'Dataset experimental'!V299-'Dataset experimental'!Z299+3.12)/(100000*'Dataset experimental'!V299)+0.7995</f>
        <v>0.620126311213423</v>
      </c>
      <c r="P299" s="12" t="n">
        <f aca="false">0.4461*('Dataset experimental'!Z299-0.6*'Modelos normativos'!AB299)*(3.4*'Dataset experimental'!L299+0.17*'Dataset experimental'!B299/'Modelos normativos'!AC299)/200000</f>
        <v>0.0948129672207123</v>
      </c>
      <c r="Q299" s="4" t="e">
        <f aca="false">L299/H299</f>
        <v>#REF!</v>
      </c>
      <c r="R299" s="4" t="e">
        <f aca="false">(-0.042-0.014*'Com TS variável MC2020'!Q308)*('Modelos normativos'!AP299-ABS('Modelos Propostos'!K299)-'Dataset experimental'!W299+COS(S299))</f>
        <v>#REF!</v>
      </c>
      <c r="S299" s="4" t="e">
        <f aca="false">'Dataset experimental'!O299-('Modelos normativos'!AQ299-SIN(0.083/('Dataset experimental'!M299-'Dataset experimental'!O299))-'Modelos empíricos'!I299)/0.646</f>
        <v>#REF!</v>
      </c>
      <c r="W299" s="4" t="e">
        <f aca="false">'Modelos normativos'!S299+'Avaliação do resultado ML'!A299</f>
        <v>#REF!</v>
      </c>
      <c r="X299" s="4" t="e">
        <f aca="false">W299/'Dataset experimental'!$AF299</f>
        <v>#REF!</v>
      </c>
      <c r="AJ299" s="4" t="e">
        <f aca="false">'Modelos Propostos'!B299+H299</f>
        <v>#REF!</v>
      </c>
      <c r="AK299" s="4" t="e">
        <f aca="false">AJ299/'Dataset experimental'!$AF299</f>
        <v>#REF!</v>
      </c>
      <c r="AV299" s="4" t="e">
        <f aca="false">'Modelos normativos'!S299+F299</f>
        <v>#REF!</v>
      </c>
      <c r="AW299" s="4" t="e">
        <f aca="false">AV299/'Dataset experimental'!$AF299</f>
        <v>#REF!</v>
      </c>
      <c r="BH299" s="4" t="e">
        <f aca="false">'Modelos Propostos'!B299+R299</f>
        <v>#REF!</v>
      </c>
      <c r="BI299" s="4" t="e">
        <f aca="false">BH299/'Dataset experimental'!$AF299</f>
        <v>#REF!</v>
      </c>
      <c r="BT299" s="4" t="n">
        <f aca="false">'Modelos Propostos'!B299+L299</f>
        <v>0.29854012251435</v>
      </c>
      <c r="BU299" s="4" t="n">
        <f aca="false">BT299/'Dataset experimental'!$AF299</f>
        <v>1.75611836773147</v>
      </c>
    </row>
    <row r="300" customFormat="false" ht="14.25" hidden="false" customHeight="false" outlineLevel="0" collapsed="false">
      <c r="A300" s="4" t="e">
        <f aca="false">0.0894*ABS(D300)-0.01603*E300</f>
        <v>#REF!</v>
      </c>
      <c r="B300" s="12" t="e">
        <f aca="false">'Dataset experimental'!K300*COS('Dataset experimental'!AC300)-'Dataset experimental'!M300-'Dataset experimental'!C300</f>
        <v>#REF!</v>
      </c>
      <c r="C300" s="12" t="e">
        <f aca="false">('Dataset experimental'!AE300+SIN('Avaliação do resultado ML'!B300))*0.70674187</f>
        <v>#REF!</v>
      </c>
      <c r="D300" s="12" t="e">
        <f aca="false">'Modelos Propostos'!E300+'Avaliação do resultado ML'!C300-'Modelos normativos'!AQ300</f>
        <v>#REF!</v>
      </c>
      <c r="E300" s="12" t="n">
        <f aca="false">'Modelos empíricos'!I300+1.1854</f>
        <v>1.20301644942199</v>
      </c>
      <c r="F300" s="4" t="e">
        <f aca="false">-0.01753*('Modelos normativos'!AN300-'Dataset experimental'!C300-ABS(G300)-('Modelos Propostos'!E300-'Modelos normativos'!AP300)/0.25291)</f>
        <v>#REF!</v>
      </c>
      <c r="G300" s="4" t="e">
        <f aca="false">'Dataset experimental'!K300+'Modelos empíricos'!K300^2+('Modelos Propostos'!E300-'Modelos normativos'!AQ300)*4.10553</f>
        <v>#REF!</v>
      </c>
      <c r="H300" s="4" t="e">
        <f aca="false">0.03283*(J300+K300)</f>
        <v>#REF!</v>
      </c>
      <c r="I300" s="4" t="e">
        <f aca="false">(1.61428/'Dataset experimental'!Q300)^3</f>
        <v>#REF!</v>
      </c>
      <c r="J300" s="4" t="e">
        <f aca="false">SIN('Dataset experimental'!E300)+1.450178*(SIN('Avaliação do resultado ML'!I300)+'Dataset experimental'!C300)</f>
        <v>#REF!</v>
      </c>
      <c r="K300" s="4" t="e">
        <f aca="false">('Modelos empíricos'!C300-'Dataset experimental'!G300)*'Dataset experimental'!AE300-'Modelos normativos'!AP300</f>
        <v>#REF!</v>
      </c>
      <c r="L300" s="4" t="n">
        <f aca="false">0.0076*'Dataset experimental'!B300+'Avaliação do resultado ML'!M300+'Avaliação do resultado ML'!N300+(-0.0328)*(0.0171*'Dataset experimental'!AD300-0.9442)*'Avaliação do resultado ML'!O300-'Avaliação do resultado ML'!P300-0.0364</f>
        <v>0.057102257981465</v>
      </c>
      <c r="M300" s="12" t="n">
        <f aca="false">0.03283*SIN(0.7328*'Dataset experimental'!D300-1.8266)</f>
        <v>-0.0115958827834406</v>
      </c>
      <c r="N300" s="12" t="n">
        <f aca="false">0.0476*SIN(4.2067/(0.0095*'Dataset experimental'!P300-1.9338)^3)</f>
        <v>0.0413506050702141</v>
      </c>
      <c r="O300" s="12" t="n">
        <f aca="false">0.0214*'Dataset experimental'!F300-3.1067*'Dataset experimental'!B300*'Dataset experimental'!P300*('Dataset experimental'!T300-'Dataset experimental'!R300)*(0.39*'Dataset experimental'!P300*'Dataset experimental'!T300/'Dataset experimental'!V300-'Dataset experimental'!Z300+3.12)/(100000*'Dataset experimental'!V300)+0.7995</f>
        <v>0.512323517896219</v>
      </c>
      <c r="P300" s="12" t="n">
        <f aca="false">0.4461*('Dataset experimental'!Z300-0.6*'Modelos normativos'!AB300)*(3.4*'Dataset experimental'!L300+0.17*'Dataset experimental'!B300/'Modelos normativos'!AC300)/200000</f>
        <v>0.101816584674618</v>
      </c>
      <c r="Q300" s="4" t="e">
        <f aca="false">L300/H300</f>
        <v>#REF!</v>
      </c>
      <c r="R300" s="4" t="e">
        <f aca="false">(-0.042-0.014*'Com TS variável MC2020'!Q309)*('Modelos normativos'!AP300-ABS('Modelos Propostos'!K300)-'Dataset experimental'!W300+COS(S300))</f>
        <v>#REF!</v>
      </c>
      <c r="S300" s="4" t="e">
        <f aca="false">'Dataset experimental'!O300-('Modelos normativos'!AQ300-SIN(0.083/('Dataset experimental'!M300-'Dataset experimental'!O300))-'Modelos empíricos'!I300)/0.646</f>
        <v>#REF!</v>
      </c>
      <c r="W300" s="4" t="e">
        <f aca="false">'Modelos normativos'!S300+'Avaliação do resultado ML'!A300</f>
        <v>#REF!</v>
      </c>
      <c r="X300" s="4" t="e">
        <f aca="false">W300/'Dataset experimental'!$AF300</f>
        <v>#REF!</v>
      </c>
      <c r="AJ300" s="4" t="e">
        <f aca="false">'Modelos Propostos'!B300+H300</f>
        <v>#REF!</v>
      </c>
      <c r="AK300" s="4" t="e">
        <f aca="false">AJ300/'Dataset experimental'!$AF300</f>
        <v>#REF!</v>
      </c>
      <c r="AV300" s="4" t="e">
        <f aca="false">'Modelos normativos'!S300+F300</f>
        <v>#REF!</v>
      </c>
      <c r="AW300" s="4" t="e">
        <f aca="false">AV300/'Dataset experimental'!$AF300</f>
        <v>#REF!</v>
      </c>
      <c r="BH300" s="4" t="e">
        <f aca="false">'Modelos Propostos'!B300+R300</f>
        <v>#REF!</v>
      </c>
      <c r="BI300" s="4" t="e">
        <f aca="false">BH300/'Dataset experimental'!$AF300</f>
        <v>#REF!</v>
      </c>
      <c r="BT300" s="4" t="n">
        <f aca="false">'Modelos Propostos'!B300+L300</f>
        <v>0.311589148252284</v>
      </c>
      <c r="BU300" s="4" t="n">
        <f aca="false">BT300/'Dataset experimental'!$AF300</f>
        <v>1.55794574126142</v>
      </c>
    </row>
    <row r="301" customFormat="false" ht="14.25" hidden="false" customHeight="false" outlineLevel="0" collapsed="false">
      <c r="A301" s="4" t="e">
        <f aca="false">0.0894*ABS(D301)-0.01603*E301</f>
        <v>#REF!</v>
      </c>
      <c r="B301" s="12" t="e">
        <f aca="false">'Dataset experimental'!K301*COS('Dataset experimental'!AC301)-'Dataset experimental'!M301-'Dataset experimental'!C301</f>
        <v>#REF!</v>
      </c>
      <c r="C301" s="12" t="e">
        <f aca="false">('Dataset experimental'!AE301+SIN('Avaliação do resultado ML'!B301))*0.70674187</f>
        <v>#REF!</v>
      </c>
      <c r="D301" s="12" t="e">
        <f aca="false">'Modelos Propostos'!E301+'Avaliação do resultado ML'!C301-'Modelos normativos'!AQ301</f>
        <v>#REF!</v>
      </c>
      <c r="E301" s="12" t="n">
        <f aca="false">'Modelos empíricos'!I301+1.1854</f>
        <v>0.145921606715212</v>
      </c>
      <c r="F301" s="4" t="e">
        <f aca="false">-0.01753*('Modelos normativos'!AN301-'Dataset experimental'!C301-ABS(G301)-('Modelos Propostos'!E301-'Modelos normativos'!AP301)/0.25291)</f>
        <v>#REF!</v>
      </c>
      <c r="G301" s="4" t="e">
        <f aca="false">'Dataset experimental'!K301+'Modelos empíricos'!K301^2+('Modelos Propostos'!E301-'Modelos normativos'!AQ301)*4.10553</f>
        <v>#REF!</v>
      </c>
      <c r="H301" s="4" t="e">
        <f aca="false">0.03283*(J301+K301)</f>
        <v>#REF!</v>
      </c>
      <c r="I301" s="4" t="e">
        <f aca="false">(1.61428/'Dataset experimental'!Q301)^3</f>
        <v>#REF!</v>
      </c>
      <c r="J301" s="4" t="e">
        <f aca="false">SIN('Dataset experimental'!E301)+1.450178*(SIN('Avaliação do resultado ML'!I301)+'Dataset experimental'!C301)</f>
        <v>#REF!</v>
      </c>
      <c r="K301" s="4" t="e">
        <f aca="false">('Modelos empíricos'!C301-'Dataset experimental'!G301)*'Dataset experimental'!AE301-'Modelos normativos'!AP301</f>
        <v>#REF!</v>
      </c>
      <c r="L301" s="4" t="n">
        <f aca="false">0.0076*'Dataset experimental'!B301+'Avaliação do resultado ML'!M301+'Avaliação do resultado ML'!N301+(-0.0328)*(0.0171*'Dataset experimental'!AD301-0.9442)*'Avaliação do resultado ML'!O301-'Avaliação do resultado ML'!P301-0.0364</f>
        <v>0.102126096640101</v>
      </c>
      <c r="M301" s="12" t="n">
        <f aca="false">0.03283*SIN(0.7328*'Dataset experimental'!D301-1.8266)</f>
        <v>-0.0115958827834406</v>
      </c>
      <c r="N301" s="12" t="n">
        <f aca="false">0.0476*SIN(4.2067/(0.0095*'Dataset experimental'!P301-1.9338)^3)</f>
        <v>0.0413506050702141</v>
      </c>
      <c r="O301" s="12" t="n">
        <f aca="false">0.0214*'Dataset experimental'!F301-3.1067*'Dataset experimental'!B301*'Dataset experimental'!P301*('Dataset experimental'!T301-'Dataset experimental'!R301)*(0.39*'Dataset experimental'!P301*'Dataset experimental'!T301/'Dataset experimental'!V301-'Dataset experimental'!Z301+3.12)/(100000*'Dataset experimental'!V301)+0.7995</f>
        <v>1.0563304910996</v>
      </c>
      <c r="P301" s="12" t="n">
        <f aca="false">0.4461*('Dataset experimental'!Z301-0.6*'Modelos normativos'!AB301)*(3.4*'Dataset experimental'!L301+0.17*'Dataset experimental'!B301/'Modelos normativos'!AC301)/200000</f>
        <v>0.0666305987050488</v>
      </c>
      <c r="Q301" s="4" t="e">
        <f aca="false">L301/H301</f>
        <v>#REF!</v>
      </c>
      <c r="R301" s="4" t="e">
        <f aca="false">(-0.042-0.014*'Com TS variável MC2020'!Q310)*('Modelos normativos'!AP301-ABS('Modelos Propostos'!K301)-'Dataset experimental'!W301+COS(S301))</f>
        <v>#REF!</v>
      </c>
      <c r="S301" s="4" t="e">
        <f aca="false">'Dataset experimental'!O301-('Modelos normativos'!AQ301-SIN(0.083/('Dataset experimental'!M301-'Dataset experimental'!O301))-'Modelos empíricos'!I301)/0.646</f>
        <v>#REF!</v>
      </c>
      <c r="W301" s="4" t="e">
        <f aca="false">'Modelos normativos'!S301+'Avaliação do resultado ML'!A301</f>
        <v>#REF!</v>
      </c>
      <c r="X301" s="4" t="e">
        <f aca="false">W301/'Dataset experimental'!$AF301</f>
        <v>#REF!</v>
      </c>
      <c r="AJ301" s="4" t="e">
        <f aca="false">'Modelos Propostos'!B301+H301</f>
        <v>#REF!</v>
      </c>
      <c r="AK301" s="4" t="e">
        <f aca="false">AJ301/'Dataset experimental'!$AF301</f>
        <v>#REF!</v>
      </c>
      <c r="AV301" s="4" t="e">
        <f aca="false">'Modelos normativos'!S301+F301</f>
        <v>#REF!</v>
      </c>
      <c r="AW301" s="4" t="e">
        <f aca="false">AV301/'Dataset experimental'!$AF301</f>
        <v>#REF!</v>
      </c>
      <c r="BH301" s="4" t="e">
        <f aca="false">'Modelos Propostos'!B301+R301</f>
        <v>#REF!</v>
      </c>
      <c r="BI301" s="4" t="e">
        <f aca="false">BH301/'Dataset experimental'!$AF301</f>
        <v>#REF!</v>
      </c>
      <c r="BT301" s="4" t="n">
        <f aca="false">'Modelos Propostos'!B301+L301</f>
        <v>0.246431338229595</v>
      </c>
      <c r="BU301" s="4" t="n">
        <f aca="false">BT301/'Dataset experimental'!$AF301</f>
        <v>1.6428755881973</v>
      </c>
    </row>
    <row r="302" customFormat="false" ht="14.25" hidden="false" customHeight="false" outlineLevel="0" collapsed="false">
      <c r="A302" s="4" t="e">
        <f aca="false">0.0894*ABS(D302)-0.01603*E302</f>
        <v>#REF!</v>
      </c>
      <c r="B302" s="12" t="e">
        <f aca="false">'Dataset experimental'!K302*COS('Dataset experimental'!AC302)-'Dataset experimental'!M302-'Dataset experimental'!C302</f>
        <v>#REF!</v>
      </c>
      <c r="C302" s="12" t="e">
        <f aca="false">('Dataset experimental'!AE302+SIN('Avaliação do resultado ML'!B302))*0.70674187</f>
        <v>#REF!</v>
      </c>
      <c r="D302" s="12" t="e">
        <f aca="false">'Modelos Propostos'!E302+'Avaliação do resultado ML'!C302-'Modelos normativos'!AQ302</f>
        <v>#REF!</v>
      </c>
      <c r="E302" s="12" t="n">
        <f aca="false">'Modelos empíricos'!I302+1.1854</f>
        <v>0.556524800307627</v>
      </c>
      <c r="F302" s="4" t="e">
        <f aca="false">-0.01753*('Modelos normativos'!AN302-'Dataset experimental'!C302-ABS(G302)-('Modelos Propostos'!E302-'Modelos normativos'!AP302)/0.25291)</f>
        <v>#REF!</v>
      </c>
      <c r="G302" s="4" t="e">
        <f aca="false">'Dataset experimental'!K302+'Modelos empíricos'!K302^2+('Modelos Propostos'!E302-'Modelos normativos'!AQ302)*4.10553</f>
        <v>#REF!</v>
      </c>
      <c r="H302" s="4" t="e">
        <f aca="false">0.03283*(J302+K302)</f>
        <v>#REF!</v>
      </c>
      <c r="I302" s="4" t="e">
        <f aca="false">(1.61428/'Dataset experimental'!Q302)^3</f>
        <v>#REF!</v>
      </c>
      <c r="J302" s="4" t="e">
        <f aca="false">SIN('Dataset experimental'!E302)+1.450178*(SIN('Avaliação do resultado ML'!I302)+'Dataset experimental'!C302)</f>
        <v>#REF!</v>
      </c>
      <c r="K302" s="4" t="e">
        <f aca="false">('Modelos empíricos'!C302-'Dataset experimental'!G302)*'Dataset experimental'!AE302-'Modelos normativos'!AP302</f>
        <v>#REF!</v>
      </c>
      <c r="L302" s="4" t="n">
        <f aca="false">0.0076*'Dataset experimental'!B302+'Avaliação do resultado ML'!M302+'Avaliação do resultado ML'!N302+(-0.0328)*(0.0171*'Dataset experimental'!AD302-0.9442)*'Avaliação do resultado ML'!O302-'Avaliação do resultado ML'!P302-0.0364</f>
        <v>0.0836703260826806</v>
      </c>
      <c r="M302" s="12" t="n">
        <f aca="false">0.03283*SIN(0.7328*'Dataset experimental'!D302-1.8266)</f>
        <v>-0.0115958827834406</v>
      </c>
      <c r="N302" s="12" t="n">
        <f aca="false">0.0476*SIN(4.2067/(0.0095*'Dataset experimental'!P302-1.9338)^3)</f>
        <v>0.0413506050702141</v>
      </c>
      <c r="O302" s="12" t="n">
        <f aca="false">0.0214*'Dataset experimental'!F302-3.1067*'Dataset experimental'!B302*'Dataset experimental'!P302*('Dataset experimental'!T302-'Dataset experimental'!R302)*(0.39*'Dataset experimental'!P302*'Dataset experimental'!T302/'Dataset experimental'!V302-'Dataset experimental'!Z302+3.12)/(100000*'Dataset experimental'!V302)+0.7995</f>
        <v>0.845054161303134</v>
      </c>
      <c r="P302" s="12" t="n">
        <f aca="false">0.4461*('Dataset experimental'!Z302-0.6*'Modelos normativos'!AB302)*(3.4*'Dataset experimental'!L302+0.17*'Dataset experimental'!B302/'Modelos normativos'!AC302)/200000</f>
        <v>0.0803521326734303</v>
      </c>
      <c r="Q302" s="4" t="e">
        <f aca="false">L302/H302</f>
        <v>#REF!</v>
      </c>
      <c r="R302" s="4" t="e">
        <f aca="false">(-0.042-0.014*'Com TS variável MC2020'!Q311)*('Modelos normativos'!AP302-ABS('Modelos Propostos'!K302)-'Dataset experimental'!W302+COS(S302))</f>
        <v>#REF!</v>
      </c>
      <c r="S302" s="4" t="e">
        <f aca="false">'Dataset experimental'!O302-('Modelos normativos'!AQ302-SIN(0.083/('Dataset experimental'!M302-'Dataset experimental'!O302))-'Modelos empíricos'!I302)/0.646</f>
        <v>#REF!</v>
      </c>
      <c r="W302" s="4" t="e">
        <f aca="false">'Modelos normativos'!S302+'Avaliação do resultado ML'!A302</f>
        <v>#REF!</v>
      </c>
      <c r="X302" s="4" t="e">
        <f aca="false">W302/'Dataset experimental'!$AF302</f>
        <v>#REF!</v>
      </c>
      <c r="AJ302" s="4" t="e">
        <f aca="false">'Modelos Propostos'!B302+H302</f>
        <v>#REF!</v>
      </c>
      <c r="AK302" s="4" t="e">
        <f aca="false">AJ302/'Dataset experimental'!$AF302</f>
        <v>#REF!</v>
      </c>
      <c r="AV302" s="4" t="e">
        <f aca="false">'Modelos normativos'!S302+F302</f>
        <v>#REF!</v>
      </c>
      <c r="AW302" s="4" t="e">
        <f aca="false">AV302/'Dataset experimental'!$AF302</f>
        <v>#REF!</v>
      </c>
      <c r="BH302" s="4" t="e">
        <f aca="false">'Modelos Propostos'!B302+R302</f>
        <v>#REF!</v>
      </c>
      <c r="BI302" s="4" t="e">
        <f aca="false">BH302/'Dataset experimental'!$AF302</f>
        <v>#REF!</v>
      </c>
      <c r="BT302" s="4" t="n">
        <f aca="false">'Modelos Propostos'!B302+L302</f>
        <v>0.270972423018841</v>
      </c>
      <c r="BU302" s="4" t="n">
        <f aca="false">BT302/'Dataset experimental'!$AF302</f>
        <v>1.50540235010467</v>
      </c>
    </row>
    <row r="303" customFormat="false" ht="14.25" hidden="false" customHeight="false" outlineLevel="0" collapsed="false">
      <c r="A303" s="4" t="e">
        <f aca="false">0.0894*ABS(D303)-0.01603*E303</f>
        <v>#REF!</v>
      </c>
      <c r="B303" s="12" t="e">
        <f aca="false">'Dataset experimental'!K303*COS('Dataset experimental'!AC303)-'Dataset experimental'!M303-'Dataset experimental'!C303</f>
        <v>#REF!</v>
      </c>
      <c r="C303" s="12" t="e">
        <f aca="false">('Dataset experimental'!AE303+SIN('Avaliação do resultado ML'!B303))*0.70674187</f>
        <v>#REF!</v>
      </c>
      <c r="D303" s="12" t="e">
        <f aca="false">'Modelos Propostos'!E303+'Avaliação do resultado ML'!C303-'Modelos normativos'!AQ303</f>
        <v>#REF!</v>
      </c>
      <c r="E303" s="12" t="n">
        <f aca="false">'Modelos empíricos'!I303+1.1854</f>
        <v>0.994632514044988</v>
      </c>
      <c r="F303" s="4" t="e">
        <f aca="false">-0.01753*('Modelos normativos'!AN303-'Dataset experimental'!C303-ABS(G303)-('Modelos Propostos'!E303-'Modelos normativos'!AP303)/0.25291)</f>
        <v>#REF!</v>
      </c>
      <c r="G303" s="4" t="e">
        <f aca="false">'Dataset experimental'!K303+'Modelos empíricos'!K303^2+('Modelos Propostos'!E303-'Modelos normativos'!AQ303)*4.10553</f>
        <v>#REF!</v>
      </c>
      <c r="H303" s="4" t="e">
        <f aca="false">0.03283*(J303+K303)</f>
        <v>#REF!</v>
      </c>
      <c r="I303" s="4" t="e">
        <f aca="false">(1.61428/'Dataset experimental'!Q303)^3</f>
        <v>#REF!</v>
      </c>
      <c r="J303" s="4" t="e">
        <f aca="false">SIN('Dataset experimental'!E303)+1.450178*(SIN('Avaliação do resultado ML'!I303)+'Dataset experimental'!C303)</f>
        <v>#REF!</v>
      </c>
      <c r="K303" s="4" t="e">
        <f aca="false">('Modelos empíricos'!C303-'Dataset experimental'!G303)*'Dataset experimental'!AE303-'Modelos normativos'!AP303</f>
        <v>#REF!</v>
      </c>
      <c r="L303" s="4" t="n">
        <f aca="false">0.0076*'Dataset experimental'!B303+'Avaliação do resultado ML'!M303+'Avaliação do resultado ML'!N303+(-0.0328)*(0.0171*'Dataset experimental'!AD303-0.9442)*'Avaliação do resultado ML'!O303-'Avaliação do resultado ML'!P303-0.0364</f>
        <v>0.0658517991032991</v>
      </c>
      <c r="M303" s="12" t="n">
        <f aca="false">0.03283*SIN(0.7328*'Dataset experimental'!D303-1.8266)</f>
        <v>-0.0115958827834406</v>
      </c>
      <c r="N303" s="12" t="n">
        <f aca="false">0.0476*SIN(4.2067/(0.0095*'Dataset experimental'!P303-1.9338)^3)</f>
        <v>0.0413506050702141</v>
      </c>
      <c r="O303" s="12" t="n">
        <f aca="false">0.0214*'Dataset experimental'!F303-3.1067*'Dataset experimental'!B303*'Dataset experimental'!P303*('Dataset experimental'!T303-'Dataset experimental'!R303)*(0.39*'Dataset experimental'!P303*'Dataset experimental'!T303/'Dataset experimental'!V303-'Dataset experimental'!Z303+3.12)/(100000*'Dataset experimental'!V303)+0.7995</f>
        <v>0.619625350084899</v>
      </c>
      <c r="P303" s="12" t="n">
        <f aca="false">0.4461*('Dataset experimental'!Z303-0.6*'Modelos normativos'!AB303)*(3.4*'Dataset experimental'!L303+0.17*'Dataset experimental'!B303/'Modelos normativos'!AC303)/200000</f>
        <v>0.0949928124578757</v>
      </c>
      <c r="Q303" s="4" t="e">
        <f aca="false">L303/H303</f>
        <v>#REF!</v>
      </c>
      <c r="R303" s="4" t="e">
        <f aca="false">(-0.042-0.014*'Com TS variável MC2020'!Q312)*('Modelos normativos'!AP303-ABS('Modelos Propostos'!K303)-'Dataset experimental'!W303+COS(S303))</f>
        <v>#REF!</v>
      </c>
      <c r="S303" s="4" t="e">
        <f aca="false">'Dataset experimental'!O303-('Modelos normativos'!AQ303-SIN(0.083/('Dataset experimental'!M303-'Dataset experimental'!O303))-'Modelos empíricos'!I303)/0.646</f>
        <v>#REF!</v>
      </c>
      <c r="W303" s="4" t="e">
        <f aca="false">'Modelos normativos'!S303+'Avaliação do resultado ML'!A303</f>
        <v>#REF!</v>
      </c>
      <c r="X303" s="4" t="e">
        <f aca="false">W303/'Dataset experimental'!$AF303</f>
        <v>#REF!</v>
      </c>
      <c r="AJ303" s="4" t="e">
        <f aca="false">'Modelos Propostos'!B303+H303</f>
        <v>#REF!</v>
      </c>
      <c r="AK303" s="4" t="e">
        <f aca="false">AJ303/'Dataset experimental'!$AF303</f>
        <v>#REF!</v>
      </c>
      <c r="AV303" s="4" t="e">
        <f aca="false">'Modelos normativos'!S303+F303</f>
        <v>#REF!</v>
      </c>
      <c r="AW303" s="4" t="e">
        <f aca="false">AV303/'Dataset experimental'!$AF303</f>
        <v>#REF!</v>
      </c>
      <c r="BH303" s="4" t="e">
        <f aca="false">'Modelos Propostos'!B303+R303</f>
        <v>#REF!</v>
      </c>
      <c r="BI303" s="4" t="e">
        <f aca="false">BH303/'Dataset experimental'!$AF303</f>
        <v>#REF!</v>
      </c>
      <c r="BT303" s="4" t="n">
        <f aca="false">'Modelos Propostos'!B303+L303</f>
        <v>0.299030923514612</v>
      </c>
      <c r="BU303" s="4" t="n">
        <f aca="false">BT303/'Dataset experimental'!$AF303</f>
        <v>1.35923147052096</v>
      </c>
    </row>
    <row r="304" customFormat="false" ht="14.25" hidden="false" customHeight="false" outlineLevel="0" collapsed="false">
      <c r="A304" s="4" t="e">
        <f aca="false">0.0894*ABS(D304)-0.01603*E304</f>
        <v>#REF!</v>
      </c>
      <c r="B304" s="12" t="e">
        <f aca="false">'Dataset experimental'!K304*COS('Dataset experimental'!AC304)-'Dataset experimental'!M304-'Dataset experimental'!C304</f>
        <v>#REF!</v>
      </c>
      <c r="C304" s="12" t="e">
        <f aca="false">('Dataset experimental'!AE304+SIN('Avaliação do resultado ML'!B304))*0.70674187</f>
        <v>#REF!</v>
      </c>
      <c r="D304" s="12" t="e">
        <f aca="false">'Modelos Propostos'!E304+'Avaliação do resultado ML'!C304-'Modelos normativos'!AQ304</f>
        <v>#REF!</v>
      </c>
      <c r="E304" s="12" t="n">
        <f aca="false">'Modelos empíricos'!I304+1.1854</f>
        <v>1.20316735094524</v>
      </c>
      <c r="F304" s="4" t="e">
        <f aca="false">-0.01753*('Modelos normativos'!AN304-'Dataset experimental'!C304-ABS(G304)-('Modelos Propostos'!E304-'Modelos normativos'!AP304)/0.25291)</f>
        <v>#REF!</v>
      </c>
      <c r="G304" s="4" t="e">
        <f aca="false">'Dataset experimental'!K304+'Modelos empíricos'!K304^2+('Modelos Propostos'!E304-'Modelos normativos'!AQ304)*4.10553</f>
        <v>#REF!</v>
      </c>
      <c r="H304" s="4" t="e">
        <f aca="false">0.03283*(J304+K304)</f>
        <v>#REF!</v>
      </c>
      <c r="I304" s="4" t="e">
        <f aca="false">(1.61428/'Dataset experimental'!Q304)^3</f>
        <v>#REF!</v>
      </c>
      <c r="J304" s="4" t="e">
        <f aca="false">SIN('Dataset experimental'!E304)+1.450178*(SIN('Avaliação do resultado ML'!I304)+'Dataset experimental'!C304)</f>
        <v>#REF!</v>
      </c>
      <c r="K304" s="4" t="e">
        <f aca="false">('Modelos empíricos'!C304-'Dataset experimental'!G304)*'Dataset experimental'!AE304-'Modelos normativos'!AP304</f>
        <v>#REF!</v>
      </c>
      <c r="L304" s="4" t="n">
        <f aca="false">0.0076*'Dataset experimental'!B304+'Avaliação do resultado ML'!M304+'Avaliação do resultado ML'!N304+(-0.0328)*(0.0171*'Dataset experimental'!AD304-0.9442)*'Avaliação do resultado ML'!O304-'Avaliação do resultado ML'!P304-0.0364</f>
        <v>0.0569572148242134</v>
      </c>
      <c r="M304" s="12" t="n">
        <f aca="false">0.03283*SIN(0.7328*'Dataset experimental'!D304-1.8266)</f>
        <v>-0.0115958827834406</v>
      </c>
      <c r="N304" s="12" t="n">
        <f aca="false">0.0476*SIN(4.2067/(0.0095*'Dataset experimental'!P304-1.9338)^3)</f>
        <v>0.0413506050702141</v>
      </c>
      <c r="O304" s="12" t="n">
        <f aca="false">0.0214*'Dataset experimental'!F304-3.1067*'Dataset experimental'!B304*'Dataset experimental'!P304*('Dataset experimental'!T304-'Dataset experimental'!R304)*(0.39*'Dataset experimental'!P304*'Dataset experimental'!T304/'Dataset experimental'!V304-'Dataset experimental'!Z304+3.12)/(100000*'Dataset experimental'!V304)+0.7995</f>
        <v>0.512323517896219</v>
      </c>
      <c r="P304" s="12" t="n">
        <f aca="false">0.4461*('Dataset experimental'!Z304-0.6*'Modelos normativos'!AB304)*(3.4*'Dataset experimental'!L304+0.17*'Dataset experimental'!B304/'Modelos normativos'!AC304)/200000</f>
        <v>0.101961627831869</v>
      </c>
      <c r="Q304" s="4" t="e">
        <f aca="false">L304/H304</f>
        <v>#REF!</v>
      </c>
      <c r="R304" s="4" t="e">
        <f aca="false">(-0.042-0.014*'Com TS variável MC2020'!Q313)*('Modelos normativos'!AP304-ABS('Modelos Propostos'!K304)-'Dataset experimental'!W304+COS(S304))</f>
        <v>#REF!</v>
      </c>
      <c r="S304" s="4" t="e">
        <f aca="false">'Dataset experimental'!O304-('Modelos normativos'!AQ304-SIN(0.083/('Dataset experimental'!M304-'Dataset experimental'!O304))-'Modelos empíricos'!I304)/0.646</f>
        <v>#REF!</v>
      </c>
      <c r="W304" s="4" t="e">
        <f aca="false">'Modelos normativos'!S304+'Avaliação do resultado ML'!A304</f>
        <v>#REF!</v>
      </c>
      <c r="X304" s="4" t="e">
        <f aca="false">W304/'Dataset experimental'!$AF304</f>
        <v>#REF!</v>
      </c>
      <c r="AJ304" s="4" t="e">
        <f aca="false">'Modelos Propostos'!B304+H304</f>
        <v>#REF!</v>
      </c>
      <c r="AK304" s="4" t="e">
        <f aca="false">AJ304/'Dataset experimental'!$AF304</f>
        <v>#REF!</v>
      </c>
      <c r="AV304" s="4" t="e">
        <f aca="false">'Modelos normativos'!S304+F304</f>
        <v>#REF!</v>
      </c>
      <c r="AW304" s="4" t="e">
        <f aca="false">AV304/'Dataset experimental'!$AF304</f>
        <v>#REF!</v>
      </c>
      <c r="BH304" s="4" t="e">
        <f aca="false">'Modelos Propostos'!B304+R304</f>
        <v>#REF!</v>
      </c>
      <c r="BI304" s="4" t="e">
        <f aca="false">BH304/'Dataset experimental'!$AF304</f>
        <v>#REF!</v>
      </c>
      <c r="BT304" s="4" t="n">
        <f aca="false">'Modelos Propostos'!B304+L304</f>
        <v>0.311973339913707</v>
      </c>
      <c r="BU304" s="4" t="n">
        <f aca="false">BT304/'Dataset experimental'!$AF304</f>
        <v>1.24789335965483</v>
      </c>
    </row>
    <row r="305" customFormat="false" ht="14.25" hidden="false" customHeight="false" outlineLevel="0" collapsed="false">
      <c r="A305" s="4" t="e">
        <f aca="false">0.0894*ABS(D305)-0.01603*E305</f>
        <v>#REF!</v>
      </c>
      <c r="B305" s="12" t="e">
        <f aca="false">'Dataset experimental'!K305*COS('Dataset experimental'!AC305)-'Dataset experimental'!M305-'Dataset experimental'!C305</f>
        <v>#REF!</v>
      </c>
      <c r="C305" s="12" t="e">
        <f aca="false">('Dataset experimental'!AE305+SIN('Avaliação do resultado ML'!B305))*0.70674187</f>
        <v>#REF!</v>
      </c>
      <c r="D305" s="12" t="e">
        <f aca="false">'Modelos Propostos'!E305+'Avaliação do resultado ML'!C305-'Modelos normativos'!AQ305</f>
        <v>#REF!</v>
      </c>
      <c r="E305" s="12" t="n">
        <f aca="false">'Modelos empíricos'!I305+1.1854</f>
        <v>0.148025392676082</v>
      </c>
      <c r="F305" s="4" t="e">
        <f aca="false">-0.01753*('Modelos normativos'!AN305-'Dataset experimental'!C305-ABS(G305)-('Modelos Propostos'!E305-'Modelos normativos'!AP305)/0.25291)</f>
        <v>#REF!</v>
      </c>
      <c r="G305" s="4" t="e">
        <f aca="false">'Dataset experimental'!K305+'Modelos empíricos'!K305^2+('Modelos Propostos'!E305-'Modelos normativos'!AQ305)*4.10553</f>
        <v>#REF!</v>
      </c>
      <c r="H305" s="4" t="e">
        <f aca="false">0.03283*(J305+K305)</f>
        <v>#REF!</v>
      </c>
      <c r="I305" s="4" t="e">
        <f aca="false">(1.61428/'Dataset experimental'!Q305)^3</f>
        <v>#REF!</v>
      </c>
      <c r="J305" s="4" t="e">
        <f aca="false">SIN('Dataset experimental'!E305)+1.450178*(SIN('Avaliação do resultado ML'!I305)+'Dataset experimental'!C305)</f>
        <v>#REF!</v>
      </c>
      <c r="K305" s="4" t="e">
        <f aca="false">('Modelos empíricos'!C305-'Dataset experimental'!G305)*'Dataset experimental'!AE305-'Modelos normativos'!AP305</f>
        <v>#REF!</v>
      </c>
      <c r="L305" s="4" t="n">
        <f aca="false">0.0076*'Dataset experimental'!B305+'Avaliação do resultado ML'!M305+'Avaliação do resultado ML'!N305+(-0.0328)*(0.0171*'Dataset experimental'!AD305-0.9442)*'Avaliação do resultado ML'!O305-'Avaliação do resultado ML'!P305-0.0364</f>
        <v>0.101671512915342</v>
      </c>
      <c r="M305" s="12" t="n">
        <f aca="false">0.03283*SIN(0.7328*'Dataset experimental'!D305-1.8266)</f>
        <v>-0.0115958827834406</v>
      </c>
      <c r="N305" s="12" t="n">
        <f aca="false">0.0476*SIN(4.2067/(0.0095*'Dataset experimental'!P305-1.9338)^3)</f>
        <v>0.0413506050702141</v>
      </c>
      <c r="O305" s="12" t="n">
        <f aca="false">0.0214*'Dataset experimental'!F305-3.1067*'Dataset experimental'!B305*'Dataset experimental'!P305*('Dataset experimental'!T305-'Dataset experimental'!R305)*(0.39*'Dataset experimental'!P305*'Dataset experimental'!T305/'Dataset experimental'!V305-'Dataset experimental'!Z305+3.12)/(100000*'Dataset experimental'!V305)+0.7995</f>
        <v>1.05537921235591</v>
      </c>
      <c r="P305" s="12" t="n">
        <f aca="false">0.4461*('Dataset experimental'!Z305-0.6*'Modelos normativos'!AB305)*(3.4*'Dataset experimental'!L305+0.17*'Dataset experimental'!B305/'Modelos normativos'!AC305)/200000</f>
        <v>0.0670791649769465</v>
      </c>
      <c r="Q305" s="4" t="e">
        <f aca="false">L305/H305</f>
        <v>#REF!</v>
      </c>
      <c r="R305" s="4" t="e">
        <f aca="false">(-0.042-0.014*'Com TS variável MC2020'!Q314)*('Modelos normativos'!AP305-ABS('Modelos Propostos'!K305)-'Dataset experimental'!W305+COS(S305))</f>
        <v>#REF!</v>
      </c>
      <c r="S305" s="4" t="e">
        <f aca="false">'Dataset experimental'!O305-('Modelos normativos'!AQ305-SIN(0.083/('Dataset experimental'!M305-'Dataset experimental'!O305))-'Modelos empíricos'!I305)/0.646</f>
        <v>#REF!</v>
      </c>
      <c r="W305" s="4" t="e">
        <f aca="false">'Modelos normativos'!S305+'Avaliação do resultado ML'!A305</f>
        <v>#REF!</v>
      </c>
      <c r="X305" s="4" t="e">
        <f aca="false">W305/'Dataset experimental'!$AF305</f>
        <v>#REF!</v>
      </c>
      <c r="AJ305" s="4" t="e">
        <f aca="false">'Modelos Propostos'!B305+H305</f>
        <v>#REF!</v>
      </c>
      <c r="AK305" s="4" t="e">
        <f aca="false">AJ305/'Dataset experimental'!$AF305</f>
        <v>#REF!</v>
      </c>
      <c r="AV305" s="4" t="e">
        <f aca="false">'Modelos normativos'!S305+F305</f>
        <v>#REF!</v>
      </c>
      <c r="AW305" s="4" t="e">
        <f aca="false">AV305/'Dataset experimental'!$AF305</f>
        <v>#REF!</v>
      </c>
      <c r="BH305" s="4" t="e">
        <f aca="false">'Modelos Propostos'!B305+R305</f>
        <v>#REF!</v>
      </c>
      <c r="BI305" s="4" t="e">
        <f aca="false">BH305/'Dataset experimental'!$AF305</f>
        <v>#REF!</v>
      </c>
      <c r="BT305" s="4" t="n">
        <f aca="false">'Modelos Propostos'!B305+L305</f>
        <v>0.24796800782966</v>
      </c>
      <c r="BU305" s="4" t="n">
        <f aca="false">BT305/'Dataset experimental'!$AF305</f>
        <v>1.2398400391483</v>
      </c>
    </row>
    <row r="306" customFormat="false" ht="14.25" hidden="false" customHeight="false" outlineLevel="0" collapsed="false">
      <c r="A306" s="4" t="e">
        <f aca="false">0.0894*ABS(D306)-0.01603*E306</f>
        <v>#REF!</v>
      </c>
      <c r="B306" s="12" t="e">
        <f aca="false">'Dataset experimental'!K306*COS('Dataset experimental'!AC306)-'Dataset experimental'!M306-'Dataset experimental'!C306</f>
        <v>#REF!</v>
      </c>
      <c r="C306" s="12" t="e">
        <f aca="false">('Dataset experimental'!AE306+SIN('Avaliação do resultado ML'!B306))*0.70674187</f>
        <v>#REF!</v>
      </c>
      <c r="D306" s="12" t="e">
        <f aca="false">'Modelos Propostos'!E306+'Avaliação do resultado ML'!C306-'Modelos normativos'!AQ306</f>
        <v>#REF!</v>
      </c>
      <c r="E306" s="12" t="n">
        <f aca="false">'Modelos empíricos'!I306+1.1854</f>
        <v>0.558982609703031</v>
      </c>
      <c r="F306" s="4" t="e">
        <f aca="false">-0.01753*('Modelos normativos'!AN306-'Dataset experimental'!C306-ABS(G306)-('Modelos Propostos'!E306-'Modelos normativos'!AP306)/0.25291)</f>
        <v>#REF!</v>
      </c>
      <c r="G306" s="4" t="e">
        <f aca="false">'Dataset experimental'!K306+'Modelos empíricos'!K306^2+('Modelos Propostos'!E306-'Modelos normativos'!AQ306)*4.10553</f>
        <v>#REF!</v>
      </c>
      <c r="H306" s="4" t="e">
        <f aca="false">0.03283*(J306+K306)</f>
        <v>#REF!</v>
      </c>
      <c r="I306" s="4" t="e">
        <f aca="false">(1.61428/'Dataset experimental'!Q306)^3</f>
        <v>#REF!</v>
      </c>
      <c r="J306" s="4" t="e">
        <f aca="false">SIN('Dataset experimental'!E306)+1.450178*(SIN('Avaliação do resultado ML'!I306)+'Dataset experimental'!C306)</f>
        <v>#REF!</v>
      </c>
      <c r="K306" s="4" t="e">
        <f aca="false">('Modelos empíricos'!C306-'Dataset experimental'!G306)*'Dataset experimental'!AE306-'Modelos normativos'!AP306</f>
        <v>#REF!</v>
      </c>
      <c r="L306" s="4" t="n">
        <f aca="false">0.0076*'Dataset experimental'!B306+'Avaliação do resultado ML'!M306+'Avaliação do resultado ML'!N306+(-0.0328)*(0.0171*'Dataset experimental'!AD306-0.9442)*'Avaliação do resultado ML'!O306-'Avaliação do resultado ML'!P306-0.0364</f>
        <v>0.0832204068124643</v>
      </c>
      <c r="M306" s="12" t="n">
        <f aca="false">0.03283*SIN(0.7328*'Dataset experimental'!D306-1.8266)</f>
        <v>-0.0115958827834406</v>
      </c>
      <c r="N306" s="12" t="n">
        <f aca="false">0.0476*SIN(4.2067/(0.0095*'Dataset experimental'!P306-1.9338)^3)</f>
        <v>0.0413506050702141</v>
      </c>
      <c r="O306" s="12" t="n">
        <f aca="false">0.0214*'Dataset experimental'!F306-3.1067*'Dataset experimental'!B306*'Dataset experimental'!P306*('Dataset experimental'!T306-'Dataset experimental'!R306)*(0.39*'Dataset experimental'!P306*'Dataset experimental'!T306/'Dataset experimental'!V306-'Dataset experimental'!Z306+3.12)/(100000*'Dataset experimental'!V306)+0.7995</f>
        <v>0.843947677830772</v>
      </c>
      <c r="P306" s="12" t="n">
        <f aca="false">0.4461*('Dataset experimental'!Z306-0.6*'Modelos normativos'!AB306)*(3.4*'Dataset experimental'!L306+0.17*'Dataset experimental'!B306/'Modelos normativos'!AC306)/200000</f>
        <v>0.0807995016476887</v>
      </c>
      <c r="Q306" s="4" t="e">
        <f aca="false">L306/H306</f>
        <v>#REF!</v>
      </c>
      <c r="R306" s="4" t="e">
        <f aca="false">(-0.042-0.014*'Com TS variável MC2020'!Q315)*('Modelos normativos'!AP306-ABS('Modelos Propostos'!K306)-'Dataset experimental'!W306+COS(S306))</f>
        <v>#REF!</v>
      </c>
      <c r="S306" s="4" t="e">
        <f aca="false">'Dataset experimental'!O306-('Modelos normativos'!AQ306-SIN(0.083/('Dataset experimental'!M306-'Dataset experimental'!O306))-'Modelos empíricos'!I306)/0.646</f>
        <v>#REF!</v>
      </c>
      <c r="W306" s="4" t="e">
        <f aca="false">'Modelos normativos'!S306+'Avaliação do resultado ML'!A306</f>
        <v>#REF!</v>
      </c>
      <c r="X306" s="4" t="e">
        <f aca="false">W306/'Dataset experimental'!$AF306</f>
        <v>#REF!</v>
      </c>
      <c r="AJ306" s="4" t="e">
        <f aca="false">'Modelos Propostos'!B306+H306</f>
        <v>#REF!</v>
      </c>
      <c r="AK306" s="4" t="e">
        <f aca="false">AJ306/'Dataset experimental'!$AF306</f>
        <v>#REF!</v>
      </c>
      <c r="AV306" s="4" t="e">
        <f aca="false">'Modelos normativos'!S306+F306</f>
        <v>#REF!</v>
      </c>
      <c r="AW306" s="4" t="e">
        <f aca="false">AV306/'Dataset experimental'!$AF306</f>
        <v>#REF!</v>
      </c>
      <c r="BH306" s="4" t="e">
        <f aca="false">'Modelos Propostos'!B306+R306</f>
        <v>#REF!</v>
      </c>
      <c r="BI306" s="4" t="e">
        <f aca="false">BH306/'Dataset experimental'!$AF306</f>
        <v>#REF!</v>
      </c>
      <c r="BT306" s="4" t="n">
        <f aca="false">'Modelos Propostos'!B306+L306</f>
        <v>0.272358085295584</v>
      </c>
      <c r="BU306" s="4" t="n">
        <f aca="false">BT306/'Dataset experimental'!$AF306</f>
        <v>1.08943234118234</v>
      </c>
    </row>
    <row r="307" customFormat="false" ht="14.25" hidden="false" customHeight="false" outlineLevel="0" collapsed="false">
      <c r="A307" s="4" t="e">
        <f aca="false">0.0894*ABS(D307)-0.01603*E307</f>
        <v>#REF!</v>
      </c>
      <c r="B307" s="12" t="e">
        <f aca="false">'Dataset experimental'!K307*COS('Dataset experimental'!AC307)-'Dataset experimental'!M307-'Dataset experimental'!C307</f>
        <v>#REF!</v>
      </c>
      <c r="C307" s="12" t="e">
        <f aca="false">('Dataset experimental'!AE307+SIN('Avaliação do resultado ML'!B307))*0.70674187</f>
        <v>#REF!</v>
      </c>
      <c r="D307" s="12" t="e">
        <f aca="false">'Modelos Propostos'!E307+'Avaliação do resultado ML'!C307-'Modelos normativos'!AQ307</f>
        <v>#REF!</v>
      </c>
      <c r="E307" s="12" t="n">
        <f aca="false">'Modelos empíricos'!I307+1.1854</f>
        <v>0.997468061363365</v>
      </c>
      <c r="F307" s="4" t="e">
        <f aca="false">-0.01753*('Modelos normativos'!AN307-'Dataset experimental'!C307-ABS(G307)-('Modelos Propostos'!E307-'Modelos normativos'!AP307)/0.25291)</f>
        <v>#REF!</v>
      </c>
      <c r="G307" s="4" t="e">
        <f aca="false">'Dataset experimental'!K307+'Modelos empíricos'!K307^2+('Modelos Propostos'!E307-'Modelos normativos'!AQ307)*4.10553</f>
        <v>#REF!</v>
      </c>
      <c r="H307" s="4" t="e">
        <f aca="false">0.03283*(J307+K307)</f>
        <v>#REF!</v>
      </c>
      <c r="I307" s="4" t="e">
        <f aca="false">(1.61428/'Dataset experimental'!Q307)^3</f>
        <v>#REF!</v>
      </c>
      <c r="J307" s="4" t="e">
        <f aca="false">SIN('Dataset experimental'!E307)+1.450178*(SIN('Avaliação do resultado ML'!I307)+'Dataset experimental'!C307)</f>
        <v>#REF!</v>
      </c>
      <c r="K307" s="4" t="e">
        <f aca="false">('Modelos empíricos'!C307-'Dataset experimental'!G307)*'Dataset experimental'!AE307-'Modelos normativos'!AP307</f>
        <v>#REF!</v>
      </c>
      <c r="L307" s="4" t="n">
        <f aca="false">0.0076*'Dataset experimental'!B307+'Avaliação do resultado ML'!M307+'Avaliação do resultado ML'!N307+(-0.0328)*(0.0171*'Dataset experimental'!AD307-0.9442)*'Avaliação do resultado ML'!O307-'Avaliação do resultado ML'!P307-0.0364</f>
        <v>0.0654082330335388</v>
      </c>
      <c r="M307" s="12" t="n">
        <f aca="false">0.03283*SIN(0.7328*'Dataset experimental'!D307-1.8266)</f>
        <v>-0.0115958827834406</v>
      </c>
      <c r="N307" s="12" t="n">
        <f aca="false">0.0476*SIN(4.2067/(0.0095*'Dataset experimental'!P307-1.9338)^3)</f>
        <v>0.0413506050702141</v>
      </c>
      <c r="O307" s="12" t="n">
        <f aca="false">0.0214*'Dataset experimental'!F307-3.1067*'Dataset experimental'!B307*'Dataset experimental'!P307*('Dataset experimental'!T307-'Dataset experimental'!R307)*(0.39*'Dataset experimental'!P307*'Dataset experimental'!T307/'Dataset experimental'!V307-'Dataset experimental'!Z307+3.12)/(100000*'Dataset experimental'!V307)+0.7995</f>
        <v>0.618353265394861</v>
      </c>
      <c r="P307" s="12" t="n">
        <f aca="false">0.4461*('Dataset experimental'!Z307-0.6*'Modelos normativos'!AB307)*(3.4*'Dataset experimental'!L307+0.17*'Dataset experimental'!B307/'Modelos normativos'!AC307)/200000</f>
        <v>0.095438903932739</v>
      </c>
      <c r="Q307" s="4" t="e">
        <f aca="false">L307/H307</f>
        <v>#REF!</v>
      </c>
      <c r="R307" s="4" t="e">
        <f aca="false">(-0.042-0.014*'Com TS variável MC2020'!Q316)*('Modelos normativos'!AP307-ABS('Modelos Propostos'!K307)-'Dataset experimental'!W307+COS(S307))</f>
        <v>#REF!</v>
      </c>
      <c r="S307" s="4" t="e">
        <f aca="false">'Dataset experimental'!O307-('Modelos normativos'!AQ307-SIN(0.083/('Dataset experimental'!M307-'Dataset experimental'!O307))-'Modelos empíricos'!I307)/0.646</f>
        <v>#REF!</v>
      </c>
      <c r="W307" s="4" t="e">
        <f aca="false">'Modelos normativos'!S307+'Avaliação do resultado ML'!A307</f>
        <v>#REF!</v>
      </c>
      <c r="X307" s="4" t="e">
        <f aca="false">W307/'Dataset experimental'!$AF307</f>
        <v>#REF!</v>
      </c>
      <c r="AJ307" s="4" t="e">
        <f aca="false">'Modelos Propostos'!B307+H307</f>
        <v>#REF!</v>
      </c>
      <c r="AK307" s="4" t="e">
        <f aca="false">AJ307/'Dataset experimental'!$AF307</f>
        <v>#REF!</v>
      </c>
      <c r="AV307" s="4" t="e">
        <f aca="false">'Modelos normativos'!S307+F307</f>
        <v>#REF!</v>
      </c>
      <c r="AW307" s="4" t="e">
        <f aca="false">AV307/'Dataset experimental'!$AF307</f>
        <v>#REF!</v>
      </c>
      <c r="BH307" s="4" t="e">
        <f aca="false">'Modelos Propostos'!B307+R307</f>
        <v>#REF!</v>
      </c>
      <c r="BI307" s="4" t="e">
        <f aca="false">BH307/'Dataset experimental'!$AF307</f>
        <v>#REF!</v>
      </c>
      <c r="BT307" s="4" t="n">
        <f aca="false">'Modelos Propostos'!B307+L307</f>
        <v>0.300256839439352</v>
      </c>
      <c r="BU307" s="4" t="n">
        <f aca="false">BT307/'Dataset experimental'!$AF307</f>
        <v>1.00085613146451</v>
      </c>
    </row>
    <row r="308" customFormat="false" ht="14.25" hidden="false" customHeight="false" outlineLevel="0" collapsed="false">
      <c r="A308" s="4" t="e">
        <f aca="false">0.0894*ABS(D308)-0.01603*E308</f>
        <v>#REF!</v>
      </c>
      <c r="B308" s="12" t="e">
        <f aca="false">'Dataset experimental'!K308*COS('Dataset experimental'!AC308)-'Dataset experimental'!M308-'Dataset experimental'!C308</f>
        <v>#REF!</v>
      </c>
      <c r="C308" s="12" t="e">
        <f aca="false">('Dataset experimental'!AE308+SIN('Avaliação do resultado ML'!B308))*0.70674187</f>
        <v>#REF!</v>
      </c>
      <c r="D308" s="12" t="e">
        <f aca="false">'Modelos Propostos'!E308+'Avaliação do resultado ML'!C308-'Modelos normativos'!AQ308</f>
        <v>#REF!</v>
      </c>
      <c r="E308" s="12" t="n">
        <f aca="false">'Modelos empíricos'!I308+1.1854</f>
        <v>1.20355694991055</v>
      </c>
      <c r="F308" s="4" t="e">
        <f aca="false">-0.01753*('Modelos normativos'!AN308-'Dataset experimental'!C308-ABS(G308)-('Modelos Propostos'!E308-'Modelos normativos'!AP308)/0.25291)</f>
        <v>#REF!</v>
      </c>
      <c r="G308" s="4" t="e">
        <f aca="false">'Dataset experimental'!K308+'Modelos empíricos'!K308^2+('Modelos Propostos'!E308-'Modelos normativos'!AQ308)*4.10553</f>
        <v>#REF!</v>
      </c>
      <c r="H308" s="4" t="e">
        <f aca="false">0.03283*(J308+K308)</f>
        <v>#REF!</v>
      </c>
      <c r="I308" s="4" t="e">
        <f aca="false">(1.61428/'Dataset experimental'!Q308)^3</f>
        <v>#REF!</v>
      </c>
      <c r="J308" s="4" t="e">
        <f aca="false">SIN('Dataset experimental'!E308)+1.450178*(SIN('Avaliação do resultado ML'!I308)+'Dataset experimental'!C308)</f>
        <v>#REF!</v>
      </c>
      <c r="K308" s="4" t="e">
        <f aca="false">('Modelos empíricos'!C308-'Dataset experimental'!G308)*'Dataset experimental'!AE308-'Modelos normativos'!AP308</f>
        <v>#REF!</v>
      </c>
      <c r="L308" s="4" t="n">
        <f aca="false">0.0076*'Dataset experimental'!B308+'Avaliação do resultado ML'!M308+'Avaliação do resultado ML'!N308+(-0.0328)*(0.0171*'Dataset experimental'!AD308-0.9442)*'Avaliação do resultado ML'!O308-'Avaliação do resultado ML'!P308-0.0364</f>
        <v>0.0565993954020153</v>
      </c>
      <c r="M308" s="12" t="n">
        <f aca="false">0.03283*SIN(0.7328*'Dataset experimental'!D308-1.8266)</f>
        <v>-0.0115958827834406</v>
      </c>
      <c r="N308" s="12" t="n">
        <f aca="false">0.0476*SIN(4.2067/(0.0095*'Dataset experimental'!P308-1.9338)^3)</f>
        <v>0.0413506050702141</v>
      </c>
      <c r="O308" s="12" t="n">
        <f aca="false">0.0214*'Dataset experimental'!F308-3.1067*'Dataset experimental'!B308*'Dataset experimental'!P308*('Dataset experimental'!T308-'Dataset experimental'!R308)*(0.39*'Dataset experimental'!P308*'Dataset experimental'!T308/'Dataset experimental'!V308-'Dataset experimental'!Z308+3.12)/(100000*'Dataset experimental'!V308)+0.7995</f>
        <v>0.512323517896219</v>
      </c>
      <c r="P308" s="12" t="n">
        <f aca="false">0.4461*('Dataset experimental'!Z308-0.6*'Modelos normativos'!AB308)*(3.4*'Dataset experimental'!L308+0.17*'Dataset experimental'!B308/'Modelos normativos'!AC308)/200000</f>
        <v>0.102319447254067</v>
      </c>
      <c r="Q308" s="4" t="e">
        <f aca="false">L308/H308</f>
        <v>#REF!</v>
      </c>
      <c r="R308" s="4" t="e">
        <f aca="false">(-0.042-0.014*'Com TS variável MC2020'!Q317)*('Modelos normativos'!AP308-ABS('Modelos Propostos'!K308)-'Dataset experimental'!W308+COS(S308))</f>
        <v>#REF!</v>
      </c>
      <c r="S308" s="4" t="e">
        <f aca="false">'Dataset experimental'!O308-('Modelos normativos'!AQ308-SIN(0.083/('Dataset experimental'!M308-'Dataset experimental'!O308))-'Modelos empíricos'!I308)/0.646</f>
        <v>#REF!</v>
      </c>
      <c r="W308" s="4" t="e">
        <f aca="false">'Modelos normativos'!S308+'Avaliação do resultado ML'!A308</f>
        <v>#REF!</v>
      </c>
      <c r="X308" s="4" t="e">
        <f aca="false">W308/'Dataset experimental'!$AF308</f>
        <v>#REF!</v>
      </c>
      <c r="AJ308" s="4" t="e">
        <f aca="false">'Modelos Propostos'!B308+H308</f>
        <v>#REF!</v>
      </c>
      <c r="AK308" s="4" t="e">
        <f aca="false">AJ308/'Dataset experimental'!$AF308</f>
        <v>#REF!</v>
      </c>
      <c r="AV308" s="4" t="e">
        <f aca="false">'Modelos normativos'!S308+F308</f>
        <v>#REF!</v>
      </c>
      <c r="AW308" s="4" t="e">
        <f aca="false">AV308/'Dataset experimental'!$AF308</f>
        <v>#REF!</v>
      </c>
      <c r="BH308" s="4" t="e">
        <f aca="false">'Modelos Propostos'!B308+R308</f>
        <v>#REF!</v>
      </c>
      <c r="BI308" s="4" t="e">
        <f aca="false">BH308/'Dataset experimental'!$AF308</f>
        <v>#REF!</v>
      </c>
      <c r="BT308" s="4" t="n">
        <f aca="false">'Modelos Propostos'!B308+L308</f>
        <v>0.312932213642856</v>
      </c>
      <c r="BU308" s="4" t="n">
        <f aca="false">BT308/'Dataset experimental'!$AF308</f>
        <v>0.894092038979588</v>
      </c>
    </row>
    <row r="309" customFormat="false" ht="14.25" hidden="false" customHeight="false" outlineLevel="0" collapsed="false">
      <c r="A309" s="4" t="e">
        <f aca="false">0.0894*ABS(D309)-0.01603*E309</f>
        <v>#REF!</v>
      </c>
      <c r="B309" s="12" t="e">
        <f aca="false">'Dataset experimental'!K309*COS('Dataset experimental'!AC309)-'Dataset experimental'!M309-'Dataset experimental'!C309</f>
        <v>#REF!</v>
      </c>
      <c r="C309" s="12" t="e">
        <f aca="false">('Dataset experimental'!AE309+SIN('Avaliação do resultado ML'!B309))*0.70674187</f>
        <v>#REF!</v>
      </c>
      <c r="D309" s="12" t="e">
        <f aca="false">'Modelos Propostos'!E309+'Avaliação do resultado ML'!C309-'Modelos normativos'!AQ309</f>
        <v>#REF!</v>
      </c>
      <c r="E309" s="12" t="n">
        <f aca="false">'Modelos empíricos'!I309+1.1854</f>
        <v>0.628903309152298</v>
      </c>
      <c r="F309" s="4" t="e">
        <f aca="false">-0.01753*('Modelos normativos'!AN309-'Dataset experimental'!C309-ABS(G309)-('Modelos Propostos'!E309-'Modelos normativos'!AP309)/0.25291)</f>
        <v>#REF!</v>
      </c>
      <c r="G309" s="4" t="e">
        <f aca="false">'Dataset experimental'!K309+'Modelos empíricos'!K309^2+('Modelos Propostos'!E309-'Modelos normativos'!AQ309)*4.10553</f>
        <v>#REF!</v>
      </c>
      <c r="H309" s="4" t="e">
        <f aca="false">0.03283*(J309+K309)</f>
        <v>#REF!</v>
      </c>
      <c r="I309" s="4" t="e">
        <f aca="false">(1.61428/'Dataset experimental'!Q309)^3</f>
        <v>#REF!</v>
      </c>
      <c r="J309" s="4" t="e">
        <f aca="false">SIN('Dataset experimental'!E309)+1.450178*(SIN('Avaliação do resultado ML'!I309)+'Dataset experimental'!C309)</f>
        <v>#REF!</v>
      </c>
      <c r="K309" s="4" t="e">
        <f aca="false">('Modelos empíricos'!C309-'Dataset experimental'!G309)*'Dataset experimental'!AE309-'Modelos normativos'!AP309</f>
        <v>#REF!</v>
      </c>
      <c r="L309" s="4" t="n">
        <f aca="false">0.0076*'Dataset experimental'!B309+'Avaliação do resultado ML'!M309+'Avaliação do resultado ML'!N309+(-0.0328)*(0.0171*'Dataset experimental'!AD309-0.9442)*'Avaliação do resultado ML'!O309-'Avaliação do resultado ML'!P309-0.0364</f>
        <v>0.135705232659759</v>
      </c>
      <c r="M309" s="12" t="n">
        <f aca="false">0.03283*SIN(0.7328*'Dataset experimental'!D309-1.8266)</f>
        <v>-0.0115958827834406</v>
      </c>
      <c r="N309" s="12" t="n">
        <f aca="false">0.0476*SIN(4.2067/(0.0095*'Dataset experimental'!P309-1.9338)^3)</f>
        <v>0.0413506050702141</v>
      </c>
      <c r="O309" s="12" t="n">
        <f aca="false">0.0214*'Dataset experimental'!F309-3.1067*'Dataset experimental'!B309*'Dataset experimental'!P309*('Dataset experimental'!T309-'Dataset experimental'!R309)*(0.39*'Dataset experimental'!P309*'Dataset experimental'!T309/'Dataset experimental'!V309-'Dataset experimental'!Z309+3.12)/(100000*'Dataset experimental'!V309)+0.7995</f>
        <v>1.05295902485908</v>
      </c>
      <c r="P309" s="12" t="n">
        <f aca="false">0.4461*('Dataset experimental'!Z309-0.6*'Modelos normativos'!AB309)*(3.4*'Dataset experimental'!L309+0.17*'Dataset experimental'!B309/'Modelos normativos'!AC309)/200000</f>
        <v>0.0557516413474449</v>
      </c>
      <c r="Q309" s="4" t="e">
        <f aca="false">L309/H309</f>
        <v>#REF!</v>
      </c>
      <c r="R309" s="4" t="e">
        <f aca="false">(-0.042-0.014*'Com TS variável MC2020'!Q318)*('Modelos normativos'!AP309-ABS('Modelos Propostos'!K309)-'Dataset experimental'!W309+COS(S309))</f>
        <v>#REF!</v>
      </c>
      <c r="S309" s="4" t="e">
        <f aca="false">'Dataset experimental'!O309-('Modelos normativos'!AQ309-SIN(0.083/('Dataset experimental'!M309-'Dataset experimental'!O309))-'Modelos empíricos'!I309)/0.646</f>
        <v>#REF!</v>
      </c>
      <c r="W309" s="4" t="e">
        <f aca="false">'Modelos normativos'!S309+'Avaliação do resultado ML'!A309</f>
        <v>#REF!</v>
      </c>
      <c r="X309" s="4" t="e">
        <f aca="false">W309/'Dataset experimental'!$AF309</f>
        <v>#REF!</v>
      </c>
      <c r="AJ309" s="4" t="e">
        <f aca="false">'Modelos Propostos'!B309+H309</f>
        <v>#REF!</v>
      </c>
      <c r="AK309" s="4" t="e">
        <f aca="false">AJ309/'Dataset experimental'!$AF309</f>
        <v>#REF!</v>
      </c>
      <c r="AV309" s="4" t="e">
        <f aca="false">'Modelos normativos'!S309+F309</f>
        <v>#REF!</v>
      </c>
      <c r="AW309" s="4" t="e">
        <f aca="false">AV309/'Dataset experimental'!$AF309</f>
        <v>#REF!</v>
      </c>
      <c r="BH309" s="4" t="e">
        <f aca="false">'Modelos Propostos'!B309+R309</f>
        <v>#REF!</v>
      </c>
      <c r="BI309" s="4" t="e">
        <f aca="false">BH309/'Dataset experimental'!$AF309</f>
        <v>#REF!</v>
      </c>
      <c r="BT309" s="4" t="n">
        <f aca="false">'Modelos Propostos'!B309+L309</f>
        <v>0.274354060856204</v>
      </c>
      <c r="BU309" s="4" t="n">
        <f aca="false">BT309/'Dataset experimental'!$AF309</f>
        <v>1.6138474168012</v>
      </c>
    </row>
    <row r="310" customFormat="false" ht="14.25" hidden="false" customHeight="false" outlineLevel="0" collapsed="false">
      <c r="A310" s="4" t="e">
        <f aca="false">0.0894*ABS(D310)-0.01603*E310</f>
        <v>#REF!</v>
      </c>
      <c r="B310" s="12" t="e">
        <f aca="false">'Dataset experimental'!K310*COS('Dataset experimental'!AC310)-'Dataset experimental'!M310-'Dataset experimental'!C310</f>
        <v>#REF!</v>
      </c>
      <c r="C310" s="12" t="e">
        <f aca="false">('Dataset experimental'!AE310+SIN('Avaliação do resultado ML'!B310))*0.70674187</f>
        <v>#REF!</v>
      </c>
      <c r="D310" s="12" t="e">
        <f aca="false">'Modelos Propostos'!E310+'Avaliação do resultado ML'!C310-'Modelos normativos'!AQ310</f>
        <v>#REF!</v>
      </c>
      <c r="E310" s="12" t="n">
        <f aca="false">'Modelos empíricos'!I310+1.1854</f>
        <v>1.14955881231588</v>
      </c>
      <c r="F310" s="4" t="e">
        <f aca="false">-0.01753*('Modelos normativos'!AN310-'Dataset experimental'!C310-ABS(G310)-('Modelos Propostos'!E310-'Modelos normativos'!AP310)/0.25291)</f>
        <v>#REF!</v>
      </c>
      <c r="G310" s="4" t="e">
        <f aca="false">'Dataset experimental'!K310+'Modelos empíricos'!K310^2+('Modelos Propostos'!E310-'Modelos normativos'!AQ310)*4.10553</f>
        <v>#REF!</v>
      </c>
      <c r="H310" s="4" t="e">
        <f aca="false">0.03283*(J310+K310)</f>
        <v>#REF!</v>
      </c>
      <c r="I310" s="4" t="e">
        <f aca="false">(1.61428/'Dataset experimental'!Q310)^3</f>
        <v>#REF!</v>
      </c>
      <c r="J310" s="4" t="e">
        <f aca="false">SIN('Dataset experimental'!E310)+1.450178*(SIN('Avaliação do resultado ML'!I310)+'Dataset experimental'!C310)</f>
        <v>#REF!</v>
      </c>
      <c r="K310" s="4" t="e">
        <f aca="false">('Modelos empíricos'!C310-'Dataset experimental'!G310)*'Dataset experimental'!AE310-'Modelos normativos'!AP310</f>
        <v>#REF!</v>
      </c>
      <c r="L310" s="4" t="n">
        <f aca="false">0.0076*'Dataset experimental'!B310+'Avaliação do resultado ML'!M310+'Avaliação do resultado ML'!N310+(-0.0328)*(0.0171*'Dataset experimental'!AD310-0.9442)*'Avaliação do resultado ML'!O310-'Avaliação do resultado ML'!P310-0.0364</f>
        <v>0.119975504155786</v>
      </c>
      <c r="M310" s="12" t="n">
        <f aca="false">0.03283*SIN(0.7328*'Dataset experimental'!D310-1.8266)</f>
        <v>-0.0115958827834406</v>
      </c>
      <c r="N310" s="12" t="n">
        <f aca="false">0.0476*SIN(4.2067/(0.0095*'Dataset experimental'!P310-1.9338)^3)</f>
        <v>0.0413506050702141</v>
      </c>
      <c r="O310" s="12" t="n">
        <f aca="false">0.0214*'Dataset experimental'!F310-3.1067*'Dataset experimental'!B310*'Dataset experimental'!P310*('Dataset experimental'!T310-'Dataset experimental'!R310)*(0.39*'Dataset experimental'!P310*'Dataset experimental'!T310/'Dataset experimental'!V310-'Dataset experimental'!Z310+3.12)/(100000*'Dataset experimental'!V310)+0.7995</f>
        <v>0.895927227131788</v>
      </c>
      <c r="P310" s="12" t="n">
        <f aca="false">0.4461*('Dataset experimental'!Z310-0.6*'Modelos normativos'!AB310)*(3.4*'Dataset experimental'!L310+0.17*'Dataset experimental'!B310/'Modelos normativos'!AC310)/200000</f>
        <v>0.0666760301519021</v>
      </c>
      <c r="Q310" s="4" t="e">
        <f aca="false">L310/H310</f>
        <v>#REF!</v>
      </c>
      <c r="R310" s="4" t="e">
        <f aca="false">(-0.042-0.014*'Com TS variável MC2020'!Q319)*('Modelos normativos'!AP310-ABS('Modelos Propostos'!K310)-'Dataset experimental'!W310+COS(S310))</f>
        <v>#REF!</v>
      </c>
      <c r="S310" s="4" t="e">
        <f aca="false">'Dataset experimental'!O310-('Modelos normativos'!AQ310-SIN(0.083/('Dataset experimental'!M310-'Dataset experimental'!O310))-'Modelos empíricos'!I310)/0.646</f>
        <v>#REF!</v>
      </c>
      <c r="W310" s="4" t="e">
        <f aca="false">'Modelos normativos'!S310+'Avaliação do resultado ML'!A310</f>
        <v>#REF!</v>
      </c>
      <c r="X310" s="4" t="e">
        <f aca="false">W310/'Dataset experimental'!$AF310</f>
        <v>#REF!</v>
      </c>
      <c r="AJ310" s="4" t="e">
        <f aca="false">'Modelos Propostos'!B310+H310</f>
        <v>#REF!</v>
      </c>
      <c r="AK310" s="4" t="e">
        <f aca="false">AJ310/'Dataset experimental'!$AF310</f>
        <v>#REF!</v>
      </c>
      <c r="AV310" s="4" t="e">
        <f aca="false">'Modelos normativos'!S310+F310</f>
        <v>#REF!</v>
      </c>
      <c r="AW310" s="4" t="e">
        <f aca="false">AV310/'Dataset experimental'!$AF310</f>
        <v>#REF!</v>
      </c>
      <c r="BH310" s="4" t="e">
        <f aca="false">'Modelos Propostos'!B310+R310</f>
        <v>#REF!</v>
      </c>
      <c r="BI310" s="4" t="e">
        <f aca="false">BH310/'Dataset experimental'!$AF310</f>
        <v>#REF!</v>
      </c>
      <c r="BT310" s="4" t="n">
        <f aca="false">'Modelos Propostos'!B310+L310</f>
        <v>0.289890116829628</v>
      </c>
      <c r="BU310" s="4" t="n">
        <f aca="false">BT310/'Dataset experimental'!$AF310</f>
        <v>1.44945058414814</v>
      </c>
    </row>
    <row r="311" customFormat="false" ht="14.25" hidden="false" customHeight="false" outlineLevel="0" collapsed="false">
      <c r="A311" s="4" t="e">
        <f aca="false">0.0894*ABS(D311)-0.01603*E311</f>
        <v>#REF!</v>
      </c>
      <c r="B311" s="12" t="e">
        <f aca="false">'Dataset experimental'!K311*COS('Dataset experimental'!AC311)-'Dataset experimental'!M311-'Dataset experimental'!C311</f>
        <v>#REF!</v>
      </c>
      <c r="C311" s="12" t="e">
        <f aca="false">('Dataset experimental'!AE311+SIN('Avaliação do resultado ML'!B311))*0.70674187</f>
        <v>#REF!</v>
      </c>
      <c r="D311" s="12" t="e">
        <f aca="false">'Modelos Propostos'!E311+'Avaliação do resultado ML'!C311-'Modelos normativos'!AQ311</f>
        <v>#REF!</v>
      </c>
      <c r="E311" s="12" t="n">
        <f aca="false">'Modelos empíricos'!I311+1.1854</f>
        <v>0.194754546752914</v>
      </c>
      <c r="F311" s="4" t="e">
        <f aca="false">-0.01753*('Modelos normativos'!AN311-'Dataset experimental'!C311-ABS(G311)-('Modelos Propostos'!E311-'Modelos normativos'!AP311)/0.25291)</f>
        <v>#REF!</v>
      </c>
      <c r="G311" s="4" t="e">
        <f aca="false">'Dataset experimental'!K311+'Modelos empíricos'!K311^2+('Modelos Propostos'!E311-'Modelos normativos'!AQ311)*4.10553</f>
        <v>#REF!</v>
      </c>
      <c r="H311" s="4" t="e">
        <f aca="false">0.03283*(J311+K311)</f>
        <v>#REF!</v>
      </c>
      <c r="I311" s="4" t="e">
        <f aca="false">(1.61428/'Dataset experimental'!Q311)^3</f>
        <v>#REF!</v>
      </c>
      <c r="J311" s="4" t="e">
        <f aca="false">SIN('Dataset experimental'!E311)+1.450178*(SIN('Avaliação do resultado ML'!I311)+'Dataset experimental'!C311)</f>
        <v>#REF!</v>
      </c>
      <c r="K311" s="4" t="e">
        <f aca="false">('Modelos empíricos'!C311-'Dataset experimental'!G311)*'Dataset experimental'!AE311-'Modelos normativos'!AP311</f>
        <v>#REF!</v>
      </c>
      <c r="L311" s="4" t="n">
        <f aca="false">0.0076*'Dataset experimental'!B311+'Avaliação do resultado ML'!M311+'Avaliação do resultado ML'!N311+(-0.0328)*(0.0171*'Dataset experimental'!AD311-0.9442)*'Avaliação do resultado ML'!O311-'Avaliação do resultado ML'!P311-0.0364</f>
        <v>0.146235942797897</v>
      </c>
      <c r="M311" s="12" t="n">
        <f aca="false">0.03283*SIN(0.7328*'Dataset experimental'!D311-1.8266)</f>
        <v>-0.0115958827834406</v>
      </c>
      <c r="N311" s="12" t="n">
        <f aca="false">0.0476*SIN(4.2067/(0.0095*'Dataset experimental'!P311-1.9338)^3)</f>
        <v>0.0413506050702141</v>
      </c>
      <c r="O311" s="12" t="n">
        <f aca="false">0.0214*'Dataset experimental'!F311-3.1067*'Dataset experimental'!B311*'Dataset experimental'!P311*('Dataset experimental'!T311-'Dataset experimental'!R311)*(0.39*'Dataset experimental'!P311*'Dataset experimental'!T311/'Dataset experimental'!V311-'Dataset experimental'!Z311+3.12)/(100000*'Dataset experimental'!V311)+0.7995</f>
        <v>0.990660097897173</v>
      </c>
      <c r="P311" s="12" t="n">
        <f aca="false">0.4461*('Dataset experimental'!Z311-0.6*'Modelos normativos'!AB311)*(3.4*'Dataset experimental'!L311+0.17*'Dataset experimental'!B311/'Modelos normativos'!AC311)/200000</f>
        <v>0.0598034251034251</v>
      </c>
      <c r="Q311" s="4" t="e">
        <f aca="false">L311/H311</f>
        <v>#REF!</v>
      </c>
      <c r="R311" s="4" t="e">
        <f aca="false">(-0.042-0.014*'Com TS variável MC2020'!Q320)*('Modelos normativos'!AP311-ABS('Modelos Propostos'!K311)-'Dataset experimental'!W311+COS(S311))</f>
        <v>#REF!</v>
      </c>
      <c r="S311" s="4" t="e">
        <f aca="false">'Dataset experimental'!O311-('Modelos normativos'!AQ311-SIN(0.083/('Dataset experimental'!M311-'Dataset experimental'!O311))-'Modelos empíricos'!I311)/0.646</f>
        <v>#REF!</v>
      </c>
      <c r="W311" s="4" t="e">
        <f aca="false">'Modelos normativos'!S311+'Avaliação do resultado ML'!A311</f>
        <v>#REF!</v>
      </c>
      <c r="X311" s="4" t="e">
        <f aca="false">W311/'Dataset experimental'!$AF311</f>
        <v>#REF!</v>
      </c>
      <c r="AJ311" s="4" t="e">
        <f aca="false">'Modelos Propostos'!B311+H311</f>
        <v>#REF!</v>
      </c>
      <c r="AK311" s="4" t="e">
        <f aca="false">AJ311/'Dataset experimental'!$AF311</f>
        <v>#REF!</v>
      </c>
      <c r="AV311" s="4" t="e">
        <f aca="false">'Modelos normativos'!S311+F311</f>
        <v>#REF!</v>
      </c>
      <c r="AW311" s="4" t="e">
        <f aca="false">AV311/'Dataset experimental'!$AF311</f>
        <v>#REF!</v>
      </c>
      <c r="BH311" s="4" t="e">
        <f aca="false">'Modelos Propostos'!B311+R311</f>
        <v>#REF!</v>
      </c>
      <c r="BI311" s="4" t="e">
        <f aca="false">BH311/'Dataset experimental'!$AF311</f>
        <v>#REF!</v>
      </c>
      <c r="BT311" s="4" t="n">
        <f aca="false">'Modelos Propostos'!B311+L311</f>
        <v>0.282123402498502</v>
      </c>
      <c r="BU311" s="4" t="n">
        <f aca="false">BT311/'Dataset experimental'!$AF311</f>
        <v>1.65954942646177</v>
      </c>
    </row>
    <row r="312" customFormat="false" ht="14.25" hidden="false" customHeight="false" outlineLevel="0" collapsed="false">
      <c r="A312" s="4" t="e">
        <f aca="false">0.0894*ABS(D312)-0.01603*E312</f>
        <v>#REF!</v>
      </c>
      <c r="B312" s="12" t="e">
        <f aca="false">'Dataset experimental'!K312*COS('Dataset experimental'!AC312)-'Dataset experimental'!M312-'Dataset experimental'!C312</f>
        <v>#REF!</v>
      </c>
      <c r="C312" s="12" t="e">
        <f aca="false">('Dataset experimental'!AE312+SIN('Avaliação do resultado ML'!B312))*0.70674187</f>
        <v>#REF!</v>
      </c>
      <c r="D312" s="12" t="e">
        <f aca="false">'Modelos Propostos'!E312+'Avaliação do resultado ML'!C312-'Modelos normativos'!AQ312</f>
        <v>#REF!</v>
      </c>
      <c r="E312" s="12" t="n">
        <f aca="false">'Modelos empíricos'!I312+1.1854</f>
        <v>0.682668945829041</v>
      </c>
      <c r="F312" s="4" t="e">
        <f aca="false">-0.01753*('Modelos normativos'!AN312-'Dataset experimental'!C312-ABS(G312)-('Modelos Propostos'!E312-'Modelos normativos'!AP312)/0.25291)</f>
        <v>#REF!</v>
      </c>
      <c r="G312" s="4" t="e">
        <f aca="false">'Dataset experimental'!K312+'Modelos empíricos'!K312^2+('Modelos Propostos'!E312-'Modelos normativos'!AQ312)*4.10553</f>
        <v>#REF!</v>
      </c>
      <c r="H312" s="4" t="e">
        <f aca="false">0.03283*(J312+K312)</f>
        <v>#REF!</v>
      </c>
      <c r="I312" s="4" t="e">
        <f aca="false">(1.61428/'Dataset experimental'!Q312)^3</f>
        <v>#REF!</v>
      </c>
      <c r="J312" s="4" t="e">
        <f aca="false">SIN('Dataset experimental'!E312)+1.450178*(SIN('Avaliação do resultado ML'!I312)+'Dataset experimental'!C312)</f>
        <v>#REF!</v>
      </c>
      <c r="K312" s="4" t="e">
        <f aca="false">('Modelos empíricos'!C312-'Dataset experimental'!G312)*'Dataset experimental'!AE312-'Modelos normativos'!AP312</f>
        <v>#REF!</v>
      </c>
      <c r="L312" s="4" t="n">
        <f aca="false">0.0076*'Dataset experimental'!B312+'Avaliação do resultado ML'!M312+'Avaliação do resultado ML'!N312+(-0.0328)*(0.0171*'Dataset experimental'!AD312-0.9442)*'Avaliação do resultado ML'!O312-'Avaliação do resultado ML'!P312-0.0364</f>
        <v>0.128779315396633</v>
      </c>
      <c r="M312" s="12" t="n">
        <f aca="false">0.03283*SIN(0.7328*'Dataset experimental'!D312-1.8266)</f>
        <v>-0.0115958827834406</v>
      </c>
      <c r="N312" s="12" t="n">
        <f aca="false">0.0476*SIN(4.2067/(0.0095*'Dataset experimental'!P312-1.9338)^3)</f>
        <v>0.0413506050702141</v>
      </c>
      <c r="O312" s="12" t="n">
        <f aca="false">0.0214*'Dataset experimental'!F312-3.1067*'Dataset experimental'!B312*'Dataset experimental'!P312*('Dataset experimental'!T312-'Dataset experimental'!R312)*(0.39*'Dataset experimental'!P312*'Dataset experimental'!T312/'Dataset experimental'!V312-'Dataset experimental'!Z312+3.12)/(100000*'Dataset experimental'!V312)+0.7995</f>
        <v>0.8068000011387</v>
      </c>
      <c r="P312" s="12" t="n">
        <f aca="false">0.4461*('Dataset experimental'!Z312-0.6*'Modelos normativos'!AB312)*(3.4*'Dataset experimental'!L312+0.17*'Dataset experimental'!B312/'Modelos normativos'!AC312)/200000</f>
        <v>0.0728208192964091</v>
      </c>
      <c r="Q312" s="4" t="e">
        <f aca="false">L312/H312</f>
        <v>#REF!</v>
      </c>
      <c r="R312" s="4" t="e">
        <f aca="false">(-0.042-0.014*'Com TS variável MC2020'!Q321)*('Modelos normativos'!AP312-ABS('Modelos Propostos'!K312)-'Dataset experimental'!W312+COS(S312))</f>
        <v>#REF!</v>
      </c>
      <c r="S312" s="4" t="e">
        <f aca="false">'Dataset experimental'!O312-('Modelos normativos'!AQ312-SIN(0.083/('Dataset experimental'!M312-'Dataset experimental'!O312))-'Modelos empíricos'!I312)/0.646</f>
        <v>#REF!</v>
      </c>
      <c r="W312" s="4" t="e">
        <f aca="false">'Modelos normativos'!S312+'Avaliação do resultado ML'!A312</f>
        <v>#REF!</v>
      </c>
      <c r="X312" s="4" t="e">
        <f aca="false">W312/'Dataset experimental'!$AF312</f>
        <v>#REF!</v>
      </c>
      <c r="AJ312" s="4" t="e">
        <f aca="false">'Modelos Propostos'!B312+H312</f>
        <v>#REF!</v>
      </c>
      <c r="AK312" s="4" t="e">
        <f aca="false">AJ312/'Dataset experimental'!$AF312</f>
        <v>#REF!</v>
      </c>
      <c r="AV312" s="4" t="e">
        <f aca="false">'Modelos normativos'!S312+F312</f>
        <v>#REF!</v>
      </c>
      <c r="AW312" s="4" t="e">
        <f aca="false">AV312/'Dataset experimental'!$AF312</f>
        <v>#REF!</v>
      </c>
      <c r="BH312" s="4" t="e">
        <f aca="false">'Modelos Propostos'!B312+R312</f>
        <v>#REF!</v>
      </c>
      <c r="BI312" s="4" t="e">
        <f aca="false">BH312/'Dataset experimental'!$AF312</f>
        <v>#REF!</v>
      </c>
      <c r="BT312" s="4" t="n">
        <f aca="false">'Modelos Propostos'!B312+L312</f>
        <v>0.302797643575664</v>
      </c>
      <c r="BU312" s="4" t="n">
        <f aca="false">BT312/'Dataset experimental'!$AF312</f>
        <v>1.51398821787832</v>
      </c>
    </row>
    <row r="313" customFormat="false" ht="14.25" hidden="false" customHeight="false" outlineLevel="0" collapsed="false">
      <c r="A313" s="4" t="e">
        <f aca="false">0.0894*ABS(D313)-0.01603*E313</f>
        <v>#REF!</v>
      </c>
      <c r="B313" s="12" t="e">
        <f aca="false">'Dataset experimental'!K313*COS('Dataset experimental'!AC313)-'Dataset experimental'!M313-'Dataset experimental'!C313</f>
        <v>#REF!</v>
      </c>
      <c r="C313" s="12" t="e">
        <f aca="false">('Dataset experimental'!AE313+SIN('Avaliação do resultado ML'!B313))*0.70674187</f>
        <v>#REF!</v>
      </c>
      <c r="D313" s="12" t="e">
        <f aca="false">'Modelos Propostos'!E313+'Avaliação do resultado ML'!C313-'Modelos normativos'!AQ313</f>
        <v>#REF!</v>
      </c>
      <c r="E313" s="12" t="n">
        <f aca="false">'Modelos empíricos'!I313+1.1854</f>
        <v>1.15946278880087</v>
      </c>
      <c r="F313" s="4" t="e">
        <f aca="false">-0.01753*('Modelos normativos'!AN313-'Dataset experimental'!C313-ABS(G313)-('Modelos Propostos'!E313-'Modelos normativos'!AP313)/0.25291)</f>
        <v>#REF!</v>
      </c>
      <c r="G313" s="4" t="e">
        <f aca="false">'Dataset experimental'!K313+'Modelos empíricos'!K313^2+('Modelos Propostos'!E313-'Modelos normativos'!AQ313)*4.10553</f>
        <v>#REF!</v>
      </c>
      <c r="H313" s="4" t="e">
        <f aca="false">0.03283*(J313+K313)</f>
        <v>#REF!</v>
      </c>
      <c r="I313" s="4" t="e">
        <f aca="false">(1.61428/'Dataset experimental'!Q313)^3</f>
        <v>#REF!</v>
      </c>
      <c r="J313" s="4" t="e">
        <f aca="false">SIN('Dataset experimental'!E313)+1.450178*(SIN('Avaliação do resultado ML'!I313)+'Dataset experimental'!C313)</f>
        <v>#REF!</v>
      </c>
      <c r="K313" s="4" t="e">
        <f aca="false">('Modelos empíricos'!C313-'Dataset experimental'!G313)*'Dataset experimental'!AE313-'Modelos normativos'!AP313</f>
        <v>#REF!</v>
      </c>
      <c r="L313" s="4" t="n">
        <f aca="false">0.0076*'Dataset experimental'!B313+'Avaliação do resultado ML'!M313+'Avaliação do resultado ML'!N313+(-0.0328)*(0.0171*'Dataset experimental'!AD313-0.9442)*'Avaliação do resultado ML'!O313-'Avaliação do resultado ML'!P313-0.0364</f>
        <v>0.114119381896558</v>
      </c>
      <c r="M313" s="12" t="n">
        <f aca="false">0.03283*SIN(0.7328*'Dataset experimental'!D313-1.8266)</f>
        <v>-0.0115958827834406</v>
      </c>
      <c r="N313" s="12" t="n">
        <f aca="false">0.0476*SIN(4.2067/(0.0095*'Dataset experimental'!P313-1.9338)^3)</f>
        <v>0.0413506050702141</v>
      </c>
      <c r="O313" s="12" t="n">
        <f aca="false">0.0214*'Dataset experimental'!F313-3.1067*'Dataset experimental'!B313*'Dataset experimental'!P313*('Dataset experimental'!T313-'Dataset experimental'!R313)*(0.39*'Dataset experimental'!P313*'Dataset experimental'!T313/'Dataset experimental'!V313-'Dataset experimental'!Z313+3.12)/(100000*'Dataset experimental'!V313)+0.7995</f>
        <v>0.62713044789609</v>
      </c>
      <c r="P313" s="12" t="n">
        <f aca="false">0.4461*('Dataset experimental'!Z313-0.6*'Modelos normativos'!AB313)*(3.4*'Dataset experimental'!L313+0.17*'Dataset experimental'!B313/'Modelos normativos'!AC313)/200000</f>
        <v>0.0855415207442538</v>
      </c>
      <c r="Q313" s="4" t="e">
        <f aca="false">L313/H313</f>
        <v>#REF!</v>
      </c>
      <c r="R313" s="4" t="e">
        <f aca="false">(-0.042-0.014*'Com TS variável MC2020'!Q322)*('Modelos normativos'!AP313-ABS('Modelos Propostos'!K313)-'Dataset experimental'!W313+COS(S313))</f>
        <v>#REF!</v>
      </c>
      <c r="S313" s="4" t="e">
        <f aca="false">'Dataset experimental'!O313-('Modelos normativos'!AQ313-SIN(0.083/('Dataset experimental'!M313-'Dataset experimental'!O313))-'Modelos empíricos'!I313)/0.646</f>
        <v>#REF!</v>
      </c>
      <c r="W313" s="4" t="e">
        <f aca="false">'Modelos normativos'!S313+'Avaliação do resultado ML'!A313</f>
        <v>#REF!</v>
      </c>
      <c r="X313" s="4" t="e">
        <f aca="false">W313/'Dataset experimental'!$AF313</f>
        <v>#REF!</v>
      </c>
      <c r="AJ313" s="4" t="e">
        <f aca="false">'Modelos Propostos'!B313+H313</f>
        <v>#REF!</v>
      </c>
      <c r="AK313" s="4" t="e">
        <f aca="false">AJ313/'Dataset experimental'!$AF313</f>
        <v>#REF!</v>
      </c>
      <c r="AV313" s="4" t="e">
        <f aca="false">'Modelos normativos'!S313+F313</f>
        <v>#REF!</v>
      </c>
      <c r="AW313" s="4" t="e">
        <f aca="false">AV313/'Dataset experimental'!$AF313</f>
        <v>#REF!</v>
      </c>
      <c r="BH313" s="4" t="e">
        <f aca="false">'Modelos Propostos'!B313+R313</f>
        <v>#REF!</v>
      </c>
      <c r="BI313" s="4" t="e">
        <f aca="false">BH313/'Dataset experimental'!$AF313</f>
        <v>#REF!</v>
      </c>
      <c r="BT313" s="4" t="n">
        <f aca="false">'Modelos Propostos'!B313+L313</f>
        <v>0.327165356046084</v>
      </c>
      <c r="BU313" s="4" t="n">
        <f aca="false">BT313/'Dataset experimental'!$AF313</f>
        <v>1.30866142418433</v>
      </c>
    </row>
    <row r="314" customFormat="false" ht="14.25" hidden="false" customHeight="false" outlineLevel="0" collapsed="false">
      <c r="A314" s="4" t="e">
        <f aca="false">0.0894*ABS(D314)-0.01603*E314</f>
        <v>#REF!</v>
      </c>
      <c r="B314" s="12" t="e">
        <f aca="false">'Dataset experimental'!K314*COS('Dataset experimental'!AC314)-'Dataset experimental'!M314-'Dataset experimental'!C314</f>
        <v>#REF!</v>
      </c>
      <c r="C314" s="12" t="e">
        <f aca="false">('Dataset experimental'!AE314+SIN('Avaliação do resultado ML'!B314))*0.70674187</f>
        <v>#REF!</v>
      </c>
      <c r="D314" s="12" t="e">
        <f aca="false">'Modelos Propostos'!E314+'Avaliação do resultado ML'!C314-'Modelos normativos'!AQ314</f>
        <v>#REF!</v>
      </c>
      <c r="E314" s="12" t="n">
        <f aca="false">'Modelos empíricos'!I314+1.1854</f>
        <v>1.60806656901857</v>
      </c>
      <c r="F314" s="4" t="e">
        <f aca="false">-0.01753*('Modelos normativos'!AN314-'Dataset experimental'!C314-ABS(G314)-('Modelos Propostos'!E314-'Modelos normativos'!AP314)/0.25291)</f>
        <v>#REF!</v>
      </c>
      <c r="G314" s="4" t="e">
        <f aca="false">'Dataset experimental'!K314+'Modelos empíricos'!K314^2+('Modelos Propostos'!E314-'Modelos normativos'!AQ314)*4.10553</f>
        <v>#REF!</v>
      </c>
      <c r="H314" s="4" t="e">
        <f aca="false">0.03283*(J314+K314)</f>
        <v>#REF!</v>
      </c>
      <c r="I314" s="4" t="e">
        <f aca="false">(1.61428/'Dataset experimental'!Q314)^3</f>
        <v>#REF!</v>
      </c>
      <c r="J314" s="4" t="e">
        <f aca="false">SIN('Dataset experimental'!E314)+1.450178*(SIN('Avaliação do resultado ML'!I314)+'Dataset experimental'!C314)</f>
        <v>#REF!</v>
      </c>
      <c r="K314" s="4" t="e">
        <f aca="false">('Modelos empíricos'!C314-'Dataset experimental'!G314)*'Dataset experimental'!AE314-'Modelos normativos'!AP314</f>
        <v>#REF!</v>
      </c>
      <c r="L314" s="4" t="n">
        <f aca="false">0.0076*'Dataset experimental'!B314+'Avaliação do resultado ML'!M314+'Avaliação do resultado ML'!N314+(-0.0328)*(0.0171*'Dataset experimental'!AD314-0.9442)*'Avaliação do resultado ML'!O314-'Avaliação do resultado ML'!P314-0.0364</f>
        <v>0.101272612957063</v>
      </c>
      <c r="M314" s="12" t="n">
        <f aca="false">0.03283*SIN(0.7328*'Dataset experimental'!D314-1.8266)</f>
        <v>-0.0115958827834406</v>
      </c>
      <c r="N314" s="12" t="n">
        <f aca="false">0.0476*SIN(4.2067/(0.0095*'Dataset experimental'!P314-1.9338)^3)</f>
        <v>0.0413506050702141</v>
      </c>
      <c r="O314" s="12" t="n">
        <f aca="false">0.0214*'Dataset experimental'!F314-3.1067*'Dataset experimental'!B314*'Dataset experimental'!P314*('Dataset experimental'!T314-'Dataset experimental'!R314)*(0.39*'Dataset experimental'!P314*'Dataset experimental'!T314/'Dataset experimental'!V314-'Dataset experimental'!Z314+3.12)/(100000*'Dataset experimental'!V314)+0.7995</f>
        <v>0.458083716352155</v>
      </c>
      <c r="P314" s="12" t="n">
        <f aca="false">0.4461*('Dataset experimental'!Z314-0.6*'Modelos normativos'!AB314)*(3.4*'Dataset experimental'!L314+0.17*'Dataset experimental'!B314/'Modelos normativos'!AC314)/200000</f>
        <v>0.0975101206761558</v>
      </c>
      <c r="Q314" s="4" t="e">
        <f aca="false">L314/H314</f>
        <v>#REF!</v>
      </c>
      <c r="R314" s="4" t="e">
        <f aca="false">(-0.042-0.014*'Com TS variável MC2020'!Q323)*('Modelos normativos'!AP314-ABS('Modelos Propostos'!K314)-'Dataset experimental'!W314+COS(S314))</f>
        <v>#REF!</v>
      </c>
      <c r="S314" s="4" t="e">
        <f aca="false">'Dataset experimental'!O314-('Modelos normativos'!AQ314-SIN(0.083/('Dataset experimental'!M314-'Dataset experimental'!O314))-'Modelos empíricos'!I314)/0.646</f>
        <v>#REF!</v>
      </c>
      <c r="W314" s="4" t="e">
        <f aca="false">'Modelos normativos'!S314+'Avaliação do resultado ML'!A314</f>
        <v>#REF!</v>
      </c>
      <c r="X314" s="4" t="e">
        <f aca="false">W314/'Dataset experimental'!$AF314</f>
        <v>#REF!</v>
      </c>
      <c r="AJ314" s="4" t="e">
        <f aca="false">'Modelos Propostos'!B314+H314</f>
        <v>#REF!</v>
      </c>
      <c r="AK314" s="4" t="e">
        <f aca="false">AJ314/'Dataset experimental'!$AF314</f>
        <v>#REF!</v>
      </c>
      <c r="AV314" s="4" t="e">
        <f aca="false">'Modelos normativos'!S314+F314</f>
        <v>#REF!</v>
      </c>
      <c r="AW314" s="4" t="e">
        <f aca="false">AV314/'Dataset experimental'!$AF314</f>
        <v>#REF!</v>
      </c>
      <c r="BH314" s="4" t="e">
        <f aca="false">'Modelos Propostos'!B314+R314</f>
        <v>#REF!</v>
      </c>
      <c r="BI314" s="4" t="e">
        <f aca="false">BH314/'Dataset experimental'!$AF314</f>
        <v>#REF!</v>
      </c>
      <c r="BT314" s="4" t="n">
        <f aca="false">'Modelos Propostos'!B314+L314</f>
        <v>0.351038754058065</v>
      </c>
      <c r="BU314" s="4" t="n">
        <f aca="false">BT314/'Dataset experimental'!$AF314</f>
        <v>1.21047846226919</v>
      </c>
    </row>
    <row r="315" customFormat="false" ht="14.25" hidden="false" customHeight="false" outlineLevel="0" collapsed="false">
      <c r="A315" s="4" t="e">
        <f aca="false">0.0894*ABS(D315)-0.01603*E315</f>
        <v>#REF!</v>
      </c>
      <c r="B315" s="12" t="e">
        <f aca="false">'Dataset experimental'!K315*COS('Dataset experimental'!AC315)-'Dataset experimental'!M315-'Dataset experimental'!C315</f>
        <v>#REF!</v>
      </c>
      <c r="C315" s="12" t="e">
        <f aca="false">('Dataset experimental'!AE315+SIN('Avaliação do resultado ML'!B315))*0.70674187</f>
        <v>#REF!</v>
      </c>
      <c r="D315" s="12" t="e">
        <f aca="false">'Modelos Propostos'!E315+'Avaliação do resultado ML'!C315-'Modelos normativos'!AQ315</f>
        <v>#REF!</v>
      </c>
      <c r="E315" s="12" t="n">
        <f aca="false">'Modelos empíricos'!I315+1.1854</f>
        <v>0.686906812199901</v>
      </c>
      <c r="F315" s="4" t="e">
        <f aca="false">-0.01753*('Modelos normativos'!AN315-'Dataset experimental'!C315-ABS(G315)-('Modelos Propostos'!E315-'Modelos normativos'!AP315)/0.25291)</f>
        <v>#REF!</v>
      </c>
      <c r="G315" s="4" t="e">
        <f aca="false">'Dataset experimental'!K315+'Modelos empíricos'!K315^2+('Modelos Propostos'!E315-'Modelos normativos'!AQ315)*4.10553</f>
        <v>#REF!</v>
      </c>
      <c r="H315" s="4" t="e">
        <f aca="false">0.03283*(J315+K315)</f>
        <v>#REF!</v>
      </c>
      <c r="I315" s="4" t="e">
        <f aca="false">(1.61428/'Dataset experimental'!Q315)^3</f>
        <v>#REF!</v>
      </c>
      <c r="J315" s="4" t="e">
        <f aca="false">SIN('Dataset experimental'!E315)+1.450178*(SIN('Avaliação do resultado ML'!I315)+'Dataset experimental'!C315)</f>
        <v>#REF!</v>
      </c>
      <c r="K315" s="4" t="e">
        <f aca="false">('Modelos empíricos'!C315-'Dataset experimental'!G315)*'Dataset experimental'!AE315-'Modelos normativos'!AP315</f>
        <v>#REF!</v>
      </c>
      <c r="L315" s="4" t="n">
        <f aca="false">0.0076*'Dataset experimental'!B315+'Avaliação do resultado ML'!M315+'Avaliação do resultado ML'!N315+(-0.0328)*(0.0171*'Dataset experimental'!AD315-0.9442)*'Avaliação do resultado ML'!O315-'Avaliação do resultado ML'!P315-0.0364</f>
        <v>0.128500475107191</v>
      </c>
      <c r="M315" s="12" t="n">
        <f aca="false">0.03283*SIN(0.7328*'Dataset experimental'!D315-1.8266)</f>
        <v>-0.0115958827834406</v>
      </c>
      <c r="N315" s="12" t="n">
        <f aca="false">0.0476*SIN(4.2067/(0.0095*'Dataset experimental'!P315-1.9338)^3)</f>
        <v>0.0413506050702141</v>
      </c>
      <c r="O315" s="12" t="n">
        <f aca="false">0.0214*'Dataset experimental'!F315-3.1067*'Dataset experimental'!B315*'Dataset experimental'!P315*('Dataset experimental'!T315-'Dataset experimental'!R315)*(0.39*'Dataset experimental'!P315*'Dataset experimental'!T315/'Dataset experimental'!V315-'Dataset experimental'!Z315+3.12)/(100000*'Dataset experimental'!V315)+0.7995</f>
        <v>0.805666605743309</v>
      </c>
      <c r="P315" s="12" t="n">
        <f aca="false">0.4461*('Dataset experimental'!Z315-0.6*'Modelos normativos'!AB315)*(3.4*'Dataset experimental'!L315+0.17*'Dataset experimental'!B315/'Modelos normativos'!AC315)/200000</f>
        <v>0.0731135314402067</v>
      </c>
      <c r="Q315" s="4" t="e">
        <f aca="false">L315/H315</f>
        <v>#REF!</v>
      </c>
      <c r="R315" s="4" t="e">
        <f aca="false">(-0.042-0.014*'Com TS variável MC2020'!Q324)*('Modelos normativos'!AP315-ABS('Modelos Propostos'!K315)-'Dataset experimental'!W315+COS(S315))</f>
        <v>#REF!</v>
      </c>
      <c r="S315" s="4" t="e">
        <f aca="false">'Dataset experimental'!O315-('Modelos normativos'!AQ315-SIN(0.083/('Dataset experimental'!M315-'Dataset experimental'!O315))-'Modelos empíricos'!I315)/0.646</f>
        <v>#REF!</v>
      </c>
      <c r="W315" s="4" t="e">
        <f aca="false">'Modelos normativos'!S315+'Avaliação do resultado ML'!A315</f>
        <v>#REF!</v>
      </c>
      <c r="X315" s="4" t="e">
        <f aca="false">W315/'Dataset experimental'!$AF315</f>
        <v>#REF!</v>
      </c>
      <c r="AJ315" s="4" t="e">
        <f aca="false">'Modelos Propostos'!B315+H315</f>
        <v>#REF!</v>
      </c>
      <c r="AK315" s="4" t="e">
        <f aca="false">AJ315/'Dataset experimental'!$AF315</f>
        <v>#REF!</v>
      </c>
      <c r="AV315" s="4" t="e">
        <f aca="false">'Modelos normativos'!S315+F315</f>
        <v>#REF!</v>
      </c>
      <c r="AW315" s="4" t="e">
        <f aca="false">AV315/'Dataset experimental'!$AF315</f>
        <v>#REF!</v>
      </c>
      <c r="BH315" s="4" t="e">
        <f aca="false">'Modelos Propostos'!B315+R315</f>
        <v>#REF!</v>
      </c>
      <c r="BI315" s="4" t="e">
        <f aca="false">BH315/'Dataset experimental'!$AF315</f>
        <v>#REF!</v>
      </c>
      <c r="BT315" s="4" t="n">
        <f aca="false">'Modelos Propostos'!B315+L315</f>
        <v>0.304054338705461</v>
      </c>
      <c r="BU315" s="4" t="n">
        <f aca="false">BT315/'Dataset experimental'!$AF315</f>
        <v>1.78855493356153</v>
      </c>
    </row>
    <row r="316" customFormat="false" ht="14.25" hidden="false" customHeight="false" outlineLevel="0" collapsed="false">
      <c r="A316" s="4" t="e">
        <f aca="false">0.0894*ABS(D316)-0.01603*E316</f>
        <v>#REF!</v>
      </c>
      <c r="B316" s="12" t="e">
        <f aca="false">'Dataset experimental'!K316*COS('Dataset experimental'!AC316)-'Dataset experimental'!M316-'Dataset experimental'!C316</f>
        <v>#REF!</v>
      </c>
      <c r="C316" s="12" t="e">
        <f aca="false">('Dataset experimental'!AE316+SIN('Avaliação do resultado ML'!B316))*0.70674187</f>
        <v>#REF!</v>
      </c>
      <c r="D316" s="12" t="e">
        <f aca="false">'Modelos Propostos'!E316+'Avaliação do resultado ML'!C316-'Modelos normativos'!AQ316</f>
        <v>#REF!</v>
      </c>
      <c r="E316" s="12" t="n">
        <f aca="false">'Modelos empíricos'!I316+1.1854</f>
        <v>0.194754546752914</v>
      </c>
      <c r="F316" s="4" t="e">
        <f aca="false">-0.01753*('Modelos normativos'!AN316-'Dataset experimental'!C316-ABS(G316)-('Modelos Propostos'!E316-'Modelos normativos'!AP316)/0.25291)</f>
        <v>#REF!</v>
      </c>
      <c r="G316" s="4" t="e">
        <f aca="false">'Dataset experimental'!K316+'Modelos empíricos'!K316^2+('Modelos Propostos'!E316-'Modelos normativos'!AQ316)*4.10553</f>
        <v>#REF!</v>
      </c>
      <c r="H316" s="4" t="e">
        <f aca="false">0.03283*(J316+K316)</f>
        <v>#REF!</v>
      </c>
      <c r="I316" s="4" t="e">
        <f aca="false">(1.61428/'Dataset experimental'!Q316)^3</f>
        <v>#REF!</v>
      </c>
      <c r="J316" s="4" t="e">
        <f aca="false">SIN('Dataset experimental'!E316)+1.450178*(SIN('Avaliação do resultado ML'!I316)+'Dataset experimental'!C316)</f>
        <v>#REF!</v>
      </c>
      <c r="K316" s="4" t="e">
        <f aca="false">('Modelos empíricos'!C316-'Dataset experimental'!G316)*'Dataset experimental'!AE316-'Modelos normativos'!AP316</f>
        <v>#REF!</v>
      </c>
      <c r="L316" s="4" t="n">
        <f aca="false">0.0076*'Dataset experimental'!B316+'Avaliação do resultado ML'!M316+'Avaliação do resultado ML'!N316+(-0.0328)*(0.0171*'Dataset experimental'!AD316-0.9442)*'Avaliação do resultado ML'!O316-'Avaliação do resultado ML'!P316-0.0364</f>
        <v>0.146235942797897</v>
      </c>
      <c r="M316" s="12" t="n">
        <f aca="false">0.03283*SIN(0.7328*'Dataset experimental'!D316-1.8266)</f>
        <v>-0.0115958827834406</v>
      </c>
      <c r="N316" s="12" t="n">
        <f aca="false">0.0476*SIN(4.2067/(0.0095*'Dataset experimental'!P316-1.9338)^3)</f>
        <v>0.0413506050702141</v>
      </c>
      <c r="O316" s="12" t="n">
        <f aca="false">0.0214*'Dataset experimental'!F316-3.1067*'Dataset experimental'!B316*'Dataset experimental'!P316*('Dataset experimental'!T316-'Dataset experimental'!R316)*(0.39*'Dataset experimental'!P316*'Dataset experimental'!T316/'Dataset experimental'!V316-'Dataset experimental'!Z316+3.12)/(100000*'Dataset experimental'!V316)+0.7995</f>
        <v>0.990660097897173</v>
      </c>
      <c r="P316" s="12" t="n">
        <f aca="false">0.4461*('Dataset experimental'!Z316-0.6*'Modelos normativos'!AB316)*(3.4*'Dataset experimental'!L316+0.17*'Dataset experimental'!B316/'Modelos normativos'!AC316)/200000</f>
        <v>0.0598034251034251</v>
      </c>
      <c r="Q316" s="4" t="e">
        <f aca="false">L316/H316</f>
        <v>#REF!</v>
      </c>
      <c r="R316" s="4" t="e">
        <f aca="false">(-0.042-0.014*'Com TS variável MC2020'!Q325)*('Modelos normativos'!AP316-ABS('Modelos Propostos'!K316)-'Dataset experimental'!W316+COS(S316))</f>
        <v>#REF!</v>
      </c>
      <c r="S316" s="4" t="e">
        <f aca="false">'Dataset experimental'!O316-('Modelos normativos'!AQ316-SIN(0.083/('Dataset experimental'!M316-'Dataset experimental'!O316))-'Modelos empíricos'!I316)/0.646</f>
        <v>#REF!</v>
      </c>
      <c r="W316" s="4" t="e">
        <f aca="false">'Modelos normativos'!S316+'Avaliação do resultado ML'!A316</f>
        <v>#REF!</v>
      </c>
      <c r="X316" s="4" t="e">
        <f aca="false">W316/'Dataset experimental'!$AF316</f>
        <v>#REF!</v>
      </c>
      <c r="AJ316" s="4" t="e">
        <f aca="false">'Modelos Propostos'!B316+H316</f>
        <v>#REF!</v>
      </c>
      <c r="AK316" s="4" t="e">
        <f aca="false">AJ316/'Dataset experimental'!$AF316</f>
        <v>#REF!</v>
      </c>
      <c r="AV316" s="4" t="e">
        <f aca="false">'Modelos normativos'!S316+F316</f>
        <v>#REF!</v>
      </c>
      <c r="AW316" s="4" t="e">
        <f aca="false">AV316/'Dataset experimental'!$AF316</f>
        <v>#REF!</v>
      </c>
      <c r="BH316" s="4" t="e">
        <f aca="false">'Modelos Propostos'!B316+R316</f>
        <v>#REF!</v>
      </c>
      <c r="BI316" s="4" t="e">
        <f aca="false">BH316/'Dataset experimental'!$AF316</f>
        <v>#REF!</v>
      </c>
      <c r="BT316" s="4" t="n">
        <f aca="false">'Modelos Propostos'!B316+L316</f>
        <v>0.282123402498502</v>
      </c>
      <c r="BU316" s="4" t="n">
        <f aca="false">BT316/'Dataset experimental'!$AF316</f>
        <v>1.88082268332334</v>
      </c>
    </row>
    <row r="317" customFormat="false" ht="14.25" hidden="false" customHeight="false" outlineLevel="0" collapsed="false">
      <c r="A317" s="4" t="e">
        <f aca="false">0.0894*ABS(D317)-0.01603*E317</f>
        <v>#REF!</v>
      </c>
      <c r="B317" s="12" t="e">
        <f aca="false">'Dataset experimental'!K317*COS('Dataset experimental'!AC317)-'Dataset experimental'!M317-'Dataset experimental'!C317</f>
        <v>#REF!</v>
      </c>
      <c r="C317" s="12" t="e">
        <f aca="false">('Dataset experimental'!AE317+SIN('Avaliação do resultado ML'!B317))*0.70674187</f>
        <v>#REF!</v>
      </c>
      <c r="D317" s="12" t="e">
        <f aca="false">'Modelos Propostos'!E317+'Avaliação do resultado ML'!C317-'Modelos normativos'!AQ317</f>
        <v>#REF!</v>
      </c>
      <c r="E317" s="12" t="n">
        <f aca="false">'Modelos empíricos'!I317+1.1854</f>
        <v>0.682668945829041</v>
      </c>
      <c r="F317" s="4" t="e">
        <f aca="false">-0.01753*('Modelos normativos'!AN317-'Dataset experimental'!C317-ABS(G317)-('Modelos Propostos'!E317-'Modelos normativos'!AP317)/0.25291)</f>
        <v>#REF!</v>
      </c>
      <c r="G317" s="4" t="e">
        <f aca="false">'Dataset experimental'!K317+'Modelos empíricos'!K317^2+('Modelos Propostos'!E317-'Modelos normativos'!AQ317)*4.10553</f>
        <v>#REF!</v>
      </c>
      <c r="H317" s="4" t="e">
        <f aca="false">0.03283*(J317+K317)</f>
        <v>#REF!</v>
      </c>
      <c r="I317" s="4" t="e">
        <f aca="false">(1.61428/'Dataset experimental'!Q317)^3</f>
        <v>#REF!</v>
      </c>
      <c r="J317" s="4" t="e">
        <f aca="false">SIN('Dataset experimental'!E317)+1.450178*(SIN('Avaliação do resultado ML'!I317)+'Dataset experimental'!C317)</f>
        <v>#REF!</v>
      </c>
      <c r="K317" s="4" t="e">
        <f aca="false">('Modelos empíricos'!C317-'Dataset experimental'!G317)*'Dataset experimental'!AE317-'Modelos normativos'!AP317</f>
        <v>#REF!</v>
      </c>
      <c r="L317" s="4" t="n">
        <f aca="false">0.0076*'Dataset experimental'!B317+'Avaliação do resultado ML'!M317+'Avaliação do resultado ML'!N317+(-0.0328)*(0.0171*'Dataset experimental'!AD317-0.9442)*'Avaliação do resultado ML'!O317-'Avaliação do resultado ML'!P317-0.0364</f>
        <v>0.128779315396633</v>
      </c>
      <c r="M317" s="12" t="n">
        <f aca="false">0.03283*SIN(0.7328*'Dataset experimental'!D317-1.8266)</f>
        <v>-0.0115958827834406</v>
      </c>
      <c r="N317" s="12" t="n">
        <f aca="false">0.0476*SIN(4.2067/(0.0095*'Dataset experimental'!P317-1.9338)^3)</f>
        <v>0.0413506050702141</v>
      </c>
      <c r="O317" s="12" t="n">
        <f aca="false">0.0214*'Dataset experimental'!F317-3.1067*'Dataset experimental'!B317*'Dataset experimental'!P317*('Dataset experimental'!T317-'Dataset experimental'!R317)*(0.39*'Dataset experimental'!P317*'Dataset experimental'!T317/'Dataset experimental'!V317-'Dataset experimental'!Z317+3.12)/(100000*'Dataset experimental'!V317)+0.7995</f>
        <v>0.8068000011387</v>
      </c>
      <c r="P317" s="12" t="n">
        <f aca="false">0.4461*('Dataset experimental'!Z317-0.6*'Modelos normativos'!AB317)*(3.4*'Dataset experimental'!L317+0.17*'Dataset experimental'!B317/'Modelos normativos'!AC317)/200000</f>
        <v>0.0728208192964091</v>
      </c>
      <c r="Q317" s="4" t="e">
        <f aca="false">L317/H317</f>
        <v>#REF!</v>
      </c>
      <c r="R317" s="4" t="e">
        <f aca="false">(-0.042-0.014*'Com TS variável MC2020'!Q326)*('Modelos normativos'!AP317-ABS('Modelos Propostos'!K317)-'Dataset experimental'!W317+COS(S317))</f>
        <v>#REF!</v>
      </c>
      <c r="S317" s="4" t="e">
        <f aca="false">'Dataset experimental'!O317-('Modelos normativos'!AQ317-SIN(0.083/('Dataset experimental'!M317-'Dataset experimental'!O317))-'Modelos empíricos'!I317)/0.646</f>
        <v>#REF!</v>
      </c>
      <c r="W317" s="4" t="e">
        <f aca="false">'Modelos normativos'!S317+'Avaliação do resultado ML'!A317</f>
        <v>#REF!</v>
      </c>
      <c r="X317" s="4" t="e">
        <f aca="false">W317/'Dataset experimental'!$AF317</f>
        <v>#REF!</v>
      </c>
      <c r="AJ317" s="4" t="e">
        <f aca="false">'Modelos Propostos'!B317+H317</f>
        <v>#REF!</v>
      </c>
      <c r="AK317" s="4" t="e">
        <f aca="false">AJ317/'Dataset experimental'!$AF317</f>
        <v>#REF!</v>
      </c>
      <c r="AV317" s="4" t="e">
        <f aca="false">'Modelos normativos'!S317+F317</f>
        <v>#REF!</v>
      </c>
      <c r="AW317" s="4" t="e">
        <f aca="false">AV317/'Dataset experimental'!$AF317</f>
        <v>#REF!</v>
      </c>
      <c r="BH317" s="4" t="e">
        <f aca="false">'Modelos Propostos'!B317+R317</f>
        <v>#REF!</v>
      </c>
      <c r="BI317" s="4" t="e">
        <f aca="false">BH317/'Dataset experimental'!$AF317</f>
        <v>#REF!</v>
      </c>
      <c r="BT317" s="4" t="n">
        <f aca="false">'Modelos Propostos'!B317+L317</f>
        <v>0.302797643575664</v>
      </c>
      <c r="BU317" s="4" t="n">
        <f aca="false">BT317/'Dataset experimental'!$AF317</f>
        <v>1.8924852723479</v>
      </c>
    </row>
    <row r="318" customFormat="false" ht="14.25" hidden="false" customHeight="false" outlineLevel="0" collapsed="false">
      <c r="A318" s="4" t="e">
        <f aca="false">0.0894*ABS(D318)-0.01603*E318</f>
        <v>#REF!</v>
      </c>
      <c r="B318" s="12" t="e">
        <f aca="false">'Dataset experimental'!K318*COS('Dataset experimental'!AC318)-'Dataset experimental'!M318-'Dataset experimental'!C318</f>
        <v>#REF!</v>
      </c>
      <c r="C318" s="12" t="e">
        <f aca="false">('Dataset experimental'!AE318+SIN('Avaliação do resultado ML'!B318))*0.70674187</f>
        <v>#REF!</v>
      </c>
      <c r="D318" s="12" t="e">
        <f aca="false">'Modelos Propostos'!E318+'Avaliação do resultado ML'!C318-'Modelos normativos'!AQ318</f>
        <v>#REF!</v>
      </c>
      <c r="E318" s="12" t="n">
        <f aca="false">'Modelos empíricos'!I318+1.1854</f>
        <v>1.15946278880087</v>
      </c>
      <c r="F318" s="4" t="e">
        <f aca="false">-0.01753*('Modelos normativos'!AN318-'Dataset experimental'!C318-ABS(G318)-('Modelos Propostos'!E318-'Modelos normativos'!AP318)/0.25291)</f>
        <v>#REF!</v>
      </c>
      <c r="G318" s="4" t="e">
        <f aca="false">'Dataset experimental'!K318+'Modelos empíricos'!K318^2+('Modelos Propostos'!E318-'Modelos normativos'!AQ318)*4.10553</f>
        <v>#REF!</v>
      </c>
      <c r="H318" s="4" t="e">
        <f aca="false">0.03283*(J318+K318)</f>
        <v>#REF!</v>
      </c>
      <c r="I318" s="4" t="e">
        <f aca="false">(1.61428/'Dataset experimental'!Q318)^3</f>
        <v>#REF!</v>
      </c>
      <c r="J318" s="4" t="e">
        <f aca="false">SIN('Dataset experimental'!E318)+1.450178*(SIN('Avaliação do resultado ML'!I318)+'Dataset experimental'!C318)</f>
        <v>#REF!</v>
      </c>
      <c r="K318" s="4" t="e">
        <f aca="false">('Modelos empíricos'!C318-'Dataset experimental'!G318)*'Dataset experimental'!AE318-'Modelos normativos'!AP318</f>
        <v>#REF!</v>
      </c>
      <c r="L318" s="4" t="n">
        <f aca="false">0.0076*'Dataset experimental'!B318+'Avaliação do resultado ML'!M318+'Avaliação do resultado ML'!N318+(-0.0328)*(0.0171*'Dataset experimental'!AD318-0.9442)*'Avaliação do resultado ML'!O318-'Avaliação do resultado ML'!P318-0.0364</f>
        <v>0.114119381896558</v>
      </c>
      <c r="M318" s="12" t="n">
        <f aca="false">0.03283*SIN(0.7328*'Dataset experimental'!D318-1.8266)</f>
        <v>-0.0115958827834406</v>
      </c>
      <c r="N318" s="12" t="n">
        <f aca="false">0.0476*SIN(4.2067/(0.0095*'Dataset experimental'!P318-1.9338)^3)</f>
        <v>0.0413506050702141</v>
      </c>
      <c r="O318" s="12" t="n">
        <f aca="false">0.0214*'Dataset experimental'!F318-3.1067*'Dataset experimental'!B318*'Dataset experimental'!P318*('Dataset experimental'!T318-'Dataset experimental'!R318)*(0.39*'Dataset experimental'!P318*'Dataset experimental'!T318/'Dataset experimental'!V318-'Dataset experimental'!Z318+3.12)/(100000*'Dataset experimental'!V318)+0.7995</f>
        <v>0.62713044789609</v>
      </c>
      <c r="P318" s="12" t="n">
        <f aca="false">0.4461*('Dataset experimental'!Z318-0.6*'Modelos normativos'!AB318)*(3.4*'Dataset experimental'!L318+0.17*'Dataset experimental'!B318/'Modelos normativos'!AC318)/200000</f>
        <v>0.0855415207442538</v>
      </c>
      <c r="Q318" s="4" t="e">
        <f aca="false">L318/H318</f>
        <v>#REF!</v>
      </c>
      <c r="R318" s="4" t="e">
        <f aca="false">(-0.042-0.014*'Com TS variável MC2020'!Q327)*('Modelos normativos'!AP318-ABS('Modelos Propostos'!K318)-'Dataset experimental'!W318+COS(S318))</f>
        <v>#REF!</v>
      </c>
      <c r="S318" s="4" t="e">
        <f aca="false">'Dataset experimental'!O318-('Modelos normativos'!AQ318-SIN(0.083/('Dataset experimental'!M318-'Dataset experimental'!O318))-'Modelos empíricos'!I318)/0.646</f>
        <v>#REF!</v>
      </c>
      <c r="W318" s="4" t="e">
        <f aca="false">'Modelos normativos'!S318+'Avaliação do resultado ML'!A318</f>
        <v>#REF!</v>
      </c>
      <c r="X318" s="4" t="e">
        <f aca="false">W318/'Dataset experimental'!$AF318</f>
        <v>#REF!</v>
      </c>
      <c r="AJ318" s="4" t="e">
        <f aca="false">'Modelos Propostos'!B318+H318</f>
        <v>#REF!</v>
      </c>
      <c r="AK318" s="4" t="e">
        <f aca="false">AJ318/'Dataset experimental'!$AF318</f>
        <v>#REF!</v>
      </c>
      <c r="AV318" s="4" t="e">
        <f aca="false">'Modelos normativos'!S318+F318</f>
        <v>#REF!</v>
      </c>
      <c r="AW318" s="4" t="e">
        <f aca="false">AV318/'Dataset experimental'!$AF318</f>
        <v>#REF!</v>
      </c>
      <c r="BH318" s="4" t="e">
        <f aca="false">'Modelos Propostos'!B318+R318</f>
        <v>#REF!</v>
      </c>
      <c r="BI318" s="4" t="e">
        <f aca="false">BH318/'Dataset experimental'!$AF318</f>
        <v>#REF!</v>
      </c>
      <c r="BT318" s="4" t="n">
        <f aca="false">'Modelos Propostos'!B318+L318</f>
        <v>0.327165356046084</v>
      </c>
      <c r="BU318" s="4" t="n">
        <f aca="false">BT318/'Dataset experimental'!$AF318</f>
        <v>1.48711525475493</v>
      </c>
    </row>
    <row r="319" customFormat="false" ht="14.25" hidden="false" customHeight="false" outlineLevel="0" collapsed="false">
      <c r="A319" s="4" t="e">
        <f aca="false">0.0894*ABS(D319)-0.01603*E319</f>
        <v>#REF!</v>
      </c>
      <c r="B319" s="12" t="e">
        <f aca="false">'Dataset experimental'!K319*COS('Dataset experimental'!AC319)-'Dataset experimental'!M319-'Dataset experimental'!C319</f>
        <v>#REF!</v>
      </c>
      <c r="C319" s="12" t="e">
        <f aca="false">('Dataset experimental'!AE319+SIN('Avaliação do resultado ML'!B319))*0.70674187</f>
        <v>#REF!</v>
      </c>
      <c r="D319" s="12" t="e">
        <f aca="false">'Modelos Propostos'!E319+'Avaliação do resultado ML'!C319-'Modelos normativos'!AQ319</f>
        <v>#REF!</v>
      </c>
      <c r="E319" s="12" t="n">
        <f aca="false">'Modelos empíricos'!I319+1.1854</f>
        <v>1.60806656901857</v>
      </c>
      <c r="F319" s="4" t="e">
        <f aca="false">-0.01753*('Modelos normativos'!AN319-'Dataset experimental'!C319-ABS(G319)-('Modelos Propostos'!E319-'Modelos normativos'!AP319)/0.25291)</f>
        <v>#REF!</v>
      </c>
      <c r="G319" s="4" t="e">
        <f aca="false">'Dataset experimental'!K319+'Modelos empíricos'!K319^2+('Modelos Propostos'!E319-'Modelos normativos'!AQ319)*4.10553</f>
        <v>#REF!</v>
      </c>
      <c r="H319" s="4" t="e">
        <f aca="false">0.03283*(J319+K319)</f>
        <v>#REF!</v>
      </c>
      <c r="I319" s="4" t="e">
        <f aca="false">(1.61428/'Dataset experimental'!Q319)^3</f>
        <v>#REF!</v>
      </c>
      <c r="J319" s="4" t="e">
        <f aca="false">SIN('Dataset experimental'!E319)+1.450178*(SIN('Avaliação do resultado ML'!I319)+'Dataset experimental'!C319)</f>
        <v>#REF!</v>
      </c>
      <c r="K319" s="4" t="e">
        <f aca="false">('Modelos empíricos'!C319-'Dataset experimental'!G319)*'Dataset experimental'!AE319-'Modelos normativos'!AP319</f>
        <v>#REF!</v>
      </c>
      <c r="L319" s="4" t="n">
        <f aca="false">0.0076*'Dataset experimental'!B319+'Avaliação do resultado ML'!M319+'Avaliação do resultado ML'!N319+(-0.0328)*(0.0171*'Dataset experimental'!AD319-0.9442)*'Avaliação do resultado ML'!O319-'Avaliação do resultado ML'!P319-0.0364</f>
        <v>0.101272612957063</v>
      </c>
      <c r="M319" s="12" t="n">
        <f aca="false">0.03283*SIN(0.7328*'Dataset experimental'!D319-1.8266)</f>
        <v>-0.0115958827834406</v>
      </c>
      <c r="N319" s="12" t="n">
        <f aca="false">0.0476*SIN(4.2067/(0.0095*'Dataset experimental'!P319-1.9338)^3)</f>
        <v>0.0413506050702141</v>
      </c>
      <c r="O319" s="12" t="n">
        <f aca="false">0.0214*'Dataset experimental'!F319-3.1067*'Dataset experimental'!B319*'Dataset experimental'!P319*('Dataset experimental'!T319-'Dataset experimental'!R319)*(0.39*'Dataset experimental'!P319*'Dataset experimental'!T319/'Dataset experimental'!V319-'Dataset experimental'!Z319+3.12)/(100000*'Dataset experimental'!V319)+0.7995</f>
        <v>0.458083716352155</v>
      </c>
      <c r="P319" s="12" t="n">
        <f aca="false">0.4461*('Dataset experimental'!Z319-0.6*'Modelos normativos'!AB319)*(3.4*'Dataset experimental'!L319+0.17*'Dataset experimental'!B319/'Modelos normativos'!AC319)/200000</f>
        <v>0.0975101206761558</v>
      </c>
      <c r="Q319" s="4" t="e">
        <f aca="false">L319/H319</f>
        <v>#REF!</v>
      </c>
      <c r="R319" s="4" t="e">
        <f aca="false">(-0.042-0.014*'Com TS variável MC2020'!Q328)*('Modelos normativos'!AP319-ABS('Modelos Propostos'!K319)-'Dataset experimental'!W319+COS(S319))</f>
        <v>#REF!</v>
      </c>
      <c r="S319" s="4" t="e">
        <f aca="false">'Dataset experimental'!O319-('Modelos normativos'!AQ319-SIN(0.083/('Dataset experimental'!M319-'Dataset experimental'!O319))-'Modelos empíricos'!I319)/0.646</f>
        <v>#REF!</v>
      </c>
      <c r="W319" s="4" t="e">
        <f aca="false">'Modelos normativos'!S319+'Avaliação do resultado ML'!A319</f>
        <v>#REF!</v>
      </c>
      <c r="X319" s="4" t="e">
        <f aca="false">W319/'Dataset experimental'!$AF319</f>
        <v>#REF!</v>
      </c>
      <c r="AJ319" s="4" t="e">
        <f aca="false">'Modelos Propostos'!B319+H319</f>
        <v>#REF!</v>
      </c>
      <c r="AK319" s="4" t="e">
        <f aca="false">AJ319/'Dataset experimental'!$AF319</f>
        <v>#REF!</v>
      </c>
      <c r="AV319" s="4" t="e">
        <f aca="false">'Modelos normativos'!S319+F319</f>
        <v>#REF!</v>
      </c>
      <c r="AW319" s="4" t="e">
        <f aca="false">AV319/'Dataset experimental'!$AF319</f>
        <v>#REF!</v>
      </c>
      <c r="BH319" s="4" t="e">
        <f aca="false">'Modelos Propostos'!B319+R319</f>
        <v>#REF!</v>
      </c>
      <c r="BI319" s="4" t="e">
        <f aca="false">BH319/'Dataset experimental'!$AF319</f>
        <v>#REF!</v>
      </c>
      <c r="BT319" s="4" t="n">
        <f aca="false">'Modelos Propostos'!B319+L319</f>
        <v>0.351038754058065</v>
      </c>
      <c r="BU319" s="4" t="n">
        <f aca="false">BT319/'Dataset experimental'!$AF319</f>
        <v>1.35014905406948</v>
      </c>
    </row>
    <row r="320" customFormat="false" ht="14.25" hidden="false" customHeight="false" outlineLevel="0" collapsed="false">
      <c r="A320" s="4" t="e">
        <f aca="false">0.0894*ABS(D320)-0.01603*E320</f>
        <v>#REF!</v>
      </c>
      <c r="B320" s="12" t="e">
        <f aca="false">'Dataset experimental'!K320*COS('Dataset experimental'!AC320)-'Dataset experimental'!M320-'Dataset experimental'!C320</f>
        <v>#REF!</v>
      </c>
      <c r="C320" s="12" t="e">
        <f aca="false">('Dataset experimental'!AE320+SIN('Avaliação do resultado ML'!B320))*0.70674187</f>
        <v>#REF!</v>
      </c>
      <c r="D320" s="12" t="e">
        <f aca="false">'Modelos Propostos'!E320+'Avaliação do resultado ML'!C320-'Modelos normativos'!AQ320</f>
        <v>#REF!</v>
      </c>
      <c r="E320" s="12" t="n">
        <f aca="false">'Modelos empíricos'!I320+1.1854</f>
        <v>0.696938491737803</v>
      </c>
      <c r="F320" s="4" t="e">
        <f aca="false">-0.01753*('Modelos normativos'!AN320-'Dataset experimental'!C320-ABS(G320)-('Modelos Propostos'!E320-'Modelos normativos'!AP320)/0.25291)</f>
        <v>#REF!</v>
      </c>
      <c r="G320" s="4" t="e">
        <f aca="false">'Dataset experimental'!K320+'Modelos empíricos'!K320^2+('Modelos Propostos'!E320-'Modelos normativos'!AQ320)*4.10553</f>
        <v>#REF!</v>
      </c>
      <c r="H320" s="4" t="e">
        <f aca="false">0.03283*(J320+K320)</f>
        <v>#REF!</v>
      </c>
      <c r="I320" s="4" t="e">
        <f aca="false">(1.61428/'Dataset experimental'!Q320)^3</f>
        <v>#REF!</v>
      </c>
      <c r="J320" s="4" t="e">
        <f aca="false">SIN('Dataset experimental'!E320)+1.450178*(SIN('Avaliação do resultado ML'!I320)+'Dataset experimental'!C320)</f>
        <v>#REF!</v>
      </c>
      <c r="K320" s="4" t="e">
        <f aca="false">('Modelos empíricos'!C320-'Dataset experimental'!G320)*'Dataset experimental'!AE320-'Modelos normativos'!AP320</f>
        <v>#REF!</v>
      </c>
      <c r="L320" s="4" t="n">
        <f aca="false">0.0076*'Dataset experimental'!B320+'Avaliação do resultado ML'!M320+'Avaliação do resultado ML'!N320+(-0.0328)*(0.0171*'Dataset experimental'!AD320-0.9442)*'Avaliação do resultado ML'!O320-'Avaliação do resultado ML'!P320-0.0364</f>
        <v>0.127884477173005</v>
      </c>
      <c r="M320" s="12" t="n">
        <f aca="false">0.03283*SIN(0.7328*'Dataset experimental'!D320-1.8266)</f>
        <v>-0.0115958827834406</v>
      </c>
      <c r="N320" s="12" t="n">
        <f aca="false">0.0476*SIN(4.2067/(0.0095*'Dataset experimental'!P320-1.9338)^3)</f>
        <v>0.0413506050702141</v>
      </c>
      <c r="O320" s="12" t="n">
        <f aca="false">0.0214*'Dataset experimental'!F320-3.1067*'Dataset experimental'!B320*'Dataset experimental'!P320*('Dataset experimental'!T320-'Dataset experimental'!R320)*(0.39*'Dataset experimental'!P320*'Dataset experimental'!T320/'Dataset experimental'!V320-'Dataset experimental'!Z320+3.12)/(100000*'Dataset experimental'!V320)+0.7995</f>
        <v>0.803008697870512</v>
      </c>
      <c r="P320" s="12" t="n">
        <f aca="false">0.4461*('Dataset experimental'!Z320-0.6*'Modelos normativos'!AB320)*(3.4*'Dataset experimental'!L320+0.17*'Dataset experimental'!B320/'Modelos normativos'!AC320)/200000</f>
        <v>0.0737620600437893</v>
      </c>
      <c r="Q320" s="4" t="e">
        <f aca="false">L320/H320</f>
        <v>#REF!</v>
      </c>
      <c r="R320" s="4" t="e">
        <f aca="false">(-0.042-0.014*'Com TS variável MC2020'!Q329)*('Modelos normativos'!AP320-ABS('Modelos Propostos'!K320)-'Dataset experimental'!W320+COS(S320))</f>
        <v>#REF!</v>
      </c>
      <c r="S320" s="4" t="e">
        <f aca="false">'Dataset experimental'!O320-('Modelos normativos'!AQ320-SIN(0.083/('Dataset experimental'!M320-'Dataset experimental'!O320))-'Modelos empíricos'!I320)/0.646</f>
        <v>#REF!</v>
      </c>
      <c r="W320" s="4" t="e">
        <f aca="false">'Modelos normativos'!S320+'Avaliação do resultado ML'!A320</f>
        <v>#REF!</v>
      </c>
      <c r="X320" s="4" t="e">
        <f aca="false">W320/'Dataset experimental'!$AF320</f>
        <v>#REF!</v>
      </c>
      <c r="AJ320" s="4" t="e">
        <f aca="false">'Modelos Propostos'!B320+H320</f>
        <v>#REF!</v>
      </c>
      <c r="AK320" s="4" t="e">
        <f aca="false">AJ320/'Dataset experimental'!$AF320</f>
        <v>#REF!</v>
      </c>
      <c r="AV320" s="4" t="e">
        <f aca="false">'Modelos normativos'!S320+F320</f>
        <v>#REF!</v>
      </c>
      <c r="AW320" s="4" t="e">
        <f aca="false">AV320/'Dataset experimental'!$AF320</f>
        <v>#REF!</v>
      </c>
      <c r="BH320" s="4" t="e">
        <f aca="false">'Modelos Propostos'!B320+R320</f>
        <v>#REF!</v>
      </c>
      <c r="BI320" s="4" t="e">
        <f aca="false">BH320/'Dataset experimental'!$AF320</f>
        <v>#REF!</v>
      </c>
      <c r="BT320" s="4" t="n">
        <f aca="false">'Modelos Propostos'!B320+L320</f>
        <v>0.306877857797959</v>
      </c>
      <c r="BU320" s="4" t="n">
        <f aca="false">BT320/'Dataset experimental'!$AF320</f>
        <v>1.80516386939976</v>
      </c>
    </row>
    <row r="321" customFormat="false" ht="14.25" hidden="false" customHeight="false" outlineLevel="0" collapsed="false">
      <c r="A321" s="4" t="e">
        <f aca="false">0.0894*ABS(D321)-0.01603*E321</f>
        <v>#REF!</v>
      </c>
      <c r="B321" s="12" t="e">
        <f aca="false">'Dataset experimental'!K321*COS('Dataset experimental'!AC321)-'Dataset experimental'!M321-'Dataset experimental'!C321</f>
        <v>#REF!</v>
      </c>
      <c r="C321" s="12" t="e">
        <f aca="false">('Dataset experimental'!AE321+SIN('Avaliação do resultado ML'!B321))*0.70674187</f>
        <v>#REF!</v>
      </c>
      <c r="D321" s="12" t="e">
        <f aca="false">'Modelos Propostos'!E321+'Avaliação do resultado ML'!C321-'Modelos normativos'!AQ321</f>
        <v>#REF!</v>
      </c>
      <c r="E321" s="12" t="n">
        <f aca="false">'Modelos empíricos'!I321+1.1854</f>
        <v>1.17605975604638</v>
      </c>
      <c r="F321" s="4" t="e">
        <f aca="false">-0.01753*('Modelos normativos'!AN321-'Dataset experimental'!C321-ABS(G321)-('Modelos Propostos'!E321-'Modelos normativos'!AP321)/0.25291)</f>
        <v>#REF!</v>
      </c>
      <c r="G321" s="4" t="e">
        <f aca="false">'Dataset experimental'!K321+'Modelos empíricos'!K321^2+('Modelos Propostos'!E321-'Modelos normativos'!AQ321)*4.10553</f>
        <v>#REF!</v>
      </c>
      <c r="H321" s="4" t="e">
        <f aca="false">0.03283*(J321+K321)</f>
        <v>#REF!</v>
      </c>
      <c r="I321" s="4" t="e">
        <f aca="false">(1.61428/'Dataset experimental'!Q321)^3</f>
        <v>#REF!</v>
      </c>
      <c r="J321" s="4" t="e">
        <f aca="false">SIN('Dataset experimental'!E321)+1.450178*(SIN('Avaliação do resultado ML'!I321)+'Dataset experimental'!C321)</f>
        <v>#REF!</v>
      </c>
      <c r="K321" s="4" t="e">
        <f aca="false">('Modelos empíricos'!C321-'Dataset experimental'!G321)*'Dataset experimental'!AE321-'Modelos normativos'!AP321</f>
        <v>#REF!</v>
      </c>
      <c r="L321" s="4" t="n">
        <f aca="false">0.0076*'Dataset experimental'!B321+'Avaliação do resultado ML'!M321+'Avaliação do resultado ML'!N321+(-0.0328)*(0.0171*'Dataset experimental'!AD321-0.9442)*'Avaliação do resultado ML'!O321-'Avaliação do resultado ML'!P321-0.0364</f>
        <v>0.113257260863579</v>
      </c>
      <c r="M321" s="12" t="n">
        <f aca="false">0.03283*SIN(0.7328*'Dataset experimental'!D321-1.8266)</f>
        <v>-0.0115958827834406</v>
      </c>
      <c r="N321" s="12" t="n">
        <f aca="false">0.0476*SIN(4.2067/(0.0095*'Dataset experimental'!P321-1.9338)^3)</f>
        <v>0.0413506050702141</v>
      </c>
      <c r="O321" s="12" t="n">
        <f aca="false">0.0214*'Dataset experimental'!F321-3.1067*'Dataset experimental'!B321*'Dataset experimental'!P321*('Dataset experimental'!T321-'Dataset experimental'!R321)*(0.39*'Dataset experimental'!P321*'Dataset experimental'!T321/'Dataset experimental'!V321-'Dataset experimental'!Z321+3.12)/(100000*'Dataset experimental'!V321)+0.7995</f>
        <v>0.622760152187569</v>
      </c>
      <c r="P321" s="12" t="n">
        <f aca="false">0.4461*('Dataset experimental'!Z321-0.6*'Modelos normativos'!AB321)*(3.4*'Dataset experimental'!L321+0.17*'Dataset experimental'!B321/'Modelos normativos'!AC321)/200000</f>
        <v>0.0864859689636628</v>
      </c>
      <c r="Q321" s="4" t="e">
        <f aca="false">L321/H321</f>
        <v>#REF!</v>
      </c>
      <c r="R321" s="4" t="e">
        <f aca="false">(-0.042-0.014*'Com TS variável MC2020'!Q330)*('Modelos normativos'!AP321-ABS('Modelos Propostos'!K321)-'Dataset experimental'!W321+COS(S321))</f>
        <v>#REF!</v>
      </c>
      <c r="S321" s="4" t="e">
        <f aca="false">'Dataset experimental'!O321-('Modelos normativos'!AQ321-SIN(0.083/('Dataset experimental'!M321-'Dataset experimental'!O321))-'Modelos empíricos'!I321)/0.646</f>
        <v>#REF!</v>
      </c>
      <c r="W321" s="4" t="e">
        <f aca="false">'Modelos normativos'!S321+'Avaliação do resultado ML'!A321</f>
        <v>#REF!</v>
      </c>
      <c r="X321" s="4" t="e">
        <f aca="false">W321/'Dataset experimental'!$AF321</f>
        <v>#REF!</v>
      </c>
      <c r="AJ321" s="4" t="e">
        <f aca="false">'Modelos Propostos'!B321+H321</f>
        <v>#REF!</v>
      </c>
      <c r="AK321" s="4" t="e">
        <f aca="false">AJ321/'Dataset experimental'!$AF321</f>
        <v>#REF!</v>
      </c>
      <c r="AV321" s="4" t="e">
        <f aca="false">'Modelos normativos'!S321+F321</f>
        <v>#REF!</v>
      </c>
      <c r="AW321" s="4" t="e">
        <f aca="false">AV321/'Dataset experimental'!$AF321</f>
        <v>#REF!</v>
      </c>
      <c r="BH321" s="4" t="e">
        <f aca="false">'Modelos Propostos'!B321+R321</f>
        <v>#REF!</v>
      </c>
      <c r="BI321" s="4" t="e">
        <f aca="false">BH321/'Dataset experimental'!$AF321</f>
        <v>#REF!</v>
      </c>
      <c r="BT321" s="4" t="n">
        <f aca="false">'Modelos Propostos'!B321+L321</f>
        <v>0.330958286485655</v>
      </c>
      <c r="BU321" s="4" t="n">
        <f aca="false">BT321/'Dataset experimental'!$AF321</f>
        <v>1.65479143242827</v>
      </c>
    </row>
    <row r="322" customFormat="false" ht="14.25" hidden="false" customHeight="false" outlineLevel="0" collapsed="false">
      <c r="A322" s="4" t="e">
        <f aca="false">0.0894*ABS(D322)-0.01603*E322</f>
        <v>#REF!</v>
      </c>
      <c r="B322" s="12" t="e">
        <f aca="false">'Dataset experimental'!K322*COS('Dataset experimental'!AC322)-'Dataset experimental'!M322-'Dataset experimental'!C322</f>
        <v>#REF!</v>
      </c>
      <c r="C322" s="12" t="e">
        <f aca="false">('Dataset experimental'!AE322+SIN('Avaliação do resultado ML'!B322))*0.70674187</f>
        <v>#REF!</v>
      </c>
      <c r="D322" s="12" t="e">
        <f aca="false">'Modelos Propostos'!E322+'Avaliação do resultado ML'!C322-'Modelos normativos'!AQ322</f>
        <v>#REF!</v>
      </c>
      <c r="E322" s="12" t="n">
        <f aca="false">'Modelos empíricos'!I322+1.1854</f>
        <v>1.61378857011448</v>
      </c>
      <c r="F322" s="4" t="e">
        <f aca="false">-0.01753*('Modelos normativos'!AN322-'Dataset experimental'!C322-ABS(G322)-('Modelos Propostos'!E322-'Modelos normativos'!AP322)/0.25291)</f>
        <v>#REF!</v>
      </c>
      <c r="G322" s="4" t="e">
        <f aca="false">'Dataset experimental'!K322+'Modelos empíricos'!K322^2+('Modelos Propostos'!E322-'Modelos normativos'!AQ322)*4.10553</f>
        <v>#REF!</v>
      </c>
      <c r="H322" s="4" t="e">
        <f aca="false">0.03283*(J322+K322)</f>
        <v>#REF!</v>
      </c>
      <c r="I322" s="4" t="e">
        <f aca="false">(1.61428/'Dataset experimental'!Q322)^3</f>
        <v>#REF!</v>
      </c>
      <c r="J322" s="4" t="e">
        <f aca="false">SIN('Dataset experimental'!E322)+1.450178*(SIN('Avaliação do resultado ML'!I322)+'Dataset experimental'!C322)</f>
        <v>#REF!</v>
      </c>
      <c r="K322" s="4" t="e">
        <f aca="false">('Modelos empíricos'!C322-'Dataset experimental'!G322)*'Dataset experimental'!AE322-'Modelos normativos'!AP322</f>
        <v>#REF!</v>
      </c>
      <c r="L322" s="4" t="n">
        <f aca="false">0.0076*'Dataset experimental'!B322+'Avaliação do resultado ML'!M322+'Avaliação do resultado ML'!N322+(-0.0328)*(0.0171*'Dataset experimental'!AD322-0.9442)*'Avaliação do resultado ML'!O322-'Avaliação do resultado ML'!P322-0.0364</f>
        <v>0.100672105159099</v>
      </c>
      <c r="M322" s="12" t="n">
        <f aca="false">0.03283*SIN(0.7328*'Dataset experimental'!D322-1.8266)</f>
        <v>-0.0115958827834406</v>
      </c>
      <c r="N322" s="12" t="n">
        <f aca="false">0.0476*SIN(4.2067/(0.0095*'Dataset experimental'!P322-1.9338)^3)</f>
        <v>0.0413506050702141</v>
      </c>
      <c r="O322" s="12" t="n">
        <f aca="false">0.0214*'Dataset experimental'!F322-3.1067*'Dataset experimental'!B322*'Dataset experimental'!P322*('Dataset experimental'!T322-'Dataset experimental'!R322)*(0.39*'Dataset experimental'!P322*'Dataset experimental'!T322/'Dataset experimental'!V322-'Dataset experimental'!Z322+3.12)/(100000*'Dataset experimental'!V322)+0.7995</f>
        <v>0.458083716352155</v>
      </c>
      <c r="P322" s="12" t="n">
        <f aca="false">0.4461*('Dataset experimental'!Z322-0.6*'Modelos normativos'!AB322)*(3.4*'Dataset experimental'!L322+0.17*'Dataset experimental'!B322/'Modelos normativos'!AC322)/200000</f>
        <v>0.0981106284741195</v>
      </c>
      <c r="Q322" s="4" t="e">
        <f aca="false">L322/H322</f>
        <v>#REF!</v>
      </c>
      <c r="R322" s="4" t="e">
        <f aca="false">(-0.042-0.014*'Com TS variável MC2020'!Q331)*('Modelos normativos'!AP322-ABS('Modelos Propostos'!K322)-'Dataset experimental'!W322+COS(S322))</f>
        <v>#REF!</v>
      </c>
      <c r="S322" s="4" t="e">
        <f aca="false">'Dataset experimental'!O322-('Modelos normativos'!AQ322-SIN(0.083/('Dataset experimental'!M322-'Dataset experimental'!O322))-'Modelos empíricos'!I322)/0.646</f>
        <v>#REF!</v>
      </c>
      <c r="W322" s="4" t="e">
        <f aca="false">'Modelos normativos'!S322+'Avaliação do resultado ML'!A322</f>
        <v>#REF!</v>
      </c>
      <c r="X322" s="4" t="e">
        <f aca="false">W322/'Dataset experimental'!$AF322</f>
        <v>#REF!</v>
      </c>
      <c r="AJ322" s="4" t="e">
        <f aca="false">'Modelos Propostos'!B322+H322</f>
        <v>#REF!</v>
      </c>
      <c r="AK322" s="4" t="e">
        <f aca="false">AJ322/'Dataset experimental'!$AF322</f>
        <v>#REF!</v>
      </c>
      <c r="AV322" s="4" t="e">
        <f aca="false">'Modelos normativos'!S322+F322</f>
        <v>#REF!</v>
      </c>
      <c r="AW322" s="4" t="e">
        <f aca="false">AV322/'Dataset experimental'!$AF322</f>
        <v>#REF!</v>
      </c>
      <c r="BH322" s="4" t="e">
        <f aca="false">'Modelos Propostos'!B322+R322</f>
        <v>#REF!</v>
      </c>
      <c r="BI322" s="4" t="e">
        <f aca="false">BH322/'Dataset experimental'!$AF322</f>
        <v>#REF!</v>
      </c>
      <c r="BT322" s="4" t="n">
        <f aca="false">'Modelos Propostos'!B322+L322</f>
        <v>0.35373672827128</v>
      </c>
      <c r="BU322" s="4" t="n">
        <f aca="false">BT322/'Dataset experimental'!$AF322</f>
        <v>1.47390303446367</v>
      </c>
    </row>
    <row r="323" customFormat="false" ht="14.25" hidden="false" customHeight="false" outlineLevel="0" collapsed="false">
      <c r="A323" s="4" t="e">
        <f aca="false">0.0894*ABS(D323)-0.01603*E323</f>
        <v>#REF!</v>
      </c>
      <c r="B323" s="12" t="e">
        <f aca="false">'Dataset experimental'!K323*COS('Dataset experimental'!AC323)-'Dataset experimental'!M323-'Dataset experimental'!C323</f>
        <v>#REF!</v>
      </c>
      <c r="C323" s="12" t="e">
        <f aca="false">('Dataset experimental'!AE323+SIN('Avaliação do resultado ML'!B323))*0.70674187</f>
        <v>#REF!</v>
      </c>
      <c r="D323" s="12" t="e">
        <f aca="false">'Modelos Propostos'!E323+'Avaliação do resultado ML'!C323-'Modelos normativos'!AQ323</f>
        <v>#REF!</v>
      </c>
      <c r="E323" s="12" t="n">
        <f aca="false">'Modelos empíricos'!I323+1.1854</f>
        <v>1.33290562797086</v>
      </c>
      <c r="F323" s="4" t="e">
        <f aca="false">-0.01753*('Modelos normativos'!AN323-'Dataset experimental'!C323-ABS(G323)-('Modelos Propostos'!E323-'Modelos normativos'!AP323)/0.25291)</f>
        <v>#REF!</v>
      </c>
      <c r="G323" s="4" t="e">
        <f aca="false">'Dataset experimental'!K323+'Modelos empíricos'!K323^2+('Modelos Propostos'!E323-'Modelos normativos'!AQ323)*4.10553</f>
        <v>#REF!</v>
      </c>
      <c r="H323" s="4" t="e">
        <f aca="false">0.03283*(J323+K323)</f>
        <v>#REF!</v>
      </c>
      <c r="I323" s="4" t="e">
        <f aca="false">(1.61428/'Dataset experimental'!Q323)^3</f>
        <v>#REF!</v>
      </c>
      <c r="J323" s="4" t="e">
        <f aca="false">SIN('Dataset experimental'!E323)+1.450178*(SIN('Avaliação do resultado ML'!I323)+'Dataset experimental'!C323)</f>
        <v>#REF!</v>
      </c>
      <c r="K323" s="4" t="e">
        <f aca="false">('Modelos empíricos'!C323-'Dataset experimental'!G323)*'Dataset experimental'!AE323-'Modelos normativos'!AP323</f>
        <v>#REF!</v>
      </c>
      <c r="L323" s="4" t="n">
        <f aca="false">0.0076*'Dataset experimental'!B323+'Avaliação do resultado ML'!M323+'Avaliação do resultado ML'!N323+(-0.0328)*(0.0171*'Dataset experimental'!AD323-0.9442)*'Avaliação do resultado ML'!O323-'Avaliação do resultado ML'!P323-0.0364</f>
        <v>0.160441549859199</v>
      </c>
      <c r="M323" s="12" t="n">
        <f aca="false">0.03283*SIN(0.7328*'Dataset experimental'!D323-1.8266)</f>
        <v>-0.0291654482027489</v>
      </c>
      <c r="N323" s="12" t="n">
        <f aca="false">0.0476*SIN(4.2067/(0.0095*'Dataset experimental'!P323-1.9338)^3)</f>
        <v>0.0413506050702141</v>
      </c>
      <c r="O323" s="12" t="n">
        <f aca="false">0.0214*'Dataset experimental'!F323-3.1067*'Dataset experimental'!B323*'Dataset experimental'!P323*('Dataset experimental'!T323-'Dataset experimental'!R323)*(0.39*'Dataset experimental'!P323*'Dataset experimental'!T323/'Dataset experimental'!V323-'Dataset experimental'!Z323+3.12)/(100000*'Dataset experimental'!V323)+0.7995</f>
        <v>0.620957787585706</v>
      </c>
      <c r="P323" s="12" t="n">
        <f aca="false">0.4461*('Dataset experimental'!Z323-0.6*'Modelos normativos'!AB323)*(3.4*'Dataset experimental'!L323+0.17*'Dataset experimental'!B323/'Modelos normativos'!AC323)/200000</f>
        <v>0.0661373139574418</v>
      </c>
      <c r="Q323" s="4" t="e">
        <f aca="false">L323/H323</f>
        <v>#REF!</v>
      </c>
      <c r="R323" s="4" t="e">
        <f aca="false">(-0.042-0.014*'Com TS variável MC2020'!Q332)*('Modelos normativos'!AP323-ABS('Modelos Propostos'!K323)-'Dataset experimental'!W323+COS(S323))</f>
        <v>#REF!</v>
      </c>
      <c r="S323" s="4" t="e">
        <f aca="false">'Dataset experimental'!O323-('Modelos normativos'!AQ323-SIN(0.083/('Dataset experimental'!M323-'Dataset experimental'!O323))-'Modelos empíricos'!I323)/0.646</f>
        <v>#REF!</v>
      </c>
      <c r="W323" s="4" t="e">
        <f aca="false">'Modelos normativos'!S323+'Avaliação do resultado ML'!A323</f>
        <v>#REF!</v>
      </c>
      <c r="X323" s="4" t="e">
        <f aca="false">W323/'Dataset experimental'!$AF323</f>
        <v>#REF!</v>
      </c>
      <c r="AJ323" s="4" t="e">
        <f aca="false">'Modelos Propostos'!B323+H323</f>
        <v>#REF!</v>
      </c>
      <c r="AK323" s="4" t="e">
        <f aca="false">AJ323/'Dataset experimental'!$AF323</f>
        <v>#REF!</v>
      </c>
      <c r="AV323" s="4" t="e">
        <f aca="false">'Modelos normativos'!S323+F323</f>
        <v>#REF!</v>
      </c>
      <c r="AW323" s="4" t="e">
        <f aca="false">AV323/'Dataset experimental'!$AF323</f>
        <v>#REF!</v>
      </c>
      <c r="BH323" s="4" t="e">
        <f aca="false">'Modelos Propostos'!B323+R323</f>
        <v>#REF!</v>
      </c>
      <c r="BI323" s="4" t="e">
        <f aca="false">BH323/'Dataset experimental'!$AF323</f>
        <v>#REF!</v>
      </c>
      <c r="BT323" s="4" t="n">
        <f aca="false">'Modelos Propostos'!B323+L323</f>
        <v>0.303457803318216</v>
      </c>
      <c r="BU323" s="4" t="n">
        <f aca="false">BT323/'Dataset experimental'!$AF323</f>
        <v>1.78504590187186</v>
      </c>
    </row>
    <row r="324" customFormat="false" ht="14.25" hidden="false" customHeight="false" outlineLevel="0" collapsed="false">
      <c r="A324" s="4" t="e">
        <f aca="false">0.0894*ABS(D324)-0.01603*E324</f>
        <v>#REF!</v>
      </c>
      <c r="B324" s="12" t="e">
        <f aca="false">'Dataset experimental'!K324*COS('Dataset experimental'!AC324)-'Dataset experimental'!M324-'Dataset experimental'!C324</f>
        <v>#REF!</v>
      </c>
      <c r="C324" s="12" t="e">
        <f aca="false">('Dataset experimental'!AE324+SIN('Avaliação do resultado ML'!B324))*0.70674187</f>
        <v>#REF!</v>
      </c>
      <c r="D324" s="12" t="e">
        <f aca="false">'Modelos Propostos'!E324+'Avaliação do resultado ML'!C324-'Modelos normativos'!AQ324</f>
        <v>#REF!</v>
      </c>
      <c r="E324" s="12" t="n">
        <f aca="false">'Modelos empíricos'!I324+1.1854</f>
        <v>2.29331453816647</v>
      </c>
      <c r="F324" s="4" t="e">
        <f aca="false">-0.01753*('Modelos normativos'!AN324-'Dataset experimental'!C324-ABS(G324)-('Modelos Propostos'!E324-'Modelos normativos'!AP324)/0.25291)</f>
        <v>#REF!</v>
      </c>
      <c r="G324" s="4" t="e">
        <f aca="false">'Dataset experimental'!K324+'Modelos empíricos'!K324^2+('Modelos Propostos'!E324-'Modelos normativos'!AQ324)*4.10553</f>
        <v>#REF!</v>
      </c>
      <c r="H324" s="4" t="e">
        <f aca="false">0.03283*(J324+K324)</f>
        <v>#REF!</v>
      </c>
      <c r="I324" s="4" t="e">
        <f aca="false">(1.61428/'Dataset experimental'!Q324)^3</f>
        <v>#REF!</v>
      </c>
      <c r="J324" s="4" t="e">
        <f aca="false">SIN('Dataset experimental'!E324)+1.450178*(SIN('Avaliação do resultado ML'!I324)+'Dataset experimental'!C324)</f>
        <v>#REF!</v>
      </c>
      <c r="K324" s="4" t="e">
        <f aca="false">('Modelos empíricos'!C324-'Dataset experimental'!G324)*'Dataset experimental'!AE324-'Modelos normativos'!AP324</f>
        <v>#REF!</v>
      </c>
      <c r="L324" s="4" t="n">
        <f aca="false">0.0076*'Dataset experimental'!B324+'Avaliação do resultado ML'!M324+'Avaliação do resultado ML'!N324+(-0.0328)*(0.0171*'Dataset experimental'!AD324-0.9442)*'Avaliação do resultado ML'!O324-'Avaliação do resultado ML'!P324-0.0364</f>
        <v>0.136683136825837</v>
      </c>
      <c r="M324" s="12" t="n">
        <f aca="false">0.03283*SIN(0.7328*'Dataset experimental'!D324-1.8266)</f>
        <v>-0.0291654482027489</v>
      </c>
      <c r="N324" s="12" t="n">
        <f aca="false">0.0476*SIN(4.2067/(0.0095*'Dataset experimental'!P324-1.9338)^3)</f>
        <v>0.0413506050702141</v>
      </c>
      <c r="O324" s="12" t="n">
        <f aca="false">0.0214*'Dataset experimental'!F324-3.1067*'Dataset experimental'!B324*'Dataset experimental'!P324*('Dataset experimental'!T324-'Dataset experimental'!R324)*(0.39*'Dataset experimental'!P324*'Dataset experimental'!T324/'Dataset experimental'!V324-'Dataset experimental'!Z324+3.12)/(100000*'Dataset experimental'!V324)+0.7995</f>
        <v>0.220345362976477</v>
      </c>
      <c r="P324" s="12" t="n">
        <f aca="false">0.4461*('Dataset experimental'!Z324-0.6*'Modelos normativos'!AB324)*(3.4*'Dataset experimental'!L324+0.17*'Dataset experimental'!B324/'Modelos normativos'!AC324)/200000</f>
        <v>0.0853272730413986</v>
      </c>
      <c r="Q324" s="4" t="e">
        <f aca="false">L324/H324</f>
        <v>#REF!</v>
      </c>
      <c r="R324" s="4" t="e">
        <f aca="false">(-0.042-0.014*'Com TS variável MC2020'!Q333)*('Modelos normativos'!AP324-ABS('Modelos Propostos'!K324)-'Dataset experimental'!W324+COS(S324))</f>
        <v>#REF!</v>
      </c>
      <c r="S324" s="4" t="e">
        <f aca="false">'Dataset experimental'!O324-('Modelos normativos'!AQ324-SIN(0.083/('Dataset experimental'!M324-'Dataset experimental'!O324))-'Modelos empíricos'!I324)/0.646</f>
        <v>#REF!</v>
      </c>
      <c r="W324" s="4" t="e">
        <f aca="false">'Modelos normativos'!S324+'Avaliação do resultado ML'!A324</f>
        <v>#REF!</v>
      </c>
      <c r="X324" s="4" t="e">
        <f aca="false">W324/'Dataset experimental'!$AF324</f>
        <v>#REF!</v>
      </c>
      <c r="AJ324" s="4" t="e">
        <f aca="false">'Modelos Propostos'!B324+H324</f>
        <v>#REF!</v>
      </c>
      <c r="AK324" s="4" t="e">
        <f aca="false">AJ324/'Dataset experimental'!$AF324</f>
        <v>#REF!</v>
      </c>
      <c r="AV324" s="4" t="e">
        <f aca="false">'Modelos normativos'!S324+F324</f>
        <v>#REF!</v>
      </c>
      <c r="AW324" s="4" t="e">
        <f aca="false">AV324/'Dataset experimental'!$AF324</f>
        <v>#REF!</v>
      </c>
      <c r="BH324" s="4" t="e">
        <f aca="false">'Modelos Propostos'!B324+R324</f>
        <v>#REF!</v>
      </c>
      <c r="BI324" s="4" t="e">
        <f aca="false">BH324/'Dataset experimental'!$AF324</f>
        <v>#REF!</v>
      </c>
      <c r="BT324" s="4" t="n">
        <f aca="false">'Modelos Propostos'!B324+L324</f>
        <v>0.338881321784394</v>
      </c>
      <c r="BU324" s="4" t="n">
        <f aca="false">BT324/'Dataset experimental'!$AF324</f>
        <v>1.4733970512365</v>
      </c>
    </row>
    <row r="325" customFormat="false" ht="14.25" hidden="false" customHeight="false" outlineLevel="0" collapsed="false">
      <c r="A325" s="4" t="e">
        <f aca="false">0.0894*ABS(D325)-0.01603*E325</f>
        <v>#REF!</v>
      </c>
      <c r="B325" s="12" t="e">
        <f aca="false">'Dataset experimental'!K325*COS('Dataset experimental'!AC325)-'Dataset experimental'!M325-'Dataset experimental'!C325</f>
        <v>#REF!</v>
      </c>
      <c r="C325" s="12" t="e">
        <f aca="false">('Dataset experimental'!AE325+SIN('Avaliação do resultado ML'!B325))*0.70674187</f>
        <v>#REF!</v>
      </c>
      <c r="D325" s="12" t="e">
        <f aca="false">'Modelos Propostos'!E325+'Avaliação do resultado ML'!C325-'Modelos normativos'!AQ325</f>
        <v>#REF!</v>
      </c>
      <c r="E325" s="12" t="n">
        <f aca="false">'Modelos empíricos'!I325+1.1854</f>
        <v>3.14304435462206</v>
      </c>
      <c r="F325" s="4" t="e">
        <f aca="false">-0.01753*('Modelos normativos'!AN325-'Dataset experimental'!C325-ABS(G325)-('Modelos Propostos'!E325-'Modelos normativos'!AP325)/0.25291)</f>
        <v>#REF!</v>
      </c>
      <c r="G325" s="4" t="e">
        <f aca="false">'Dataset experimental'!K325+'Modelos empíricos'!K325^2+('Modelos Propostos'!E325-'Modelos normativos'!AQ325)*4.10553</f>
        <v>#REF!</v>
      </c>
      <c r="H325" s="4" t="e">
        <f aca="false">0.03283*(J325+K325)</f>
        <v>#REF!</v>
      </c>
      <c r="I325" s="4" t="e">
        <f aca="false">(1.61428/'Dataset experimental'!Q325)^3</f>
        <v>#REF!</v>
      </c>
      <c r="J325" s="4" t="e">
        <f aca="false">SIN('Dataset experimental'!E325)+1.450178*(SIN('Avaliação do resultado ML'!I325)+'Dataset experimental'!C325)</f>
        <v>#REF!</v>
      </c>
      <c r="K325" s="4" t="e">
        <f aca="false">('Modelos empíricos'!C325-'Dataset experimental'!G325)*'Dataset experimental'!AE325-'Modelos normativos'!AP325</f>
        <v>#REF!</v>
      </c>
      <c r="L325" s="4" t="n">
        <f aca="false">0.0076*'Dataset experimental'!B325+'Avaliação do resultado ML'!M325+'Avaliação do resultado ML'!N325+(-0.0328)*(0.0171*'Dataset experimental'!AD325-0.9442)*'Avaliação do resultado ML'!O325-'Avaliação do resultado ML'!P325-0.0364</f>
        <v>0.119119855270171</v>
      </c>
      <c r="M325" s="12" t="n">
        <f aca="false">0.03283*SIN(0.7328*'Dataset experimental'!D325-1.8266)</f>
        <v>-0.0291654482027489</v>
      </c>
      <c r="N325" s="12" t="n">
        <f aca="false">0.0476*SIN(4.2067/(0.0095*'Dataset experimental'!P325-1.9338)^3)</f>
        <v>0.0413506050702141</v>
      </c>
      <c r="O325" s="12" t="n">
        <f aca="false">0.0214*'Dataset experimental'!F325-3.1067*'Dataset experimental'!B325*'Dataset experimental'!P325*('Dataset experimental'!T325-'Dataset experimental'!R325)*(0.39*'Dataset experimental'!P325*'Dataset experimental'!T325/'Dataset experimental'!V325-'Dataset experimental'!Z325+3.12)/(100000*'Dataset experimental'!V325)+0.7995</f>
        <v>-0.134099830543956</v>
      </c>
      <c r="P325" s="12" t="n">
        <f aca="false">0.4461*('Dataset experimental'!Z325-0.6*'Modelos normativos'!AB325)*(3.4*'Dataset experimental'!L325+0.17*'Dataset experimental'!B325/'Modelos normativos'!AC325)/200000</f>
        <v>0.102305749851739</v>
      </c>
      <c r="Q325" s="4" t="e">
        <f aca="false">L325/H325</f>
        <v>#REF!</v>
      </c>
      <c r="R325" s="4" t="e">
        <f aca="false">(-0.042-0.014*'Com TS variável MC2020'!Q334)*('Modelos normativos'!AP325-ABS('Modelos Propostos'!K325)-'Dataset experimental'!W325+COS(S325))</f>
        <v>#REF!</v>
      </c>
      <c r="S325" s="4" t="e">
        <f aca="false">'Dataset experimental'!O325-('Modelos normativos'!AQ325-SIN(0.083/('Dataset experimental'!M325-'Dataset experimental'!O325))-'Modelos empíricos'!I325)/0.646</f>
        <v>#REF!</v>
      </c>
      <c r="W325" s="4" t="e">
        <f aca="false">'Modelos normativos'!S325+'Avaliação do resultado ML'!A325</f>
        <v>#REF!</v>
      </c>
      <c r="X325" s="4" t="e">
        <f aca="false">W325/'Dataset experimental'!$AF325</f>
        <v>#REF!</v>
      </c>
      <c r="AJ325" s="4" t="e">
        <f aca="false">'Modelos Propostos'!B325+H325</f>
        <v>#REF!</v>
      </c>
      <c r="AK325" s="4" t="e">
        <f aca="false">AJ325/'Dataset experimental'!$AF325</f>
        <v>#REF!</v>
      </c>
      <c r="AV325" s="4" t="e">
        <f aca="false">'Modelos normativos'!S325+F325</f>
        <v>#REF!</v>
      </c>
      <c r="AW325" s="4" t="e">
        <f aca="false">AV325/'Dataset experimental'!$AF325</f>
        <v>#REF!</v>
      </c>
      <c r="BH325" s="4" t="e">
        <f aca="false">'Modelos Propostos'!B325+R325</f>
        <v>#REF!</v>
      </c>
      <c r="BI325" s="4" t="e">
        <f aca="false">BH325/'Dataset experimental'!$AF325</f>
        <v>#REF!</v>
      </c>
      <c r="BT325" s="4" t="n">
        <f aca="false">'Modelos Propostos'!B325+L325</f>
        <v>0.378850427797553</v>
      </c>
      <c r="BU325" s="4" t="n">
        <f aca="false">BT325/'Dataset experimental'!$AF325</f>
        <v>1.40314973258353</v>
      </c>
    </row>
    <row r="326" customFormat="false" ht="14.25" hidden="false" customHeight="false" outlineLevel="0" collapsed="false">
      <c r="A326" s="4" t="e">
        <f aca="false">0.0894*ABS(D326)-0.01603*E326</f>
        <v>#REF!</v>
      </c>
      <c r="B326" s="12" t="e">
        <f aca="false">'Dataset experimental'!K326*COS('Dataset experimental'!AC326)-'Dataset experimental'!M326-'Dataset experimental'!C326</f>
        <v>#REF!</v>
      </c>
      <c r="C326" s="12" t="e">
        <f aca="false">('Dataset experimental'!AE326+SIN('Avaliação do resultado ML'!B326))*0.70674187</f>
        <v>#REF!</v>
      </c>
      <c r="D326" s="12" t="e">
        <f aca="false">'Modelos Propostos'!E326+'Avaliação do resultado ML'!C326-'Modelos normativos'!AQ326</f>
        <v>#REF!</v>
      </c>
      <c r="E326" s="12" t="n">
        <f aca="false">'Modelos empíricos'!I326+1.1854</f>
        <v>3.74999422351891</v>
      </c>
      <c r="F326" s="4" t="e">
        <f aca="false">-0.01753*('Modelos normativos'!AN326-'Dataset experimental'!C326-ABS(G326)-('Modelos Propostos'!E326-'Modelos normativos'!AP326)/0.25291)</f>
        <v>#REF!</v>
      </c>
      <c r="G326" s="4" t="e">
        <f aca="false">'Dataset experimental'!K326+'Modelos empíricos'!K326^2+('Modelos Propostos'!E326-'Modelos normativos'!AQ326)*4.10553</f>
        <v>#REF!</v>
      </c>
      <c r="H326" s="4" t="e">
        <f aca="false">0.03283*(J326+K326)</f>
        <v>#REF!</v>
      </c>
      <c r="I326" s="4" t="e">
        <f aca="false">(1.61428/'Dataset experimental'!Q326)^3</f>
        <v>#REF!</v>
      </c>
      <c r="J326" s="4" t="e">
        <f aca="false">SIN('Dataset experimental'!E326)+1.450178*(SIN('Avaliação do resultado ML'!I326)+'Dataset experimental'!C326)</f>
        <v>#REF!</v>
      </c>
      <c r="K326" s="4" t="e">
        <f aca="false">('Modelos empíricos'!C326-'Dataset experimental'!G326)*'Dataset experimental'!AE326-'Modelos normativos'!AP326</f>
        <v>#REF!</v>
      </c>
      <c r="L326" s="4" t="n">
        <f aca="false">0.0076*'Dataset experimental'!B326+'Avaliação do resultado ML'!M326+'Avaliação do resultado ML'!N326+(-0.0328)*(0.0171*'Dataset experimental'!AD326-0.9442)*'Avaliação do resultado ML'!O326-'Avaliação do resultado ML'!P326-0.0364</f>
        <v>0.108561871155518</v>
      </c>
      <c r="M326" s="12" t="n">
        <f aca="false">0.03283*SIN(0.7328*'Dataset experimental'!D326-1.8266)</f>
        <v>-0.0291654482027489</v>
      </c>
      <c r="N326" s="12" t="n">
        <f aca="false">0.0476*SIN(4.2067/(0.0095*'Dataset experimental'!P326-1.9338)^3)</f>
        <v>0.0413506050702141</v>
      </c>
      <c r="O326" s="12" t="n">
        <f aca="false">0.0214*'Dataset experimental'!F326-3.1067*'Dataset experimental'!B326*'Dataset experimental'!P326*('Dataset experimental'!T326-'Dataset experimental'!R326)*(0.39*'Dataset experimental'!P326*'Dataset experimental'!T326/'Dataset experimental'!V326-'Dataset experimental'!Z326+3.12)/(100000*'Dataset experimental'!V326)+0.7995</f>
        <v>-0.387274968772837</v>
      </c>
      <c r="P326" s="12" t="n">
        <f aca="false">0.4461*('Dataset experimental'!Z326-0.6*'Modelos normativos'!AB326)*(3.4*'Dataset experimental'!L326+0.17*'Dataset experimental'!B326/'Modelos normativos'!AC326)/200000</f>
        <v>0.114433233287697</v>
      </c>
      <c r="Q326" s="4" t="e">
        <f aca="false">L326/H326</f>
        <v>#REF!</v>
      </c>
      <c r="R326" s="4" t="e">
        <f aca="false">(-0.042-0.014*'Com TS variável MC2020'!Q335)*('Modelos normativos'!AP326-ABS('Modelos Propostos'!K326)-'Dataset experimental'!W326+COS(S326))</f>
        <v>#REF!</v>
      </c>
      <c r="S326" s="4" t="e">
        <f aca="false">'Dataset experimental'!O326-('Modelos normativos'!AQ326-SIN(0.083/('Dataset experimental'!M326-'Dataset experimental'!O326))-'Modelos empíricos'!I326)/0.646</f>
        <v>#REF!</v>
      </c>
      <c r="W326" s="4" t="e">
        <f aca="false">'Modelos normativos'!S326+'Avaliação do resultado ML'!A326</f>
        <v>#REF!</v>
      </c>
      <c r="X326" s="4" t="e">
        <f aca="false">W326/'Dataset experimental'!$AF326</f>
        <v>#REF!</v>
      </c>
      <c r="AJ326" s="4" t="e">
        <f aca="false">'Modelos Propostos'!B326+H326</f>
        <v>#REF!</v>
      </c>
      <c r="AK326" s="4" t="e">
        <f aca="false">AJ326/'Dataset experimental'!$AF326</f>
        <v>#REF!</v>
      </c>
      <c r="AV326" s="4" t="e">
        <f aca="false">'Modelos normativos'!S326+F326</f>
        <v>#REF!</v>
      </c>
      <c r="AW326" s="4" t="e">
        <f aca="false">AV326/'Dataset experimental'!$AF326</f>
        <v>#REF!</v>
      </c>
      <c r="BH326" s="4" t="e">
        <f aca="false">'Modelos Propostos'!B326+R326</f>
        <v>#REF!</v>
      </c>
      <c r="BI326" s="4" t="e">
        <f aca="false">BH326/'Dataset experimental'!$AF326</f>
        <v>#REF!</v>
      </c>
      <c r="BT326" s="4" t="n">
        <f aca="false">'Modelos Propostos'!B326+L326</f>
        <v>0.409387006232061</v>
      </c>
      <c r="BU326" s="4" t="n">
        <f aca="false">BT326/'Dataset experimental'!$AF326</f>
        <v>1.32060324590987</v>
      </c>
    </row>
    <row r="327" customFormat="false" ht="14.25" hidden="false" customHeight="false" outlineLevel="0" collapsed="false">
      <c r="A327" s="4" t="e">
        <f aca="false">0.0894*ABS(D327)-0.01603*E327</f>
        <v>#REF!</v>
      </c>
      <c r="B327" s="12" t="e">
        <f aca="false">'Dataset experimental'!K327*COS('Dataset experimental'!AC327)-'Dataset experimental'!M327-'Dataset experimental'!C327</f>
        <v>#REF!</v>
      </c>
      <c r="C327" s="12" t="e">
        <f aca="false">('Dataset experimental'!AE327+SIN('Avaliação do resultado ML'!B327))*0.70674187</f>
        <v>#REF!</v>
      </c>
      <c r="D327" s="12" t="e">
        <f aca="false">'Modelos Propostos'!E327+'Avaliação do resultado ML'!C327-'Modelos normativos'!AQ327</f>
        <v>#REF!</v>
      </c>
      <c r="E327" s="12" t="n">
        <f aca="false">'Modelos empíricos'!I327+1.1854</f>
        <v>3.88977902145541</v>
      </c>
      <c r="F327" s="4" t="e">
        <f aca="false">-0.01753*('Modelos normativos'!AN327-'Dataset experimental'!C327-ABS(G327)-('Modelos Propostos'!E327-'Modelos normativos'!AP327)/0.25291)</f>
        <v>#REF!</v>
      </c>
      <c r="G327" s="4" t="e">
        <f aca="false">'Dataset experimental'!K327+'Modelos empíricos'!K327^2+('Modelos Propostos'!E327-'Modelos normativos'!AQ327)*4.10553</f>
        <v>#REF!</v>
      </c>
      <c r="H327" s="4" t="e">
        <f aca="false">0.03283*(J327+K327)</f>
        <v>#REF!</v>
      </c>
      <c r="I327" s="4" t="e">
        <f aca="false">(1.61428/'Dataset experimental'!Q327)^3</f>
        <v>#REF!</v>
      </c>
      <c r="J327" s="4" t="e">
        <f aca="false">SIN('Dataset experimental'!E327)+1.450178*(SIN('Avaliação do resultado ML'!I327)+'Dataset experimental'!C327)</f>
        <v>#REF!</v>
      </c>
      <c r="K327" s="4" t="e">
        <f aca="false">('Modelos empíricos'!C327-'Dataset experimental'!G327)*'Dataset experimental'!AE327-'Modelos normativos'!AP327</f>
        <v>#REF!</v>
      </c>
      <c r="L327" s="4" t="n">
        <f aca="false">0.0076*'Dataset experimental'!B327+'Avaliação do resultado ML'!M327+'Avaliação do resultado ML'!N327+(-0.0328)*(0.0171*'Dataset experimental'!AD327-0.9442)*'Avaliação do resultado ML'!O327-'Avaliação do resultado ML'!P327-0.0364</f>
        <v>0.107015091161819</v>
      </c>
      <c r="M327" s="12" t="n">
        <f aca="false">0.03283*SIN(0.7328*'Dataset experimental'!D327-1.8266)</f>
        <v>-0.0291654482027489</v>
      </c>
      <c r="N327" s="12" t="n">
        <f aca="false">0.0476*SIN(4.2067/(0.0095*'Dataset experimental'!P327-1.9338)^3)</f>
        <v>0.0413506050702141</v>
      </c>
      <c r="O327" s="12" t="n">
        <f aca="false">0.0214*'Dataset experimental'!F327-3.1067*'Dataset experimental'!B327*'Dataset experimental'!P327*('Dataset experimental'!T327-'Dataset experimental'!R327)*(0.39*'Dataset experimental'!P327*'Dataset experimental'!T327/'Dataset experimental'!V327-'Dataset experimental'!Z327+3.12)/(100000*'Dataset experimental'!V327)+0.7995</f>
        <v>-0.445582973030572</v>
      </c>
      <c r="P327" s="12" t="n">
        <f aca="false">0.4461*('Dataset experimental'!Z327-0.6*'Modelos normativos'!AB327)*(3.4*'Dataset experimental'!L327+0.17*'Dataset experimental'!B327/'Modelos normativos'!AC327)/200000</f>
        <v>0.117226277505097</v>
      </c>
      <c r="Q327" s="4" t="e">
        <f aca="false">L327/H327</f>
        <v>#REF!</v>
      </c>
      <c r="R327" s="4" t="e">
        <f aca="false">(-0.042-0.014*'Com TS variável MC2020'!Q336)*('Modelos normativos'!AP327-ABS('Modelos Propostos'!K327)-'Dataset experimental'!W327+COS(S327))</f>
        <v>#REF!</v>
      </c>
      <c r="S327" s="4" t="e">
        <f aca="false">'Dataset experimental'!O327-('Modelos normativos'!AQ327-SIN(0.083/('Dataset experimental'!M327-'Dataset experimental'!O327))-'Modelos empíricos'!I327)/0.646</f>
        <v>#REF!</v>
      </c>
      <c r="W327" s="4" t="e">
        <f aca="false">'Modelos normativos'!S327+'Avaliação do resultado ML'!A327</f>
        <v>#REF!</v>
      </c>
      <c r="X327" s="4" t="e">
        <f aca="false">W327/'Dataset experimental'!$AF327</f>
        <v>#REF!</v>
      </c>
      <c r="AJ327" s="4" t="e">
        <f aca="false">'Modelos Propostos'!B327+H327</f>
        <v>#REF!</v>
      </c>
      <c r="AK327" s="4" t="e">
        <f aca="false">AJ327/'Dataset experimental'!$AF327</f>
        <v>#REF!</v>
      </c>
      <c r="AV327" s="4" t="e">
        <f aca="false">'Modelos normativos'!S327+F327</f>
        <v>#REF!</v>
      </c>
      <c r="AW327" s="4" t="e">
        <f aca="false">AV327/'Dataset experimental'!$AF327</f>
        <v>#REF!</v>
      </c>
      <c r="BH327" s="4" t="e">
        <f aca="false">'Modelos Propostos'!B327+R327</f>
        <v>#REF!</v>
      </c>
      <c r="BI327" s="4" t="e">
        <f aca="false">BH327/'Dataset experimental'!$AF327</f>
        <v>#REF!</v>
      </c>
      <c r="BT327" s="4" t="n">
        <f aca="false">'Modelos Propostos'!B327+L327</f>
        <v>0.417304591281663</v>
      </c>
      <c r="BU327" s="4" t="n">
        <f aca="false">BT327/'Dataset experimental'!$AF327</f>
        <v>1.19229883223332</v>
      </c>
    </row>
    <row r="328" customFormat="false" ht="14.25" hidden="false" customHeight="false" outlineLevel="0" collapsed="false">
      <c r="A328" s="4" t="e">
        <f aca="false">0.0894*ABS(D328)-0.01603*E328</f>
        <v>#REF!</v>
      </c>
      <c r="B328" s="12" t="e">
        <f aca="false">'Dataset experimental'!K328*COS('Dataset experimental'!AC328)-'Dataset experimental'!M328-'Dataset experimental'!C328</f>
        <v>#REF!</v>
      </c>
      <c r="C328" s="12" t="e">
        <f aca="false">('Dataset experimental'!AE328+SIN('Avaliação do resultado ML'!B328))*0.70674187</f>
        <v>#REF!</v>
      </c>
      <c r="D328" s="12" t="e">
        <f aca="false">'Modelos Propostos'!E328+'Avaliação do resultado ML'!C328-'Modelos normativos'!AQ328</f>
        <v>#REF!</v>
      </c>
      <c r="E328" s="12" t="n">
        <f aca="false">'Modelos empíricos'!I328+1.1854</f>
        <v>1.31811043645405</v>
      </c>
      <c r="F328" s="4" t="e">
        <f aca="false">-0.01753*('Modelos normativos'!AN328-'Dataset experimental'!C328-ABS(G328)-('Modelos Propostos'!E328-'Modelos normativos'!AP328)/0.25291)</f>
        <v>#REF!</v>
      </c>
      <c r="G328" s="4" t="e">
        <f aca="false">'Dataset experimental'!K328+'Modelos empíricos'!K328^2+('Modelos Propostos'!E328-'Modelos normativos'!AQ328)*4.10553</f>
        <v>#REF!</v>
      </c>
      <c r="H328" s="4" t="e">
        <f aca="false">0.03283*(J328+K328)</f>
        <v>#REF!</v>
      </c>
      <c r="I328" s="4" t="e">
        <f aca="false">(1.61428/'Dataset experimental'!Q328)^3</f>
        <v>#REF!</v>
      </c>
      <c r="J328" s="4" t="e">
        <f aca="false">SIN('Dataset experimental'!E328)+1.450178*(SIN('Avaliação do resultado ML'!I328)+'Dataset experimental'!C328)</f>
        <v>#REF!</v>
      </c>
      <c r="K328" s="4" t="e">
        <f aca="false">('Modelos empíricos'!C328-'Dataset experimental'!G328)*'Dataset experimental'!AE328-'Modelos normativos'!AP328</f>
        <v>#REF!</v>
      </c>
      <c r="L328" s="4" t="n">
        <f aca="false">0.0076*'Dataset experimental'!B328+'Avaliação do resultado ML'!M328+'Avaliação do resultado ML'!N328+(-0.0328)*(0.0171*'Dataset experimental'!AD328-0.9442)*'Avaliação do resultado ML'!O328-'Avaliação do resultado ML'!P328-0.0364</f>
        <v>0.162137937661758</v>
      </c>
      <c r="M328" s="12" t="n">
        <f aca="false">0.03283*SIN(0.7328*'Dataset experimental'!D328-1.8266)</f>
        <v>-0.0291654482027489</v>
      </c>
      <c r="N328" s="12" t="n">
        <f aca="false">0.0476*SIN(4.2067/(0.0095*'Dataset experimental'!P328-1.9338)^3)</f>
        <v>0.0413506050702141</v>
      </c>
      <c r="O328" s="12" t="n">
        <f aca="false">0.0214*'Dataset experimental'!F328-3.1067*'Dataset experimental'!B328*'Dataset experimental'!P328*('Dataset experimental'!T328-'Dataset experimental'!R328)*(0.39*'Dataset experimental'!P328*'Dataset experimental'!T328/'Dataset experimental'!V328-'Dataset experimental'!Z328+3.12)/(100000*'Dataset experimental'!V328)+0.7995</f>
        <v>0.625788563884983</v>
      </c>
      <c r="P328" s="12" t="n">
        <f aca="false">0.4461*('Dataset experimental'!Z328-0.6*'Modelos normativos'!AB328)*(3.4*'Dataset experimental'!L328+0.17*'Dataset experimental'!B328/'Modelos normativos'!AC328)/200000</f>
        <v>0.0644822644392303</v>
      </c>
      <c r="Q328" s="4" t="e">
        <f aca="false">L328/H328</f>
        <v>#REF!</v>
      </c>
      <c r="R328" s="4" t="e">
        <f aca="false">(-0.042-0.014*'Com TS variável MC2020'!Q337)*('Modelos normativos'!AP328-ABS('Modelos Propostos'!K328)-'Dataset experimental'!W328+COS(S328))</f>
        <v>#REF!</v>
      </c>
      <c r="S328" s="4" t="e">
        <f aca="false">'Dataset experimental'!O328-('Modelos normativos'!AQ328-SIN(0.083/('Dataset experimental'!M328-'Dataset experimental'!O328))-'Modelos empíricos'!I328)/0.646</f>
        <v>#REF!</v>
      </c>
      <c r="W328" s="4" t="e">
        <f aca="false">'Modelos normativos'!S328+'Avaliação do resultado ML'!A328</f>
        <v>#REF!</v>
      </c>
      <c r="X328" s="4" t="e">
        <f aca="false">W328/'Dataset experimental'!$AF328</f>
        <v>#REF!</v>
      </c>
      <c r="AJ328" s="4" t="e">
        <f aca="false">'Modelos Propostos'!B328+H328</f>
        <v>#REF!</v>
      </c>
      <c r="AK328" s="4" t="e">
        <f aca="false">AJ328/'Dataset experimental'!$AF328</f>
        <v>#REF!</v>
      </c>
      <c r="AV328" s="4" t="e">
        <f aca="false">'Modelos normativos'!S328+F328</f>
        <v>#REF!</v>
      </c>
      <c r="AW328" s="4" t="e">
        <f aca="false">AV328/'Dataset experimental'!$AF328</f>
        <v>#REF!</v>
      </c>
      <c r="BH328" s="4" t="e">
        <f aca="false">'Modelos Propostos'!B328+R328</f>
        <v>#REF!</v>
      </c>
      <c r="BI328" s="4" t="e">
        <f aca="false">BH328/'Dataset experimental'!$AF328</f>
        <v>#REF!</v>
      </c>
      <c r="BT328" s="4" t="n">
        <f aca="false">'Modelos Propostos'!B328+L328</f>
        <v>0.29590700143079</v>
      </c>
      <c r="BU328" s="4" t="n">
        <f aca="false">BT328/'Dataset experimental'!$AF328</f>
        <v>1.55740527068837</v>
      </c>
    </row>
    <row r="329" customFormat="false" ht="14.25" hidden="false" customHeight="false" outlineLevel="0" collapsed="false">
      <c r="A329" s="4" t="e">
        <f aca="false">0.0894*ABS(D329)-0.01603*E329</f>
        <v>#REF!</v>
      </c>
      <c r="B329" s="12" t="e">
        <f aca="false">'Dataset experimental'!K329*COS('Dataset experimental'!AC329)-'Dataset experimental'!M329-'Dataset experimental'!C329</f>
        <v>#REF!</v>
      </c>
      <c r="C329" s="12" t="e">
        <f aca="false">('Dataset experimental'!AE329+SIN('Avaliação do resultado ML'!B329))*0.70674187</f>
        <v>#REF!</v>
      </c>
      <c r="D329" s="12" t="e">
        <f aca="false">'Modelos Propostos'!E329+'Avaliação do resultado ML'!C329-'Modelos normativos'!AQ329</f>
        <v>#REF!</v>
      </c>
      <c r="E329" s="12" t="n">
        <f aca="false">'Modelos empíricos'!I329+1.1854</f>
        <v>2.27487533987149</v>
      </c>
      <c r="F329" s="4" t="e">
        <f aca="false">-0.01753*('Modelos normativos'!AN329-'Dataset experimental'!C329-ABS(G329)-('Modelos Propostos'!E329-'Modelos normativos'!AP329)/0.25291)</f>
        <v>#REF!</v>
      </c>
      <c r="G329" s="4" t="e">
        <f aca="false">'Dataset experimental'!K329+'Modelos empíricos'!K329^2+('Modelos Propostos'!E329-'Modelos normativos'!AQ329)*4.10553</f>
        <v>#REF!</v>
      </c>
      <c r="H329" s="4" t="e">
        <f aca="false">0.03283*(J329+K329)</f>
        <v>#REF!</v>
      </c>
      <c r="I329" s="4" t="e">
        <f aca="false">(1.61428/'Dataset experimental'!Q329)^3</f>
        <v>#REF!</v>
      </c>
      <c r="J329" s="4" t="e">
        <f aca="false">SIN('Dataset experimental'!E329)+1.450178*(SIN('Avaliação do resultado ML'!I329)+'Dataset experimental'!C329)</f>
        <v>#REF!</v>
      </c>
      <c r="K329" s="4" t="e">
        <f aca="false">('Modelos empíricos'!C329-'Dataset experimental'!G329)*'Dataset experimental'!AE329-'Modelos normativos'!AP329</f>
        <v>#REF!</v>
      </c>
      <c r="L329" s="4" t="n">
        <f aca="false">0.0076*'Dataset experimental'!B329+'Avaliação do resultado ML'!M329+'Avaliação do resultado ML'!N329+(-0.0328)*(0.0171*'Dataset experimental'!AD329-0.9442)*'Avaliação do resultado ML'!O329-'Avaliação do resultado ML'!P329-0.0364</f>
        <v>0.138340240102036</v>
      </c>
      <c r="M329" s="12" t="n">
        <f aca="false">0.03283*SIN(0.7328*'Dataset experimental'!D329-1.8266)</f>
        <v>-0.0291654482027489</v>
      </c>
      <c r="N329" s="12" t="n">
        <f aca="false">0.0476*SIN(4.2067/(0.0095*'Dataset experimental'!P329-1.9338)^3)</f>
        <v>0.0413506050702141</v>
      </c>
      <c r="O329" s="12" t="n">
        <f aca="false">0.0214*'Dataset experimental'!F329-3.1067*'Dataset experimental'!B329*'Dataset experimental'!P329*('Dataset experimental'!T329-'Dataset experimental'!R329)*(0.39*'Dataset experimental'!P329*'Dataset experimental'!T329/'Dataset experimental'!V329-'Dataset experimental'!Z329+3.12)/(100000*'Dataset experimental'!V329)+0.7995</f>
        <v>0.226291571743141</v>
      </c>
      <c r="P329" s="12" t="n">
        <f aca="false">0.4461*('Dataset experimental'!Z329-0.6*'Modelos normativos'!AB329)*(3.4*'Dataset experimental'!L329+0.17*'Dataset experimental'!B329/'Modelos normativos'!AC329)/200000</f>
        <v>0.083690281057131</v>
      </c>
      <c r="Q329" s="4" t="e">
        <f aca="false">L329/H329</f>
        <v>#REF!</v>
      </c>
      <c r="R329" s="4" t="e">
        <f aca="false">(-0.042-0.014*'Com TS variável MC2020'!Q338)*('Modelos normativos'!AP329-ABS('Modelos Propostos'!K329)-'Dataset experimental'!W329+COS(S329))</f>
        <v>#REF!</v>
      </c>
      <c r="S329" s="4" t="e">
        <f aca="false">'Dataset experimental'!O329-('Modelos normativos'!AQ329-SIN(0.083/('Dataset experimental'!M329-'Dataset experimental'!O329))-'Modelos empíricos'!I329)/0.646</f>
        <v>#REF!</v>
      </c>
      <c r="W329" s="4" t="e">
        <f aca="false">'Modelos normativos'!S329+'Avaliação do resultado ML'!A329</f>
        <v>#REF!</v>
      </c>
      <c r="X329" s="4" t="e">
        <f aca="false">W329/'Dataset experimental'!$AF329</f>
        <v>#REF!</v>
      </c>
      <c r="AJ329" s="4" t="e">
        <f aca="false">'Modelos Propostos'!B329+H329</f>
        <v>#REF!</v>
      </c>
      <c r="AK329" s="4" t="e">
        <f aca="false">AJ329/'Dataset experimental'!$AF329</f>
        <v>#REF!</v>
      </c>
      <c r="AV329" s="4" t="e">
        <f aca="false">'Modelos normativos'!S329+F329</f>
        <v>#REF!</v>
      </c>
      <c r="AW329" s="4" t="e">
        <f aca="false">AV329/'Dataset experimental'!$AF329</f>
        <v>#REF!</v>
      </c>
      <c r="BH329" s="4" t="e">
        <f aca="false">'Modelos Propostos'!B329+R329</f>
        <v>#REF!</v>
      </c>
      <c r="BI329" s="4" t="e">
        <f aca="false">BH329/'Dataset experimental'!$AF329</f>
        <v>#REF!</v>
      </c>
      <c r="BT329" s="4" t="n">
        <f aca="false">'Modelos Propostos'!B329+L329</f>
        <v>0.331519920085013</v>
      </c>
      <c r="BU329" s="4" t="n">
        <f aca="false">BT329/'Dataset experimental'!$AF329</f>
        <v>1.38133300035422</v>
      </c>
    </row>
    <row r="330" customFormat="false" ht="14.25" hidden="false" customHeight="false" outlineLevel="0" collapsed="false">
      <c r="A330" s="4" t="e">
        <f aca="false">0.0894*ABS(D330)-0.01603*E330</f>
        <v>#REF!</v>
      </c>
      <c r="B330" s="12" t="e">
        <f aca="false">'Dataset experimental'!K330*COS('Dataset experimental'!AC330)-'Dataset experimental'!M330-'Dataset experimental'!C330</f>
        <v>#REF!</v>
      </c>
      <c r="C330" s="12" t="e">
        <f aca="false">('Dataset experimental'!AE330+SIN('Avaliação do resultado ML'!B330))*0.70674187</f>
        <v>#REF!</v>
      </c>
      <c r="D330" s="12" t="e">
        <f aca="false">'Modelos Propostos'!E330+'Avaliação do resultado ML'!C330-'Modelos normativos'!AQ330</f>
        <v>#REF!</v>
      </c>
      <c r="E330" s="12" t="n">
        <f aca="false">'Modelos empíricos'!I330+1.1854</f>
        <v>3.12138109085049</v>
      </c>
      <c r="F330" s="4" t="e">
        <f aca="false">-0.01753*('Modelos normativos'!AN330-'Dataset experimental'!C330-ABS(G330)-('Modelos Propostos'!E330-'Modelos normativos'!AP330)/0.25291)</f>
        <v>#REF!</v>
      </c>
      <c r="G330" s="4" t="e">
        <f aca="false">'Dataset experimental'!K330+'Modelos empíricos'!K330^2+('Modelos Propostos'!E330-'Modelos normativos'!AQ330)*4.10553</f>
        <v>#REF!</v>
      </c>
      <c r="H330" s="4" t="e">
        <f aca="false">0.03283*(J330+K330)</f>
        <v>#REF!</v>
      </c>
      <c r="I330" s="4" t="e">
        <f aca="false">(1.61428/'Dataset experimental'!Q330)^3</f>
        <v>#REF!</v>
      </c>
      <c r="J330" s="4" t="e">
        <f aca="false">SIN('Dataset experimental'!E330)+1.450178*(SIN('Avaliação do resultado ML'!I330)+'Dataset experimental'!C330)</f>
        <v>#REF!</v>
      </c>
      <c r="K330" s="4" t="e">
        <f aca="false">('Modelos empíricos'!C330-'Dataset experimental'!G330)*'Dataset experimental'!AE330-'Modelos normativos'!AP330</f>
        <v>#REF!</v>
      </c>
      <c r="L330" s="4" t="n">
        <f aca="false">0.0076*'Dataset experimental'!B330+'Avaliação do resultado ML'!M330+'Avaliação do resultado ML'!N330+(-0.0328)*(0.0171*'Dataset experimental'!AD330-0.9442)*'Avaliação do resultado ML'!O330-'Avaliação do resultado ML'!P330-0.0364</f>
        <v>0.120732575363086</v>
      </c>
      <c r="M330" s="12" t="n">
        <f aca="false">0.03283*SIN(0.7328*'Dataset experimental'!D330-1.8266)</f>
        <v>-0.0291654482027489</v>
      </c>
      <c r="N330" s="12" t="n">
        <f aca="false">0.0476*SIN(4.2067/(0.0095*'Dataset experimental'!P330-1.9338)^3)</f>
        <v>0.0413506050702141</v>
      </c>
      <c r="O330" s="12" t="n">
        <f aca="false">0.0214*'Dataset experimental'!F330-3.1067*'Dataset experimental'!B330*'Dataset experimental'!P330*('Dataset experimental'!T330-'Dataset experimental'!R330)*(0.39*'Dataset experimental'!P330*'Dataset experimental'!T330/'Dataset experimental'!V330-'Dataset experimental'!Z330+3.12)/(100000*'Dataset experimental'!V330)+0.7995</f>
        <v>-0.127166733571947</v>
      </c>
      <c r="P330" s="12" t="n">
        <f aca="false">0.4461*('Dataset experimental'!Z330-0.6*'Modelos normativos'!AB330)*(3.4*'Dataset experimental'!L330+0.17*'Dataset experimental'!B330/'Modelos normativos'!AC330)/200000</f>
        <v>0.100684734421668</v>
      </c>
      <c r="Q330" s="4" t="e">
        <f aca="false">L330/H330</f>
        <v>#REF!</v>
      </c>
      <c r="R330" s="4" t="e">
        <f aca="false">(-0.042-0.014*'Com TS variável MC2020'!Q339)*('Modelos normativos'!AP330-ABS('Modelos Propostos'!K330)-'Dataset experimental'!W330+COS(S330))</f>
        <v>#REF!</v>
      </c>
      <c r="S330" s="4" t="e">
        <f aca="false">'Dataset experimental'!O330-('Modelos normativos'!AQ330-SIN(0.083/('Dataset experimental'!M330-'Dataset experimental'!O330))-'Modelos empíricos'!I330)/0.646</f>
        <v>#REF!</v>
      </c>
      <c r="W330" s="4" t="e">
        <f aca="false">'Modelos normativos'!S330+'Avaliação do resultado ML'!A330</f>
        <v>#REF!</v>
      </c>
      <c r="X330" s="4" t="e">
        <f aca="false">W330/'Dataset experimental'!$AF330</f>
        <v>#REF!</v>
      </c>
      <c r="AJ330" s="4" t="e">
        <f aca="false">'Modelos Propostos'!B330+H330</f>
        <v>#REF!</v>
      </c>
      <c r="AK330" s="4" t="e">
        <f aca="false">AJ330/'Dataset experimental'!$AF330</f>
        <v>#REF!</v>
      </c>
      <c r="AV330" s="4" t="e">
        <f aca="false">'Modelos normativos'!S330+F330</f>
        <v>#REF!</v>
      </c>
      <c r="AW330" s="4" t="e">
        <f aca="false">AV330/'Dataset experimental'!$AF330</f>
        <v>#REF!</v>
      </c>
      <c r="BH330" s="4" t="e">
        <f aca="false">'Modelos Propostos'!B330+R330</f>
        <v>#REF!</v>
      </c>
      <c r="BI330" s="4" t="e">
        <f aca="false">BH330/'Dataset experimental'!$AF330</f>
        <v>#REF!</v>
      </c>
      <c r="BT330" s="4" t="n">
        <f aca="false">'Modelos Propostos'!B330+L330</f>
        <v>0.372293298090064</v>
      </c>
      <c r="BU330" s="4" t="n">
        <f aca="false">BT330/'Dataset experimental'!$AF330</f>
        <v>1.28376999341401</v>
      </c>
    </row>
    <row r="331" customFormat="false" ht="14.25" hidden="false" customHeight="false" outlineLevel="0" collapsed="false">
      <c r="A331" s="4" t="e">
        <f aca="false">0.0894*ABS(D331)-0.01603*E331</f>
        <v>#REF!</v>
      </c>
      <c r="B331" s="12" t="e">
        <f aca="false">'Dataset experimental'!K331*COS('Dataset experimental'!AC331)-'Dataset experimental'!M331-'Dataset experimental'!C331</f>
        <v>#REF!</v>
      </c>
      <c r="C331" s="12" t="e">
        <f aca="false">('Dataset experimental'!AE331+SIN('Avaliação do resultado ML'!B331))*0.70674187</f>
        <v>#REF!</v>
      </c>
      <c r="D331" s="12" t="e">
        <f aca="false">'Modelos Propostos'!E331+'Avaliação do resultado ML'!C331-'Modelos normativos'!AQ331</f>
        <v>#REF!</v>
      </c>
      <c r="E331" s="12" t="n">
        <f aca="false">'Modelos empíricos'!I331+1.1854</f>
        <v>3.72602805583549</v>
      </c>
      <c r="F331" s="4" t="e">
        <f aca="false">-0.01753*('Modelos normativos'!AN331-'Dataset experimental'!C331-ABS(G331)-('Modelos Propostos'!E331-'Modelos normativos'!AP331)/0.25291)</f>
        <v>#REF!</v>
      </c>
      <c r="G331" s="4" t="e">
        <f aca="false">'Dataset experimental'!K331+'Modelos empíricos'!K331^2+('Modelos Propostos'!E331-'Modelos normativos'!AQ331)*4.10553</f>
        <v>#REF!</v>
      </c>
      <c r="H331" s="4" t="e">
        <f aca="false">0.03283*(J331+K331)</f>
        <v>#REF!</v>
      </c>
      <c r="I331" s="4" t="e">
        <f aca="false">(1.61428/'Dataset experimental'!Q331)^3</f>
        <v>#REF!</v>
      </c>
      <c r="J331" s="4" t="e">
        <f aca="false">SIN('Dataset experimental'!E331)+1.450178*(SIN('Avaliação do resultado ML'!I331)+'Dataset experimental'!C331)</f>
        <v>#REF!</v>
      </c>
      <c r="K331" s="4" t="e">
        <f aca="false">('Modelos empíricos'!C331-'Dataset experimental'!G331)*'Dataset experimental'!AE331-'Modelos normativos'!AP331</f>
        <v>#REF!</v>
      </c>
      <c r="L331" s="4" t="n">
        <f aca="false">0.0076*'Dataset experimental'!B331+'Avaliação do resultado ML'!M331+'Avaliação do resultado ML'!N331+(-0.0328)*(0.0171*'Dataset experimental'!AD331-0.9442)*'Avaliação do resultado ML'!O331-'Avaliação do resultado ML'!P331-0.0364</f>
        <v>0.110137355930196</v>
      </c>
      <c r="M331" s="12" t="n">
        <f aca="false">0.03283*SIN(0.7328*'Dataset experimental'!D331-1.8266)</f>
        <v>-0.0291654482027489</v>
      </c>
      <c r="N331" s="12" t="n">
        <f aca="false">0.0476*SIN(4.2067/(0.0095*'Dataset experimental'!P331-1.9338)^3)</f>
        <v>0.0413506050702141</v>
      </c>
      <c r="O331" s="12" t="n">
        <f aca="false">0.0214*'Dataset experimental'!F331-3.1067*'Dataset experimental'!B331*'Dataset experimental'!P331*('Dataset experimental'!T331-'Dataset experimental'!R331)*(0.39*'Dataset experimental'!P331*'Dataset experimental'!T331/'Dataset experimental'!V331-'Dataset experimental'!Z331+3.12)/(100000*'Dataset experimental'!V331)+0.7995</f>
        <v>-0.379636951654152</v>
      </c>
      <c r="P331" s="12" t="n">
        <f aca="false">0.4461*('Dataset experimental'!Z331-0.6*'Modelos normativos'!AB331)*(3.4*'Dataset experimental'!L331+0.17*'Dataset experimental'!B331/'Modelos normativos'!AC331)/200000</f>
        <v>0.112823629682051</v>
      </c>
      <c r="Q331" s="4" t="e">
        <f aca="false">L331/H331</f>
        <v>#REF!</v>
      </c>
      <c r="R331" s="4" t="e">
        <f aca="false">(-0.042-0.014*'Com TS variável MC2020'!Q340)*('Modelos normativos'!AP331-ABS('Modelos Propostos'!K331)-'Dataset experimental'!W331+COS(S331))</f>
        <v>#REF!</v>
      </c>
      <c r="S331" s="4" t="e">
        <f aca="false">'Dataset experimental'!O331-('Modelos normativos'!AQ331-SIN(0.083/('Dataset experimental'!M331-'Dataset experimental'!O331))-'Modelos empíricos'!I331)/0.646</f>
        <v>#REF!</v>
      </c>
      <c r="W331" s="4" t="e">
        <f aca="false">'Modelos normativos'!S331+'Avaliação do resultado ML'!A331</f>
        <v>#REF!</v>
      </c>
      <c r="X331" s="4" t="e">
        <f aca="false">W331/'Dataset experimental'!$AF331</f>
        <v>#REF!</v>
      </c>
      <c r="AJ331" s="4" t="e">
        <f aca="false">'Modelos Propostos'!B331+H331</f>
        <v>#REF!</v>
      </c>
      <c r="AK331" s="4" t="e">
        <f aca="false">AJ331/'Dataset experimental'!$AF331</f>
        <v>#REF!</v>
      </c>
      <c r="AV331" s="4" t="e">
        <f aca="false">'Modelos normativos'!S331+F331</f>
        <v>#REF!</v>
      </c>
      <c r="AW331" s="4" t="e">
        <f aca="false">AV331/'Dataset experimental'!$AF331</f>
        <v>#REF!</v>
      </c>
      <c r="BH331" s="4" t="e">
        <f aca="false">'Modelos Propostos'!B331+R331</f>
        <v>#REF!</v>
      </c>
      <c r="BI331" s="4" t="e">
        <f aca="false">BH331/'Dataset experimental'!$AF331</f>
        <v>#REF!</v>
      </c>
      <c r="BT331" s="4" t="n">
        <f aca="false">'Modelos Propostos'!B331+L331</f>
        <v>0.403398823474317</v>
      </c>
      <c r="BU331" s="4" t="n">
        <f aca="false">BT331/'Dataset experimental'!$AF331</f>
        <v>1.12055228742866</v>
      </c>
    </row>
    <row r="332" customFormat="false" ht="14.25" hidden="false" customHeight="false" outlineLevel="0" collapsed="false">
      <c r="A332" s="4" t="e">
        <f aca="false">0.0894*ABS(D332)-0.01603*E332</f>
        <v>#REF!</v>
      </c>
      <c r="B332" s="12" t="e">
        <f aca="false">'Dataset experimental'!K332*COS('Dataset experimental'!AC332)-'Dataset experimental'!M332-'Dataset experimental'!C332</f>
        <v>#REF!</v>
      </c>
      <c r="C332" s="12" t="e">
        <f aca="false">('Dataset experimental'!AE332+SIN('Avaliação do resultado ML'!B332))*0.70674187</f>
        <v>#REF!</v>
      </c>
      <c r="D332" s="12" t="e">
        <f aca="false">'Modelos Propostos'!E332+'Avaliação do resultado ML'!C332-'Modelos normativos'!AQ332</f>
        <v>#REF!</v>
      </c>
      <c r="E332" s="12" t="n">
        <f aca="false">'Modelos empíricos'!I332+1.1854</f>
        <v>3.88396376001864</v>
      </c>
      <c r="F332" s="4" t="e">
        <f aca="false">-0.01753*('Modelos normativos'!AN332-'Dataset experimental'!C332-ABS(G332)-('Modelos Propostos'!E332-'Modelos normativos'!AP332)/0.25291)</f>
        <v>#REF!</v>
      </c>
      <c r="G332" s="4" t="e">
        <f aca="false">'Dataset experimental'!K332+'Modelos empíricos'!K332^2+('Modelos Propostos'!E332-'Modelos normativos'!AQ332)*4.10553</f>
        <v>#REF!</v>
      </c>
      <c r="H332" s="4" t="e">
        <f aca="false">0.03283*(J332+K332)</f>
        <v>#REF!</v>
      </c>
      <c r="I332" s="4" t="e">
        <f aca="false">(1.61428/'Dataset experimental'!Q332)^3</f>
        <v>#REF!</v>
      </c>
      <c r="J332" s="4" t="e">
        <f aca="false">SIN('Dataset experimental'!E332)+1.450178*(SIN('Avaliação do resultado ML'!I332)+'Dataset experimental'!C332)</f>
        <v>#REF!</v>
      </c>
      <c r="K332" s="4" t="e">
        <f aca="false">('Modelos empíricos'!C332-'Dataset experimental'!G332)*'Dataset experimental'!AE332-'Modelos normativos'!AP332</f>
        <v>#REF!</v>
      </c>
      <c r="L332" s="4" t="n">
        <f aca="false">0.0076*'Dataset experimental'!B332+'Avaliação do resultado ML'!M332+'Avaliação do resultado ML'!N332+(-0.0328)*(0.0171*'Dataset experimental'!AD332-0.9442)*'Avaliação do resultado ML'!O332-'Avaliação do resultado ML'!P332-0.0364</f>
        <v>0.108247021058576</v>
      </c>
      <c r="M332" s="12" t="n">
        <f aca="false">0.03283*SIN(0.7328*'Dataset experimental'!D332-1.8266)</f>
        <v>-0.0291654482027489</v>
      </c>
      <c r="N332" s="12" t="n">
        <f aca="false">0.0476*SIN(4.2067/(0.0095*'Dataset experimental'!P332-1.9338)^3)</f>
        <v>0.0413506050702141</v>
      </c>
      <c r="O332" s="12" t="n">
        <f aca="false">0.0214*'Dataset experimental'!F332-3.1067*'Dataset experimental'!B332*'Dataset experimental'!P332*('Dataset experimental'!T332-'Dataset experimental'!R332)*(0.39*'Dataset experimental'!P332*'Dataset experimental'!T332/'Dataset experimental'!V332-'Dataset experimental'!Z332+3.12)/(100000*'Dataset experimental'!V332)+0.7995</f>
        <v>-0.445582973030572</v>
      </c>
      <c r="P332" s="12" t="n">
        <f aca="false">0.4461*('Dataset experimental'!Z332-0.6*'Modelos normativos'!AB332)*(3.4*'Dataset experimental'!L332+0.17*'Dataset experimental'!B332/'Modelos normativos'!AC332)/200000</f>
        <v>0.11599434760834</v>
      </c>
      <c r="Q332" s="4" t="e">
        <f aca="false">L332/H332</f>
        <v>#REF!</v>
      </c>
      <c r="R332" s="4" t="e">
        <f aca="false">(-0.042-0.014*'Com TS variável MC2020'!Q341)*('Modelos normativos'!AP332-ABS('Modelos Propostos'!K332)-'Dataset experimental'!W332+COS(S332))</f>
        <v>#REF!</v>
      </c>
      <c r="S332" s="4" t="e">
        <f aca="false">'Dataset experimental'!O332-('Modelos normativos'!AQ332-SIN(0.083/('Dataset experimental'!M332-'Dataset experimental'!O332))-'Modelos empíricos'!I332)/0.646</f>
        <v>#REF!</v>
      </c>
      <c r="W332" s="4" t="e">
        <f aca="false">'Modelos normativos'!S332+'Avaliação do resultado ML'!A332</f>
        <v>#REF!</v>
      </c>
      <c r="X332" s="4" t="e">
        <f aca="false">W332/'Dataset experimental'!$AF332</f>
        <v>#REF!</v>
      </c>
      <c r="AJ332" s="4" t="e">
        <f aca="false">'Modelos Propostos'!B332+H332</f>
        <v>#REF!</v>
      </c>
      <c r="AK332" s="4" t="e">
        <f aca="false">AJ332/'Dataset experimental'!$AF332</f>
        <v>#REF!</v>
      </c>
      <c r="AV332" s="4" t="e">
        <f aca="false">'Modelos normativos'!S332+F332</f>
        <v>#REF!</v>
      </c>
      <c r="AW332" s="4" t="e">
        <f aca="false">AV332/'Dataset experimental'!$AF332</f>
        <v>#REF!</v>
      </c>
      <c r="BH332" s="4" t="e">
        <f aca="false">'Modelos Propostos'!B332+R332</f>
        <v>#REF!</v>
      </c>
      <c r="BI332" s="4" t="e">
        <f aca="false">BH332/'Dataset experimental'!$AF332</f>
        <v>#REF!</v>
      </c>
      <c r="BT332" s="4" t="n">
        <f aca="false">'Modelos Propostos'!B332+L332</f>
        <v>0.412400855353965</v>
      </c>
      <c r="BU332" s="4" t="n">
        <f aca="false">BT332/'Dataset experimental'!$AF332</f>
        <v>0.981906798461823</v>
      </c>
    </row>
    <row r="333" customFormat="false" ht="14.25" hidden="false" customHeight="false" outlineLevel="0" collapsed="false">
      <c r="A333" s="4" t="e">
        <f aca="false">0.0894*ABS(D333)-0.01603*E333</f>
        <v>#REF!</v>
      </c>
      <c r="B333" s="12" t="e">
        <f aca="false">'Dataset experimental'!K333*COS('Dataset experimental'!AC333)-'Dataset experimental'!M333-'Dataset experimental'!C333</f>
        <v>#REF!</v>
      </c>
      <c r="C333" s="12" t="e">
        <f aca="false">('Dataset experimental'!AE333+SIN('Avaliação do resultado ML'!B333))*0.70674187</f>
        <v>#REF!</v>
      </c>
      <c r="D333" s="12" t="e">
        <f aca="false">'Modelos Propostos'!E333+'Avaliação do resultado ML'!C333-'Modelos normativos'!AQ333</f>
        <v>#REF!</v>
      </c>
      <c r="E333" s="12" t="n">
        <f aca="false">'Modelos empíricos'!I333+1.1854</f>
        <v>0.224959925467326</v>
      </c>
      <c r="F333" s="4" t="e">
        <f aca="false">-0.01753*('Modelos normativos'!AN333-'Dataset experimental'!C333-ABS(G333)-('Modelos Propostos'!E333-'Modelos normativos'!AP333)/0.25291)</f>
        <v>#REF!</v>
      </c>
      <c r="G333" s="4" t="e">
        <f aca="false">'Dataset experimental'!K333+'Modelos empíricos'!K333^2+('Modelos Propostos'!E333-'Modelos normativos'!AQ333)*4.10553</f>
        <v>#REF!</v>
      </c>
      <c r="H333" s="4" t="e">
        <f aca="false">0.03283*(J333+K333)</f>
        <v>#REF!</v>
      </c>
      <c r="I333" s="4" t="e">
        <f aca="false">(1.61428/'Dataset experimental'!Q333)^3</f>
        <v>#REF!</v>
      </c>
      <c r="J333" s="4" t="e">
        <f aca="false">SIN('Dataset experimental'!E333)+1.450178*(SIN('Avaliação do resultado ML'!I333)+'Dataset experimental'!C333)</f>
        <v>#REF!</v>
      </c>
      <c r="K333" s="4" t="e">
        <f aca="false">('Modelos empíricos'!C333-'Dataset experimental'!G333)*'Dataset experimental'!AE333-'Modelos normativos'!AP333</f>
        <v>#REF!</v>
      </c>
      <c r="L333" s="4" t="n">
        <f aca="false">0.0076*'Dataset experimental'!B333+'Avaliação do resultado ML'!M333+'Avaliação do resultado ML'!N333+(-0.0328)*(0.0171*'Dataset experimental'!AD333-0.9442)*'Avaliação do resultado ML'!O333-'Avaliação do resultado ML'!P333-0.0364</f>
        <v>0.112151386980194</v>
      </c>
      <c r="M333" s="12" t="n">
        <f aca="false">0.03283*SIN(0.7328*'Dataset experimental'!D333-1.8266)</f>
        <v>-0.0115958827834406</v>
      </c>
      <c r="N333" s="12" t="n">
        <f aca="false">0.0476*SIN(4.2067/(0.0095*'Dataset experimental'!P333-1.9338)^3)</f>
        <v>0.0413506050702141</v>
      </c>
      <c r="O333" s="12" t="n">
        <f aca="false">0.0214*'Dataset experimental'!F333-3.1067*'Dataset experimental'!B333*'Dataset experimental'!P333*('Dataset experimental'!T333-'Dataset experimental'!R333)*(0.39*'Dataset experimental'!P333*'Dataset experimental'!T333/'Dataset experimental'!V333-'Dataset experimental'!Z333+3.12)/(100000*'Dataset experimental'!V333)+0.7995</f>
        <v>1.02511066415371</v>
      </c>
      <c r="P333" s="12" t="n">
        <f aca="false">0.4461*('Dataset experimental'!Z333-0.6*'Modelos normativos'!AB333)*(3.4*'Dataset experimental'!L333+0.17*'Dataset experimental'!B333/'Modelos normativos'!AC333)/200000</f>
        <v>0.0677051263982854</v>
      </c>
      <c r="Q333" s="4" t="e">
        <f aca="false">L333/H333</f>
        <v>#REF!</v>
      </c>
      <c r="R333" s="4" t="e">
        <f aca="false">(-0.042-0.014*'Com TS variável MC2020'!Q342)*('Modelos normativos'!AP333-ABS('Modelos Propostos'!K333)-'Dataset experimental'!W333+COS(S333))</f>
        <v>#REF!</v>
      </c>
      <c r="S333" s="4" t="e">
        <f aca="false">'Dataset experimental'!O333-('Modelos normativos'!AQ333-SIN(0.083/('Dataset experimental'!M333-'Dataset experimental'!O333))-'Modelos empíricos'!I333)/0.646</f>
        <v>#REF!</v>
      </c>
      <c r="W333" s="4" t="e">
        <f aca="false">'Modelos normativos'!S333+'Avaliação do resultado ML'!A333</f>
        <v>#REF!</v>
      </c>
      <c r="X333" s="4" t="e">
        <f aca="false">W333/'Dataset experimental'!$AF333</f>
        <v>#REF!</v>
      </c>
      <c r="AJ333" s="4" t="e">
        <f aca="false">'Modelos Propostos'!B333+H333</f>
        <v>#REF!</v>
      </c>
      <c r="AK333" s="4" t="e">
        <f aca="false">AJ333/'Dataset experimental'!$AF333</f>
        <v>#REF!</v>
      </c>
      <c r="AV333" s="4" t="e">
        <f aca="false">'Modelos normativos'!S333+F333</f>
        <v>#REF!</v>
      </c>
      <c r="AW333" s="4" t="e">
        <f aca="false">AV333/'Dataset experimental'!$AF333</f>
        <v>#REF!</v>
      </c>
      <c r="BH333" s="4" t="e">
        <f aca="false">'Modelos Propostos'!B333+R333</f>
        <v>#REF!</v>
      </c>
      <c r="BI333" s="4" t="e">
        <f aca="false">BH333/'Dataset experimental'!$AF333</f>
        <v>#REF!</v>
      </c>
      <c r="BT333" s="4" t="n">
        <f aca="false">'Modelos Propostos'!B333+L333</f>
        <v>0.260750199422886</v>
      </c>
      <c r="BU333" s="4" t="n">
        <f aca="false">BT333/'Dataset experimental'!$AF333</f>
        <v>1.44861221901603</v>
      </c>
    </row>
    <row r="334" customFormat="false" ht="14.25" hidden="false" customHeight="false" outlineLevel="0" collapsed="false">
      <c r="A334" s="4" t="e">
        <f aca="false">0.0894*ABS(D334)-0.01603*E334</f>
        <v>#REF!</v>
      </c>
      <c r="B334" s="12" t="e">
        <f aca="false">'Dataset experimental'!K334*COS('Dataset experimental'!AC334)-'Dataset experimental'!M334-'Dataset experimental'!C334</f>
        <v>#REF!</v>
      </c>
      <c r="C334" s="12" t="e">
        <f aca="false">('Dataset experimental'!AE334+SIN('Avaliação do resultado ML'!B334))*0.70674187</f>
        <v>#REF!</v>
      </c>
      <c r="D334" s="12" t="e">
        <f aca="false">'Modelos Propostos'!E334+'Avaliação do resultado ML'!C334-'Modelos normativos'!AQ334</f>
        <v>#REF!</v>
      </c>
      <c r="E334" s="12" t="n">
        <f aca="false">'Modelos empíricos'!I334+1.1854</f>
        <v>0.756665713684314</v>
      </c>
      <c r="F334" s="4" t="e">
        <f aca="false">-0.01753*('Modelos normativos'!AN334-'Dataset experimental'!C334-ABS(G334)-('Modelos Propostos'!E334-'Modelos normativos'!AP334)/0.25291)</f>
        <v>#REF!</v>
      </c>
      <c r="G334" s="4" t="e">
        <f aca="false">'Dataset experimental'!K334+'Modelos empíricos'!K334^2+('Modelos Propostos'!E334-'Modelos normativos'!AQ334)*4.10553</f>
        <v>#REF!</v>
      </c>
      <c r="H334" s="4" t="e">
        <f aca="false">0.03283*(J334+K334)</f>
        <v>#REF!</v>
      </c>
      <c r="I334" s="4" t="e">
        <f aca="false">(1.61428/'Dataset experimental'!Q334)^3</f>
        <v>#REF!</v>
      </c>
      <c r="J334" s="4" t="e">
        <f aca="false">SIN('Dataset experimental'!E334)+1.450178*(SIN('Avaliação do resultado ML'!I334)+'Dataset experimental'!C334)</f>
        <v>#REF!</v>
      </c>
      <c r="K334" s="4" t="e">
        <f aca="false">('Modelos empíricos'!C334-'Dataset experimental'!G334)*'Dataset experimental'!AE334-'Modelos normativos'!AP334</f>
        <v>#REF!</v>
      </c>
      <c r="L334" s="4" t="n">
        <f aca="false">0.0076*'Dataset experimental'!B334+'Avaliação do resultado ML'!M334+'Avaliação do resultado ML'!N334+(-0.0328)*(0.0171*'Dataset experimental'!AD334-0.9442)*'Avaliação do resultado ML'!O334-'Avaliação do resultado ML'!P334-0.0364</f>
        <v>0.0915513518953833</v>
      </c>
      <c r="M334" s="12" t="n">
        <f aca="false">0.03283*SIN(0.7328*'Dataset experimental'!D334-1.8266)</f>
        <v>-0.0115958827834406</v>
      </c>
      <c r="N334" s="12" t="n">
        <f aca="false">0.0476*SIN(4.2067/(0.0095*'Dataset experimental'!P334-1.9338)^3)</f>
        <v>0.0413506050702141</v>
      </c>
      <c r="O334" s="12" t="n">
        <f aca="false">0.0214*'Dataset experimental'!F334-3.1067*'Dataset experimental'!B334*'Dataset experimental'!P334*('Dataset experimental'!T334-'Dataset experimental'!R334)*(0.39*'Dataset experimental'!P334*'Dataset experimental'!T334/'Dataset experimental'!V334-'Dataset experimental'!Z334+3.12)/(100000*'Dataset experimental'!V334)+0.7995</f>
        <v>0.823148071104152</v>
      </c>
      <c r="P334" s="12" t="n">
        <f aca="false">0.4461*('Dataset experimental'!Z334-0.6*'Modelos normativos'!AB334)*(3.4*'Dataset experimental'!L334+0.17*'Dataset experimental'!B334/'Modelos normativos'!AC334)/200000</f>
        <v>0.0843542309811391</v>
      </c>
      <c r="Q334" s="4" t="e">
        <f aca="false">L334/H334</f>
        <v>#REF!</v>
      </c>
      <c r="R334" s="4" t="e">
        <f aca="false">(-0.042-0.014*'Com TS variável MC2020'!Q343)*('Modelos normativos'!AP334-ABS('Modelos Propostos'!K334)-'Dataset experimental'!W334+COS(S334))</f>
        <v>#REF!</v>
      </c>
      <c r="S334" s="4" t="e">
        <f aca="false">'Dataset experimental'!O334-('Modelos normativos'!AQ334-SIN(0.083/('Dataset experimental'!M334-'Dataset experimental'!O334))-'Modelos empíricos'!I334)/0.646</f>
        <v>#REF!</v>
      </c>
      <c r="W334" s="4" t="e">
        <f aca="false">'Modelos normativos'!S334+'Avaliação do resultado ML'!A334</f>
        <v>#REF!</v>
      </c>
      <c r="X334" s="4" t="e">
        <f aca="false">W334/'Dataset experimental'!$AF334</f>
        <v>#REF!</v>
      </c>
      <c r="AJ334" s="4" t="e">
        <f aca="false">'Modelos Propostos'!B334+H334</f>
        <v>#REF!</v>
      </c>
      <c r="AK334" s="4" t="e">
        <f aca="false">AJ334/'Dataset experimental'!$AF334</f>
        <v>#REF!</v>
      </c>
      <c r="AV334" s="4" t="e">
        <f aca="false">'Modelos normativos'!S334+F334</f>
        <v>#REF!</v>
      </c>
      <c r="AW334" s="4" t="e">
        <f aca="false">AV334/'Dataset experimental'!$AF334</f>
        <v>#REF!</v>
      </c>
      <c r="BH334" s="4" t="e">
        <f aca="false">'Modelos Propostos'!B334+R334</f>
        <v>#REF!</v>
      </c>
      <c r="BI334" s="4" t="e">
        <f aca="false">BH334/'Dataset experimental'!$AF334</f>
        <v>#REF!</v>
      </c>
      <c r="BT334" s="4" t="n">
        <f aca="false">'Modelos Propostos'!B334+L334</f>
        <v>0.284199230406248</v>
      </c>
      <c r="BU334" s="4" t="n">
        <f aca="false">BT334/'Dataset experimental'!$AF334</f>
        <v>1.29181468366476</v>
      </c>
    </row>
    <row r="335" customFormat="false" ht="14.25" hidden="false" customHeight="false" outlineLevel="0" collapsed="false">
      <c r="A335" s="4" t="e">
        <f aca="false">0.0894*ABS(D335)-0.01603*E335</f>
        <v>#REF!</v>
      </c>
      <c r="B335" s="12" t="e">
        <f aca="false">'Dataset experimental'!K335*COS('Dataset experimental'!AC335)-'Dataset experimental'!M335-'Dataset experimental'!C335</f>
        <v>#REF!</v>
      </c>
      <c r="C335" s="12" t="e">
        <f aca="false">('Dataset experimental'!AE335+SIN('Avaliação do resultado ML'!B335))*0.70674187</f>
        <v>#REF!</v>
      </c>
      <c r="D335" s="12" t="e">
        <f aca="false">'Modelos Propostos'!E335+'Avaliação do resultado ML'!C335-'Modelos normativos'!AQ335</f>
        <v>#REF!</v>
      </c>
      <c r="E335" s="12" t="n">
        <f aca="false">'Modelos empíricos'!I335+1.1854</f>
        <v>1.16683875030885</v>
      </c>
      <c r="F335" s="4" t="e">
        <f aca="false">-0.01753*('Modelos normativos'!AN335-'Dataset experimental'!C335-ABS(G335)-('Modelos Propostos'!E335-'Modelos normativos'!AP335)/0.25291)</f>
        <v>#REF!</v>
      </c>
      <c r="G335" s="4" t="e">
        <f aca="false">'Dataset experimental'!K335+'Modelos empíricos'!K335^2+('Modelos Propostos'!E335-'Modelos normativos'!AQ335)*4.10553</f>
        <v>#REF!</v>
      </c>
      <c r="H335" s="4" t="e">
        <f aca="false">0.03283*(J335+K335)</f>
        <v>#REF!</v>
      </c>
      <c r="I335" s="4" t="e">
        <f aca="false">(1.61428/'Dataset experimental'!Q335)^3</f>
        <v>#REF!</v>
      </c>
      <c r="J335" s="4" t="e">
        <f aca="false">SIN('Dataset experimental'!E335)+1.450178*(SIN('Avaliação do resultado ML'!I335)+'Dataset experimental'!C335)</f>
        <v>#REF!</v>
      </c>
      <c r="K335" s="4" t="e">
        <f aca="false">('Modelos empíricos'!C335-'Dataset experimental'!G335)*'Dataset experimental'!AE335-'Modelos normativos'!AP335</f>
        <v>#REF!</v>
      </c>
      <c r="L335" s="4" t="n">
        <f aca="false">0.0076*'Dataset experimental'!B335+'Avaliação do resultado ML'!M335+'Avaliação do resultado ML'!N335+(-0.0328)*(0.0171*'Dataset experimental'!AD335-0.9442)*'Avaliação do resultado ML'!O335-'Avaliação do resultado ML'!P335-0.0364</f>
        <v>0.0790731521690716</v>
      </c>
      <c r="M335" s="12" t="n">
        <f aca="false">0.03283*SIN(0.7328*'Dataset experimental'!D335-1.8266)</f>
        <v>-0.0115958827834406</v>
      </c>
      <c r="N335" s="12" t="n">
        <f aca="false">0.0476*SIN(4.2067/(0.0095*'Dataset experimental'!P335-1.9338)^3)</f>
        <v>0.0413506050702141</v>
      </c>
      <c r="O335" s="12" t="n">
        <f aca="false">0.0214*'Dataset experimental'!F335-3.1067*'Dataset experimental'!B335*'Dataset experimental'!P335*('Dataset experimental'!T335-'Dataset experimental'!R335)*(0.39*'Dataset experimental'!P335*'Dataset experimental'!T335/'Dataset experimental'!V335-'Dataset experimental'!Z335+3.12)/(100000*'Dataset experimental'!V335)+0.7995</f>
        <v>0.667348356465921</v>
      </c>
      <c r="P335" s="12" t="n">
        <f aca="false">0.4461*('Dataset experimental'!Z335-0.6*'Modelos normativos'!AB335)*(3.4*'Dataset experimental'!L335+0.17*'Dataset experimental'!B335/'Modelos normativos'!AC335)/200000</f>
        <v>0.0971978259450549</v>
      </c>
      <c r="Q335" s="4" t="e">
        <f aca="false">L335/H335</f>
        <v>#REF!</v>
      </c>
      <c r="R335" s="4" t="e">
        <f aca="false">(-0.042-0.014*'Com TS variável MC2020'!Q344)*('Modelos normativos'!AP335-ABS('Modelos Propostos'!K335)-'Dataset experimental'!W335+COS(S335))</f>
        <v>#REF!</v>
      </c>
      <c r="S335" s="4" t="e">
        <f aca="false">'Dataset experimental'!O335-('Modelos normativos'!AQ335-SIN(0.083/('Dataset experimental'!M335-'Dataset experimental'!O335))-'Modelos empíricos'!I335)/0.646</f>
        <v>#REF!</v>
      </c>
      <c r="W335" s="4" t="e">
        <f aca="false">'Modelos normativos'!S335+'Avaliação do resultado ML'!A335</f>
        <v>#REF!</v>
      </c>
      <c r="X335" s="4" t="e">
        <f aca="false">W335/'Dataset experimental'!$AF335</f>
        <v>#REF!</v>
      </c>
      <c r="AJ335" s="4" t="e">
        <f aca="false">'Modelos Propostos'!B335+H335</f>
        <v>#REF!</v>
      </c>
      <c r="AK335" s="4" t="e">
        <f aca="false">AJ335/'Dataset experimental'!$AF335</f>
        <v>#REF!</v>
      </c>
      <c r="AV335" s="4" t="e">
        <f aca="false">'Modelos normativos'!S335+F335</f>
        <v>#REF!</v>
      </c>
      <c r="AW335" s="4" t="e">
        <f aca="false">AV335/'Dataset experimental'!$AF335</f>
        <v>#REF!</v>
      </c>
      <c r="BH335" s="4" t="e">
        <f aca="false">'Modelos Propostos'!B335+R335</f>
        <v>#REF!</v>
      </c>
      <c r="BI335" s="4" t="e">
        <f aca="false">BH335/'Dataset experimental'!$AF335</f>
        <v>#REF!</v>
      </c>
      <c r="BT335" s="4" t="n">
        <f aca="false">'Modelos Propostos'!B335+L335</f>
        <v>0.306565255363863</v>
      </c>
      <c r="BU335" s="4" t="n">
        <f aca="false">BT335/'Dataset experimental'!$AF335</f>
        <v>1.13542687171801</v>
      </c>
    </row>
    <row r="336" customFormat="false" ht="14.25" hidden="false" customHeight="false" outlineLevel="0" collapsed="false">
      <c r="A336" s="4" t="e">
        <f aca="false">0.0894*ABS(D336)-0.01603*E336</f>
        <v>#REF!</v>
      </c>
      <c r="B336" s="12" t="e">
        <f aca="false">'Dataset experimental'!K336*COS('Dataset experimental'!AC336)-'Dataset experimental'!M336-'Dataset experimental'!C336</f>
        <v>#REF!</v>
      </c>
      <c r="C336" s="12" t="e">
        <f aca="false">('Dataset experimental'!AE336+SIN('Avaliação do resultado ML'!B336))*0.70674187</f>
        <v>#REF!</v>
      </c>
      <c r="D336" s="12" t="e">
        <f aca="false">'Modelos Propostos'!E336+'Avaliação do resultado ML'!C336-'Modelos normativos'!AQ336</f>
        <v>#REF!</v>
      </c>
      <c r="E336" s="12" t="n">
        <f aca="false">'Modelos empíricos'!I336+1.1854</f>
        <v>1.56756239089228</v>
      </c>
      <c r="F336" s="4" t="e">
        <f aca="false">-0.01753*('Modelos normativos'!AN336-'Dataset experimental'!C336-ABS(G336)-('Modelos Propostos'!E336-'Modelos normativos'!AP336)/0.25291)</f>
        <v>#REF!</v>
      </c>
      <c r="G336" s="4" t="e">
        <f aca="false">'Dataset experimental'!K336+'Modelos empíricos'!K336^2+('Modelos Propostos'!E336-'Modelos normativos'!AQ336)*4.10553</f>
        <v>#REF!</v>
      </c>
      <c r="H336" s="4" t="e">
        <f aca="false">0.03283*(J336+K336)</f>
        <v>#REF!</v>
      </c>
      <c r="I336" s="4" t="e">
        <f aca="false">(1.61428/'Dataset experimental'!Q336)^3</f>
        <v>#REF!</v>
      </c>
      <c r="J336" s="4" t="e">
        <f aca="false">SIN('Dataset experimental'!E336)+1.450178*(SIN('Avaliação do resultado ML'!I336)+'Dataset experimental'!C336)</f>
        <v>#REF!</v>
      </c>
      <c r="K336" s="4" t="e">
        <f aca="false">('Modelos empíricos'!C336-'Dataset experimental'!G336)*'Dataset experimental'!AE336-'Modelos normativos'!AP336</f>
        <v>#REF!</v>
      </c>
      <c r="L336" s="4" t="n">
        <f aca="false">0.0076*'Dataset experimental'!B336+'Avaliação do resultado ML'!M336+'Avaliação do resultado ML'!N336+(-0.0328)*(0.0171*'Dataset experimental'!AD336-0.9442)*'Avaliação do resultado ML'!O336-'Avaliação do resultado ML'!P336-0.0364</f>
        <v>0.0688877161311472</v>
      </c>
      <c r="M336" s="12" t="n">
        <f aca="false">0.03283*SIN(0.7328*'Dataset experimental'!D336-1.8266)</f>
        <v>-0.0115958827834406</v>
      </c>
      <c r="N336" s="12" t="n">
        <f aca="false">0.0476*SIN(4.2067/(0.0095*'Dataset experimental'!P336-1.9338)^3)</f>
        <v>0.0413506050702141</v>
      </c>
      <c r="O336" s="12" t="n">
        <f aca="false">0.0214*'Dataset experimental'!F336-3.1067*'Dataset experimental'!B336*'Dataset experimental'!P336*('Dataset experimental'!T336-'Dataset experimental'!R336)*(0.39*'Dataset experimental'!P336*'Dataset experimental'!T336/'Dataset experimental'!V336-'Dataset experimental'!Z336+3.12)/(100000*'Dataset experimental'!V336)+0.7995</f>
        <v>0.515137890937827</v>
      </c>
      <c r="P336" s="12" t="n">
        <f aca="false">0.4461*('Dataset experimental'!Z336-0.6*'Modelos normativos'!AB336)*(3.4*'Dataset experimental'!L336+0.17*'Dataset experimental'!B336/'Modelos normativos'!AC336)/200000</f>
        <v>0.109745535503133</v>
      </c>
      <c r="Q336" s="4" t="e">
        <f aca="false">L336/H336</f>
        <v>#REF!</v>
      </c>
      <c r="R336" s="4" t="e">
        <f aca="false">(-0.042-0.014*'Com TS variável MC2020'!Q345)*('Modelos normativos'!AP336-ABS('Modelos Propostos'!K336)-'Dataset experimental'!W336+COS(S336))</f>
        <v>#REF!</v>
      </c>
      <c r="S336" s="4" t="e">
        <f aca="false">'Dataset experimental'!O336-('Modelos normativos'!AQ336-SIN(0.083/('Dataset experimental'!M336-'Dataset experimental'!O336))-'Modelos empíricos'!I336)/0.646</f>
        <v>#REF!</v>
      </c>
      <c r="W336" s="4" t="e">
        <f aca="false">'Modelos normativos'!S336+'Avaliação do resultado ML'!A336</f>
        <v>#REF!</v>
      </c>
      <c r="X336" s="4" t="e">
        <f aca="false">W336/'Dataset experimental'!$AF336</f>
        <v>#REF!</v>
      </c>
      <c r="AJ336" s="4" t="e">
        <f aca="false">'Modelos Propostos'!B336+H336</f>
        <v>#REF!</v>
      </c>
      <c r="AK336" s="4" t="e">
        <f aca="false">AJ336/'Dataset experimental'!$AF336</f>
        <v>#REF!</v>
      </c>
      <c r="AV336" s="4" t="e">
        <f aca="false">'Modelos normativos'!S336+F336</f>
        <v>#REF!</v>
      </c>
      <c r="AW336" s="4" t="e">
        <f aca="false">AV336/'Dataset experimental'!$AF336</f>
        <v>#REF!</v>
      </c>
      <c r="BH336" s="4" t="e">
        <f aca="false">'Modelos Propostos'!B336+R336</f>
        <v>#REF!</v>
      </c>
      <c r="BI336" s="4" t="e">
        <f aca="false">BH336/'Dataset experimental'!$AF336</f>
        <v>#REF!</v>
      </c>
      <c r="BT336" s="4" t="n">
        <f aca="false">'Modelos Propostos'!B336+L336</f>
        <v>0.330421317235104</v>
      </c>
      <c r="BU336" s="4" t="n">
        <f aca="false">BT336/'Dataset experimental'!$AF336</f>
        <v>1.0325666163597</v>
      </c>
    </row>
    <row r="337" customFormat="false" ht="14.25" hidden="false" customHeight="false" outlineLevel="0" collapsed="false">
      <c r="A337" s="4" t="e">
        <f aca="false">0.0894*ABS(D337)-0.01603*E337</f>
        <v>#REF!</v>
      </c>
      <c r="B337" s="12" t="e">
        <f aca="false">'Dataset experimental'!K337*COS('Dataset experimental'!AC337)-'Dataset experimental'!M337-'Dataset experimental'!C337</f>
        <v>#REF!</v>
      </c>
      <c r="C337" s="12" t="e">
        <f aca="false">('Dataset experimental'!AE337+SIN('Avaliação do resultado ML'!B337))*0.70674187</f>
        <v>#REF!</v>
      </c>
      <c r="D337" s="12" t="e">
        <f aca="false">'Modelos Propostos'!E337+'Avaliação do resultado ML'!C337-'Modelos normativos'!AQ337</f>
        <v>#REF!</v>
      </c>
      <c r="E337" s="12" t="n">
        <f aca="false">'Modelos empíricos'!I337+1.1854</f>
        <v>0.756665713684314</v>
      </c>
      <c r="F337" s="4" t="e">
        <f aca="false">-0.01753*('Modelos normativos'!AN337-'Dataset experimental'!C337-ABS(G337)-('Modelos Propostos'!E337-'Modelos normativos'!AP337)/0.25291)</f>
        <v>#REF!</v>
      </c>
      <c r="G337" s="4" t="e">
        <f aca="false">'Dataset experimental'!K337+'Modelos empíricos'!K337^2+('Modelos Propostos'!E337-'Modelos normativos'!AQ337)*4.10553</f>
        <v>#REF!</v>
      </c>
      <c r="H337" s="4" t="e">
        <f aca="false">0.03283*(J337+K337)</f>
        <v>#REF!</v>
      </c>
      <c r="I337" s="4" t="e">
        <f aca="false">(1.61428/'Dataset experimental'!Q337)^3</f>
        <v>#REF!</v>
      </c>
      <c r="J337" s="4" t="e">
        <f aca="false">SIN('Dataset experimental'!E337)+1.450178*(SIN('Avaliação do resultado ML'!I337)+'Dataset experimental'!C337)</f>
        <v>#REF!</v>
      </c>
      <c r="K337" s="4" t="e">
        <f aca="false">('Modelos empíricos'!C337-'Dataset experimental'!G337)*'Dataset experimental'!AE337-'Modelos normativos'!AP337</f>
        <v>#REF!</v>
      </c>
      <c r="L337" s="4" t="n">
        <f aca="false">0.0076*'Dataset experimental'!B337+'Avaliação do resultado ML'!M337+'Avaliação do resultado ML'!N337+(-0.0328)*(0.0171*'Dataset experimental'!AD337-0.9442)*'Avaliação do resultado ML'!O337-'Avaliação do resultado ML'!P337-0.0364</f>
        <v>0.0915513518953833</v>
      </c>
      <c r="M337" s="12" t="n">
        <f aca="false">0.03283*SIN(0.7328*'Dataset experimental'!D337-1.8266)</f>
        <v>-0.0115958827834406</v>
      </c>
      <c r="N337" s="12" t="n">
        <f aca="false">0.0476*SIN(4.2067/(0.0095*'Dataset experimental'!P337-1.9338)^3)</f>
        <v>0.0413506050702141</v>
      </c>
      <c r="O337" s="12" t="n">
        <f aca="false">0.0214*'Dataset experimental'!F337-3.1067*'Dataset experimental'!B337*'Dataset experimental'!P337*('Dataset experimental'!T337-'Dataset experimental'!R337)*(0.39*'Dataset experimental'!P337*'Dataset experimental'!T337/'Dataset experimental'!V337-'Dataset experimental'!Z337+3.12)/(100000*'Dataset experimental'!V337)+0.7995</f>
        <v>0.823148071104152</v>
      </c>
      <c r="P337" s="12" t="n">
        <f aca="false">0.4461*('Dataset experimental'!Z337-0.6*'Modelos normativos'!AB337)*(3.4*'Dataset experimental'!L337+0.17*'Dataset experimental'!B337/'Modelos normativos'!AC337)/200000</f>
        <v>0.0843542309811391</v>
      </c>
      <c r="Q337" s="4" t="e">
        <f aca="false">L337/H337</f>
        <v>#REF!</v>
      </c>
      <c r="R337" s="4" t="e">
        <f aca="false">(-0.042-0.014*'Com TS variável MC2020'!Q346)*('Modelos normativos'!AP337-ABS('Modelos Propostos'!K337)-'Dataset experimental'!W337+COS(S337))</f>
        <v>#REF!</v>
      </c>
      <c r="S337" s="4" t="e">
        <f aca="false">'Dataset experimental'!O337-('Modelos normativos'!AQ337-SIN(0.083/('Dataset experimental'!M337-'Dataset experimental'!O337))-'Modelos empíricos'!I337)/0.646</f>
        <v>#REF!</v>
      </c>
      <c r="W337" s="4" t="e">
        <f aca="false">'Modelos normativos'!S337+'Avaliação do resultado ML'!A337</f>
        <v>#REF!</v>
      </c>
      <c r="X337" s="4" t="e">
        <f aca="false">W337/'Dataset experimental'!$AF337</f>
        <v>#REF!</v>
      </c>
      <c r="AJ337" s="4" t="e">
        <f aca="false">'Modelos Propostos'!B337+H337</f>
        <v>#REF!</v>
      </c>
      <c r="AK337" s="4" t="e">
        <f aca="false">AJ337/'Dataset experimental'!$AF337</f>
        <v>#REF!</v>
      </c>
      <c r="AV337" s="4" t="e">
        <f aca="false">'Modelos normativos'!S337+F337</f>
        <v>#REF!</v>
      </c>
      <c r="AW337" s="4" t="e">
        <f aca="false">AV337/'Dataset experimental'!$AF337</f>
        <v>#REF!</v>
      </c>
      <c r="BH337" s="4" t="e">
        <f aca="false">'Modelos Propostos'!B337+R337</f>
        <v>#REF!</v>
      </c>
      <c r="BI337" s="4" t="e">
        <f aca="false">BH337/'Dataset experimental'!$AF337</f>
        <v>#REF!</v>
      </c>
      <c r="BT337" s="4" t="n">
        <f aca="false">'Modelos Propostos'!B337+L337</f>
        <v>0.284199230406248</v>
      </c>
      <c r="BU337" s="4" t="n">
        <f aca="false">BT337/'Dataset experimental'!$AF337</f>
        <v>1.77624519003905</v>
      </c>
    </row>
    <row r="338" customFormat="false" ht="14.25" hidden="false" customHeight="false" outlineLevel="0" collapsed="false">
      <c r="A338" s="4" t="e">
        <f aca="false">0.0894*ABS(D338)-0.01603*E338</f>
        <v>#REF!</v>
      </c>
      <c r="B338" s="12" t="e">
        <f aca="false">'Dataset experimental'!K338*COS('Dataset experimental'!AC338)-'Dataset experimental'!M338-'Dataset experimental'!C338</f>
        <v>#REF!</v>
      </c>
      <c r="C338" s="12" t="e">
        <f aca="false">('Dataset experimental'!AE338+SIN('Avaliação do resultado ML'!B338))*0.70674187</f>
        <v>#REF!</v>
      </c>
      <c r="D338" s="12" t="e">
        <f aca="false">'Modelos Propostos'!E338+'Avaliação do resultado ML'!C338-'Modelos normativos'!AQ338</f>
        <v>#REF!</v>
      </c>
      <c r="E338" s="12" t="n">
        <f aca="false">'Modelos empíricos'!I338+1.1854</f>
        <v>1.16683875030885</v>
      </c>
      <c r="F338" s="4" t="e">
        <f aca="false">-0.01753*('Modelos normativos'!AN338-'Dataset experimental'!C338-ABS(G338)-('Modelos Propostos'!E338-'Modelos normativos'!AP338)/0.25291)</f>
        <v>#REF!</v>
      </c>
      <c r="G338" s="4" t="e">
        <f aca="false">'Dataset experimental'!K338+'Modelos empíricos'!K338^2+('Modelos Propostos'!E338-'Modelos normativos'!AQ338)*4.10553</f>
        <v>#REF!</v>
      </c>
      <c r="H338" s="4" t="e">
        <f aca="false">0.03283*(J338+K338)</f>
        <v>#REF!</v>
      </c>
      <c r="I338" s="4" t="e">
        <f aca="false">(1.61428/'Dataset experimental'!Q338)^3</f>
        <v>#REF!</v>
      </c>
      <c r="J338" s="4" t="e">
        <f aca="false">SIN('Dataset experimental'!E338)+1.450178*(SIN('Avaliação do resultado ML'!I338)+'Dataset experimental'!C338)</f>
        <v>#REF!</v>
      </c>
      <c r="K338" s="4" t="e">
        <f aca="false">('Modelos empíricos'!C338-'Dataset experimental'!G338)*'Dataset experimental'!AE338-'Modelos normativos'!AP338</f>
        <v>#REF!</v>
      </c>
      <c r="L338" s="4" t="n">
        <f aca="false">0.0076*'Dataset experimental'!B338+'Avaliação do resultado ML'!M338+'Avaliação do resultado ML'!N338+(-0.0328)*(0.0171*'Dataset experimental'!AD338-0.9442)*'Avaliação do resultado ML'!O338-'Avaliação do resultado ML'!P338-0.0364</f>
        <v>0.0790731521690716</v>
      </c>
      <c r="M338" s="12" t="n">
        <f aca="false">0.03283*SIN(0.7328*'Dataset experimental'!D338-1.8266)</f>
        <v>-0.0115958827834406</v>
      </c>
      <c r="N338" s="12" t="n">
        <f aca="false">0.0476*SIN(4.2067/(0.0095*'Dataset experimental'!P338-1.9338)^3)</f>
        <v>0.0413506050702141</v>
      </c>
      <c r="O338" s="12" t="n">
        <f aca="false">0.0214*'Dataset experimental'!F338-3.1067*'Dataset experimental'!B338*'Dataset experimental'!P338*('Dataset experimental'!T338-'Dataset experimental'!R338)*(0.39*'Dataset experimental'!P338*'Dataset experimental'!T338/'Dataset experimental'!V338-'Dataset experimental'!Z338+3.12)/(100000*'Dataset experimental'!V338)+0.7995</f>
        <v>0.667348356465921</v>
      </c>
      <c r="P338" s="12" t="n">
        <f aca="false">0.4461*('Dataset experimental'!Z338-0.6*'Modelos normativos'!AB338)*(3.4*'Dataset experimental'!L338+0.17*'Dataset experimental'!B338/'Modelos normativos'!AC338)/200000</f>
        <v>0.0971978259450549</v>
      </c>
      <c r="Q338" s="4" t="e">
        <f aca="false">L338/H338</f>
        <v>#REF!</v>
      </c>
      <c r="R338" s="4" t="e">
        <f aca="false">(-0.042-0.014*'Com TS variável MC2020'!Q347)*('Modelos normativos'!AP338-ABS('Modelos Propostos'!K338)-'Dataset experimental'!W338+COS(S338))</f>
        <v>#REF!</v>
      </c>
      <c r="S338" s="4" t="e">
        <f aca="false">'Dataset experimental'!O338-('Modelos normativos'!AQ338-SIN(0.083/('Dataset experimental'!M338-'Dataset experimental'!O338))-'Modelos empíricos'!I338)/0.646</f>
        <v>#REF!</v>
      </c>
      <c r="W338" s="4" t="e">
        <f aca="false">'Modelos normativos'!S338+'Avaliação do resultado ML'!A338</f>
        <v>#REF!</v>
      </c>
      <c r="X338" s="4" t="e">
        <f aca="false">W338/'Dataset experimental'!$AF338</f>
        <v>#REF!</v>
      </c>
      <c r="AJ338" s="4" t="e">
        <f aca="false">'Modelos Propostos'!B338+H338</f>
        <v>#REF!</v>
      </c>
      <c r="AK338" s="4" t="e">
        <f aca="false">AJ338/'Dataset experimental'!$AF338</f>
        <v>#REF!</v>
      </c>
      <c r="AV338" s="4" t="e">
        <f aca="false">'Modelos normativos'!S338+F338</f>
        <v>#REF!</v>
      </c>
      <c r="AW338" s="4" t="e">
        <f aca="false">AV338/'Dataset experimental'!$AF338</f>
        <v>#REF!</v>
      </c>
      <c r="BH338" s="4" t="e">
        <f aca="false">'Modelos Propostos'!B338+R338</f>
        <v>#REF!</v>
      </c>
      <c r="BI338" s="4" t="e">
        <f aca="false">BH338/'Dataset experimental'!$AF338</f>
        <v>#REF!</v>
      </c>
      <c r="BT338" s="4" t="n">
        <f aca="false">'Modelos Propostos'!B338+L338</f>
        <v>0.306565255363863</v>
      </c>
      <c r="BU338" s="4" t="n">
        <f aca="false">BT338/'Dataset experimental'!$AF338</f>
        <v>1.61350134402033</v>
      </c>
    </row>
    <row r="339" customFormat="false" ht="14.25" hidden="false" customHeight="false" outlineLevel="0" collapsed="false">
      <c r="A339" s="4" t="e">
        <f aca="false">0.0894*ABS(D339)-0.01603*E339</f>
        <v>#REF!</v>
      </c>
      <c r="B339" s="12" t="e">
        <f aca="false">'Dataset experimental'!K339*COS('Dataset experimental'!AC339)-'Dataset experimental'!M339-'Dataset experimental'!C339</f>
        <v>#REF!</v>
      </c>
      <c r="C339" s="12" t="e">
        <f aca="false">('Dataset experimental'!AE339+SIN('Avaliação do resultado ML'!B339))*0.70674187</f>
        <v>#REF!</v>
      </c>
      <c r="D339" s="12" t="e">
        <f aca="false">'Modelos Propostos'!E339+'Avaliação do resultado ML'!C339-'Modelos normativos'!AQ339</f>
        <v>#REF!</v>
      </c>
      <c r="E339" s="12" t="n">
        <f aca="false">'Modelos empíricos'!I339+1.1854</f>
        <v>1.56756239089228</v>
      </c>
      <c r="F339" s="4" t="e">
        <f aca="false">-0.01753*('Modelos normativos'!AN339-'Dataset experimental'!C339-ABS(G339)-('Modelos Propostos'!E339-'Modelos normativos'!AP339)/0.25291)</f>
        <v>#REF!</v>
      </c>
      <c r="G339" s="4" t="e">
        <f aca="false">'Dataset experimental'!K339+'Modelos empíricos'!K339^2+('Modelos Propostos'!E339-'Modelos normativos'!AQ339)*4.10553</f>
        <v>#REF!</v>
      </c>
      <c r="H339" s="4" t="e">
        <f aca="false">0.03283*(J339+K339)</f>
        <v>#REF!</v>
      </c>
      <c r="I339" s="4" t="e">
        <f aca="false">(1.61428/'Dataset experimental'!Q339)^3</f>
        <v>#REF!</v>
      </c>
      <c r="J339" s="4" t="e">
        <f aca="false">SIN('Dataset experimental'!E339)+1.450178*(SIN('Avaliação do resultado ML'!I339)+'Dataset experimental'!C339)</f>
        <v>#REF!</v>
      </c>
      <c r="K339" s="4" t="e">
        <f aca="false">('Modelos empíricos'!C339-'Dataset experimental'!G339)*'Dataset experimental'!AE339-'Modelos normativos'!AP339</f>
        <v>#REF!</v>
      </c>
      <c r="L339" s="4" t="n">
        <f aca="false">0.0076*'Dataset experimental'!B339+'Avaliação do resultado ML'!M339+'Avaliação do resultado ML'!N339+(-0.0328)*(0.0171*'Dataset experimental'!AD339-0.9442)*'Avaliação do resultado ML'!O339-'Avaliação do resultado ML'!P339-0.0364</f>
        <v>0.0688877161311472</v>
      </c>
      <c r="M339" s="12" t="n">
        <f aca="false">0.03283*SIN(0.7328*'Dataset experimental'!D339-1.8266)</f>
        <v>-0.0115958827834406</v>
      </c>
      <c r="N339" s="12" t="n">
        <f aca="false">0.0476*SIN(4.2067/(0.0095*'Dataset experimental'!P339-1.9338)^3)</f>
        <v>0.0413506050702141</v>
      </c>
      <c r="O339" s="12" t="n">
        <f aca="false">0.0214*'Dataset experimental'!F339-3.1067*'Dataset experimental'!B339*'Dataset experimental'!P339*('Dataset experimental'!T339-'Dataset experimental'!R339)*(0.39*'Dataset experimental'!P339*'Dataset experimental'!T339/'Dataset experimental'!V339-'Dataset experimental'!Z339+3.12)/(100000*'Dataset experimental'!V339)+0.7995</f>
        <v>0.515137890937827</v>
      </c>
      <c r="P339" s="12" t="n">
        <f aca="false">0.4461*('Dataset experimental'!Z339-0.6*'Modelos normativos'!AB339)*(3.4*'Dataset experimental'!L339+0.17*'Dataset experimental'!B339/'Modelos normativos'!AC339)/200000</f>
        <v>0.109745535503133</v>
      </c>
      <c r="Q339" s="4" t="e">
        <f aca="false">L339/H339</f>
        <v>#REF!</v>
      </c>
      <c r="R339" s="4" t="e">
        <f aca="false">(-0.042-0.014*'Com TS variável MC2020'!Q348)*('Modelos normativos'!AP339-ABS('Modelos Propostos'!K339)-'Dataset experimental'!W339+COS(S339))</f>
        <v>#REF!</v>
      </c>
      <c r="S339" s="4" t="e">
        <f aca="false">'Dataset experimental'!O339-('Modelos normativos'!AQ339-SIN(0.083/('Dataset experimental'!M339-'Dataset experimental'!O339))-'Modelos empíricos'!I339)/0.646</f>
        <v>#REF!</v>
      </c>
      <c r="W339" s="4" t="e">
        <f aca="false">'Modelos normativos'!S339+'Avaliação do resultado ML'!A339</f>
        <v>#REF!</v>
      </c>
      <c r="X339" s="4" t="e">
        <f aca="false">W339/'Dataset experimental'!$AF339</f>
        <v>#REF!</v>
      </c>
      <c r="AJ339" s="4" t="e">
        <f aca="false">'Modelos Propostos'!B339+H339</f>
        <v>#REF!</v>
      </c>
      <c r="AK339" s="4" t="e">
        <f aca="false">AJ339/'Dataset experimental'!$AF339</f>
        <v>#REF!</v>
      </c>
      <c r="AV339" s="4" t="e">
        <f aca="false">'Modelos normativos'!S339+F339</f>
        <v>#REF!</v>
      </c>
      <c r="AW339" s="4" t="e">
        <f aca="false">AV339/'Dataset experimental'!$AF339</f>
        <v>#REF!</v>
      </c>
      <c r="BH339" s="4" t="e">
        <f aca="false">'Modelos Propostos'!B339+R339</f>
        <v>#REF!</v>
      </c>
      <c r="BI339" s="4" t="e">
        <f aca="false">BH339/'Dataset experimental'!$AF339</f>
        <v>#REF!</v>
      </c>
      <c r="BT339" s="4" t="n">
        <f aca="false">'Modelos Propostos'!B339+L339</f>
        <v>0.330421317235104</v>
      </c>
      <c r="BU339" s="4" t="n">
        <f aca="false">BT339/'Dataset experimental'!$AF339</f>
        <v>1.50191507834138</v>
      </c>
    </row>
    <row r="340" customFormat="false" ht="14.25" hidden="false" customHeight="false" outlineLevel="0" collapsed="false">
      <c r="A340" s="4" t="e">
        <f aca="false">0.0894*ABS(D340)-0.01603*E340</f>
        <v>#REF!</v>
      </c>
      <c r="B340" s="12" t="e">
        <f aca="false">'Dataset experimental'!K340*COS('Dataset experimental'!AC340)-'Dataset experimental'!M340-'Dataset experimental'!C340</f>
        <v>#REF!</v>
      </c>
      <c r="C340" s="12" t="e">
        <f aca="false">('Dataset experimental'!AE340+SIN('Avaliação do resultado ML'!B340))*0.70674187</f>
        <v>#REF!</v>
      </c>
      <c r="D340" s="12" t="e">
        <f aca="false">'Modelos Propostos'!E340+'Avaliação do resultado ML'!C340-'Modelos normativos'!AQ340</f>
        <v>#REF!</v>
      </c>
      <c r="E340" s="12" t="n">
        <f aca="false">'Modelos empíricos'!I340+1.1854</f>
        <v>0.428555667118425</v>
      </c>
      <c r="F340" s="4" t="e">
        <f aca="false">-0.01753*('Modelos normativos'!AN340-'Dataset experimental'!C340-ABS(G340)-('Modelos Propostos'!E340-'Modelos normativos'!AP340)/0.25291)</f>
        <v>#REF!</v>
      </c>
      <c r="G340" s="4" t="e">
        <f aca="false">'Dataset experimental'!K340+'Modelos empíricos'!K340^2+('Modelos Propostos'!E340-'Modelos normativos'!AQ340)*4.10553</f>
        <v>#REF!</v>
      </c>
      <c r="H340" s="4" t="e">
        <f aca="false">0.03283*(J340+K340)</f>
        <v>#REF!</v>
      </c>
      <c r="I340" s="4" t="e">
        <f aca="false">(1.61428/'Dataset experimental'!Q340)^3</f>
        <v>#REF!</v>
      </c>
      <c r="J340" s="4" t="e">
        <f aca="false">SIN('Dataset experimental'!E340)+1.450178*(SIN('Avaliação do resultado ML'!I340)+'Dataset experimental'!C340)</f>
        <v>#REF!</v>
      </c>
      <c r="K340" s="4" t="e">
        <f aca="false">('Modelos empíricos'!C340-'Dataset experimental'!G340)*'Dataset experimental'!AE340-'Modelos normativos'!AP340</f>
        <v>#REF!</v>
      </c>
      <c r="L340" s="4" t="n">
        <f aca="false">0.0076*'Dataset experimental'!B340+'Avaliação do resultado ML'!M340+'Avaliação do resultado ML'!N340+(-0.0328)*(0.0171*'Dataset experimental'!AD340-0.9442)*'Avaliação do resultado ML'!O340-'Avaliação do resultado ML'!P340-0.0364</f>
        <v>0.149861933864556</v>
      </c>
      <c r="M340" s="12" t="n">
        <f aca="false">0.03283*SIN(0.7328*'Dataset experimental'!D340-1.8266)</f>
        <v>-0.0115958827834406</v>
      </c>
      <c r="N340" s="12" t="n">
        <f aca="false">0.0476*SIN(4.2067/(0.0095*'Dataset experimental'!P340-1.9338)^3)</f>
        <v>0.0413506050702141</v>
      </c>
      <c r="O340" s="12" t="n">
        <f aca="false">0.0214*'Dataset experimental'!F340-3.1067*'Dataset experimental'!B340*'Dataset experimental'!P340*('Dataset experimental'!T340-'Dataset experimental'!R340)*(0.39*'Dataset experimental'!P340*'Dataset experimental'!T340/'Dataset experimental'!V340-'Dataset experimental'!Z340+3.12)/(100000*'Dataset experimental'!V340)+0.7995</f>
        <v>0.799739033756374</v>
      </c>
      <c r="P340" s="12" t="n">
        <f aca="false">0.4461*('Dataset experimental'!Z340-0.6*'Modelos normativos'!AB340)*(3.4*'Dataset experimental'!L340+0.17*'Dataset experimental'!B340/'Modelos normativos'!AC340)/200000</f>
        <v>0.0654161393155931</v>
      </c>
      <c r="Q340" s="4" t="e">
        <f aca="false">L340/H340</f>
        <v>#REF!</v>
      </c>
      <c r="R340" s="4" t="e">
        <f aca="false">(-0.042-0.014*'Com TS variável MC2020'!Q349)*('Modelos normativos'!AP340-ABS('Modelos Propostos'!K340)-'Dataset experimental'!W340+COS(S340))</f>
        <v>#REF!</v>
      </c>
      <c r="S340" s="4" t="e">
        <f aca="false">'Dataset experimental'!O340-('Modelos normativos'!AQ340-SIN(0.083/('Dataset experimental'!M340-'Dataset experimental'!O340))-'Modelos empíricos'!I340)/0.646</f>
        <v>#REF!</v>
      </c>
      <c r="W340" s="4" t="e">
        <f aca="false">'Modelos normativos'!S340+'Avaliação do resultado ML'!A340</f>
        <v>#REF!</v>
      </c>
      <c r="X340" s="4" t="e">
        <f aca="false">W340/'Dataset experimental'!$AF340</f>
        <v>#REF!</v>
      </c>
      <c r="AJ340" s="4" t="e">
        <f aca="false">'Modelos Propostos'!B340+H340</f>
        <v>#REF!</v>
      </c>
      <c r="AK340" s="4" t="e">
        <f aca="false">AJ340/'Dataset experimental'!$AF340</f>
        <v>#REF!</v>
      </c>
      <c r="AV340" s="4" t="e">
        <f aca="false">'Modelos normativos'!S340+F340</f>
        <v>#REF!</v>
      </c>
      <c r="AW340" s="4" t="e">
        <f aca="false">AV340/'Dataset experimental'!$AF340</f>
        <v>#REF!</v>
      </c>
      <c r="BH340" s="4" t="e">
        <f aca="false">'Modelos Propostos'!B340+R340</f>
        <v>#REF!</v>
      </c>
      <c r="BI340" s="4" t="e">
        <f aca="false">BH340/'Dataset experimental'!$AF340</f>
        <v>#REF!</v>
      </c>
      <c r="BT340" s="4" t="n">
        <f aca="false">'Modelos Propostos'!B340+L340</f>
        <v>0.300484022277697</v>
      </c>
      <c r="BU340" s="4" t="n">
        <f aca="false">BT340/'Dataset experimental'!$AF340</f>
        <v>1.76755307222175</v>
      </c>
    </row>
    <row r="341" customFormat="false" ht="14.25" hidden="false" customHeight="false" outlineLevel="0" collapsed="false">
      <c r="A341" s="4" t="e">
        <f aca="false">0.0894*ABS(D341)-0.01603*E341</f>
        <v>#REF!</v>
      </c>
      <c r="B341" s="12" t="e">
        <f aca="false">'Dataset experimental'!K341*COS('Dataset experimental'!AC341)-'Dataset experimental'!M341-'Dataset experimental'!C341</f>
        <v>#REF!</v>
      </c>
      <c r="C341" s="12" t="e">
        <f aca="false">('Dataset experimental'!AE341+SIN('Avaliação do resultado ML'!B341))*0.70674187</f>
        <v>#REF!</v>
      </c>
      <c r="D341" s="12" t="e">
        <f aca="false">'Modelos Propostos'!E341+'Avaliação do resultado ML'!C341-'Modelos normativos'!AQ341</f>
        <v>#REF!</v>
      </c>
      <c r="E341" s="12" t="n">
        <f aca="false">'Modelos empíricos'!I341+1.1854</f>
        <v>-0.209005134192571</v>
      </c>
      <c r="F341" s="4" t="e">
        <f aca="false">-0.01753*('Modelos normativos'!AN341-'Dataset experimental'!C341-ABS(G341)-('Modelos Propostos'!E341-'Modelos normativos'!AP341)/0.25291)</f>
        <v>#REF!</v>
      </c>
      <c r="G341" s="4" t="e">
        <f aca="false">'Dataset experimental'!K341+'Modelos empíricos'!K341^2+('Modelos Propostos'!E341-'Modelos normativos'!AQ341)*4.10553</f>
        <v>#REF!</v>
      </c>
      <c r="H341" s="4" t="e">
        <f aca="false">0.03283*(J341+K341)</f>
        <v>#REF!</v>
      </c>
      <c r="I341" s="4" t="e">
        <f aca="false">(1.61428/'Dataset experimental'!Q341)^3</f>
        <v>#REF!</v>
      </c>
      <c r="J341" s="4" t="e">
        <f aca="false">SIN('Dataset experimental'!E341)+1.450178*(SIN('Avaliação do resultado ML'!I341)+'Dataset experimental'!C341)</f>
        <v>#REF!</v>
      </c>
      <c r="K341" s="4" t="e">
        <f aca="false">('Modelos empíricos'!C341-'Dataset experimental'!G341)*'Dataset experimental'!AE341-'Modelos normativos'!AP341</f>
        <v>#REF!</v>
      </c>
      <c r="L341" s="4" t="n">
        <f aca="false">0.0076*'Dataset experimental'!B341+'Avaliação do resultado ML'!M341+'Avaliação do resultado ML'!N341+(-0.0328)*(0.0171*'Dataset experimental'!AD341-0.9442)*'Avaliação do resultado ML'!O341-'Avaliação do resultado ML'!P341-0.0364</f>
        <v>0.175104814373944</v>
      </c>
      <c r="M341" s="12" t="n">
        <f aca="false">0.03283*SIN(0.7328*'Dataset experimental'!D341-1.8266)</f>
        <v>-0.0115958827834406</v>
      </c>
      <c r="N341" s="12" t="n">
        <f aca="false">0.0476*SIN(4.2067/(0.0095*'Dataset experimental'!P341-1.9338)^3)</f>
        <v>0.0413506050702141</v>
      </c>
      <c r="O341" s="12" t="n">
        <f aca="false">0.0214*'Dataset experimental'!F341-3.1067*'Dataset experimental'!B341*'Dataset experimental'!P341*('Dataset experimental'!T341-'Dataset experimental'!R341)*(0.39*'Dataset experimental'!P341*'Dataset experimental'!T341/'Dataset experimental'!V341-'Dataset experimental'!Z341+3.12)/(100000*'Dataset experimental'!V341)+0.7995</f>
        <v>0.989491423257907</v>
      </c>
      <c r="P341" s="12" t="n">
        <f aca="false">0.4461*('Dataset experimental'!Z341-0.6*'Modelos normativos'!AB341)*(3.4*'Dataset experimental'!L341+0.17*'Dataset experimental'!B341/'Modelos normativos'!AC341)/200000</f>
        <v>0.0483887174530015</v>
      </c>
      <c r="Q341" s="4" t="e">
        <f aca="false">L341/H341</f>
        <v>#REF!</v>
      </c>
      <c r="R341" s="4" t="e">
        <f aca="false">(-0.042-0.014*'Com TS variável MC2020'!Q350)*('Modelos normativos'!AP341-ABS('Modelos Propostos'!K341)-'Dataset experimental'!W341+COS(S341))</f>
        <v>#REF!</v>
      </c>
      <c r="S341" s="4" t="e">
        <f aca="false">'Dataset experimental'!O341-('Modelos normativos'!AQ341-SIN(0.083/('Dataset experimental'!M341-'Dataset experimental'!O341))-'Modelos empíricos'!I341)/0.646</f>
        <v>#REF!</v>
      </c>
      <c r="W341" s="4" t="e">
        <f aca="false">'Modelos normativos'!S341+'Avaliação do resultado ML'!A341</f>
        <v>#REF!</v>
      </c>
      <c r="X341" s="4" t="e">
        <f aca="false">W341/'Dataset experimental'!$AF341</f>
        <v>#REF!</v>
      </c>
      <c r="AJ341" s="4" t="e">
        <f aca="false">'Modelos Propostos'!B341+H341</f>
        <v>#REF!</v>
      </c>
      <c r="AK341" s="4" t="e">
        <f aca="false">AJ341/'Dataset experimental'!$AF341</f>
        <v>#REF!</v>
      </c>
      <c r="AV341" s="4" t="e">
        <f aca="false">'Modelos normativos'!S341+F341</f>
        <v>#REF!</v>
      </c>
      <c r="AW341" s="4" t="e">
        <f aca="false">AV341/'Dataset experimental'!$AF341</f>
        <v>#REF!</v>
      </c>
      <c r="BH341" s="4" t="e">
        <f aca="false">'Modelos Propostos'!B341+R341</f>
        <v>#REF!</v>
      </c>
      <c r="BI341" s="4" t="e">
        <f aca="false">BH341/'Dataset experimental'!$AF341</f>
        <v>#REF!</v>
      </c>
      <c r="BT341" s="4" t="n">
        <f aca="false">'Modelos Propostos'!B341+L341</f>
        <v>0.283165816669195</v>
      </c>
      <c r="BU341" s="4" t="n">
        <f aca="false">BT341/'Dataset experimental'!$AF341</f>
        <v>1.49034640352208</v>
      </c>
    </row>
    <row r="342" customFormat="false" ht="14.25" hidden="false" customHeight="false" outlineLevel="0" collapsed="false">
      <c r="A342" s="4" t="e">
        <f aca="false">0.0894*ABS(D342)-0.01603*E342</f>
        <v>#REF!</v>
      </c>
      <c r="B342" s="12" t="e">
        <f aca="false">'Dataset experimental'!K342*COS('Dataset experimental'!AC342)-'Dataset experimental'!M342-'Dataset experimental'!C342</f>
        <v>#REF!</v>
      </c>
      <c r="C342" s="12" t="e">
        <f aca="false">('Dataset experimental'!AE342+SIN('Avaliação do resultado ML'!B342))*0.70674187</f>
        <v>#REF!</v>
      </c>
      <c r="D342" s="12" t="e">
        <f aca="false">'Modelos Propostos'!E342+'Avaliação do resultado ML'!C342-'Modelos normativos'!AQ342</f>
        <v>#REF!</v>
      </c>
      <c r="E342" s="12" t="n">
        <f aca="false">'Modelos empíricos'!I342+1.1854</f>
        <v>0.421961195487973</v>
      </c>
      <c r="F342" s="4" t="e">
        <f aca="false">-0.01753*('Modelos normativos'!AN342-'Dataset experimental'!C342-ABS(G342)-('Modelos Propostos'!E342-'Modelos normativos'!AP342)/0.25291)</f>
        <v>#REF!</v>
      </c>
      <c r="G342" s="4" t="e">
        <f aca="false">'Dataset experimental'!K342+'Modelos empíricos'!K342^2+('Modelos Propostos'!E342-'Modelos normativos'!AQ342)*4.10553</f>
        <v>#REF!</v>
      </c>
      <c r="H342" s="4" t="e">
        <f aca="false">0.03283*(J342+K342)</f>
        <v>#REF!</v>
      </c>
      <c r="I342" s="4" t="e">
        <f aca="false">(1.61428/'Dataset experimental'!Q342)^3</f>
        <v>#REF!</v>
      </c>
      <c r="J342" s="4" t="e">
        <f aca="false">SIN('Dataset experimental'!E342)+1.450178*(SIN('Avaliação do resultado ML'!I342)+'Dataset experimental'!C342)</f>
        <v>#REF!</v>
      </c>
      <c r="K342" s="4" t="e">
        <f aca="false">('Modelos empíricos'!C342-'Dataset experimental'!G342)*'Dataset experimental'!AE342-'Modelos normativos'!AP342</f>
        <v>#REF!</v>
      </c>
      <c r="L342" s="4" t="n">
        <f aca="false">0.0076*'Dataset experimental'!B342+'Avaliação do resultado ML'!M342+'Avaliação do resultado ML'!N342+(-0.0328)*(0.0171*'Dataset experimental'!AD342-0.9442)*'Avaliação do resultado ML'!O342-'Avaliação do resultado ML'!P342-0.0364</f>
        <v>0.15041878301087</v>
      </c>
      <c r="M342" s="12" t="n">
        <f aca="false">0.03283*SIN(0.7328*'Dataset experimental'!D342-1.8266)</f>
        <v>-0.0115958827834406</v>
      </c>
      <c r="N342" s="12" t="n">
        <f aca="false">0.0476*SIN(4.2067/(0.0095*'Dataset experimental'!P342-1.9338)^3)</f>
        <v>0.0413506050702141</v>
      </c>
      <c r="O342" s="12" t="n">
        <f aca="false">0.0214*'Dataset experimental'!F342-3.1067*'Dataset experimental'!B342*'Dataset experimental'!P342*('Dataset experimental'!T342-'Dataset experimental'!R342)*(0.39*'Dataset experimental'!P342*'Dataset experimental'!T342/'Dataset experimental'!V342-'Dataset experimental'!Z342+3.12)/(100000*'Dataset experimental'!V342)+0.7995</f>
        <v>0.80182753810773</v>
      </c>
      <c r="P342" s="12" t="n">
        <f aca="false">0.4461*('Dataset experimental'!Z342-0.6*'Modelos normativos'!AB342)*(3.4*'Dataset experimental'!L342+0.17*'Dataset experimental'!B342/'Modelos normativos'!AC342)/200000</f>
        <v>0.0647283069666503</v>
      </c>
      <c r="Q342" s="4" t="e">
        <f aca="false">L342/H342</f>
        <v>#REF!</v>
      </c>
      <c r="R342" s="4" t="e">
        <f aca="false">(-0.042-0.014*'Com TS variável MC2020'!Q351)*('Modelos normativos'!AP342-ABS('Modelos Propostos'!K342)-'Dataset experimental'!W342+COS(S342))</f>
        <v>#REF!</v>
      </c>
      <c r="S342" s="4" t="e">
        <f aca="false">'Dataset experimental'!O342-('Modelos normativos'!AQ342-SIN(0.083/('Dataset experimental'!M342-'Dataset experimental'!O342))-'Modelos empíricos'!I342)/0.646</f>
        <v>#REF!</v>
      </c>
      <c r="W342" s="4" t="e">
        <f aca="false">'Modelos normativos'!S342+'Avaliação do resultado ML'!A342</f>
        <v>#REF!</v>
      </c>
      <c r="X342" s="4" t="e">
        <f aca="false">W342/'Dataset experimental'!$AF342</f>
        <v>#REF!</v>
      </c>
      <c r="AJ342" s="4" t="e">
        <f aca="false">'Modelos Propostos'!B342+H342</f>
        <v>#REF!</v>
      </c>
      <c r="AK342" s="4" t="e">
        <f aca="false">AJ342/'Dataset experimental'!$AF342</f>
        <v>#REF!</v>
      </c>
      <c r="AV342" s="4" t="e">
        <f aca="false">'Modelos normativos'!S342+F342</f>
        <v>#REF!</v>
      </c>
      <c r="AW342" s="4" t="e">
        <f aca="false">AV342/'Dataset experimental'!$AF342</f>
        <v>#REF!</v>
      </c>
      <c r="BH342" s="4" t="e">
        <f aca="false">'Modelos Propostos'!B342+R342</f>
        <v>#REF!</v>
      </c>
      <c r="BI342" s="4" t="e">
        <f aca="false">BH342/'Dataset experimental'!$AF342</f>
        <v>#REF!</v>
      </c>
      <c r="BT342" s="4" t="n">
        <f aca="false">'Modelos Propostos'!B342+L342</f>
        <v>0.298223911222554</v>
      </c>
      <c r="BU342" s="4" t="n">
        <f aca="false">BT342/'Dataset experimental'!$AF342</f>
        <v>1.19289564489022</v>
      </c>
    </row>
    <row r="344" customFormat="false" ht="14.25" hidden="false" customHeight="false" outlineLevel="0" collapsed="false">
      <c r="V344" s="4" t="s">
        <v>149</v>
      </c>
      <c r="X344" s="4" t="e">
        <f aca="false">AVERAGE(X2:X342)</f>
        <v>#REF!</v>
      </c>
      <c r="AK344" s="4" t="e">
        <f aca="false">AVERAGE(AK2:AK342)</f>
        <v>#REF!</v>
      </c>
      <c r="AW344" s="4" t="e">
        <f aca="false">AVERAGE(AW2:AW342)</f>
        <v>#REF!</v>
      </c>
      <c r="BI344" s="4" t="e">
        <f aca="false">AVERAGE(BI2:BI342)</f>
        <v>#REF!</v>
      </c>
      <c r="BT344" s="4" t="s">
        <v>149</v>
      </c>
      <c r="BU344" s="4" t="n">
        <f aca="false">AVERAGE(BU2:BU342)</f>
        <v>1.1026783595193</v>
      </c>
    </row>
    <row r="345" customFormat="false" ht="14.25" hidden="false" customHeight="false" outlineLevel="0" collapsed="false">
      <c r="V345" s="4" t="s">
        <v>235</v>
      </c>
      <c r="X345" s="4" t="e">
        <f aca="false">_xlfn.STDEV.S(X2:X342)</f>
        <v>#REF!</v>
      </c>
      <c r="AK345" s="4" t="e">
        <f aca="false">_xlfn.STDEV.S(AK2:AK342)</f>
        <v>#REF!</v>
      </c>
      <c r="AW345" s="4" t="e">
        <f aca="false">_xlfn.STDEV.S(AW2:AW342)</f>
        <v>#REF!</v>
      </c>
      <c r="BI345" s="4" t="e">
        <f aca="false">_xlfn.STDEV.S(BI2:BI342)</f>
        <v>#REF!</v>
      </c>
      <c r="BT345" s="4" t="s">
        <v>150</v>
      </c>
      <c r="BU345" s="4" t="n">
        <f aca="false">_xlfn.STDEV.S(BU2:BU342)</f>
        <v>0.262089306106163</v>
      </c>
    </row>
    <row r="346" customFormat="false" ht="14.25" hidden="false" customHeight="false" outlineLevel="0" collapsed="false">
      <c r="V346" s="4" t="s">
        <v>236</v>
      </c>
      <c r="X346" s="10" t="e">
        <f aca="false">X345/X344</f>
        <v>#REF!</v>
      </c>
      <c r="AI346" s="4"/>
      <c r="AK346" s="10" t="e">
        <f aca="false">AK345/AK344</f>
        <v>#REF!</v>
      </c>
      <c r="AW346" s="10" t="e">
        <f aca="false">AW345/AW344</f>
        <v>#REF!</v>
      </c>
      <c r="BI346" s="10" t="e">
        <f aca="false">BI345/BI344</f>
        <v>#REF!</v>
      </c>
      <c r="BT346" s="4" t="s">
        <v>108</v>
      </c>
      <c r="BU346" s="10" t="n">
        <f aca="false">BU345/BU344</f>
        <v>0.237684274696764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2025-09-13T23:04:03Z</dcterms:created>
  <dc:creator>Daniel Lima Araujo</dc:creator>
  <dc:description/>
  <dc:language>en-US</dc:language>
  <cp:lastModifiedBy/>
  <dcterms:modified xsi:type="dcterms:W3CDTF">2026-02-25T14:06:45Z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